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46182</v>
      </c>
      <c r="D6" t="inlineStr">
        <is>
          <t>KALMAR LÄN</t>
        </is>
      </c>
      <c r="E6" t="inlineStr">
        <is>
          <t>VIMMERBY</t>
        </is>
      </c>
      <c r="G6" t="n">
        <v>4.2</v>
      </c>
      <c r="H6" t="n">
        <v>1</v>
      </c>
      <c r="I6" t="n">
        <v>2</v>
      </c>
      <c r="J6" t="n">
        <v>3</v>
      </c>
      <c r="K6" t="n">
        <v>0</v>
      </c>
      <c r="L6" t="n">
        <v>0</v>
      </c>
      <c r="M6" t="n">
        <v>0</v>
      </c>
      <c r="N6" t="n">
        <v>0</v>
      </c>
      <c r="O6" t="n">
        <v>3</v>
      </c>
      <c r="P6" t="n">
        <v>0</v>
      </c>
      <c r="Q6" t="n">
        <v>6</v>
      </c>
      <c r="R6" s="2" t="inlineStr">
        <is>
          <t>Tallticka
Ullticka
Vedskivlav
Dropptaggsvamp
Guldlockmossa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1023-2024</t>
        </is>
      </c>
      <c r="B7" s="1" t="n">
        <v>45301.67922453704</v>
      </c>
      <c r="C7" s="1" t="n">
        <v>46182</v>
      </c>
      <c r="D7" t="inlineStr">
        <is>
          <t>KALMAR LÄN</t>
        </is>
      </c>
      <c r="E7" t="inlineStr">
        <is>
          <t>VIMMERBY</t>
        </is>
      </c>
      <c r="G7" t="n">
        <v>4.4</v>
      </c>
      <c r="H7" t="n">
        <v>4</v>
      </c>
      <c r="I7" t="n">
        <v>0</v>
      </c>
      <c r="J7" t="n">
        <v>3</v>
      </c>
      <c r="K7" t="n">
        <v>1</v>
      </c>
      <c r="L7" t="n">
        <v>0</v>
      </c>
      <c r="M7" t="n">
        <v>0</v>
      </c>
      <c r="N7" t="n">
        <v>0</v>
      </c>
      <c r="O7" t="n">
        <v>4</v>
      </c>
      <c r="P7" t="n">
        <v>1</v>
      </c>
      <c r="Q7" t="n">
        <v>5</v>
      </c>
      <c r="R7" s="2" t="inlineStr">
        <is>
          <t>Knärot
Spillkråka
Talltita
Ullticka
Kungsfågel</t>
        </is>
      </c>
      <c r="S7">
        <f>HYPERLINK("https://klasma.github.io/Logging_0884/artfynd/A 1023-2024 artfynd.xlsx", "A 1023-2024")</f>
        <v/>
      </c>
      <c r="T7">
        <f>HYPERLINK("https://klasma.github.io/Logging_0884/kartor/A 1023-2024 karta.png", "A 1023-2024")</f>
        <v/>
      </c>
      <c r="U7">
        <f>HYPERLINK("https://klasma.github.io/Logging_0884/knärot/A 1023-2024 karta knärot.png", "A 1023-2024")</f>
        <v/>
      </c>
      <c r="V7">
        <f>HYPERLINK("https://klasma.github.io/Logging_0884/klagomål/A 1023-2024 FSC-klagomål.docx", "A 1023-2024")</f>
        <v/>
      </c>
      <c r="W7">
        <f>HYPERLINK("https://klasma.github.io/Logging_0884/klagomålsmail/A 1023-2024 FSC-klagomål mail.docx", "A 1023-2024")</f>
        <v/>
      </c>
      <c r="X7">
        <f>HYPERLINK("https://klasma.github.io/Logging_0884/tillsyn/A 1023-2024 tillsynsbegäran.docx", "A 1023-2024")</f>
        <v/>
      </c>
      <c r="Y7">
        <f>HYPERLINK("https://klasma.github.io/Logging_0884/tillsynsmail/A 1023-2024 tillsynsbegäran mail.docx", "A 1023-2024")</f>
        <v/>
      </c>
      <c r="Z7">
        <f>HYPERLINK("https://klasma.github.io/Logging_0884/fåglar/A 1023-2024 prioriterade fågelarter.docx", "A 1023-2024")</f>
        <v/>
      </c>
    </row>
    <row r="8" ht="15" customHeight="1">
      <c r="A8" t="inlineStr">
        <is>
          <t>A 16954-2025</t>
        </is>
      </c>
      <c r="B8" s="1" t="n">
        <v>45755</v>
      </c>
      <c r="C8" s="1" t="n">
        <v>46182</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46182</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32645-2023</t>
        </is>
      </c>
      <c r="B10" s="1" t="n">
        <v>45121.60543981481</v>
      </c>
      <c r="C10" s="1" t="n">
        <v>46182</v>
      </c>
      <c r="D10" t="inlineStr">
        <is>
          <t>KALMAR LÄN</t>
        </is>
      </c>
      <c r="E10" t="inlineStr">
        <is>
          <t>VIMMERBY</t>
        </is>
      </c>
      <c r="F10" t="inlineStr">
        <is>
          <t>Sveaskog</t>
        </is>
      </c>
      <c r="G10" t="n">
        <v>1.5</v>
      </c>
      <c r="H10" t="n">
        <v>2</v>
      </c>
      <c r="I10" t="n">
        <v>1</v>
      </c>
      <c r="J10" t="n">
        <v>3</v>
      </c>
      <c r="K10" t="n">
        <v>0</v>
      </c>
      <c r="L10" t="n">
        <v>0</v>
      </c>
      <c r="M10" t="n">
        <v>0</v>
      </c>
      <c r="N10" t="n">
        <v>0</v>
      </c>
      <c r="O10" t="n">
        <v>3</v>
      </c>
      <c r="P10" t="n">
        <v>0</v>
      </c>
      <c r="Q10" t="n">
        <v>4</v>
      </c>
      <c r="R10" s="2" t="inlineStr">
        <is>
          <t>Dvärgbägarlav
Spillkråka
Talltita
Mindre märgborre</t>
        </is>
      </c>
      <c r="S10">
        <f>HYPERLINK("https://klasma.github.io/Logging_0884/artfynd/A 32645-2023 artfynd.xlsx", "A 32645-2023")</f>
        <v/>
      </c>
      <c r="T10">
        <f>HYPERLINK("https://klasma.github.io/Logging_0884/kartor/A 32645-2023 karta.png", "A 32645-2023")</f>
        <v/>
      </c>
      <c r="V10">
        <f>HYPERLINK("https://klasma.github.io/Logging_0884/klagomål/A 32645-2023 FSC-klagomål.docx", "A 32645-2023")</f>
        <v/>
      </c>
      <c r="W10">
        <f>HYPERLINK("https://klasma.github.io/Logging_0884/klagomålsmail/A 32645-2023 FSC-klagomål mail.docx", "A 32645-2023")</f>
        <v/>
      </c>
      <c r="X10">
        <f>HYPERLINK("https://klasma.github.io/Logging_0884/tillsyn/A 32645-2023 tillsynsbegäran.docx", "A 32645-2023")</f>
        <v/>
      </c>
      <c r="Y10">
        <f>HYPERLINK("https://klasma.github.io/Logging_0884/tillsynsmail/A 32645-2023 tillsynsbegäran mail.docx", "A 32645-2023")</f>
        <v/>
      </c>
      <c r="Z10">
        <f>HYPERLINK("https://klasma.github.io/Logging_0884/fåglar/A 32645-2023 prioriterade fågelarter.docx", "A 32645-2023")</f>
        <v/>
      </c>
    </row>
    <row r="11" ht="15" customHeight="1">
      <c r="A11" t="inlineStr">
        <is>
          <t>A 3075-2025</t>
        </is>
      </c>
      <c r="B11" s="1" t="n">
        <v>45678</v>
      </c>
      <c r="C11" s="1" t="n">
        <v>46182</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46824-2025</t>
        </is>
      </c>
      <c r="B12" s="1" t="n">
        <v>45926.90006944445</v>
      </c>
      <c r="C12" s="1" t="n">
        <v>46182</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37901-2022</t>
        </is>
      </c>
      <c r="B13" s="1" t="n">
        <v>44811</v>
      </c>
      <c r="C13" s="1" t="n">
        <v>46182</v>
      </c>
      <c r="D13" t="inlineStr">
        <is>
          <t>KALMAR LÄN</t>
        </is>
      </c>
      <c r="E13" t="inlineStr">
        <is>
          <t>VIMMERBY</t>
        </is>
      </c>
      <c r="G13" t="n">
        <v>3.9</v>
      </c>
      <c r="H13" t="n">
        <v>1</v>
      </c>
      <c r="I13" t="n">
        <v>1</v>
      </c>
      <c r="J13" t="n">
        <v>1</v>
      </c>
      <c r="K13" t="n">
        <v>0</v>
      </c>
      <c r="L13" t="n">
        <v>0</v>
      </c>
      <c r="M13" t="n">
        <v>0</v>
      </c>
      <c r="N13" t="n">
        <v>0</v>
      </c>
      <c r="O13" t="n">
        <v>1</v>
      </c>
      <c r="P13" t="n">
        <v>0</v>
      </c>
      <c r="Q13" t="n">
        <v>3</v>
      </c>
      <c r="R13" s="2" t="inlineStr">
        <is>
          <t>Tallticka
Kornig nållav
Revlummer</t>
        </is>
      </c>
      <c r="S13">
        <f>HYPERLINK("https://klasma.github.io/Logging_0884/artfynd/A 37901-2022 artfynd.xlsx", "A 37901-2022")</f>
        <v/>
      </c>
      <c r="T13">
        <f>HYPERLINK("https://klasma.github.io/Logging_0884/kartor/A 37901-2022 karta.png", "A 37901-2022")</f>
        <v/>
      </c>
      <c r="V13">
        <f>HYPERLINK("https://klasma.github.io/Logging_0884/klagomål/A 37901-2022 FSC-klagomål.docx", "A 37901-2022")</f>
        <v/>
      </c>
      <c r="W13">
        <f>HYPERLINK("https://klasma.github.io/Logging_0884/klagomålsmail/A 37901-2022 FSC-klagomål mail.docx", "A 37901-2022")</f>
        <v/>
      </c>
      <c r="X13">
        <f>HYPERLINK("https://klasma.github.io/Logging_0884/tillsyn/A 37901-2022 tillsynsbegäran.docx", "A 37901-2022")</f>
        <v/>
      </c>
      <c r="Y13">
        <f>HYPERLINK("https://klasma.github.io/Logging_0884/tillsynsmail/A 37901-2022 tillsynsbegäran mail.docx", "A 37901-2022")</f>
        <v/>
      </c>
    </row>
    <row r="14" ht="15" customHeight="1">
      <c r="A14" t="inlineStr">
        <is>
          <t>A 15427-2023</t>
        </is>
      </c>
      <c r="B14" s="1" t="n">
        <v>45020</v>
      </c>
      <c r="C14" s="1" t="n">
        <v>46182</v>
      </c>
      <c r="D14" t="inlineStr">
        <is>
          <t>KALMAR LÄN</t>
        </is>
      </c>
      <c r="E14" t="inlineStr">
        <is>
          <t>VIMMERBY</t>
        </is>
      </c>
      <c r="G14" t="n">
        <v>4.1</v>
      </c>
      <c r="H14" t="n">
        <v>0</v>
      </c>
      <c r="I14" t="n">
        <v>1</v>
      </c>
      <c r="J14" t="n">
        <v>2</v>
      </c>
      <c r="K14" t="n">
        <v>0</v>
      </c>
      <c r="L14" t="n">
        <v>0</v>
      </c>
      <c r="M14" t="n">
        <v>0</v>
      </c>
      <c r="N14" t="n">
        <v>0</v>
      </c>
      <c r="O14" t="n">
        <v>2</v>
      </c>
      <c r="P14" t="n">
        <v>0</v>
      </c>
      <c r="Q14" t="n">
        <v>3</v>
      </c>
      <c r="R14" s="2" t="inlineStr">
        <is>
          <t>Slåtterfibbla
Solvända
Strävlosta</t>
        </is>
      </c>
      <c r="S14">
        <f>HYPERLINK("https://klasma.github.io/Logging_0884/artfynd/A 15427-2023 artfynd.xlsx", "A 15427-2023")</f>
        <v/>
      </c>
      <c r="T14">
        <f>HYPERLINK("https://klasma.github.io/Logging_0884/kartor/A 15427-2023 karta.png", "A 15427-2023")</f>
        <v/>
      </c>
      <c r="V14">
        <f>HYPERLINK("https://klasma.github.io/Logging_0884/klagomål/A 15427-2023 FSC-klagomål.docx", "A 15427-2023")</f>
        <v/>
      </c>
      <c r="W14">
        <f>HYPERLINK("https://klasma.github.io/Logging_0884/klagomålsmail/A 15427-2023 FSC-klagomål mail.docx", "A 15427-2023")</f>
        <v/>
      </c>
      <c r="X14">
        <f>HYPERLINK("https://klasma.github.io/Logging_0884/tillsyn/A 15427-2023 tillsynsbegäran.docx", "A 15427-2023")</f>
        <v/>
      </c>
      <c r="Y14">
        <f>HYPERLINK("https://klasma.github.io/Logging_0884/tillsynsmail/A 15427-2023 tillsynsbegäran mail.docx", "A 15427-2023")</f>
        <v/>
      </c>
    </row>
    <row r="15" ht="15" customHeight="1">
      <c r="A15" t="inlineStr">
        <is>
          <t>A 57053-2025</t>
        </is>
      </c>
      <c r="B15" s="1" t="n">
        <v>45979.35256944445</v>
      </c>
      <c r="C15" s="1" t="n">
        <v>46182</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14584-2025</t>
        </is>
      </c>
      <c r="B16" s="1" t="n">
        <v>45742</v>
      </c>
      <c r="C16" s="1" t="n">
        <v>46182</v>
      </c>
      <c r="D16" t="inlineStr">
        <is>
          <t>KALMAR LÄN</t>
        </is>
      </c>
      <c r="E16" t="inlineStr">
        <is>
          <t>VIMMERBY</t>
        </is>
      </c>
      <c r="G16" t="n">
        <v>5.4</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41398-2021</t>
        </is>
      </c>
      <c r="B17" s="1" t="n">
        <v>44424</v>
      </c>
      <c r="C17" s="1" t="n">
        <v>46182</v>
      </c>
      <c r="D17" t="inlineStr">
        <is>
          <t>KALMAR LÄN</t>
        </is>
      </c>
      <c r="E17" t="inlineStr">
        <is>
          <t>VIMMERBY</t>
        </is>
      </c>
      <c r="G17" t="n">
        <v>14.1</v>
      </c>
      <c r="H17" t="n">
        <v>0</v>
      </c>
      <c r="I17" t="n">
        <v>0</v>
      </c>
      <c r="J17" t="n">
        <v>2</v>
      </c>
      <c r="K17" t="n">
        <v>0</v>
      </c>
      <c r="L17" t="n">
        <v>0</v>
      </c>
      <c r="M17" t="n">
        <v>0</v>
      </c>
      <c r="N17" t="n">
        <v>0</v>
      </c>
      <c r="O17" t="n">
        <v>2</v>
      </c>
      <c r="P17" t="n">
        <v>0</v>
      </c>
      <c r="Q17" t="n">
        <v>2</v>
      </c>
      <c r="R17" s="2" t="inlineStr">
        <is>
          <t>Klasefibbla
Sommarfibbla</t>
        </is>
      </c>
      <c r="S17">
        <f>HYPERLINK("https://klasma.github.io/Logging_0884/artfynd/A 41398-2021 artfynd.xlsx", "A 41398-2021")</f>
        <v/>
      </c>
      <c r="T17">
        <f>HYPERLINK("https://klasma.github.io/Logging_0884/kartor/A 41398-2021 karta.png", "A 41398-2021")</f>
        <v/>
      </c>
      <c r="V17">
        <f>HYPERLINK("https://klasma.github.io/Logging_0884/klagomål/A 41398-2021 FSC-klagomål.docx", "A 41398-2021")</f>
        <v/>
      </c>
      <c r="W17">
        <f>HYPERLINK("https://klasma.github.io/Logging_0884/klagomålsmail/A 41398-2021 FSC-klagomål mail.docx", "A 41398-2021")</f>
        <v/>
      </c>
      <c r="X17">
        <f>HYPERLINK("https://klasma.github.io/Logging_0884/tillsyn/A 41398-2021 tillsynsbegäran.docx", "A 41398-2021")</f>
        <v/>
      </c>
      <c r="Y17">
        <f>HYPERLINK("https://klasma.github.io/Logging_0884/tillsynsmail/A 41398-2021 tillsynsbegäran mail.docx", "A 41398-2021")</f>
        <v/>
      </c>
    </row>
    <row r="18" ht="15" customHeight="1">
      <c r="A18" t="inlineStr">
        <is>
          <t>A 42141-2021</t>
        </is>
      </c>
      <c r="B18" s="1" t="n">
        <v>44426.64793981481</v>
      </c>
      <c r="C18" s="1" t="n">
        <v>46182</v>
      </c>
      <c r="D18" t="inlineStr">
        <is>
          <t>KALMAR LÄN</t>
        </is>
      </c>
      <c r="E18" t="inlineStr">
        <is>
          <t>VIMMERBY</t>
        </is>
      </c>
      <c r="G18" t="n">
        <v>6.8</v>
      </c>
      <c r="H18" t="n">
        <v>2</v>
      </c>
      <c r="I18" t="n">
        <v>0</v>
      </c>
      <c r="J18" t="n">
        <v>0</v>
      </c>
      <c r="K18" t="n">
        <v>0</v>
      </c>
      <c r="L18" t="n">
        <v>0</v>
      </c>
      <c r="M18" t="n">
        <v>0</v>
      </c>
      <c r="N18" t="n">
        <v>0</v>
      </c>
      <c r="O18" t="n">
        <v>0</v>
      </c>
      <c r="P18" t="n">
        <v>0</v>
      </c>
      <c r="Q18" t="n">
        <v>2</v>
      </c>
      <c r="R18" s="2" t="inlineStr">
        <is>
          <t>Grönvit nattviol
Nattviol</t>
        </is>
      </c>
      <c r="S18">
        <f>HYPERLINK("https://klasma.github.io/Logging_0884/artfynd/A 42141-2021 artfynd.xlsx", "A 42141-2021")</f>
        <v/>
      </c>
      <c r="T18">
        <f>HYPERLINK("https://klasma.github.io/Logging_0884/kartor/A 42141-2021 karta.png", "A 42141-2021")</f>
        <v/>
      </c>
      <c r="V18">
        <f>HYPERLINK("https://klasma.github.io/Logging_0884/klagomål/A 42141-2021 FSC-klagomål.docx", "A 42141-2021")</f>
        <v/>
      </c>
      <c r="W18">
        <f>HYPERLINK("https://klasma.github.io/Logging_0884/klagomålsmail/A 42141-2021 FSC-klagomål mail.docx", "A 42141-2021")</f>
        <v/>
      </c>
      <c r="X18">
        <f>HYPERLINK("https://klasma.github.io/Logging_0884/tillsyn/A 42141-2021 tillsynsbegäran.docx", "A 42141-2021")</f>
        <v/>
      </c>
      <c r="Y18">
        <f>HYPERLINK("https://klasma.github.io/Logging_0884/tillsynsmail/A 42141-2021 tillsynsbegäran mail.docx", "A 42141-2021")</f>
        <v/>
      </c>
    </row>
    <row r="19" ht="15" customHeight="1">
      <c r="A19" t="inlineStr">
        <is>
          <t>A 36077-2021</t>
        </is>
      </c>
      <c r="B19" s="1" t="n">
        <v>44386</v>
      </c>
      <c r="C19" s="1" t="n">
        <v>46182</v>
      </c>
      <c r="D19" t="inlineStr">
        <is>
          <t>KALMAR LÄN</t>
        </is>
      </c>
      <c r="E19" t="inlineStr">
        <is>
          <t>VIMMERBY</t>
        </is>
      </c>
      <c r="G19" t="n">
        <v>2</v>
      </c>
      <c r="H19" t="n">
        <v>1</v>
      </c>
      <c r="I19" t="n">
        <v>1</v>
      </c>
      <c r="J19" t="n">
        <v>0</v>
      </c>
      <c r="K19" t="n">
        <v>1</v>
      </c>
      <c r="L19" t="n">
        <v>0</v>
      </c>
      <c r="M19" t="n">
        <v>0</v>
      </c>
      <c r="N19" t="n">
        <v>0</v>
      </c>
      <c r="O19" t="n">
        <v>1</v>
      </c>
      <c r="P19" t="n">
        <v>1</v>
      </c>
      <c r="Q19" t="n">
        <v>2</v>
      </c>
      <c r="R19" s="2" t="inlineStr">
        <is>
          <t>Knärot
Kattfotslav</t>
        </is>
      </c>
      <c r="S19">
        <f>HYPERLINK("https://klasma.github.io/Logging_0884/artfynd/A 36077-2021 artfynd.xlsx", "A 36077-2021")</f>
        <v/>
      </c>
      <c r="T19">
        <f>HYPERLINK("https://klasma.github.io/Logging_0884/kartor/A 36077-2021 karta.png", "A 36077-2021")</f>
        <v/>
      </c>
      <c r="U19">
        <f>HYPERLINK("https://klasma.github.io/Logging_0884/knärot/A 36077-2021 karta knärot.png", "A 36077-2021")</f>
        <v/>
      </c>
      <c r="V19">
        <f>HYPERLINK("https://klasma.github.io/Logging_0884/klagomål/A 36077-2021 FSC-klagomål.docx", "A 36077-2021")</f>
        <v/>
      </c>
      <c r="W19">
        <f>HYPERLINK("https://klasma.github.io/Logging_0884/klagomålsmail/A 36077-2021 FSC-klagomål mail.docx", "A 36077-2021")</f>
        <v/>
      </c>
      <c r="X19">
        <f>HYPERLINK("https://klasma.github.io/Logging_0884/tillsyn/A 36077-2021 tillsynsbegäran.docx", "A 36077-2021")</f>
        <v/>
      </c>
      <c r="Y19">
        <f>HYPERLINK("https://klasma.github.io/Logging_0884/tillsynsmail/A 36077-2021 tillsynsbegäran mail.docx", "A 36077-2021")</f>
        <v/>
      </c>
    </row>
    <row r="20" ht="15" customHeight="1">
      <c r="A20" t="inlineStr">
        <is>
          <t>A 2518-2023</t>
        </is>
      </c>
      <c r="B20" s="1" t="n">
        <v>44943</v>
      </c>
      <c r="C20" s="1" t="n">
        <v>46182</v>
      </c>
      <c r="D20" t="inlineStr">
        <is>
          <t>KALMAR LÄN</t>
        </is>
      </c>
      <c r="E20" t="inlineStr">
        <is>
          <t>VIMMERBY</t>
        </is>
      </c>
      <c r="G20" t="n">
        <v>6.1</v>
      </c>
      <c r="H20" t="n">
        <v>1</v>
      </c>
      <c r="I20" t="n">
        <v>1</v>
      </c>
      <c r="J20" t="n">
        <v>0</v>
      </c>
      <c r="K20" t="n">
        <v>1</v>
      </c>
      <c r="L20" t="n">
        <v>0</v>
      </c>
      <c r="M20" t="n">
        <v>0</v>
      </c>
      <c r="N20" t="n">
        <v>0</v>
      </c>
      <c r="O20" t="n">
        <v>1</v>
      </c>
      <c r="P20" t="n">
        <v>1</v>
      </c>
      <c r="Q20" t="n">
        <v>2</v>
      </c>
      <c r="R20" s="2" t="inlineStr">
        <is>
          <t>Knärot
Grönpyrola</t>
        </is>
      </c>
      <c r="S20">
        <f>HYPERLINK("https://klasma.github.io/Logging_0884/artfynd/A 2518-2023 artfynd.xlsx", "A 2518-2023")</f>
        <v/>
      </c>
      <c r="T20">
        <f>HYPERLINK("https://klasma.github.io/Logging_0884/kartor/A 2518-2023 karta.png", "A 2518-2023")</f>
        <v/>
      </c>
      <c r="U20">
        <f>HYPERLINK("https://klasma.github.io/Logging_0884/knärot/A 2518-2023 karta knärot.png", "A 2518-2023")</f>
        <v/>
      </c>
      <c r="V20">
        <f>HYPERLINK("https://klasma.github.io/Logging_0884/klagomål/A 2518-2023 FSC-klagomål.docx", "A 2518-2023")</f>
        <v/>
      </c>
      <c r="W20">
        <f>HYPERLINK("https://klasma.github.io/Logging_0884/klagomålsmail/A 2518-2023 FSC-klagomål mail.docx", "A 2518-2023")</f>
        <v/>
      </c>
      <c r="X20">
        <f>HYPERLINK("https://klasma.github.io/Logging_0884/tillsyn/A 2518-2023 tillsynsbegäran.docx", "A 2518-2023")</f>
        <v/>
      </c>
      <c r="Y20">
        <f>HYPERLINK("https://klasma.github.io/Logging_0884/tillsynsmail/A 2518-2023 tillsynsbegäran mail.docx", "A 2518-2023")</f>
        <v/>
      </c>
    </row>
    <row r="21" ht="15" customHeight="1">
      <c r="A21" t="inlineStr">
        <is>
          <t>A 42802-2025</t>
        </is>
      </c>
      <c r="B21" s="1" t="n">
        <v>45908</v>
      </c>
      <c r="C21" s="1" t="n">
        <v>46182</v>
      </c>
      <c r="D21" t="inlineStr">
        <is>
          <t>KALMAR LÄN</t>
        </is>
      </c>
      <c r="E21" t="inlineStr">
        <is>
          <t>VIMMERBY</t>
        </is>
      </c>
      <c r="G21" t="n">
        <v>2.8</v>
      </c>
      <c r="H21" t="n">
        <v>1</v>
      </c>
      <c r="I21" t="n">
        <v>1</v>
      </c>
      <c r="J21" t="n">
        <v>0</v>
      </c>
      <c r="K21" t="n">
        <v>0</v>
      </c>
      <c r="L21" t="n">
        <v>0</v>
      </c>
      <c r="M21" t="n">
        <v>0</v>
      </c>
      <c r="N21" t="n">
        <v>0</v>
      </c>
      <c r="O21" t="n">
        <v>0</v>
      </c>
      <c r="P21" t="n">
        <v>0</v>
      </c>
      <c r="Q21" t="n">
        <v>2</v>
      </c>
      <c r="R21" s="2" t="inlineStr">
        <is>
          <t>Tibast
Fläcknycklar</t>
        </is>
      </c>
      <c r="S21">
        <f>HYPERLINK("https://klasma.github.io/Logging_0884/artfynd/A 42802-2025 artfynd.xlsx", "A 42802-2025")</f>
        <v/>
      </c>
      <c r="T21">
        <f>HYPERLINK("https://klasma.github.io/Logging_0884/kartor/A 42802-2025 karta.png", "A 42802-2025")</f>
        <v/>
      </c>
      <c r="V21">
        <f>HYPERLINK("https://klasma.github.io/Logging_0884/klagomål/A 42802-2025 FSC-klagomål.docx", "A 42802-2025")</f>
        <v/>
      </c>
      <c r="W21">
        <f>HYPERLINK("https://klasma.github.io/Logging_0884/klagomålsmail/A 42802-2025 FSC-klagomål mail.docx", "A 42802-2025")</f>
        <v/>
      </c>
      <c r="X21">
        <f>HYPERLINK("https://klasma.github.io/Logging_0884/tillsyn/A 42802-2025 tillsynsbegäran.docx", "A 42802-2025")</f>
        <v/>
      </c>
      <c r="Y21">
        <f>HYPERLINK("https://klasma.github.io/Logging_0884/tillsynsmail/A 42802-2025 tillsynsbegäran mail.docx", "A 42802-2025")</f>
        <v/>
      </c>
    </row>
    <row r="22" ht="15" customHeight="1">
      <c r="A22" t="inlineStr">
        <is>
          <t>A 22825-2023</t>
        </is>
      </c>
      <c r="B22" s="1" t="n">
        <v>45072</v>
      </c>
      <c r="C22" s="1" t="n">
        <v>46182</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22825-2023 artfynd.xlsx", "A 22825-2023")</f>
        <v/>
      </c>
      <c r="T22">
        <f>HYPERLINK("https://klasma.github.io/Logging_0884/kartor/A 22825-2023 karta.png", "A 22825-2023")</f>
        <v/>
      </c>
      <c r="V22">
        <f>HYPERLINK("https://klasma.github.io/Logging_0884/klagomål/A 22825-2023 FSC-klagomål.docx", "A 22825-2023")</f>
        <v/>
      </c>
      <c r="W22">
        <f>HYPERLINK("https://klasma.github.io/Logging_0884/klagomålsmail/A 22825-2023 FSC-klagomål mail.docx", "A 22825-2023")</f>
        <v/>
      </c>
      <c r="X22">
        <f>HYPERLINK("https://klasma.github.io/Logging_0884/tillsyn/A 22825-2023 tillsynsbegäran.docx", "A 22825-2023")</f>
        <v/>
      </c>
      <c r="Y22">
        <f>HYPERLINK("https://klasma.github.io/Logging_0884/tillsynsmail/A 22825-2023 tillsynsbegäran mail.docx", "A 22825-2023")</f>
        <v/>
      </c>
    </row>
    <row r="23" ht="15" customHeight="1">
      <c r="A23" t="inlineStr">
        <is>
          <t>A 14024-2023</t>
        </is>
      </c>
      <c r="B23" s="1" t="n">
        <v>45008.60878472222</v>
      </c>
      <c r="C23" s="1" t="n">
        <v>46182</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14426-2026</t>
        </is>
      </c>
      <c r="B24" s="1" t="n">
        <v>46100.46956018519</v>
      </c>
      <c r="C24" s="1" t="n">
        <v>46182</v>
      </c>
      <c r="D24" t="inlineStr">
        <is>
          <t>KALMAR LÄN</t>
        </is>
      </c>
      <c r="E24" t="inlineStr">
        <is>
          <t>VIMMERBY</t>
        </is>
      </c>
      <c r="F24" t="inlineStr">
        <is>
          <t>Kyrkan</t>
        </is>
      </c>
      <c r="G24" t="n">
        <v>8.6</v>
      </c>
      <c r="H24" t="n">
        <v>1</v>
      </c>
      <c r="I24" t="n">
        <v>0</v>
      </c>
      <c r="J24" t="n">
        <v>1</v>
      </c>
      <c r="K24" t="n">
        <v>1</v>
      </c>
      <c r="L24" t="n">
        <v>0</v>
      </c>
      <c r="M24" t="n">
        <v>0</v>
      </c>
      <c r="N24" t="n">
        <v>0</v>
      </c>
      <c r="O24" t="n">
        <v>2</v>
      </c>
      <c r="P24" t="n">
        <v>1</v>
      </c>
      <c r="Q24" t="n">
        <v>2</v>
      </c>
      <c r="R24" s="2" t="inlineStr">
        <is>
          <t>Knärot
Tallticka</t>
        </is>
      </c>
      <c r="S24">
        <f>HYPERLINK("https://klasma.github.io/Logging_0884/artfynd/A 14426-2026 artfynd.xlsx", "A 14426-2026")</f>
        <v/>
      </c>
      <c r="T24">
        <f>HYPERLINK("https://klasma.github.io/Logging_0884/kartor/A 14426-2026 karta.png", "A 14426-2026")</f>
        <v/>
      </c>
      <c r="U24">
        <f>HYPERLINK("https://klasma.github.io/Logging_0884/knärot/A 14426-2026 karta knärot.png", "A 14426-2026")</f>
        <v/>
      </c>
      <c r="V24">
        <f>HYPERLINK("https://klasma.github.io/Logging_0884/klagomål/A 14426-2026 FSC-klagomål.docx", "A 14426-2026")</f>
        <v/>
      </c>
      <c r="W24">
        <f>HYPERLINK("https://klasma.github.io/Logging_0884/klagomålsmail/A 14426-2026 FSC-klagomål mail.docx", "A 14426-2026")</f>
        <v/>
      </c>
      <c r="X24">
        <f>HYPERLINK("https://klasma.github.io/Logging_0884/tillsyn/A 14426-2026 tillsynsbegäran.docx", "A 14426-2026")</f>
        <v/>
      </c>
      <c r="Y24">
        <f>HYPERLINK("https://klasma.github.io/Logging_0884/tillsynsmail/A 14426-2026 tillsynsbegäran mail.docx", "A 14426-2026")</f>
        <v/>
      </c>
    </row>
    <row r="25" ht="15" customHeight="1">
      <c r="A25" t="inlineStr">
        <is>
          <t>A 17935-2025</t>
        </is>
      </c>
      <c r="B25" s="1" t="n">
        <v>45760.34877314815</v>
      </c>
      <c r="C25" s="1" t="n">
        <v>46182</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46182</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25155-2026</t>
        </is>
      </c>
      <c r="B27" s="1" t="n">
        <v>46175.44809027778</v>
      </c>
      <c r="C27" s="1" t="n">
        <v>46182</v>
      </c>
      <c r="D27" t="inlineStr">
        <is>
          <t>KALMAR LÄN</t>
        </is>
      </c>
      <c r="E27" t="inlineStr">
        <is>
          <t>VIMMERBY</t>
        </is>
      </c>
      <c r="G27" t="n">
        <v>2.9</v>
      </c>
      <c r="H27" t="n">
        <v>0</v>
      </c>
      <c r="I27" t="n">
        <v>1</v>
      </c>
      <c r="J27" t="n">
        <v>0</v>
      </c>
      <c r="K27" t="n">
        <v>0</v>
      </c>
      <c r="L27" t="n">
        <v>1</v>
      </c>
      <c r="M27" t="n">
        <v>0</v>
      </c>
      <c r="N27" t="n">
        <v>0</v>
      </c>
      <c r="O27" t="n">
        <v>1</v>
      </c>
      <c r="P27" t="n">
        <v>1</v>
      </c>
      <c r="Q27" t="n">
        <v>2</v>
      </c>
      <c r="R27" s="2" t="inlineStr">
        <is>
          <t>Ryl
Grönpyrola</t>
        </is>
      </c>
      <c r="S27">
        <f>HYPERLINK("https://klasma.github.io/Logging_0884/artfynd/A 25155-2026 artfynd.xlsx", "A 25155-2026")</f>
        <v/>
      </c>
      <c r="T27">
        <f>HYPERLINK("https://klasma.github.io/Logging_0884/kartor/A 25155-2026 karta.png", "A 25155-2026")</f>
        <v/>
      </c>
      <c r="V27">
        <f>HYPERLINK("https://klasma.github.io/Logging_0884/klagomål/A 25155-2026 FSC-klagomål.docx", "A 25155-2026")</f>
        <v/>
      </c>
      <c r="W27">
        <f>HYPERLINK("https://klasma.github.io/Logging_0884/klagomålsmail/A 25155-2026 FSC-klagomål mail.docx", "A 25155-2026")</f>
        <v/>
      </c>
      <c r="X27">
        <f>HYPERLINK("https://klasma.github.io/Logging_0884/tillsyn/A 25155-2026 tillsynsbegäran.docx", "A 25155-2026")</f>
        <v/>
      </c>
      <c r="Y27">
        <f>HYPERLINK("https://klasma.github.io/Logging_0884/tillsynsmail/A 25155-2026 tillsynsbegäran mail.docx", "A 25155-2026")</f>
        <v/>
      </c>
    </row>
    <row r="28" ht="15" customHeight="1">
      <c r="A28" t="inlineStr">
        <is>
          <t>A 22396-2025</t>
        </is>
      </c>
      <c r="B28" s="1" t="n">
        <v>45786.52827546297</v>
      </c>
      <c r="C28" s="1" t="n">
        <v>46182</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32396-2021</t>
        </is>
      </c>
      <c r="B29" s="1" t="n">
        <v>44371</v>
      </c>
      <c r="C29" s="1" t="n">
        <v>46182</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29183-2025</t>
        </is>
      </c>
      <c r="B30" s="1" t="n">
        <v>45821</v>
      </c>
      <c r="C30" s="1" t="n">
        <v>46182</v>
      </c>
      <c r="D30" t="inlineStr">
        <is>
          <t>KALMAR LÄN</t>
        </is>
      </c>
      <c r="E30" t="inlineStr">
        <is>
          <t>VIMMERBY</t>
        </is>
      </c>
      <c r="G30" t="n">
        <v>2.7</v>
      </c>
      <c r="H30" t="n">
        <v>0</v>
      </c>
      <c r="I30" t="n">
        <v>1</v>
      </c>
      <c r="J30" t="n">
        <v>0</v>
      </c>
      <c r="K30" t="n">
        <v>0</v>
      </c>
      <c r="L30" t="n">
        <v>0</v>
      </c>
      <c r="M30" t="n">
        <v>0</v>
      </c>
      <c r="N30" t="n">
        <v>0</v>
      </c>
      <c r="O30" t="n">
        <v>0</v>
      </c>
      <c r="P30" t="n">
        <v>0</v>
      </c>
      <c r="Q30" t="n">
        <v>1</v>
      </c>
      <c r="R30" s="2" t="inlineStr">
        <is>
          <t>Sårläka</t>
        </is>
      </c>
      <c r="S30">
        <f>HYPERLINK("https://klasma.github.io/Logging_0884/artfynd/A 29183-2025 artfynd.xlsx", "A 29183-2025")</f>
        <v/>
      </c>
      <c r="T30">
        <f>HYPERLINK("https://klasma.github.io/Logging_0884/kartor/A 29183-2025 karta.png", "A 29183-2025")</f>
        <v/>
      </c>
      <c r="V30">
        <f>HYPERLINK("https://klasma.github.io/Logging_0884/klagomål/A 29183-2025 FSC-klagomål.docx", "A 29183-2025")</f>
        <v/>
      </c>
      <c r="W30">
        <f>HYPERLINK("https://klasma.github.io/Logging_0884/klagomålsmail/A 29183-2025 FSC-klagomål mail.docx", "A 29183-2025")</f>
        <v/>
      </c>
      <c r="X30">
        <f>HYPERLINK("https://klasma.github.io/Logging_0884/tillsyn/A 29183-2025 tillsynsbegäran.docx", "A 29183-2025")</f>
        <v/>
      </c>
      <c r="Y30">
        <f>HYPERLINK("https://klasma.github.io/Logging_0884/tillsynsmail/A 29183-2025 tillsynsbegäran mail.docx", "A 29183-2025")</f>
        <v/>
      </c>
    </row>
    <row r="31" ht="15" customHeight="1">
      <c r="A31" t="inlineStr">
        <is>
          <t>A 28852-2023</t>
        </is>
      </c>
      <c r="B31" s="1" t="n">
        <v>45104</v>
      </c>
      <c r="C31" s="1" t="n">
        <v>46182</v>
      </c>
      <c r="D31" t="inlineStr">
        <is>
          <t>KALMAR LÄN</t>
        </is>
      </c>
      <c r="E31" t="inlineStr">
        <is>
          <t>VIMMERBY</t>
        </is>
      </c>
      <c r="G31" t="n">
        <v>0.7</v>
      </c>
      <c r="H31" t="n">
        <v>0</v>
      </c>
      <c r="I31" t="n">
        <v>1</v>
      </c>
      <c r="J31" t="n">
        <v>0</v>
      </c>
      <c r="K31" t="n">
        <v>0</v>
      </c>
      <c r="L31" t="n">
        <v>0</v>
      </c>
      <c r="M31" t="n">
        <v>0</v>
      </c>
      <c r="N31" t="n">
        <v>0</v>
      </c>
      <c r="O31" t="n">
        <v>0</v>
      </c>
      <c r="P31" t="n">
        <v>0</v>
      </c>
      <c r="Q31" t="n">
        <v>1</v>
      </c>
      <c r="R31" s="2" t="inlineStr">
        <is>
          <t>Tibast</t>
        </is>
      </c>
      <c r="S31">
        <f>HYPERLINK("https://klasma.github.io/Logging_0884/artfynd/A 28852-2023 artfynd.xlsx", "A 28852-2023")</f>
        <v/>
      </c>
      <c r="T31">
        <f>HYPERLINK("https://klasma.github.io/Logging_0884/kartor/A 28852-2023 karta.png", "A 28852-2023")</f>
        <v/>
      </c>
      <c r="V31">
        <f>HYPERLINK("https://klasma.github.io/Logging_0884/klagomål/A 28852-2023 FSC-klagomål.docx", "A 28852-2023")</f>
        <v/>
      </c>
      <c r="W31">
        <f>HYPERLINK("https://klasma.github.io/Logging_0884/klagomålsmail/A 28852-2023 FSC-klagomål mail.docx", "A 28852-2023")</f>
        <v/>
      </c>
      <c r="X31">
        <f>HYPERLINK("https://klasma.github.io/Logging_0884/tillsyn/A 28852-2023 tillsynsbegäran.docx", "A 28852-2023")</f>
        <v/>
      </c>
      <c r="Y31">
        <f>HYPERLINK("https://klasma.github.io/Logging_0884/tillsynsmail/A 28852-2023 tillsynsbegäran mail.docx", "A 28852-2023")</f>
        <v/>
      </c>
    </row>
    <row r="32" ht="15" customHeight="1">
      <c r="A32" t="inlineStr">
        <is>
          <t>A 52301-2023</t>
        </is>
      </c>
      <c r="B32" s="1" t="n">
        <v>45224</v>
      </c>
      <c r="C32" s="1" t="n">
        <v>46182</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37930-2021</t>
        </is>
      </c>
      <c r="B33" s="1" t="n">
        <v>44403</v>
      </c>
      <c r="C33" s="1" t="n">
        <v>46182</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33436-2021</t>
        </is>
      </c>
      <c r="B34" s="1" t="n">
        <v>44377.61104166666</v>
      </c>
      <c r="C34" s="1" t="n">
        <v>46182</v>
      </c>
      <c r="D34" t="inlineStr">
        <is>
          <t>KALMAR LÄN</t>
        </is>
      </c>
      <c r="E34" t="inlineStr">
        <is>
          <t>VIMMERBY</t>
        </is>
      </c>
      <c r="G34" t="n">
        <v>11.8</v>
      </c>
      <c r="H34" t="n">
        <v>1</v>
      </c>
      <c r="I34" t="n">
        <v>0</v>
      </c>
      <c r="J34" t="n">
        <v>0</v>
      </c>
      <c r="K34" t="n">
        <v>1</v>
      </c>
      <c r="L34" t="n">
        <v>0</v>
      </c>
      <c r="M34" t="n">
        <v>0</v>
      </c>
      <c r="N34" t="n">
        <v>0</v>
      </c>
      <c r="O34" t="n">
        <v>1</v>
      </c>
      <c r="P34" t="n">
        <v>1</v>
      </c>
      <c r="Q34" t="n">
        <v>1</v>
      </c>
      <c r="R34" s="2" t="inlineStr">
        <is>
          <t>Knärot</t>
        </is>
      </c>
      <c r="S34">
        <f>HYPERLINK("https://klasma.github.io/Logging_0884/artfynd/A 33436-2021 artfynd.xlsx", "A 33436-2021")</f>
        <v/>
      </c>
      <c r="T34">
        <f>HYPERLINK("https://klasma.github.io/Logging_0884/kartor/A 33436-2021 karta.png", "A 33436-2021")</f>
        <v/>
      </c>
      <c r="U34">
        <f>HYPERLINK("https://klasma.github.io/Logging_0884/knärot/A 33436-2021 karta knärot.png", "A 33436-2021")</f>
        <v/>
      </c>
      <c r="V34">
        <f>HYPERLINK("https://klasma.github.io/Logging_0884/klagomål/A 33436-2021 FSC-klagomål.docx", "A 33436-2021")</f>
        <v/>
      </c>
      <c r="W34">
        <f>HYPERLINK("https://klasma.github.io/Logging_0884/klagomålsmail/A 33436-2021 FSC-klagomål mail.docx", "A 33436-2021")</f>
        <v/>
      </c>
      <c r="X34">
        <f>HYPERLINK("https://klasma.github.io/Logging_0884/tillsyn/A 33436-2021 tillsynsbegäran.docx", "A 33436-2021")</f>
        <v/>
      </c>
      <c r="Y34">
        <f>HYPERLINK("https://klasma.github.io/Logging_0884/tillsynsmail/A 33436-2021 tillsynsbegäran mail.docx", "A 33436-2021")</f>
        <v/>
      </c>
    </row>
    <row r="35" ht="15" customHeight="1">
      <c r="A35" t="inlineStr">
        <is>
          <t>A 40083-2023</t>
        </is>
      </c>
      <c r="B35" s="1" t="n">
        <v>45168</v>
      </c>
      <c r="C35" s="1" t="n">
        <v>46182</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46182</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53404-2025</t>
        </is>
      </c>
      <c r="B37" s="1" t="n">
        <v>45959.57126157408</v>
      </c>
      <c r="C37" s="1" t="n">
        <v>46182</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53404-2025 artfynd.xlsx", "A 53404-2025")</f>
        <v/>
      </c>
      <c r="T37">
        <f>HYPERLINK("https://klasma.github.io/Logging_0884/kartor/A 53404-2025 karta.png", "A 53404-2025")</f>
        <v/>
      </c>
      <c r="U37">
        <f>HYPERLINK("https://klasma.github.io/Logging_0884/knärot/A 53404-2025 karta knärot.png", "A 53404-2025")</f>
        <v/>
      </c>
      <c r="V37">
        <f>HYPERLINK("https://klasma.github.io/Logging_0884/klagomål/A 53404-2025 FSC-klagomål.docx", "A 53404-2025")</f>
        <v/>
      </c>
      <c r="W37">
        <f>HYPERLINK("https://klasma.github.io/Logging_0884/klagomålsmail/A 53404-2025 FSC-klagomål mail.docx", "A 53404-2025")</f>
        <v/>
      </c>
      <c r="X37">
        <f>HYPERLINK("https://klasma.github.io/Logging_0884/tillsyn/A 53404-2025 tillsynsbegäran.docx", "A 53404-2025")</f>
        <v/>
      </c>
      <c r="Y37">
        <f>HYPERLINK("https://klasma.github.io/Logging_0884/tillsynsmail/A 53404-2025 tillsynsbegäran mail.docx", "A 53404-2025")</f>
        <v/>
      </c>
    </row>
    <row r="38" ht="15" customHeight="1">
      <c r="A38" t="inlineStr">
        <is>
          <t>A 57062-2025</t>
        </is>
      </c>
      <c r="B38" s="1" t="n">
        <v>45979.37598379629</v>
      </c>
      <c r="C38" s="1" t="n">
        <v>46182</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23602-2023</t>
        </is>
      </c>
      <c r="B39" s="1" t="n">
        <v>45077</v>
      </c>
      <c r="C39" s="1" t="n">
        <v>46182</v>
      </c>
      <c r="D39" t="inlineStr">
        <is>
          <t>KALMAR LÄN</t>
        </is>
      </c>
      <c r="E39" t="inlineStr">
        <is>
          <t>VIMMERBY</t>
        </is>
      </c>
      <c r="G39" t="n">
        <v>1.6</v>
      </c>
      <c r="H39" t="n">
        <v>0</v>
      </c>
      <c r="I39" t="n">
        <v>0</v>
      </c>
      <c r="J39" t="n">
        <v>1</v>
      </c>
      <c r="K39" t="n">
        <v>0</v>
      </c>
      <c r="L39" t="n">
        <v>0</v>
      </c>
      <c r="M39" t="n">
        <v>0</v>
      </c>
      <c r="N39" t="n">
        <v>0</v>
      </c>
      <c r="O39" t="n">
        <v>1</v>
      </c>
      <c r="P39" t="n">
        <v>0</v>
      </c>
      <c r="Q39" t="n">
        <v>1</v>
      </c>
      <c r="R39" s="2" t="inlineStr">
        <is>
          <t>Vedtrappmossa</t>
        </is>
      </c>
      <c r="S39">
        <f>HYPERLINK("https://klasma.github.io/Logging_0884/artfynd/A 23602-2023 artfynd.xlsx", "A 23602-2023")</f>
        <v/>
      </c>
      <c r="T39">
        <f>HYPERLINK("https://klasma.github.io/Logging_0884/kartor/A 23602-2023 karta.png", "A 23602-2023")</f>
        <v/>
      </c>
      <c r="V39">
        <f>HYPERLINK("https://klasma.github.io/Logging_0884/klagomål/A 23602-2023 FSC-klagomål.docx", "A 23602-2023")</f>
        <v/>
      </c>
      <c r="W39">
        <f>HYPERLINK("https://klasma.github.io/Logging_0884/klagomålsmail/A 23602-2023 FSC-klagomål mail.docx", "A 23602-2023")</f>
        <v/>
      </c>
      <c r="X39">
        <f>HYPERLINK("https://klasma.github.io/Logging_0884/tillsyn/A 23602-2023 tillsynsbegäran.docx", "A 23602-2023")</f>
        <v/>
      </c>
      <c r="Y39">
        <f>HYPERLINK("https://klasma.github.io/Logging_0884/tillsynsmail/A 23602-2023 tillsynsbegäran mail.docx", "A 23602-2023")</f>
        <v/>
      </c>
    </row>
    <row r="40" ht="15" customHeight="1">
      <c r="A40" t="inlineStr">
        <is>
          <t>A 44515-2024</t>
        </is>
      </c>
      <c r="B40" s="1" t="n">
        <v>45574.42767361111</v>
      </c>
      <c r="C40" s="1" t="n">
        <v>46182</v>
      </c>
      <c r="D40" t="inlineStr">
        <is>
          <t>KALMAR LÄN</t>
        </is>
      </c>
      <c r="E40" t="inlineStr">
        <is>
          <t>VIMMERBY</t>
        </is>
      </c>
      <c r="G40" t="n">
        <v>1.4</v>
      </c>
      <c r="H40" t="n">
        <v>1</v>
      </c>
      <c r="I40" t="n">
        <v>0</v>
      </c>
      <c r="J40" t="n">
        <v>0</v>
      </c>
      <c r="K40" t="n">
        <v>1</v>
      </c>
      <c r="L40" t="n">
        <v>0</v>
      </c>
      <c r="M40" t="n">
        <v>0</v>
      </c>
      <c r="N40" t="n">
        <v>0</v>
      </c>
      <c r="O40" t="n">
        <v>1</v>
      </c>
      <c r="P40" t="n">
        <v>1</v>
      </c>
      <c r="Q40" t="n">
        <v>1</v>
      </c>
      <c r="R40" s="2" t="inlineStr">
        <is>
          <t>Knärot</t>
        </is>
      </c>
      <c r="S40">
        <f>HYPERLINK("https://klasma.github.io/Logging_0884/artfynd/A 44515-2024 artfynd.xlsx", "A 44515-2024")</f>
        <v/>
      </c>
      <c r="T40">
        <f>HYPERLINK("https://klasma.github.io/Logging_0884/kartor/A 44515-2024 karta.png", "A 44515-2024")</f>
        <v/>
      </c>
      <c r="U40">
        <f>HYPERLINK("https://klasma.github.io/Logging_0884/knärot/A 44515-2024 karta knärot.png", "A 44515-2024")</f>
        <v/>
      </c>
      <c r="V40">
        <f>HYPERLINK("https://klasma.github.io/Logging_0884/klagomål/A 44515-2024 FSC-klagomål.docx", "A 44515-2024")</f>
        <v/>
      </c>
      <c r="W40">
        <f>HYPERLINK("https://klasma.github.io/Logging_0884/klagomålsmail/A 44515-2024 FSC-klagomål mail.docx", "A 44515-2024")</f>
        <v/>
      </c>
      <c r="X40">
        <f>HYPERLINK("https://klasma.github.io/Logging_0884/tillsyn/A 44515-2024 tillsynsbegäran.docx", "A 44515-2024")</f>
        <v/>
      </c>
      <c r="Y40">
        <f>HYPERLINK("https://klasma.github.io/Logging_0884/tillsynsmail/A 44515-2024 tillsynsbegäran mail.docx", "A 44515-2024")</f>
        <v/>
      </c>
    </row>
    <row r="41" ht="15" customHeight="1">
      <c r="A41" t="inlineStr">
        <is>
          <t>A 61860-2024</t>
        </is>
      </c>
      <c r="B41" s="1" t="n">
        <v>45649</v>
      </c>
      <c r="C41" s="1" t="n">
        <v>46182</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32985-2023</t>
        </is>
      </c>
      <c r="B42" s="1" t="n">
        <v>45125</v>
      </c>
      <c r="C42" s="1" t="n">
        <v>46182</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15122-2024</t>
        </is>
      </c>
      <c r="B43" s="1" t="n">
        <v>45399.71412037037</v>
      </c>
      <c r="C43" s="1" t="n">
        <v>46182</v>
      </c>
      <c r="D43" t="inlineStr">
        <is>
          <t>KALMAR LÄN</t>
        </is>
      </c>
      <c r="E43" t="inlineStr">
        <is>
          <t>VIMMERBY</t>
        </is>
      </c>
      <c r="G43" t="n">
        <v>1.7</v>
      </c>
      <c r="H43" t="n">
        <v>0</v>
      </c>
      <c r="I43" t="n">
        <v>0</v>
      </c>
      <c r="J43" t="n">
        <v>0</v>
      </c>
      <c r="K43" t="n">
        <v>1</v>
      </c>
      <c r="L43" t="n">
        <v>0</v>
      </c>
      <c r="M43" t="n">
        <v>0</v>
      </c>
      <c r="N43" t="n">
        <v>0</v>
      </c>
      <c r="O43" t="n">
        <v>1</v>
      </c>
      <c r="P43" t="n">
        <v>1</v>
      </c>
      <c r="Q43" t="n">
        <v>1</v>
      </c>
      <c r="R43" s="2" t="inlineStr">
        <is>
          <t>Sågfibbla</t>
        </is>
      </c>
      <c r="S43">
        <f>HYPERLINK("https://klasma.github.io/Logging_0884/artfynd/A 15122-2024 artfynd.xlsx", "A 15122-2024")</f>
        <v/>
      </c>
      <c r="T43">
        <f>HYPERLINK("https://klasma.github.io/Logging_0884/kartor/A 15122-2024 karta.png", "A 15122-2024")</f>
        <v/>
      </c>
      <c r="V43">
        <f>HYPERLINK("https://klasma.github.io/Logging_0884/klagomål/A 15122-2024 FSC-klagomål.docx", "A 15122-2024")</f>
        <v/>
      </c>
      <c r="W43">
        <f>HYPERLINK("https://klasma.github.io/Logging_0884/klagomålsmail/A 15122-2024 FSC-klagomål mail.docx", "A 15122-2024")</f>
        <v/>
      </c>
      <c r="X43">
        <f>HYPERLINK("https://klasma.github.io/Logging_0884/tillsyn/A 15122-2024 tillsynsbegäran.docx", "A 15122-2024")</f>
        <v/>
      </c>
      <c r="Y43">
        <f>HYPERLINK("https://klasma.github.io/Logging_0884/tillsynsmail/A 15122-2024 tillsynsbegäran mail.docx", "A 15122-2024")</f>
        <v/>
      </c>
    </row>
    <row r="44" ht="15" customHeight="1">
      <c r="A44" t="inlineStr">
        <is>
          <t>A 1201-2025</t>
        </is>
      </c>
      <c r="B44" s="1" t="n">
        <v>45667</v>
      </c>
      <c r="C44" s="1" t="n">
        <v>46182</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59070-2021</t>
        </is>
      </c>
      <c r="B45" s="1" t="n">
        <v>44490.38613425926</v>
      </c>
      <c r="C45" s="1" t="n">
        <v>46182</v>
      </c>
      <c r="D45" t="inlineStr">
        <is>
          <t>KALMAR LÄN</t>
        </is>
      </c>
      <c r="E45" t="inlineStr">
        <is>
          <t>VIMMERBY</t>
        </is>
      </c>
      <c r="G45" t="n">
        <v>1.7</v>
      </c>
      <c r="H45" t="n">
        <v>0</v>
      </c>
      <c r="I45" t="n">
        <v>0</v>
      </c>
      <c r="J45" t="n">
        <v>0</v>
      </c>
      <c r="K45" t="n">
        <v>0</v>
      </c>
      <c r="L45" t="n">
        <v>0</v>
      </c>
      <c r="M45" t="n">
        <v>0</v>
      </c>
      <c r="N45" t="n">
        <v>0</v>
      </c>
      <c r="O45" t="n">
        <v>0</v>
      </c>
      <c r="P45" t="n">
        <v>0</v>
      </c>
      <c r="Q45" t="n">
        <v>0</v>
      </c>
      <c r="R45" s="2" t="inlineStr"/>
    </row>
    <row r="46" ht="15" customHeight="1">
      <c r="A46" t="inlineStr">
        <is>
          <t>A 47205-2021</t>
        </is>
      </c>
      <c r="B46" s="1" t="n">
        <v>44447</v>
      </c>
      <c r="C46" s="1" t="n">
        <v>46182</v>
      </c>
      <c r="D46" t="inlineStr">
        <is>
          <t>KALMAR LÄN</t>
        </is>
      </c>
      <c r="E46" t="inlineStr">
        <is>
          <t>VIMMERBY</t>
        </is>
      </c>
      <c r="G46" t="n">
        <v>0.5</v>
      </c>
      <c r="H46" t="n">
        <v>0</v>
      </c>
      <c r="I46" t="n">
        <v>0</v>
      </c>
      <c r="J46" t="n">
        <v>0</v>
      </c>
      <c r="K46" t="n">
        <v>0</v>
      </c>
      <c r="L46" t="n">
        <v>0</v>
      </c>
      <c r="M46" t="n">
        <v>0</v>
      </c>
      <c r="N46" t="n">
        <v>0</v>
      </c>
      <c r="O46" t="n">
        <v>0</v>
      </c>
      <c r="P46" t="n">
        <v>0</v>
      </c>
      <c r="Q46" t="n">
        <v>0</v>
      </c>
      <c r="R46" s="2" t="inlineStr"/>
    </row>
    <row r="47" ht="15" customHeight="1">
      <c r="A47" t="inlineStr">
        <is>
          <t>A 56754-2021</t>
        </is>
      </c>
      <c r="B47" s="1" t="n">
        <v>44481.47483796296</v>
      </c>
      <c r="C47" s="1" t="n">
        <v>46182</v>
      </c>
      <c r="D47" t="inlineStr">
        <is>
          <t>KALMAR LÄN</t>
        </is>
      </c>
      <c r="E47" t="inlineStr">
        <is>
          <t>VIMMERBY</t>
        </is>
      </c>
      <c r="G47" t="n">
        <v>1.4</v>
      </c>
      <c r="H47" t="n">
        <v>0</v>
      </c>
      <c r="I47" t="n">
        <v>0</v>
      </c>
      <c r="J47" t="n">
        <v>0</v>
      </c>
      <c r="K47" t="n">
        <v>0</v>
      </c>
      <c r="L47" t="n">
        <v>0</v>
      </c>
      <c r="M47" t="n">
        <v>0</v>
      </c>
      <c r="N47" t="n">
        <v>0</v>
      </c>
      <c r="O47" t="n">
        <v>0</v>
      </c>
      <c r="P47" t="n">
        <v>0</v>
      </c>
      <c r="Q47" t="n">
        <v>0</v>
      </c>
      <c r="R47" s="2" t="inlineStr"/>
    </row>
    <row r="48" ht="15" customHeight="1">
      <c r="A48" t="inlineStr">
        <is>
          <t>A 32607-2021</t>
        </is>
      </c>
      <c r="B48" s="1" t="n">
        <v>44375.39033564815</v>
      </c>
      <c r="C48" s="1" t="n">
        <v>46182</v>
      </c>
      <c r="D48" t="inlineStr">
        <is>
          <t>KALMAR LÄN</t>
        </is>
      </c>
      <c r="E48" t="inlineStr">
        <is>
          <t>VIMMERBY</t>
        </is>
      </c>
      <c r="G48" t="n">
        <v>0.4</v>
      </c>
      <c r="H48" t="n">
        <v>0</v>
      </c>
      <c r="I48" t="n">
        <v>0</v>
      </c>
      <c r="J48" t="n">
        <v>0</v>
      </c>
      <c r="K48" t="n">
        <v>0</v>
      </c>
      <c r="L48" t="n">
        <v>0</v>
      </c>
      <c r="M48" t="n">
        <v>0</v>
      </c>
      <c r="N48" t="n">
        <v>0</v>
      </c>
      <c r="O48" t="n">
        <v>0</v>
      </c>
      <c r="P48" t="n">
        <v>0</v>
      </c>
      <c r="Q48" t="n">
        <v>0</v>
      </c>
      <c r="R48" s="2" t="inlineStr"/>
    </row>
    <row r="49" ht="15" customHeight="1">
      <c r="A49" t="inlineStr">
        <is>
          <t>A 8908-2022</t>
        </is>
      </c>
      <c r="B49" s="1" t="n">
        <v>44614</v>
      </c>
      <c r="C49" s="1" t="n">
        <v>46182</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16283-2022</t>
        </is>
      </c>
      <c r="B50" s="1" t="n">
        <v>44670</v>
      </c>
      <c r="C50" s="1" t="n">
        <v>46182</v>
      </c>
      <c r="D50" t="inlineStr">
        <is>
          <t>KALMAR LÄN</t>
        </is>
      </c>
      <c r="E50" t="inlineStr">
        <is>
          <t>VIMMERBY</t>
        </is>
      </c>
      <c r="G50" t="n">
        <v>1.4</v>
      </c>
      <c r="H50" t="n">
        <v>0</v>
      </c>
      <c r="I50" t="n">
        <v>0</v>
      </c>
      <c r="J50" t="n">
        <v>0</v>
      </c>
      <c r="K50" t="n">
        <v>0</v>
      </c>
      <c r="L50" t="n">
        <v>0</v>
      </c>
      <c r="M50" t="n">
        <v>0</v>
      </c>
      <c r="N50" t="n">
        <v>0</v>
      </c>
      <c r="O50" t="n">
        <v>0</v>
      </c>
      <c r="P50" t="n">
        <v>0</v>
      </c>
      <c r="Q50" t="n">
        <v>0</v>
      </c>
      <c r="R50" s="2" t="inlineStr"/>
    </row>
    <row r="51" ht="15" customHeight="1">
      <c r="A51" t="inlineStr">
        <is>
          <t>A 16288-2022</t>
        </is>
      </c>
      <c r="B51" s="1" t="n">
        <v>44670</v>
      </c>
      <c r="C51" s="1" t="n">
        <v>46182</v>
      </c>
      <c r="D51" t="inlineStr">
        <is>
          <t>KALMAR LÄN</t>
        </is>
      </c>
      <c r="E51" t="inlineStr">
        <is>
          <t>VIMMERBY</t>
        </is>
      </c>
      <c r="G51" t="n">
        <v>1.7</v>
      </c>
      <c r="H51" t="n">
        <v>0</v>
      </c>
      <c r="I51" t="n">
        <v>0</v>
      </c>
      <c r="J51" t="n">
        <v>0</v>
      </c>
      <c r="K51" t="n">
        <v>0</v>
      </c>
      <c r="L51" t="n">
        <v>0</v>
      </c>
      <c r="M51" t="n">
        <v>0</v>
      </c>
      <c r="N51" t="n">
        <v>0</v>
      </c>
      <c r="O51" t="n">
        <v>0</v>
      </c>
      <c r="P51" t="n">
        <v>0</v>
      </c>
      <c r="Q51" t="n">
        <v>0</v>
      </c>
      <c r="R51" s="2" t="inlineStr"/>
    </row>
    <row r="52" ht="15" customHeight="1">
      <c r="A52" t="inlineStr">
        <is>
          <t>A 38348-2021</t>
        </is>
      </c>
      <c r="B52" s="1" t="n">
        <v>44406</v>
      </c>
      <c r="C52" s="1" t="n">
        <v>46182</v>
      </c>
      <c r="D52" t="inlineStr">
        <is>
          <t>KALMAR LÄN</t>
        </is>
      </c>
      <c r="E52" t="inlineStr">
        <is>
          <t>VIMMERBY</t>
        </is>
      </c>
      <c r="G52" t="n">
        <v>2.2</v>
      </c>
      <c r="H52" t="n">
        <v>0</v>
      </c>
      <c r="I52" t="n">
        <v>0</v>
      </c>
      <c r="J52" t="n">
        <v>0</v>
      </c>
      <c r="K52" t="n">
        <v>0</v>
      </c>
      <c r="L52" t="n">
        <v>0</v>
      </c>
      <c r="M52" t="n">
        <v>0</v>
      </c>
      <c r="N52" t="n">
        <v>0</v>
      </c>
      <c r="O52" t="n">
        <v>0</v>
      </c>
      <c r="P52" t="n">
        <v>0</v>
      </c>
      <c r="Q52" t="n">
        <v>0</v>
      </c>
      <c r="R52" s="2" t="inlineStr"/>
    </row>
    <row r="53" ht="15" customHeight="1">
      <c r="A53" t="inlineStr">
        <is>
          <t>A 63926-2021</t>
        </is>
      </c>
      <c r="B53" s="1" t="n">
        <v>44509</v>
      </c>
      <c r="C53" s="1" t="n">
        <v>46182</v>
      </c>
      <c r="D53" t="inlineStr">
        <is>
          <t>KALMAR LÄN</t>
        </is>
      </c>
      <c r="E53" t="inlineStr">
        <is>
          <t>VIMMERBY</t>
        </is>
      </c>
      <c r="G53" t="n">
        <v>0.7</v>
      </c>
      <c r="H53" t="n">
        <v>0</v>
      </c>
      <c r="I53" t="n">
        <v>0</v>
      </c>
      <c r="J53" t="n">
        <v>0</v>
      </c>
      <c r="K53" t="n">
        <v>0</v>
      </c>
      <c r="L53" t="n">
        <v>0</v>
      </c>
      <c r="M53" t="n">
        <v>0</v>
      </c>
      <c r="N53" t="n">
        <v>0</v>
      </c>
      <c r="O53" t="n">
        <v>0</v>
      </c>
      <c r="P53" t="n">
        <v>0</v>
      </c>
      <c r="Q53" t="n">
        <v>0</v>
      </c>
      <c r="R53" s="2" t="inlineStr"/>
    </row>
    <row r="54" ht="15" customHeight="1">
      <c r="A54" t="inlineStr">
        <is>
          <t>A 56378-2021</t>
        </is>
      </c>
      <c r="B54" s="1" t="n">
        <v>44480</v>
      </c>
      <c r="C54" s="1" t="n">
        <v>46182</v>
      </c>
      <c r="D54" t="inlineStr">
        <is>
          <t>KALMAR LÄN</t>
        </is>
      </c>
      <c r="E54" t="inlineStr">
        <is>
          <t>VIMMERBY</t>
        </is>
      </c>
      <c r="G54" t="n">
        <v>1.1</v>
      </c>
      <c r="H54" t="n">
        <v>0</v>
      </c>
      <c r="I54" t="n">
        <v>0</v>
      </c>
      <c r="J54" t="n">
        <v>0</v>
      </c>
      <c r="K54" t="n">
        <v>0</v>
      </c>
      <c r="L54" t="n">
        <v>0</v>
      </c>
      <c r="M54" t="n">
        <v>0</v>
      </c>
      <c r="N54" t="n">
        <v>0</v>
      </c>
      <c r="O54" t="n">
        <v>0</v>
      </c>
      <c r="P54" t="n">
        <v>0</v>
      </c>
      <c r="Q54" t="n">
        <v>0</v>
      </c>
      <c r="R54" s="2" t="inlineStr"/>
    </row>
    <row r="55" ht="15" customHeight="1">
      <c r="A55" t="inlineStr">
        <is>
          <t>A 40728-2022</t>
        </is>
      </c>
      <c r="B55" s="1" t="n">
        <v>44824.53434027778</v>
      </c>
      <c r="C55" s="1" t="n">
        <v>46182</v>
      </c>
      <c r="D55" t="inlineStr">
        <is>
          <t>KALMAR LÄN</t>
        </is>
      </c>
      <c r="E55" t="inlineStr">
        <is>
          <t>VIMMERBY</t>
        </is>
      </c>
      <c r="G55" t="n">
        <v>1.1</v>
      </c>
      <c r="H55" t="n">
        <v>0</v>
      </c>
      <c r="I55" t="n">
        <v>0</v>
      </c>
      <c r="J55" t="n">
        <v>0</v>
      </c>
      <c r="K55" t="n">
        <v>0</v>
      </c>
      <c r="L55" t="n">
        <v>0</v>
      </c>
      <c r="M55" t="n">
        <v>0</v>
      </c>
      <c r="N55" t="n">
        <v>0</v>
      </c>
      <c r="O55" t="n">
        <v>0</v>
      </c>
      <c r="P55" t="n">
        <v>0</v>
      </c>
      <c r="Q55" t="n">
        <v>0</v>
      </c>
      <c r="R55" s="2" t="inlineStr"/>
    </row>
    <row r="56" ht="15" customHeight="1">
      <c r="A56" t="inlineStr">
        <is>
          <t>A 3426-2022</t>
        </is>
      </c>
      <c r="B56" s="1" t="n">
        <v>44585.51829861111</v>
      </c>
      <c r="C56" s="1" t="n">
        <v>46182</v>
      </c>
      <c r="D56" t="inlineStr">
        <is>
          <t>KALMAR LÄN</t>
        </is>
      </c>
      <c r="E56" t="inlineStr">
        <is>
          <t>VIMMERBY</t>
        </is>
      </c>
      <c r="G56" t="n">
        <v>1.8</v>
      </c>
      <c r="H56" t="n">
        <v>0</v>
      </c>
      <c r="I56" t="n">
        <v>0</v>
      </c>
      <c r="J56" t="n">
        <v>0</v>
      </c>
      <c r="K56" t="n">
        <v>0</v>
      </c>
      <c r="L56" t="n">
        <v>0</v>
      </c>
      <c r="M56" t="n">
        <v>0</v>
      </c>
      <c r="N56" t="n">
        <v>0</v>
      </c>
      <c r="O56" t="n">
        <v>0</v>
      </c>
      <c r="P56" t="n">
        <v>0</v>
      </c>
      <c r="Q56" t="n">
        <v>0</v>
      </c>
      <c r="R56" s="2" t="inlineStr"/>
    </row>
    <row r="57" ht="15" customHeight="1">
      <c r="A57" t="inlineStr">
        <is>
          <t>A 40073-2021</t>
        </is>
      </c>
      <c r="B57" s="1" t="n">
        <v>44418</v>
      </c>
      <c r="C57" s="1" t="n">
        <v>46182</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33051-2022</t>
        </is>
      </c>
      <c r="B58" s="1" t="n">
        <v>44785.40800925926</v>
      </c>
      <c r="C58" s="1" t="n">
        <v>46182</v>
      </c>
      <c r="D58" t="inlineStr">
        <is>
          <t>KALMAR LÄN</t>
        </is>
      </c>
      <c r="E58" t="inlineStr">
        <is>
          <t>VIMMERBY</t>
        </is>
      </c>
      <c r="G58" t="n">
        <v>0.3</v>
      </c>
      <c r="H58" t="n">
        <v>0</v>
      </c>
      <c r="I58" t="n">
        <v>0</v>
      </c>
      <c r="J58" t="n">
        <v>0</v>
      </c>
      <c r="K58" t="n">
        <v>0</v>
      </c>
      <c r="L58" t="n">
        <v>0</v>
      </c>
      <c r="M58" t="n">
        <v>0</v>
      </c>
      <c r="N58" t="n">
        <v>0</v>
      </c>
      <c r="O58" t="n">
        <v>0</v>
      </c>
      <c r="P58" t="n">
        <v>0</v>
      </c>
      <c r="Q58" t="n">
        <v>0</v>
      </c>
      <c r="R58" s="2" t="inlineStr"/>
    </row>
    <row r="59" ht="15" customHeight="1">
      <c r="A59" t="inlineStr">
        <is>
          <t>A 41438-2022</t>
        </is>
      </c>
      <c r="B59" s="1" t="n">
        <v>44826.68010416667</v>
      </c>
      <c r="C59" s="1" t="n">
        <v>46182</v>
      </c>
      <c r="D59" t="inlineStr">
        <is>
          <t>KALMAR LÄN</t>
        </is>
      </c>
      <c r="E59" t="inlineStr">
        <is>
          <t>VIMMERBY</t>
        </is>
      </c>
      <c r="G59" t="n">
        <v>3.1</v>
      </c>
      <c r="H59" t="n">
        <v>0</v>
      </c>
      <c r="I59" t="n">
        <v>0</v>
      </c>
      <c r="J59" t="n">
        <v>0</v>
      </c>
      <c r="K59" t="n">
        <v>0</v>
      </c>
      <c r="L59" t="n">
        <v>0</v>
      </c>
      <c r="M59" t="n">
        <v>0</v>
      </c>
      <c r="N59" t="n">
        <v>0</v>
      </c>
      <c r="O59" t="n">
        <v>0</v>
      </c>
      <c r="P59" t="n">
        <v>0</v>
      </c>
      <c r="Q59" t="n">
        <v>0</v>
      </c>
      <c r="R59" s="2" t="inlineStr"/>
    </row>
    <row r="60" ht="15" customHeight="1">
      <c r="A60" t="inlineStr">
        <is>
          <t>A 2183-2022</t>
        </is>
      </c>
      <c r="B60" s="1" t="n">
        <v>44578.47597222222</v>
      </c>
      <c r="C60" s="1" t="n">
        <v>46182</v>
      </c>
      <c r="D60" t="inlineStr">
        <is>
          <t>KALMAR LÄN</t>
        </is>
      </c>
      <c r="E60" t="inlineStr">
        <is>
          <t>VIMMERBY</t>
        </is>
      </c>
      <c r="G60" t="n">
        <v>4.8</v>
      </c>
      <c r="H60" t="n">
        <v>0</v>
      </c>
      <c r="I60" t="n">
        <v>0</v>
      </c>
      <c r="J60" t="n">
        <v>0</v>
      </c>
      <c r="K60" t="n">
        <v>0</v>
      </c>
      <c r="L60" t="n">
        <v>0</v>
      </c>
      <c r="M60" t="n">
        <v>0</v>
      </c>
      <c r="N60" t="n">
        <v>0</v>
      </c>
      <c r="O60" t="n">
        <v>0</v>
      </c>
      <c r="P60" t="n">
        <v>0</v>
      </c>
      <c r="Q60" t="n">
        <v>0</v>
      </c>
      <c r="R60" s="2" t="inlineStr"/>
    </row>
    <row r="61" ht="15" customHeight="1">
      <c r="A61" t="inlineStr">
        <is>
          <t>A 65670-2021</t>
        </is>
      </c>
      <c r="B61" s="1" t="n">
        <v>44516.59703703703</v>
      </c>
      <c r="C61" s="1" t="n">
        <v>46182</v>
      </c>
      <c r="D61" t="inlineStr">
        <is>
          <t>KALMAR LÄN</t>
        </is>
      </c>
      <c r="E61" t="inlineStr">
        <is>
          <t>VIMMERBY</t>
        </is>
      </c>
      <c r="G61" t="n">
        <v>1.9</v>
      </c>
      <c r="H61" t="n">
        <v>0</v>
      </c>
      <c r="I61" t="n">
        <v>0</v>
      </c>
      <c r="J61" t="n">
        <v>0</v>
      </c>
      <c r="K61" t="n">
        <v>0</v>
      </c>
      <c r="L61" t="n">
        <v>0</v>
      </c>
      <c r="M61" t="n">
        <v>0</v>
      </c>
      <c r="N61" t="n">
        <v>0</v>
      </c>
      <c r="O61" t="n">
        <v>0</v>
      </c>
      <c r="P61" t="n">
        <v>0</v>
      </c>
      <c r="Q61" t="n">
        <v>0</v>
      </c>
      <c r="R61" s="2" t="inlineStr"/>
    </row>
    <row r="62" ht="15" customHeight="1">
      <c r="A62" t="inlineStr">
        <is>
          <t>A 50809-2022</t>
        </is>
      </c>
      <c r="B62" s="1" t="n">
        <v>44862</v>
      </c>
      <c r="C62" s="1" t="n">
        <v>46182</v>
      </c>
      <c r="D62" t="inlineStr">
        <is>
          <t>KALMAR LÄN</t>
        </is>
      </c>
      <c r="E62" t="inlineStr">
        <is>
          <t>VIMMERBY</t>
        </is>
      </c>
      <c r="G62" t="n">
        <v>3.7</v>
      </c>
      <c r="H62" t="n">
        <v>0</v>
      </c>
      <c r="I62" t="n">
        <v>0</v>
      </c>
      <c r="J62" t="n">
        <v>0</v>
      </c>
      <c r="K62" t="n">
        <v>0</v>
      </c>
      <c r="L62" t="n">
        <v>0</v>
      </c>
      <c r="M62" t="n">
        <v>0</v>
      </c>
      <c r="N62" t="n">
        <v>0</v>
      </c>
      <c r="O62" t="n">
        <v>0</v>
      </c>
      <c r="P62" t="n">
        <v>0</v>
      </c>
      <c r="Q62" t="n">
        <v>0</v>
      </c>
      <c r="R62" s="2" t="inlineStr"/>
    </row>
    <row r="63" ht="15" customHeight="1">
      <c r="A63" t="inlineStr">
        <is>
          <t>A 7049-2022</t>
        </is>
      </c>
      <c r="B63" s="1" t="n">
        <v>44603</v>
      </c>
      <c r="C63" s="1" t="n">
        <v>46182</v>
      </c>
      <c r="D63" t="inlineStr">
        <is>
          <t>KALMAR LÄN</t>
        </is>
      </c>
      <c r="E63" t="inlineStr">
        <is>
          <t>VIMMERBY</t>
        </is>
      </c>
      <c r="G63" t="n">
        <v>2.3</v>
      </c>
      <c r="H63" t="n">
        <v>0</v>
      </c>
      <c r="I63" t="n">
        <v>0</v>
      </c>
      <c r="J63" t="n">
        <v>0</v>
      </c>
      <c r="K63" t="n">
        <v>0</v>
      </c>
      <c r="L63" t="n">
        <v>0</v>
      </c>
      <c r="M63" t="n">
        <v>0</v>
      </c>
      <c r="N63" t="n">
        <v>0</v>
      </c>
      <c r="O63" t="n">
        <v>0</v>
      </c>
      <c r="P63" t="n">
        <v>0</v>
      </c>
      <c r="Q63" t="n">
        <v>0</v>
      </c>
      <c r="R63" s="2" t="inlineStr"/>
    </row>
    <row r="64" ht="15" customHeight="1">
      <c r="A64" t="inlineStr">
        <is>
          <t>A 4296-2022</t>
        </is>
      </c>
      <c r="B64" s="1" t="n">
        <v>44588</v>
      </c>
      <c r="C64" s="1" t="n">
        <v>46182</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38086-2021</t>
        </is>
      </c>
      <c r="B65" s="1" t="n">
        <v>44404.87505787037</v>
      </c>
      <c r="C65" s="1" t="n">
        <v>46182</v>
      </c>
      <c r="D65" t="inlineStr">
        <is>
          <t>KALMAR LÄN</t>
        </is>
      </c>
      <c r="E65" t="inlineStr">
        <is>
          <t>VIMMERBY</t>
        </is>
      </c>
      <c r="G65" t="n">
        <v>4.4</v>
      </c>
      <c r="H65" t="n">
        <v>0</v>
      </c>
      <c r="I65" t="n">
        <v>0</v>
      </c>
      <c r="J65" t="n">
        <v>0</v>
      </c>
      <c r="K65" t="n">
        <v>0</v>
      </c>
      <c r="L65" t="n">
        <v>0</v>
      </c>
      <c r="M65" t="n">
        <v>0</v>
      </c>
      <c r="N65" t="n">
        <v>0</v>
      </c>
      <c r="O65" t="n">
        <v>0</v>
      </c>
      <c r="P65" t="n">
        <v>0</v>
      </c>
      <c r="Q65" t="n">
        <v>0</v>
      </c>
      <c r="R65" s="2" t="inlineStr"/>
    </row>
    <row r="66" ht="15" customHeight="1">
      <c r="A66" t="inlineStr">
        <is>
          <t>A 57416-2021</t>
        </is>
      </c>
      <c r="B66" s="1" t="n">
        <v>44483.58295138889</v>
      </c>
      <c r="C66" s="1" t="n">
        <v>46182</v>
      </c>
      <c r="D66" t="inlineStr">
        <is>
          <t>KALMAR LÄN</t>
        </is>
      </c>
      <c r="E66" t="inlineStr">
        <is>
          <t>VIMMERBY</t>
        </is>
      </c>
      <c r="G66" t="n">
        <v>2.9</v>
      </c>
      <c r="H66" t="n">
        <v>0</v>
      </c>
      <c r="I66" t="n">
        <v>0</v>
      </c>
      <c r="J66" t="n">
        <v>0</v>
      </c>
      <c r="K66" t="n">
        <v>0</v>
      </c>
      <c r="L66" t="n">
        <v>0</v>
      </c>
      <c r="M66" t="n">
        <v>0</v>
      </c>
      <c r="N66" t="n">
        <v>0</v>
      </c>
      <c r="O66" t="n">
        <v>0</v>
      </c>
      <c r="P66" t="n">
        <v>0</v>
      </c>
      <c r="Q66" t="n">
        <v>0</v>
      </c>
      <c r="R66" s="2" t="inlineStr"/>
    </row>
    <row r="67" ht="15" customHeight="1">
      <c r="A67" t="inlineStr">
        <is>
          <t>A 71626-2021</t>
        </is>
      </c>
      <c r="B67" s="1" t="n">
        <v>44542.8859375</v>
      </c>
      <c r="C67" s="1" t="n">
        <v>46182</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59791-2021</t>
        </is>
      </c>
      <c r="B68" s="1" t="n">
        <v>44494</v>
      </c>
      <c r="C68" s="1" t="n">
        <v>46182</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64923-2021</t>
        </is>
      </c>
      <c r="B69" s="1" t="n">
        <v>44512.70245370371</v>
      </c>
      <c r="C69" s="1" t="n">
        <v>46182</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33829-2022</t>
        </is>
      </c>
      <c r="B70" s="1" t="n">
        <v>44790</v>
      </c>
      <c r="C70" s="1" t="n">
        <v>46182</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68840-2021</t>
        </is>
      </c>
      <c r="B71" s="1" t="n">
        <v>44530.38055555556</v>
      </c>
      <c r="C71" s="1" t="n">
        <v>46182</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4118-2022</t>
        </is>
      </c>
      <c r="B72" s="1" t="n">
        <v>44588</v>
      </c>
      <c r="C72" s="1" t="n">
        <v>46182</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4126-2022</t>
        </is>
      </c>
      <c r="B73" s="1" t="n">
        <v>44588</v>
      </c>
      <c r="C73" s="1" t="n">
        <v>46182</v>
      </c>
      <c r="D73" t="inlineStr">
        <is>
          <t>KALMAR LÄN</t>
        </is>
      </c>
      <c r="E73" t="inlineStr">
        <is>
          <t>VIMMERBY</t>
        </is>
      </c>
      <c r="G73" t="n">
        <v>0.6</v>
      </c>
      <c r="H73" t="n">
        <v>0</v>
      </c>
      <c r="I73" t="n">
        <v>0</v>
      </c>
      <c r="J73" t="n">
        <v>0</v>
      </c>
      <c r="K73" t="n">
        <v>0</v>
      </c>
      <c r="L73" t="n">
        <v>0</v>
      </c>
      <c r="M73" t="n">
        <v>0</v>
      </c>
      <c r="N73" t="n">
        <v>0</v>
      </c>
      <c r="O73" t="n">
        <v>0</v>
      </c>
      <c r="P73" t="n">
        <v>0</v>
      </c>
      <c r="Q73" t="n">
        <v>0</v>
      </c>
      <c r="R73" s="2" t="inlineStr"/>
    </row>
    <row r="74" ht="15" customHeight="1">
      <c r="A74" t="inlineStr">
        <is>
          <t>A 33820-2022</t>
        </is>
      </c>
      <c r="B74" s="1" t="n">
        <v>44790</v>
      </c>
      <c r="C74" s="1" t="n">
        <v>46182</v>
      </c>
      <c r="D74" t="inlineStr">
        <is>
          <t>KALMAR LÄN</t>
        </is>
      </c>
      <c r="E74" t="inlineStr">
        <is>
          <t>VIMMERBY</t>
        </is>
      </c>
      <c r="G74" t="n">
        <v>3</v>
      </c>
      <c r="H74" t="n">
        <v>0</v>
      </c>
      <c r="I74" t="n">
        <v>0</v>
      </c>
      <c r="J74" t="n">
        <v>0</v>
      </c>
      <c r="K74" t="n">
        <v>0</v>
      </c>
      <c r="L74" t="n">
        <v>0</v>
      </c>
      <c r="M74" t="n">
        <v>0</v>
      </c>
      <c r="N74" t="n">
        <v>0</v>
      </c>
      <c r="O74" t="n">
        <v>0</v>
      </c>
      <c r="P74" t="n">
        <v>0</v>
      </c>
      <c r="Q74" t="n">
        <v>0</v>
      </c>
      <c r="R74" s="2" t="inlineStr"/>
    </row>
    <row r="75" ht="15" customHeight="1">
      <c r="A75" t="inlineStr">
        <is>
          <t>A 33824-2022</t>
        </is>
      </c>
      <c r="B75" s="1" t="n">
        <v>44790.47628472222</v>
      </c>
      <c r="C75" s="1" t="n">
        <v>46182</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55297-2021</t>
        </is>
      </c>
      <c r="B76" s="1" t="n">
        <v>44475</v>
      </c>
      <c r="C76" s="1" t="n">
        <v>46182</v>
      </c>
      <c r="D76" t="inlineStr">
        <is>
          <t>KALMAR LÄN</t>
        </is>
      </c>
      <c r="E76" t="inlineStr">
        <is>
          <t>VIMMERBY</t>
        </is>
      </c>
      <c r="G76" t="n">
        <v>4.1</v>
      </c>
      <c r="H76" t="n">
        <v>0</v>
      </c>
      <c r="I76" t="n">
        <v>0</v>
      </c>
      <c r="J76" t="n">
        <v>0</v>
      </c>
      <c r="K76" t="n">
        <v>0</v>
      </c>
      <c r="L76" t="n">
        <v>0</v>
      </c>
      <c r="M76" t="n">
        <v>0</v>
      </c>
      <c r="N76" t="n">
        <v>0</v>
      </c>
      <c r="O76" t="n">
        <v>0</v>
      </c>
      <c r="P76" t="n">
        <v>0</v>
      </c>
      <c r="Q76" t="n">
        <v>0</v>
      </c>
      <c r="R76" s="2" t="inlineStr"/>
    </row>
    <row r="77" ht="15" customHeight="1">
      <c r="A77" t="inlineStr">
        <is>
          <t>A 35531-2021</t>
        </is>
      </c>
      <c r="B77" s="1" t="n">
        <v>44385</v>
      </c>
      <c r="C77" s="1" t="n">
        <v>46182</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38789-2021</t>
        </is>
      </c>
      <c r="B78" s="1" t="n">
        <v>44410.71038194445</v>
      </c>
      <c r="C78" s="1" t="n">
        <v>46182</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16290-2022</t>
        </is>
      </c>
      <c r="B79" s="1" t="n">
        <v>44670</v>
      </c>
      <c r="C79" s="1" t="n">
        <v>46182</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30682-2021</t>
        </is>
      </c>
      <c r="B80" s="1" t="n">
        <v>44365</v>
      </c>
      <c r="C80" s="1" t="n">
        <v>46182</v>
      </c>
      <c r="D80" t="inlineStr">
        <is>
          <t>KALMAR LÄN</t>
        </is>
      </c>
      <c r="E80" t="inlineStr">
        <is>
          <t>VIMMERBY</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25049-2022</t>
        </is>
      </c>
      <c r="B81" s="1" t="n">
        <v>44729.28226851852</v>
      </c>
      <c r="C81" s="1" t="n">
        <v>46182</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31533-2022</t>
        </is>
      </c>
      <c r="B82" s="1" t="n">
        <v>44774</v>
      </c>
      <c r="C82" s="1" t="n">
        <v>46182</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25859-2022</t>
        </is>
      </c>
      <c r="B83" s="1" t="n">
        <v>44733</v>
      </c>
      <c r="C83" s="1" t="n">
        <v>46182</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25868-2022</t>
        </is>
      </c>
      <c r="B84" s="1" t="n">
        <v>44733</v>
      </c>
      <c r="C84" s="1" t="n">
        <v>46182</v>
      </c>
      <c r="D84" t="inlineStr">
        <is>
          <t>KALMAR LÄN</t>
        </is>
      </c>
      <c r="E84" t="inlineStr">
        <is>
          <t>VIMMERBY</t>
        </is>
      </c>
      <c r="G84" t="n">
        <v>1.7</v>
      </c>
      <c r="H84" t="n">
        <v>0</v>
      </c>
      <c r="I84" t="n">
        <v>0</v>
      </c>
      <c r="J84" t="n">
        <v>0</v>
      </c>
      <c r="K84" t="n">
        <v>0</v>
      </c>
      <c r="L84" t="n">
        <v>0</v>
      </c>
      <c r="M84" t="n">
        <v>0</v>
      </c>
      <c r="N84" t="n">
        <v>0</v>
      </c>
      <c r="O84" t="n">
        <v>0</v>
      </c>
      <c r="P84" t="n">
        <v>0</v>
      </c>
      <c r="Q84" t="n">
        <v>0</v>
      </c>
      <c r="R84" s="2" t="inlineStr"/>
    </row>
    <row r="85" ht="15" customHeight="1">
      <c r="A85" t="inlineStr">
        <is>
          <t>A 32386-2021</t>
        </is>
      </c>
      <c r="B85" s="1" t="n">
        <v>44371.62743055556</v>
      </c>
      <c r="C85" s="1" t="n">
        <v>46182</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35633-2021</t>
        </is>
      </c>
      <c r="B86" s="1" t="n">
        <v>44386.40783564815</v>
      </c>
      <c r="C86" s="1" t="n">
        <v>46182</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56343-2021</t>
        </is>
      </c>
      <c r="B87" s="1" t="n">
        <v>44480</v>
      </c>
      <c r="C87" s="1" t="n">
        <v>46182</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51972-2021</t>
        </is>
      </c>
      <c r="B88" s="1" t="n">
        <v>44463.29439814815</v>
      </c>
      <c r="C88" s="1" t="n">
        <v>46182</v>
      </c>
      <c r="D88" t="inlineStr">
        <is>
          <t>KALMAR LÄN</t>
        </is>
      </c>
      <c r="E88" t="inlineStr">
        <is>
          <t>VIMMERBY</t>
        </is>
      </c>
      <c r="G88" t="n">
        <v>4.5</v>
      </c>
      <c r="H88" t="n">
        <v>0</v>
      </c>
      <c r="I88" t="n">
        <v>0</v>
      </c>
      <c r="J88" t="n">
        <v>0</v>
      </c>
      <c r="K88" t="n">
        <v>0</v>
      </c>
      <c r="L88" t="n">
        <v>0</v>
      </c>
      <c r="M88" t="n">
        <v>0</v>
      </c>
      <c r="N88" t="n">
        <v>0</v>
      </c>
      <c r="O88" t="n">
        <v>0</v>
      </c>
      <c r="P88" t="n">
        <v>0</v>
      </c>
      <c r="Q88" t="n">
        <v>0</v>
      </c>
      <c r="R88" s="2" t="inlineStr"/>
    </row>
    <row r="89" ht="15" customHeight="1">
      <c r="A89" t="inlineStr">
        <is>
          <t>A 4042-2022</t>
        </is>
      </c>
      <c r="B89" s="1" t="n">
        <v>44588</v>
      </c>
      <c r="C89" s="1" t="n">
        <v>46182</v>
      </c>
      <c r="D89" t="inlineStr">
        <is>
          <t>KALMAR LÄN</t>
        </is>
      </c>
      <c r="E89" t="inlineStr">
        <is>
          <t>VIMMERBY</t>
        </is>
      </c>
      <c r="G89" t="n">
        <v>4.7</v>
      </c>
      <c r="H89" t="n">
        <v>0</v>
      </c>
      <c r="I89" t="n">
        <v>0</v>
      </c>
      <c r="J89" t="n">
        <v>0</v>
      </c>
      <c r="K89" t="n">
        <v>0</v>
      </c>
      <c r="L89" t="n">
        <v>0</v>
      </c>
      <c r="M89" t="n">
        <v>0</v>
      </c>
      <c r="N89" t="n">
        <v>0</v>
      </c>
      <c r="O89" t="n">
        <v>0</v>
      </c>
      <c r="P89" t="n">
        <v>0</v>
      </c>
      <c r="Q89" t="n">
        <v>0</v>
      </c>
      <c r="R89" s="2" t="inlineStr"/>
    </row>
    <row r="90" ht="15" customHeight="1">
      <c r="A90" t="inlineStr">
        <is>
          <t>A 33690-2022</t>
        </is>
      </c>
      <c r="B90" s="1" t="n">
        <v>44789</v>
      </c>
      <c r="C90" s="1" t="n">
        <v>46182</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35198-2021</t>
        </is>
      </c>
      <c r="B91" s="1" t="n">
        <v>44377</v>
      </c>
      <c r="C91" s="1" t="n">
        <v>46182</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63244-2021</t>
        </is>
      </c>
      <c r="B92" s="1" t="n">
        <v>44508</v>
      </c>
      <c r="C92" s="1" t="n">
        <v>46182</v>
      </c>
      <c r="D92" t="inlineStr">
        <is>
          <t>KALMAR LÄN</t>
        </is>
      </c>
      <c r="E92" t="inlineStr">
        <is>
          <t>VIMMERBY</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11814-2022</t>
        </is>
      </c>
      <c r="B93" s="1" t="n">
        <v>44634.69703703704</v>
      </c>
      <c r="C93" s="1" t="n">
        <v>46182</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56385-2021</t>
        </is>
      </c>
      <c r="B94" s="1" t="n">
        <v>44480</v>
      </c>
      <c r="C94" s="1" t="n">
        <v>46182</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8454-2022</t>
        </is>
      </c>
      <c r="B95" s="1" t="n">
        <v>44612.86762731482</v>
      </c>
      <c r="C95" s="1" t="n">
        <v>46182</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31053-2022</t>
        </is>
      </c>
      <c r="B96" s="1" t="n">
        <v>44769.45422453704</v>
      </c>
      <c r="C96" s="1" t="n">
        <v>46182</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65887-2021</t>
        </is>
      </c>
      <c r="B97" s="1" t="n">
        <v>44517</v>
      </c>
      <c r="C97" s="1" t="n">
        <v>46182</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39959-2022</t>
        </is>
      </c>
      <c r="B98" s="1" t="n">
        <v>44819</v>
      </c>
      <c r="C98" s="1" t="n">
        <v>46182</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7917-2022</t>
        </is>
      </c>
      <c r="B99" s="1" t="n">
        <v>44608</v>
      </c>
      <c r="C99" s="1" t="n">
        <v>46182</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47208-2021</t>
        </is>
      </c>
      <c r="B100" s="1" t="n">
        <v>44447.34237268518</v>
      </c>
      <c r="C100" s="1" t="n">
        <v>46182</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56389-2021</t>
        </is>
      </c>
      <c r="B101" s="1" t="n">
        <v>44480</v>
      </c>
      <c r="C101" s="1" t="n">
        <v>46182</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67952-2021</t>
        </is>
      </c>
      <c r="B102" s="1" t="n">
        <v>44525.63913194444</v>
      </c>
      <c r="C102" s="1" t="n">
        <v>46182</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15533-2022</t>
        </is>
      </c>
      <c r="B103" s="1" t="n">
        <v>44662</v>
      </c>
      <c r="C103" s="1" t="n">
        <v>46182</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165-2022</t>
        </is>
      </c>
      <c r="B104" s="1" t="n">
        <v>44564</v>
      </c>
      <c r="C104" s="1" t="n">
        <v>46182</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34040-2021</t>
        </is>
      </c>
      <c r="B105" s="1" t="n">
        <v>44379</v>
      </c>
      <c r="C105" s="1" t="n">
        <v>46182</v>
      </c>
      <c r="D105" t="inlineStr">
        <is>
          <t>KALMAR LÄN</t>
        </is>
      </c>
      <c r="E105" t="inlineStr">
        <is>
          <t>VIMMERBY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12107-2022</t>
        </is>
      </c>
      <c r="B106" s="1" t="n">
        <v>44636</v>
      </c>
      <c r="C106" s="1" t="n">
        <v>46182</v>
      </c>
      <c r="D106" t="inlineStr">
        <is>
          <t>KALMAR LÄN</t>
        </is>
      </c>
      <c r="E106" t="inlineStr">
        <is>
          <t>VIMMERBY</t>
        </is>
      </c>
      <c r="G106" t="n">
        <v>1.8</v>
      </c>
      <c r="H106" t="n">
        <v>0</v>
      </c>
      <c r="I106" t="n">
        <v>0</v>
      </c>
      <c r="J106" t="n">
        <v>0</v>
      </c>
      <c r="K106" t="n">
        <v>0</v>
      </c>
      <c r="L106" t="n">
        <v>0</v>
      </c>
      <c r="M106" t="n">
        <v>0</v>
      </c>
      <c r="N106" t="n">
        <v>0</v>
      </c>
      <c r="O106" t="n">
        <v>0</v>
      </c>
      <c r="P106" t="n">
        <v>0</v>
      </c>
      <c r="Q106" t="n">
        <v>0</v>
      </c>
      <c r="R106" s="2" t="inlineStr"/>
    </row>
    <row r="107" ht="15" customHeight="1">
      <c r="A107" t="inlineStr">
        <is>
          <t>A 39225-2022</t>
        </is>
      </c>
      <c r="B107" s="1" t="n">
        <v>44817.57988425926</v>
      </c>
      <c r="C107" s="1" t="n">
        <v>46182</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17029-2022</t>
        </is>
      </c>
      <c r="B108" s="1" t="n">
        <v>44676.85248842592</v>
      </c>
      <c r="C108" s="1" t="n">
        <v>46182</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7167-2022</t>
        </is>
      </c>
      <c r="B109" s="1" t="n">
        <v>44604</v>
      </c>
      <c r="C109" s="1" t="n">
        <v>46182</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35001-2021</t>
        </is>
      </c>
      <c r="B110" s="1" t="n">
        <v>44383</v>
      </c>
      <c r="C110" s="1" t="n">
        <v>46182</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55674-2021</t>
        </is>
      </c>
      <c r="B111" s="1" t="n">
        <v>44476</v>
      </c>
      <c r="C111" s="1" t="n">
        <v>46182</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40077-2021</t>
        </is>
      </c>
      <c r="B112" s="1" t="n">
        <v>44418</v>
      </c>
      <c r="C112" s="1" t="n">
        <v>46182</v>
      </c>
      <c r="D112" t="inlineStr">
        <is>
          <t>KALMAR LÄN</t>
        </is>
      </c>
      <c r="E112" t="inlineStr">
        <is>
          <t>VIMMERBY</t>
        </is>
      </c>
      <c r="G112" t="n">
        <v>2.9</v>
      </c>
      <c r="H112" t="n">
        <v>0</v>
      </c>
      <c r="I112" t="n">
        <v>0</v>
      </c>
      <c r="J112" t="n">
        <v>0</v>
      </c>
      <c r="K112" t="n">
        <v>0</v>
      </c>
      <c r="L112" t="n">
        <v>0</v>
      </c>
      <c r="M112" t="n">
        <v>0</v>
      </c>
      <c r="N112" t="n">
        <v>0</v>
      </c>
      <c r="O112" t="n">
        <v>0</v>
      </c>
      <c r="P112" t="n">
        <v>0</v>
      </c>
      <c r="Q112" t="n">
        <v>0</v>
      </c>
      <c r="R112" s="2" t="inlineStr"/>
    </row>
    <row r="113" ht="15" customHeight="1">
      <c r="A113" t="inlineStr">
        <is>
          <t>A 8453-2022</t>
        </is>
      </c>
      <c r="B113" s="1" t="n">
        <v>44612.86554398148</v>
      </c>
      <c r="C113" s="1" t="n">
        <v>46182</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52433-2021</t>
        </is>
      </c>
      <c r="B114" s="1" t="n">
        <v>44466.34726851852</v>
      </c>
      <c r="C114" s="1" t="n">
        <v>46182</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50621-2022</t>
        </is>
      </c>
      <c r="B115" s="1" t="n">
        <v>44866.81100694444</v>
      </c>
      <c r="C115" s="1" t="n">
        <v>46182</v>
      </c>
      <c r="D115" t="inlineStr">
        <is>
          <t>KALMAR LÄN</t>
        </is>
      </c>
      <c r="E115" t="inlineStr">
        <is>
          <t>VIMMERBY</t>
        </is>
      </c>
      <c r="F115" t="inlineStr">
        <is>
          <t>Övriga Aktiebolag</t>
        </is>
      </c>
      <c r="G115" t="n">
        <v>5.1</v>
      </c>
      <c r="H115" t="n">
        <v>0</v>
      </c>
      <c r="I115" t="n">
        <v>0</v>
      </c>
      <c r="J115" t="n">
        <v>0</v>
      </c>
      <c r="K115" t="n">
        <v>0</v>
      </c>
      <c r="L115" t="n">
        <v>0</v>
      </c>
      <c r="M115" t="n">
        <v>0</v>
      </c>
      <c r="N115" t="n">
        <v>0</v>
      </c>
      <c r="O115" t="n">
        <v>0</v>
      </c>
      <c r="P115" t="n">
        <v>0</v>
      </c>
      <c r="Q115" t="n">
        <v>0</v>
      </c>
      <c r="R115" s="2" t="inlineStr"/>
    </row>
    <row r="116" ht="15" customHeight="1">
      <c r="A116" t="inlineStr">
        <is>
          <t>A 47769-2022</t>
        </is>
      </c>
      <c r="B116" s="1" t="n">
        <v>44854</v>
      </c>
      <c r="C116" s="1" t="n">
        <v>46182</v>
      </c>
      <c r="D116" t="inlineStr">
        <is>
          <t>KALMAR LÄN</t>
        </is>
      </c>
      <c r="E116" t="inlineStr">
        <is>
          <t>VIMMERBY</t>
        </is>
      </c>
      <c r="G116" t="n">
        <v>1.1</v>
      </c>
      <c r="H116" t="n">
        <v>0</v>
      </c>
      <c r="I116" t="n">
        <v>0</v>
      </c>
      <c r="J116" t="n">
        <v>0</v>
      </c>
      <c r="K116" t="n">
        <v>0</v>
      </c>
      <c r="L116" t="n">
        <v>0</v>
      </c>
      <c r="M116" t="n">
        <v>0</v>
      </c>
      <c r="N116" t="n">
        <v>0</v>
      </c>
      <c r="O116" t="n">
        <v>0</v>
      </c>
      <c r="P116" t="n">
        <v>0</v>
      </c>
      <c r="Q116" t="n">
        <v>0</v>
      </c>
      <c r="R116" s="2" t="inlineStr"/>
    </row>
    <row r="117" ht="15" customHeight="1">
      <c r="A117" t="inlineStr">
        <is>
          <t>A 54065-2021</t>
        </is>
      </c>
      <c r="B117" s="1" t="n">
        <v>44470.44232638889</v>
      </c>
      <c r="C117" s="1" t="n">
        <v>46182</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31824-2022</t>
        </is>
      </c>
      <c r="B118" s="1" t="n">
        <v>44776</v>
      </c>
      <c r="C118" s="1" t="n">
        <v>46182</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11733-2022</t>
        </is>
      </c>
      <c r="B119" s="1" t="n">
        <v>44634</v>
      </c>
      <c r="C119" s="1" t="n">
        <v>46182</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32603-2021</t>
        </is>
      </c>
      <c r="B120" s="1" t="n">
        <v>44375.38789351852</v>
      </c>
      <c r="C120" s="1" t="n">
        <v>46182</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7804-2022</t>
        </is>
      </c>
      <c r="B121" s="1" t="n">
        <v>44608.50458333334</v>
      </c>
      <c r="C121" s="1" t="n">
        <v>46182</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39042-2022</t>
        </is>
      </c>
      <c r="B122" s="1" t="n">
        <v>44817</v>
      </c>
      <c r="C122" s="1" t="n">
        <v>46182</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36117-2021</t>
        </is>
      </c>
      <c r="B123" s="1" t="n">
        <v>44386</v>
      </c>
      <c r="C123" s="1" t="n">
        <v>46182</v>
      </c>
      <c r="D123" t="inlineStr">
        <is>
          <t>KALMAR LÄN</t>
        </is>
      </c>
      <c r="E123" t="inlineStr">
        <is>
          <t>VIMMERBY</t>
        </is>
      </c>
      <c r="G123" t="n">
        <v>0.7</v>
      </c>
      <c r="H123" t="n">
        <v>0</v>
      </c>
      <c r="I123" t="n">
        <v>0</v>
      </c>
      <c r="J123" t="n">
        <v>0</v>
      </c>
      <c r="K123" t="n">
        <v>0</v>
      </c>
      <c r="L123" t="n">
        <v>0</v>
      </c>
      <c r="M123" t="n">
        <v>0</v>
      </c>
      <c r="N123" t="n">
        <v>0</v>
      </c>
      <c r="O123" t="n">
        <v>0</v>
      </c>
      <c r="P123" t="n">
        <v>0</v>
      </c>
      <c r="Q123" t="n">
        <v>0</v>
      </c>
      <c r="R123" s="2" t="inlineStr"/>
    </row>
    <row r="124" ht="15" customHeight="1">
      <c r="A124" t="inlineStr">
        <is>
          <t>A 42521-2021</t>
        </is>
      </c>
      <c r="B124" s="1" t="n">
        <v>44427</v>
      </c>
      <c r="C124" s="1" t="n">
        <v>46182</v>
      </c>
      <c r="D124" t="inlineStr">
        <is>
          <t>KALMAR LÄN</t>
        </is>
      </c>
      <c r="E124" t="inlineStr">
        <is>
          <t>VIMMERBY</t>
        </is>
      </c>
      <c r="G124" t="n">
        <v>5.4</v>
      </c>
      <c r="H124" t="n">
        <v>0</v>
      </c>
      <c r="I124" t="n">
        <v>0</v>
      </c>
      <c r="J124" t="n">
        <v>0</v>
      </c>
      <c r="K124" t="n">
        <v>0</v>
      </c>
      <c r="L124" t="n">
        <v>0</v>
      </c>
      <c r="M124" t="n">
        <v>0</v>
      </c>
      <c r="N124" t="n">
        <v>0</v>
      </c>
      <c r="O124" t="n">
        <v>0</v>
      </c>
      <c r="P124" t="n">
        <v>0</v>
      </c>
      <c r="Q124" t="n">
        <v>0</v>
      </c>
      <c r="R124" s="2" t="inlineStr"/>
    </row>
    <row r="125" ht="15" customHeight="1">
      <c r="A125" t="inlineStr">
        <is>
          <t>A 48377-2021</t>
        </is>
      </c>
      <c r="B125" s="1" t="n">
        <v>44451.8375</v>
      </c>
      <c r="C125" s="1" t="n">
        <v>46182</v>
      </c>
      <c r="D125" t="inlineStr">
        <is>
          <t>KALMAR LÄN</t>
        </is>
      </c>
      <c r="E125" t="inlineStr">
        <is>
          <t>VIMMERBY</t>
        </is>
      </c>
      <c r="G125" t="n">
        <v>0.4</v>
      </c>
      <c r="H125" t="n">
        <v>0</v>
      </c>
      <c r="I125" t="n">
        <v>0</v>
      </c>
      <c r="J125" t="n">
        <v>0</v>
      </c>
      <c r="K125" t="n">
        <v>0</v>
      </c>
      <c r="L125" t="n">
        <v>0</v>
      </c>
      <c r="M125" t="n">
        <v>0</v>
      </c>
      <c r="N125" t="n">
        <v>0</v>
      </c>
      <c r="O125" t="n">
        <v>0</v>
      </c>
      <c r="P125" t="n">
        <v>0</v>
      </c>
      <c r="Q125" t="n">
        <v>0</v>
      </c>
      <c r="R125" s="2" t="inlineStr"/>
    </row>
    <row r="126" ht="15" customHeight="1">
      <c r="A126" t="inlineStr">
        <is>
          <t>A 40472-2022</t>
        </is>
      </c>
      <c r="B126" s="1" t="n">
        <v>44823</v>
      </c>
      <c r="C126" s="1" t="n">
        <v>46182</v>
      </c>
      <c r="D126" t="inlineStr">
        <is>
          <t>KALMAR LÄN</t>
        </is>
      </c>
      <c r="E126" t="inlineStr">
        <is>
          <t>VIMMERBY</t>
        </is>
      </c>
      <c r="G126" t="n">
        <v>2</v>
      </c>
      <c r="H126" t="n">
        <v>0</v>
      </c>
      <c r="I126" t="n">
        <v>0</v>
      </c>
      <c r="J126" t="n">
        <v>0</v>
      </c>
      <c r="K126" t="n">
        <v>0</v>
      </c>
      <c r="L126" t="n">
        <v>0</v>
      </c>
      <c r="M126" t="n">
        <v>0</v>
      </c>
      <c r="N126" t="n">
        <v>0</v>
      </c>
      <c r="O126" t="n">
        <v>0</v>
      </c>
      <c r="P126" t="n">
        <v>0</v>
      </c>
      <c r="Q126" t="n">
        <v>0</v>
      </c>
      <c r="R126" s="2" t="inlineStr"/>
    </row>
    <row r="127" ht="15" customHeight="1">
      <c r="A127" t="inlineStr">
        <is>
          <t>A 4076-2022</t>
        </is>
      </c>
      <c r="B127" s="1" t="n">
        <v>44588.37998842593</v>
      </c>
      <c r="C127" s="1" t="n">
        <v>46182</v>
      </c>
      <c r="D127" t="inlineStr">
        <is>
          <t>KALMAR LÄN</t>
        </is>
      </c>
      <c r="E127" t="inlineStr">
        <is>
          <t>VIMMERBY</t>
        </is>
      </c>
      <c r="G127" t="n">
        <v>3</v>
      </c>
      <c r="H127" t="n">
        <v>0</v>
      </c>
      <c r="I127" t="n">
        <v>0</v>
      </c>
      <c r="J127" t="n">
        <v>0</v>
      </c>
      <c r="K127" t="n">
        <v>0</v>
      </c>
      <c r="L127" t="n">
        <v>0</v>
      </c>
      <c r="M127" t="n">
        <v>0</v>
      </c>
      <c r="N127" t="n">
        <v>0</v>
      </c>
      <c r="O127" t="n">
        <v>0</v>
      </c>
      <c r="P127" t="n">
        <v>0</v>
      </c>
      <c r="Q127" t="n">
        <v>0</v>
      </c>
      <c r="R127" s="2" t="inlineStr"/>
    </row>
    <row r="128" ht="15" customHeight="1">
      <c r="A128" t="inlineStr">
        <is>
          <t>A 4122-2022</t>
        </is>
      </c>
      <c r="B128" s="1" t="n">
        <v>44588</v>
      </c>
      <c r="C128" s="1" t="n">
        <v>46182</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35316-2021</t>
        </is>
      </c>
      <c r="B129" s="1" t="n">
        <v>44384</v>
      </c>
      <c r="C129" s="1" t="n">
        <v>46182</v>
      </c>
      <c r="D129" t="inlineStr">
        <is>
          <t>KALMAR LÄN</t>
        </is>
      </c>
      <c r="E129" t="inlineStr">
        <is>
          <t>VIMMERBY</t>
        </is>
      </c>
      <c r="G129" t="n">
        <v>3.5</v>
      </c>
      <c r="H129" t="n">
        <v>0</v>
      </c>
      <c r="I129" t="n">
        <v>0</v>
      </c>
      <c r="J129" t="n">
        <v>0</v>
      </c>
      <c r="K129" t="n">
        <v>0</v>
      </c>
      <c r="L129" t="n">
        <v>0</v>
      </c>
      <c r="M129" t="n">
        <v>0</v>
      </c>
      <c r="N129" t="n">
        <v>0</v>
      </c>
      <c r="O129" t="n">
        <v>0</v>
      </c>
      <c r="P129" t="n">
        <v>0</v>
      </c>
      <c r="Q129" t="n">
        <v>0</v>
      </c>
      <c r="R129" s="2" t="inlineStr"/>
    </row>
    <row r="130" ht="15" customHeight="1">
      <c r="A130" t="inlineStr">
        <is>
          <t>A 33831-2022</t>
        </is>
      </c>
      <c r="B130" s="1" t="n">
        <v>44790.48503472222</v>
      </c>
      <c r="C130" s="1" t="n">
        <v>46182</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47708-2022</t>
        </is>
      </c>
      <c r="B131" s="1" t="n">
        <v>44854.59157407407</v>
      </c>
      <c r="C131" s="1" t="n">
        <v>46182</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72701-2021</t>
        </is>
      </c>
      <c r="B132" s="1" t="n">
        <v>44546</v>
      </c>
      <c r="C132" s="1" t="n">
        <v>46182</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33374-2021</t>
        </is>
      </c>
      <c r="B133" s="1" t="n">
        <v>44377</v>
      </c>
      <c r="C133" s="1" t="n">
        <v>46182</v>
      </c>
      <c r="D133" t="inlineStr">
        <is>
          <t>KALMAR LÄN</t>
        </is>
      </c>
      <c r="E133" t="inlineStr">
        <is>
          <t>VIMMERBY</t>
        </is>
      </c>
      <c r="G133" t="n">
        <v>3.3</v>
      </c>
      <c r="H133" t="n">
        <v>0</v>
      </c>
      <c r="I133" t="n">
        <v>0</v>
      </c>
      <c r="J133" t="n">
        <v>0</v>
      </c>
      <c r="K133" t="n">
        <v>0</v>
      </c>
      <c r="L133" t="n">
        <v>0</v>
      </c>
      <c r="M133" t="n">
        <v>0</v>
      </c>
      <c r="N133" t="n">
        <v>0</v>
      </c>
      <c r="O133" t="n">
        <v>0</v>
      </c>
      <c r="P133" t="n">
        <v>0</v>
      </c>
      <c r="Q133" t="n">
        <v>0</v>
      </c>
      <c r="R133" s="2" t="inlineStr"/>
    </row>
    <row r="134" ht="15" customHeight="1">
      <c r="A134" t="inlineStr">
        <is>
          <t>A 9918-2022</t>
        </is>
      </c>
      <c r="B134" s="1" t="n">
        <v>44620</v>
      </c>
      <c r="C134" s="1" t="n">
        <v>46182</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10807-2024</t>
        </is>
      </c>
      <c r="B135" s="1" t="n">
        <v>45369.62780092593</v>
      </c>
      <c r="C135" s="1" t="n">
        <v>46182</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46964-2022</t>
        </is>
      </c>
      <c r="B136" s="1" t="n">
        <v>44851.95016203704</v>
      </c>
      <c r="C136" s="1" t="n">
        <v>46182</v>
      </c>
      <c r="D136" t="inlineStr">
        <is>
          <t>KALMAR LÄN</t>
        </is>
      </c>
      <c r="E136" t="inlineStr">
        <is>
          <t>VIMMERBY</t>
        </is>
      </c>
      <c r="G136" t="n">
        <v>0.2</v>
      </c>
      <c r="H136" t="n">
        <v>0</v>
      </c>
      <c r="I136" t="n">
        <v>0</v>
      </c>
      <c r="J136" t="n">
        <v>0</v>
      </c>
      <c r="K136" t="n">
        <v>0</v>
      </c>
      <c r="L136" t="n">
        <v>0</v>
      </c>
      <c r="M136" t="n">
        <v>0</v>
      </c>
      <c r="N136" t="n">
        <v>0</v>
      </c>
      <c r="O136" t="n">
        <v>0</v>
      </c>
      <c r="P136" t="n">
        <v>0</v>
      </c>
      <c r="Q136" t="n">
        <v>0</v>
      </c>
      <c r="R136" s="2" t="inlineStr"/>
    </row>
    <row r="137" ht="15" customHeight="1">
      <c r="A137" t="inlineStr">
        <is>
          <t>A 30402-2023</t>
        </is>
      </c>
      <c r="B137" s="1" t="n">
        <v>45111.48395833333</v>
      </c>
      <c r="C137" s="1" t="n">
        <v>46182</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33359-2021</t>
        </is>
      </c>
      <c r="B138" s="1" t="n">
        <v>44377.49684027778</v>
      </c>
      <c r="C138" s="1" t="n">
        <v>46182</v>
      </c>
      <c r="D138" t="inlineStr">
        <is>
          <t>KALMAR LÄN</t>
        </is>
      </c>
      <c r="E138" t="inlineStr">
        <is>
          <t>VIMMERBY</t>
        </is>
      </c>
      <c r="F138" t="inlineStr">
        <is>
          <t>Kommuner</t>
        </is>
      </c>
      <c r="G138" t="n">
        <v>8</v>
      </c>
      <c r="H138" t="n">
        <v>0</v>
      </c>
      <c r="I138" t="n">
        <v>0</v>
      </c>
      <c r="J138" t="n">
        <v>0</v>
      </c>
      <c r="K138" t="n">
        <v>0</v>
      </c>
      <c r="L138" t="n">
        <v>0</v>
      </c>
      <c r="M138" t="n">
        <v>0</v>
      </c>
      <c r="N138" t="n">
        <v>0</v>
      </c>
      <c r="O138" t="n">
        <v>0</v>
      </c>
      <c r="P138" t="n">
        <v>0</v>
      </c>
      <c r="Q138" t="n">
        <v>0</v>
      </c>
      <c r="R138" s="2" t="inlineStr"/>
    </row>
    <row r="139" ht="15" customHeight="1">
      <c r="A139" t="inlineStr">
        <is>
          <t>A 34588-2024</t>
        </is>
      </c>
      <c r="B139" s="1" t="n">
        <v>45526.3865625</v>
      </c>
      <c r="C139" s="1" t="n">
        <v>46182</v>
      </c>
      <c r="D139" t="inlineStr">
        <is>
          <t>KALMAR LÄN</t>
        </is>
      </c>
      <c r="E139" t="inlineStr">
        <is>
          <t>VIMMERBY</t>
        </is>
      </c>
      <c r="F139" t="inlineStr">
        <is>
          <t>Övriga Aktiebolag</t>
        </is>
      </c>
      <c r="G139" t="n">
        <v>3.3</v>
      </c>
      <c r="H139" t="n">
        <v>0</v>
      </c>
      <c r="I139" t="n">
        <v>0</v>
      </c>
      <c r="J139" t="n">
        <v>0</v>
      </c>
      <c r="K139" t="n">
        <v>0</v>
      </c>
      <c r="L139" t="n">
        <v>0</v>
      </c>
      <c r="M139" t="n">
        <v>0</v>
      </c>
      <c r="N139" t="n">
        <v>0</v>
      </c>
      <c r="O139" t="n">
        <v>0</v>
      </c>
      <c r="P139" t="n">
        <v>0</v>
      </c>
      <c r="Q139" t="n">
        <v>0</v>
      </c>
      <c r="R139" s="2" t="inlineStr"/>
    </row>
    <row r="140" ht="15" customHeight="1">
      <c r="A140" t="inlineStr">
        <is>
          <t>A 17084-2025</t>
        </is>
      </c>
      <c r="B140" s="1" t="n">
        <v>45755.64450231481</v>
      </c>
      <c r="C140" s="1" t="n">
        <v>46182</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11609-2023</t>
        </is>
      </c>
      <c r="B141" s="1" t="n">
        <v>44994.40635416667</v>
      </c>
      <c r="C141" s="1" t="n">
        <v>46182</v>
      </c>
      <c r="D141" t="inlineStr">
        <is>
          <t>KALMAR LÄN</t>
        </is>
      </c>
      <c r="E141" t="inlineStr">
        <is>
          <t>VIMMERBY</t>
        </is>
      </c>
      <c r="G141" t="n">
        <v>4.9</v>
      </c>
      <c r="H141" t="n">
        <v>0</v>
      </c>
      <c r="I141" t="n">
        <v>0</v>
      </c>
      <c r="J141" t="n">
        <v>0</v>
      </c>
      <c r="K141" t="n">
        <v>0</v>
      </c>
      <c r="L141" t="n">
        <v>0</v>
      </c>
      <c r="M141" t="n">
        <v>0</v>
      </c>
      <c r="N141" t="n">
        <v>0</v>
      </c>
      <c r="O141" t="n">
        <v>0</v>
      </c>
      <c r="P141" t="n">
        <v>0</v>
      </c>
      <c r="Q141" t="n">
        <v>0</v>
      </c>
      <c r="R141" s="2" t="inlineStr"/>
    </row>
    <row r="142" ht="15" customHeight="1">
      <c r="A142" t="inlineStr">
        <is>
          <t>A 13180-2022</t>
        </is>
      </c>
      <c r="B142" s="1" t="n">
        <v>44644</v>
      </c>
      <c r="C142" s="1" t="n">
        <v>46182</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16983-2023</t>
        </is>
      </c>
      <c r="B143" s="1" t="n">
        <v>45033.76043981482</v>
      </c>
      <c r="C143" s="1" t="n">
        <v>46182</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46144-2023</t>
        </is>
      </c>
      <c r="B144" s="1" t="n">
        <v>45196.57247685185</v>
      </c>
      <c r="C144" s="1" t="n">
        <v>46182</v>
      </c>
      <c r="D144" t="inlineStr">
        <is>
          <t>KALMAR LÄN</t>
        </is>
      </c>
      <c r="E144" t="inlineStr">
        <is>
          <t>VIMMERBY</t>
        </is>
      </c>
      <c r="G144" t="n">
        <v>6.5</v>
      </c>
      <c r="H144" t="n">
        <v>0</v>
      </c>
      <c r="I144" t="n">
        <v>0</v>
      </c>
      <c r="J144" t="n">
        <v>0</v>
      </c>
      <c r="K144" t="n">
        <v>0</v>
      </c>
      <c r="L144" t="n">
        <v>0</v>
      </c>
      <c r="M144" t="n">
        <v>0</v>
      </c>
      <c r="N144" t="n">
        <v>0</v>
      </c>
      <c r="O144" t="n">
        <v>0</v>
      </c>
      <c r="P144" t="n">
        <v>0</v>
      </c>
      <c r="Q144" t="n">
        <v>0</v>
      </c>
      <c r="R144" s="2" t="inlineStr"/>
    </row>
    <row r="145" ht="15" customHeight="1">
      <c r="A145" t="inlineStr">
        <is>
          <t>A 23825-2022</t>
        </is>
      </c>
      <c r="B145" s="1" t="n">
        <v>44722.48768518519</v>
      </c>
      <c r="C145" s="1" t="n">
        <v>46182</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14359-2025</t>
        </is>
      </c>
      <c r="B146" s="1" t="n">
        <v>45741.37270833334</v>
      </c>
      <c r="C146" s="1" t="n">
        <v>46182</v>
      </c>
      <c r="D146" t="inlineStr">
        <is>
          <t>KALMAR LÄN</t>
        </is>
      </c>
      <c r="E146" t="inlineStr">
        <is>
          <t>VIMMERBY</t>
        </is>
      </c>
      <c r="G146" t="n">
        <v>2</v>
      </c>
      <c r="H146" t="n">
        <v>0</v>
      </c>
      <c r="I146" t="n">
        <v>0</v>
      </c>
      <c r="J146" t="n">
        <v>0</v>
      </c>
      <c r="K146" t="n">
        <v>0</v>
      </c>
      <c r="L146" t="n">
        <v>0</v>
      </c>
      <c r="M146" t="n">
        <v>0</v>
      </c>
      <c r="N146" t="n">
        <v>0</v>
      </c>
      <c r="O146" t="n">
        <v>0</v>
      </c>
      <c r="P146" t="n">
        <v>0</v>
      </c>
      <c r="Q146" t="n">
        <v>0</v>
      </c>
      <c r="R146" s="2" t="inlineStr"/>
    </row>
    <row r="147" ht="15" customHeight="1">
      <c r="A147" t="inlineStr">
        <is>
          <t>A 31382-2023</t>
        </is>
      </c>
      <c r="B147" s="1" t="n">
        <v>45114.55136574074</v>
      </c>
      <c r="C147" s="1" t="n">
        <v>46182</v>
      </c>
      <c r="D147" t="inlineStr">
        <is>
          <t>KALMAR LÄN</t>
        </is>
      </c>
      <c r="E147" t="inlineStr">
        <is>
          <t>VIMMERBY</t>
        </is>
      </c>
      <c r="G147" t="n">
        <v>3.7</v>
      </c>
      <c r="H147" t="n">
        <v>0</v>
      </c>
      <c r="I147" t="n">
        <v>0</v>
      </c>
      <c r="J147" t="n">
        <v>0</v>
      </c>
      <c r="K147" t="n">
        <v>0</v>
      </c>
      <c r="L147" t="n">
        <v>0</v>
      </c>
      <c r="M147" t="n">
        <v>0</v>
      </c>
      <c r="N147" t="n">
        <v>0</v>
      </c>
      <c r="O147" t="n">
        <v>0</v>
      </c>
      <c r="P147" t="n">
        <v>0</v>
      </c>
      <c r="Q147" t="n">
        <v>0</v>
      </c>
      <c r="R147" s="2" t="inlineStr"/>
    </row>
    <row r="148" ht="15" customHeight="1">
      <c r="A148" t="inlineStr">
        <is>
          <t>A 47473-2021</t>
        </is>
      </c>
      <c r="B148" s="1" t="n">
        <v>44447</v>
      </c>
      <c r="C148" s="1" t="n">
        <v>46182</v>
      </c>
      <c r="D148" t="inlineStr">
        <is>
          <t>KALMAR LÄN</t>
        </is>
      </c>
      <c r="E148" t="inlineStr">
        <is>
          <t>VIMMERBY</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56213-2024</t>
        </is>
      </c>
      <c r="B149" s="1" t="n">
        <v>45624.60141203704</v>
      </c>
      <c r="C149" s="1" t="n">
        <v>46182</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54409-2024</t>
        </is>
      </c>
      <c r="B150" s="1" t="n">
        <v>45617.47570601852</v>
      </c>
      <c r="C150" s="1" t="n">
        <v>46182</v>
      </c>
      <c r="D150" t="inlineStr">
        <is>
          <t>KALMAR LÄN</t>
        </is>
      </c>
      <c r="E150" t="inlineStr">
        <is>
          <t>VIMMERBY</t>
        </is>
      </c>
      <c r="G150" t="n">
        <v>4.3</v>
      </c>
      <c r="H150" t="n">
        <v>0</v>
      </c>
      <c r="I150" t="n">
        <v>0</v>
      </c>
      <c r="J150" t="n">
        <v>0</v>
      </c>
      <c r="K150" t="n">
        <v>0</v>
      </c>
      <c r="L150" t="n">
        <v>0</v>
      </c>
      <c r="M150" t="n">
        <v>0</v>
      </c>
      <c r="N150" t="n">
        <v>0</v>
      </c>
      <c r="O150" t="n">
        <v>0</v>
      </c>
      <c r="P150" t="n">
        <v>0</v>
      </c>
      <c r="Q150" t="n">
        <v>0</v>
      </c>
      <c r="R150" s="2" t="inlineStr"/>
    </row>
    <row r="151" ht="15" customHeight="1">
      <c r="A151" t="inlineStr">
        <is>
          <t>A 55605-2024</t>
        </is>
      </c>
      <c r="B151" s="1" t="n">
        <v>45622</v>
      </c>
      <c r="C151" s="1" t="n">
        <v>46182</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44464-2024</t>
        </is>
      </c>
      <c r="B152" s="1" t="n">
        <v>45574.35809027778</v>
      </c>
      <c r="C152" s="1" t="n">
        <v>46182</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36049-2024</t>
        </is>
      </c>
      <c r="B153" s="1" t="n">
        <v>45533.61996527778</v>
      </c>
      <c r="C153" s="1" t="n">
        <v>46182</v>
      </c>
      <c r="D153" t="inlineStr">
        <is>
          <t>KALMAR LÄN</t>
        </is>
      </c>
      <c r="E153" t="inlineStr">
        <is>
          <t>VIMMERBY</t>
        </is>
      </c>
      <c r="F153" t="inlineStr">
        <is>
          <t>Kommuner</t>
        </is>
      </c>
      <c r="G153" t="n">
        <v>2.6</v>
      </c>
      <c r="H153" t="n">
        <v>0</v>
      </c>
      <c r="I153" t="n">
        <v>0</v>
      </c>
      <c r="J153" t="n">
        <v>0</v>
      </c>
      <c r="K153" t="n">
        <v>0</v>
      </c>
      <c r="L153" t="n">
        <v>0</v>
      </c>
      <c r="M153" t="n">
        <v>0</v>
      </c>
      <c r="N153" t="n">
        <v>0</v>
      </c>
      <c r="O153" t="n">
        <v>0</v>
      </c>
      <c r="P153" t="n">
        <v>0</v>
      </c>
      <c r="Q153" t="n">
        <v>0</v>
      </c>
      <c r="R153" s="2" t="inlineStr"/>
    </row>
    <row r="154" ht="15" customHeight="1">
      <c r="A154" t="inlineStr">
        <is>
          <t>A 10086-2022</t>
        </is>
      </c>
      <c r="B154" s="1" t="n">
        <v>44621</v>
      </c>
      <c r="C154" s="1" t="n">
        <v>46182</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16825-2024</t>
        </is>
      </c>
      <c r="B155" s="1" t="n">
        <v>45411.47335648148</v>
      </c>
      <c r="C155" s="1" t="n">
        <v>46182</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7643-2022</t>
        </is>
      </c>
      <c r="B156" s="1" t="n">
        <v>44607</v>
      </c>
      <c r="C156" s="1" t="n">
        <v>46182</v>
      </c>
      <c r="D156" t="inlineStr">
        <is>
          <t>KALMAR LÄN</t>
        </is>
      </c>
      <c r="E156" t="inlineStr">
        <is>
          <t>VIMMERBY</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41056-2022</t>
        </is>
      </c>
      <c r="B157" s="1" t="n">
        <v>44824</v>
      </c>
      <c r="C157" s="1" t="n">
        <v>46182</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31660-2021</t>
        </is>
      </c>
      <c r="B158" s="1" t="n">
        <v>44369</v>
      </c>
      <c r="C158" s="1" t="n">
        <v>46182</v>
      </c>
      <c r="D158" t="inlineStr">
        <is>
          <t>KALMAR LÄN</t>
        </is>
      </c>
      <c r="E158" t="inlineStr">
        <is>
          <t>VIMMERBY</t>
        </is>
      </c>
      <c r="G158" t="n">
        <v>4.2</v>
      </c>
      <c r="H158" t="n">
        <v>0</v>
      </c>
      <c r="I158" t="n">
        <v>0</v>
      </c>
      <c r="J158" t="n">
        <v>0</v>
      </c>
      <c r="K158" t="n">
        <v>0</v>
      </c>
      <c r="L158" t="n">
        <v>0</v>
      </c>
      <c r="M158" t="n">
        <v>0</v>
      </c>
      <c r="N158" t="n">
        <v>0</v>
      </c>
      <c r="O158" t="n">
        <v>0</v>
      </c>
      <c r="P158" t="n">
        <v>0</v>
      </c>
      <c r="Q158" t="n">
        <v>0</v>
      </c>
      <c r="R158" s="2" t="inlineStr"/>
    </row>
    <row r="159" ht="15" customHeight="1">
      <c r="A159" t="inlineStr">
        <is>
          <t>A 27455-2022</t>
        </is>
      </c>
      <c r="B159" s="1" t="n">
        <v>44742</v>
      </c>
      <c r="C159" s="1" t="n">
        <v>46182</v>
      </c>
      <c r="D159" t="inlineStr">
        <is>
          <t>KALMAR LÄN</t>
        </is>
      </c>
      <c r="E159" t="inlineStr">
        <is>
          <t>VIMMERBY</t>
        </is>
      </c>
      <c r="G159" t="n">
        <v>1.6</v>
      </c>
      <c r="H159" t="n">
        <v>0</v>
      </c>
      <c r="I159" t="n">
        <v>0</v>
      </c>
      <c r="J159" t="n">
        <v>0</v>
      </c>
      <c r="K159" t="n">
        <v>0</v>
      </c>
      <c r="L159" t="n">
        <v>0</v>
      </c>
      <c r="M159" t="n">
        <v>0</v>
      </c>
      <c r="N159" t="n">
        <v>0</v>
      </c>
      <c r="O159" t="n">
        <v>0</v>
      </c>
      <c r="P159" t="n">
        <v>0</v>
      </c>
      <c r="Q159" t="n">
        <v>0</v>
      </c>
      <c r="R159" s="2" t="inlineStr"/>
    </row>
    <row r="160" ht="15" customHeight="1">
      <c r="A160" t="inlineStr">
        <is>
          <t>A 11027-2023</t>
        </is>
      </c>
      <c r="B160" s="1" t="n">
        <v>44991.89657407408</v>
      </c>
      <c r="C160" s="1" t="n">
        <v>46182</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53483-2022</t>
        </is>
      </c>
      <c r="B161" s="1" t="n">
        <v>44879.55940972222</v>
      </c>
      <c r="C161" s="1" t="n">
        <v>46182</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53145-2022</t>
        </is>
      </c>
      <c r="B162" s="1" t="n">
        <v>44876.48346064815</v>
      </c>
      <c r="C162" s="1" t="n">
        <v>46182</v>
      </c>
      <c r="D162" t="inlineStr">
        <is>
          <t>KALMAR LÄN</t>
        </is>
      </c>
      <c r="E162" t="inlineStr">
        <is>
          <t>VIMMERBY</t>
        </is>
      </c>
      <c r="G162" t="n">
        <v>0.4</v>
      </c>
      <c r="H162" t="n">
        <v>0</v>
      </c>
      <c r="I162" t="n">
        <v>0</v>
      </c>
      <c r="J162" t="n">
        <v>0</v>
      </c>
      <c r="K162" t="n">
        <v>0</v>
      </c>
      <c r="L162" t="n">
        <v>0</v>
      </c>
      <c r="M162" t="n">
        <v>0</v>
      </c>
      <c r="N162" t="n">
        <v>0</v>
      </c>
      <c r="O162" t="n">
        <v>0</v>
      </c>
      <c r="P162" t="n">
        <v>0</v>
      </c>
      <c r="Q162" t="n">
        <v>0</v>
      </c>
      <c r="R162" s="2" t="inlineStr"/>
    </row>
    <row r="163" ht="15" customHeight="1">
      <c r="A163" t="inlineStr">
        <is>
          <t>A 58962-2022</t>
        </is>
      </c>
      <c r="B163" s="1" t="n">
        <v>44903</v>
      </c>
      <c r="C163" s="1" t="n">
        <v>46182</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25738-2022</t>
        </is>
      </c>
      <c r="B164" s="1" t="n">
        <v>44733.43092592592</v>
      </c>
      <c r="C164" s="1" t="n">
        <v>46182</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8194-2022</t>
        </is>
      </c>
      <c r="B165" s="1" t="n">
        <v>44609</v>
      </c>
      <c r="C165" s="1" t="n">
        <v>46182</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10837-2023</t>
        </is>
      </c>
      <c r="B166" s="1" t="n">
        <v>44991.30547453704</v>
      </c>
      <c r="C166" s="1" t="n">
        <v>46182</v>
      </c>
      <c r="D166" t="inlineStr">
        <is>
          <t>KALMAR LÄN</t>
        </is>
      </c>
      <c r="E166" t="inlineStr">
        <is>
          <t>VIMMERBY</t>
        </is>
      </c>
      <c r="G166" t="n">
        <v>7.3</v>
      </c>
      <c r="H166" t="n">
        <v>0</v>
      </c>
      <c r="I166" t="n">
        <v>0</v>
      </c>
      <c r="J166" t="n">
        <v>0</v>
      </c>
      <c r="K166" t="n">
        <v>0</v>
      </c>
      <c r="L166" t="n">
        <v>0</v>
      </c>
      <c r="M166" t="n">
        <v>0</v>
      </c>
      <c r="N166" t="n">
        <v>0</v>
      </c>
      <c r="O166" t="n">
        <v>0</v>
      </c>
      <c r="P166" t="n">
        <v>0</v>
      </c>
      <c r="Q166" t="n">
        <v>0</v>
      </c>
      <c r="R166" s="2" t="inlineStr"/>
    </row>
    <row r="167" ht="15" customHeight="1">
      <c r="A167" t="inlineStr">
        <is>
          <t>A 40971-2021</t>
        </is>
      </c>
      <c r="B167" s="1" t="n">
        <v>44421</v>
      </c>
      <c r="C167" s="1" t="n">
        <v>46182</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10838-2023</t>
        </is>
      </c>
      <c r="B168" s="1" t="n">
        <v>44991</v>
      </c>
      <c r="C168" s="1" t="n">
        <v>46182</v>
      </c>
      <c r="D168" t="inlineStr">
        <is>
          <t>KALMAR LÄN</t>
        </is>
      </c>
      <c r="E168" t="inlineStr">
        <is>
          <t>VIMMERBY</t>
        </is>
      </c>
      <c r="G168" t="n">
        <v>5.1</v>
      </c>
      <c r="H168" t="n">
        <v>0</v>
      </c>
      <c r="I168" t="n">
        <v>0</v>
      </c>
      <c r="J168" t="n">
        <v>0</v>
      </c>
      <c r="K168" t="n">
        <v>0</v>
      </c>
      <c r="L168" t="n">
        <v>0</v>
      </c>
      <c r="M168" t="n">
        <v>0</v>
      </c>
      <c r="N168" t="n">
        <v>0</v>
      </c>
      <c r="O168" t="n">
        <v>0</v>
      </c>
      <c r="P168" t="n">
        <v>0</v>
      </c>
      <c r="Q168" t="n">
        <v>0</v>
      </c>
      <c r="R168" s="2" t="inlineStr"/>
    </row>
    <row r="169" ht="15" customHeight="1">
      <c r="A169" t="inlineStr">
        <is>
          <t>A 43038-2022</t>
        </is>
      </c>
      <c r="B169" s="1" t="n">
        <v>44833.60123842592</v>
      </c>
      <c r="C169" s="1" t="n">
        <v>46182</v>
      </c>
      <c r="D169" t="inlineStr">
        <is>
          <t>KALMAR LÄN</t>
        </is>
      </c>
      <c r="E169" t="inlineStr">
        <is>
          <t>VIMMERBY</t>
        </is>
      </c>
      <c r="G169" t="n">
        <v>4.2</v>
      </c>
      <c r="H169" t="n">
        <v>0</v>
      </c>
      <c r="I169" t="n">
        <v>0</v>
      </c>
      <c r="J169" t="n">
        <v>0</v>
      </c>
      <c r="K169" t="n">
        <v>0</v>
      </c>
      <c r="L169" t="n">
        <v>0</v>
      </c>
      <c r="M169" t="n">
        <v>0</v>
      </c>
      <c r="N169" t="n">
        <v>0</v>
      </c>
      <c r="O169" t="n">
        <v>0</v>
      </c>
      <c r="P169" t="n">
        <v>0</v>
      </c>
      <c r="Q169" t="n">
        <v>0</v>
      </c>
      <c r="R169" s="2" t="inlineStr"/>
    </row>
    <row r="170" ht="15" customHeight="1">
      <c r="A170" t="inlineStr">
        <is>
          <t>A 57799-2022</t>
        </is>
      </c>
      <c r="B170" s="1" t="n">
        <v>44897</v>
      </c>
      <c r="C170" s="1" t="n">
        <v>46182</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30921-2024</t>
        </is>
      </c>
      <c r="B171" s="1" t="n">
        <v>45498</v>
      </c>
      <c r="C171" s="1" t="n">
        <v>46182</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19162-2023</t>
        </is>
      </c>
      <c r="B172" s="1" t="n">
        <v>45048.59699074074</v>
      </c>
      <c r="C172" s="1" t="n">
        <v>46182</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9475-2023</t>
        </is>
      </c>
      <c r="B173" s="1" t="n">
        <v>44981.58834490741</v>
      </c>
      <c r="C173" s="1" t="n">
        <v>46182</v>
      </c>
      <c r="D173" t="inlineStr">
        <is>
          <t>KALMAR LÄN</t>
        </is>
      </c>
      <c r="E173" t="inlineStr">
        <is>
          <t>VIMMERBY</t>
        </is>
      </c>
      <c r="G173" t="n">
        <v>2</v>
      </c>
      <c r="H173" t="n">
        <v>0</v>
      </c>
      <c r="I173" t="n">
        <v>0</v>
      </c>
      <c r="J173" t="n">
        <v>0</v>
      </c>
      <c r="K173" t="n">
        <v>0</v>
      </c>
      <c r="L173" t="n">
        <v>0</v>
      </c>
      <c r="M173" t="n">
        <v>0</v>
      </c>
      <c r="N173" t="n">
        <v>0</v>
      </c>
      <c r="O173" t="n">
        <v>0</v>
      </c>
      <c r="P173" t="n">
        <v>0</v>
      </c>
      <c r="Q173" t="n">
        <v>0</v>
      </c>
      <c r="R173" s="2" t="inlineStr"/>
    </row>
    <row r="174" ht="15" customHeight="1">
      <c r="A174" t="inlineStr">
        <is>
          <t>A 11946-2025</t>
        </is>
      </c>
      <c r="B174" s="1" t="n">
        <v>45728.54832175926</v>
      </c>
      <c r="C174" s="1" t="n">
        <v>46182</v>
      </c>
      <c r="D174" t="inlineStr">
        <is>
          <t>KALMAR LÄN</t>
        </is>
      </c>
      <c r="E174" t="inlineStr">
        <is>
          <t>VIMMERBY</t>
        </is>
      </c>
      <c r="G174" t="n">
        <v>0.4</v>
      </c>
      <c r="H174" t="n">
        <v>0</v>
      </c>
      <c r="I174" t="n">
        <v>0</v>
      </c>
      <c r="J174" t="n">
        <v>0</v>
      </c>
      <c r="K174" t="n">
        <v>0</v>
      </c>
      <c r="L174" t="n">
        <v>0</v>
      </c>
      <c r="M174" t="n">
        <v>0</v>
      </c>
      <c r="N174" t="n">
        <v>0</v>
      </c>
      <c r="O174" t="n">
        <v>0</v>
      </c>
      <c r="P174" t="n">
        <v>0</v>
      </c>
      <c r="Q174" t="n">
        <v>0</v>
      </c>
      <c r="R174" s="2" t="inlineStr"/>
    </row>
    <row r="175" ht="15" customHeight="1">
      <c r="A175" t="inlineStr">
        <is>
          <t>A 19537-2022</t>
        </is>
      </c>
      <c r="B175" s="1" t="n">
        <v>44693.62822916666</v>
      </c>
      <c r="C175" s="1" t="n">
        <v>46182</v>
      </c>
      <c r="D175" t="inlineStr">
        <is>
          <t>KALMAR LÄN</t>
        </is>
      </c>
      <c r="E175" t="inlineStr">
        <is>
          <t>VIMMERBY</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14137-2023</t>
        </is>
      </c>
      <c r="B176" s="1" t="n">
        <v>45009.4671875</v>
      </c>
      <c r="C176" s="1" t="n">
        <v>46182</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60951-2023</t>
        </is>
      </c>
      <c r="B177" s="1" t="n">
        <v>45261.44914351852</v>
      </c>
      <c r="C177" s="1" t="n">
        <v>46182</v>
      </c>
      <c r="D177" t="inlineStr">
        <is>
          <t>KALMAR LÄN</t>
        </is>
      </c>
      <c r="E177" t="inlineStr">
        <is>
          <t>VIMMERBY</t>
        </is>
      </c>
      <c r="G177" t="n">
        <v>4.3</v>
      </c>
      <c r="H177" t="n">
        <v>0</v>
      </c>
      <c r="I177" t="n">
        <v>0</v>
      </c>
      <c r="J177" t="n">
        <v>0</v>
      </c>
      <c r="K177" t="n">
        <v>0</v>
      </c>
      <c r="L177" t="n">
        <v>0</v>
      </c>
      <c r="M177" t="n">
        <v>0</v>
      </c>
      <c r="N177" t="n">
        <v>0</v>
      </c>
      <c r="O177" t="n">
        <v>0</v>
      </c>
      <c r="P177" t="n">
        <v>0</v>
      </c>
      <c r="Q177" t="n">
        <v>0</v>
      </c>
      <c r="R177" s="2" t="inlineStr"/>
    </row>
    <row r="178" ht="15" customHeight="1">
      <c r="A178" t="inlineStr">
        <is>
          <t>A 60292-2022</t>
        </is>
      </c>
      <c r="B178" s="1" t="n">
        <v>44910.54231481482</v>
      </c>
      <c r="C178" s="1" t="n">
        <v>46182</v>
      </c>
      <c r="D178" t="inlineStr">
        <is>
          <t>KALMAR LÄN</t>
        </is>
      </c>
      <c r="E178" t="inlineStr">
        <is>
          <t>VIMMERBY</t>
        </is>
      </c>
      <c r="G178" t="n">
        <v>4.4</v>
      </c>
      <c r="H178" t="n">
        <v>0</v>
      </c>
      <c r="I178" t="n">
        <v>0</v>
      </c>
      <c r="J178" t="n">
        <v>0</v>
      </c>
      <c r="K178" t="n">
        <v>0</v>
      </c>
      <c r="L178" t="n">
        <v>0</v>
      </c>
      <c r="M178" t="n">
        <v>0</v>
      </c>
      <c r="N178" t="n">
        <v>0</v>
      </c>
      <c r="O178" t="n">
        <v>0</v>
      </c>
      <c r="P178" t="n">
        <v>0</v>
      </c>
      <c r="Q178" t="n">
        <v>0</v>
      </c>
      <c r="R178" s="2" t="inlineStr"/>
    </row>
    <row r="179" ht="15" customHeight="1">
      <c r="A179" t="inlineStr">
        <is>
          <t>A 7485-2024</t>
        </is>
      </c>
      <c r="B179" s="1" t="n">
        <v>45346.67184027778</v>
      </c>
      <c r="C179" s="1" t="n">
        <v>46182</v>
      </c>
      <c r="D179" t="inlineStr">
        <is>
          <t>KALMAR LÄN</t>
        </is>
      </c>
      <c r="E179" t="inlineStr">
        <is>
          <t>VIMMERBY</t>
        </is>
      </c>
      <c r="G179" t="n">
        <v>1.9</v>
      </c>
      <c r="H179" t="n">
        <v>0</v>
      </c>
      <c r="I179" t="n">
        <v>0</v>
      </c>
      <c r="J179" t="n">
        <v>0</v>
      </c>
      <c r="K179" t="n">
        <v>0</v>
      </c>
      <c r="L179" t="n">
        <v>0</v>
      </c>
      <c r="M179" t="n">
        <v>0</v>
      </c>
      <c r="N179" t="n">
        <v>0</v>
      </c>
      <c r="O179" t="n">
        <v>0</v>
      </c>
      <c r="P179" t="n">
        <v>0</v>
      </c>
      <c r="Q179" t="n">
        <v>0</v>
      </c>
      <c r="R179" s="2" t="inlineStr"/>
    </row>
    <row r="180" ht="15" customHeight="1">
      <c r="A180" t="inlineStr">
        <is>
          <t>A 11152-2023</t>
        </is>
      </c>
      <c r="B180" s="1" t="n">
        <v>44992</v>
      </c>
      <c r="C180" s="1" t="n">
        <v>46182</v>
      </c>
      <c r="D180" t="inlineStr">
        <is>
          <t>KALMAR LÄN</t>
        </is>
      </c>
      <c r="E180" t="inlineStr">
        <is>
          <t>VIMMERBY</t>
        </is>
      </c>
      <c r="G180" t="n">
        <v>10.6</v>
      </c>
      <c r="H180" t="n">
        <v>0</v>
      </c>
      <c r="I180" t="n">
        <v>0</v>
      </c>
      <c r="J180" t="n">
        <v>0</v>
      </c>
      <c r="K180" t="n">
        <v>0</v>
      </c>
      <c r="L180" t="n">
        <v>0</v>
      </c>
      <c r="M180" t="n">
        <v>0</v>
      </c>
      <c r="N180" t="n">
        <v>0</v>
      </c>
      <c r="O180" t="n">
        <v>0</v>
      </c>
      <c r="P180" t="n">
        <v>0</v>
      </c>
      <c r="Q180" t="n">
        <v>0</v>
      </c>
      <c r="R180" s="2" t="inlineStr"/>
    </row>
    <row r="181" ht="15" customHeight="1">
      <c r="A181" t="inlineStr">
        <is>
          <t>A 12590-2025</t>
        </is>
      </c>
      <c r="B181" s="1" t="n">
        <v>45732.79925925926</v>
      </c>
      <c r="C181" s="1" t="n">
        <v>46182</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35710-2023</t>
        </is>
      </c>
      <c r="B182" s="1" t="n">
        <v>45147.67096064815</v>
      </c>
      <c r="C182" s="1" t="n">
        <v>46182</v>
      </c>
      <c r="D182" t="inlineStr">
        <is>
          <t>KALMAR LÄN</t>
        </is>
      </c>
      <c r="E182" t="inlineStr">
        <is>
          <t>VIMMERBY</t>
        </is>
      </c>
      <c r="G182" t="n">
        <v>3.1</v>
      </c>
      <c r="H182" t="n">
        <v>0</v>
      </c>
      <c r="I182" t="n">
        <v>0</v>
      </c>
      <c r="J182" t="n">
        <v>0</v>
      </c>
      <c r="K182" t="n">
        <v>0</v>
      </c>
      <c r="L182" t="n">
        <v>0</v>
      </c>
      <c r="M182" t="n">
        <v>0</v>
      </c>
      <c r="N182" t="n">
        <v>0</v>
      </c>
      <c r="O182" t="n">
        <v>0</v>
      </c>
      <c r="P182" t="n">
        <v>0</v>
      </c>
      <c r="Q182" t="n">
        <v>0</v>
      </c>
      <c r="R182" s="2" t="inlineStr"/>
    </row>
    <row r="183" ht="15" customHeight="1">
      <c r="A183" t="inlineStr">
        <is>
          <t>A 38604-2025</t>
        </is>
      </c>
      <c r="B183" s="1" t="n">
        <v>45884.50613425926</v>
      </c>
      <c r="C183" s="1" t="n">
        <v>46182</v>
      </c>
      <c r="D183" t="inlineStr">
        <is>
          <t>KALMAR LÄN</t>
        </is>
      </c>
      <c r="E183" t="inlineStr">
        <is>
          <t>VIMMERBY</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52823-2024</t>
        </is>
      </c>
      <c r="B184" s="1" t="n">
        <v>45610.59094907407</v>
      </c>
      <c r="C184" s="1" t="n">
        <v>46182</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12499-2023</t>
        </is>
      </c>
      <c r="B185" s="1" t="n">
        <v>44999.86172453704</v>
      </c>
      <c r="C185" s="1" t="n">
        <v>46182</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12500-2023</t>
        </is>
      </c>
      <c r="B186" s="1" t="n">
        <v>44999.8625</v>
      </c>
      <c r="C186" s="1" t="n">
        <v>46182</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35846-2023</t>
        </is>
      </c>
      <c r="B187" s="1" t="n">
        <v>45148</v>
      </c>
      <c r="C187" s="1" t="n">
        <v>46182</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49039-2021</t>
        </is>
      </c>
      <c r="B188" s="1" t="n">
        <v>44453.56578703703</v>
      </c>
      <c r="C188" s="1" t="n">
        <v>46182</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28294-2025</t>
        </is>
      </c>
      <c r="B189" s="1" t="n">
        <v>45818.595625</v>
      </c>
      <c r="C189" s="1" t="n">
        <v>46182</v>
      </c>
      <c r="D189" t="inlineStr">
        <is>
          <t>KALMAR LÄN</t>
        </is>
      </c>
      <c r="E189" t="inlineStr">
        <is>
          <t>VIMMERBY</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28290-2025</t>
        </is>
      </c>
      <c r="B190" s="1" t="n">
        <v>45818.59261574074</v>
      </c>
      <c r="C190" s="1" t="n">
        <v>46182</v>
      </c>
      <c r="D190" t="inlineStr">
        <is>
          <t>KALMAR LÄN</t>
        </is>
      </c>
      <c r="E190" t="inlineStr">
        <is>
          <t>VIMMERBY</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11147-2023</t>
        </is>
      </c>
      <c r="B191" s="1" t="n">
        <v>44992</v>
      </c>
      <c r="C191" s="1" t="n">
        <v>46182</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19833-2023</t>
        </is>
      </c>
      <c r="B192" s="1" t="n">
        <v>45052</v>
      </c>
      <c r="C192" s="1" t="n">
        <v>46182</v>
      </c>
      <c r="D192" t="inlineStr">
        <is>
          <t>KALMAR LÄN</t>
        </is>
      </c>
      <c r="E192" t="inlineStr">
        <is>
          <t>VIMMERBY</t>
        </is>
      </c>
      <c r="G192" t="n">
        <v>6.7</v>
      </c>
      <c r="H192" t="n">
        <v>0</v>
      </c>
      <c r="I192" t="n">
        <v>0</v>
      </c>
      <c r="J192" t="n">
        <v>0</v>
      </c>
      <c r="K192" t="n">
        <v>0</v>
      </c>
      <c r="L192" t="n">
        <v>0</v>
      </c>
      <c r="M192" t="n">
        <v>0</v>
      </c>
      <c r="N192" t="n">
        <v>0</v>
      </c>
      <c r="O192" t="n">
        <v>0</v>
      </c>
      <c r="P192" t="n">
        <v>0</v>
      </c>
      <c r="Q192" t="n">
        <v>0</v>
      </c>
      <c r="R192" s="2" t="inlineStr"/>
    </row>
    <row r="193" ht="15" customHeight="1">
      <c r="A193" t="inlineStr">
        <is>
          <t>A 46224-2024</t>
        </is>
      </c>
      <c r="B193" s="1" t="n">
        <v>45581.57016203704</v>
      </c>
      <c r="C193" s="1" t="n">
        <v>46182</v>
      </c>
      <c r="D193" t="inlineStr">
        <is>
          <t>KALMAR LÄN</t>
        </is>
      </c>
      <c r="E193" t="inlineStr">
        <is>
          <t>VIMMERBY</t>
        </is>
      </c>
      <c r="G193" t="n">
        <v>3.1</v>
      </c>
      <c r="H193" t="n">
        <v>0</v>
      </c>
      <c r="I193" t="n">
        <v>0</v>
      </c>
      <c r="J193" t="n">
        <v>0</v>
      </c>
      <c r="K193" t="n">
        <v>0</v>
      </c>
      <c r="L193" t="n">
        <v>0</v>
      </c>
      <c r="M193" t="n">
        <v>0</v>
      </c>
      <c r="N193" t="n">
        <v>0</v>
      </c>
      <c r="O193" t="n">
        <v>0</v>
      </c>
      <c r="P193" t="n">
        <v>0</v>
      </c>
      <c r="Q193" t="n">
        <v>0</v>
      </c>
      <c r="R193" s="2" t="inlineStr"/>
    </row>
    <row r="194" ht="15" customHeight="1">
      <c r="A194" t="inlineStr">
        <is>
          <t>A 30633-2024</t>
        </is>
      </c>
      <c r="B194" s="1" t="n">
        <v>45495</v>
      </c>
      <c r="C194" s="1" t="n">
        <v>46182</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14548-2024</t>
        </is>
      </c>
      <c r="B195" s="1" t="n">
        <v>45394.66887731481</v>
      </c>
      <c r="C195" s="1" t="n">
        <v>46182</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54838-2024</t>
        </is>
      </c>
      <c r="B196" s="1" t="n">
        <v>45618.56787037037</v>
      </c>
      <c r="C196" s="1" t="n">
        <v>46182</v>
      </c>
      <c r="D196" t="inlineStr">
        <is>
          <t>KALMAR LÄN</t>
        </is>
      </c>
      <c r="E196" t="inlineStr">
        <is>
          <t>VIMMERBY</t>
        </is>
      </c>
      <c r="G196" t="n">
        <v>3.3</v>
      </c>
      <c r="H196" t="n">
        <v>0</v>
      </c>
      <c r="I196" t="n">
        <v>0</v>
      </c>
      <c r="J196" t="n">
        <v>0</v>
      </c>
      <c r="K196" t="n">
        <v>0</v>
      </c>
      <c r="L196" t="n">
        <v>0</v>
      </c>
      <c r="M196" t="n">
        <v>0</v>
      </c>
      <c r="N196" t="n">
        <v>0</v>
      </c>
      <c r="O196" t="n">
        <v>0</v>
      </c>
      <c r="P196" t="n">
        <v>0</v>
      </c>
      <c r="Q196" t="n">
        <v>0</v>
      </c>
      <c r="R196" s="2" t="inlineStr"/>
    </row>
    <row r="197" ht="15" customHeight="1">
      <c r="A197" t="inlineStr">
        <is>
          <t>A 6405-2025</t>
        </is>
      </c>
      <c r="B197" s="1" t="n">
        <v>45699.45392361111</v>
      </c>
      <c r="C197" s="1" t="n">
        <v>46182</v>
      </c>
      <c r="D197" t="inlineStr">
        <is>
          <t>KALMAR LÄN</t>
        </is>
      </c>
      <c r="E197" t="inlineStr">
        <is>
          <t>VIMMERBY</t>
        </is>
      </c>
      <c r="G197" t="n">
        <v>1.2</v>
      </c>
      <c r="H197" t="n">
        <v>0</v>
      </c>
      <c r="I197" t="n">
        <v>0</v>
      </c>
      <c r="J197" t="n">
        <v>0</v>
      </c>
      <c r="K197" t="n">
        <v>0</v>
      </c>
      <c r="L197" t="n">
        <v>0</v>
      </c>
      <c r="M197" t="n">
        <v>0</v>
      </c>
      <c r="N197" t="n">
        <v>0</v>
      </c>
      <c r="O197" t="n">
        <v>0</v>
      </c>
      <c r="P197" t="n">
        <v>0</v>
      </c>
      <c r="Q197" t="n">
        <v>0</v>
      </c>
      <c r="R197" s="2" t="inlineStr"/>
    </row>
    <row r="198" ht="15" customHeight="1">
      <c r="A198" t="inlineStr">
        <is>
          <t>A 585-2024</t>
        </is>
      </c>
      <c r="B198" s="1" t="n">
        <v>45299.62576388889</v>
      </c>
      <c r="C198" s="1" t="n">
        <v>46182</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56020-2024</t>
        </is>
      </c>
      <c r="B199" s="1" t="n">
        <v>45623.9525462963</v>
      </c>
      <c r="C199" s="1" t="n">
        <v>46182</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23252-2024</t>
        </is>
      </c>
      <c r="B200" s="1" t="n">
        <v>45453.36067129629</v>
      </c>
      <c r="C200" s="1" t="n">
        <v>46182</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60437-2023</t>
        </is>
      </c>
      <c r="B201" s="1" t="n">
        <v>45259.51916666667</v>
      </c>
      <c r="C201" s="1" t="n">
        <v>46182</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60438-2023</t>
        </is>
      </c>
      <c r="B202" s="1" t="n">
        <v>45259.52020833334</v>
      </c>
      <c r="C202" s="1" t="n">
        <v>46182</v>
      </c>
      <c r="D202" t="inlineStr">
        <is>
          <t>KALMAR LÄN</t>
        </is>
      </c>
      <c r="E202" t="inlineStr">
        <is>
          <t>VIMMERBY</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28713-2025</t>
        </is>
      </c>
      <c r="B203" s="1" t="n">
        <v>45820.33930555556</v>
      </c>
      <c r="C203" s="1" t="n">
        <v>46182</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42165-2024</t>
        </is>
      </c>
      <c r="B204" s="1" t="n">
        <v>45562.46342592593</v>
      </c>
      <c r="C204" s="1" t="n">
        <v>46182</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15550-2023</t>
        </is>
      </c>
      <c r="B205" s="1" t="n">
        <v>45020</v>
      </c>
      <c r="C205" s="1" t="n">
        <v>46182</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11219-2023</t>
        </is>
      </c>
      <c r="B206" s="1" t="n">
        <v>44992.62498842592</v>
      </c>
      <c r="C206" s="1" t="n">
        <v>46182</v>
      </c>
      <c r="D206" t="inlineStr">
        <is>
          <t>KALMAR LÄN</t>
        </is>
      </c>
      <c r="E206" t="inlineStr">
        <is>
          <t>VIMMERBY</t>
        </is>
      </c>
      <c r="G206" t="n">
        <v>2.5</v>
      </c>
      <c r="H206" t="n">
        <v>0</v>
      </c>
      <c r="I206" t="n">
        <v>0</v>
      </c>
      <c r="J206" t="n">
        <v>0</v>
      </c>
      <c r="K206" t="n">
        <v>0</v>
      </c>
      <c r="L206" t="n">
        <v>0</v>
      </c>
      <c r="M206" t="n">
        <v>0</v>
      </c>
      <c r="N206" t="n">
        <v>0</v>
      </c>
      <c r="O206" t="n">
        <v>0</v>
      </c>
      <c r="P206" t="n">
        <v>0</v>
      </c>
      <c r="Q206" t="n">
        <v>0</v>
      </c>
      <c r="R206" s="2" t="inlineStr"/>
    </row>
    <row r="207" ht="15" customHeight="1">
      <c r="A207" t="inlineStr">
        <is>
          <t>A 29737-2025</t>
        </is>
      </c>
      <c r="B207" s="1" t="n">
        <v>45825.58672453704</v>
      </c>
      <c r="C207" s="1" t="n">
        <v>46182</v>
      </c>
      <c r="D207" t="inlineStr">
        <is>
          <t>KALMAR LÄN</t>
        </is>
      </c>
      <c r="E207" t="inlineStr">
        <is>
          <t>VIMMERBY</t>
        </is>
      </c>
      <c r="G207" t="n">
        <v>1.2</v>
      </c>
      <c r="H207" t="n">
        <v>0</v>
      </c>
      <c r="I207" t="n">
        <v>0</v>
      </c>
      <c r="J207" t="n">
        <v>0</v>
      </c>
      <c r="K207" t="n">
        <v>0</v>
      </c>
      <c r="L207" t="n">
        <v>0</v>
      </c>
      <c r="M207" t="n">
        <v>0</v>
      </c>
      <c r="N207" t="n">
        <v>0</v>
      </c>
      <c r="O207" t="n">
        <v>0</v>
      </c>
      <c r="P207" t="n">
        <v>0</v>
      </c>
      <c r="Q207" t="n">
        <v>0</v>
      </c>
      <c r="R207" s="2" t="inlineStr"/>
    </row>
    <row r="208" ht="15" customHeight="1">
      <c r="A208" t="inlineStr">
        <is>
          <t>A 47855-2024</t>
        </is>
      </c>
      <c r="B208" s="1" t="n">
        <v>45588.66457175926</v>
      </c>
      <c r="C208" s="1" t="n">
        <v>46182</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25244-2023</t>
        </is>
      </c>
      <c r="B209" s="1" t="n">
        <v>45086</v>
      </c>
      <c r="C209" s="1" t="n">
        <v>46182</v>
      </c>
      <c r="D209" t="inlineStr">
        <is>
          <t>KALMAR LÄN</t>
        </is>
      </c>
      <c r="E209" t="inlineStr">
        <is>
          <t>VIMMERBY</t>
        </is>
      </c>
      <c r="G209" t="n">
        <v>4.7</v>
      </c>
      <c r="H209" t="n">
        <v>0</v>
      </c>
      <c r="I209" t="n">
        <v>0</v>
      </c>
      <c r="J209" t="n">
        <v>0</v>
      </c>
      <c r="K209" t="n">
        <v>0</v>
      </c>
      <c r="L209" t="n">
        <v>0</v>
      </c>
      <c r="M209" t="n">
        <v>0</v>
      </c>
      <c r="N209" t="n">
        <v>0</v>
      </c>
      <c r="O209" t="n">
        <v>0</v>
      </c>
      <c r="P209" t="n">
        <v>0</v>
      </c>
      <c r="Q209" t="n">
        <v>0</v>
      </c>
      <c r="R209" s="2" t="inlineStr"/>
    </row>
    <row r="210" ht="15" customHeight="1">
      <c r="A210" t="inlineStr">
        <is>
          <t>A 39584-2024</t>
        </is>
      </c>
      <c r="B210" s="1" t="n">
        <v>45552.36759259259</v>
      </c>
      <c r="C210" s="1" t="n">
        <v>46182</v>
      </c>
      <c r="D210" t="inlineStr">
        <is>
          <t>KALMAR LÄN</t>
        </is>
      </c>
      <c r="E210" t="inlineStr">
        <is>
          <t>VIMMERBY</t>
        </is>
      </c>
      <c r="G210" t="n">
        <v>1.9</v>
      </c>
      <c r="H210" t="n">
        <v>0</v>
      </c>
      <c r="I210" t="n">
        <v>0</v>
      </c>
      <c r="J210" t="n">
        <v>0</v>
      </c>
      <c r="K210" t="n">
        <v>0</v>
      </c>
      <c r="L210" t="n">
        <v>0</v>
      </c>
      <c r="M210" t="n">
        <v>0</v>
      </c>
      <c r="N210" t="n">
        <v>0</v>
      </c>
      <c r="O210" t="n">
        <v>0</v>
      </c>
      <c r="P210" t="n">
        <v>0</v>
      </c>
      <c r="Q210" t="n">
        <v>0</v>
      </c>
      <c r="R210" s="2" t="inlineStr"/>
    </row>
    <row r="211" ht="15" customHeight="1">
      <c r="A211" t="inlineStr">
        <is>
          <t>A 66022-2021</t>
        </is>
      </c>
      <c r="B211" s="1" t="n">
        <v>44517</v>
      </c>
      <c r="C211" s="1" t="n">
        <v>46182</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39807-2025</t>
        </is>
      </c>
      <c r="B212" s="1" t="n">
        <v>45891.50986111111</v>
      </c>
      <c r="C212" s="1" t="n">
        <v>46182</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39736-2025</t>
        </is>
      </c>
      <c r="B213" s="1" t="n">
        <v>45891</v>
      </c>
      <c r="C213" s="1" t="n">
        <v>46182</v>
      </c>
      <c r="D213" t="inlineStr">
        <is>
          <t>KALMAR LÄN</t>
        </is>
      </c>
      <c r="E213" t="inlineStr">
        <is>
          <t>VIMMERBY</t>
        </is>
      </c>
      <c r="G213" t="n">
        <v>12.8</v>
      </c>
      <c r="H213" t="n">
        <v>0</v>
      </c>
      <c r="I213" t="n">
        <v>0</v>
      </c>
      <c r="J213" t="n">
        <v>0</v>
      </c>
      <c r="K213" t="n">
        <v>0</v>
      </c>
      <c r="L213" t="n">
        <v>0</v>
      </c>
      <c r="M213" t="n">
        <v>0</v>
      </c>
      <c r="N213" t="n">
        <v>0</v>
      </c>
      <c r="O213" t="n">
        <v>0</v>
      </c>
      <c r="P213" t="n">
        <v>0</v>
      </c>
      <c r="Q213" t="n">
        <v>0</v>
      </c>
      <c r="R213" s="2" t="inlineStr"/>
    </row>
    <row r="214" ht="15" customHeight="1">
      <c r="A214" t="inlineStr">
        <is>
          <t>A 35895-2024</t>
        </is>
      </c>
      <c r="B214" s="1" t="n">
        <v>45533.38870370371</v>
      </c>
      <c r="C214" s="1" t="n">
        <v>46182</v>
      </c>
      <c r="D214" t="inlineStr">
        <is>
          <t>KALMAR LÄN</t>
        </is>
      </c>
      <c r="E214" t="inlineStr">
        <is>
          <t>VIMMERBY</t>
        </is>
      </c>
      <c r="G214" t="n">
        <v>1.4</v>
      </c>
      <c r="H214" t="n">
        <v>0</v>
      </c>
      <c r="I214" t="n">
        <v>0</v>
      </c>
      <c r="J214" t="n">
        <v>0</v>
      </c>
      <c r="K214" t="n">
        <v>0</v>
      </c>
      <c r="L214" t="n">
        <v>0</v>
      </c>
      <c r="M214" t="n">
        <v>0</v>
      </c>
      <c r="N214" t="n">
        <v>0</v>
      </c>
      <c r="O214" t="n">
        <v>0</v>
      </c>
      <c r="P214" t="n">
        <v>0</v>
      </c>
      <c r="Q214" t="n">
        <v>0</v>
      </c>
      <c r="R214" s="2" t="inlineStr"/>
    </row>
    <row r="215" ht="15" customHeight="1">
      <c r="A215" t="inlineStr">
        <is>
          <t>A 11073-2023</t>
        </is>
      </c>
      <c r="B215" s="1" t="n">
        <v>44992</v>
      </c>
      <c r="C215" s="1" t="n">
        <v>46182</v>
      </c>
      <c r="D215" t="inlineStr">
        <is>
          <t>KALMAR LÄN</t>
        </is>
      </c>
      <c r="E215" t="inlineStr">
        <is>
          <t>VIMMERBY</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51881-2024</t>
        </is>
      </c>
      <c r="B216" s="1" t="n">
        <v>45607.56773148148</v>
      </c>
      <c r="C216" s="1" t="n">
        <v>46182</v>
      </c>
      <c r="D216" t="inlineStr">
        <is>
          <t>KALMAR LÄN</t>
        </is>
      </c>
      <c r="E216" t="inlineStr">
        <is>
          <t>VIMMERBY</t>
        </is>
      </c>
      <c r="G216" t="n">
        <v>3.4</v>
      </c>
      <c r="H216" t="n">
        <v>0</v>
      </c>
      <c r="I216" t="n">
        <v>0</v>
      </c>
      <c r="J216" t="n">
        <v>0</v>
      </c>
      <c r="K216" t="n">
        <v>0</v>
      </c>
      <c r="L216" t="n">
        <v>0</v>
      </c>
      <c r="M216" t="n">
        <v>0</v>
      </c>
      <c r="N216" t="n">
        <v>0</v>
      </c>
      <c r="O216" t="n">
        <v>0</v>
      </c>
      <c r="P216" t="n">
        <v>0</v>
      </c>
      <c r="Q216" t="n">
        <v>0</v>
      </c>
      <c r="R216" s="2" t="inlineStr"/>
    </row>
    <row r="217" ht="15" customHeight="1">
      <c r="A217" t="inlineStr">
        <is>
          <t>A 30293-2025</t>
        </is>
      </c>
      <c r="B217" s="1" t="n">
        <v>45827</v>
      </c>
      <c r="C217" s="1" t="n">
        <v>46182</v>
      </c>
      <c r="D217" t="inlineStr">
        <is>
          <t>KALMAR LÄN</t>
        </is>
      </c>
      <c r="E217" t="inlineStr">
        <is>
          <t>VIMMERBY</t>
        </is>
      </c>
      <c r="G217" t="n">
        <v>0.5</v>
      </c>
      <c r="H217" t="n">
        <v>0</v>
      </c>
      <c r="I217" t="n">
        <v>0</v>
      </c>
      <c r="J217" t="n">
        <v>0</v>
      </c>
      <c r="K217" t="n">
        <v>0</v>
      </c>
      <c r="L217" t="n">
        <v>0</v>
      </c>
      <c r="M217" t="n">
        <v>0</v>
      </c>
      <c r="N217" t="n">
        <v>0</v>
      </c>
      <c r="O217" t="n">
        <v>0</v>
      </c>
      <c r="P217" t="n">
        <v>0</v>
      </c>
      <c r="Q217" t="n">
        <v>0</v>
      </c>
      <c r="R217" s="2" t="inlineStr"/>
    </row>
    <row r="218" ht="15" customHeight="1">
      <c r="A218" t="inlineStr">
        <is>
          <t>A 39803-2025</t>
        </is>
      </c>
      <c r="B218" s="1" t="n">
        <v>45891.50525462963</v>
      </c>
      <c r="C218" s="1" t="n">
        <v>46182</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2596-2025</t>
        </is>
      </c>
      <c r="B219" s="1" t="n">
        <v>45674.71810185185</v>
      </c>
      <c r="C219" s="1" t="n">
        <v>46182</v>
      </c>
      <c r="D219" t="inlineStr">
        <is>
          <t>KALMAR LÄN</t>
        </is>
      </c>
      <c r="E219" t="inlineStr">
        <is>
          <t>VIMMERBY</t>
        </is>
      </c>
      <c r="G219" t="n">
        <v>9</v>
      </c>
      <c r="H219" t="n">
        <v>0</v>
      </c>
      <c r="I219" t="n">
        <v>0</v>
      </c>
      <c r="J219" t="n">
        <v>0</v>
      </c>
      <c r="K219" t="n">
        <v>0</v>
      </c>
      <c r="L219" t="n">
        <v>0</v>
      </c>
      <c r="M219" t="n">
        <v>0</v>
      </c>
      <c r="N219" t="n">
        <v>0</v>
      </c>
      <c r="O219" t="n">
        <v>0</v>
      </c>
      <c r="P219" t="n">
        <v>0</v>
      </c>
      <c r="Q219" t="n">
        <v>0</v>
      </c>
      <c r="R219" s="2" t="inlineStr"/>
    </row>
    <row r="220" ht="15" customHeight="1">
      <c r="A220" t="inlineStr">
        <is>
          <t>A 16734-2023</t>
        </is>
      </c>
      <c r="B220" s="1" t="n">
        <v>45030.71012731481</v>
      </c>
      <c r="C220" s="1" t="n">
        <v>46182</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41591-2025</t>
        </is>
      </c>
      <c r="B221" s="1" t="n">
        <v>45901.6327662037</v>
      </c>
      <c r="C221" s="1" t="n">
        <v>46182</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40971-2025</t>
        </is>
      </c>
      <c r="B222" s="1" t="n">
        <v>45897.88836805556</v>
      </c>
      <c r="C222" s="1" t="n">
        <v>46182</v>
      </c>
      <c r="D222" t="inlineStr">
        <is>
          <t>KALMAR LÄN</t>
        </is>
      </c>
      <c r="E222" t="inlineStr">
        <is>
          <t>VIMMERBY</t>
        </is>
      </c>
      <c r="G222" t="n">
        <v>1.5</v>
      </c>
      <c r="H222" t="n">
        <v>0</v>
      </c>
      <c r="I222" t="n">
        <v>0</v>
      </c>
      <c r="J222" t="n">
        <v>0</v>
      </c>
      <c r="K222" t="n">
        <v>0</v>
      </c>
      <c r="L222" t="n">
        <v>0</v>
      </c>
      <c r="M222" t="n">
        <v>0</v>
      </c>
      <c r="N222" t="n">
        <v>0</v>
      </c>
      <c r="O222" t="n">
        <v>0</v>
      </c>
      <c r="P222" t="n">
        <v>0</v>
      </c>
      <c r="Q222" t="n">
        <v>0</v>
      </c>
      <c r="R222" s="2" t="inlineStr"/>
    </row>
    <row r="223" ht="15" customHeight="1">
      <c r="A223" t="inlineStr">
        <is>
          <t>A 41589-2025</t>
        </is>
      </c>
      <c r="B223" s="1" t="n">
        <v>45901.63219907408</v>
      </c>
      <c r="C223" s="1" t="n">
        <v>46182</v>
      </c>
      <c r="D223" t="inlineStr">
        <is>
          <t>KALMAR LÄN</t>
        </is>
      </c>
      <c r="E223" t="inlineStr">
        <is>
          <t>VIMMERBY</t>
        </is>
      </c>
      <c r="G223" t="n">
        <v>1.7</v>
      </c>
      <c r="H223" t="n">
        <v>0</v>
      </c>
      <c r="I223" t="n">
        <v>0</v>
      </c>
      <c r="J223" t="n">
        <v>0</v>
      </c>
      <c r="K223" t="n">
        <v>0</v>
      </c>
      <c r="L223" t="n">
        <v>0</v>
      </c>
      <c r="M223" t="n">
        <v>0</v>
      </c>
      <c r="N223" t="n">
        <v>0</v>
      </c>
      <c r="O223" t="n">
        <v>0</v>
      </c>
      <c r="P223" t="n">
        <v>0</v>
      </c>
      <c r="Q223" t="n">
        <v>0</v>
      </c>
      <c r="R223" s="2" t="inlineStr"/>
    </row>
    <row r="224" ht="15" customHeight="1">
      <c r="A224" t="inlineStr">
        <is>
          <t>A 40970-2025</t>
        </is>
      </c>
      <c r="B224" s="1" t="n">
        <v>45897.88706018519</v>
      </c>
      <c r="C224" s="1" t="n">
        <v>46182</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40973-2025</t>
        </is>
      </c>
      <c r="B225" s="1" t="n">
        <v>45897.89737268518</v>
      </c>
      <c r="C225" s="1" t="n">
        <v>46182</v>
      </c>
      <c r="D225" t="inlineStr">
        <is>
          <t>KALMAR LÄN</t>
        </is>
      </c>
      <c r="E225" t="inlineStr">
        <is>
          <t>VIMMERBY</t>
        </is>
      </c>
      <c r="G225" t="n">
        <v>1.8</v>
      </c>
      <c r="H225" t="n">
        <v>0</v>
      </c>
      <c r="I225" t="n">
        <v>0</v>
      </c>
      <c r="J225" t="n">
        <v>0</v>
      </c>
      <c r="K225" t="n">
        <v>0</v>
      </c>
      <c r="L225" t="n">
        <v>0</v>
      </c>
      <c r="M225" t="n">
        <v>0</v>
      </c>
      <c r="N225" t="n">
        <v>0</v>
      </c>
      <c r="O225" t="n">
        <v>0</v>
      </c>
      <c r="P225" t="n">
        <v>0</v>
      </c>
      <c r="Q225" t="n">
        <v>0</v>
      </c>
      <c r="R225" s="2" t="inlineStr"/>
    </row>
    <row r="226" ht="15" customHeight="1">
      <c r="A226" t="inlineStr">
        <is>
          <t>A 34090-2025</t>
        </is>
      </c>
      <c r="B226" s="1" t="n">
        <v>45845</v>
      </c>
      <c r="C226" s="1" t="n">
        <v>46182</v>
      </c>
      <c r="D226" t="inlineStr">
        <is>
          <t>KALMAR LÄN</t>
        </is>
      </c>
      <c r="E226" t="inlineStr">
        <is>
          <t>VIMMERBY</t>
        </is>
      </c>
      <c r="G226" t="n">
        <v>2.8</v>
      </c>
      <c r="H226" t="n">
        <v>0</v>
      </c>
      <c r="I226" t="n">
        <v>0</v>
      </c>
      <c r="J226" t="n">
        <v>0</v>
      </c>
      <c r="K226" t="n">
        <v>0</v>
      </c>
      <c r="L226" t="n">
        <v>0</v>
      </c>
      <c r="M226" t="n">
        <v>0</v>
      </c>
      <c r="N226" t="n">
        <v>0</v>
      </c>
      <c r="O226" t="n">
        <v>0</v>
      </c>
      <c r="P226" t="n">
        <v>0</v>
      </c>
      <c r="Q226" t="n">
        <v>0</v>
      </c>
      <c r="R226" s="2" t="inlineStr"/>
    </row>
    <row r="227" ht="15" customHeight="1">
      <c r="A227" t="inlineStr">
        <is>
          <t>A 32655-2023</t>
        </is>
      </c>
      <c r="B227" s="1" t="n">
        <v>45121.61318287037</v>
      </c>
      <c r="C227" s="1" t="n">
        <v>46182</v>
      </c>
      <c r="D227" t="inlineStr">
        <is>
          <t>KALMAR LÄN</t>
        </is>
      </c>
      <c r="E227" t="inlineStr">
        <is>
          <t>VIMMERBY</t>
        </is>
      </c>
      <c r="F227" t="inlineStr">
        <is>
          <t>Sveaskog</t>
        </is>
      </c>
      <c r="G227" t="n">
        <v>2</v>
      </c>
      <c r="H227" t="n">
        <v>0</v>
      </c>
      <c r="I227" t="n">
        <v>0</v>
      </c>
      <c r="J227" t="n">
        <v>0</v>
      </c>
      <c r="K227" t="n">
        <v>0</v>
      </c>
      <c r="L227" t="n">
        <v>0</v>
      </c>
      <c r="M227" t="n">
        <v>0</v>
      </c>
      <c r="N227" t="n">
        <v>0</v>
      </c>
      <c r="O227" t="n">
        <v>0</v>
      </c>
      <c r="P227" t="n">
        <v>0</v>
      </c>
      <c r="Q227" t="n">
        <v>0</v>
      </c>
      <c r="R227" s="2" t="inlineStr"/>
    </row>
    <row r="228" ht="15" customHeight="1">
      <c r="A228" t="inlineStr">
        <is>
          <t>A 63541-2023</t>
        </is>
      </c>
      <c r="B228" s="1" t="n">
        <v>45275.32266203704</v>
      </c>
      <c r="C228" s="1" t="n">
        <v>46182</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30971-2025</t>
        </is>
      </c>
      <c r="B229" s="1" t="n">
        <v>45832.46146990741</v>
      </c>
      <c r="C229" s="1" t="n">
        <v>46182</v>
      </c>
      <c r="D229" t="inlineStr">
        <is>
          <t>KALMAR LÄN</t>
        </is>
      </c>
      <c r="E229" t="inlineStr">
        <is>
          <t>VIMMERBY</t>
        </is>
      </c>
      <c r="G229" t="n">
        <v>1.2</v>
      </c>
      <c r="H229" t="n">
        <v>0</v>
      </c>
      <c r="I229" t="n">
        <v>0</v>
      </c>
      <c r="J229" t="n">
        <v>0</v>
      </c>
      <c r="K229" t="n">
        <v>0</v>
      </c>
      <c r="L229" t="n">
        <v>0</v>
      </c>
      <c r="M229" t="n">
        <v>0</v>
      </c>
      <c r="N229" t="n">
        <v>0</v>
      </c>
      <c r="O229" t="n">
        <v>0</v>
      </c>
      <c r="P229" t="n">
        <v>0</v>
      </c>
      <c r="Q229" t="n">
        <v>0</v>
      </c>
      <c r="R229" s="2" t="inlineStr"/>
    </row>
    <row r="230" ht="15" customHeight="1">
      <c r="A230" t="inlineStr">
        <is>
          <t>A 31551-2025</t>
        </is>
      </c>
      <c r="B230" s="1" t="n">
        <v>45833.64237268519</v>
      </c>
      <c r="C230" s="1" t="n">
        <v>46182</v>
      </c>
      <c r="D230" t="inlineStr">
        <is>
          <t>KALMAR LÄN</t>
        </is>
      </c>
      <c r="E230" t="inlineStr">
        <is>
          <t>VIMMERBY</t>
        </is>
      </c>
      <c r="G230" t="n">
        <v>1.9</v>
      </c>
      <c r="H230" t="n">
        <v>0</v>
      </c>
      <c r="I230" t="n">
        <v>0</v>
      </c>
      <c r="J230" t="n">
        <v>0</v>
      </c>
      <c r="K230" t="n">
        <v>0</v>
      </c>
      <c r="L230" t="n">
        <v>0</v>
      </c>
      <c r="M230" t="n">
        <v>0</v>
      </c>
      <c r="N230" t="n">
        <v>0</v>
      </c>
      <c r="O230" t="n">
        <v>0</v>
      </c>
      <c r="P230" t="n">
        <v>0</v>
      </c>
      <c r="Q230" t="n">
        <v>0</v>
      </c>
      <c r="R230" s="2" t="inlineStr"/>
    </row>
    <row r="231" ht="15" customHeight="1">
      <c r="A231" t="inlineStr">
        <is>
          <t>A 30882-2025</t>
        </is>
      </c>
      <c r="B231" s="1" t="n">
        <v>45832.34540509259</v>
      </c>
      <c r="C231" s="1" t="n">
        <v>46182</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52324-2023</t>
        </is>
      </c>
      <c r="B232" s="1" t="n">
        <v>45224.64659722222</v>
      </c>
      <c r="C232" s="1" t="n">
        <v>46182</v>
      </c>
      <c r="D232" t="inlineStr">
        <is>
          <t>KALMAR LÄN</t>
        </is>
      </c>
      <c r="E232" t="inlineStr">
        <is>
          <t>VIMMERBY</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28034-2022</t>
        </is>
      </c>
      <c r="B233" s="1" t="n">
        <v>44746.38834490741</v>
      </c>
      <c r="C233" s="1" t="n">
        <v>46182</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8559-2025</t>
        </is>
      </c>
      <c r="B234" s="1" t="n">
        <v>45709.62280092593</v>
      </c>
      <c r="C234" s="1" t="n">
        <v>46182</v>
      </c>
      <c r="D234" t="inlineStr">
        <is>
          <t>KALMAR LÄN</t>
        </is>
      </c>
      <c r="E234" t="inlineStr">
        <is>
          <t>VIMMERBY</t>
        </is>
      </c>
      <c r="G234" t="n">
        <v>8.9</v>
      </c>
      <c r="H234" t="n">
        <v>0</v>
      </c>
      <c r="I234" t="n">
        <v>0</v>
      </c>
      <c r="J234" t="n">
        <v>0</v>
      </c>
      <c r="K234" t="n">
        <v>0</v>
      </c>
      <c r="L234" t="n">
        <v>0</v>
      </c>
      <c r="M234" t="n">
        <v>0</v>
      </c>
      <c r="N234" t="n">
        <v>0</v>
      </c>
      <c r="O234" t="n">
        <v>0</v>
      </c>
      <c r="P234" t="n">
        <v>0</v>
      </c>
      <c r="Q234" t="n">
        <v>0</v>
      </c>
      <c r="R234" s="2" t="inlineStr"/>
    </row>
    <row r="235" ht="15" customHeight="1">
      <c r="A235" t="inlineStr">
        <is>
          <t>A 5938-2022</t>
        </is>
      </c>
      <c r="B235" s="1" t="n">
        <v>44598</v>
      </c>
      <c r="C235" s="1" t="n">
        <v>46182</v>
      </c>
      <c r="D235" t="inlineStr">
        <is>
          <t>KALMAR LÄN</t>
        </is>
      </c>
      <c r="E235" t="inlineStr">
        <is>
          <t>VIMMERBY</t>
        </is>
      </c>
      <c r="G235" t="n">
        <v>2.4</v>
      </c>
      <c r="H235" t="n">
        <v>0</v>
      </c>
      <c r="I235" t="n">
        <v>0</v>
      </c>
      <c r="J235" t="n">
        <v>0</v>
      </c>
      <c r="K235" t="n">
        <v>0</v>
      </c>
      <c r="L235" t="n">
        <v>0</v>
      </c>
      <c r="M235" t="n">
        <v>0</v>
      </c>
      <c r="N235" t="n">
        <v>0</v>
      </c>
      <c r="O235" t="n">
        <v>0</v>
      </c>
      <c r="P235" t="n">
        <v>0</v>
      </c>
      <c r="Q235" t="n">
        <v>0</v>
      </c>
      <c r="R235" s="2" t="inlineStr"/>
    </row>
    <row r="236" ht="15" customHeight="1">
      <c r="A236" t="inlineStr">
        <is>
          <t>A 32116-2025</t>
        </is>
      </c>
      <c r="B236" s="1" t="n">
        <v>45835.48862268519</v>
      </c>
      <c r="C236" s="1" t="n">
        <v>46182</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23341-2022</t>
        </is>
      </c>
      <c r="B237" s="1" t="n">
        <v>44720.53898148148</v>
      </c>
      <c r="C237" s="1" t="n">
        <v>46182</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32077-2025</t>
        </is>
      </c>
      <c r="B238" s="1" t="n">
        <v>45835.45099537037</v>
      </c>
      <c r="C238" s="1" t="n">
        <v>46182</v>
      </c>
      <c r="D238" t="inlineStr">
        <is>
          <t>KALMAR LÄN</t>
        </is>
      </c>
      <c r="E238" t="inlineStr">
        <is>
          <t>VIMMERBY</t>
        </is>
      </c>
      <c r="G238" t="n">
        <v>1.8</v>
      </c>
      <c r="H238" t="n">
        <v>0</v>
      </c>
      <c r="I238" t="n">
        <v>0</v>
      </c>
      <c r="J238" t="n">
        <v>0</v>
      </c>
      <c r="K238" t="n">
        <v>0</v>
      </c>
      <c r="L238" t="n">
        <v>0</v>
      </c>
      <c r="M238" t="n">
        <v>0</v>
      </c>
      <c r="N238" t="n">
        <v>0</v>
      </c>
      <c r="O238" t="n">
        <v>0</v>
      </c>
      <c r="P238" t="n">
        <v>0</v>
      </c>
      <c r="Q238" t="n">
        <v>0</v>
      </c>
      <c r="R238" s="2" t="inlineStr"/>
    </row>
    <row r="239" ht="15" customHeight="1">
      <c r="A239" t="inlineStr">
        <is>
          <t>A 37028-2024</t>
        </is>
      </c>
      <c r="B239" s="1" t="n">
        <v>45539.38744212963</v>
      </c>
      <c r="C239" s="1" t="n">
        <v>46182</v>
      </c>
      <c r="D239" t="inlineStr">
        <is>
          <t>KALMAR LÄN</t>
        </is>
      </c>
      <c r="E239" t="inlineStr">
        <is>
          <t>VIMMERBY</t>
        </is>
      </c>
      <c r="G239" t="n">
        <v>5.2</v>
      </c>
      <c r="H239" t="n">
        <v>0</v>
      </c>
      <c r="I239" t="n">
        <v>0</v>
      </c>
      <c r="J239" t="n">
        <v>0</v>
      </c>
      <c r="K239" t="n">
        <v>0</v>
      </c>
      <c r="L239" t="n">
        <v>0</v>
      </c>
      <c r="M239" t="n">
        <v>0</v>
      </c>
      <c r="N239" t="n">
        <v>0</v>
      </c>
      <c r="O239" t="n">
        <v>0</v>
      </c>
      <c r="P239" t="n">
        <v>0</v>
      </c>
      <c r="Q239" t="n">
        <v>0</v>
      </c>
      <c r="R239" s="2" t="inlineStr"/>
    </row>
    <row r="240" ht="15" customHeight="1">
      <c r="A240" t="inlineStr">
        <is>
          <t>A 24283-2023</t>
        </is>
      </c>
      <c r="B240" s="1" t="n">
        <v>45079.87827546296</v>
      </c>
      <c r="C240" s="1" t="n">
        <v>46182</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2462-2022</t>
        </is>
      </c>
      <c r="B241" s="1" t="n">
        <v>44579.62225694444</v>
      </c>
      <c r="C241" s="1" t="n">
        <v>46182</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6668-2023</t>
        </is>
      </c>
      <c r="B242" s="1" t="n">
        <v>44966</v>
      </c>
      <c r="C242" s="1" t="n">
        <v>46182</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29168-2024</t>
        </is>
      </c>
      <c r="B243" s="1" t="n">
        <v>45482.49870370371</v>
      </c>
      <c r="C243" s="1" t="n">
        <v>46182</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60228-2021</t>
        </is>
      </c>
      <c r="B244" s="1" t="n">
        <v>44495</v>
      </c>
      <c r="C244" s="1" t="n">
        <v>46182</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55236-2023</t>
        </is>
      </c>
      <c r="B245" s="1" t="n">
        <v>45237.63225694445</v>
      </c>
      <c r="C245" s="1" t="n">
        <v>46182</v>
      </c>
      <c r="D245" t="inlineStr">
        <is>
          <t>KALMAR LÄN</t>
        </is>
      </c>
      <c r="E245" t="inlineStr">
        <is>
          <t>VIMMERBY</t>
        </is>
      </c>
      <c r="G245" t="n">
        <v>1.1</v>
      </c>
      <c r="H245" t="n">
        <v>0</v>
      </c>
      <c r="I245" t="n">
        <v>0</v>
      </c>
      <c r="J245" t="n">
        <v>0</v>
      </c>
      <c r="K245" t="n">
        <v>0</v>
      </c>
      <c r="L245" t="n">
        <v>0</v>
      </c>
      <c r="M245" t="n">
        <v>0</v>
      </c>
      <c r="N245" t="n">
        <v>0</v>
      </c>
      <c r="O245" t="n">
        <v>0</v>
      </c>
      <c r="P245" t="n">
        <v>0</v>
      </c>
      <c r="Q245" t="n">
        <v>0</v>
      </c>
      <c r="R245" s="2" t="inlineStr"/>
    </row>
    <row r="246" ht="15" customHeight="1">
      <c r="A246" t="inlineStr">
        <is>
          <t>A 55245-2023</t>
        </is>
      </c>
      <c r="B246" s="1" t="n">
        <v>45237.64408564815</v>
      </c>
      <c r="C246" s="1" t="n">
        <v>46182</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25979-2023</t>
        </is>
      </c>
      <c r="B247" s="1" t="n">
        <v>45090.89653935185</v>
      </c>
      <c r="C247" s="1" t="n">
        <v>46182</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25980-2023</t>
        </is>
      </c>
      <c r="B248" s="1" t="n">
        <v>45090.89880787037</v>
      </c>
      <c r="C248" s="1" t="n">
        <v>46182</v>
      </c>
      <c r="D248" t="inlineStr">
        <is>
          <t>KALMAR LÄN</t>
        </is>
      </c>
      <c r="E248" t="inlineStr">
        <is>
          <t>VIMMERBY</t>
        </is>
      </c>
      <c r="G248" t="n">
        <v>0.7</v>
      </c>
      <c r="H248" t="n">
        <v>0</v>
      </c>
      <c r="I248" t="n">
        <v>0</v>
      </c>
      <c r="J248" t="n">
        <v>0</v>
      </c>
      <c r="K248" t="n">
        <v>0</v>
      </c>
      <c r="L248" t="n">
        <v>0</v>
      </c>
      <c r="M248" t="n">
        <v>0</v>
      </c>
      <c r="N248" t="n">
        <v>0</v>
      </c>
      <c r="O248" t="n">
        <v>0</v>
      </c>
      <c r="P248" t="n">
        <v>0</v>
      </c>
      <c r="Q248" t="n">
        <v>0</v>
      </c>
      <c r="R248" s="2" t="inlineStr"/>
    </row>
    <row r="249" ht="15" customHeight="1">
      <c r="A249" t="inlineStr">
        <is>
          <t>A 36055-2024</t>
        </is>
      </c>
      <c r="B249" s="1" t="n">
        <v>45533.63056712963</v>
      </c>
      <c r="C249" s="1" t="n">
        <v>46182</v>
      </c>
      <c r="D249" t="inlineStr">
        <is>
          <t>KALMAR LÄN</t>
        </is>
      </c>
      <c r="E249" t="inlineStr">
        <is>
          <t>VIMMERBY</t>
        </is>
      </c>
      <c r="F249" t="inlineStr">
        <is>
          <t>Kommuner</t>
        </is>
      </c>
      <c r="G249" t="n">
        <v>1.9</v>
      </c>
      <c r="H249" t="n">
        <v>0</v>
      </c>
      <c r="I249" t="n">
        <v>0</v>
      </c>
      <c r="J249" t="n">
        <v>0</v>
      </c>
      <c r="K249" t="n">
        <v>0</v>
      </c>
      <c r="L249" t="n">
        <v>0</v>
      </c>
      <c r="M249" t="n">
        <v>0</v>
      </c>
      <c r="N249" t="n">
        <v>0</v>
      </c>
      <c r="O249" t="n">
        <v>0</v>
      </c>
      <c r="P249" t="n">
        <v>0</v>
      </c>
      <c r="Q249" t="n">
        <v>0</v>
      </c>
      <c r="R249" s="2" t="inlineStr"/>
    </row>
    <row r="250" ht="15" customHeight="1">
      <c r="A250" t="inlineStr">
        <is>
          <t>A 12510-2022</t>
        </is>
      </c>
      <c r="B250" s="1" t="n">
        <v>44638.55256944444</v>
      </c>
      <c r="C250" s="1" t="n">
        <v>46182</v>
      </c>
      <c r="D250" t="inlineStr">
        <is>
          <t>KALMAR LÄN</t>
        </is>
      </c>
      <c r="E250" t="inlineStr">
        <is>
          <t>VIMMERBY</t>
        </is>
      </c>
      <c r="G250" t="n">
        <v>2.4</v>
      </c>
      <c r="H250" t="n">
        <v>0</v>
      </c>
      <c r="I250" t="n">
        <v>0</v>
      </c>
      <c r="J250" t="n">
        <v>0</v>
      </c>
      <c r="K250" t="n">
        <v>0</v>
      </c>
      <c r="L250" t="n">
        <v>0</v>
      </c>
      <c r="M250" t="n">
        <v>0</v>
      </c>
      <c r="N250" t="n">
        <v>0</v>
      </c>
      <c r="O250" t="n">
        <v>0</v>
      </c>
      <c r="P250" t="n">
        <v>0</v>
      </c>
      <c r="Q250" t="n">
        <v>0</v>
      </c>
      <c r="R250" s="2" t="inlineStr"/>
    </row>
    <row r="251" ht="15" customHeight="1">
      <c r="A251" t="inlineStr">
        <is>
          <t>A 6358-2022</t>
        </is>
      </c>
      <c r="B251" s="1" t="n">
        <v>44600</v>
      </c>
      <c r="C251" s="1" t="n">
        <v>46182</v>
      </c>
      <c r="D251" t="inlineStr">
        <is>
          <t>KALMAR LÄN</t>
        </is>
      </c>
      <c r="E251" t="inlineStr">
        <is>
          <t>VIMMERBY</t>
        </is>
      </c>
      <c r="G251" t="n">
        <v>1.7</v>
      </c>
      <c r="H251" t="n">
        <v>0</v>
      </c>
      <c r="I251" t="n">
        <v>0</v>
      </c>
      <c r="J251" t="n">
        <v>0</v>
      </c>
      <c r="K251" t="n">
        <v>0</v>
      </c>
      <c r="L251" t="n">
        <v>0</v>
      </c>
      <c r="M251" t="n">
        <v>0</v>
      </c>
      <c r="N251" t="n">
        <v>0</v>
      </c>
      <c r="O251" t="n">
        <v>0</v>
      </c>
      <c r="P251" t="n">
        <v>0</v>
      </c>
      <c r="Q251" t="n">
        <v>0</v>
      </c>
      <c r="R251" s="2" t="inlineStr"/>
    </row>
    <row r="252" ht="15" customHeight="1">
      <c r="A252" t="inlineStr">
        <is>
          <t>A 27443-2023</t>
        </is>
      </c>
      <c r="B252" s="1" t="n">
        <v>45097.40524305555</v>
      </c>
      <c r="C252" s="1" t="n">
        <v>46182</v>
      </c>
      <c r="D252" t="inlineStr">
        <is>
          <t>KALMAR LÄN</t>
        </is>
      </c>
      <c r="E252" t="inlineStr">
        <is>
          <t>VIMMERBY</t>
        </is>
      </c>
      <c r="F252" t="inlineStr">
        <is>
          <t>Övriga Aktiebolag</t>
        </is>
      </c>
      <c r="G252" t="n">
        <v>2.3</v>
      </c>
      <c r="H252" t="n">
        <v>0</v>
      </c>
      <c r="I252" t="n">
        <v>0</v>
      </c>
      <c r="J252" t="n">
        <v>0</v>
      </c>
      <c r="K252" t="n">
        <v>0</v>
      </c>
      <c r="L252" t="n">
        <v>0</v>
      </c>
      <c r="M252" t="n">
        <v>0</v>
      </c>
      <c r="N252" t="n">
        <v>0</v>
      </c>
      <c r="O252" t="n">
        <v>0</v>
      </c>
      <c r="P252" t="n">
        <v>0</v>
      </c>
      <c r="Q252" t="n">
        <v>0</v>
      </c>
      <c r="R252" s="2" t="inlineStr"/>
    </row>
    <row r="253" ht="15" customHeight="1">
      <c r="A253" t="inlineStr">
        <is>
          <t>A 845-2023</t>
        </is>
      </c>
      <c r="B253" s="1" t="n">
        <v>44931</v>
      </c>
      <c r="C253" s="1" t="n">
        <v>46182</v>
      </c>
      <c r="D253" t="inlineStr">
        <is>
          <t>KALMAR LÄN</t>
        </is>
      </c>
      <c r="E253" t="inlineStr">
        <is>
          <t>VIMMERBY</t>
        </is>
      </c>
      <c r="F253" t="inlineStr">
        <is>
          <t>Övriga Aktiebolag</t>
        </is>
      </c>
      <c r="G253" t="n">
        <v>19</v>
      </c>
      <c r="H253" t="n">
        <v>0</v>
      </c>
      <c r="I253" t="n">
        <v>0</v>
      </c>
      <c r="J253" t="n">
        <v>0</v>
      </c>
      <c r="K253" t="n">
        <v>0</v>
      </c>
      <c r="L253" t="n">
        <v>0</v>
      </c>
      <c r="M253" t="n">
        <v>0</v>
      </c>
      <c r="N253" t="n">
        <v>0</v>
      </c>
      <c r="O253" t="n">
        <v>0</v>
      </c>
      <c r="P253" t="n">
        <v>0</v>
      </c>
      <c r="Q253" t="n">
        <v>0</v>
      </c>
      <c r="R253" s="2" t="inlineStr"/>
    </row>
    <row r="254" ht="15" customHeight="1">
      <c r="A254" t="inlineStr">
        <is>
          <t>A 48373-2021</t>
        </is>
      </c>
      <c r="B254" s="1" t="n">
        <v>44451</v>
      </c>
      <c r="C254" s="1" t="n">
        <v>46182</v>
      </c>
      <c r="D254" t="inlineStr">
        <is>
          <t>KALMAR LÄN</t>
        </is>
      </c>
      <c r="E254" t="inlineStr">
        <is>
          <t>VIMMERBY</t>
        </is>
      </c>
      <c r="G254" t="n">
        <v>2.2</v>
      </c>
      <c r="H254" t="n">
        <v>0</v>
      </c>
      <c r="I254" t="n">
        <v>0</v>
      </c>
      <c r="J254" t="n">
        <v>0</v>
      </c>
      <c r="K254" t="n">
        <v>0</v>
      </c>
      <c r="L254" t="n">
        <v>0</v>
      </c>
      <c r="M254" t="n">
        <v>0</v>
      </c>
      <c r="N254" t="n">
        <v>0</v>
      </c>
      <c r="O254" t="n">
        <v>0</v>
      </c>
      <c r="P254" t="n">
        <v>0</v>
      </c>
      <c r="Q254" t="n">
        <v>0</v>
      </c>
      <c r="R254" s="2" t="inlineStr"/>
    </row>
    <row r="255" ht="15" customHeight="1">
      <c r="A255" t="inlineStr">
        <is>
          <t>A 32380-2025</t>
        </is>
      </c>
      <c r="B255" s="1" t="n">
        <v>45837.77701388889</v>
      </c>
      <c r="C255" s="1" t="n">
        <v>46182</v>
      </c>
      <c r="D255" t="inlineStr">
        <is>
          <t>KALMAR LÄN</t>
        </is>
      </c>
      <c r="E255" t="inlineStr">
        <is>
          <t>VIMMERBY</t>
        </is>
      </c>
      <c r="G255" t="n">
        <v>3.1</v>
      </c>
      <c r="H255" t="n">
        <v>0</v>
      </c>
      <c r="I255" t="n">
        <v>0</v>
      </c>
      <c r="J255" t="n">
        <v>0</v>
      </c>
      <c r="K255" t="n">
        <v>0</v>
      </c>
      <c r="L255" t="n">
        <v>0</v>
      </c>
      <c r="M255" t="n">
        <v>0</v>
      </c>
      <c r="N255" t="n">
        <v>0</v>
      </c>
      <c r="O255" t="n">
        <v>0</v>
      </c>
      <c r="P255" t="n">
        <v>0</v>
      </c>
      <c r="Q255" t="n">
        <v>0</v>
      </c>
      <c r="R255" s="2" t="inlineStr"/>
    </row>
    <row r="256" ht="15" customHeight="1">
      <c r="A256" t="inlineStr">
        <is>
          <t>A 33186-2025</t>
        </is>
      </c>
      <c r="B256" s="1" t="n">
        <v>45840.59474537037</v>
      </c>
      <c r="C256" s="1" t="n">
        <v>46182</v>
      </c>
      <c r="D256" t="inlineStr">
        <is>
          <t>KALMAR LÄN</t>
        </is>
      </c>
      <c r="E256" t="inlineStr">
        <is>
          <t>VIMMERBY</t>
        </is>
      </c>
      <c r="G256" t="n">
        <v>2.6</v>
      </c>
      <c r="H256" t="n">
        <v>0</v>
      </c>
      <c r="I256" t="n">
        <v>0</v>
      </c>
      <c r="J256" t="n">
        <v>0</v>
      </c>
      <c r="K256" t="n">
        <v>0</v>
      </c>
      <c r="L256" t="n">
        <v>0</v>
      </c>
      <c r="M256" t="n">
        <v>0</v>
      </c>
      <c r="N256" t="n">
        <v>0</v>
      </c>
      <c r="O256" t="n">
        <v>0</v>
      </c>
      <c r="P256" t="n">
        <v>0</v>
      </c>
      <c r="Q256" t="n">
        <v>0</v>
      </c>
      <c r="R256" s="2" t="inlineStr"/>
    </row>
    <row r="257" ht="15" customHeight="1">
      <c r="A257" t="inlineStr">
        <is>
          <t>A 30977-2025</t>
        </is>
      </c>
      <c r="B257" s="1" t="n">
        <v>45832.46649305556</v>
      </c>
      <c r="C257" s="1" t="n">
        <v>46182</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6321-2023</t>
        </is>
      </c>
      <c r="B258" s="1" t="n">
        <v>44965.4815162037</v>
      </c>
      <c r="C258" s="1" t="n">
        <v>46182</v>
      </c>
      <c r="D258" t="inlineStr">
        <is>
          <t>KALMAR LÄN</t>
        </is>
      </c>
      <c r="E258" t="inlineStr">
        <is>
          <t>VIMMERBY</t>
        </is>
      </c>
      <c r="G258" t="n">
        <v>1.8</v>
      </c>
      <c r="H258" t="n">
        <v>0</v>
      </c>
      <c r="I258" t="n">
        <v>0</v>
      </c>
      <c r="J258" t="n">
        <v>0</v>
      </c>
      <c r="K258" t="n">
        <v>0</v>
      </c>
      <c r="L258" t="n">
        <v>0</v>
      </c>
      <c r="M258" t="n">
        <v>0</v>
      </c>
      <c r="N258" t="n">
        <v>0</v>
      </c>
      <c r="O258" t="n">
        <v>0</v>
      </c>
      <c r="P258" t="n">
        <v>0</v>
      </c>
      <c r="Q258" t="n">
        <v>0</v>
      </c>
      <c r="R258" s="2" t="inlineStr"/>
    </row>
    <row r="259" ht="15" customHeight="1">
      <c r="A259" t="inlineStr">
        <is>
          <t>A 4624-2024</t>
        </is>
      </c>
      <c r="B259" s="1" t="n">
        <v>45328.38755787037</v>
      </c>
      <c r="C259" s="1" t="n">
        <v>46182</v>
      </c>
      <c r="D259" t="inlineStr">
        <is>
          <t>KALMAR LÄN</t>
        </is>
      </c>
      <c r="E259" t="inlineStr">
        <is>
          <t>VIMMERBY</t>
        </is>
      </c>
      <c r="G259" t="n">
        <v>1.7</v>
      </c>
      <c r="H259" t="n">
        <v>0</v>
      </c>
      <c r="I259" t="n">
        <v>0</v>
      </c>
      <c r="J259" t="n">
        <v>0</v>
      </c>
      <c r="K259" t="n">
        <v>0</v>
      </c>
      <c r="L259" t="n">
        <v>0</v>
      </c>
      <c r="M259" t="n">
        <v>0</v>
      </c>
      <c r="N259" t="n">
        <v>0</v>
      </c>
      <c r="O259" t="n">
        <v>0</v>
      </c>
      <c r="P259" t="n">
        <v>0</v>
      </c>
      <c r="Q259" t="n">
        <v>0</v>
      </c>
      <c r="R259" s="2" t="inlineStr"/>
    </row>
    <row r="260" ht="15" customHeight="1">
      <c r="A260" t="inlineStr">
        <is>
          <t>A 57256-2023</t>
        </is>
      </c>
      <c r="B260" s="1" t="n">
        <v>45245.5735300926</v>
      </c>
      <c r="C260" s="1" t="n">
        <v>46182</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17482-2024</t>
        </is>
      </c>
      <c r="B261" s="1" t="n">
        <v>45415.47848379629</v>
      </c>
      <c r="C261" s="1" t="n">
        <v>46182</v>
      </c>
      <c r="D261" t="inlineStr">
        <is>
          <t>KALMAR LÄN</t>
        </is>
      </c>
      <c r="E261" t="inlineStr">
        <is>
          <t>VIMMERBY</t>
        </is>
      </c>
      <c r="G261" t="n">
        <v>1.7</v>
      </c>
      <c r="H261" t="n">
        <v>0</v>
      </c>
      <c r="I261" t="n">
        <v>0</v>
      </c>
      <c r="J261" t="n">
        <v>0</v>
      </c>
      <c r="K261" t="n">
        <v>0</v>
      </c>
      <c r="L261" t="n">
        <v>0</v>
      </c>
      <c r="M261" t="n">
        <v>0</v>
      </c>
      <c r="N261" t="n">
        <v>0</v>
      </c>
      <c r="O261" t="n">
        <v>0</v>
      </c>
      <c r="P261" t="n">
        <v>0</v>
      </c>
      <c r="Q261" t="n">
        <v>0</v>
      </c>
      <c r="R261" s="2" t="inlineStr"/>
    </row>
    <row r="262" ht="15" customHeight="1">
      <c r="A262" t="inlineStr">
        <is>
          <t>A 26956-2025</t>
        </is>
      </c>
      <c r="B262" s="1" t="n">
        <v>45811.45460648148</v>
      </c>
      <c r="C262" s="1" t="n">
        <v>46182</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44095-2025</t>
        </is>
      </c>
      <c r="B263" s="1" t="n">
        <v>45915.56430555556</v>
      </c>
      <c r="C263" s="1" t="n">
        <v>46182</v>
      </c>
      <c r="D263" t="inlineStr">
        <is>
          <t>KALMAR LÄN</t>
        </is>
      </c>
      <c r="E263" t="inlineStr">
        <is>
          <t>VIMMERBY</t>
        </is>
      </c>
      <c r="G263" t="n">
        <v>2.4</v>
      </c>
      <c r="H263" t="n">
        <v>0</v>
      </c>
      <c r="I263" t="n">
        <v>0</v>
      </c>
      <c r="J263" t="n">
        <v>0</v>
      </c>
      <c r="K263" t="n">
        <v>0</v>
      </c>
      <c r="L263" t="n">
        <v>0</v>
      </c>
      <c r="M263" t="n">
        <v>0</v>
      </c>
      <c r="N263" t="n">
        <v>0</v>
      </c>
      <c r="O263" t="n">
        <v>0</v>
      </c>
      <c r="P263" t="n">
        <v>0</v>
      </c>
      <c r="Q263" t="n">
        <v>0</v>
      </c>
      <c r="R263" s="2" t="inlineStr"/>
    </row>
    <row r="264" ht="15" customHeight="1">
      <c r="A264" t="inlineStr">
        <is>
          <t>A 40730-2024</t>
        </is>
      </c>
      <c r="B264" s="1" t="n">
        <v>45558.44914351852</v>
      </c>
      <c r="C264" s="1" t="n">
        <v>46182</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44091-2025</t>
        </is>
      </c>
      <c r="B265" s="1" t="n">
        <v>45915.55950231481</v>
      </c>
      <c r="C265" s="1" t="n">
        <v>46182</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2157-2024</t>
        </is>
      </c>
      <c r="B266" s="1" t="n">
        <v>45309.59487268519</v>
      </c>
      <c r="C266" s="1" t="n">
        <v>46182</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28702-2025</t>
        </is>
      </c>
      <c r="B267" s="1" t="n">
        <v>45820.03976851852</v>
      </c>
      <c r="C267" s="1" t="n">
        <v>46182</v>
      </c>
      <c r="D267" t="inlineStr">
        <is>
          <t>KALMAR LÄN</t>
        </is>
      </c>
      <c r="E267" t="inlineStr">
        <is>
          <t>VIMMERBY</t>
        </is>
      </c>
      <c r="G267" t="n">
        <v>2.1</v>
      </c>
      <c r="H267" t="n">
        <v>0</v>
      </c>
      <c r="I267" t="n">
        <v>0</v>
      </c>
      <c r="J267" t="n">
        <v>0</v>
      </c>
      <c r="K267" t="n">
        <v>0</v>
      </c>
      <c r="L267" t="n">
        <v>0</v>
      </c>
      <c r="M267" t="n">
        <v>0</v>
      </c>
      <c r="N267" t="n">
        <v>0</v>
      </c>
      <c r="O267" t="n">
        <v>0</v>
      </c>
      <c r="P267" t="n">
        <v>0</v>
      </c>
      <c r="Q267" t="n">
        <v>0</v>
      </c>
      <c r="R267" s="2" t="inlineStr"/>
    </row>
    <row r="268" ht="15" customHeight="1">
      <c r="A268" t="inlineStr">
        <is>
          <t>A 49461-2022</t>
        </is>
      </c>
      <c r="B268" s="1" t="n">
        <v>44861</v>
      </c>
      <c r="C268" s="1" t="n">
        <v>46182</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694-2024</t>
        </is>
      </c>
      <c r="B269" s="1" t="n">
        <v>45300.3794212963</v>
      </c>
      <c r="C269" s="1" t="n">
        <v>46182</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59598-2023</t>
        </is>
      </c>
      <c r="B270" s="1" t="n">
        <v>45254.62489583333</v>
      </c>
      <c r="C270" s="1" t="n">
        <v>46182</v>
      </c>
      <c r="D270" t="inlineStr">
        <is>
          <t>KALMAR LÄN</t>
        </is>
      </c>
      <c r="E270" t="inlineStr">
        <is>
          <t>VIMMERBY</t>
        </is>
      </c>
      <c r="F270" t="inlineStr">
        <is>
          <t>Övriga Aktiebolag</t>
        </is>
      </c>
      <c r="G270" t="n">
        <v>4</v>
      </c>
      <c r="H270" t="n">
        <v>0</v>
      </c>
      <c r="I270" t="n">
        <v>0</v>
      </c>
      <c r="J270" t="n">
        <v>0</v>
      </c>
      <c r="K270" t="n">
        <v>0</v>
      </c>
      <c r="L270" t="n">
        <v>0</v>
      </c>
      <c r="M270" t="n">
        <v>0</v>
      </c>
      <c r="N270" t="n">
        <v>0</v>
      </c>
      <c r="O270" t="n">
        <v>0</v>
      </c>
      <c r="P270" t="n">
        <v>0</v>
      </c>
      <c r="Q270" t="n">
        <v>0</v>
      </c>
      <c r="R270" s="2" t="inlineStr"/>
    </row>
    <row r="271" ht="15" customHeight="1">
      <c r="A271" t="inlineStr">
        <is>
          <t>A 7944-2024</t>
        </is>
      </c>
      <c r="B271" s="1" t="n">
        <v>45350.53306712963</v>
      </c>
      <c r="C271" s="1" t="n">
        <v>46182</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21496-2023</t>
        </is>
      </c>
      <c r="B272" s="1" t="n">
        <v>45063.49936342592</v>
      </c>
      <c r="C272" s="1" t="n">
        <v>46182</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34628-2025</t>
        </is>
      </c>
      <c r="B273" s="1" t="n">
        <v>45847.91280092593</v>
      </c>
      <c r="C273" s="1" t="n">
        <v>46182</v>
      </c>
      <c r="D273" t="inlineStr">
        <is>
          <t>KALMAR LÄN</t>
        </is>
      </c>
      <c r="E273" t="inlineStr">
        <is>
          <t>VIMMERBY</t>
        </is>
      </c>
      <c r="G273" t="n">
        <v>4.2</v>
      </c>
      <c r="H273" t="n">
        <v>0</v>
      </c>
      <c r="I273" t="n">
        <v>0</v>
      </c>
      <c r="J273" t="n">
        <v>0</v>
      </c>
      <c r="K273" t="n">
        <v>0</v>
      </c>
      <c r="L273" t="n">
        <v>0</v>
      </c>
      <c r="M273" t="n">
        <v>0</v>
      </c>
      <c r="N273" t="n">
        <v>0</v>
      </c>
      <c r="O273" t="n">
        <v>0</v>
      </c>
      <c r="P273" t="n">
        <v>0</v>
      </c>
      <c r="Q273" t="n">
        <v>0</v>
      </c>
      <c r="R273" s="2" t="inlineStr"/>
    </row>
    <row r="274" ht="15" customHeight="1">
      <c r="A274" t="inlineStr">
        <is>
          <t>A 55123-2024</t>
        </is>
      </c>
      <c r="B274" s="1" t="n">
        <v>45621.46103009259</v>
      </c>
      <c r="C274" s="1" t="n">
        <v>46182</v>
      </c>
      <c r="D274" t="inlineStr">
        <is>
          <t>KALMAR LÄN</t>
        </is>
      </c>
      <c r="E274" t="inlineStr">
        <is>
          <t>VIMMERBY</t>
        </is>
      </c>
      <c r="G274" t="n">
        <v>3.1</v>
      </c>
      <c r="H274" t="n">
        <v>0</v>
      </c>
      <c r="I274" t="n">
        <v>0</v>
      </c>
      <c r="J274" t="n">
        <v>0</v>
      </c>
      <c r="K274" t="n">
        <v>0</v>
      </c>
      <c r="L274" t="n">
        <v>0</v>
      </c>
      <c r="M274" t="n">
        <v>0</v>
      </c>
      <c r="N274" t="n">
        <v>0</v>
      </c>
      <c r="O274" t="n">
        <v>0</v>
      </c>
      <c r="P274" t="n">
        <v>0</v>
      </c>
      <c r="Q274" t="n">
        <v>0</v>
      </c>
      <c r="R274" s="2" t="inlineStr"/>
    </row>
    <row r="275" ht="15" customHeight="1">
      <c r="A275" t="inlineStr">
        <is>
          <t>A 49313-2022</t>
        </is>
      </c>
      <c r="B275" s="1" t="n">
        <v>44861.52505787037</v>
      </c>
      <c r="C275" s="1" t="n">
        <v>46182</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1987-2024</t>
        </is>
      </c>
      <c r="B276" s="1" t="n">
        <v>45308.61152777778</v>
      </c>
      <c r="C276" s="1" t="n">
        <v>46182</v>
      </c>
      <c r="D276" t="inlineStr">
        <is>
          <t>KALMAR LÄN</t>
        </is>
      </c>
      <c r="E276" t="inlineStr">
        <is>
          <t>VIMMERBY</t>
        </is>
      </c>
      <c r="G276" t="n">
        <v>3</v>
      </c>
      <c r="H276" t="n">
        <v>0</v>
      </c>
      <c r="I276" t="n">
        <v>0</v>
      </c>
      <c r="J276" t="n">
        <v>0</v>
      </c>
      <c r="K276" t="n">
        <v>0</v>
      </c>
      <c r="L276" t="n">
        <v>0</v>
      </c>
      <c r="M276" t="n">
        <v>0</v>
      </c>
      <c r="N276" t="n">
        <v>0</v>
      </c>
      <c r="O276" t="n">
        <v>0</v>
      </c>
      <c r="P276" t="n">
        <v>0</v>
      </c>
      <c r="Q276" t="n">
        <v>0</v>
      </c>
      <c r="R276" s="2" t="inlineStr"/>
    </row>
    <row r="277" ht="15" customHeight="1">
      <c r="A277" t="inlineStr">
        <is>
          <t>A 21507-2023</t>
        </is>
      </c>
      <c r="B277" s="1" t="n">
        <v>45063.508125</v>
      </c>
      <c r="C277" s="1" t="n">
        <v>46182</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57189-2022</t>
        </is>
      </c>
      <c r="B278" s="1" t="n">
        <v>44895.62296296296</v>
      </c>
      <c r="C278" s="1" t="n">
        <v>46182</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48673-2021</t>
        </is>
      </c>
      <c r="B279" s="1" t="n">
        <v>44452</v>
      </c>
      <c r="C279" s="1" t="n">
        <v>46182</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35271-2025</t>
        </is>
      </c>
      <c r="B280" s="1" t="n">
        <v>45853.87599537037</v>
      </c>
      <c r="C280" s="1" t="n">
        <v>46182</v>
      </c>
      <c r="D280" t="inlineStr">
        <is>
          <t>KALMAR LÄN</t>
        </is>
      </c>
      <c r="E280" t="inlineStr">
        <is>
          <t>VIMMERBY</t>
        </is>
      </c>
      <c r="G280" t="n">
        <v>0.4</v>
      </c>
      <c r="H280" t="n">
        <v>0</v>
      </c>
      <c r="I280" t="n">
        <v>0</v>
      </c>
      <c r="J280" t="n">
        <v>0</v>
      </c>
      <c r="K280" t="n">
        <v>0</v>
      </c>
      <c r="L280" t="n">
        <v>0</v>
      </c>
      <c r="M280" t="n">
        <v>0</v>
      </c>
      <c r="N280" t="n">
        <v>0</v>
      </c>
      <c r="O280" t="n">
        <v>0</v>
      </c>
      <c r="P280" t="n">
        <v>0</v>
      </c>
      <c r="Q280" t="n">
        <v>0</v>
      </c>
      <c r="R280" s="2" t="inlineStr"/>
    </row>
    <row r="281" ht="15" customHeight="1">
      <c r="A281" t="inlineStr">
        <is>
          <t>A 35198-2023</t>
        </is>
      </c>
      <c r="B281" s="1" t="n">
        <v>45145</v>
      </c>
      <c r="C281" s="1" t="n">
        <v>46182</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14248-2023</t>
        </is>
      </c>
      <c r="B282" s="1" t="n">
        <v>45009</v>
      </c>
      <c r="C282" s="1" t="n">
        <v>46182</v>
      </c>
      <c r="D282" t="inlineStr">
        <is>
          <t>KALMAR LÄN</t>
        </is>
      </c>
      <c r="E282" t="inlineStr">
        <is>
          <t>VIMMERBY</t>
        </is>
      </c>
      <c r="G282" t="n">
        <v>2.6</v>
      </c>
      <c r="H282" t="n">
        <v>0</v>
      </c>
      <c r="I282" t="n">
        <v>0</v>
      </c>
      <c r="J282" t="n">
        <v>0</v>
      </c>
      <c r="K282" t="n">
        <v>0</v>
      </c>
      <c r="L282" t="n">
        <v>0</v>
      </c>
      <c r="M282" t="n">
        <v>0</v>
      </c>
      <c r="N282" t="n">
        <v>0</v>
      </c>
      <c r="O282" t="n">
        <v>0</v>
      </c>
      <c r="P282" t="n">
        <v>0</v>
      </c>
      <c r="Q282" t="n">
        <v>0</v>
      </c>
      <c r="R282" s="2" t="inlineStr"/>
    </row>
    <row r="283" ht="15" customHeight="1">
      <c r="A283" t="inlineStr">
        <is>
          <t>A 16953-2025</t>
        </is>
      </c>
      <c r="B283" s="1" t="n">
        <v>45755.44333333334</v>
      </c>
      <c r="C283" s="1" t="n">
        <v>46182</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43853-2023</t>
        </is>
      </c>
      <c r="B284" s="1" t="n">
        <v>45187.60813657408</v>
      </c>
      <c r="C284" s="1" t="n">
        <v>46182</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40095-2022</t>
        </is>
      </c>
      <c r="B285" s="1" t="n">
        <v>44820</v>
      </c>
      <c r="C285" s="1" t="n">
        <v>46182</v>
      </c>
      <c r="D285" t="inlineStr">
        <is>
          <t>KALMAR LÄN</t>
        </is>
      </c>
      <c r="E285" t="inlineStr">
        <is>
          <t>VIMMERBY</t>
        </is>
      </c>
      <c r="G285" t="n">
        <v>2.4</v>
      </c>
      <c r="H285" t="n">
        <v>0</v>
      </c>
      <c r="I285" t="n">
        <v>0</v>
      </c>
      <c r="J285" t="n">
        <v>0</v>
      </c>
      <c r="K285" t="n">
        <v>0</v>
      </c>
      <c r="L285" t="n">
        <v>0</v>
      </c>
      <c r="M285" t="n">
        <v>0</v>
      </c>
      <c r="N285" t="n">
        <v>0</v>
      </c>
      <c r="O285" t="n">
        <v>0</v>
      </c>
      <c r="P285" t="n">
        <v>0</v>
      </c>
      <c r="Q285" t="n">
        <v>0</v>
      </c>
      <c r="R285" s="2" t="inlineStr"/>
    </row>
    <row r="286" ht="15" customHeight="1">
      <c r="A286" t="inlineStr">
        <is>
          <t>A 50085-2023</t>
        </is>
      </c>
      <c r="B286" s="1" t="n">
        <v>45215.5959375</v>
      </c>
      <c r="C286" s="1" t="n">
        <v>46182</v>
      </c>
      <c r="D286" t="inlineStr">
        <is>
          <t>KALMAR LÄN</t>
        </is>
      </c>
      <c r="E286" t="inlineStr">
        <is>
          <t>VIMMERBY</t>
        </is>
      </c>
      <c r="G286" t="n">
        <v>1.1</v>
      </c>
      <c r="H286" t="n">
        <v>0</v>
      </c>
      <c r="I286" t="n">
        <v>0</v>
      </c>
      <c r="J286" t="n">
        <v>0</v>
      </c>
      <c r="K286" t="n">
        <v>0</v>
      </c>
      <c r="L286" t="n">
        <v>0</v>
      </c>
      <c r="M286" t="n">
        <v>0</v>
      </c>
      <c r="N286" t="n">
        <v>0</v>
      </c>
      <c r="O286" t="n">
        <v>0</v>
      </c>
      <c r="P286" t="n">
        <v>0</v>
      </c>
      <c r="Q286" t="n">
        <v>0</v>
      </c>
      <c r="R286" s="2" t="inlineStr"/>
    </row>
    <row r="287" ht="15" customHeight="1">
      <c r="A287" t="inlineStr">
        <is>
          <t>A 50087-2023</t>
        </is>
      </c>
      <c r="B287" s="1" t="n">
        <v>45215.59743055556</v>
      </c>
      <c r="C287" s="1" t="n">
        <v>46182</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8167-2024</t>
        </is>
      </c>
      <c r="B288" s="1" t="n">
        <v>45351.6062962963</v>
      </c>
      <c r="C288" s="1" t="n">
        <v>46182</v>
      </c>
      <c r="D288" t="inlineStr">
        <is>
          <t>KALMAR LÄN</t>
        </is>
      </c>
      <c r="E288" t="inlineStr">
        <is>
          <t>VIMMERBY</t>
        </is>
      </c>
      <c r="G288" t="n">
        <v>3.8</v>
      </c>
      <c r="H288" t="n">
        <v>0</v>
      </c>
      <c r="I288" t="n">
        <v>0</v>
      </c>
      <c r="J288" t="n">
        <v>0</v>
      </c>
      <c r="K288" t="n">
        <v>0</v>
      </c>
      <c r="L288" t="n">
        <v>0</v>
      </c>
      <c r="M288" t="n">
        <v>0</v>
      </c>
      <c r="N288" t="n">
        <v>0</v>
      </c>
      <c r="O288" t="n">
        <v>0</v>
      </c>
      <c r="P288" t="n">
        <v>0</v>
      </c>
      <c r="Q288" t="n">
        <v>0</v>
      </c>
      <c r="R288" s="2" t="inlineStr"/>
    </row>
    <row r="289" ht="15" customHeight="1">
      <c r="A289" t="inlineStr">
        <is>
          <t>A 36246-2025</t>
        </is>
      </c>
      <c r="B289" s="1" t="n">
        <v>45867.56320601852</v>
      </c>
      <c r="C289" s="1" t="n">
        <v>46182</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36297-2025</t>
        </is>
      </c>
      <c r="B290" s="1" t="n">
        <v>45867.68625</v>
      </c>
      <c r="C290" s="1" t="n">
        <v>46182</v>
      </c>
      <c r="D290" t="inlineStr">
        <is>
          <t>KALMAR LÄN</t>
        </is>
      </c>
      <c r="E290" t="inlineStr">
        <is>
          <t>VIMMERBY</t>
        </is>
      </c>
      <c r="G290" t="n">
        <v>4.9</v>
      </c>
      <c r="H290" t="n">
        <v>0</v>
      </c>
      <c r="I290" t="n">
        <v>0</v>
      </c>
      <c r="J290" t="n">
        <v>0</v>
      </c>
      <c r="K290" t="n">
        <v>0</v>
      </c>
      <c r="L290" t="n">
        <v>0</v>
      </c>
      <c r="M290" t="n">
        <v>0</v>
      </c>
      <c r="N290" t="n">
        <v>0</v>
      </c>
      <c r="O290" t="n">
        <v>0</v>
      </c>
      <c r="P290" t="n">
        <v>0</v>
      </c>
      <c r="Q290" t="n">
        <v>0</v>
      </c>
      <c r="R290" s="2" t="inlineStr"/>
    </row>
    <row r="291" ht="15" customHeight="1">
      <c r="A291" t="inlineStr">
        <is>
          <t>A 9511-2023</t>
        </is>
      </c>
      <c r="B291" s="1" t="n">
        <v>44981.64725694444</v>
      </c>
      <c r="C291" s="1" t="n">
        <v>46182</v>
      </c>
      <c r="D291" t="inlineStr">
        <is>
          <t>KALMAR LÄN</t>
        </is>
      </c>
      <c r="E291" t="inlineStr">
        <is>
          <t>VIMMERBY</t>
        </is>
      </c>
      <c r="G291" t="n">
        <v>3.5</v>
      </c>
      <c r="H291" t="n">
        <v>0</v>
      </c>
      <c r="I291" t="n">
        <v>0</v>
      </c>
      <c r="J291" t="n">
        <v>0</v>
      </c>
      <c r="K291" t="n">
        <v>0</v>
      </c>
      <c r="L291" t="n">
        <v>0</v>
      </c>
      <c r="M291" t="n">
        <v>0</v>
      </c>
      <c r="N291" t="n">
        <v>0</v>
      </c>
      <c r="O291" t="n">
        <v>0</v>
      </c>
      <c r="P291" t="n">
        <v>0</v>
      </c>
      <c r="Q291" t="n">
        <v>0</v>
      </c>
      <c r="R291" s="2" t="inlineStr"/>
    </row>
    <row r="292" ht="15" customHeight="1">
      <c r="A292" t="inlineStr">
        <is>
          <t>A 19502-2025</t>
        </is>
      </c>
      <c r="B292" s="1" t="n">
        <v>45769</v>
      </c>
      <c r="C292" s="1" t="n">
        <v>46182</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38757-2023</t>
        </is>
      </c>
      <c r="B293" s="1" t="n">
        <v>45163.41376157408</v>
      </c>
      <c r="C293" s="1" t="n">
        <v>46182</v>
      </c>
      <c r="D293" t="inlineStr">
        <is>
          <t>KALMAR LÄN</t>
        </is>
      </c>
      <c r="E293" t="inlineStr">
        <is>
          <t>VIMMERBY</t>
        </is>
      </c>
      <c r="G293" t="n">
        <v>2.5</v>
      </c>
      <c r="H293" t="n">
        <v>0</v>
      </c>
      <c r="I293" t="n">
        <v>0</v>
      </c>
      <c r="J293" t="n">
        <v>0</v>
      </c>
      <c r="K293" t="n">
        <v>0</v>
      </c>
      <c r="L293" t="n">
        <v>0</v>
      </c>
      <c r="M293" t="n">
        <v>0</v>
      </c>
      <c r="N293" t="n">
        <v>0</v>
      </c>
      <c r="O293" t="n">
        <v>0</v>
      </c>
      <c r="P293" t="n">
        <v>0</v>
      </c>
      <c r="Q293" t="n">
        <v>0</v>
      </c>
      <c r="R293" s="2" t="inlineStr"/>
    </row>
    <row r="294" ht="15" customHeight="1">
      <c r="A294" t="inlineStr">
        <is>
          <t>A 36299-2025</t>
        </is>
      </c>
      <c r="B294" s="1" t="n">
        <v>45867.69346064814</v>
      </c>
      <c r="C294" s="1" t="n">
        <v>46182</v>
      </c>
      <c r="D294" t="inlineStr">
        <is>
          <t>KALMAR LÄN</t>
        </is>
      </c>
      <c r="E294" t="inlineStr">
        <is>
          <t>VIMMERBY</t>
        </is>
      </c>
      <c r="G294" t="n">
        <v>7.6</v>
      </c>
      <c r="H294" t="n">
        <v>0</v>
      </c>
      <c r="I294" t="n">
        <v>0</v>
      </c>
      <c r="J294" t="n">
        <v>0</v>
      </c>
      <c r="K294" t="n">
        <v>0</v>
      </c>
      <c r="L294" t="n">
        <v>0</v>
      </c>
      <c r="M294" t="n">
        <v>0</v>
      </c>
      <c r="N294" t="n">
        <v>0</v>
      </c>
      <c r="O294" t="n">
        <v>0</v>
      </c>
      <c r="P294" t="n">
        <v>0</v>
      </c>
      <c r="Q294" t="n">
        <v>0</v>
      </c>
      <c r="R294" s="2" t="inlineStr"/>
    </row>
    <row r="295" ht="15" customHeight="1">
      <c r="A295" t="inlineStr">
        <is>
          <t>A 64143-2021</t>
        </is>
      </c>
      <c r="B295" s="1" t="n">
        <v>44510.52157407408</v>
      </c>
      <c r="C295" s="1" t="n">
        <v>46182</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36538-2025</t>
        </is>
      </c>
      <c r="B296" s="1" t="n">
        <v>45869.62276620371</v>
      </c>
      <c r="C296" s="1" t="n">
        <v>46182</v>
      </c>
      <c r="D296" t="inlineStr">
        <is>
          <t>KALMAR LÄN</t>
        </is>
      </c>
      <c r="E296" t="inlineStr">
        <is>
          <t>VIMMERBY</t>
        </is>
      </c>
      <c r="G296" t="n">
        <v>2.6</v>
      </c>
      <c r="H296" t="n">
        <v>0</v>
      </c>
      <c r="I296" t="n">
        <v>0</v>
      </c>
      <c r="J296" t="n">
        <v>0</v>
      </c>
      <c r="K296" t="n">
        <v>0</v>
      </c>
      <c r="L296" t="n">
        <v>0</v>
      </c>
      <c r="M296" t="n">
        <v>0</v>
      </c>
      <c r="N296" t="n">
        <v>0</v>
      </c>
      <c r="O296" t="n">
        <v>0</v>
      </c>
      <c r="P296" t="n">
        <v>0</v>
      </c>
      <c r="Q296" t="n">
        <v>0</v>
      </c>
      <c r="R296" s="2" t="inlineStr"/>
    </row>
    <row r="297" ht="15" customHeight="1">
      <c r="A297" t="inlineStr">
        <is>
          <t>A 73938-2021</t>
        </is>
      </c>
      <c r="B297" s="1" t="n">
        <v>44553</v>
      </c>
      <c r="C297" s="1" t="n">
        <v>46182</v>
      </c>
      <c r="D297" t="inlineStr">
        <is>
          <t>KALMAR LÄN</t>
        </is>
      </c>
      <c r="E297" t="inlineStr">
        <is>
          <t>VIMMERBY</t>
        </is>
      </c>
      <c r="G297" t="n">
        <v>3.2</v>
      </c>
      <c r="H297" t="n">
        <v>0</v>
      </c>
      <c r="I297" t="n">
        <v>0</v>
      </c>
      <c r="J297" t="n">
        <v>0</v>
      </c>
      <c r="K297" t="n">
        <v>0</v>
      </c>
      <c r="L297" t="n">
        <v>0</v>
      </c>
      <c r="M297" t="n">
        <v>0</v>
      </c>
      <c r="N297" t="n">
        <v>0</v>
      </c>
      <c r="O297" t="n">
        <v>0</v>
      </c>
      <c r="P297" t="n">
        <v>0</v>
      </c>
      <c r="Q297" t="n">
        <v>0</v>
      </c>
      <c r="R297" s="2" t="inlineStr"/>
    </row>
    <row r="298" ht="15" customHeight="1">
      <c r="A298" t="inlineStr">
        <is>
          <t>A 2604-2025</t>
        </is>
      </c>
      <c r="B298" s="1" t="n">
        <v>45674.74094907408</v>
      </c>
      <c r="C298" s="1" t="n">
        <v>46182</v>
      </c>
      <c r="D298" t="inlineStr">
        <is>
          <t>KALMAR LÄN</t>
        </is>
      </c>
      <c r="E298" t="inlineStr">
        <is>
          <t>VIMMERBY</t>
        </is>
      </c>
      <c r="G298" t="n">
        <v>7.6</v>
      </c>
      <c r="H298" t="n">
        <v>0</v>
      </c>
      <c r="I298" t="n">
        <v>0</v>
      </c>
      <c r="J298" t="n">
        <v>0</v>
      </c>
      <c r="K298" t="n">
        <v>0</v>
      </c>
      <c r="L298" t="n">
        <v>0</v>
      </c>
      <c r="M298" t="n">
        <v>0</v>
      </c>
      <c r="N298" t="n">
        <v>0</v>
      </c>
      <c r="O298" t="n">
        <v>0</v>
      </c>
      <c r="P298" t="n">
        <v>0</v>
      </c>
      <c r="Q298" t="n">
        <v>0</v>
      </c>
      <c r="R298" s="2" t="inlineStr"/>
    </row>
    <row r="299" ht="15" customHeight="1">
      <c r="A299" t="inlineStr">
        <is>
          <t>A 40076-2021</t>
        </is>
      </c>
      <c r="B299" s="1" t="n">
        <v>44418</v>
      </c>
      <c r="C299" s="1" t="n">
        <v>46182</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37192-2024</t>
        </is>
      </c>
      <c r="B300" s="1" t="n">
        <v>45539.66027777778</v>
      </c>
      <c r="C300" s="1" t="n">
        <v>46182</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50648-2023</t>
        </is>
      </c>
      <c r="B301" s="1" t="n">
        <v>45217.47834490741</v>
      </c>
      <c r="C301" s="1" t="n">
        <v>46182</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36603-2025</t>
        </is>
      </c>
      <c r="B302" s="1" t="n">
        <v>45870.52142361111</v>
      </c>
      <c r="C302" s="1" t="n">
        <v>46182</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529-2022</t>
        </is>
      </c>
      <c r="B303" s="1" t="n">
        <v>44566</v>
      </c>
      <c r="C303" s="1" t="n">
        <v>46182</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58318-2021</t>
        </is>
      </c>
      <c r="B304" s="1" t="n">
        <v>44488.35878472222</v>
      </c>
      <c r="C304" s="1" t="n">
        <v>46182</v>
      </c>
      <c r="D304" t="inlineStr">
        <is>
          <t>KALMAR LÄN</t>
        </is>
      </c>
      <c r="E304" t="inlineStr">
        <is>
          <t>VIMMERBY</t>
        </is>
      </c>
      <c r="G304" t="n">
        <v>4</v>
      </c>
      <c r="H304" t="n">
        <v>0</v>
      </c>
      <c r="I304" t="n">
        <v>0</v>
      </c>
      <c r="J304" t="n">
        <v>0</v>
      </c>
      <c r="K304" t="n">
        <v>0</v>
      </c>
      <c r="L304" t="n">
        <v>0</v>
      </c>
      <c r="M304" t="n">
        <v>0</v>
      </c>
      <c r="N304" t="n">
        <v>0</v>
      </c>
      <c r="O304" t="n">
        <v>0</v>
      </c>
      <c r="P304" t="n">
        <v>0</v>
      </c>
      <c r="Q304" t="n">
        <v>0</v>
      </c>
      <c r="R304" s="2" t="inlineStr"/>
    </row>
    <row r="305" ht="15" customHeight="1">
      <c r="A305" t="inlineStr">
        <is>
          <t>A 89-2023</t>
        </is>
      </c>
      <c r="B305" s="1" t="n">
        <v>44918</v>
      </c>
      <c r="C305" s="1" t="n">
        <v>46182</v>
      </c>
      <c r="D305" t="inlineStr">
        <is>
          <t>KALMAR LÄN</t>
        </is>
      </c>
      <c r="E305" t="inlineStr">
        <is>
          <t>VIMMERBY</t>
        </is>
      </c>
      <c r="G305" t="n">
        <v>16.1</v>
      </c>
      <c r="H305" t="n">
        <v>0</v>
      </c>
      <c r="I305" t="n">
        <v>0</v>
      </c>
      <c r="J305" t="n">
        <v>0</v>
      </c>
      <c r="K305" t="n">
        <v>0</v>
      </c>
      <c r="L305" t="n">
        <v>0</v>
      </c>
      <c r="M305" t="n">
        <v>0</v>
      </c>
      <c r="N305" t="n">
        <v>0</v>
      </c>
      <c r="O305" t="n">
        <v>0</v>
      </c>
      <c r="P305" t="n">
        <v>0</v>
      </c>
      <c r="Q305" t="n">
        <v>0</v>
      </c>
      <c r="R305" s="2" t="inlineStr"/>
    </row>
    <row r="306" ht="15" customHeight="1">
      <c r="A306" t="inlineStr">
        <is>
          <t>A 42429-2024</t>
        </is>
      </c>
      <c r="B306" s="1" t="n">
        <v>45565.40657407408</v>
      </c>
      <c r="C306" s="1" t="n">
        <v>46182</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23088-2024</t>
        </is>
      </c>
      <c r="B307" s="1" t="n">
        <v>45450.51092592593</v>
      </c>
      <c r="C307" s="1" t="n">
        <v>46182</v>
      </c>
      <c r="D307" t="inlineStr">
        <is>
          <t>KALMAR LÄN</t>
        </is>
      </c>
      <c r="E307" t="inlineStr">
        <is>
          <t>VIMMERBY</t>
        </is>
      </c>
      <c r="G307" t="n">
        <v>1.9</v>
      </c>
      <c r="H307" t="n">
        <v>0</v>
      </c>
      <c r="I307" t="n">
        <v>0</v>
      </c>
      <c r="J307" t="n">
        <v>0</v>
      </c>
      <c r="K307" t="n">
        <v>0</v>
      </c>
      <c r="L307" t="n">
        <v>0</v>
      </c>
      <c r="M307" t="n">
        <v>0</v>
      </c>
      <c r="N307" t="n">
        <v>0</v>
      </c>
      <c r="O307" t="n">
        <v>0</v>
      </c>
      <c r="P307" t="n">
        <v>0</v>
      </c>
      <c r="Q307" t="n">
        <v>0</v>
      </c>
      <c r="R307" s="2" t="inlineStr"/>
    </row>
    <row r="308" ht="15" customHeight="1">
      <c r="A308" t="inlineStr">
        <is>
          <t>A 36601-2025</t>
        </is>
      </c>
      <c r="B308" s="1" t="n">
        <v>45870.52005787037</v>
      </c>
      <c r="C308" s="1" t="n">
        <v>46182</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38851-2023</t>
        </is>
      </c>
      <c r="B309" s="1" t="n">
        <v>45163</v>
      </c>
      <c r="C309" s="1" t="n">
        <v>46182</v>
      </c>
      <c r="D309" t="inlineStr">
        <is>
          <t>KALMAR LÄN</t>
        </is>
      </c>
      <c r="E309" t="inlineStr">
        <is>
          <t>VIMMERBY</t>
        </is>
      </c>
      <c r="G309" t="n">
        <v>4.3</v>
      </c>
      <c r="H309" t="n">
        <v>0</v>
      </c>
      <c r="I309" t="n">
        <v>0</v>
      </c>
      <c r="J309" t="n">
        <v>0</v>
      </c>
      <c r="K309" t="n">
        <v>0</v>
      </c>
      <c r="L309" t="n">
        <v>0</v>
      </c>
      <c r="M309" t="n">
        <v>0</v>
      </c>
      <c r="N309" t="n">
        <v>0</v>
      </c>
      <c r="O309" t="n">
        <v>0</v>
      </c>
      <c r="P309" t="n">
        <v>0</v>
      </c>
      <c r="Q309" t="n">
        <v>0</v>
      </c>
      <c r="R309" s="2" t="inlineStr"/>
    </row>
    <row r="310" ht="15" customHeight="1">
      <c r="A310" t="inlineStr">
        <is>
          <t>A 10759-2023</t>
        </is>
      </c>
      <c r="B310" s="1" t="n">
        <v>44988</v>
      </c>
      <c r="C310" s="1" t="n">
        <v>46182</v>
      </c>
      <c r="D310" t="inlineStr">
        <is>
          <t>KALMAR LÄN</t>
        </is>
      </c>
      <c r="E310" t="inlineStr">
        <is>
          <t>VIMMERBY</t>
        </is>
      </c>
      <c r="G310" t="n">
        <v>0.4</v>
      </c>
      <c r="H310" t="n">
        <v>0</v>
      </c>
      <c r="I310" t="n">
        <v>0</v>
      </c>
      <c r="J310" t="n">
        <v>0</v>
      </c>
      <c r="K310" t="n">
        <v>0</v>
      </c>
      <c r="L310" t="n">
        <v>0</v>
      </c>
      <c r="M310" t="n">
        <v>0</v>
      </c>
      <c r="N310" t="n">
        <v>0</v>
      </c>
      <c r="O310" t="n">
        <v>0</v>
      </c>
      <c r="P310" t="n">
        <v>0</v>
      </c>
      <c r="Q310" t="n">
        <v>0</v>
      </c>
      <c r="R310" s="2" t="inlineStr"/>
    </row>
    <row r="311" ht="15" customHeight="1">
      <c r="A311" t="inlineStr">
        <is>
          <t>A 29180-2024</t>
        </is>
      </c>
      <c r="B311" s="1" t="n">
        <v>45482.54108796296</v>
      </c>
      <c r="C311" s="1" t="n">
        <v>46182</v>
      </c>
      <c r="D311" t="inlineStr">
        <is>
          <t>KALMAR LÄN</t>
        </is>
      </c>
      <c r="E311" t="inlineStr">
        <is>
          <t>VIMMERBY</t>
        </is>
      </c>
      <c r="G311" t="n">
        <v>3.8</v>
      </c>
      <c r="H311" t="n">
        <v>0</v>
      </c>
      <c r="I311" t="n">
        <v>0</v>
      </c>
      <c r="J311" t="n">
        <v>0</v>
      </c>
      <c r="K311" t="n">
        <v>0</v>
      </c>
      <c r="L311" t="n">
        <v>0</v>
      </c>
      <c r="M311" t="n">
        <v>0</v>
      </c>
      <c r="N311" t="n">
        <v>0</v>
      </c>
      <c r="O311" t="n">
        <v>0</v>
      </c>
      <c r="P311" t="n">
        <v>0</v>
      </c>
      <c r="Q311" t="n">
        <v>0</v>
      </c>
      <c r="R311" s="2" t="inlineStr"/>
    </row>
    <row r="312" ht="15" customHeight="1">
      <c r="A312" t="inlineStr">
        <is>
          <t>A 63583-2023</t>
        </is>
      </c>
      <c r="B312" s="1" t="n">
        <v>45275.41833333333</v>
      </c>
      <c r="C312" s="1" t="n">
        <v>46182</v>
      </c>
      <c r="D312" t="inlineStr">
        <is>
          <t>KALMAR LÄN</t>
        </is>
      </c>
      <c r="E312" t="inlineStr">
        <is>
          <t>VIMMERBY</t>
        </is>
      </c>
      <c r="G312" t="n">
        <v>1.4</v>
      </c>
      <c r="H312" t="n">
        <v>0</v>
      </c>
      <c r="I312" t="n">
        <v>0</v>
      </c>
      <c r="J312" t="n">
        <v>0</v>
      </c>
      <c r="K312" t="n">
        <v>0</v>
      </c>
      <c r="L312" t="n">
        <v>0</v>
      </c>
      <c r="M312" t="n">
        <v>0</v>
      </c>
      <c r="N312" t="n">
        <v>0</v>
      </c>
      <c r="O312" t="n">
        <v>0</v>
      </c>
      <c r="P312" t="n">
        <v>0</v>
      </c>
      <c r="Q312" t="n">
        <v>0</v>
      </c>
      <c r="R312" s="2" t="inlineStr"/>
    </row>
    <row r="313" ht="15" customHeight="1">
      <c r="A313" t="inlineStr">
        <is>
          <t>A 40079-2023</t>
        </is>
      </c>
      <c r="B313" s="1" t="n">
        <v>45168.89298611111</v>
      </c>
      <c r="C313" s="1" t="n">
        <v>46182</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43774-2023</t>
        </is>
      </c>
      <c r="B314" s="1" t="n">
        <v>45187</v>
      </c>
      <c r="C314" s="1" t="n">
        <v>46182</v>
      </c>
      <c r="D314" t="inlineStr">
        <is>
          <t>KALMAR LÄN</t>
        </is>
      </c>
      <c r="E314" t="inlineStr">
        <is>
          <t>VIMMERBY</t>
        </is>
      </c>
      <c r="G314" t="n">
        <v>3.4</v>
      </c>
      <c r="H314" t="n">
        <v>0</v>
      </c>
      <c r="I314" t="n">
        <v>0</v>
      </c>
      <c r="J314" t="n">
        <v>0</v>
      </c>
      <c r="K314" t="n">
        <v>0</v>
      </c>
      <c r="L314" t="n">
        <v>0</v>
      </c>
      <c r="M314" t="n">
        <v>0</v>
      </c>
      <c r="N314" t="n">
        <v>0</v>
      </c>
      <c r="O314" t="n">
        <v>0</v>
      </c>
      <c r="P314" t="n">
        <v>0</v>
      </c>
      <c r="Q314" t="n">
        <v>0</v>
      </c>
      <c r="R314" s="2" t="inlineStr"/>
    </row>
    <row r="315" ht="15" customHeight="1">
      <c r="A315" t="inlineStr">
        <is>
          <t>A 29616-2022</t>
        </is>
      </c>
      <c r="B315" s="1" t="n">
        <v>44754</v>
      </c>
      <c r="C315" s="1" t="n">
        <v>46182</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45846-2023</t>
        </is>
      </c>
      <c r="B316" s="1" t="n">
        <v>45195.58452546296</v>
      </c>
      <c r="C316" s="1" t="n">
        <v>46182</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16020-2023</t>
        </is>
      </c>
      <c r="B317" s="1" t="n">
        <v>45026.82216435186</v>
      </c>
      <c r="C317" s="1" t="n">
        <v>46182</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39578-2024</t>
        </is>
      </c>
      <c r="B318" s="1" t="n">
        <v>45552.36484953704</v>
      </c>
      <c r="C318" s="1" t="n">
        <v>46182</v>
      </c>
      <c r="D318" t="inlineStr">
        <is>
          <t>KALMAR LÄN</t>
        </is>
      </c>
      <c r="E318" t="inlineStr">
        <is>
          <t>VIMMERBY</t>
        </is>
      </c>
      <c r="G318" t="n">
        <v>1.5</v>
      </c>
      <c r="H318" t="n">
        <v>0</v>
      </c>
      <c r="I318" t="n">
        <v>0</v>
      </c>
      <c r="J318" t="n">
        <v>0</v>
      </c>
      <c r="K318" t="n">
        <v>0</v>
      </c>
      <c r="L318" t="n">
        <v>0</v>
      </c>
      <c r="M318" t="n">
        <v>0</v>
      </c>
      <c r="N318" t="n">
        <v>0</v>
      </c>
      <c r="O318" t="n">
        <v>0</v>
      </c>
      <c r="P318" t="n">
        <v>0</v>
      </c>
      <c r="Q318" t="n">
        <v>0</v>
      </c>
      <c r="R318" s="2" t="inlineStr"/>
    </row>
    <row r="319" ht="15" customHeight="1">
      <c r="A319" t="inlineStr">
        <is>
          <t>A 24707-2024</t>
        </is>
      </c>
      <c r="B319" s="1" t="n">
        <v>45460.62172453704</v>
      </c>
      <c r="C319" s="1" t="n">
        <v>46182</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61820-2023</t>
        </is>
      </c>
      <c r="B320" s="1" t="n">
        <v>45266.32614583334</v>
      </c>
      <c r="C320" s="1" t="n">
        <v>46182</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31056-2022</t>
        </is>
      </c>
      <c r="B321" s="1" t="n">
        <v>44769.45805555556</v>
      </c>
      <c r="C321" s="1" t="n">
        <v>46182</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33383-2023</t>
        </is>
      </c>
      <c r="B322" s="1" t="n">
        <v>45128.58414351852</v>
      </c>
      <c r="C322" s="1" t="n">
        <v>46182</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40828-2023</t>
        </is>
      </c>
      <c r="B323" s="1" t="n">
        <v>45171.96248842592</v>
      </c>
      <c r="C323" s="1" t="n">
        <v>46182</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37578-2025</t>
        </is>
      </c>
      <c r="B324" s="1" t="n">
        <v>45880.38380787037</v>
      </c>
      <c r="C324" s="1" t="n">
        <v>46182</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61861-2024</t>
        </is>
      </c>
      <c r="B325" s="1" t="n">
        <v>45650.37370370371</v>
      </c>
      <c r="C325" s="1" t="n">
        <v>46182</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8650-2022</t>
        </is>
      </c>
      <c r="B326" s="1" t="n">
        <v>44613</v>
      </c>
      <c r="C326" s="1" t="n">
        <v>46182</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33340-2023</t>
        </is>
      </c>
      <c r="B327" s="1" t="n">
        <v>45128.37305555555</v>
      </c>
      <c r="C327" s="1" t="n">
        <v>46182</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44423-2023</t>
        </is>
      </c>
      <c r="B328" s="1" t="n">
        <v>45189</v>
      </c>
      <c r="C328" s="1" t="n">
        <v>46182</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45560-2021</t>
        </is>
      </c>
      <c r="B329" s="1" t="n">
        <v>44440</v>
      </c>
      <c r="C329" s="1" t="n">
        <v>46182</v>
      </c>
      <c r="D329" t="inlineStr">
        <is>
          <t>KALMAR LÄN</t>
        </is>
      </c>
      <c r="E329" t="inlineStr">
        <is>
          <t>VIMMERBY</t>
        </is>
      </c>
      <c r="G329" t="n">
        <v>1.3</v>
      </c>
      <c r="H329" t="n">
        <v>0</v>
      </c>
      <c r="I329" t="n">
        <v>0</v>
      </c>
      <c r="J329" t="n">
        <v>0</v>
      </c>
      <c r="K329" t="n">
        <v>0</v>
      </c>
      <c r="L329" t="n">
        <v>0</v>
      </c>
      <c r="M329" t="n">
        <v>0</v>
      </c>
      <c r="N329" t="n">
        <v>0</v>
      </c>
      <c r="O329" t="n">
        <v>0</v>
      </c>
      <c r="P329" t="n">
        <v>0</v>
      </c>
      <c r="Q329" t="n">
        <v>0</v>
      </c>
      <c r="R329" s="2" t="inlineStr"/>
    </row>
    <row r="330" ht="15" customHeight="1">
      <c r="A330" t="inlineStr">
        <is>
          <t>A 40256-2024</t>
        </is>
      </c>
      <c r="B330" s="1" t="n">
        <v>45554.62944444444</v>
      </c>
      <c r="C330" s="1" t="n">
        <v>46182</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37323-2024</t>
        </is>
      </c>
      <c r="B331" s="1" t="n">
        <v>45540.50098379629</v>
      </c>
      <c r="C331" s="1" t="n">
        <v>46182</v>
      </c>
      <c r="D331" t="inlineStr">
        <is>
          <t>KALMAR LÄN</t>
        </is>
      </c>
      <c r="E331" t="inlineStr">
        <is>
          <t>VIMMERBY</t>
        </is>
      </c>
      <c r="G331" t="n">
        <v>1.2</v>
      </c>
      <c r="H331" t="n">
        <v>0</v>
      </c>
      <c r="I331" t="n">
        <v>0</v>
      </c>
      <c r="J331" t="n">
        <v>0</v>
      </c>
      <c r="K331" t="n">
        <v>0</v>
      </c>
      <c r="L331" t="n">
        <v>0</v>
      </c>
      <c r="M331" t="n">
        <v>0</v>
      </c>
      <c r="N331" t="n">
        <v>0</v>
      </c>
      <c r="O331" t="n">
        <v>0</v>
      </c>
      <c r="P331" t="n">
        <v>0</v>
      </c>
      <c r="Q331" t="n">
        <v>0</v>
      </c>
      <c r="R331" s="2" t="inlineStr"/>
    </row>
    <row r="332" ht="15" customHeight="1">
      <c r="A332" t="inlineStr">
        <is>
          <t>A 58104-2024</t>
        </is>
      </c>
      <c r="B332" s="1" t="n">
        <v>45632.37459490741</v>
      </c>
      <c r="C332" s="1" t="n">
        <v>46182</v>
      </c>
      <c r="D332" t="inlineStr">
        <is>
          <t>KALMAR LÄN</t>
        </is>
      </c>
      <c r="E332" t="inlineStr">
        <is>
          <t>VIMMERBY</t>
        </is>
      </c>
      <c r="G332" t="n">
        <v>5</v>
      </c>
      <c r="H332" t="n">
        <v>0</v>
      </c>
      <c r="I332" t="n">
        <v>0</v>
      </c>
      <c r="J332" t="n">
        <v>0</v>
      </c>
      <c r="K332" t="n">
        <v>0</v>
      </c>
      <c r="L332" t="n">
        <v>0</v>
      </c>
      <c r="M332" t="n">
        <v>0</v>
      </c>
      <c r="N332" t="n">
        <v>0</v>
      </c>
      <c r="O332" t="n">
        <v>0</v>
      </c>
      <c r="P332" t="n">
        <v>0</v>
      </c>
      <c r="Q332" t="n">
        <v>0</v>
      </c>
      <c r="R332" s="2" t="inlineStr"/>
    </row>
    <row r="333" ht="15" customHeight="1">
      <c r="A333" t="inlineStr">
        <is>
          <t>A 37668-2025</t>
        </is>
      </c>
      <c r="B333" s="1" t="n">
        <v>45880.51550925926</v>
      </c>
      <c r="C333" s="1" t="n">
        <v>46182</v>
      </c>
      <c r="D333" t="inlineStr">
        <is>
          <t>KALMAR LÄN</t>
        </is>
      </c>
      <c r="E333" t="inlineStr">
        <is>
          <t>VIMMERBY</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36259-2022</t>
        </is>
      </c>
      <c r="B334" s="1" t="n">
        <v>44803.59118055556</v>
      </c>
      <c r="C334" s="1" t="n">
        <v>46182</v>
      </c>
      <c r="D334" t="inlineStr">
        <is>
          <t>KALMAR LÄN</t>
        </is>
      </c>
      <c r="E334" t="inlineStr">
        <is>
          <t>VIMMERBY</t>
        </is>
      </c>
      <c r="G334" t="n">
        <v>3.9</v>
      </c>
      <c r="H334" t="n">
        <v>0</v>
      </c>
      <c r="I334" t="n">
        <v>0</v>
      </c>
      <c r="J334" t="n">
        <v>0</v>
      </c>
      <c r="K334" t="n">
        <v>0</v>
      </c>
      <c r="L334" t="n">
        <v>0</v>
      </c>
      <c r="M334" t="n">
        <v>0</v>
      </c>
      <c r="N334" t="n">
        <v>0</v>
      </c>
      <c r="O334" t="n">
        <v>0</v>
      </c>
      <c r="P334" t="n">
        <v>0</v>
      </c>
      <c r="Q334" t="n">
        <v>0</v>
      </c>
      <c r="R334" s="2" t="inlineStr"/>
    </row>
    <row r="335" ht="15" customHeight="1">
      <c r="A335" t="inlineStr">
        <is>
          <t>A 43034-2024</t>
        </is>
      </c>
      <c r="B335" s="1" t="n">
        <v>45567.42011574074</v>
      </c>
      <c r="C335" s="1" t="n">
        <v>46182</v>
      </c>
      <c r="D335" t="inlineStr">
        <is>
          <t>KALMAR LÄN</t>
        </is>
      </c>
      <c r="E335" t="inlineStr">
        <is>
          <t>VIMMERBY</t>
        </is>
      </c>
      <c r="G335" t="n">
        <v>1.8</v>
      </c>
      <c r="H335" t="n">
        <v>0</v>
      </c>
      <c r="I335" t="n">
        <v>0</v>
      </c>
      <c r="J335" t="n">
        <v>0</v>
      </c>
      <c r="K335" t="n">
        <v>0</v>
      </c>
      <c r="L335" t="n">
        <v>0</v>
      </c>
      <c r="M335" t="n">
        <v>0</v>
      </c>
      <c r="N335" t="n">
        <v>0</v>
      </c>
      <c r="O335" t="n">
        <v>0</v>
      </c>
      <c r="P335" t="n">
        <v>0</v>
      </c>
      <c r="Q335" t="n">
        <v>0</v>
      </c>
      <c r="R335" s="2" t="inlineStr"/>
    </row>
    <row r="336" ht="15" customHeight="1">
      <c r="A336" t="inlineStr">
        <is>
          <t>A 3902-2022</t>
        </is>
      </c>
      <c r="B336" s="1" t="n">
        <v>44587.48847222222</v>
      </c>
      <c r="C336" s="1" t="n">
        <v>46182</v>
      </c>
      <c r="D336" t="inlineStr">
        <is>
          <t>KALMAR LÄN</t>
        </is>
      </c>
      <c r="E336" t="inlineStr">
        <is>
          <t>VIMMERBY</t>
        </is>
      </c>
      <c r="G336" t="n">
        <v>2.6</v>
      </c>
      <c r="H336" t="n">
        <v>0</v>
      </c>
      <c r="I336" t="n">
        <v>0</v>
      </c>
      <c r="J336" t="n">
        <v>0</v>
      </c>
      <c r="K336" t="n">
        <v>0</v>
      </c>
      <c r="L336" t="n">
        <v>0</v>
      </c>
      <c r="M336" t="n">
        <v>0</v>
      </c>
      <c r="N336" t="n">
        <v>0</v>
      </c>
      <c r="O336" t="n">
        <v>0</v>
      </c>
      <c r="P336" t="n">
        <v>0</v>
      </c>
      <c r="Q336" t="n">
        <v>0</v>
      </c>
      <c r="R336" s="2" t="inlineStr"/>
    </row>
    <row r="337" ht="15" customHeight="1">
      <c r="A337" t="inlineStr">
        <is>
          <t>A 30070-2023</t>
        </is>
      </c>
      <c r="B337" s="1" t="n">
        <v>45110.4275</v>
      </c>
      <c r="C337" s="1" t="n">
        <v>46182</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18501-2024</t>
        </is>
      </c>
      <c r="B338" s="1" t="n">
        <v>45425.57538194444</v>
      </c>
      <c r="C338" s="1" t="n">
        <v>46182</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31209-2024</t>
        </is>
      </c>
      <c r="B339" s="1" t="n">
        <v>45503.5658912037</v>
      </c>
      <c r="C339" s="1" t="n">
        <v>46182</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47227-2025</t>
        </is>
      </c>
      <c r="B340" s="1" t="n">
        <v>45930.39769675926</v>
      </c>
      <c r="C340" s="1" t="n">
        <v>46182</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27758-2024</t>
        </is>
      </c>
      <c r="B341" s="1" t="n">
        <v>45475.48303240741</v>
      </c>
      <c r="C341" s="1" t="n">
        <v>46182</v>
      </c>
      <c r="D341" t="inlineStr">
        <is>
          <t>KALMAR LÄN</t>
        </is>
      </c>
      <c r="E341" t="inlineStr">
        <is>
          <t>VIMMERBY</t>
        </is>
      </c>
      <c r="G341" t="n">
        <v>2.6</v>
      </c>
      <c r="H341" t="n">
        <v>0</v>
      </c>
      <c r="I341" t="n">
        <v>0</v>
      </c>
      <c r="J341" t="n">
        <v>0</v>
      </c>
      <c r="K341" t="n">
        <v>0</v>
      </c>
      <c r="L341" t="n">
        <v>0</v>
      </c>
      <c r="M341" t="n">
        <v>0</v>
      </c>
      <c r="N341" t="n">
        <v>0</v>
      </c>
      <c r="O341" t="n">
        <v>0</v>
      </c>
      <c r="P341" t="n">
        <v>0</v>
      </c>
      <c r="Q341" t="n">
        <v>0</v>
      </c>
      <c r="R341" s="2" t="inlineStr"/>
    </row>
    <row r="342" ht="15" customHeight="1">
      <c r="A342" t="inlineStr">
        <is>
          <t>A 4527-2023</t>
        </is>
      </c>
      <c r="B342" s="1" t="n">
        <v>44956</v>
      </c>
      <c r="C342" s="1" t="n">
        <v>46182</v>
      </c>
      <c r="D342" t="inlineStr">
        <is>
          <t>KALMAR LÄN</t>
        </is>
      </c>
      <c r="E342" t="inlineStr">
        <is>
          <t>VIMMERBY</t>
        </is>
      </c>
      <c r="F342" t="inlineStr">
        <is>
          <t>Kommuner</t>
        </is>
      </c>
      <c r="G342" t="n">
        <v>8.5</v>
      </c>
      <c r="H342" t="n">
        <v>0</v>
      </c>
      <c r="I342" t="n">
        <v>0</v>
      </c>
      <c r="J342" t="n">
        <v>0</v>
      </c>
      <c r="K342" t="n">
        <v>0</v>
      </c>
      <c r="L342" t="n">
        <v>0</v>
      </c>
      <c r="M342" t="n">
        <v>0</v>
      </c>
      <c r="N342" t="n">
        <v>0</v>
      </c>
      <c r="O342" t="n">
        <v>0</v>
      </c>
      <c r="P342" t="n">
        <v>0</v>
      </c>
      <c r="Q342" t="n">
        <v>0</v>
      </c>
      <c r="R342" s="2" t="inlineStr"/>
    </row>
    <row r="343" ht="15" customHeight="1">
      <c r="A343" t="inlineStr">
        <is>
          <t>A 5864-2022</t>
        </is>
      </c>
      <c r="B343" s="1" t="n">
        <v>44596</v>
      </c>
      <c r="C343" s="1" t="n">
        <v>46182</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55716-2023</t>
        </is>
      </c>
      <c r="B344" s="1" t="n">
        <v>45232</v>
      </c>
      <c r="C344" s="1" t="n">
        <v>46182</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30912-2023</t>
        </is>
      </c>
      <c r="B345" s="1" t="n">
        <v>45113.41633101852</v>
      </c>
      <c r="C345" s="1" t="n">
        <v>46182</v>
      </c>
      <c r="D345" t="inlineStr">
        <is>
          <t>KALMAR LÄN</t>
        </is>
      </c>
      <c r="E345" t="inlineStr">
        <is>
          <t>VIMMERBY</t>
        </is>
      </c>
      <c r="G345" t="n">
        <v>5</v>
      </c>
      <c r="H345" t="n">
        <v>0</v>
      </c>
      <c r="I345" t="n">
        <v>0</v>
      </c>
      <c r="J345" t="n">
        <v>0</v>
      </c>
      <c r="K345" t="n">
        <v>0</v>
      </c>
      <c r="L345" t="n">
        <v>0</v>
      </c>
      <c r="M345" t="n">
        <v>0</v>
      </c>
      <c r="N345" t="n">
        <v>0</v>
      </c>
      <c r="O345" t="n">
        <v>0</v>
      </c>
      <c r="P345" t="n">
        <v>0</v>
      </c>
      <c r="Q345" t="n">
        <v>0</v>
      </c>
      <c r="R345" s="2" t="inlineStr"/>
    </row>
    <row r="346" ht="15" customHeight="1">
      <c r="A346" t="inlineStr">
        <is>
          <t>A 1146-2025</t>
        </is>
      </c>
      <c r="B346" s="1" t="n">
        <v>45666</v>
      </c>
      <c r="C346" s="1" t="n">
        <v>46182</v>
      </c>
      <c r="D346" t="inlineStr">
        <is>
          <t>KALMAR LÄN</t>
        </is>
      </c>
      <c r="E346" t="inlineStr">
        <is>
          <t>VIMMERBY</t>
        </is>
      </c>
      <c r="G346" t="n">
        <v>4</v>
      </c>
      <c r="H346" t="n">
        <v>0</v>
      </c>
      <c r="I346" t="n">
        <v>0</v>
      </c>
      <c r="J346" t="n">
        <v>0</v>
      </c>
      <c r="K346" t="n">
        <v>0</v>
      </c>
      <c r="L346" t="n">
        <v>0</v>
      </c>
      <c r="M346" t="n">
        <v>0</v>
      </c>
      <c r="N346" t="n">
        <v>0</v>
      </c>
      <c r="O346" t="n">
        <v>0</v>
      </c>
      <c r="P346" t="n">
        <v>0</v>
      </c>
      <c r="Q346" t="n">
        <v>0</v>
      </c>
      <c r="R346" s="2" t="inlineStr"/>
    </row>
    <row r="347" ht="15" customHeight="1">
      <c r="A347" t="inlineStr">
        <is>
          <t>A 18329-2023</t>
        </is>
      </c>
      <c r="B347" s="1" t="n">
        <v>45041.63380787037</v>
      </c>
      <c r="C347" s="1" t="n">
        <v>46182</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63758-2025</t>
        </is>
      </c>
      <c r="B348" s="1" t="n">
        <v>46018.46483796297</v>
      </c>
      <c r="C348" s="1" t="n">
        <v>46182</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63848-2025</t>
        </is>
      </c>
      <c r="B349" s="1" t="n">
        <v>46020.44902777778</v>
      </c>
      <c r="C349" s="1" t="n">
        <v>46182</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62023-2022</t>
        </is>
      </c>
      <c r="B350" s="1" t="n">
        <v>44918.50106481482</v>
      </c>
      <c r="C350" s="1" t="n">
        <v>46182</v>
      </c>
      <c r="D350" t="inlineStr">
        <is>
          <t>KALMAR LÄN</t>
        </is>
      </c>
      <c r="E350" t="inlineStr">
        <is>
          <t>VIMMERBY</t>
        </is>
      </c>
      <c r="G350" t="n">
        <v>0.3</v>
      </c>
      <c r="H350" t="n">
        <v>0</v>
      </c>
      <c r="I350" t="n">
        <v>0</v>
      </c>
      <c r="J350" t="n">
        <v>0</v>
      </c>
      <c r="K350" t="n">
        <v>0</v>
      </c>
      <c r="L350" t="n">
        <v>0</v>
      </c>
      <c r="M350" t="n">
        <v>0</v>
      </c>
      <c r="N350" t="n">
        <v>0</v>
      </c>
      <c r="O350" t="n">
        <v>0</v>
      </c>
      <c r="P350" t="n">
        <v>0</v>
      </c>
      <c r="Q350" t="n">
        <v>0</v>
      </c>
      <c r="R350" s="2" t="inlineStr"/>
    </row>
    <row r="351" ht="15" customHeight="1">
      <c r="A351" t="inlineStr">
        <is>
          <t>A 13015-2023</t>
        </is>
      </c>
      <c r="B351" s="1" t="n">
        <v>45002</v>
      </c>
      <c r="C351" s="1" t="n">
        <v>46182</v>
      </c>
      <c r="D351" t="inlineStr">
        <is>
          <t>KALMAR LÄN</t>
        </is>
      </c>
      <c r="E351" t="inlineStr">
        <is>
          <t>VIMMERBY</t>
        </is>
      </c>
      <c r="G351" t="n">
        <v>3.2</v>
      </c>
      <c r="H351" t="n">
        <v>0</v>
      </c>
      <c r="I351" t="n">
        <v>0</v>
      </c>
      <c r="J351" t="n">
        <v>0</v>
      </c>
      <c r="K351" t="n">
        <v>0</v>
      </c>
      <c r="L351" t="n">
        <v>0</v>
      </c>
      <c r="M351" t="n">
        <v>0</v>
      </c>
      <c r="N351" t="n">
        <v>0</v>
      </c>
      <c r="O351" t="n">
        <v>0</v>
      </c>
      <c r="P351" t="n">
        <v>0</v>
      </c>
      <c r="Q351" t="n">
        <v>0</v>
      </c>
      <c r="R351" s="2" t="inlineStr"/>
    </row>
    <row r="352" ht="15" customHeight="1">
      <c r="A352" t="inlineStr">
        <is>
          <t>A 16119-2023</t>
        </is>
      </c>
      <c r="B352" s="1" t="n">
        <v>45027.59450231482</v>
      </c>
      <c r="C352" s="1" t="n">
        <v>46182</v>
      </c>
      <c r="D352" t="inlineStr">
        <is>
          <t>KALMAR LÄN</t>
        </is>
      </c>
      <c r="E352" t="inlineStr">
        <is>
          <t>VIMMERBY</t>
        </is>
      </c>
      <c r="F352" t="inlineStr">
        <is>
          <t>Kommuner</t>
        </is>
      </c>
      <c r="G352" t="n">
        <v>4.4</v>
      </c>
      <c r="H352" t="n">
        <v>0</v>
      </c>
      <c r="I352" t="n">
        <v>0</v>
      </c>
      <c r="J352" t="n">
        <v>0</v>
      </c>
      <c r="K352" t="n">
        <v>0</v>
      </c>
      <c r="L352" t="n">
        <v>0</v>
      </c>
      <c r="M352" t="n">
        <v>0</v>
      </c>
      <c r="N352" t="n">
        <v>0</v>
      </c>
      <c r="O352" t="n">
        <v>0</v>
      </c>
      <c r="P352" t="n">
        <v>0</v>
      </c>
      <c r="Q352" t="n">
        <v>0</v>
      </c>
      <c r="R352" s="2" t="inlineStr"/>
    </row>
    <row r="353" ht="15" customHeight="1">
      <c r="A353" t="inlineStr">
        <is>
          <t>A 52327-2023</t>
        </is>
      </c>
      <c r="B353" s="1" t="n">
        <v>45224.6515162037</v>
      </c>
      <c r="C353" s="1" t="n">
        <v>46182</v>
      </c>
      <c r="D353" t="inlineStr">
        <is>
          <t>KALMAR LÄN</t>
        </is>
      </c>
      <c r="E353" t="inlineStr">
        <is>
          <t>VIMMERBY</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29186-2024</t>
        </is>
      </c>
      <c r="B354" s="1" t="n">
        <v>45482.54844907407</v>
      </c>
      <c r="C354" s="1" t="n">
        <v>46182</v>
      </c>
      <c r="D354" t="inlineStr">
        <is>
          <t>KALMAR LÄN</t>
        </is>
      </c>
      <c r="E354" t="inlineStr">
        <is>
          <t>VIMMERBY</t>
        </is>
      </c>
      <c r="G354" t="n">
        <v>2.6</v>
      </c>
      <c r="H354" t="n">
        <v>0</v>
      </c>
      <c r="I354" t="n">
        <v>0</v>
      </c>
      <c r="J354" t="n">
        <v>0</v>
      </c>
      <c r="K354" t="n">
        <v>0</v>
      </c>
      <c r="L354" t="n">
        <v>0</v>
      </c>
      <c r="M354" t="n">
        <v>0</v>
      </c>
      <c r="N354" t="n">
        <v>0</v>
      </c>
      <c r="O354" t="n">
        <v>0</v>
      </c>
      <c r="P354" t="n">
        <v>0</v>
      </c>
      <c r="Q354" t="n">
        <v>0</v>
      </c>
      <c r="R354" s="2" t="inlineStr"/>
    </row>
    <row r="355" ht="15" customHeight="1">
      <c r="A355" t="inlineStr">
        <is>
          <t>A 48408-2025</t>
        </is>
      </c>
      <c r="B355" s="1" t="n">
        <v>45934.40527777778</v>
      </c>
      <c r="C355" s="1" t="n">
        <v>46182</v>
      </c>
      <c r="D355" t="inlineStr">
        <is>
          <t>KALMAR LÄN</t>
        </is>
      </c>
      <c r="E355" t="inlineStr">
        <is>
          <t>VIMMERBY</t>
        </is>
      </c>
      <c r="G355" t="n">
        <v>2.4</v>
      </c>
      <c r="H355" t="n">
        <v>0</v>
      </c>
      <c r="I355" t="n">
        <v>0</v>
      </c>
      <c r="J355" t="n">
        <v>0</v>
      </c>
      <c r="K355" t="n">
        <v>0</v>
      </c>
      <c r="L355" t="n">
        <v>0</v>
      </c>
      <c r="M355" t="n">
        <v>0</v>
      </c>
      <c r="N355" t="n">
        <v>0</v>
      </c>
      <c r="O355" t="n">
        <v>0</v>
      </c>
      <c r="P355" t="n">
        <v>0</v>
      </c>
      <c r="Q355" t="n">
        <v>0</v>
      </c>
      <c r="R355" s="2" t="inlineStr"/>
    </row>
    <row r="356" ht="15" customHeight="1">
      <c r="A356" t="inlineStr">
        <is>
          <t>A 50993-2022</t>
        </is>
      </c>
      <c r="B356" s="1" t="n">
        <v>44867</v>
      </c>
      <c r="C356" s="1" t="n">
        <v>46182</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12075-2024</t>
        </is>
      </c>
      <c r="B357" s="1" t="n">
        <v>45377</v>
      </c>
      <c r="C357" s="1" t="n">
        <v>46182</v>
      </c>
      <c r="D357" t="inlineStr">
        <is>
          <t>KALMAR LÄN</t>
        </is>
      </c>
      <c r="E357" t="inlineStr">
        <is>
          <t>VIMMERBY</t>
        </is>
      </c>
      <c r="G357" t="n">
        <v>3.7</v>
      </c>
      <c r="H357" t="n">
        <v>0</v>
      </c>
      <c r="I357" t="n">
        <v>0</v>
      </c>
      <c r="J357" t="n">
        <v>0</v>
      </c>
      <c r="K357" t="n">
        <v>0</v>
      </c>
      <c r="L357" t="n">
        <v>0</v>
      </c>
      <c r="M357" t="n">
        <v>0</v>
      </c>
      <c r="N357" t="n">
        <v>0</v>
      </c>
      <c r="O357" t="n">
        <v>0</v>
      </c>
      <c r="P357" t="n">
        <v>0</v>
      </c>
      <c r="Q357" t="n">
        <v>0</v>
      </c>
      <c r="R357" s="2" t="inlineStr"/>
    </row>
    <row r="358" ht="15" customHeight="1">
      <c r="A358" t="inlineStr">
        <is>
          <t>A 579-2026</t>
        </is>
      </c>
      <c r="B358" s="1" t="n">
        <v>46029.47912037037</v>
      </c>
      <c r="C358" s="1" t="n">
        <v>46182</v>
      </c>
      <c r="D358" t="inlineStr">
        <is>
          <t>KALMAR LÄN</t>
        </is>
      </c>
      <c r="E358" t="inlineStr">
        <is>
          <t>VIMMERBY</t>
        </is>
      </c>
      <c r="G358" t="n">
        <v>3</v>
      </c>
      <c r="H358" t="n">
        <v>0</v>
      </c>
      <c r="I358" t="n">
        <v>0</v>
      </c>
      <c r="J358" t="n">
        <v>0</v>
      </c>
      <c r="K358" t="n">
        <v>0</v>
      </c>
      <c r="L358" t="n">
        <v>0</v>
      </c>
      <c r="M358" t="n">
        <v>0</v>
      </c>
      <c r="N358" t="n">
        <v>0</v>
      </c>
      <c r="O358" t="n">
        <v>0</v>
      </c>
      <c r="P358" t="n">
        <v>0</v>
      </c>
      <c r="Q358" t="n">
        <v>0</v>
      </c>
      <c r="R358" s="2" t="inlineStr"/>
    </row>
    <row r="359" ht="15" customHeight="1">
      <c r="A359" t="inlineStr">
        <is>
          <t>A 31340-2023</t>
        </is>
      </c>
      <c r="B359" s="1" t="n">
        <v>45114.47895833333</v>
      </c>
      <c r="C359" s="1" t="n">
        <v>46182</v>
      </c>
      <c r="D359" t="inlineStr">
        <is>
          <t>KALMAR LÄN</t>
        </is>
      </c>
      <c r="E359" t="inlineStr">
        <is>
          <t>VIMMERBY</t>
        </is>
      </c>
      <c r="G359" t="n">
        <v>1.8</v>
      </c>
      <c r="H359" t="n">
        <v>0</v>
      </c>
      <c r="I359" t="n">
        <v>0</v>
      </c>
      <c r="J359" t="n">
        <v>0</v>
      </c>
      <c r="K359" t="n">
        <v>0</v>
      </c>
      <c r="L359" t="n">
        <v>0</v>
      </c>
      <c r="M359" t="n">
        <v>0</v>
      </c>
      <c r="N359" t="n">
        <v>0</v>
      </c>
      <c r="O359" t="n">
        <v>0</v>
      </c>
      <c r="P359" t="n">
        <v>0</v>
      </c>
      <c r="Q359" t="n">
        <v>0</v>
      </c>
      <c r="R359" s="2" t="inlineStr"/>
    </row>
    <row r="360" ht="15" customHeight="1">
      <c r="A360" t="inlineStr">
        <is>
          <t>A 409-2026</t>
        </is>
      </c>
      <c r="B360" s="1" t="n">
        <v>46028.69432870371</v>
      </c>
      <c r="C360" s="1" t="n">
        <v>46182</v>
      </c>
      <c r="D360" t="inlineStr">
        <is>
          <t>KALMAR LÄN</t>
        </is>
      </c>
      <c r="E360" t="inlineStr">
        <is>
          <t>VIMMERBY</t>
        </is>
      </c>
      <c r="G360" t="n">
        <v>2.2</v>
      </c>
      <c r="H360" t="n">
        <v>0</v>
      </c>
      <c r="I360" t="n">
        <v>0</v>
      </c>
      <c r="J360" t="n">
        <v>0</v>
      </c>
      <c r="K360" t="n">
        <v>0</v>
      </c>
      <c r="L360" t="n">
        <v>0</v>
      </c>
      <c r="M360" t="n">
        <v>0</v>
      </c>
      <c r="N360" t="n">
        <v>0</v>
      </c>
      <c r="O360" t="n">
        <v>0</v>
      </c>
      <c r="P360" t="n">
        <v>0</v>
      </c>
      <c r="Q360" t="n">
        <v>0</v>
      </c>
      <c r="R360" s="2" t="inlineStr"/>
    </row>
    <row r="361" ht="15" customHeight="1">
      <c r="A361" t="inlineStr">
        <is>
          <t>A 406-2026</t>
        </is>
      </c>
      <c r="B361" s="1" t="n">
        <v>46028.68663194445</v>
      </c>
      <c r="C361" s="1" t="n">
        <v>46182</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54787-2023</t>
        </is>
      </c>
      <c r="B362" s="1" t="n">
        <v>45236</v>
      </c>
      <c r="C362" s="1" t="n">
        <v>46182</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32614-2023</t>
        </is>
      </c>
      <c r="B363" s="1" t="n">
        <v>45121</v>
      </c>
      <c r="C363" s="1" t="n">
        <v>46182</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6850-2023</t>
        </is>
      </c>
      <c r="B364" s="1" t="n">
        <v>44967.44255787037</v>
      </c>
      <c r="C364" s="1" t="n">
        <v>46182</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58750-2022</t>
        </is>
      </c>
      <c r="B365" s="1" t="n">
        <v>44903.33363425926</v>
      </c>
      <c r="C365" s="1" t="n">
        <v>46182</v>
      </c>
      <c r="D365" t="inlineStr">
        <is>
          <t>KALMAR LÄN</t>
        </is>
      </c>
      <c r="E365" t="inlineStr">
        <is>
          <t>VIMMERBY</t>
        </is>
      </c>
      <c r="G365" t="n">
        <v>3.3</v>
      </c>
      <c r="H365" t="n">
        <v>0</v>
      </c>
      <c r="I365" t="n">
        <v>0</v>
      </c>
      <c r="J365" t="n">
        <v>0</v>
      </c>
      <c r="K365" t="n">
        <v>0</v>
      </c>
      <c r="L365" t="n">
        <v>0</v>
      </c>
      <c r="M365" t="n">
        <v>0</v>
      </c>
      <c r="N365" t="n">
        <v>0</v>
      </c>
      <c r="O365" t="n">
        <v>0</v>
      </c>
      <c r="P365" t="n">
        <v>0</v>
      </c>
      <c r="Q365" t="n">
        <v>0</v>
      </c>
      <c r="R365" s="2" t="inlineStr"/>
    </row>
    <row r="366" ht="15" customHeight="1">
      <c r="A366" t="inlineStr">
        <is>
          <t>A 41158-2023</t>
        </is>
      </c>
      <c r="B366" s="1" t="n">
        <v>45174.31395833333</v>
      </c>
      <c r="C366" s="1" t="n">
        <v>46182</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3269-2024</t>
        </is>
      </c>
      <c r="B367" s="1" t="n">
        <v>45317.40372685185</v>
      </c>
      <c r="C367" s="1" t="n">
        <v>46182</v>
      </c>
      <c r="D367" t="inlineStr">
        <is>
          <t>KALMAR LÄN</t>
        </is>
      </c>
      <c r="E367" t="inlineStr">
        <is>
          <t>VIMMERBY</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48120-2022</t>
        </is>
      </c>
      <c r="B368" s="1" t="n">
        <v>44857.65989583333</v>
      </c>
      <c r="C368" s="1" t="n">
        <v>46182</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7758-2024</t>
        </is>
      </c>
      <c r="B369" s="1" t="n">
        <v>45349.54434027777</v>
      </c>
      <c r="C369" s="1" t="n">
        <v>46182</v>
      </c>
      <c r="D369" t="inlineStr">
        <is>
          <t>KALMAR LÄN</t>
        </is>
      </c>
      <c r="E369" t="inlineStr">
        <is>
          <t>VIMMERBY</t>
        </is>
      </c>
      <c r="G369" t="n">
        <v>3.5</v>
      </c>
      <c r="H369" t="n">
        <v>0</v>
      </c>
      <c r="I369" t="n">
        <v>0</v>
      </c>
      <c r="J369" t="n">
        <v>0</v>
      </c>
      <c r="K369" t="n">
        <v>0</v>
      </c>
      <c r="L369" t="n">
        <v>0</v>
      </c>
      <c r="M369" t="n">
        <v>0</v>
      </c>
      <c r="N369" t="n">
        <v>0</v>
      </c>
      <c r="O369" t="n">
        <v>0</v>
      </c>
      <c r="P369" t="n">
        <v>0</v>
      </c>
      <c r="Q369" t="n">
        <v>0</v>
      </c>
      <c r="R369" s="2" t="inlineStr"/>
    </row>
    <row r="370" ht="15" customHeight="1">
      <c r="A370" t="inlineStr">
        <is>
          <t>A 6368-2023</t>
        </is>
      </c>
      <c r="B370" s="1" t="n">
        <v>44965</v>
      </c>
      <c r="C370" s="1" t="n">
        <v>46182</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9416-2024</t>
        </is>
      </c>
      <c r="B371" s="1" t="n">
        <v>45359.44837962963</v>
      </c>
      <c r="C371" s="1" t="n">
        <v>46182</v>
      </c>
      <c r="D371" t="inlineStr">
        <is>
          <t>KALMAR LÄN</t>
        </is>
      </c>
      <c r="E371" t="inlineStr">
        <is>
          <t>VIMMERBY</t>
        </is>
      </c>
      <c r="G371" t="n">
        <v>3.2</v>
      </c>
      <c r="H371" t="n">
        <v>0</v>
      </c>
      <c r="I371" t="n">
        <v>0</v>
      </c>
      <c r="J371" t="n">
        <v>0</v>
      </c>
      <c r="K371" t="n">
        <v>0</v>
      </c>
      <c r="L371" t="n">
        <v>0</v>
      </c>
      <c r="M371" t="n">
        <v>0</v>
      </c>
      <c r="N371" t="n">
        <v>0</v>
      </c>
      <c r="O371" t="n">
        <v>0</v>
      </c>
      <c r="P371" t="n">
        <v>0</v>
      </c>
      <c r="Q371" t="n">
        <v>0</v>
      </c>
      <c r="R371" s="2" t="inlineStr"/>
    </row>
    <row r="372" ht="15" customHeight="1">
      <c r="A372" t="inlineStr">
        <is>
          <t>A 5701-2024</t>
        </is>
      </c>
      <c r="B372" s="1" t="n">
        <v>45334.78826388889</v>
      </c>
      <c r="C372" s="1" t="n">
        <v>46182</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842-2026</t>
        </is>
      </c>
      <c r="B373" s="1" t="n">
        <v>46030.380625</v>
      </c>
      <c r="C373" s="1" t="n">
        <v>46182</v>
      </c>
      <c r="D373" t="inlineStr">
        <is>
          <t>KALMAR LÄN</t>
        </is>
      </c>
      <c r="E373" t="inlineStr">
        <is>
          <t>VIMMERBY</t>
        </is>
      </c>
      <c r="G373" t="n">
        <v>0.9</v>
      </c>
      <c r="H373" t="n">
        <v>0</v>
      </c>
      <c r="I373" t="n">
        <v>0</v>
      </c>
      <c r="J373" t="n">
        <v>0</v>
      </c>
      <c r="K373" t="n">
        <v>0</v>
      </c>
      <c r="L373" t="n">
        <v>0</v>
      </c>
      <c r="M373" t="n">
        <v>0</v>
      </c>
      <c r="N373" t="n">
        <v>0</v>
      </c>
      <c r="O373" t="n">
        <v>0</v>
      </c>
      <c r="P373" t="n">
        <v>0</v>
      </c>
      <c r="Q373" t="n">
        <v>0</v>
      </c>
      <c r="R373" s="2" t="inlineStr"/>
    </row>
    <row r="374" ht="15" customHeight="1">
      <c r="A374" t="inlineStr">
        <is>
          <t>A 31405-2023</t>
        </is>
      </c>
      <c r="B374" s="1" t="n">
        <v>45114.58148148148</v>
      </c>
      <c r="C374" s="1" t="n">
        <v>46182</v>
      </c>
      <c r="D374" t="inlineStr">
        <is>
          <t>KALMAR LÄN</t>
        </is>
      </c>
      <c r="E374" t="inlineStr">
        <is>
          <t>VIMMERBY</t>
        </is>
      </c>
      <c r="G374" t="n">
        <v>2.6</v>
      </c>
      <c r="H374" t="n">
        <v>0</v>
      </c>
      <c r="I374" t="n">
        <v>0</v>
      </c>
      <c r="J374" t="n">
        <v>0</v>
      </c>
      <c r="K374" t="n">
        <v>0</v>
      </c>
      <c r="L374" t="n">
        <v>0</v>
      </c>
      <c r="M374" t="n">
        <v>0</v>
      </c>
      <c r="N374" t="n">
        <v>0</v>
      </c>
      <c r="O374" t="n">
        <v>0</v>
      </c>
      <c r="P374" t="n">
        <v>0</v>
      </c>
      <c r="Q374" t="n">
        <v>0</v>
      </c>
      <c r="R374" s="2" t="inlineStr"/>
    </row>
    <row r="375" ht="15" customHeight="1">
      <c r="A375" t="inlineStr">
        <is>
          <t>A 6355-2022</t>
        </is>
      </c>
      <c r="B375" s="1" t="n">
        <v>44600</v>
      </c>
      <c r="C375" s="1" t="n">
        <v>46182</v>
      </c>
      <c r="D375" t="inlineStr">
        <is>
          <t>KALMAR LÄN</t>
        </is>
      </c>
      <c r="E375" t="inlineStr">
        <is>
          <t>VIMMERBY</t>
        </is>
      </c>
      <c r="G375" t="n">
        <v>4.9</v>
      </c>
      <c r="H375" t="n">
        <v>0</v>
      </c>
      <c r="I375" t="n">
        <v>0</v>
      </c>
      <c r="J375" t="n">
        <v>0</v>
      </c>
      <c r="K375" t="n">
        <v>0</v>
      </c>
      <c r="L375" t="n">
        <v>0</v>
      </c>
      <c r="M375" t="n">
        <v>0</v>
      </c>
      <c r="N375" t="n">
        <v>0</v>
      </c>
      <c r="O375" t="n">
        <v>0</v>
      </c>
      <c r="P375" t="n">
        <v>0</v>
      </c>
      <c r="Q375" t="n">
        <v>0</v>
      </c>
      <c r="R375" s="2" t="inlineStr"/>
    </row>
    <row r="376" ht="15" customHeight="1">
      <c r="A376" t="inlineStr">
        <is>
          <t>A 46225-2024</t>
        </is>
      </c>
      <c r="B376" s="1" t="n">
        <v>45581.57333333333</v>
      </c>
      <c r="C376" s="1" t="n">
        <v>46182</v>
      </c>
      <c r="D376" t="inlineStr">
        <is>
          <t>KALMAR LÄN</t>
        </is>
      </c>
      <c r="E376" t="inlineStr">
        <is>
          <t>VIMMERBY</t>
        </is>
      </c>
      <c r="G376" t="n">
        <v>1.3</v>
      </c>
      <c r="H376" t="n">
        <v>0</v>
      </c>
      <c r="I376" t="n">
        <v>0</v>
      </c>
      <c r="J376" t="n">
        <v>0</v>
      </c>
      <c r="K376" t="n">
        <v>0</v>
      </c>
      <c r="L376" t="n">
        <v>0</v>
      </c>
      <c r="M376" t="n">
        <v>0</v>
      </c>
      <c r="N376" t="n">
        <v>0</v>
      </c>
      <c r="O376" t="n">
        <v>0</v>
      </c>
      <c r="P376" t="n">
        <v>0</v>
      </c>
      <c r="Q376" t="n">
        <v>0</v>
      </c>
      <c r="R376" s="2" t="inlineStr"/>
    </row>
    <row r="377" ht="15" customHeight="1">
      <c r="A377" t="inlineStr">
        <is>
          <t>A 2797-2023</t>
        </is>
      </c>
      <c r="B377" s="1" t="n">
        <v>44944.71386574074</v>
      </c>
      <c r="C377" s="1" t="n">
        <v>46182</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2799-2023</t>
        </is>
      </c>
      <c r="B378" s="1" t="n">
        <v>44944.72100694444</v>
      </c>
      <c r="C378" s="1" t="n">
        <v>46182</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1069-2026</t>
        </is>
      </c>
      <c r="B379" s="1" t="n">
        <v>46030</v>
      </c>
      <c r="C379" s="1" t="n">
        <v>46182</v>
      </c>
      <c r="D379" t="inlineStr">
        <is>
          <t>KALMAR LÄN</t>
        </is>
      </c>
      <c r="E379" t="inlineStr">
        <is>
          <t>VIMMERBY</t>
        </is>
      </c>
      <c r="G379" t="n">
        <v>3.3</v>
      </c>
      <c r="H379" t="n">
        <v>0</v>
      </c>
      <c r="I379" t="n">
        <v>0</v>
      </c>
      <c r="J379" t="n">
        <v>0</v>
      </c>
      <c r="K379" t="n">
        <v>0</v>
      </c>
      <c r="L379" t="n">
        <v>0</v>
      </c>
      <c r="M379" t="n">
        <v>0</v>
      </c>
      <c r="N379" t="n">
        <v>0</v>
      </c>
      <c r="O379" t="n">
        <v>0</v>
      </c>
      <c r="P379" t="n">
        <v>0</v>
      </c>
      <c r="Q379" t="n">
        <v>0</v>
      </c>
      <c r="R379" s="2" t="inlineStr"/>
    </row>
    <row r="380" ht="15" customHeight="1">
      <c r="A380" t="inlineStr">
        <is>
          <t>A 25987-2024</t>
        </is>
      </c>
      <c r="B380" s="1" t="n">
        <v>45467.74417824074</v>
      </c>
      <c r="C380" s="1" t="n">
        <v>46182</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1743-2026</t>
        </is>
      </c>
      <c r="B381" s="1" t="n">
        <v>46034</v>
      </c>
      <c r="C381" s="1" t="n">
        <v>46182</v>
      </c>
      <c r="D381" t="inlineStr">
        <is>
          <t>KALMAR LÄN</t>
        </is>
      </c>
      <c r="E381" t="inlineStr">
        <is>
          <t>VIMMERBY</t>
        </is>
      </c>
      <c r="G381" t="n">
        <v>0.9</v>
      </c>
      <c r="H381" t="n">
        <v>0</v>
      </c>
      <c r="I381" t="n">
        <v>0</v>
      </c>
      <c r="J381" t="n">
        <v>0</v>
      </c>
      <c r="K381" t="n">
        <v>0</v>
      </c>
      <c r="L381" t="n">
        <v>0</v>
      </c>
      <c r="M381" t="n">
        <v>0</v>
      </c>
      <c r="N381" t="n">
        <v>0</v>
      </c>
      <c r="O381" t="n">
        <v>0</v>
      </c>
      <c r="P381" t="n">
        <v>0</v>
      </c>
      <c r="Q381" t="n">
        <v>0</v>
      </c>
      <c r="R381" s="2" t="inlineStr"/>
    </row>
    <row r="382" ht="15" customHeight="1">
      <c r="A382" t="inlineStr">
        <is>
          <t>A 9418-2024</t>
        </is>
      </c>
      <c r="B382" s="1" t="n">
        <v>45359.45038194444</v>
      </c>
      <c r="C382" s="1" t="n">
        <v>46182</v>
      </c>
      <c r="D382" t="inlineStr">
        <is>
          <t>KALMAR LÄN</t>
        </is>
      </c>
      <c r="E382" t="inlineStr">
        <is>
          <t>VIMMERBY</t>
        </is>
      </c>
      <c r="G382" t="n">
        <v>1.9</v>
      </c>
      <c r="H382" t="n">
        <v>0</v>
      </c>
      <c r="I382" t="n">
        <v>0</v>
      </c>
      <c r="J382" t="n">
        <v>0</v>
      </c>
      <c r="K382" t="n">
        <v>0</v>
      </c>
      <c r="L382" t="n">
        <v>0</v>
      </c>
      <c r="M382" t="n">
        <v>0</v>
      </c>
      <c r="N382" t="n">
        <v>0</v>
      </c>
      <c r="O382" t="n">
        <v>0</v>
      </c>
      <c r="P382" t="n">
        <v>0</v>
      </c>
      <c r="Q382" t="n">
        <v>0</v>
      </c>
      <c r="R382" s="2" t="inlineStr"/>
    </row>
    <row r="383" ht="15" customHeight="1">
      <c r="A383" t="inlineStr">
        <is>
          <t>A 57091-2022</t>
        </is>
      </c>
      <c r="B383" s="1" t="n">
        <v>44895.46524305556</v>
      </c>
      <c r="C383" s="1" t="n">
        <v>46182</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3816-2022</t>
        </is>
      </c>
      <c r="B384" s="1" t="n">
        <v>44587</v>
      </c>
      <c r="C384" s="1" t="n">
        <v>46182</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1748-2026</t>
        </is>
      </c>
      <c r="B385" s="1" t="n">
        <v>46034.65589120371</v>
      </c>
      <c r="C385" s="1" t="n">
        <v>46182</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1862-2026</t>
        </is>
      </c>
      <c r="B386" s="1" t="n">
        <v>46035.44689814815</v>
      </c>
      <c r="C386" s="1" t="n">
        <v>46182</v>
      </c>
      <c r="D386" t="inlineStr">
        <is>
          <t>KALMAR LÄN</t>
        </is>
      </c>
      <c r="E386" t="inlineStr">
        <is>
          <t>VIMMERBY</t>
        </is>
      </c>
      <c r="G386" t="n">
        <v>3.1</v>
      </c>
      <c r="H386" t="n">
        <v>0</v>
      </c>
      <c r="I386" t="n">
        <v>0</v>
      </c>
      <c r="J386" t="n">
        <v>0</v>
      </c>
      <c r="K386" t="n">
        <v>0</v>
      </c>
      <c r="L386" t="n">
        <v>0</v>
      </c>
      <c r="M386" t="n">
        <v>0</v>
      </c>
      <c r="N386" t="n">
        <v>0</v>
      </c>
      <c r="O386" t="n">
        <v>0</v>
      </c>
      <c r="P386" t="n">
        <v>0</v>
      </c>
      <c r="Q386" t="n">
        <v>0</v>
      </c>
      <c r="R386" s="2" t="inlineStr"/>
    </row>
    <row r="387" ht="15" customHeight="1">
      <c r="A387" t="inlineStr">
        <is>
          <t>A 43606-2024</t>
        </is>
      </c>
      <c r="B387" s="1" t="n">
        <v>45569.45017361111</v>
      </c>
      <c r="C387" s="1" t="n">
        <v>46182</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12630-2023</t>
        </is>
      </c>
      <c r="B388" s="1" t="n">
        <v>45000.47998842593</v>
      </c>
      <c r="C388" s="1" t="n">
        <v>46182</v>
      </c>
      <c r="D388" t="inlineStr">
        <is>
          <t>KALMAR LÄN</t>
        </is>
      </c>
      <c r="E388" t="inlineStr">
        <is>
          <t>VIMMERBY</t>
        </is>
      </c>
      <c r="G388" t="n">
        <v>2.1</v>
      </c>
      <c r="H388" t="n">
        <v>0</v>
      </c>
      <c r="I388" t="n">
        <v>0</v>
      </c>
      <c r="J388" t="n">
        <v>0</v>
      </c>
      <c r="K388" t="n">
        <v>0</v>
      </c>
      <c r="L388" t="n">
        <v>0</v>
      </c>
      <c r="M388" t="n">
        <v>0</v>
      </c>
      <c r="N388" t="n">
        <v>0</v>
      </c>
      <c r="O388" t="n">
        <v>0</v>
      </c>
      <c r="P388" t="n">
        <v>0</v>
      </c>
      <c r="Q388" t="n">
        <v>0</v>
      </c>
      <c r="R388" s="2" t="inlineStr"/>
    </row>
    <row r="389" ht="15" customHeight="1">
      <c r="A389" t="inlineStr">
        <is>
          <t>A 47859-2024</t>
        </is>
      </c>
      <c r="B389" s="1" t="n">
        <v>45588.67070601852</v>
      </c>
      <c r="C389" s="1" t="n">
        <v>46182</v>
      </c>
      <c r="D389" t="inlineStr">
        <is>
          <t>KALMAR LÄN</t>
        </is>
      </c>
      <c r="E389" t="inlineStr">
        <is>
          <t>VIMMERBY</t>
        </is>
      </c>
      <c r="G389" t="n">
        <v>1.7</v>
      </c>
      <c r="H389" t="n">
        <v>0</v>
      </c>
      <c r="I389" t="n">
        <v>0</v>
      </c>
      <c r="J389" t="n">
        <v>0</v>
      </c>
      <c r="K389" t="n">
        <v>0</v>
      </c>
      <c r="L389" t="n">
        <v>0</v>
      </c>
      <c r="M389" t="n">
        <v>0</v>
      </c>
      <c r="N389" t="n">
        <v>0</v>
      </c>
      <c r="O389" t="n">
        <v>0</v>
      </c>
      <c r="P389" t="n">
        <v>0</v>
      </c>
      <c r="Q389" t="n">
        <v>0</v>
      </c>
      <c r="R389" s="2" t="inlineStr"/>
    </row>
    <row r="390" ht="15" customHeight="1">
      <c r="A390" t="inlineStr">
        <is>
          <t>A 21109-2024</t>
        </is>
      </c>
      <c r="B390" s="1" t="n">
        <v>45440.28329861111</v>
      </c>
      <c r="C390" s="1" t="n">
        <v>46182</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2518-2026</t>
        </is>
      </c>
      <c r="B391" s="1" t="n">
        <v>46037.42511574074</v>
      </c>
      <c r="C391" s="1" t="n">
        <v>46182</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8540-2024</t>
        </is>
      </c>
      <c r="B392" s="1" t="n">
        <v>45355.54138888889</v>
      </c>
      <c r="C392" s="1" t="n">
        <v>46182</v>
      </c>
      <c r="D392" t="inlineStr">
        <is>
          <t>KALMAR LÄN</t>
        </is>
      </c>
      <c r="E392" t="inlineStr">
        <is>
          <t>VIMMERBY</t>
        </is>
      </c>
      <c r="G392" t="n">
        <v>1.9</v>
      </c>
      <c r="H392" t="n">
        <v>0</v>
      </c>
      <c r="I392" t="n">
        <v>0</v>
      </c>
      <c r="J392" t="n">
        <v>0</v>
      </c>
      <c r="K392" t="n">
        <v>0</v>
      </c>
      <c r="L392" t="n">
        <v>0</v>
      </c>
      <c r="M392" t="n">
        <v>0</v>
      </c>
      <c r="N392" t="n">
        <v>0</v>
      </c>
      <c r="O392" t="n">
        <v>0</v>
      </c>
      <c r="P392" t="n">
        <v>0</v>
      </c>
      <c r="Q392" t="n">
        <v>0</v>
      </c>
      <c r="R392" s="2" t="inlineStr"/>
    </row>
    <row r="393" ht="15" customHeight="1">
      <c r="A393" t="inlineStr">
        <is>
          <t>A 30634-2024</t>
        </is>
      </c>
      <c r="B393" s="1" t="n">
        <v>45495</v>
      </c>
      <c r="C393" s="1" t="n">
        <v>46182</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40260-2024</t>
        </is>
      </c>
      <c r="B394" s="1" t="n">
        <v>45554.63225694445</v>
      </c>
      <c r="C394" s="1" t="n">
        <v>46182</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3331-2023</t>
        </is>
      </c>
      <c r="B395" s="1" t="n">
        <v>44949</v>
      </c>
      <c r="C395" s="1" t="n">
        <v>46182</v>
      </c>
      <c r="D395" t="inlineStr">
        <is>
          <t>KALMAR LÄN</t>
        </is>
      </c>
      <c r="E395" t="inlineStr">
        <is>
          <t>VIMMERBY</t>
        </is>
      </c>
      <c r="G395" t="n">
        <v>6.2</v>
      </c>
      <c r="H395" t="n">
        <v>0</v>
      </c>
      <c r="I395" t="n">
        <v>0</v>
      </c>
      <c r="J395" t="n">
        <v>0</v>
      </c>
      <c r="K395" t="n">
        <v>0</v>
      </c>
      <c r="L395" t="n">
        <v>0</v>
      </c>
      <c r="M395" t="n">
        <v>0</v>
      </c>
      <c r="N395" t="n">
        <v>0</v>
      </c>
      <c r="O395" t="n">
        <v>0</v>
      </c>
      <c r="P395" t="n">
        <v>0</v>
      </c>
      <c r="Q395" t="n">
        <v>0</v>
      </c>
      <c r="R395" s="2" t="inlineStr"/>
    </row>
    <row r="396" ht="15" customHeight="1">
      <c r="A396" t="inlineStr">
        <is>
          <t>A 2514-2026</t>
        </is>
      </c>
      <c r="B396" s="1" t="n">
        <v>46037.42219907408</v>
      </c>
      <c r="C396" s="1" t="n">
        <v>46182</v>
      </c>
      <c r="D396" t="inlineStr">
        <is>
          <t>KALMAR LÄN</t>
        </is>
      </c>
      <c r="E396" t="inlineStr">
        <is>
          <t>VIMMERBY</t>
        </is>
      </c>
      <c r="G396" t="n">
        <v>0.7</v>
      </c>
      <c r="H396" t="n">
        <v>0</v>
      </c>
      <c r="I396" t="n">
        <v>0</v>
      </c>
      <c r="J396" t="n">
        <v>0</v>
      </c>
      <c r="K396" t="n">
        <v>0</v>
      </c>
      <c r="L396" t="n">
        <v>0</v>
      </c>
      <c r="M396" t="n">
        <v>0</v>
      </c>
      <c r="N396" t="n">
        <v>0</v>
      </c>
      <c r="O396" t="n">
        <v>0</v>
      </c>
      <c r="P396" t="n">
        <v>0</v>
      </c>
      <c r="Q396" t="n">
        <v>0</v>
      </c>
      <c r="R396" s="2" t="inlineStr"/>
    </row>
    <row r="397" ht="15" customHeight="1">
      <c r="A397" t="inlineStr">
        <is>
          <t>A 59943-2023</t>
        </is>
      </c>
      <c r="B397" s="1" t="n">
        <v>45257.67958333333</v>
      </c>
      <c r="C397" s="1" t="n">
        <v>46182</v>
      </c>
      <c r="D397" t="inlineStr">
        <is>
          <t>KALMAR LÄN</t>
        </is>
      </c>
      <c r="E397" t="inlineStr">
        <is>
          <t>VIMMERBY</t>
        </is>
      </c>
      <c r="G397" t="n">
        <v>6.4</v>
      </c>
      <c r="H397" t="n">
        <v>0</v>
      </c>
      <c r="I397" t="n">
        <v>0</v>
      </c>
      <c r="J397" t="n">
        <v>0</v>
      </c>
      <c r="K397" t="n">
        <v>0</v>
      </c>
      <c r="L397" t="n">
        <v>0</v>
      </c>
      <c r="M397" t="n">
        <v>0</v>
      </c>
      <c r="N397" t="n">
        <v>0</v>
      </c>
      <c r="O397" t="n">
        <v>0</v>
      </c>
      <c r="P397" t="n">
        <v>0</v>
      </c>
      <c r="Q397" t="n">
        <v>0</v>
      </c>
      <c r="R397" s="2" t="inlineStr"/>
    </row>
    <row r="398" ht="15" customHeight="1">
      <c r="A398" t="inlineStr">
        <is>
          <t>A 25799-2023</t>
        </is>
      </c>
      <c r="B398" s="1" t="n">
        <v>45090</v>
      </c>
      <c r="C398" s="1" t="n">
        <v>46182</v>
      </c>
      <c r="D398" t="inlineStr">
        <is>
          <t>KALMAR LÄN</t>
        </is>
      </c>
      <c r="E398" t="inlineStr">
        <is>
          <t>VIMMERBY</t>
        </is>
      </c>
      <c r="G398" t="n">
        <v>7.7</v>
      </c>
      <c r="H398" t="n">
        <v>0</v>
      </c>
      <c r="I398" t="n">
        <v>0</v>
      </c>
      <c r="J398" t="n">
        <v>0</v>
      </c>
      <c r="K398" t="n">
        <v>0</v>
      </c>
      <c r="L398" t="n">
        <v>0</v>
      </c>
      <c r="M398" t="n">
        <v>0</v>
      </c>
      <c r="N398" t="n">
        <v>0</v>
      </c>
      <c r="O398" t="n">
        <v>0</v>
      </c>
      <c r="P398" t="n">
        <v>0</v>
      </c>
      <c r="Q398" t="n">
        <v>0</v>
      </c>
      <c r="R398" s="2" t="inlineStr"/>
    </row>
    <row r="399" ht="15" customHeight="1">
      <c r="A399" t="inlineStr">
        <is>
          <t>A 53083-2021</t>
        </is>
      </c>
      <c r="B399" s="1" t="n">
        <v>44467.83386574074</v>
      </c>
      <c r="C399" s="1" t="n">
        <v>46182</v>
      </c>
      <c r="D399" t="inlineStr">
        <is>
          <t>KALMAR LÄN</t>
        </is>
      </c>
      <c r="E399" t="inlineStr">
        <is>
          <t>VIMMERBY</t>
        </is>
      </c>
      <c r="G399" t="n">
        <v>6.8</v>
      </c>
      <c r="H399" t="n">
        <v>0</v>
      </c>
      <c r="I399" t="n">
        <v>0</v>
      </c>
      <c r="J399" t="n">
        <v>0</v>
      </c>
      <c r="K399" t="n">
        <v>0</v>
      </c>
      <c r="L399" t="n">
        <v>0</v>
      </c>
      <c r="M399" t="n">
        <v>0</v>
      </c>
      <c r="N399" t="n">
        <v>0</v>
      </c>
      <c r="O399" t="n">
        <v>0</v>
      </c>
      <c r="P399" t="n">
        <v>0</v>
      </c>
      <c r="Q399" t="n">
        <v>0</v>
      </c>
      <c r="R399" s="2" t="inlineStr"/>
    </row>
    <row r="400" ht="15" customHeight="1">
      <c r="A400" t="inlineStr">
        <is>
          <t>A 5527-2022</t>
        </is>
      </c>
      <c r="B400" s="1" t="n">
        <v>44595.583125</v>
      </c>
      <c r="C400" s="1" t="n">
        <v>46182</v>
      </c>
      <c r="D400" t="inlineStr">
        <is>
          <t>KALMAR LÄN</t>
        </is>
      </c>
      <c r="E400" t="inlineStr">
        <is>
          <t>VIMMERBY</t>
        </is>
      </c>
      <c r="G400" t="n">
        <v>3.6</v>
      </c>
      <c r="H400" t="n">
        <v>0</v>
      </c>
      <c r="I400" t="n">
        <v>0</v>
      </c>
      <c r="J400" t="n">
        <v>0</v>
      </c>
      <c r="K400" t="n">
        <v>0</v>
      </c>
      <c r="L400" t="n">
        <v>0</v>
      </c>
      <c r="M400" t="n">
        <v>0</v>
      </c>
      <c r="N400" t="n">
        <v>0</v>
      </c>
      <c r="O400" t="n">
        <v>0</v>
      </c>
      <c r="P400" t="n">
        <v>0</v>
      </c>
      <c r="Q400" t="n">
        <v>0</v>
      </c>
      <c r="R400" s="2" t="inlineStr"/>
    </row>
    <row r="401" ht="15" customHeight="1">
      <c r="A401" t="inlineStr">
        <is>
          <t>A 2523-2026</t>
        </is>
      </c>
      <c r="B401" s="1" t="n">
        <v>46037.42825231481</v>
      </c>
      <c r="C401" s="1" t="n">
        <v>46182</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3266-2026</t>
        </is>
      </c>
      <c r="B402" s="1" t="n">
        <v>46041</v>
      </c>
      <c r="C402" s="1" t="n">
        <v>46182</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12325-2023</t>
        </is>
      </c>
      <c r="B403" s="1" t="n">
        <v>44999.35858796296</v>
      </c>
      <c r="C403" s="1" t="n">
        <v>46182</v>
      </c>
      <c r="D403" t="inlineStr">
        <is>
          <t>KALMAR LÄN</t>
        </is>
      </c>
      <c r="E403" t="inlineStr">
        <is>
          <t>VIMMERBY</t>
        </is>
      </c>
      <c r="G403" t="n">
        <v>3.4</v>
      </c>
      <c r="H403" t="n">
        <v>0</v>
      </c>
      <c r="I403" t="n">
        <v>0</v>
      </c>
      <c r="J403" t="n">
        <v>0</v>
      </c>
      <c r="K403" t="n">
        <v>0</v>
      </c>
      <c r="L403" t="n">
        <v>0</v>
      </c>
      <c r="M403" t="n">
        <v>0</v>
      </c>
      <c r="N403" t="n">
        <v>0</v>
      </c>
      <c r="O403" t="n">
        <v>0</v>
      </c>
      <c r="P403" t="n">
        <v>0</v>
      </c>
      <c r="Q403" t="n">
        <v>0</v>
      </c>
      <c r="R403" s="2" t="inlineStr"/>
    </row>
    <row r="404" ht="15" customHeight="1">
      <c r="A404" t="inlineStr">
        <is>
          <t>A 1016-2024</t>
        </is>
      </c>
      <c r="B404" s="1" t="n">
        <v>45301</v>
      </c>
      <c r="C404" s="1" t="n">
        <v>46182</v>
      </c>
      <c r="D404" t="inlineStr">
        <is>
          <t>KALMAR LÄN</t>
        </is>
      </c>
      <c r="E404" t="inlineStr">
        <is>
          <t>VIMMERBY</t>
        </is>
      </c>
      <c r="G404" t="n">
        <v>1</v>
      </c>
      <c r="H404" t="n">
        <v>0</v>
      </c>
      <c r="I404" t="n">
        <v>0</v>
      </c>
      <c r="J404" t="n">
        <v>0</v>
      </c>
      <c r="K404" t="n">
        <v>0</v>
      </c>
      <c r="L404" t="n">
        <v>0</v>
      </c>
      <c r="M404" t="n">
        <v>0</v>
      </c>
      <c r="N404" t="n">
        <v>0</v>
      </c>
      <c r="O404" t="n">
        <v>0</v>
      </c>
      <c r="P404" t="n">
        <v>0</v>
      </c>
      <c r="Q404" t="n">
        <v>0</v>
      </c>
      <c r="R404" s="2" t="inlineStr"/>
    </row>
    <row r="405" ht="15" customHeight="1">
      <c r="A405" t="inlineStr">
        <is>
          <t>A 33838-2022</t>
        </is>
      </c>
      <c r="B405" s="1" t="n">
        <v>44790.49040509259</v>
      </c>
      <c r="C405" s="1" t="n">
        <v>46182</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32835-2022</t>
        </is>
      </c>
      <c r="B406" s="1" t="n">
        <v>44784.42528935185</v>
      </c>
      <c r="C406" s="1" t="n">
        <v>46182</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3868-2026</t>
        </is>
      </c>
      <c r="B407" s="1" t="n">
        <v>46043.6360300926</v>
      </c>
      <c r="C407" s="1" t="n">
        <v>46182</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51062-2025</t>
        </is>
      </c>
      <c r="B408" s="1" t="n">
        <v>45947.44685185186</v>
      </c>
      <c r="C408" s="1" t="n">
        <v>46182</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33681-2022</t>
        </is>
      </c>
      <c r="B409" s="1" t="n">
        <v>44789</v>
      </c>
      <c r="C409" s="1" t="n">
        <v>46182</v>
      </c>
      <c r="D409" t="inlineStr">
        <is>
          <t>KALMAR LÄN</t>
        </is>
      </c>
      <c r="E409" t="inlineStr">
        <is>
          <t>VIMMERBY</t>
        </is>
      </c>
      <c r="G409" t="n">
        <v>3.2</v>
      </c>
      <c r="H409" t="n">
        <v>0</v>
      </c>
      <c r="I409" t="n">
        <v>0</v>
      </c>
      <c r="J409" t="n">
        <v>0</v>
      </c>
      <c r="K409" t="n">
        <v>0</v>
      </c>
      <c r="L409" t="n">
        <v>0</v>
      </c>
      <c r="M409" t="n">
        <v>0</v>
      </c>
      <c r="N409" t="n">
        <v>0</v>
      </c>
      <c r="O409" t="n">
        <v>0</v>
      </c>
      <c r="P409" t="n">
        <v>0</v>
      </c>
      <c r="Q409" t="n">
        <v>0</v>
      </c>
      <c r="R409" s="2" t="inlineStr"/>
    </row>
    <row r="410" ht="15" customHeight="1">
      <c r="A410" t="inlineStr">
        <is>
          <t>A 1081-2023</t>
        </is>
      </c>
      <c r="B410" s="1" t="n">
        <v>44935</v>
      </c>
      <c r="C410" s="1" t="n">
        <v>46182</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47063-2022</t>
        </is>
      </c>
      <c r="B411" s="1" t="n">
        <v>44852</v>
      </c>
      <c r="C411" s="1" t="n">
        <v>46182</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28403-2023</t>
        </is>
      </c>
      <c r="B412" s="1" t="n">
        <v>45100.85270833333</v>
      </c>
      <c r="C412" s="1" t="n">
        <v>46182</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33103-2024</t>
        </is>
      </c>
      <c r="B413" s="1" t="n">
        <v>45517.8162037037</v>
      </c>
      <c r="C413" s="1" t="n">
        <v>46182</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3869-2026</t>
        </is>
      </c>
      <c r="B414" s="1" t="n">
        <v>46043.63940972222</v>
      </c>
      <c r="C414" s="1" t="n">
        <v>46182</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2260-2022</t>
        </is>
      </c>
      <c r="B415" s="1" t="n">
        <v>44578.62943287037</v>
      </c>
      <c r="C415" s="1" t="n">
        <v>46182</v>
      </c>
      <c r="D415" t="inlineStr">
        <is>
          <t>KALMAR LÄN</t>
        </is>
      </c>
      <c r="E415" t="inlineStr">
        <is>
          <t>VIMMERBY</t>
        </is>
      </c>
      <c r="G415" t="n">
        <v>1.4</v>
      </c>
      <c r="H415" t="n">
        <v>0</v>
      </c>
      <c r="I415" t="n">
        <v>0</v>
      </c>
      <c r="J415" t="n">
        <v>0</v>
      </c>
      <c r="K415" t="n">
        <v>0</v>
      </c>
      <c r="L415" t="n">
        <v>0</v>
      </c>
      <c r="M415" t="n">
        <v>0</v>
      </c>
      <c r="N415" t="n">
        <v>0</v>
      </c>
      <c r="O415" t="n">
        <v>0</v>
      </c>
      <c r="P415" t="n">
        <v>0</v>
      </c>
      <c r="Q415" t="n">
        <v>0</v>
      </c>
      <c r="R415" s="2" t="inlineStr"/>
    </row>
    <row r="416" ht="15" customHeight="1">
      <c r="A416" t="inlineStr">
        <is>
          <t>A 5074-2023</t>
        </is>
      </c>
      <c r="B416" s="1" t="n">
        <v>44958.61047453704</v>
      </c>
      <c r="C416" s="1" t="n">
        <v>46182</v>
      </c>
      <c r="D416" t="inlineStr">
        <is>
          <t>KALMAR LÄN</t>
        </is>
      </c>
      <c r="E416" t="inlineStr">
        <is>
          <t>VIMMERBY</t>
        </is>
      </c>
      <c r="G416" t="n">
        <v>1.6</v>
      </c>
      <c r="H416" t="n">
        <v>0</v>
      </c>
      <c r="I416" t="n">
        <v>0</v>
      </c>
      <c r="J416" t="n">
        <v>0</v>
      </c>
      <c r="K416" t="n">
        <v>0</v>
      </c>
      <c r="L416" t="n">
        <v>0</v>
      </c>
      <c r="M416" t="n">
        <v>0</v>
      </c>
      <c r="N416" t="n">
        <v>0</v>
      </c>
      <c r="O416" t="n">
        <v>0</v>
      </c>
      <c r="P416" t="n">
        <v>0</v>
      </c>
      <c r="Q416" t="n">
        <v>0</v>
      </c>
      <c r="R416" s="2" t="inlineStr"/>
    </row>
    <row r="417" ht="15" customHeight="1">
      <c r="A417" t="inlineStr">
        <is>
          <t>A 11661-2023</t>
        </is>
      </c>
      <c r="B417" s="1" t="n">
        <v>44994.46908564815</v>
      </c>
      <c r="C417" s="1" t="n">
        <v>46182</v>
      </c>
      <c r="D417" t="inlineStr">
        <is>
          <t>KALMAR LÄN</t>
        </is>
      </c>
      <c r="E417" t="inlineStr">
        <is>
          <t>VIMMERBY</t>
        </is>
      </c>
      <c r="G417" t="n">
        <v>2.7</v>
      </c>
      <c r="H417" t="n">
        <v>0</v>
      </c>
      <c r="I417" t="n">
        <v>0</v>
      </c>
      <c r="J417" t="n">
        <v>0</v>
      </c>
      <c r="K417" t="n">
        <v>0</v>
      </c>
      <c r="L417" t="n">
        <v>0</v>
      </c>
      <c r="M417" t="n">
        <v>0</v>
      </c>
      <c r="N417" t="n">
        <v>0</v>
      </c>
      <c r="O417" t="n">
        <v>0</v>
      </c>
      <c r="P417" t="n">
        <v>0</v>
      </c>
      <c r="Q417" t="n">
        <v>0</v>
      </c>
      <c r="R417" s="2" t="inlineStr"/>
    </row>
    <row r="418" ht="15" customHeight="1">
      <c r="A418" t="inlineStr">
        <is>
          <t>A 51187-2023</t>
        </is>
      </c>
      <c r="B418" s="1" t="n">
        <v>45219.40528935185</v>
      </c>
      <c r="C418" s="1" t="n">
        <v>46182</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58046-2022</t>
        </is>
      </c>
      <c r="B419" s="1" t="n">
        <v>44900.57393518519</v>
      </c>
      <c r="C419" s="1" t="n">
        <v>46182</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45528-2021</t>
        </is>
      </c>
      <c r="B420" s="1" t="n">
        <v>44440.60415509259</v>
      </c>
      <c r="C420" s="1" t="n">
        <v>46182</v>
      </c>
      <c r="D420" t="inlineStr">
        <is>
          <t>KALMAR LÄN</t>
        </is>
      </c>
      <c r="E420" t="inlineStr">
        <is>
          <t>VIMMERBY</t>
        </is>
      </c>
      <c r="G420" t="n">
        <v>2.2</v>
      </c>
      <c r="H420" t="n">
        <v>0</v>
      </c>
      <c r="I420" t="n">
        <v>0</v>
      </c>
      <c r="J420" t="n">
        <v>0</v>
      </c>
      <c r="K420" t="n">
        <v>0</v>
      </c>
      <c r="L420" t="n">
        <v>0</v>
      </c>
      <c r="M420" t="n">
        <v>0</v>
      </c>
      <c r="N420" t="n">
        <v>0</v>
      </c>
      <c r="O420" t="n">
        <v>0</v>
      </c>
      <c r="P420" t="n">
        <v>0</v>
      </c>
      <c r="Q420" t="n">
        <v>0</v>
      </c>
      <c r="R420" s="2" t="inlineStr"/>
    </row>
    <row r="421" ht="15" customHeight="1">
      <c r="A421" t="inlineStr">
        <is>
          <t>A 46979-2023</t>
        </is>
      </c>
      <c r="B421" s="1" t="n">
        <v>45201</v>
      </c>
      <c r="C421" s="1" t="n">
        <v>46182</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51990-2025</t>
        </is>
      </c>
      <c r="B422" s="1" t="n">
        <v>45952.58061342593</v>
      </c>
      <c r="C422" s="1" t="n">
        <v>46182</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6574-2023</t>
        </is>
      </c>
      <c r="B423" s="1" t="n">
        <v>44966</v>
      </c>
      <c r="C423" s="1" t="n">
        <v>46182</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3965-2026</t>
        </is>
      </c>
      <c r="B424" s="1" t="n">
        <v>46044.34563657407</v>
      </c>
      <c r="C424" s="1" t="n">
        <v>46182</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15715-2022</t>
        </is>
      </c>
      <c r="B425" s="1" t="n">
        <v>44663</v>
      </c>
      <c r="C425" s="1" t="n">
        <v>46182</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43093-2024</t>
        </is>
      </c>
      <c r="B426" s="1" t="n">
        <v>45567</v>
      </c>
      <c r="C426" s="1" t="n">
        <v>46182</v>
      </c>
      <c r="D426" t="inlineStr">
        <is>
          <t>KALMAR LÄN</t>
        </is>
      </c>
      <c r="E426" t="inlineStr">
        <is>
          <t>VIMMERBY</t>
        </is>
      </c>
      <c r="G426" t="n">
        <v>0.7</v>
      </c>
      <c r="H426" t="n">
        <v>0</v>
      </c>
      <c r="I426" t="n">
        <v>0</v>
      </c>
      <c r="J426" t="n">
        <v>0</v>
      </c>
      <c r="K426" t="n">
        <v>0</v>
      </c>
      <c r="L426" t="n">
        <v>0</v>
      </c>
      <c r="M426" t="n">
        <v>0</v>
      </c>
      <c r="N426" t="n">
        <v>0</v>
      </c>
      <c r="O426" t="n">
        <v>0</v>
      </c>
      <c r="P426" t="n">
        <v>0</v>
      </c>
      <c r="Q426" t="n">
        <v>0</v>
      </c>
      <c r="R426" s="2" t="inlineStr"/>
    </row>
    <row r="427" ht="15" customHeight="1">
      <c r="A427" t="inlineStr">
        <is>
          <t>A 56022-2024</t>
        </is>
      </c>
      <c r="B427" s="1" t="n">
        <v>45623.95947916667</v>
      </c>
      <c r="C427" s="1" t="n">
        <v>46182</v>
      </c>
      <c r="D427" t="inlineStr">
        <is>
          <t>KALMAR LÄN</t>
        </is>
      </c>
      <c r="E427" t="inlineStr">
        <is>
          <t>VIMMERBY</t>
        </is>
      </c>
      <c r="G427" t="n">
        <v>0.3</v>
      </c>
      <c r="H427" t="n">
        <v>0</v>
      </c>
      <c r="I427" t="n">
        <v>0</v>
      </c>
      <c r="J427" t="n">
        <v>0</v>
      </c>
      <c r="K427" t="n">
        <v>0</v>
      </c>
      <c r="L427" t="n">
        <v>0</v>
      </c>
      <c r="M427" t="n">
        <v>0</v>
      </c>
      <c r="N427" t="n">
        <v>0</v>
      </c>
      <c r="O427" t="n">
        <v>0</v>
      </c>
      <c r="P427" t="n">
        <v>0</v>
      </c>
      <c r="Q427" t="n">
        <v>0</v>
      </c>
      <c r="R427" s="2" t="inlineStr"/>
    </row>
    <row r="428" ht="15" customHeight="1">
      <c r="A428" t="inlineStr">
        <is>
          <t>A 18330-2023</t>
        </is>
      </c>
      <c r="B428" s="1" t="n">
        <v>45041</v>
      </c>
      <c r="C428" s="1" t="n">
        <v>46182</v>
      </c>
      <c r="D428" t="inlineStr">
        <is>
          <t>KALMAR LÄN</t>
        </is>
      </c>
      <c r="E428" t="inlineStr">
        <is>
          <t>VIMMERBY</t>
        </is>
      </c>
      <c r="G428" t="n">
        <v>1.7</v>
      </c>
      <c r="H428" t="n">
        <v>0</v>
      </c>
      <c r="I428" t="n">
        <v>0</v>
      </c>
      <c r="J428" t="n">
        <v>0</v>
      </c>
      <c r="K428" t="n">
        <v>0</v>
      </c>
      <c r="L428" t="n">
        <v>0</v>
      </c>
      <c r="M428" t="n">
        <v>0</v>
      </c>
      <c r="N428" t="n">
        <v>0</v>
      </c>
      <c r="O428" t="n">
        <v>0</v>
      </c>
      <c r="P428" t="n">
        <v>0</v>
      </c>
      <c r="Q428" t="n">
        <v>0</v>
      </c>
      <c r="R428" s="2" t="inlineStr"/>
    </row>
    <row r="429" ht="15" customHeight="1">
      <c r="A429" t="inlineStr">
        <is>
          <t>A 4058-2024</t>
        </is>
      </c>
      <c r="B429" s="1" t="n">
        <v>45323.53744212963</v>
      </c>
      <c r="C429" s="1" t="n">
        <v>46182</v>
      </c>
      <c r="D429" t="inlineStr">
        <is>
          <t>KALMAR LÄN</t>
        </is>
      </c>
      <c r="E429" t="inlineStr">
        <is>
          <t>VIMMERBY</t>
        </is>
      </c>
      <c r="G429" t="n">
        <v>6.5</v>
      </c>
      <c r="H429" t="n">
        <v>0</v>
      </c>
      <c r="I429" t="n">
        <v>0</v>
      </c>
      <c r="J429" t="n">
        <v>0</v>
      </c>
      <c r="K429" t="n">
        <v>0</v>
      </c>
      <c r="L429" t="n">
        <v>0</v>
      </c>
      <c r="M429" t="n">
        <v>0</v>
      </c>
      <c r="N429" t="n">
        <v>0</v>
      </c>
      <c r="O429" t="n">
        <v>0</v>
      </c>
      <c r="P429" t="n">
        <v>0</v>
      </c>
      <c r="Q429" t="n">
        <v>0</v>
      </c>
      <c r="R429" s="2" t="inlineStr"/>
    </row>
    <row r="430" ht="15" customHeight="1">
      <c r="A430" t="inlineStr">
        <is>
          <t>A 1978-2024</t>
        </is>
      </c>
      <c r="B430" s="1" t="n">
        <v>45308.59001157407</v>
      </c>
      <c r="C430" s="1" t="n">
        <v>46182</v>
      </c>
      <c r="D430" t="inlineStr">
        <is>
          <t>KALMAR LÄN</t>
        </is>
      </c>
      <c r="E430" t="inlineStr">
        <is>
          <t>VIMMERBY</t>
        </is>
      </c>
      <c r="G430" t="n">
        <v>0.9</v>
      </c>
      <c r="H430" t="n">
        <v>0</v>
      </c>
      <c r="I430" t="n">
        <v>0</v>
      </c>
      <c r="J430" t="n">
        <v>0</v>
      </c>
      <c r="K430" t="n">
        <v>0</v>
      </c>
      <c r="L430" t="n">
        <v>0</v>
      </c>
      <c r="M430" t="n">
        <v>0</v>
      </c>
      <c r="N430" t="n">
        <v>0</v>
      </c>
      <c r="O430" t="n">
        <v>0</v>
      </c>
      <c r="P430" t="n">
        <v>0</v>
      </c>
      <c r="Q430" t="n">
        <v>0</v>
      </c>
      <c r="R430" s="2" t="inlineStr"/>
    </row>
    <row r="431" ht="15" customHeight="1">
      <c r="A431" t="inlineStr">
        <is>
          <t>A 30318-2023</t>
        </is>
      </c>
      <c r="B431" s="1" t="n">
        <v>45111.30824074074</v>
      </c>
      <c r="C431" s="1" t="n">
        <v>46182</v>
      </c>
      <c r="D431" t="inlineStr">
        <is>
          <t>KALMAR LÄN</t>
        </is>
      </c>
      <c r="E431" t="inlineStr">
        <is>
          <t>VIMMERBY</t>
        </is>
      </c>
      <c r="G431" t="n">
        <v>2.6</v>
      </c>
      <c r="H431" t="n">
        <v>0</v>
      </c>
      <c r="I431" t="n">
        <v>0</v>
      </c>
      <c r="J431" t="n">
        <v>0</v>
      </c>
      <c r="K431" t="n">
        <v>0</v>
      </c>
      <c r="L431" t="n">
        <v>0</v>
      </c>
      <c r="M431" t="n">
        <v>0</v>
      </c>
      <c r="N431" t="n">
        <v>0</v>
      </c>
      <c r="O431" t="n">
        <v>0</v>
      </c>
      <c r="P431" t="n">
        <v>0</v>
      </c>
      <c r="Q431" t="n">
        <v>0</v>
      </c>
      <c r="R431" s="2" t="inlineStr"/>
    </row>
    <row r="432" ht="15" customHeight="1">
      <c r="A432" t="inlineStr">
        <is>
          <t>A 46921-2023</t>
        </is>
      </c>
      <c r="B432" s="1" t="n">
        <v>45201.39996527778</v>
      </c>
      <c r="C432" s="1" t="n">
        <v>46182</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25234-2023</t>
        </is>
      </c>
      <c r="B433" s="1" t="n">
        <v>45086.63194444445</v>
      </c>
      <c r="C433" s="1" t="n">
        <v>46182</v>
      </c>
      <c r="D433" t="inlineStr">
        <is>
          <t>KALMAR LÄN</t>
        </is>
      </c>
      <c r="E433" t="inlineStr">
        <is>
          <t>VIMMERBY</t>
        </is>
      </c>
      <c r="G433" t="n">
        <v>2.1</v>
      </c>
      <c r="H433" t="n">
        <v>0</v>
      </c>
      <c r="I433" t="n">
        <v>0</v>
      </c>
      <c r="J433" t="n">
        <v>0</v>
      </c>
      <c r="K433" t="n">
        <v>0</v>
      </c>
      <c r="L433" t="n">
        <v>0</v>
      </c>
      <c r="M433" t="n">
        <v>0</v>
      </c>
      <c r="N433" t="n">
        <v>0</v>
      </c>
      <c r="O433" t="n">
        <v>0</v>
      </c>
      <c r="P433" t="n">
        <v>0</v>
      </c>
      <c r="Q433" t="n">
        <v>0</v>
      </c>
      <c r="R433" s="2" t="inlineStr"/>
    </row>
    <row r="434" ht="15" customHeight="1">
      <c r="A434" t="inlineStr">
        <is>
          <t>A 46078-2023</t>
        </is>
      </c>
      <c r="B434" s="1" t="n">
        <v>45196</v>
      </c>
      <c r="C434" s="1" t="n">
        <v>46182</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52466-2025</t>
        </is>
      </c>
      <c r="B435" s="1" t="n">
        <v>45954.44707175926</v>
      </c>
      <c r="C435" s="1" t="n">
        <v>46182</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25236-2023</t>
        </is>
      </c>
      <c r="B436" s="1" t="n">
        <v>45086.63334490741</v>
      </c>
      <c r="C436" s="1" t="n">
        <v>46182</v>
      </c>
      <c r="D436" t="inlineStr">
        <is>
          <t>KALMAR LÄN</t>
        </is>
      </c>
      <c r="E436" t="inlineStr">
        <is>
          <t>VIMMERBY</t>
        </is>
      </c>
      <c r="G436" t="n">
        <v>0.9</v>
      </c>
      <c r="H436" t="n">
        <v>0</v>
      </c>
      <c r="I436" t="n">
        <v>0</v>
      </c>
      <c r="J436" t="n">
        <v>0</v>
      </c>
      <c r="K436" t="n">
        <v>0</v>
      </c>
      <c r="L436" t="n">
        <v>0</v>
      </c>
      <c r="M436" t="n">
        <v>0</v>
      </c>
      <c r="N436" t="n">
        <v>0</v>
      </c>
      <c r="O436" t="n">
        <v>0</v>
      </c>
      <c r="P436" t="n">
        <v>0</v>
      </c>
      <c r="Q436" t="n">
        <v>0</v>
      </c>
      <c r="R436" s="2" t="inlineStr"/>
    </row>
    <row r="437" ht="15" customHeight="1">
      <c r="A437" t="inlineStr">
        <is>
          <t>A 52475-2025</t>
        </is>
      </c>
      <c r="B437" s="1" t="n">
        <v>45954.468125</v>
      </c>
      <c r="C437" s="1" t="n">
        <v>46182</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53396-2025</t>
        </is>
      </c>
      <c r="B438" s="1" t="n">
        <v>45959.55577546296</v>
      </c>
      <c r="C438" s="1" t="n">
        <v>46182</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53398-2025</t>
        </is>
      </c>
      <c r="B439" s="1" t="n">
        <v>45959.56247685185</v>
      </c>
      <c r="C439" s="1" t="n">
        <v>46182</v>
      </c>
      <c r="D439" t="inlineStr">
        <is>
          <t>KALMAR LÄN</t>
        </is>
      </c>
      <c r="E439" t="inlineStr">
        <is>
          <t>VIMMERBY</t>
        </is>
      </c>
      <c r="G439" t="n">
        <v>0.8</v>
      </c>
      <c r="H439" t="n">
        <v>0</v>
      </c>
      <c r="I439" t="n">
        <v>0</v>
      </c>
      <c r="J439" t="n">
        <v>0</v>
      </c>
      <c r="K439" t="n">
        <v>0</v>
      </c>
      <c r="L439" t="n">
        <v>0</v>
      </c>
      <c r="M439" t="n">
        <v>0</v>
      </c>
      <c r="N439" t="n">
        <v>0</v>
      </c>
      <c r="O439" t="n">
        <v>0</v>
      </c>
      <c r="P439" t="n">
        <v>0</v>
      </c>
      <c r="Q439" t="n">
        <v>0</v>
      </c>
      <c r="R439" s="2" t="inlineStr"/>
    </row>
    <row r="440" ht="15" customHeight="1">
      <c r="A440" t="inlineStr">
        <is>
          <t>A 53397-2025</t>
        </is>
      </c>
      <c r="B440" s="1" t="n">
        <v>45959.55918981481</v>
      </c>
      <c r="C440" s="1" t="n">
        <v>46182</v>
      </c>
      <c r="D440" t="inlineStr">
        <is>
          <t>KALMAR LÄN</t>
        </is>
      </c>
      <c r="E440" t="inlineStr">
        <is>
          <t>VIMMERBY</t>
        </is>
      </c>
      <c r="G440" t="n">
        <v>1.6</v>
      </c>
      <c r="H440" t="n">
        <v>0</v>
      </c>
      <c r="I440" t="n">
        <v>0</v>
      </c>
      <c r="J440" t="n">
        <v>0</v>
      </c>
      <c r="K440" t="n">
        <v>0</v>
      </c>
      <c r="L440" t="n">
        <v>0</v>
      </c>
      <c r="M440" t="n">
        <v>0</v>
      </c>
      <c r="N440" t="n">
        <v>0</v>
      </c>
      <c r="O440" t="n">
        <v>0</v>
      </c>
      <c r="P440" t="n">
        <v>0</v>
      </c>
      <c r="Q440" t="n">
        <v>0</v>
      </c>
      <c r="R440" s="2" t="inlineStr"/>
    </row>
    <row r="441" ht="15" customHeight="1">
      <c r="A441" t="inlineStr">
        <is>
          <t>A 6082-2022</t>
        </is>
      </c>
      <c r="B441" s="1" t="n">
        <v>44599</v>
      </c>
      <c r="C441" s="1" t="n">
        <v>46182</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53920-2025</t>
        </is>
      </c>
      <c r="B442" s="1" t="n">
        <v>45961.44951388889</v>
      </c>
      <c r="C442" s="1" t="n">
        <v>46182</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2801-2023</t>
        </is>
      </c>
      <c r="B443" s="1" t="n">
        <v>44944.73487268519</v>
      </c>
      <c r="C443" s="1" t="n">
        <v>46182</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53933-2025</t>
        </is>
      </c>
      <c r="B444" s="1" t="n">
        <v>45961.47650462963</v>
      </c>
      <c r="C444" s="1" t="n">
        <v>46182</v>
      </c>
      <c r="D444" t="inlineStr">
        <is>
          <t>KALMAR LÄN</t>
        </is>
      </c>
      <c r="E444" t="inlineStr">
        <is>
          <t>VIMMERBY</t>
        </is>
      </c>
      <c r="G444" t="n">
        <v>0.9</v>
      </c>
      <c r="H444" t="n">
        <v>0</v>
      </c>
      <c r="I444" t="n">
        <v>0</v>
      </c>
      <c r="J444" t="n">
        <v>0</v>
      </c>
      <c r="K444" t="n">
        <v>0</v>
      </c>
      <c r="L444" t="n">
        <v>0</v>
      </c>
      <c r="M444" t="n">
        <v>0</v>
      </c>
      <c r="N444" t="n">
        <v>0</v>
      </c>
      <c r="O444" t="n">
        <v>0</v>
      </c>
      <c r="P444" t="n">
        <v>0</v>
      </c>
      <c r="Q444" t="n">
        <v>0</v>
      </c>
      <c r="R444" s="2" t="inlineStr"/>
    </row>
    <row r="445" ht="15" customHeight="1">
      <c r="A445" t="inlineStr">
        <is>
          <t>A 3609-2024</t>
        </is>
      </c>
      <c r="B445" s="1" t="n">
        <v>45320.89128472222</v>
      </c>
      <c r="C445" s="1" t="n">
        <v>46182</v>
      </c>
      <c r="D445" t="inlineStr">
        <is>
          <t>KALMAR LÄN</t>
        </is>
      </c>
      <c r="E445" t="inlineStr">
        <is>
          <t>VIMMERBY</t>
        </is>
      </c>
      <c r="G445" t="n">
        <v>1.7</v>
      </c>
      <c r="H445" t="n">
        <v>0</v>
      </c>
      <c r="I445" t="n">
        <v>0</v>
      </c>
      <c r="J445" t="n">
        <v>0</v>
      </c>
      <c r="K445" t="n">
        <v>0</v>
      </c>
      <c r="L445" t="n">
        <v>0</v>
      </c>
      <c r="M445" t="n">
        <v>0</v>
      </c>
      <c r="N445" t="n">
        <v>0</v>
      </c>
      <c r="O445" t="n">
        <v>0</v>
      </c>
      <c r="P445" t="n">
        <v>0</v>
      </c>
      <c r="Q445" t="n">
        <v>0</v>
      </c>
      <c r="R445" s="2" t="inlineStr"/>
    </row>
    <row r="446" ht="15" customHeight="1">
      <c r="A446" t="inlineStr">
        <is>
          <t>A 5146-2024</t>
        </is>
      </c>
      <c r="B446" s="1" t="n">
        <v>45330</v>
      </c>
      <c r="C446" s="1" t="n">
        <v>46182</v>
      </c>
      <c r="D446" t="inlineStr">
        <is>
          <t>KALMAR LÄN</t>
        </is>
      </c>
      <c r="E446" t="inlineStr">
        <is>
          <t>VIMMERBY</t>
        </is>
      </c>
      <c r="G446" t="n">
        <v>5.3</v>
      </c>
      <c r="H446" t="n">
        <v>0</v>
      </c>
      <c r="I446" t="n">
        <v>0</v>
      </c>
      <c r="J446" t="n">
        <v>0</v>
      </c>
      <c r="K446" t="n">
        <v>0</v>
      </c>
      <c r="L446" t="n">
        <v>0</v>
      </c>
      <c r="M446" t="n">
        <v>0</v>
      </c>
      <c r="N446" t="n">
        <v>0</v>
      </c>
      <c r="O446" t="n">
        <v>0</v>
      </c>
      <c r="P446" t="n">
        <v>0</v>
      </c>
      <c r="Q446" t="n">
        <v>0</v>
      </c>
      <c r="R446" s="2" t="inlineStr"/>
    </row>
    <row r="447" ht="15" customHeight="1">
      <c r="A447" t="inlineStr">
        <is>
          <t>A 5148-2024</t>
        </is>
      </c>
      <c r="B447" s="1" t="n">
        <v>45330</v>
      </c>
      <c r="C447" s="1" t="n">
        <v>46182</v>
      </c>
      <c r="D447" t="inlineStr">
        <is>
          <t>KALMAR LÄN</t>
        </is>
      </c>
      <c r="E447" t="inlineStr">
        <is>
          <t>VIMMERBY</t>
        </is>
      </c>
      <c r="G447" t="n">
        <v>5.6</v>
      </c>
      <c r="H447" t="n">
        <v>0</v>
      </c>
      <c r="I447" t="n">
        <v>0</v>
      </c>
      <c r="J447" t="n">
        <v>0</v>
      </c>
      <c r="K447" t="n">
        <v>0</v>
      </c>
      <c r="L447" t="n">
        <v>0</v>
      </c>
      <c r="M447" t="n">
        <v>0</v>
      </c>
      <c r="N447" t="n">
        <v>0</v>
      </c>
      <c r="O447" t="n">
        <v>0</v>
      </c>
      <c r="P447" t="n">
        <v>0</v>
      </c>
      <c r="Q447" t="n">
        <v>0</v>
      </c>
      <c r="R447" s="2" t="inlineStr"/>
    </row>
    <row r="448" ht="15" customHeight="1">
      <c r="A448" t="inlineStr">
        <is>
          <t>A 10424-2023</t>
        </is>
      </c>
      <c r="B448" s="1" t="n">
        <v>44987.54104166666</v>
      </c>
      <c r="C448" s="1" t="n">
        <v>46182</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54236-2025</t>
        </is>
      </c>
      <c r="B449" s="1" t="n">
        <v>45964.62671296296</v>
      </c>
      <c r="C449" s="1" t="n">
        <v>46182</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49382-2023</t>
        </is>
      </c>
      <c r="B450" s="1" t="n">
        <v>45208</v>
      </c>
      <c r="C450" s="1" t="n">
        <v>46182</v>
      </c>
      <c r="D450" t="inlineStr">
        <is>
          <t>KALMAR LÄN</t>
        </is>
      </c>
      <c r="E450" t="inlineStr">
        <is>
          <t>VIMMERBY</t>
        </is>
      </c>
      <c r="G450" t="n">
        <v>2.2</v>
      </c>
      <c r="H450" t="n">
        <v>0</v>
      </c>
      <c r="I450" t="n">
        <v>0</v>
      </c>
      <c r="J450" t="n">
        <v>0</v>
      </c>
      <c r="K450" t="n">
        <v>0</v>
      </c>
      <c r="L450" t="n">
        <v>0</v>
      </c>
      <c r="M450" t="n">
        <v>0</v>
      </c>
      <c r="N450" t="n">
        <v>0</v>
      </c>
      <c r="O450" t="n">
        <v>0</v>
      </c>
      <c r="P450" t="n">
        <v>0</v>
      </c>
      <c r="Q450" t="n">
        <v>0</v>
      </c>
      <c r="R450" s="2" t="inlineStr"/>
    </row>
    <row r="451" ht="15" customHeight="1">
      <c r="A451" t="inlineStr">
        <is>
          <t>A 12810-2023</t>
        </is>
      </c>
      <c r="B451" s="1" t="n">
        <v>45001.43854166667</v>
      </c>
      <c r="C451" s="1" t="n">
        <v>46182</v>
      </c>
      <c r="D451" t="inlineStr">
        <is>
          <t>KALMAR LÄN</t>
        </is>
      </c>
      <c r="E451" t="inlineStr">
        <is>
          <t>VIMMERBY</t>
        </is>
      </c>
      <c r="G451" t="n">
        <v>1.5</v>
      </c>
      <c r="H451" t="n">
        <v>0</v>
      </c>
      <c r="I451" t="n">
        <v>0</v>
      </c>
      <c r="J451" t="n">
        <v>0</v>
      </c>
      <c r="K451" t="n">
        <v>0</v>
      </c>
      <c r="L451" t="n">
        <v>0</v>
      </c>
      <c r="M451" t="n">
        <v>0</v>
      </c>
      <c r="N451" t="n">
        <v>0</v>
      </c>
      <c r="O451" t="n">
        <v>0</v>
      </c>
      <c r="P451" t="n">
        <v>0</v>
      </c>
      <c r="Q451" t="n">
        <v>0</v>
      </c>
      <c r="R451" s="2" t="inlineStr"/>
    </row>
    <row r="452" ht="15" customHeight="1">
      <c r="A452" t="inlineStr">
        <is>
          <t>A 3425-2022</t>
        </is>
      </c>
      <c r="B452" s="1" t="n">
        <v>44585.51060185185</v>
      </c>
      <c r="C452" s="1" t="n">
        <v>46182</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60675-2023</t>
        </is>
      </c>
      <c r="B453" s="1" t="n">
        <v>45260.4716550926</v>
      </c>
      <c r="C453" s="1" t="n">
        <v>46182</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2536-2023</t>
        </is>
      </c>
      <c r="B454" s="1" t="n">
        <v>44943.62954861111</v>
      </c>
      <c r="C454" s="1" t="n">
        <v>46182</v>
      </c>
      <c r="D454" t="inlineStr">
        <is>
          <t>KALMAR LÄN</t>
        </is>
      </c>
      <c r="E454" t="inlineStr">
        <is>
          <t>VIMMERBY</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54234-2025</t>
        </is>
      </c>
      <c r="B455" s="1" t="n">
        <v>45964.62486111111</v>
      </c>
      <c r="C455" s="1" t="n">
        <v>46182</v>
      </c>
      <c r="D455" t="inlineStr">
        <is>
          <t>KALMAR LÄN</t>
        </is>
      </c>
      <c r="E455" t="inlineStr">
        <is>
          <t>VIMMERBY</t>
        </is>
      </c>
      <c r="G455" t="n">
        <v>4.1</v>
      </c>
      <c r="H455" t="n">
        <v>0</v>
      </c>
      <c r="I455" t="n">
        <v>0</v>
      </c>
      <c r="J455" t="n">
        <v>0</v>
      </c>
      <c r="K455" t="n">
        <v>0</v>
      </c>
      <c r="L455" t="n">
        <v>0</v>
      </c>
      <c r="M455" t="n">
        <v>0</v>
      </c>
      <c r="N455" t="n">
        <v>0</v>
      </c>
      <c r="O455" t="n">
        <v>0</v>
      </c>
      <c r="P455" t="n">
        <v>0</v>
      </c>
      <c r="Q455" t="n">
        <v>0</v>
      </c>
      <c r="R455" s="2" t="inlineStr"/>
    </row>
    <row r="456" ht="15" customHeight="1">
      <c r="A456" t="inlineStr">
        <is>
          <t>A 58278-2023</t>
        </is>
      </c>
      <c r="B456" s="1" t="n">
        <v>45250.5278587963</v>
      </c>
      <c r="C456" s="1" t="n">
        <v>46182</v>
      </c>
      <c r="D456" t="inlineStr">
        <is>
          <t>KALMAR LÄN</t>
        </is>
      </c>
      <c r="E456" t="inlineStr">
        <is>
          <t>VIMMERBY</t>
        </is>
      </c>
      <c r="G456" t="n">
        <v>1.8</v>
      </c>
      <c r="H456" t="n">
        <v>0</v>
      </c>
      <c r="I456" t="n">
        <v>0</v>
      </c>
      <c r="J456" t="n">
        <v>0</v>
      </c>
      <c r="K456" t="n">
        <v>0</v>
      </c>
      <c r="L456" t="n">
        <v>0</v>
      </c>
      <c r="M456" t="n">
        <v>0</v>
      </c>
      <c r="N456" t="n">
        <v>0</v>
      </c>
      <c r="O456" t="n">
        <v>0</v>
      </c>
      <c r="P456" t="n">
        <v>0</v>
      </c>
      <c r="Q456" t="n">
        <v>0</v>
      </c>
      <c r="R456" s="2" t="inlineStr"/>
    </row>
    <row r="457" ht="15" customHeight="1">
      <c r="A457" t="inlineStr">
        <is>
          <t>A 22266-2023</t>
        </is>
      </c>
      <c r="B457" s="1" t="n">
        <v>45070</v>
      </c>
      <c r="C457" s="1" t="n">
        <v>46182</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52588-2023</t>
        </is>
      </c>
      <c r="B458" s="1" t="n">
        <v>45225.60192129629</v>
      </c>
      <c r="C458" s="1" t="n">
        <v>46182</v>
      </c>
      <c r="D458" t="inlineStr">
        <is>
          <t>KALMAR LÄN</t>
        </is>
      </c>
      <c r="E458" t="inlineStr">
        <is>
          <t>VIMMERBY</t>
        </is>
      </c>
      <c r="G458" t="n">
        <v>2.9</v>
      </c>
      <c r="H458" t="n">
        <v>0</v>
      </c>
      <c r="I458" t="n">
        <v>0</v>
      </c>
      <c r="J458" t="n">
        <v>0</v>
      </c>
      <c r="K458" t="n">
        <v>0</v>
      </c>
      <c r="L458" t="n">
        <v>0</v>
      </c>
      <c r="M458" t="n">
        <v>0</v>
      </c>
      <c r="N458" t="n">
        <v>0</v>
      </c>
      <c r="O458" t="n">
        <v>0</v>
      </c>
      <c r="P458" t="n">
        <v>0</v>
      </c>
      <c r="Q458" t="n">
        <v>0</v>
      </c>
      <c r="R458" s="2" t="inlineStr"/>
    </row>
    <row r="459" ht="15" customHeight="1">
      <c r="A459" t="inlineStr">
        <is>
          <t>A 6802-2025</t>
        </is>
      </c>
      <c r="B459" s="1" t="n">
        <v>45700.68289351852</v>
      </c>
      <c r="C459" s="1" t="n">
        <v>46182</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71793-2021</t>
        </is>
      </c>
      <c r="B460" s="1" t="n">
        <v>44539</v>
      </c>
      <c r="C460" s="1" t="n">
        <v>46182</v>
      </c>
      <c r="D460" t="inlineStr">
        <is>
          <t>KALMAR LÄN</t>
        </is>
      </c>
      <c r="E460" t="inlineStr">
        <is>
          <t>VIMMERBY</t>
        </is>
      </c>
      <c r="G460" t="n">
        <v>2.7</v>
      </c>
      <c r="H460" t="n">
        <v>0</v>
      </c>
      <c r="I460" t="n">
        <v>0</v>
      </c>
      <c r="J460" t="n">
        <v>0</v>
      </c>
      <c r="K460" t="n">
        <v>0</v>
      </c>
      <c r="L460" t="n">
        <v>0</v>
      </c>
      <c r="M460" t="n">
        <v>0</v>
      </c>
      <c r="N460" t="n">
        <v>0</v>
      </c>
      <c r="O460" t="n">
        <v>0</v>
      </c>
      <c r="P460" t="n">
        <v>0</v>
      </c>
      <c r="Q460" t="n">
        <v>0</v>
      </c>
      <c r="R460" s="2" t="inlineStr"/>
    </row>
    <row r="461" ht="15" customHeight="1">
      <c r="A461" t="inlineStr">
        <is>
          <t>A 11111-2024</t>
        </is>
      </c>
      <c r="B461" s="1" t="n">
        <v>45371.36359953704</v>
      </c>
      <c r="C461" s="1" t="n">
        <v>46182</v>
      </c>
      <c r="D461" t="inlineStr">
        <is>
          <t>KALMAR LÄN</t>
        </is>
      </c>
      <c r="E461" t="inlineStr">
        <is>
          <t>VIMMERBY</t>
        </is>
      </c>
      <c r="G461" t="n">
        <v>1.4</v>
      </c>
      <c r="H461" t="n">
        <v>0</v>
      </c>
      <c r="I461" t="n">
        <v>0</v>
      </c>
      <c r="J461" t="n">
        <v>0</v>
      </c>
      <c r="K461" t="n">
        <v>0</v>
      </c>
      <c r="L461" t="n">
        <v>0</v>
      </c>
      <c r="M461" t="n">
        <v>0</v>
      </c>
      <c r="N461" t="n">
        <v>0</v>
      </c>
      <c r="O461" t="n">
        <v>0</v>
      </c>
      <c r="P461" t="n">
        <v>0</v>
      </c>
      <c r="Q461" t="n">
        <v>0</v>
      </c>
      <c r="R461" s="2" t="inlineStr"/>
    </row>
    <row r="462" ht="15" customHeight="1">
      <c r="A462" t="inlineStr">
        <is>
          <t>A 527-2024</t>
        </is>
      </c>
      <c r="B462" s="1" t="n">
        <v>45299.47513888889</v>
      </c>
      <c r="C462" s="1" t="n">
        <v>46182</v>
      </c>
      <c r="D462" t="inlineStr">
        <is>
          <t>KALMAR LÄN</t>
        </is>
      </c>
      <c r="E462" t="inlineStr">
        <is>
          <t>VIMMERBY</t>
        </is>
      </c>
      <c r="G462" t="n">
        <v>2.2</v>
      </c>
      <c r="H462" t="n">
        <v>0</v>
      </c>
      <c r="I462" t="n">
        <v>0</v>
      </c>
      <c r="J462" t="n">
        <v>0</v>
      </c>
      <c r="K462" t="n">
        <v>0</v>
      </c>
      <c r="L462" t="n">
        <v>0</v>
      </c>
      <c r="M462" t="n">
        <v>0</v>
      </c>
      <c r="N462" t="n">
        <v>0</v>
      </c>
      <c r="O462" t="n">
        <v>0</v>
      </c>
      <c r="P462" t="n">
        <v>0</v>
      </c>
      <c r="Q462" t="n">
        <v>0</v>
      </c>
      <c r="R462" s="2" t="inlineStr"/>
    </row>
    <row r="463" ht="15" customHeight="1">
      <c r="A463" t="inlineStr">
        <is>
          <t>A 1687-2023</t>
        </is>
      </c>
      <c r="B463" s="1" t="n">
        <v>44938</v>
      </c>
      <c r="C463" s="1" t="n">
        <v>46182</v>
      </c>
      <c r="D463" t="inlineStr">
        <is>
          <t>KALMAR LÄN</t>
        </is>
      </c>
      <c r="E463" t="inlineStr">
        <is>
          <t>VIMMERBY</t>
        </is>
      </c>
      <c r="F463" t="inlineStr">
        <is>
          <t>Kommuner</t>
        </is>
      </c>
      <c r="G463" t="n">
        <v>2.5</v>
      </c>
      <c r="H463" t="n">
        <v>0</v>
      </c>
      <c r="I463" t="n">
        <v>0</v>
      </c>
      <c r="J463" t="n">
        <v>0</v>
      </c>
      <c r="K463" t="n">
        <v>0</v>
      </c>
      <c r="L463" t="n">
        <v>0</v>
      </c>
      <c r="M463" t="n">
        <v>0</v>
      </c>
      <c r="N463" t="n">
        <v>0</v>
      </c>
      <c r="O463" t="n">
        <v>0</v>
      </c>
      <c r="P463" t="n">
        <v>0</v>
      </c>
      <c r="Q463" t="n">
        <v>0</v>
      </c>
      <c r="R463" s="2" t="inlineStr"/>
    </row>
    <row r="464" ht="15" customHeight="1">
      <c r="A464" t="inlineStr">
        <is>
          <t>A 60230-2022</t>
        </is>
      </c>
      <c r="B464" s="1" t="n">
        <v>44910</v>
      </c>
      <c r="C464" s="1" t="n">
        <v>46182</v>
      </c>
      <c r="D464" t="inlineStr">
        <is>
          <t>KALMAR LÄN</t>
        </is>
      </c>
      <c r="E464" t="inlineStr">
        <is>
          <t>VIMMERBY</t>
        </is>
      </c>
      <c r="G464" t="n">
        <v>11.3</v>
      </c>
      <c r="H464" t="n">
        <v>0</v>
      </c>
      <c r="I464" t="n">
        <v>0</v>
      </c>
      <c r="J464" t="n">
        <v>0</v>
      </c>
      <c r="K464" t="n">
        <v>0</v>
      </c>
      <c r="L464" t="n">
        <v>0</v>
      </c>
      <c r="M464" t="n">
        <v>0</v>
      </c>
      <c r="N464" t="n">
        <v>0</v>
      </c>
      <c r="O464" t="n">
        <v>0</v>
      </c>
      <c r="P464" t="n">
        <v>0</v>
      </c>
      <c r="Q464" t="n">
        <v>0</v>
      </c>
      <c r="R464" s="2" t="inlineStr"/>
    </row>
    <row r="465" ht="15" customHeight="1">
      <c r="A465" t="inlineStr">
        <is>
          <t>A 6817-2026</t>
        </is>
      </c>
      <c r="B465" s="1" t="n">
        <v>46057.38412037037</v>
      </c>
      <c r="C465" s="1" t="n">
        <v>46182</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3494-2023</t>
        </is>
      </c>
      <c r="B466" s="1" t="n">
        <v>44949</v>
      </c>
      <c r="C466" s="1" t="n">
        <v>46182</v>
      </c>
      <c r="D466" t="inlineStr">
        <is>
          <t>KALMAR LÄN</t>
        </is>
      </c>
      <c r="E466" t="inlineStr">
        <is>
          <t>VIMMERBY</t>
        </is>
      </c>
      <c r="F466" t="inlineStr">
        <is>
          <t>Kyrkan</t>
        </is>
      </c>
      <c r="G466" t="n">
        <v>0.8</v>
      </c>
      <c r="H466" t="n">
        <v>0</v>
      </c>
      <c r="I466" t="n">
        <v>0</v>
      </c>
      <c r="J466" t="n">
        <v>0</v>
      </c>
      <c r="K466" t="n">
        <v>0</v>
      </c>
      <c r="L466" t="n">
        <v>0</v>
      </c>
      <c r="M466" t="n">
        <v>0</v>
      </c>
      <c r="N466" t="n">
        <v>0</v>
      </c>
      <c r="O466" t="n">
        <v>0</v>
      </c>
      <c r="P466" t="n">
        <v>0</v>
      </c>
      <c r="Q466" t="n">
        <v>0</v>
      </c>
      <c r="R466" s="2" t="inlineStr"/>
    </row>
    <row r="467" ht="15" customHeight="1">
      <c r="A467" t="inlineStr">
        <is>
          <t>A 5925-2022</t>
        </is>
      </c>
      <c r="B467" s="1" t="n">
        <v>44598.7384837963</v>
      </c>
      <c r="C467" s="1" t="n">
        <v>46182</v>
      </c>
      <c r="D467" t="inlineStr">
        <is>
          <t>KALMAR LÄN</t>
        </is>
      </c>
      <c r="E467" t="inlineStr">
        <is>
          <t>VIMMERBY</t>
        </is>
      </c>
      <c r="G467" t="n">
        <v>2.1</v>
      </c>
      <c r="H467" t="n">
        <v>0</v>
      </c>
      <c r="I467" t="n">
        <v>0</v>
      </c>
      <c r="J467" t="n">
        <v>0</v>
      </c>
      <c r="K467" t="n">
        <v>0</v>
      </c>
      <c r="L467" t="n">
        <v>0</v>
      </c>
      <c r="M467" t="n">
        <v>0</v>
      </c>
      <c r="N467" t="n">
        <v>0</v>
      </c>
      <c r="O467" t="n">
        <v>0</v>
      </c>
      <c r="P467" t="n">
        <v>0</v>
      </c>
      <c r="Q467" t="n">
        <v>0</v>
      </c>
      <c r="R467" s="2" t="inlineStr"/>
    </row>
    <row r="468" ht="15" customHeight="1">
      <c r="A468" t="inlineStr">
        <is>
          <t>A 55603-2025</t>
        </is>
      </c>
      <c r="B468" s="1" t="n">
        <v>45971</v>
      </c>
      <c r="C468" s="1" t="n">
        <v>46182</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46522-2022</t>
        </is>
      </c>
      <c r="B469" s="1" t="n">
        <v>44848.59133101852</v>
      </c>
      <c r="C469" s="1" t="n">
        <v>46182</v>
      </c>
      <c r="D469" t="inlineStr">
        <is>
          <t>KALMAR LÄN</t>
        </is>
      </c>
      <c r="E469" t="inlineStr">
        <is>
          <t>VIMMERBY</t>
        </is>
      </c>
      <c r="G469" t="n">
        <v>1.4</v>
      </c>
      <c r="H469" t="n">
        <v>0</v>
      </c>
      <c r="I469" t="n">
        <v>0</v>
      </c>
      <c r="J469" t="n">
        <v>0</v>
      </c>
      <c r="K469" t="n">
        <v>0</v>
      </c>
      <c r="L469" t="n">
        <v>0</v>
      </c>
      <c r="M469" t="n">
        <v>0</v>
      </c>
      <c r="N469" t="n">
        <v>0</v>
      </c>
      <c r="O469" t="n">
        <v>0</v>
      </c>
      <c r="P469" t="n">
        <v>0</v>
      </c>
      <c r="Q469" t="n">
        <v>0</v>
      </c>
      <c r="R469" s="2" t="inlineStr"/>
    </row>
    <row r="470" ht="15" customHeight="1">
      <c r="A470" t="inlineStr">
        <is>
          <t>A 55385-2025</t>
        </is>
      </c>
      <c r="B470" s="1" t="n">
        <v>45971.43350694444</v>
      </c>
      <c r="C470" s="1" t="n">
        <v>46182</v>
      </c>
      <c r="D470" t="inlineStr">
        <is>
          <t>KALMAR LÄN</t>
        </is>
      </c>
      <c r="E470" t="inlineStr">
        <is>
          <t>VIMMERBY</t>
        </is>
      </c>
      <c r="G470" t="n">
        <v>5</v>
      </c>
      <c r="H470" t="n">
        <v>0</v>
      </c>
      <c r="I470" t="n">
        <v>0</v>
      </c>
      <c r="J470" t="n">
        <v>0</v>
      </c>
      <c r="K470" t="n">
        <v>0</v>
      </c>
      <c r="L470" t="n">
        <v>0</v>
      </c>
      <c r="M470" t="n">
        <v>0</v>
      </c>
      <c r="N470" t="n">
        <v>0</v>
      </c>
      <c r="O470" t="n">
        <v>0</v>
      </c>
      <c r="P470" t="n">
        <v>0</v>
      </c>
      <c r="Q470" t="n">
        <v>0</v>
      </c>
      <c r="R470" s="2" t="inlineStr"/>
    </row>
    <row r="471" ht="15" customHeight="1">
      <c r="A471" t="inlineStr">
        <is>
          <t>A 15449-2023</t>
        </is>
      </c>
      <c r="B471" s="1" t="n">
        <v>45020</v>
      </c>
      <c r="C471" s="1" t="n">
        <v>46182</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41066-2024</t>
        </is>
      </c>
      <c r="B472" s="1" t="n">
        <v>45559.38876157408</v>
      </c>
      <c r="C472" s="1" t="n">
        <v>46182</v>
      </c>
      <c r="D472" t="inlineStr">
        <is>
          <t>KALMAR LÄN</t>
        </is>
      </c>
      <c r="E472" t="inlineStr">
        <is>
          <t>VIMMERBY</t>
        </is>
      </c>
      <c r="G472" t="n">
        <v>2.4</v>
      </c>
      <c r="H472" t="n">
        <v>0</v>
      </c>
      <c r="I472" t="n">
        <v>0</v>
      </c>
      <c r="J472" t="n">
        <v>0</v>
      </c>
      <c r="K472" t="n">
        <v>0</v>
      </c>
      <c r="L472" t="n">
        <v>0</v>
      </c>
      <c r="M472" t="n">
        <v>0</v>
      </c>
      <c r="N472" t="n">
        <v>0</v>
      </c>
      <c r="O472" t="n">
        <v>0</v>
      </c>
      <c r="P472" t="n">
        <v>0</v>
      </c>
      <c r="Q472" t="n">
        <v>0</v>
      </c>
      <c r="R472" s="2" t="inlineStr"/>
    </row>
    <row r="473" ht="15" customHeight="1">
      <c r="A473" t="inlineStr">
        <is>
          <t>A 43242-2024</t>
        </is>
      </c>
      <c r="B473" s="1" t="n">
        <v>45568.30189814815</v>
      </c>
      <c r="C473" s="1" t="n">
        <v>46182</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52279-2023</t>
        </is>
      </c>
      <c r="B474" s="1" t="n">
        <v>45224</v>
      </c>
      <c r="C474" s="1" t="n">
        <v>46182</v>
      </c>
      <c r="D474" t="inlineStr">
        <is>
          <t>KALMAR LÄN</t>
        </is>
      </c>
      <c r="E474" t="inlineStr">
        <is>
          <t>VIMMERBY</t>
        </is>
      </c>
      <c r="G474" t="n">
        <v>1.8</v>
      </c>
      <c r="H474" t="n">
        <v>0</v>
      </c>
      <c r="I474" t="n">
        <v>0</v>
      </c>
      <c r="J474" t="n">
        <v>0</v>
      </c>
      <c r="K474" t="n">
        <v>0</v>
      </c>
      <c r="L474" t="n">
        <v>0</v>
      </c>
      <c r="M474" t="n">
        <v>0</v>
      </c>
      <c r="N474" t="n">
        <v>0</v>
      </c>
      <c r="O474" t="n">
        <v>0</v>
      </c>
      <c r="P474" t="n">
        <v>0</v>
      </c>
      <c r="Q474" t="n">
        <v>0</v>
      </c>
      <c r="R474" s="2" t="inlineStr"/>
    </row>
    <row r="475" ht="15" customHeight="1">
      <c r="A475" t="inlineStr">
        <is>
          <t>A 17486-2024</t>
        </is>
      </c>
      <c r="B475" s="1" t="n">
        <v>45415.48979166667</v>
      </c>
      <c r="C475" s="1" t="n">
        <v>46182</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71631-2021</t>
        </is>
      </c>
      <c r="B476" s="1" t="n">
        <v>44542.90072916666</v>
      </c>
      <c r="C476" s="1" t="n">
        <v>46182</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56853-2022</t>
        </is>
      </c>
      <c r="B477" s="1" t="n">
        <v>44894.49538194444</v>
      </c>
      <c r="C477" s="1" t="n">
        <v>46182</v>
      </c>
      <c r="D477" t="inlineStr">
        <is>
          <t>KALMAR LÄN</t>
        </is>
      </c>
      <c r="E477" t="inlineStr">
        <is>
          <t>VIMMERBY</t>
        </is>
      </c>
      <c r="G477" t="n">
        <v>4.3</v>
      </c>
      <c r="H477" t="n">
        <v>0</v>
      </c>
      <c r="I477" t="n">
        <v>0</v>
      </c>
      <c r="J477" t="n">
        <v>0</v>
      </c>
      <c r="K477" t="n">
        <v>0</v>
      </c>
      <c r="L477" t="n">
        <v>0</v>
      </c>
      <c r="M477" t="n">
        <v>0</v>
      </c>
      <c r="N477" t="n">
        <v>0</v>
      </c>
      <c r="O477" t="n">
        <v>0</v>
      </c>
      <c r="P477" t="n">
        <v>0</v>
      </c>
      <c r="Q477" t="n">
        <v>0</v>
      </c>
      <c r="R477" s="2" t="inlineStr"/>
    </row>
    <row r="478" ht="15" customHeight="1">
      <c r="A478" t="inlineStr">
        <is>
          <t>A 9694-2023</t>
        </is>
      </c>
      <c r="B478" s="1" t="n">
        <v>44984.45895833334</v>
      </c>
      <c r="C478" s="1" t="n">
        <v>46182</v>
      </c>
      <c r="D478" t="inlineStr">
        <is>
          <t>KALMAR LÄN</t>
        </is>
      </c>
      <c r="E478" t="inlineStr">
        <is>
          <t>VIMMERBY</t>
        </is>
      </c>
      <c r="G478" t="n">
        <v>2.1</v>
      </c>
      <c r="H478" t="n">
        <v>0</v>
      </c>
      <c r="I478" t="n">
        <v>0</v>
      </c>
      <c r="J478" t="n">
        <v>0</v>
      </c>
      <c r="K478" t="n">
        <v>0</v>
      </c>
      <c r="L478" t="n">
        <v>0</v>
      </c>
      <c r="M478" t="n">
        <v>0</v>
      </c>
      <c r="N478" t="n">
        <v>0</v>
      </c>
      <c r="O478" t="n">
        <v>0</v>
      </c>
      <c r="P478" t="n">
        <v>0</v>
      </c>
      <c r="Q478" t="n">
        <v>0</v>
      </c>
      <c r="R478" s="2" t="inlineStr"/>
    </row>
    <row r="479" ht="15" customHeight="1">
      <c r="A479" t="inlineStr">
        <is>
          <t>A 33815-2022</t>
        </is>
      </c>
      <c r="B479" s="1" t="n">
        <v>44790.45876157407</v>
      </c>
      <c r="C479" s="1" t="n">
        <v>46182</v>
      </c>
      <c r="D479" t="inlineStr">
        <is>
          <t>KALMAR LÄN</t>
        </is>
      </c>
      <c r="E479" t="inlineStr">
        <is>
          <t>VIMMERBY</t>
        </is>
      </c>
      <c r="G479" t="n">
        <v>0.9</v>
      </c>
      <c r="H479" t="n">
        <v>0</v>
      </c>
      <c r="I479" t="n">
        <v>0</v>
      </c>
      <c r="J479" t="n">
        <v>0</v>
      </c>
      <c r="K479" t="n">
        <v>0</v>
      </c>
      <c r="L479" t="n">
        <v>0</v>
      </c>
      <c r="M479" t="n">
        <v>0</v>
      </c>
      <c r="N479" t="n">
        <v>0</v>
      </c>
      <c r="O479" t="n">
        <v>0</v>
      </c>
      <c r="P479" t="n">
        <v>0</v>
      </c>
      <c r="Q479" t="n">
        <v>0</v>
      </c>
      <c r="R479" s="2" t="inlineStr"/>
    </row>
    <row r="480" ht="15" customHeight="1">
      <c r="A480" t="inlineStr">
        <is>
          <t>A 33842-2022</t>
        </is>
      </c>
      <c r="B480" s="1" t="n">
        <v>44790.49523148148</v>
      </c>
      <c r="C480" s="1" t="n">
        <v>46182</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57311-2023</t>
        </is>
      </c>
      <c r="B481" s="1" t="n">
        <v>45245.63574074074</v>
      </c>
      <c r="C481" s="1" t="n">
        <v>46182</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12588-2025</t>
        </is>
      </c>
      <c r="B482" s="1" t="n">
        <v>45732.76936342593</v>
      </c>
      <c r="C482" s="1" t="n">
        <v>46182</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7932-2025</t>
        </is>
      </c>
      <c r="B483" s="1" t="n">
        <v>45707.3793287037</v>
      </c>
      <c r="C483" s="1" t="n">
        <v>46182</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8595-2026</t>
        </is>
      </c>
      <c r="B484" s="1" t="n">
        <v>46065.7372337963</v>
      </c>
      <c r="C484" s="1" t="n">
        <v>46182</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49408-2023</t>
        </is>
      </c>
      <c r="B485" s="1" t="n">
        <v>45211.43555555555</v>
      </c>
      <c r="C485" s="1" t="n">
        <v>46182</v>
      </c>
      <c r="D485" t="inlineStr">
        <is>
          <t>KALMAR LÄN</t>
        </is>
      </c>
      <c r="E485" t="inlineStr">
        <is>
          <t>VIMMERBY</t>
        </is>
      </c>
      <c r="G485" t="n">
        <v>13.1</v>
      </c>
      <c r="H485" t="n">
        <v>0</v>
      </c>
      <c r="I485" t="n">
        <v>0</v>
      </c>
      <c r="J485" t="n">
        <v>0</v>
      </c>
      <c r="K485" t="n">
        <v>0</v>
      </c>
      <c r="L485" t="n">
        <v>0</v>
      </c>
      <c r="M485" t="n">
        <v>0</v>
      </c>
      <c r="N485" t="n">
        <v>0</v>
      </c>
      <c r="O485" t="n">
        <v>0</v>
      </c>
      <c r="P485" t="n">
        <v>0</v>
      </c>
      <c r="Q485" t="n">
        <v>0</v>
      </c>
      <c r="R485" s="2" t="inlineStr"/>
    </row>
    <row r="486" ht="15" customHeight="1">
      <c r="A486" t="inlineStr">
        <is>
          <t>A 56536-2022</t>
        </is>
      </c>
      <c r="B486" s="1" t="n">
        <v>44893</v>
      </c>
      <c r="C486" s="1" t="n">
        <v>46182</v>
      </c>
      <c r="D486" t="inlineStr">
        <is>
          <t>KALMAR LÄN</t>
        </is>
      </c>
      <c r="E486" t="inlineStr">
        <is>
          <t>VIMMERBY</t>
        </is>
      </c>
      <c r="G486" t="n">
        <v>3.2</v>
      </c>
      <c r="H486" t="n">
        <v>0</v>
      </c>
      <c r="I486" t="n">
        <v>0</v>
      </c>
      <c r="J486" t="n">
        <v>0</v>
      </c>
      <c r="K486" t="n">
        <v>0</v>
      </c>
      <c r="L486" t="n">
        <v>0</v>
      </c>
      <c r="M486" t="n">
        <v>0</v>
      </c>
      <c r="N486" t="n">
        <v>0</v>
      </c>
      <c r="O486" t="n">
        <v>0</v>
      </c>
      <c r="P486" t="n">
        <v>0</v>
      </c>
      <c r="Q486" t="n">
        <v>0</v>
      </c>
      <c r="R486" s="2" t="inlineStr"/>
    </row>
    <row r="487" ht="15" customHeight="1">
      <c r="A487" t="inlineStr">
        <is>
          <t>A 41199-2023</t>
        </is>
      </c>
      <c r="B487" s="1" t="n">
        <v>45174.40454861111</v>
      </c>
      <c r="C487" s="1" t="n">
        <v>46182</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2121-2022</t>
        </is>
      </c>
      <c r="B488" s="1" t="n">
        <v>44578.32717592592</v>
      </c>
      <c r="C488" s="1" t="n">
        <v>46182</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34386-2024</t>
        </is>
      </c>
      <c r="B489" s="1" t="n">
        <v>45525.41762731481</v>
      </c>
      <c r="C489" s="1" t="n">
        <v>46182</v>
      </c>
      <c r="D489" t="inlineStr">
        <is>
          <t>KALMAR LÄN</t>
        </is>
      </c>
      <c r="E489" t="inlineStr">
        <is>
          <t>VIMMERBY</t>
        </is>
      </c>
      <c r="G489" t="n">
        <v>0.3</v>
      </c>
      <c r="H489" t="n">
        <v>0</v>
      </c>
      <c r="I489" t="n">
        <v>0</v>
      </c>
      <c r="J489" t="n">
        <v>0</v>
      </c>
      <c r="K489" t="n">
        <v>0</v>
      </c>
      <c r="L489" t="n">
        <v>0</v>
      </c>
      <c r="M489" t="n">
        <v>0</v>
      </c>
      <c r="N489" t="n">
        <v>0</v>
      </c>
      <c r="O489" t="n">
        <v>0</v>
      </c>
      <c r="P489" t="n">
        <v>0</v>
      </c>
      <c r="Q489" t="n">
        <v>0</v>
      </c>
      <c r="R489" s="2" t="inlineStr"/>
    </row>
    <row r="490" ht="15" customHeight="1">
      <c r="A490" t="inlineStr">
        <is>
          <t>A 6069-2023</t>
        </is>
      </c>
      <c r="B490" s="1" t="n">
        <v>44964.5115162037</v>
      </c>
      <c r="C490" s="1" t="n">
        <v>46182</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57728-2025</t>
        </is>
      </c>
      <c r="B491" s="1" t="n">
        <v>45981</v>
      </c>
      <c r="C491" s="1" t="n">
        <v>46182</v>
      </c>
      <c r="D491" t="inlineStr">
        <is>
          <t>KALMAR LÄN</t>
        </is>
      </c>
      <c r="E491" t="inlineStr">
        <is>
          <t>VIMMERBY</t>
        </is>
      </c>
      <c r="G491" t="n">
        <v>0.8</v>
      </c>
      <c r="H491" t="n">
        <v>0</v>
      </c>
      <c r="I491" t="n">
        <v>0</v>
      </c>
      <c r="J491" t="n">
        <v>0</v>
      </c>
      <c r="K491" t="n">
        <v>0</v>
      </c>
      <c r="L491" t="n">
        <v>0</v>
      </c>
      <c r="M491" t="n">
        <v>0</v>
      </c>
      <c r="N491" t="n">
        <v>0</v>
      </c>
      <c r="O491" t="n">
        <v>0</v>
      </c>
      <c r="P491" t="n">
        <v>0</v>
      </c>
      <c r="Q491" t="n">
        <v>0</v>
      </c>
      <c r="R491" s="2" t="inlineStr"/>
    </row>
    <row r="492" ht="15" customHeight="1">
      <c r="A492" t="inlineStr">
        <is>
          <t>A 32633-2023</t>
        </is>
      </c>
      <c r="B492" s="1" t="n">
        <v>45121.58699074074</v>
      </c>
      <c r="C492" s="1" t="n">
        <v>46182</v>
      </c>
      <c r="D492" t="inlineStr">
        <is>
          <t>KALMAR LÄN</t>
        </is>
      </c>
      <c r="E492" t="inlineStr">
        <is>
          <t>VIMMERBY</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58503-2025</t>
        </is>
      </c>
      <c r="B493" s="1" t="n">
        <v>45985.69509259259</v>
      </c>
      <c r="C493" s="1" t="n">
        <v>46182</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49461-2023</t>
        </is>
      </c>
      <c r="B494" s="1" t="n">
        <v>45211.52642361111</v>
      </c>
      <c r="C494" s="1" t="n">
        <v>46182</v>
      </c>
      <c r="D494" t="inlineStr">
        <is>
          <t>KALMAR LÄN</t>
        </is>
      </c>
      <c r="E494" t="inlineStr">
        <is>
          <t>VIMMERBY</t>
        </is>
      </c>
      <c r="G494" t="n">
        <v>1.5</v>
      </c>
      <c r="H494" t="n">
        <v>0</v>
      </c>
      <c r="I494" t="n">
        <v>0</v>
      </c>
      <c r="J494" t="n">
        <v>0</v>
      </c>
      <c r="K494" t="n">
        <v>0</v>
      </c>
      <c r="L494" t="n">
        <v>0</v>
      </c>
      <c r="M494" t="n">
        <v>0</v>
      </c>
      <c r="N494" t="n">
        <v>0</v>
      </c>
      <c r="O494" t="n">
        <v>0</v>
      </c>
      <c r="P494" t="n">
        <v>0</v>
      </c>
      <c r="Q494" t="n">
        <v>0</v>
      </c>
      <c r="R494" s="2" t="inlineStr"/>
    </row>
    <row r="495" ht="15" customHeight="1">
      <c r="A495" t="inlineStr">
        <is>
          <t>A 58498-2025</t>
        </is>
      </c>
      <c r="B495" s="1" t="n">
        <v>45985.68671296296</v>
      </c>
      <c r="C495" s="1" t="n">
        <v>46182</v>
      </c>
      <c r="D495" t="inlineStr">
        <is>
          <t>KALMAR LÄN</t>
        </is>
      </c>
      <c r="E495" t="inlineStr">
        <is>
          <t>VIMMERBY</t>
        </is>
      </c>
      <c r="G495" t="n">
        <v>2.1</v>
      </c>
      <c r="H495" t="n">
        <v>0</v>
      </c>
      <c r="I495" t="n">
        <v>0</v>
      </c>
      <c r="J495" t="n">
        <v>0</v>
      </c>
      <c r="K495" t="n">
        <v>0</v>
      </c>
      <c r="L495" t="n">
        <v>0</v>
      </c>
      <c r="M495" t="n">
        <v>0</v>
      </c>
      <c r="N495" t="n">
        <v>0</v>
      </c>
      <c r="O495" t="n">
        <v>0</v>
      </c>
      <c r="P495" t="n">
        <v>0</v>
      </c>
      <c r="Q495" t="n">
        <v>0</v>
      </c>
      <c r="R495" s="2" t="inlineStr"/>
    </row>
    <row r="496" ht="15" customHeight="1">
      <c r="A496" t="inlineStr">
        <is>
          <t>A 58501-2025</t>
        </is>
      </c>
      <c r="B496" s="1" t="n">
        <v>45985.69153935185</v>
      </c>
      <c r="C496" s="1" t="n">
        <v>46182</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23095-2023</t>
        </is>
      </c>
      <c r="B497" s="1" t="n">
        <v>45075.43059027778</v>
      </c>
      <c r="C497" s="1" t="n">
        <v>46182</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11429-2022</t>
        </is>
      </c>
      <c r="B498" s="1" t="n">
        <v>44630</v>
      </c>
      <c r="C498" s="1" t="n">
        <v>46182</v>
      </c>
      <c r="D498" t="inlineStr">
        <is>
          <t>KALMAR LÄN</t>
        </is>
      </c>
      <c r="E498" t="inlineStr">
        <is>
          <t>VIMMERBY</t>
        </is>
      </c>
      <c r="G498" t="n">
        <v>2.6</v>
      </c>
      <c r="H498" t="n">
        <v>0</v>
      </c>
      <c r="I498" t="n">
        <v>0</v>
      </c>
      <c r="J498" t="n">
        <v>0</v>
      </c>
      <c r="K498" t="n">
        <v>0</v>
      </c>
      <c r="L498" t="n">
        <v>0</v>
      </c>
      <c r="M498" t="n">
        <v>0</v>
      </c>
      <c r="N498" t="n">
        <v>0</v>
      </c>
      <c r="O498" t="n">
        <v>0</v>
      </c>
      <c r="P498" t="n">
        <v>0</v>
      </c>
      <c r="Q498" t="n">
        <v>0</v>
      </c>
      <c r="R498" s="2" t="inlineStr"/>
    </row>
    <row r="499" ht="15" customHeight="1">
      <c r="A499" t="inlineStr">
        <is>
          <t>A 58446-2025</t>
        </is>
      </c>
      <c r="B499" s="1" t="n">
        <v>45985.62168981481</v>
      </c>
      <c r="C499" s="1" t="n">
        <v>46182</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11619-2023</t>
        </is>
      </c>
      <c r="B500" s="1" t="n">
        <v>44994.42113425926</v>
      </c>
      <c r="C500" s="1" t="n">
        <v>46182</v>
      </c>
      <c r="D500" t="inlineStr">
        <is>
          <t>KALMAR LÄN</t>
        </is>
      </c>
      <c r="E500" t="inlineStr">
        <is>
          <t>VIMMERBY</t>
        </is>
      </c>
      <c r="G500" t="n">
        <v>2.5</v>
      </c>
      <c r="H500" t="n">
        <v>0</v>
      </c>
      <c r="I500" t="n">
        <v>0</v>
      </c>
      <c r="J500" t="n">
        <v>0</v>
      </c>
      <c r="K500" t="n">
        <v>0</v>
      </c>
      <c r="L500" t="n">
        <v>0</v>
      </c>
      <c r="M500" t="n">
        <v>0</v>
      </c>
      <c r="N500" t="n">
        <v>0</v>
      </c>
      <c r="O500" t="n">
        <v>0</v>
      </c>
      <c r="P500" t="n">
        <v>0</v>
      </c>
      <c r="Q500" t="n">
        <v>0</v>
      </c>
      <c r="R500" s="2" t="inlineStr"/>
    </row>
    <row r="501" ht="15" customHeight="1">
      <c r="A501" t="inlineStr">
        <is>
          <t>A 11141-2024</t>
        </is>
      </c>
      <c r="B501" s="1" t="n">
        <v>45371.45865740741</v>
      </c>
      <c r="C501" s="1" t="n">
        <v>46182</v>
      </c>
      <c r="D501" t="inlineStr">
        <is>
          <t>KALMAR LÄN</t>
        </is>
      </c>
      <c r="E501" t="inlineStr">
        <is>
          <t>VIMMERBY</t>
        </is>
      </c>
      <c r="G501" t="n">
        <v>0.7</v>
      </c>
      <c r="H501" t="n">
        <v>0</v>
      </c>
      <c r="I501" t="n">
        <v>0</v>
      </c>
      <c r="J501" t="n">
        <v>0</v>
      </c>
      <c r="K501" t="n">
        <v>0</v>
      </c>
      <c r="L501" t="n">
        <v>0</v>
      </c>
      <c r="M501" t="n">
        <v>0</v>
      </c>
      <c r="N501" t="n">
        <v>0</v>
      </c>
      <c r="O501" t="n">
        <v>0</v>
      </c>
      <c r="P501" t="n">
        <v>0</v>
      </c>
      <c r="Q501" t="n">
        <v>0</v>
      </c>
      <c r="R501" s="2" t="inlineStr"/>
    </row>
    <row r="502" ht="15" customHeight="1">
      <c r="A502" t="inlineStr">
        <is>
          <t>A 58500-2025</t>
        </is>
      </c>
      <c r="B502" s="1" t="n">
        <v>45985.69008101852</v>
      </c>
      <c r="C502" s="1" t="n">
        <v>46182</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41896-2023</t>
        </is>
      </c>
      <c r="B503" s="1" t="n">
        <v>45176.72427083334</v>
      </c>
      <c r="C503" s="1" t="n">
        <v>46182</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28395-2023</t>
        </is>
      </c>
      <c r="B504" s="1" t="n">
        <v>45100.4062962963</v>
      </c>
      <c r="C504" s="1" t="n">
        <v>46182</v>
      </c>
      <c r="D504" t="inlineStr">
        <is>
          <t>KALMAR LÄN</t>
        </is>
      </c>
      <c r="E504" t="inlineStr">
        <is>
          <t>VIMMERBY</t>
        </is>
      </c>
      <c r="G504" t="n">
        <v>1.4</v>
      </c>
      <c r="H504" t="n">
        <v>0</v>
      </c>
      <c r="I504" t="n">
        <v>0</v>
      </c>
      <c r="J504" t="n">
        <v>0</v>
      </c>
      <c r="K504" t="n">
        <v>0</v>
      </c>
      <c r="L504" t="n">
        <v>0</v>
      </c>
      <c r="M504" t="n">
        <v>0</v>
      </c>
      <c r="N504" t="n">
        <v>0</v>
      </c>
      <c r="O504" t="n">
        <v>0</v>
      </c>
      <c r="P504" t="n">
        <v>0</v>
      </c>
      <c r="Q504" t="n">
        <v>0</v>
      </c>
      <c r="R504" s="2" t="inlineStr"/>
    </row>
    <row r="505" ht="15" customHeight="1">
      <c r="A505" t="inlineStr">
        <is>
          <t>A 34597-2022</t>
        </is>
      </c>
      <c r="B505" s="1" t="n">
        <v>44795</v>
      </c>
      <c r="C505" s="1" t="n">
        <v>46182</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58841-2025</t>
        </is>
      </c>
      <c r="B506" s="1" t="n">
        <v>45987.36275462963</v>
      </c>
      <c r="C506" s="1" t="n">
        <v>46182</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17926-2025</t>
        </is>
      </c>
      <c r="B507" s="1" t="n">
        <v>45759.38987268518</v>
      </c>
      <c r="C507" s="1" t="n">
        <v>46182</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58858-2025</t>
        </is>
      </c>
      <c r="B508" s="1" t="n">
        <v>45987.4243287037</v>
      </c>
      <c r="C508" s="1" t="n">
        <v>46182</v>
      </c>
      <c r="D508" t="inlineStr">
        <is>
          <t>KALMAR LÄN</t>
        </is>
      </c>
      <c r="E508" t="inlineStr">
        <is>
          <t>VIMMERBY</t>
        </is>
      </c>
      <c r="G508" t="n">
        <v>1.2</v>
      </c>
      <c r="H508" t="n">
        <v>0</v>
      </c>
      <c r="I508" t="n">
        <v>0</v>
      </c>
      <c r="J508" t="n">
        <v>0</v>
      </c>
      <c r="K508" t="n">
        <v>0</v>
      </c>
      <c r="L508" t="n">
        <v>0</v>
      </c>
      <c r="M508" t="n">
        <v>0</v>
      </c>
      <c r="N508" t="n">
        <v>0</v>
      </c>
      <c r="O508" t="n">
        <v>0</v>
      </c>
      <c r="P508" t="n">
        <v>0</v>
      </c>
      <c r="Q508" t="n">
        <v>0</v>
      </c>
      <c r="R508" s="2" t="inlineStr"/>
    </row>
    <row r="509" ht="15" customHeight="1">
      <c r="A509" t="inlineStr">
        <is>
          <t>A 21028-2023</t>
        </is>
      </c>
      <c r="B509" s="1" t="n">
        <v>45061</v>
      </c>
      <c r="C509" s="1" t="n">
        <v>46182</v>
      </c>
      <c r="D509" t="inlineStr">
        <is>
          <t>KALMAR LÄN</t>
        </is>
      </c>
      <c r="E509" t="inlineStr">
        <is>
          <t>VIMMERBY</t>
        </is>
      </c>
      <c r="F509" t="inlineStr">
        <is>
          <t>Övriga Aktiebolag</t>
        </is>
      </c>
      <c r="G509" t="n">
        <v>0.7</v>
      </c>
      <c r="H509" t="n">
        <v>0</v>
      </c>
      <c r="I509" t="n">
        <v>0</v>
      </c>
      <c r="J509" t="n">
        <v>0</v>
      </c>
      <c r="K509" t="n">
        <v>0</v>
      </c>
      <c r="L509" t="n">
        <v>0</v>
      </c>
      <c r="M509" t="n">
        <v>0</v>
      </c>
      <c r="N509" t="n">
        <v>0</v>
      </c>
      <c r="O509" t="n">
        <v>0</v>
      </c>
      <c r="P509" t="n">
        <v>0</v>
      </c>
      <c r="Q509" t="n">
        <v>0</v>
      </c>
      <c r="R509" s="2" t="inlineStr"/>
    </row>
    <row r="510" ht="15" customHeight="1">
      <c r="A510" t="inlineStr">
        <is>
          <t>A 64428-2023</t>
        </is>
      </c>
      <c r="B510" s="1" t="n">
        <v>45280.66769675926</v>
      </c>
      <c r="C510" s="1" t="n">
        <v>46182</v>
      </c>
      <c r="D510" t="inlineStr">
        <is>
          <t>KALMAR LÄN</t>
        </is>
      </c>
      <c r="E510" t="inlineStr">
        <is>
          <t>VIMMERBY</t>
        </is>
      </c>
      <c r="G510" t="n">
        <v>1.2</v>
      </c>
      <c r="H510" t="n">
        <v>0</v>
      </c>
      <c r="I510" t="n">
        <v>0</v>
      </c>
      <c r="J510" t="n">
        <v>0</v>
      </c>
      <c r="K510" t="n">
        <v>0</v>
      </c>
      <c r="L510" t="n">
        <v>0</v>
      </c>
      <c r="M510" t="n">
        <v>0</v>
      </c>
      <c r="N510" t="n">
        <v>0</v>
      </c>
      <c r="O510" t="n">
        <v>0</v>
      </c>
      <c r="P510" t="n">
        <v>0</v>
      </c>
      <c r="Q510" t="n">
        <v>0</v>
      </c>
      <c r="R510" s="2" t="inlineStr"/>
    </row>
    <row r="511" ht="15" customHeight="1">
      <c r="A511" t="inlineStr">
        <is>
          <t>A 30588-2023</t>
        </is>
      </c>
      <c r="B511" s="1" t="n">
        <v>45112.33599537037</v>
      </c>
      <c r="C511" s="1" t="n">
        <v>46182</v>
      </c>
      <c r="D511" t="inlineStr">
        <is>
          <t>KALMAR LÄN</t>
        </is>
      </c>
      <c r="E511" t="inlineStr">
        <is>
          <t>VIMMERBY</t>
        </is>
      </c>
      <c r="G511" t="n">
        <v>2.7</v>
      </c>
      <c r="H511" t="n">
        <v>0</v>
      </c>
      <c r="I511" t="n">
        <v>0</v>
      </c>
      <c r="J511" t="n">
        <v>0</v>
      </c>
      <c r="K511" t="n">
        <v>0</v>
      </c>
      <c r="L511" t="n">
        <v>0</v>
      </c>
      <c r="M511" t="n">
        <v>0</v>
      </c>
      <c r="N511" t="n">
        <v>0</v>
      </c>
      <c r="O511" t="n">
        <v>0</v>
      </c>
      <c r="P511" t="n">
        <v>0</v>
      </c>
      <c r="Q511" t="n">
        <v>0</v>
      </c>
      <c r="R511" s="2" t="inlineStr"/>
    </row>
    <row r="512" ht="15" customHeight="1">
      <c r="A512" t="inlineStr">
        <is>
          <t>A 30503-2023</t>
        </is>
      </c>
      <c r="B512" s="1" t="n">
        <v>45111</v>
      </c>
      <c r="C512" s="1" t="n">
        <v>46182</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59039-2025</t>
        </is>
      </c>
      <c r="B513" s="1" t="n">
        <v>45988.36790509259</v>
      </c>
      <c r="C513" s="1" t="n">
        <v>46182</v>
      </c>
      <c r="D513" t="inlineStr">
        <is>
          <t>KALMAR LÄN</t>
        </is>
      </c>
      <c r="E513" t="inlineStr">
        <is>
          <t>VIMMERBY</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59034-2025</t>
        </is>
      </c>
      <c r="B514" s="1" t="n">
        <v>45988.36243055556</v>
      </c>
      <c r="C514" s="1" t="n">
        <v>46182</v>
      </c>
      <c r="D514" t="inlineStr">
        <is>
          <t>KALMAR LÄN</t>
        </is>
      </c>
      <c r="E514" t="inlineStr">
        <is>
          <t>VIMMERBY</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59037-2025</t>
        </is>
      </c>
      <c r="B515" s="1" t="n">
        <v>45988.36508101852</v>
      </c>
      <c r="C515" s="1" t="n">
        <v>46182</v>
      </c>
      <c r="D515" t="inlineStr">
        <is>
          <t>KALMAR LÄN</t>
        </is>
      </c>
      <c r="E515" t="inlineStr">
        <is>
          <t>VIMMERBY</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27122-2023</t>
        </is>
      </c>
      <c r="B516" s="1" t="n">
        <v>45096.45247685185</v>
      </c>
      <c r="C516" s="1" t="n">
        <v>46182</v>
      </c>
      <c r="D516" t="inlineStr">
        <is>
          <t>KALMAR LÄN</t>
        </is>
      </c>
      <c r="E516" t="inlineStr">
        <is>
          <t>VIMMERBY</t>
        </is>
      </c>
      <c r="G516" t="n">
        <v>1.7</v>
      </c>
      <c r="H516" t="n">
        <v>0</v>
      </c>
      <c r="I516" t="n">
        <v>0</v>
      </c>
      <c r="J516" t="n">
        <v>0</v>
      </c>
      <c r="K516" t="n">
        <v>0</v>
      </c>
      <c r="L516" t="n">
        <v>0</v>
      </c>
      <c r="M516" t="n">
        <v>0</v>
      </c>
      <c r="N516" t="n">
        <v>0</v>
      </c>
      <c r="O516" t="n">
        <v>0</v>
      </c>
      <c r="P516" t="n">
        <v>0</v>
      </c>
      <c r="Q516" t="n">
        <v>0</v>
      </c>
      <c r="R516" s="2" t="inlineStr"/>
    </row>
    <row r="517" ht="15" customHeight="1">
      <c r="A517" t="inlineStr">
        <is>
          <t>A 13813-2024</t>
        </is>
      </c>
      <c r="B517" s="1" t="n">
        <v>45391.41310185185</v>
      </c>
      <c r="C517" s="1" t="n">
        <v>46182</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57486-2024</t>
        </is>
      </c>
      <c r="B518" s="1" t="n">
        <v>45630.35827546296</v>
      </c>
      <c r="C518" s="1" t="n">
        <v>46182</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43186-2021</t>
        </is>
      </c>
      <c r="B519" s="1" t="n">
        <v>44431.84840277778</v>
      </c>
      <c r="C519" s="1" t="n">
        <v>46182</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47263-2023</t>
        </is>
      </c>
      <c r="B520" s="1" t="n">
        <v>45202.4209837963</v>
      </c>
      <c r="C520" s="1" t="n">
        <v>46182</v>
      </c>
      <c r="D520" t="inlineStr">
        <is>
          <t>KALMAR LÄN</t>
        </is>
      </c>
      <c r="E520" t="inlineStr">
        <is>
          <t>VIMMERBY</t>
        </is>
      </c>
      <c r="G520" t="n">
        <v>1.8</v>
      </c>
      <c r="H520" t="n">
        <v>0</v>
      </c>
      <c r="I520" t="n">
        <v>0</v>
      </c>
      <c r="J520" t="n">
        <v>0</v>
      </c>
      <c r="K520" t="n">
        <v>0</v>
      </c>
      <c r="L520" t="n">
        <v>0</v>
      </c>
      <c r="M520" t="n">
        <v>0</v>
      </c>
      <c r="N520" t="n">
        <v>0</v>
      </c>
      <c r="O520" t="n">
        <v>0</v>
      </c>
      <c r="P520" t="n">
        <v>0</v>
      </c>
      <c r="Q520" t="n">
        <v>0</v>
      </c>
      <c r="R520" s="2" t="inlineStr"/>
    </row>
    <row r="521" ht="15" customHeight="1">
      <c r="A521" t="inlineStr">
        <is>
          <t>A 58100-2024</t>
        </is>
      </c>
      <c r="B521" s="1" t="n">
        <v>45632.36706018518</v>
      </c>
      <c r="C521" s="1" t="n">
        <v>46182</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30063-2023</t>
        </is>
      </c>
      <c r="B522" s="1" t="n">
        <v>45110.4184375</v>
      </c>
      <c r="C522" s="1" t="n">
        <v>46182</v>
      </c>
      <c r="D522" t="inlineStr">
        <is>
          <t>KALMAR LÄN</t>
        </is>
      </c>
      <c r="E522" t="inlineStr">
        <is>
          <t>VIMMERBY</t>
        </is>
      </c>
      <c r="G522" t="n">
        <v>1.2</v>
      </c>
      <c r="H522" t="n">
        <v>0</v>
      </c>
      <c r="I522" t="n">
        <v>0</v>
      </c>
      <c r="J522" t="n">
        <v>0</v>
      </c>
      <c r="K522" t="n">
        <v>0</v>
      </c>
      <c r="L522" t="n">
        <v>0</v>
      </c>
      <c r="M522" t="n">
        <v>0</v>
      </c>
      <c r="N522" t="n">
        <v>0</v>
      </c>
      <c r="O522" t="n">
        <v>0</v>
      </c>
      <c r="P522" t="n">
        <v>0</v>
      </c>
      <c r="Q522" t="n">
        <v>0</v>
      </c>
      <c r="R522" s="2" t="inlineStr"/>
    </row>
    <row r="523" ht="15" customHeight="1">
      <c r="A523" t="inlineStr">
        <is>
          <t>A 57114-2023</t>
        </is>
      </c>
      <c r="B523" s="1" t="n">
        <v>45245.36174768519</v>
      </c>
      <c r="C523" s="1" t="n">
        <v>46182</v>
      </c>
      <c r="D523" t="inlineStr">
        <is>
          <t>KALMAR LÄN</t>
        </is>
      </c>
      <c r="E523" t="inlineStr">
        <is>
          <t>VIMMERBY</t>
        </is>
      </c>
      <c r="G523" t="n">
        <v>1.5</v>
      </c>
      <c r="H523" t="n">
        <v>0</v>
      </c>
      <c r="I523" t="n">
        <v>0</v>
      </c>
      <c r="J523" t="n">
        <v>0</v>
      </c>
      <c r="K523" t="n">
        <v>0</v>
      </c>
      <c r="L523" t="n">
        <v>0</v>
      </c>
      <c r="M523" t="n">
        <v>0</v>
      </c>
      <c r="N523" t="n">
        <v>0</v>
      </c>
      <c r="O523" t="n">
        <v>0</v>
      </c>
      <c r="P523" t="n">
        <v>0</v>
      </c>
      <c r="Q523" t="n">
        <v>0</v>
      </c>
      <c r="R523" s="2" t="inlineStr"/>
    </row>
    <row r="524" ht="15" customHeight="1">
      <c r="A524" t="inlineStr">
        <is>
          <t>A 3423-2022</t>
        </is>
      </c>
      <c r="B524" s="1" t="n">
        <v>44585.50431712963</v>
      </c>
      <c r="C524" s="1" t="n">
        <v>46182</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43068-2023</t>
        </is>
      </c>
      <c r="B525" s="1" t="n">
        <v>45182.78834490741</v>
      </c>
      <c r="C525" s="1" t="n">
        <v>46182</v>
      </c>
      <c r="D525" t="inlineStr">
        <is>
          <t>KALMAR LÄN</t>
        </is>
      </c>
      <c r="E525" t="inlineStr">
        <is>
          <t>VIMMERBY</t>
        </is>
      </c>
      <c r="G525" t="n">
        <v>1.5</v>
      </c>
      <c r="H525" t="n">
        <v>0</v>
      </c>
      <c r="I525" t="n">
        <v>0</v>
      </c>
      <c r="J525" t="n">
        <v>0</v>
      </c>
      <c r="K525" t="n">
        <v>0</v>
      </c>
      <c r="L525" t="n">
        <v>0</v>
      </c>
      <c r="M525" t="n">
        <v>0</v>
      </c>
      <c r="N525" t="n">
        <v>0</v>
      </c>
      <c r="O525" t="n">
        <v>0</v>
      </c>
      <c r="P525" t="n">
        <v>0</v>
      </c>
      <c r="Q525" t="n">
        <v>0</v>
      </c>
      <c r="R525" s="2" t="inlineStr"/>
    </row>
    <row r="526" ht="15" customHeight="1">
      <c r="A526" t="inlineStr">
        <is>
          <t>A 40665-2023</t>
        </is>
      </c>
      <c r="B526" s="1" t="n">
        <v>45170</v>
      </c>
      <c r="C526" s="1" t="n">
        <v>46182</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11273-2026</t>
        </is>
      </c>
      <c r="B527" s="1" t="n">
        <v>46080.57634259259</v>
      </c>
      <c r="C527" s="1" t="n">
        <v>46182</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18020-2025</t>
        </is>
      </c>
      <c r="B528" s="1" t="n">
        <v>45761.4437962963</v>
      </c>
      <c r="C528" s="1" t="n">
        <v>46182</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33424-2023</t>
        </is>
      </c>
      <c r="B529" s="1" t="n">
        <v>45128.9325</v>
      </c>
      <c r="C529" s="1" t="n">
        <v>46182</v>
      </c>
      <c r="D529" t="inlineStr">
        <is>
          <t>KALMAR LÄN</t>
        </is>
      </c>
      <c r="E529" t="inlineStr">
        <is>
          <t>VIMMERBY</t>
        </is>
      </c>
      <c r="G529" t="n">
        <v>2.4</v>
      </c>
      <c r="H529" t="n">
        <v>0</v>
      </c>
      <c r="I529" t="n">
        <v>0</v>
      </c>
      <c r="J529" t="n">
        <v>0</v>
      </c>
      <c r="K529" t="n">
        <v>0</v>
      </c>
      <c r="L529" t="n">
        <v>0</v>
      </c>
      <c r="M529" t="n">
        <v>0</v>
      </c>
      <c r="N529" t="n">
        <v>0</v>
      </c>
      <c r="O529" t="n">
        <v>0</v>
      </c>
      <c r="P529" t="n">
        <v>0</v>
      </c>
      <c r="Q529" t="n">
        <v>0</v>
      </c>
      <c r="R529" s="2" t="inlineStr"/>
    </row>
    <row r="530" ht="15" customHeight="1">
      <c r="A530" t="inlineStr">
        <is>
          <t>A 33425-2023</t>
        </is>
      </c>
      <c r="B530" s="1" t="n">
        <v>45128.93540509259</v>
      </c>
      <c r="C530" s="1" t="n">
        <v>46182</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12327-2023</t>
        </is>
      </c>
      <c r="B531" s="1" t="n">
        <v>44999.36081018519</v>
      </c>
      <c r="C531" s="1" t="n">
        <v>46182</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52435-2021</t>
        </is>
      </c>
      <c r="B532" s="1" t="n">
        <v>44466.34962962963</v>
      </c>
      <c r="C532" s="1" t="n">
        <v>46182</v>
      </c>
      <c r="D532" t="inlineStr">
        <is>
          <t>KALMAR LÄN</t>
        </is>
      </c>
      <c r="E532" t="inlineStr">
        <is>
          <t>VIMMERBY</t>
        </is>
      </c>
      <c r="G532" t="n">
        <v>2.8</v>
      </c>
      <c r="H532" t="n">
        <v>0</v>
      </c>
      <c r="I532" t="n">
        <v>0</v>
      </c>
      <c r="J532" t="n">
        <v>0</v>
      </c>
      <c r="K532" t="n">
        <v>0</v>
      </c>
      <c r="L532" t="n">
        <v>0</v>
      </c>
      <c r="M532" t="n">
        <v>0</v>
      </c>
      <c r="N532" t="n">
        <v>0</v>
      </c>
      <c r="O532" t="n">
        <v>0</v>
      </c>
      <c r="P532" t="n">
        <v>0</v>
      </c>
      <c r="Q532" t="n">
        <v>0</v>
      </c>
      <c r="R532" s="2" t="inlineStr"/>
    </row>
    <row r="533" ht="15" customHeight="1">
      <c r="A533" t="inlineStr">
        <is>
          <t>A 60180-2025</t>
        </is>
      </c>
      <c r="B533" s="1" t="n">
        <v>45994.46428240741</v>
      </c>
      <c r="C533" s="1" t="n">
        <v>46182</v>
      </c>
      <c r="D533" t="inlineStr">
        <is>
          <t>KALMAR LÄN</t>
        </is>
      </c>
      <c r="E533" t="inlineStr">
        <is>
          <t>VIMMERBY</t>
        </is>
      </c>
      <c r="G533" t="n">
        <v>6.8</v>
      </c>
      <c r="H533" t="n">
        <v>0</v>
      </c>
      <c r="I533" t="n">
        <v>0</v>
      </c>
      <c r="J533" t="n">
        <v>0</v>
      </c>
      <c r="K533" t="n">
        <v>0</v>
      </c>
      <c r="L533" t="n">
        <v>0</v>
      </c>
      <c r="M533" t="n">
        <v>0</v>
      </c>
      <c r="N533" t="n">
        <v>0</v>
      </c>
      <c r="O533" t="n">
        <v>0</v>
      </c>
      <c r="P533" t="n">
        <v>0</v>
      </c>
      <c r="Q533" t="n">
        <v>0</v>
      </c>
      <c r="R533" s="2" t="inlineStr"/>
    </row>
    <row r="534" ht="15" customHeight="1">
      <c r="A534" t="inlineStr">
        <is>
          <t>A 11415-2026</t>
        </is>
      </c>
      <c r="B534" s="1" t="n">
        <v>46083</v>
      </c>
      <c r="C534" s="1" t="n">
        <v>46182</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11407-2026</t>
        </is>
      </c>
      <c r="B535" s="1" t="n">
        <v>46083</v>
      </c>
      <c r="C535" s="1" t="n">
        <v>46182</v>
      </c>
      <c r="D535" t="inlineStr">
        <is>
          <t>KALMAR LÄN</t>
        </is>
      </c>
      <c r="E535" t="inlineStr">
        <is>
          <t>VIMMERBY</t>
        </is>
      </c>
      <c r="G535" t="n">
        <v>2.3</v>
      </c>
      <c r="H535" t="n">
        <v>0</v>
      </c>
      <c r="I535" t="n">
        <v>0</v>
      </c>
      <c r="J535" t="n">
        <v>0</v>
      </c>
      <c r="K535" t="n">
        <v>0</v>
      </c>
      <c r="L535" t="n">
        <v>0</v>
      </c>
      <c r="M535" t="n">
        <v>0</v>
      </c>
      <c r="N535" t="n">
        <v>0</v>
      </c>
      <c r="O535" t="n">
        <v>0</v>
      </c>
      <c r="P535" t="n">
        <v>0</v>
      </c>
      <c r="Q535" t="n">
        <v>0</v>
      </c>
      <c r="R535" s="2" t="inlineStr"/>
    </row>
    <row r="536" ht="15" customHeight="1">
      <c r="A536" t="inlineStr">
        <is>
          <t>A 50860-2022</t>
        </is>
      </c>
      <c r="B536" s="1" t="n">
        <v>44867</v>
      </c>
      <c r="C536" s="1" t="n">
        <v>46182</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25370-2022</t>
        </is>
      </c>
      <c r="B537" s="1" t="n">
        <v>44732.3659837963</v>
      </c>
      <c r="C537" s="1" t="n">
        <v>46182</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60297-2025</t>
        </is>
      </c>
      <c r="B538" s="1" t="n">
        <v>45994</v>
      </c>
      <c r="C538" s="1" t="n">
        <v>46182</v>
      </c>
      <c r="D538" t="inlineStr">
        <is>
          <t>KALMAR LÄN</t>
        </is>
      </c>
      <c r="E538" t="inlineStr">
        <is>
          <t>VIMMERBY</t>
        </is>
      </c>
      <c r="G538" t="n">
        <v>4.2</v>
      </c>
      <c r="H538" t="n">
        <v>0</v>
      </c>
      <c r="I538" t="n">
        <v>0</v>
      </c>
      <c r="J538" t="n">
        <v>0</v>
      </c>
      <c r="K538" t="n">
        <v>0</v>
      </c>
      <c r="L538" t="n">
        <v>0</v>
      </c>
      <c r="M538" t="n">
        <v>0</v>
      </c>
      <c r="N538" t="n">
        <v>0</v>
      </c>
      <c r="O538" t="n">
        <v>0</v>
      </c>
      <c r="P538" t="n">
        <v>0</v>
      </c>
      <c r="Q538" t="n">
        <v>0</v>
      </c>
      <c r="R538" s="2" t="inlineStr"/>
    </row>
    <row r="539" ht="15" customHeight="1">
      <c r="A539" t="inlineStr">
        <is>
          <t>A 58577-2024</t>
        </is>
      </c>
      <c r="B539" s="1" t="n">
        <v>45635.4874537037</v>
      </c>
      <c r="C539" s="1" t="n">
        <v>46182</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29440-2024</t>
        </is>
      </c>
      <c r="B540" s="1" t="n">
        <v>45483.82479166667</v>
      </c>
      <c r="C540" s="1" t="n">
        <v>46182</v>
      </c>
      <c r="D540" t="inlineStr">
        <is>
          <t>KALMAR LÄN</t>
        </is>
      </c>
      <c r="E540" t="inlineStr">
        <is>
          <t>VIMMERBY</t>
        </is>
      </c>
      <c r="G540" t="n">
        <v>4.5</v>
      </c>
      <c r="H540" t="n">
        <v>0</v>
      </c>
      <c r="I540" t="n">
        <v>0</v>
      </c>
      <c r="J540" t="n">
        <v>0</v>
      </c>
      <c r="K540" t="n">
        <v>0</v>
      </c>
      <c r="L540" t="n">
        <v>0</v>
      </c>
      <c r="M540" t="n">
        <v>0</v>
      </c>
      <c r="N540" t="n">
        <v>0</v>
      </c>
      <c r="O540" t="n">
        <v>0</v>
      </c>
      <c r="P540" t="n">
        <v>0</v>
      </c>
      <c r="Q540" t="n">
        <v>0</v>
      </c>
      <c r="R540" s="2" t="inlineStr"/>
    </row>
    <row r="541" ht="15" customHeight="1">
      <c r="A541" t="inlineStr">
        <is>
          <t>A 35127-2024</t>
        </is>
      </c>
      <c r="B541" s="1" t="n">
        <v>45530.33202546297</v>
      </c>
      <c r="C541" s="1" t="n">
        <v>46182</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29441-2024</t>
        </is>
      </c>
      <c r="B542" s="1" t="n">
        <v>45483.82834490741</v>
      </c>
      <c r="C542" s="1" t="n">
        <v>46182</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9129-2025</t>
        </is>
      </c>
      <c r="B543" s="1" t="n">
        <v>45713.92412037037</v>
      </c>
      <c r="C543" s="1" t="n">
        <v>46182</v>
      </c>
      <c r="D543" t="inlineStr">
        <is>
          <t>KALMAR LÄN</t>
        </is>
      </c>
      <c r="E543" t="inlineStr">
        <is>
          <t>VIMMERBY</t>
        </is>
      </c>
      <c r="G543" t="n">
        <v>2.8</v>
      </c>
      <c r="H543" t="n">
        <v>0</v>
      </c>
      <c r="I543" t="n">
        <v>0</v>
      </c>
      <c r="J543" t="n">
        <v>0</v>
      </c>
      <c r="K543" t="n">
        <v>0</v>
      </c>
      <c r="L543" t="n">
        <v>0</v>
      </c>
      <c r="M543" t="n">
        <v>0</v>
      </c>
      <c r="N543" t="n">
        <v>0</v>
      </c>
      <c r="O543" t="n">
        <v>0</v>
      </c>
      <c r="P543" t="n">
        <v>0</v>
      </c>
      <c r="Q543" t="n">
        <v>0</v>
      </c>
      <c r="R543" s="2" t="inlineStr"/>
    </row>
    <row r="544" ht="15" customHeight="1">
      <c r="A544" t="inlineStr">
        <is>
          <t>A 53752-2024</t>
        </is>
      </c>
      <c r="B544" s="1" t="n">
        <v>45615.48927083334</v>
      </c>
      <c r="C544" s="1" t="n">
        <v>46182</v>
      </c>
      <c r="D544" t="inlineStr">
        <is>
          <t>KALMAR LÄN</t>
        </is>
      </c>
      <c r="E544" t="inlineStr">
        <is>
          <t>VIMMERBY</t>
        </is>
      </c>
      <c r="G544" t="n">
        <v>2.4</v>
      </c>
      <c r="H544" t="n">
        <v>0</v>
      </c>
      <c r="I544" t="n">
        <v>0</v>
      </c>
      <c r="J544" t="n">
        <v>0</v>
      </c>
      <c r="K544" t="n">
        <v>0</v>
      </c>
      <c r="L544" t="n">
        <v>0</v>
      </c>
      <c r="M544" t="n">
        <v>0</v>
      </c>
      <c r="N544" t="n">
        <v>0</v>
      </c>
      <c r="O544" t="n">
        <v>0</v>
      </c>
      <c r="P544" t="n">
        <v>0</v>
      </c>
      <c r="Q544" t="n">
        <v>0</v>
      </c>
      <c r="R544" s="2" t="inlineStr"/>
    </row>
    <row r="545" ht="15" customHeight="1">
      <c r="A545" t="inlineStr">
        <is>
          <t>A 62779-2023</t>
        </is>
      </c>
      <c r="B545" s="1" t="n">
        <v>45271.66576388889</v>
      </c>
      <c r="C545" s="1" t="n">
        <v>46182</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31013-2023</t>
        </is>
      </c>
      <c r="B546" s="1" t="n">
        <v>45113.56574074074</v>
      </c>
      <c r="C546" s="1" t="n">
        <v>46182</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46182</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61538-2022</t>
        </is>
      </c>
      <c r="B548" s="1" t="n">
        <v>44916.55414351852</v>
      </c>
      <c r="C548" s="1" t="n">
        <v>46182</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9710-2023</t>
        </is>
      </c>
      <c r="B549" s="1" t="n">
        <v>44984</v>
      </c>
      <c r="C549" s="1" t="n">
        <v>46182</v>
      </c>
      <c r="D549" t="inlineStr">
        <is>
          <t>KALMAR LÄN</t>
        </is>
      </c>
      <c r="E549" t="inlineStr">
        <is>
          <t>VIMMERBY</t>
        </is>
      </c>
      <c r="G549" t="n">
        <v>3.7</v>
      </c>
      <c r="H549" t="n">
        <v>0</v>
      </c>
      <c r="I549" t="n">
        <v>0</v>
      </c>
      <c r="J549" t="n">
        <v>0</v>
      </c>
      <c r="K549" t="n">
        <v>0</v>
      </c>
      <c r="L549" t="n">
        <v>0</v>
      </c>
      <c r="M549" t="n">
        <v>0</v>
      </c>
      <c r="N549" t="n">
        <v>0</v>
      </c>
      <c r="O549" t="n">
        <v>0</v>
      </c>
      <c r="P549" t="n">
        <v>0</v>
      </c>
      <c r="Q549" t="n">
        <v>0</v>
      </c>
      <c r="R549" s="2" t="inlineStr"/>
    </row>
    <row r="550" ht="15" customHeight="1">
      <c r="A550" t="inlineStr">
        <is>
          <t>A 9720-2023</t>
        </is>
      </c>
      <c r="B550" s="1" t="n">
        <v>44984</v>
      </c>
      <c r="C550" s="1" t="n">
        <v>46182</v>
      </c>
      <c r="D550" t="inlineStr">
        <is>
          <t>KALMAR LÄN</t>
        </is>
      </c>
      <c r="E550" t="inlineStr">
        <is>
          <t>VIMMERBY</t>
        </is>
      </c>
      <c r="G550" t="n">
        <v>4.4</v>
      </c>
      <c r="H550" t="n">
        <v>0</v>
      </c>
      <c r="I550" t="n">
        <v>0</v>
      </c>
      <c r="J550" t="n">
        <v>0</v>
      </c>
      <c r="K550" t="n">
        <v>0</v>
      </c>
      <c r="L550" t="n">
        <v>0</v>
      </c>
      <c r="M550" t="n">
        <v>0</v>
      </c>
      <c r="N550" t="n">
        <v>0</v>
      </c>
      <c r="O550" t="n">
        <v>0</v>
      </c>
      <c r="P550" t="n">
        <v>0</v>
      </c>
      <c r="Q550" t="n">
        <v>0</v>
      </c>
      <c r="R550" s="2" t="inlineStr"/>
    </row>
    <row r="551" ht="15" customHeight="1">
      <c r="A551" t="inlineStr">
        <is>
          <t>A 12730-2026</t>
        </is>
      </c>
      <c r="B551" s="1" t="n">
        <v>46091</v>
      </c>
      <c r="C551" s="1" t="n">
        <v>46182</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12820-2026</t>
        </is>
      </c>
      <c r="B552" s="1" t="n">
        <v>46092.40909722223</v>
      </c>
      <c r="C552" s="1" t="n">
        <v>46182</v>
      </c>
      <c r="D552" t="inlineStr">
        <is>
          <t>KALMAR LÄN</t>
        </is>
      </c>
      <c r="E552" t="inlineStr">
        <is>
          <t>VIMMERBY</t>
        </is>
      </c>
      <c r="G552" t="n">
        <v>4.3</v>
      </c>
      <c r="H552" t="n">
        <v>0</v>
      </c>
      <c r="I552" t="n">
        <v>0</v>
      </c>
      <c r="J552" t="n">
        <v>0</v>
      </c>
      <c r="K552" t="n">
        <v>0</v>
      </c>
      <c r="L552" t="n">
        <v>0</v>
      </c>
      <c r="M552" t="n">
        <v>0</v>
      </c>
      <c r="N552" t="n">
        <v>0</v>
      </c>
      <c r="O552" t="n">
        <v>0</v>
      </c>
      <c r="P552" t="n">
        <v>0</v>
      </c>
      <c r="Q552" t="n">
        <v>0</v>
      </c>
      <c r="R552" s="2" t="inlineStr"/>
    </row>
    <row r="553" ht="15" customHeight="1">
      <c r="A553" t="inlineStr">
        <is>
          <t>A 12821-2026</t>
        </is>
      </c>
      <c r="B553" s="1" t="n">
        <v>46092.41256944444</v>
      </c>
      <c r="C553" s="1" t="n">
        <v>46182</v>
      </c>
      <c r="D553" t="inlineStr">
        <is>
          <t>KALMAR LÄN</t>
        </is>
      </c>
      <c r="E553" t="inlineStr">
        <is>
          <t>VIMMERBY</t>
        </is>
      </c>
      <c r="G553" t="n">
        <v>2.5</v>
      </c>
      <c r="H553" t="n">
        <v>0</v>
      </c>
      <c r="I553" t="n">
        <v>0</v>
      </c>
      <c r="J553" t="n">
        <v>0</v>
      </c>
      <c r="K553" t="n">
        <v>0</v>
      </c>
      <c r="L553" t="n">
        <v>0</v>
      </c>
      <c r="M553" t="n">
        <v>0</v>
      </c>
      <c r="N553" t="n">
        <v>0</v>
      </c>
      <c r="O553" t="n">
        <v>0</v>
      </c>
      <c r="P553" t="n">
        <v>0</v>
      </c>
      <c r="Q553" t="n">
        <v>0</v>
      </c>
      <c r="R553" s="2" t="inlineStr"/>
    </row>
    <row r="554" ht="15" customHeight="1">
      <c r="A554" t="inlineStr">
        <is>
          <t>A 12825-2026</t>
        </is>
      </c>
      <c r="B554" s="1" t="n">
        <v>46092.41561342592</v>
      </c>
      <c r="C554" s="1" t="n">
        <v>46182</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36155-2023</t>
        </is>
      </c>
      <c r="B555" s="1" t="n">
        <v>45149.60917824074</v>
      </c>
      <c r="C555" s="1" t="n">
        <v>46182</v>
      </c>
      <c r="D555" t="inlineStr">
        <is>
          <t>KALMAR LÄN</t>
        </is>
      </c>
      <c r="E555" t="inlineStr">
        <is>
          <t>VIMMERBY</t>
        </is>
      </c>
      <c r="G555" t="n">
        <v>5</v>
      </c>
      <c r="H555" t="n">
        <v>0</v>
      </c>
      <c r="I555" t="n">
        <v>0</v>
      </c>
      <c r="J555" t="n">
        <v>0</v>
      </c>
      <c r="K555" t="n">
        <v>0</v>
      </c>
      <c r="L555" t="n">
        <v>0</v>
      </c>
      <c r="M555" t="n">
        <v>0</v>
      </c>
      <c r="N555" t="n">
        <v>0</v>
      </c>
      <c r="O555" t="n">
        <v>0</v>
      </c>
      <c r="P555" t="n">
        <v>0</v>
      </c>
      <c r="Q555" t="n">
        <v>0</v>
      </c>
      <c r="R555" s="2" t="inlineStr"/>
    </row>
    <row r="556" ht="15" customHeight="1">
      <c r="A556" t="inlineStr">
        <is>
          <t>A 61725-2025</t>
        </is>
      </c>
      <c r="B556" s="1" t="n">
        <v>46002.58680555555</v>
      </c>
      <c r="C556" s="1" t="n">
        <v>46182</v>
      </c>
      <c r="D556" t="inlineStr">
        <is>
          <t>KALMAR LÄN</t>
        </is>
      </c>
      <c r="E556" t="inlineStr">
        <is>
          <t>VIMMERBY</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61790-2025</t>
        </is>
      </c>
      <c r="B557" s="1" t="n">
        <v>46002.68768518518</v>
      </c>
      <c r="C557" s="1" t="n">
        <v>46182</v>
      </c>
      <c r="D557" t="inlineStr">
        <is>
          <t>KALMAR LÄN</t>
        </is>
      </c>
      <c r="E557" t="inlineStr">
        <is>
          <t>VIMMERBY</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61726-2025</t>
        </is>
      </c>
      <c r="B558" s="1" t="n">
        <v>46002.58822916666</v>
      </c>
      <c r="C558" s="1" t="n">
        <v>46182</v>
      </c>
      <c r="D558" t="inlineStr">
        <is>
          <t>KALMAR LÄN</t>
        </is>
      </c>
      <c r="E558" t="inlineStr">
        <is>
          <t>VIMMERBY</t>
        </is>
      </c>
      <c r="F558" t="inlineStr">
        <is>
          <t>Sveaskog</t>
        </is>
      </c>
      <c r="G558" t="n">
        <v>0.2</v>
      </c>
      <c r="H558" t="n">
        <v>0</v>
      </c>
      <c r="I558" t="n">
        <v>0</v>
      </c>
      <c r="J558" t="n">
        <v>0</v>
      </c>
      <c r="K558" t="n">
        <v>0</v>
      </c>
      <c r="L558" t="n">
        <v>0</v>
      </c>
      <c r="M558" t="n">
        <v>0</v>
      </c>
      <c r="N558" t="n">
        <v>0</v>
      </c>
      <c r="O558" t="n">
        <v>0</v>
      </c>
      <c r="P558" t="n">
        <v>0</v>
      </c>
      <c r="Q558" t="n">
        <v>0</v>
      </c>
      <c r="R558" s="2" t="inlineStr"/>
    </row>
    <row r="559" ht="15" customHeight="1">
      <c r="A559" t="inlineStr">
        <is>
          <t>A 15493-2023</t>
        </is>
      </c>
      <c r="B559" s="1" t="n">
        <v>45018</v>
      </c>
      <c r="C559" s="1" t="n">
        <v>46182</v>
      </c>
      <c r="D559" t="inlineStr">
        <is>
          <t>KALMAR LÄN</t>
        </is>
      </c>
      <c r="E559" t="inlineStr">
        <is>
          <t>VIMMERBY</t>
        </is>
      </c>
      <c r="G559" t="n">
        <v>1</v>
      </c>
      <c r="H559" t="n">
        <v>0</v>
      </c>
      <c r="I559" t="n">
        <v>0</v>
      </c>
      <c r="J559" t="n">
        <v>0</v>
      </c>
      <c r="K559" t="n">
        <v>0</v>
      </c>
      <c r="L559" t="n">
        <v>0</v>
      </c>
      <c r="M559" t="n">
        <v>0</v>
      </c>
      <c r="N559" t="n">
        <v>0</v>
      </c>
      <c r="O559" t="n">
        <v>0</v>
      </c>
      <c r="P559" t="n">
        <v>0</v>
      </c>
      <c r="Q559" t="n">
        <v>0</v>
      </c>
      <c r="R559" s="2" t="inlineStr"/>
    </row>
    <row r="560" ht="15" customHeight="1">
      <c r="A560" t="inlineStr">
        <is>
          <t>A 29173-2024</t>
        </is>
      </c>
      <c r="B560" s="1" t="n">
        <v>45482.52887731481</v>
      </c>
      <c r="C560" s="1" t="n">
        <v>46182</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53542-2022</t>
        </is>
      </c>
      <c r="B561" s="1" t="n">
        <v>44879.62173611111</v>
      </c>
      <c r="C561" s="1" t="n">
        <v>46182</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29093-2023</t>
        </is>
      </c>
      <c r="B562" s="1" t="n">
        <v>45105</v>
      </c>
      <c r="C562" s="1" t="n">
        <v>46182</v>
      </c>
      <c r="D562" t="inlineStr">
        <is>
          <t>KALMAR LÄN</t>
        </is>
      </c>
      <c r="E562" t="inlineStr">
        <is>
          <t>VIMMERBY</t>
        </is>
      </c>
      <c r="G562" t="n">
        <v>2.9</v>
      </c>
      <c r="H562" t="n">
        <v>0</v>
      </c>
      <c r="I562" t="n">
        <v>0</v>
      </c>
      <c r="J562" t="n">
        <v>0</v>
      </c>
      <c r="K562" t="n">
        <v>0</v>
      </c>
      <c r="L562" t="n">
        <v>0</v>
      </c>
      <c r="M562" t="n">
        <v>0</v>
      </c>
      <c r="N562" t="n">
        <v>0</v>
      </c>
      <c r="O562" t="n">
        <v>0</v>
      </c>
      <c r="P562" t="n">
        <v>0</v>
      </c>
      <c r="Q562" t="n">
        <v>0</v>
      </c>
      <c r="R562" s="2" t="inlineStr"/>
    </row>
    <row r="563" ht="15" customHeight="1">
      <c r="A563" t="inlineStr">
        <is>
          <t>A 33352-2022</t>
        </is>
      </c>
      <c r="B563" s="1" t="n">
        <v>44788</v>
      </c>
      <c r="C563" s="1" t="n">
        <v>46182</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6807-2025</t>
        </is>
      </c>
      <c r="B564" s="1" t="n">
        <v>45700.68672453704</v>
      </c>
      <c r="C564" s="1" t="n">
        <v>46182</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13667-2026</t>
        </is>
      </c>
      <c r="B565" s="1" t="n">
        <v>46097</v>
      </c>
      <c r="C565" s="1" t="n">
        <v>46182</v>
      </c>
      <c r="D565" t="inlineStr">
        <is>
          <t>KALMAR LÄN</t>
        </is>
      </c>
      <c r="E565" t="inlineStr">
        <is>
          <t>VIMMERBY</t>
        </is>
      </c>
      <c r="G565" t="n">
        <v>6.8</v>
      </c>
      <c r="H565" t="n">
        <v>0</v>
      </c>
      <c r="I565" t="n">
        <v>0</v>
      </c>
      <c r="J565" t="n">
        <v>0</v>
      </c>
      <c r="K565" t="n">
        <v>0</v>
      </c>
      <c r="L565" t="n">
        <v>0</v>
      </c>
      <c r="M565" t="n">
        <v>0</v>
      </c>
      <c r="N565" t="n">
        <v>0</v>
      </c>
      <c r="O565" t="n">
        <v>0</v>
      </c>
      <c r="P565" t="n">
        <v>0</v>
      </c>
      <c r="Q565" t="n">
        <v>0</v>
      </c>
      <c r="R565" s="2" t="inlineStr"/>
    </row>
    <row r="566" ht="15" customHeight="1">
      <c r="A566" t="inlineStr">
        <is>
          <t>A 7047-2022</t>
        </is>
      </c>
      <c r="B566" s="1" t="n">
        <v>44603</v>
      </c>
      <c r="C566" s="1" t="n">
        <v>46182</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22264-2023</t>
        </is>
      </c>
      <c r="B567" s="1" t="n">
        <v>45070.3665625</v>
      </c>
      <c r="C567" s="1" t="n">
        <v>46182</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13793-2026</t>
        </is>
      </c>
      <c r="B568" s="1" t="n">
        <v>46097.79199074074</v>
      </c>
      <c r="C568" s="1" t="n">
        <v>46182</v>
      </c>
      <c r="D568" t="inlineStr">
        <is>
          <t>KALMAR LÄN</t>
        </is>
      </c>
      <c r="E568" t="inlineStr">
        <is>
          <t>VIMMERBY</t>
        </is>
      </c>
      <c r="G568" t="n">
        <v>2.9</v>
      </c>
      <c r="H568" t="n">
        <v>0</v>
      </c>
      <c r="I568" t="n">
        <v>0</v>
      </c>
      <c r="J568" t="n">
        <v>0</v>
      </c>
      <c r="K568" t="n">
        <v>0</v>
      </c>
      <c r="L568" t="n">
        <v>0</v>
      </c>
      <c r="M568" t="n">
        <v>0</v>
      </c>
      <c r="N568" t="n">
        <v>0</v>
      </c>
      <c r="O568" t="n">
        <v>0</v>
      </c>
      <c r="P568" t="n">
        <v>0</v>
      </c>
      <c r="Q568" t="n">
        <v>0</v>
      </c>
      <c r="R568" s="2" t="inlineStr"/>
    </row>
    <row r="569" ht="15" customHeight="1">
      <c r="A569" t="inlineStr">
        <is>
          <t>A 16676-2023</t>
        </is>
      </c>
      <c r="B569" s="1" t="n">
        <v>45028</v>
      </c>
      <c r="C569" s="1" t="n">
        <v>46182</v>
      </c>
      <c r="D569" t="inlineStr">
        <is>
          <t>KALMAR LÄN</t>
        </is>
      </c>
      <c r="E569" t="inlineStr">
        <is>
          <t>VIMMERBY</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35711-2023</t>
        </is>
      </c>
      <c r="B570" s="1" t="n">
        <v>45147.67172453704</v>
      </c>
      <c r="C570" s="1" t="n">
        <v>46182</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5382-2023</t>
        </is>
      </c>
      <c r="B571" s="1" t="n">
        <v>44959.66407407408</v>
      </c>
      <c r="C571" s="1" t="n">
        <v>46182</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24096-2024</t>
        </is>
      </c>
      <c r="B572" s="1" t="n">
        <v>45456.59289351852</v>
      </c>
      <c r="C572" s="1" t="n">
        <v>46182</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40823-2023</t>
        </is>
      </c>
      <c r="B573" s="1" t="n">
        <v>45171.77335648148</v>
      </c>
      <c r="C573" s="1" t="n">
        <v>46182</v>
      </c>
      <c r="D573" t="inlineStr">
        <is>
          <t>KALMAR LÄN</t>
        </is>
      </c>
      <c r="E573" t="inlineStr">
        <is>
          <t>VIMMERBY</t>
        </is>
      </c>
      <c r="G573" t="n">
        <v>2.7</v>
      </c>
      <c r="H573" t="n">
        <v>0</v>
      </c>
      <c r="I573" t="n">
        <v>0</v>
      </c>
      <c r="J573" t="n">
        <v>0</v>
      </c>
      <c r="K573" t="n">
        <v>0</v>
      </c>
      <c r="L573" t="n">
        <v>0</v>
      </c>
      <c r="M573" t="n">
        <v>0</v>
      </c>
      <c r="N573" t="n">
        <v>0</v>
      </c>
      <c r="O573" t="n">
        <v>0</v>
      </c>
      <c r="P573" t="n">
        <v>0</v>
      </c>
      <c r="Q573" t="n">
        <v>0</v>
      </c>
      <c r="R573" s="2" t="inlineStr"/>
    </row>
    <row r="574" ht="15" customHeight="1">
      <c r="A574" t="inlineStr">
        <is>
          <t>A 29013-2024</t>
        </is>
      </c>
      <c r="B574" s="1" t="n">
        <v>45481.55984953704</v>
      </c>
      <c r="C574" s="1" t="n">
        <v>46182</v>
      </c>
      <c r="D574" t="inlineStr">
        <is>
          <t>KALMAR LÄN</t>
        </is>
      </c>
      <c r="E574" t="inlineStr">
        <is>
          <t>VIMMERBY</t>
        </is>
      </c>
      <c r="G574" t="n">
        <v>3.4</v>
      </c>
      <c r="H574" t="n">
        <v>0</v>
      </c>
      <c r="I574" t="n">
        <v>0</v>
      </c>
      <c r="J574" t="n">
        <v>0</v>
      </c>
      <c r="K574" t="n">
        <v>0</v>
      </c>
      <c r="L574" t="n">
        <v>0</v>
      </c>
      <c r="M574" t="n">
        <v>0</v>
      </c>
      <c r="N574" t="n">
        <v>0</v>
      </c>
      <c r="O574" t="n">
        <v>0</v>
      </c>
      <c r="P574" t="n">
        <v>0</v>
      </c>
      <c r="Q574" t="n">
        <v>0</v>
      </c>
      <c r="R574" s="2" t="inlineStr"/>
    </row>
    <row r="575" ht="15" customHeight="1">
      <c r="A575" t="inlineStr">
        <is>
          <t>A 6066-2023</t>
        </is>
      </c>
      <c r="B575" s="1" t="n">
        <v>44964.50894675926</v>
      </c>
      <c r="C575" s="1" t="n">
        <v>46182</v>
      </c>
      <c r="D575" t="inlineStr">
        <is>
          <t>KALMAR LÄN</t>
        </is>
      </c>
      <c r="E575" t="inlineStr">
        <is>
          <t>VIMMERBY</t>
        </is>
      </c>
      <c r="G575" t="n">
        <v>2.8</v>
      </c>
      <c r="H575" t="n">
        <v>0</v>
      </c>
      <c r="I575" t="n">
        <v>0</v>
      </c>
      <c r="J575" t="n">
        <v>0</v>
      </c>
      <c r="K575" t="n">
        <v>0</v>
      </c>
      <c r="L575" t="n">
        <v>0</v>
      </c>
      <c r="M575" t="n">
        <v>0</v>
      </c>
      <c r="N575" t="n">
        <v>0</v>
      </c>
      <c r="O575" t="n">
        <v>0</v>
      </c>
      <c r="P575" t="n">
        <v>0</v>
      </c>
      <c r="Q575" t="n">
        <v>0</v>
      </c>
      <c r="R575" s="2" t="inlineStr"/>
    </row>
    <row r="576" ht="15" customHeight="1">
      <c r="A576" t="inlineStr">
        <is>
          <t>A 59955-2023</t>
        </is>
      </c>
      <c r="B576" s="1" t="n">
        <v>45257.70313657408</v>
      </c>
      <c r="C576" s="1" t="n">
        <v>46182</v>
      </c>
      <c r="D576" t="inlineStr">
        <is>
          <t>KALMAR LÄN</t>
        </is>
      </c>
      <c r="E576" t="inlineStr">
        <is>
          <t>VIMMERBY</t>
        </is>
      </c>
      <c r="G576" t="n">
        <v>13.8</v>
      </c>
      <c r="H576" t="n">
        <v>0</v>
      </c>
      <c r="I576" t="n">
        <v>0</v>
      </c>
      <c r="J576" t="n">
        <v>0</v>
      </c>
      <c r="K576" t="n">
        <v>0</v>
      </c>
      <c r="L576" t="n">
        <v>0</v>
      </c>
      <c r="M576" t="n">
        <v>0</v>
      </c>
      <c r="N576" t="n">
        <v>0</v>
      </c>
      <c r="O576" t="n">
        <v>0</v>
      </c>
      <c r="P576" t="n">
        <v>0</v>
      </c>
      <c r="Q576" t="n">
        <v>0</v>
      </c>
      <c r="R576" s="2" t="inlineStr"/>
    </row>
    <row r="577" ht="15" customHeight="1">
      <c r="A577" t="inlineStr">
        <is>
          <t>A 14318-2026</t>
        </is>
      </c>
      <c r="B577" s="1" t="n">
        <v>46099.87961805556</v>
      </c>
      <c r="C577" s="1" t="n">
        <v>46182</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30920-2023</t>
        </is>
      </c>
      <c r="B578" s="1" t="n">
        <v>45113.43921296296</v>
      </c>
      <c r="C578" s="1" t="n">
        <v>46182</v>
      </c>
      <c r="D578" t="inlineStr">
        <is>
          <t>KALMAR LÄN</t>
        </is>
      </c>
      <c r="E578" t="inlineStr">
        <is>
          <t>VIMMERBY</t>
        </is>
      </c>
      <c r="G578" t="n">
        <v>3.1</v>
      </c>
      <c r="H578" t="n">
        <v>0</v>
      </c>
      <c r="I578" t="n">
        <v>0</v>
      </c>
      <c r="J578" t="n">
        <v>0</v>
      </c>
      <c r="K578" t="n">
        <v>0</v>
      </c>
      <c r="L578" t="n">
        <v>0</v>
      </c>
      <c r="M578" t="n">
        <v>0</v>
      </c>
      <c r="N578" t="n">
        <v>0</v>
      </c>
      <c r="O578" t="n">
        <v>0</v>
      </c>
      <c r="P578" t="n">
        <v>0</v>
      </c>
      <c r="Q578" t="n">
        <v>0</v>
      </c>
      <c r="R578" s="2" t="inlineStr"/>
    </row>
    <row r="579" ht="15" customHeight="1">
      <c r="A579" t="inlineStr">
        <is>
          <t>A 36040-2024</t>
        </is>
      </c>
      <c r="B579" s="1" t="n">
        <v>45533.60232638889</v>
      </c>
      <c r="C579" s="1" t="n">
        <v>46182</v>
      </c>
      <c r="D579" t="inlineStr">
        <is>
          <t>KALMAR LÄN</t>
        </is>
      </c>
      <c r="E579" t="inlineStr">
        <is>
          <t>VIMMERBY</t>
        </is>
      </c>
      <c r="F579" t="inlineStr">
        <is>
          <t>Kommuner</t>
        </is>
      </c>
      <c r="G579" t="n">
        <v>3.6</v>
      </c>
      <c r="H579" t="n">
        <v>0</v>
      </c>
      <c r="I579" t="n">
        <v>0</v>
      </c>
      <c r="J579" t="n">
        <v>0</v>
      </c>
      <c r="K579" t="n">
        <v>0</v>
      </c>
      <c r="L579" t="n">
        <v>0</v>
      </c>
      <c r="M579" t="n">
        <v>0</v>
      </c>
      <c r="N579" t="n">
        <v>0</v>
      </c>
      <c r="O579" t="n">
        <v>0</v>
      </c>
      <c r="P579" t="n">
        <v>0</v>
      </c>
      <c r="Q579" t="n">
        <v>0</v>
      </c>
      <c r="R579" s="2" t="inlineStr"/>
    </row>
    <row r="580" ht="15" customHeight="1">
      <c r="A580" t="inlineStr">
        <is>
          <t>A 36043-2024</t>
        </is>
      </c>
      <c r="B580" s="1" t="n">
        <v>45533.60770833334</v>
      </c>
      <c r="C580" s="1" t="n">
        <v>46182</v>
      </c>
      <c r="D580" t="inlineStr">
        <is>
          <t>KALMAR LÄN</t>
        </is>
      </c>
      <c r="E580" t="inlineStr">
        <is>
          <t>VIMMERBY</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12890-2023</t>
        </is>
      </c>
      <c r="B581" s="1" t="n">
        <v>45001.59209490741</v>
      </c>
      <c r="C581" s="1" t="n">
        <v>46182</v>
      </c>
      <c r="D581" t="inlineStr">
        <is>
          <t>KALMAR LÄN</t>
        </is>
      </c>
      <c r="E581" t="inlineStr">
        <is>
          <t>VIMMERBY</t>
        </is>
      </c>
      <c r="G581" t="n">
        <v>2.8</v>
      </c>
      <c r="H581" t="n">
        <v>0</v>
      </c>
      <c r="I581" t="n">
        <v>0</v>
      </c>
      <c r="J581" t="n">
        <v>0</v>
      </c>
      <c r="K581" t="n">
        <v>0</v>
      </c>
      <c r="L581" t="n">
        <v>0</v>
      </c>
      <c r="M581" t="n">
        <v>0</v>
      </c>
      <c r="N581" t="n">
        <v>0</v>
      </c>
      <c r="O581" t="n">
        <v>0</v>
      </c>
      <c r="P581" t="n">
        <v>0</v>
      </c>
      <c r="Q581" t="n">
        <v>0</v>
      </c>
      <c r="R581" s="2" t="inlineStr"/>
    </row>
    <row r="582" ht="15" customHeight="1">
      <c r="A582" t="inlineStr">
        <is>
          <t>A 43594-2024</t>
        </is>
      </c>
      <c r="B582" s="1" t="n">
        <v>45569.44295138889</v>
      </c>
      <c r="C582" s="1" t="n">
        <v>46182</v>
      </c>
      <c r="D582" t="inlineStr">
        <is>
          <t>KALMAR LÄN</t>
        </is>
      </c>
      <c r="E582" t="inlineStr">
        <is>
          <t>VIMMERBY</t>
        </is>
      </c>
      <c r="G582" t="n">
        <v>3.9</v>
      </c>
      <c r="H582" t="n">
        <v>0</v>
      </c>
      <c r="I582" t="n">
        <v>0</v>
      </c>
      <c r="J582" t="n">
        <v>0</v>
      </c>
      <c r="K582" t="n">
        <v>0</v>
      </c>
      <c r="L582" t="n">
        <v>0</v>
      </c>
      <c r="M582" t="n">
        <v>0</v>
      </c>
      <c r="N582" t="n">
        <v>0</v>
      </c>
      <c r="O582" t="n">
        <v>0</v>
      </c>
      <c r="P582" t="n">
        <v>0</v>
      </c>
      <c r="Q582" t="n">
        <v>0</v>
      </c>
      <c r="R582" s="2" t="inlineStr"/>
    </row>
    <row r="583" ht="15" customHeight="1">
      <c r="A583" t="inlineStr">
        <is>
          <t>A 14279-2026</t>
        </is>
      </c>
      <c r="B583" s="1" t="n">
        <v>46099.66826388889</v>
      </c>
      <c r="C583" s="1" t="n">
        <v>46182</v>
      </c>
      <c r="D583" t="inlineStr">
        <is>
          <t>KALMAR LÄN</t>
        </is>
      </c>
      <c r="E583" t="inlineStr">
        <is>
          <t>VIMMERBY</t>
        </is>
      </c>
      <c r="G583" t="n">
        <v>2.8</v>
      </c>
      <c r="H583" t="n">
        <v>0</v>
      </c>
      <c r="I583" t="n">
        <v>0</v>
      </c>
      <c r="J583" t="n">
        <v>0</v>
      </c>
      <c r="K583" t="n">
        <v>0</v>
      </c>
      <c r="L583" t="n">
        <v>0</v>
      </c>
      <c r="M583" t="n">
        <v>0</v>
      </c>
      <c r="N583" t="n">
        <v>0</v>
      </c>
      <c r="O583" t="n">
        <v>0</v>
      </c>
      <c r="P583" t="n">
        <v>0</v>
      </c>
      <c r="Q583" t="n">
        <v>0</v>
      </c>
      <c r="R583" s="2" t="inlineStr"/>
    </row>
    <row r="584" ht="15" customHeight="1">
      <c r="A584" t="inlineStr">
        <is>
          <t>A 53482-2022</t>
        </is>
      </c>
      <c r="B584" s="1" t="n">
        <v>44879</v>
      </c>
      <c r="C584" s="1" t="n">
        <v>46182</v>
      </c>
      <c r="D584" t="inlineStr">
        <is>
          <t>KALMAR LÄN</t>
        </is>
      </c>
      <c r="E584" t="inlineStr">
        <is>
          <t>VIMMERBY</t>
        </is>
      </c>
      <c r="G584" t="n">
        <v>10.1</v>
      </c>
      <c r="H584" t="n">
        <v>0</v>
      </c>
      <c r="I584" t="n">
        <v>0</v>
      </c>
      <c r="J584" t="n">
        <v>0</v>
      </c>
      <c r="K584" t="n">
        <v>0</v>
      </c>
      <c r="L584" t="n">
        <v>0</v>
      </c>
      <c r="M584" t="n">
        <v>0</v>
      </c>
      <c r="N584" t="n">
        <v>0</v>
      </c>
      <c r="O584" t="n">
        <v>0</v>
      </c>
      <c r="P584" t="n">
        <v>0</v>
      </c>
      <c r="Q584" t="n">
        <v>0</v>
      </c>
      <c r="R584" s="2" t="inlineStr"/>
    </row>
    <row r="585" ht="15" customHeight="1">
      <c r="A585" t="inlineStr">
        <is>
          <t>A 6857-2023</t>
        </is>
      </c>
      <c r="B585" s="1" t="n">
        <v>44967.45122685185</v>
      </c>
      <c r="C585" s="1" t="n">
        <v>46182</v>
      </c>
      <c r="D585" t="inlineStr">
        <is>
          <t>KALMAR LÄN</t>
        </is>
      </c>
      <c r="E585" t="inlineStr">
        <is>
          <t>VIMMERBY</t>
        </is>
      </c>
      <c r="G585" t="n">
        <v>2.1</v>
      </c>
      <c r="H585" t="n">
        <v>0</v>
      </c>
      <c r="I585" t="n">
        <v>0</v>
      </c>
      <c r="J585" t="n">
        <v>0</v>
      </c>
      <c r="K585" t="n">
        <v>0</v>
      </c>
      <c r="L585" t="n">
        <v>0</v>
      </c>
      <c r="M585" t="n">
        <v>0</v>
      </c>
      <c r="N585" t="n">
        <v>0</v>
      </c>
      <c r="O585" t="n">
        <v>0</v>
      </c>
      <c r="P585" t="n">
        <v>0</v>
      </c>
      <c r="Q585" t="n">
        <v>0</v>
      </c>
      <c r="R585" s="2" t="inlineStr"/>
    </row>
    <row r="586" ht="15" customHeight="1">
      <c r="A586" t="inlineStr">
        <is>
          <t>A 14320-2026</t>
        </is>
      </c>
      <c r="B586" s="1" t="n">
        <v>46099.88449074074</v>
      </c>
      <c r="C586" s="1" t="n">
        <v>46182</v>
      </c>
      <c r="D586" t="inlineStr">
        <is>
          <t>KALMAR LÄN</t>
        </is>
      </c>
      <c r="E586" t="inlineStr">
        <is>
          <t>VIMMERBY</t>
        </is>
      </c>
      <c r="G586" t="n">
        <v>2.3</v>
      </c>
      <c r="H586" t="n">
        <v>0</v>
      </c>
      <c r="I586" t="n">
        <v>0</v>
      </c>
      <c r="J586" t="n">
        <v>0</v>
      </c>
      <c r="K586" t="n">
        <v>0</v>
      </c>
      <c r="L586" t="n">
        <v>0</v>
      </c>
      <c r="M586" t="n">
        <v>0</v>
      </c>
      <c r="N586" t="n">
        <v>0</v>
      </c>
      <c r="O586" t="n">
        <v>0</v>
      </c>
      <c r="P586" t="n">
        <v>0</v>
      </c>
      <c r="Q586" t="n">
        <v>0</v>
      </c>
      <c r="R586" s="2" t="inlineStr"/>
    </row>
    <row r="587" ht="15" customHeight="1">
      <c r="A587" t="inlineStr">
        <is>
          <t>A 27761-2024</t>
        </is>
      </c>
      <c r="B587" s="1" t="n">
        <v>45475.49018518518</v>
      </c>
      <c r="C587" s="1" t="n">
        <v>46182</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64203-2021</t>
        </is>
      </c>
      <c r="B588" s="1" t="n">
        <v>44510.60921296296</v>
      </c>
      <c r="C588" s="1" t="n">
        <v>46182</v>
      </c>
      <c r="D588" t="inlineStr">
        <is>
          <t>KALMAR LÄN</t>
        </is>
      </c>
      <c r="E588" t="inlineStr">
        <is>
          <t>VIMMERBY</t>
        </is>
      </c>
      <c r="F588" t="inlineStr">
        <is>
          <t>Övriga Aktiebolag</t>
        </is>
      </c>
      <c r="G588" t="n">
        <v>5.4</v>
      </c>
      <c r="H588" t="n">
        <v>0</v>
      </c>
      <c r="I588" t="n">
        <v>0</v>
      </c>
      <c r="J588" t="n">
        <v>0</v>
      </c>
      <c r="K588" t="n">
        <v>0</v>
      </c>
      <c r="L588" t="n">
        <v>0</v>
      </c>
      <c r="M588" t="n">
        <v>0</v>
      </c>
      <c r="N588" t="n">
        <v>0</v>
      </c>
      <c r="O588" t="n">
        <v>0</v>
      </c>
      <c r="P588" t="n">
        <v>0</v>
      </c>
      <c r="Q588" t="n">
        <v>0</v>
      </c>
      <c r="R588" s="2" t="inlineStr"/>
    </row>
    <row r="589" ht="15" customHeight="1">
      <c r="A589" t="inlineStr">
        <is>
          <t>A 5720-2023</t>
        </is>
      </c>
      <c r="B589" s="1" t="n">
        <v>44961</v>
      </c>
      <c r="C589" s="1" t="n">
        <v>46182</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9643-2023</t>
        </is>
      </c>
      <c r="B590" s="1" t="n">
        <v>44984</v>
      </c>
      <c r="C590" s="1" t="n">
        <v>46182</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5792-2023</t>
        </is>
      </c>
      <c r="B591" s="1" t="n">
        <v>44963.44769675926</v>
      </c>
      <c r="C591" s="1" t="n">
        <v>46182</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10303-2025</t>
        </is>
      </c>
      <c r="B592" s="1" t="n">
        <v>45720.44217592593</v>
      </c>
      <c r="C592" s="1" t="n">
        <v>46182</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25728-2023</t>
        </is>
      </c>
      <c r="B593" s="1" t="n">
        <v>45090.38012731481</v>
      </c>
      <c r="C593" s="1" t="n">
        <v>46182</v>
      </c>
      <c r="D593" t="inlineStr">
        <is>
          <t>KALMAR LÄN</t>
        </is>
      </c>
      <c r="E593" t="inlineStr">
        <is>
          <t>VIMMERBY</t>
        </is>
      </c>
      <c r="G593" t="n">
        <v>1.1</v>
      </c>
      <c r="H593" t="n">
        <v>0</v>
      </c>
      <c r="I593" t="n">
        <v>0</v>
      </c>
      <c r="J593" t="n">
        <v>0</v>
      </c>
      <c r="K593" t="n">
        <v>0</v>
      </c>
      <c r="L593" t="n">
        <v>0</v>
      </c>
      <c r="M593" t="n">
        <v>0</v>
      </c>
      <c r="N593" t="n">
        <v>0</v>
      </c>
      <c r="O593" t="n">
        <v>0</v>
      </c>
      <c r="P593" t="n">
        <v>0</v>
      </c>
      <c r="Q593" t="n">
        <v>0</v>
      </c>
      <c r="R593" s="2" t="inlineStr"/>
    </row>
    <row r="594" ht="15" customHeight="1">
      <c r="A594" t="inlineStr">
        <is>
          <t>A 60110-2022</t>
        </is>
      </c>
      <c r="B594" s="1" t="n">
        <v>44909</v>
      </c>
      <c r="C594" s="1" t="n">
        <v>46182</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6474-2025</t>
        </is>
      </c>
      <c r="B595" s="1" t="n">
        <v>45699.60055555555</v>
      </c>
      <c r="C595" s="1" t="n">
        <v>46182</v>
      </c>
      <c r="D595" t="inlineStr">
        <is>
          <t>KALMAR LÄN</t>
        </is>
      </c>
      <c r="E595" t="inlineStr">
        <is>
          <t>VIMMERBY</t>
        </is>
      </c>
      <c r="G595" t="n">
        <v>1.6</v>
      </c>
      <c r="H595" t="n">
        <v>0</v>
      </c>
      <c r="I595" t="n">
        <v>0</v>
      </c>
      <c r="J595" t="n">
        <v>0</v>
      </c>
      <c r="K595" t="n">
        <v>0</v>
      </c>
      <c r="L595" t="n">
        <v>0</v>
      </c>
      <c r="M595" t="n">
        <v>0</v>
      </c>
      <c r="N595" t="n">
        <v>0</v>
      </c>
      <c r="O595" t="n">
        <v>0</v>
      </c>
      <c r="P595" t="n">
        <v>0</v>
      </c>
      <c r="Q595" t="n">
        <v>0</v>
      </c>
      <c r="R595" s="2" t="inlineStr"/>
    </row>
    <row r="596" ht="15" customHeight="1">
      <c r="A596" t="inlineStr">
        <is>
          <t>A 32919-2022</t>
        </is>
      </c>
      <c r="B596" s="1" t="n">
        <v>44784.62724537037</v>
      </c>
      <c r="C596" s="1" t="n">
        <v>46182</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41311-2023</t>
        </is>
      </c>
      <c r="B597" s="1" t="n">
        <v>45174</v>
      </c>
      <c r="C597" s="1" t="n">
        <v>46182</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14793-2026</t>
        </is>
      </c>
      <c r="B598" s="1" t="n">
        <v>46101.92108796296</v>
      </c>
      <c r="C598" s="1" t="n">
        <v>46182</v>
      </c>
      <c r="D598" t="inlineStr">
        <is>
          <t>KALMAR LÄN</t>
        </is>
      </c>
      <c r="E598" t="inlineStr">
        <is>
          <t>VIMMERBY</t>
        </is>
      </c>
      <c r="G598" t="n">
        <v>5.7</v>
      </c>
      <c r="H598" t="n">
        <v>0</v>
      </c>
      <c r="I598" t="n">
        <v>0</v>
      </c>
      <c r="J598" t="n">
        <v>0</v>
      </c>
      <c r="K598" t="n">
        <v>0</v>
      </c>
      <c r="L598" t="n">
        <v>0</v>
      </c>
      <c r="M598" t="n">
        <v>0</v>
      </c>
      <c r="N598" t="n">
        <v>0</v>
      </c>
      <c r="O598" t="n">
        <v>0</v>
      </c>
      <c r="P598" t="n">
        <v>0</v>
      </c>
      <c r="Q598" t="n">
        <v>0</v>
      </c>
      <c r="R598" s="2" t="inlineStr"/>
    </row>
    <row r="599" ht="15" customHeight="1">
      <c r="A599" t="inlineStr">
        <is>
          <t>A 26318-2023</t>
        </is>
      </c>
      <c r="B599" s="1" t="n">
        <v>45091.67936342592</v>
      </c>
      <c r="C599" s="1" t="n">
        <v>46182</v>
      </c>
      <c r="D599" t="inlineStr">
        <is>
          <t>KALMAR LÄN</t>
        </is>
      </c>
      <c r="E599" t="inlineStr">
        <is>
          <t>VIMMERBY</t>
        </is>
      </c>
      <c r="G599" t="n">
        <v>3.8</v>
      </c>
      <c r="H599" t="n">
        <v>0</v>
      </c>
      <c r="I599" t="n">
        <v>0</v>
      </c>
      <c r="J599" t="n">
        <v>0</v>
      </c>
      <c r="K599" t="n">
        <v>0</v>
      </c>
      <c r="L599" t="n">
        <v>0</v>
      </c>
      <c r="M599" t="n">
        <v>0</v>
      </c>
      <c r="N599" t="n">
        <v>0</v>
      </c>
      <c r="O599" t="n">
        <v>0</v>
      </c>
      <c r="P599" t="n">
        <v>0</v>
      </c>
      <c r="Q599" t="n">
        <v>0</v>
      </c>
      <c r="R599" s="2" t="inlineStr"/>
    </row>
    <row r="600" ht="15" customHeight="1">
      <c r="A600" t="inlineStr">
        <is>
          <t>A 14792-2026</t>
        </is>
      </c>
      <c r="B600" s="1" t="n">
        <v>46101.91993055555</v>
      </c>
      <c r="C600" s="1" t="n">
        <v>46182</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56659-2023</t>
        </is>
      </c>
      <c r="B601" s="1" t="n">
        <v>45243.84869212963</v>
      </c>
      <c r="C601" s="1" t="n">
        <v>46182</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13015-2022</t>
        </is>
      </c>
      <c r="B602" s="1" t="n">
        <v>44643</v>
      </c>
      <c r="C602" s="1" t="n">
        <v>46182</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15054-2026</t>
        </is>
      </c>
      <c r="B603" s="1" t="n">
        <v>46104.6815162037</v>
      </c>
      <c r="C603" s="1" t="n">
        <v>46182</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61355-2024</t>
        </is>
      </c>
      <c r="B604" s="1" t="n">
        <v>45646.38200231481</v>
      </c>
      <c r="C604" s="1" t="n">
        <v>46182</v>
      </c>
      <c r="D604" t="inlineStr">
        <is>
          <t>KALMAR LÄN</t>
        </is>
      </c>
      <c r="E604" t="inlineStr">
        <is>
          <t>VIMMERBY</t>
        </is>
      </c>
      <c r="G604" t="n">
        <v>2.7</v>
      </c>
      <c r="H604" t="n">
        <v>0</v>
      </c>
      <c r="I604" t="n">
        <v>0</v>
      </c>
      <c r="J604" t="n">
        <v>0</v>
      </c>
      <c r="K604" t="n">
        <v>0</v>
      </c>
      <c r="L604" t="n">
        <v>0</v>
      </c>
      <c r="M604" t="n">
        <v>0</v>
      </c>
      <c r="N604" t="n">
        <v>0</v>
      </c>
      <c r="O604" t="n">
        <v>0</v>
      </c>
      <c r="P604" t="n">
        <v>0</v>
      </c>
      <c r="Q604" t="n">
        <v>0</v>
      </c>
      <c r="R604" s="2" t="inlineStr"/>
    </row>
    <row r="605" ht="15" customHeight="1">
      <c r="A605" t="inlineStr">
        <is>
          <t>A 55436-2023</t>
        </is>
      </c>
      <c r="B605" s="1" t="n">
        <v>45238.4328587963</v>
      </c>
      <c r="C605" s="1" t="n">
        <v>46182</v>
      </c>
      <c r="D605" t="inlineStr">
        <is>
          <t>KALMAR LÄN</t>
        </is>
      </c>
      <c r="E605" t="inlineStr">
        <is>
          <t>VIMMERBY</t>
        </is>
      </c>
      <c r="G605" t="n">
        <v>5.6</v>
      </c>
      <c r="H605" t="n">
        <v>0</v>
      </c>
      <c r="I605" t="n">
        <v>0</v>
      </c>
      <c r="J605" t="n">
        <v>0</v>
      </c>
      <c r="K605" t="n">
        <v>0</v>
      </c>
      <c r="L605" t="n">
        <v>0</v>
      </c>
      <c r="M605" t="n">
        <v>0</v>
      </c>
      <c r="N605" t="n">
        <v>0</v>
      </c>
      <c r="O605" t="n">
        <v>0</v>
      </c>
      <c r="P605" t="n">
        <v>0</v>
      </c>
      <c r="Q605" t="n">
        <v>0</v>
      </c>
      <c r="R605" s="2" t="inlineStr"/>
    </row>
    <row r="606" ht="15" customHeight="1">
      <c r="A606" t="inlineStr">
        <is>
          <t>A 15205-2026</t>
        </is>
      </c>
      <c r="B606" s="1" t="n">
        <v>46105.48628472222</v>
      </c>
      <c r="C606" s="1" t="n">
        <v>46182</v>
      </c>
      <c r="D606" t="inlineStr">
        <is>
          <t>KALMAR LÄN</t>
        </is>
      </c>
      <c r="E606" t="inlineStr">
        <is>
          <t>VIMMERBY</t>
        </is>
      </c>
      <c r="G606" t="n">
        <v>2.1</v>
      </c>
      <c r="H606" t="n">
        <v>0</v>
      </c>
      <c r="I606" t="n">
        <v>0</v>
      </c>
      <c r="J606" t="n">
        <v>0</v>
      </c>
      <c r="K606" t="n">
        <v>0</v>
      </c>
      <c r="L606" t="n">
        <v>0</v>
      </c>
      <c r="M606" t="n">
        <v>0</v>
      </c>
      <c r="N606" t="n">
        <v>0</v>
      </c>
      <c r="O606" t="n">
        <v>0</v>
      </c>
      <c r="P606" t="n">
        <v>0</v>
      </c>
      <c r="Q606" t="n">
        <v>0</v>
      </c>
      <c r="R606" s="2" t="inlineStr"/>
    </row>
    <row r="607" ht="15" customHeight="1">
      <c r="A607" t="inlineStr">
        <is>
          <t>A 56582-2022</t>
        </is>
      </c>
      <c r="B607" s="1" t="n">
        <v>44893</v>
      </c>
      <c r="C607" s="1" t="n">
        <v>46182</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36802-2021</t>
        </is>
      </c>
      <c r="B608" s="1" t="n">
        <v>44392</v>
      </c>
      <c r="C608" s="1" t="n">
        <v>46182</v>
      </c>
      <c r="D608" t="inlineStr">
        <is>
          <t>KALMAR LÄN</t>
        </is>
      </c>
      <c r="E608" t="inlineStr">
        <is>
          <t>VIMMERBY</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43962-2024</t>
        </is>
      </c>
      <c r="B609" s="1" t="n">
        <v>45572.48293981481</v>
      </c>
      <c r="C609" s="1" t="n">
        <v>46182</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35713-2023</t>
        </is>
      </c>
      <c r="B610" s="1" t="n">
        <v>45147</v>
      </c>
      <c r="C610" s="1" t="n">
        <v>46182</v>
      </c>
      <c r="D610" t="inlineStr">
        <is>
          <t>KALMAR LÄN</t>
        </is>
      </c>
      <c r="E610" t="inlineStr">
        <is>
          <t>VIMMERBY</t>
        </is>
      </c>
      <c r="G610" t="n">
        <v>1.6</v>
      </c>
      <c r="H610" t="n">
        <v>0</v>
      </c>
      <c r="I610" t="n">
        <v>0</v>
      </c>
      <c r="J610" t="n">
        <v>0</v>
      </c>
      <c r="K610" t="n">
        <v>0</v>
      </c>
      <c r="L610" t="n">
        <v>0</v>
      </c>
      <c r="M610" t="n">
        <v>0</v>
      </c>
      <c r="N610" t="n">
        <v>0</v>
      </c>
      <c r="O610" t="n">
        <v>0</v>
      </c>
      <c r="P610" t="n">
        <v>0</v>
      </c>
      <c r="Q610" t="n">
        <v>0</v>
      </c>
      <c r="R610" s="2" t="inlineStr"/>
    </row>
    <row r="611" ht="15" customHeight="1">
      <c r="A611" t="inlineStr">
        <is>
          <t>A 38198-2024</t>
        </is>
      </c>
      <c r="B611" s="1" t="n">
        <v>45545.49508101852</v>
      </c>
      <c r="C611" s="1" t="n">
        <v>46182</v>
      </c>
      <c r="D611" t="inlineStr">
        <is>
          <t>KALMAR LÄN</t>
        </is>
      </c>
      <c r="E611" t="inlineStr">
        <is>
          <t>VIMMERBY</t>
        </is>
      </c>
      <c r="G611" t="n">
        <v>7.9</v>
      </c>
      <c r="H611" t="n">
        <v>0</v>
      </c>
      <c r="I611" t="n">
        <v>0</v>
      </c>
      <c r="J611" t="n">
        <v>0</v>
      </c>
      <c r="K611" t="n">
        <v>0</v>
      </c>
      <c r="L611" t="n">
        <v>0</v>
      </c>
      <c r="M611" t="n">
        <v>0</v>
      </c>
      <c r="N611" t="n">
        <v>0</v>
      </c>
      <c r="O611" t="n">
        <v>0</v>
      </c>
      <c r="P611" t="n">
        <v>0</v>
      </c>
      <c r="Q611" t="n">
        <v>0</v>
      </c>
      <c r="R611" s="2" t="inlineStr"/>
    </row>
    <row r="612" ht="15" customHeight="1">
      <c r="A612" t="inlineStr">
        <is>
          <t>A 9623-2024</t>
        </is>
      </c>
      <c r="B612" s="1" t="n">
        <v>45361.87975694444</v>
      </c>
      <c r="C612" s="1" t="n">
        <v>46182</v>
      </c>
      <c r="D612" t="inlineStr">
        <is>
          <t>KALMAR LÄN</t>
        </is>
      </c>
      <c r="E612" t="inlineStr">
        <is>
          <t>VIMMERBY</t>
        </is>
      </c>
      <c r="G612" t="n">
        <v>1.6</v>
      </c>
      <c r="H612" t="n">
        <v>0</v>
      </c>
      <c r="I612" t="n">
        <v>0</v>
      </c>
      <c r="J612" t="n">
        <v>0</v>
      </c>
      <c r="K612" t="n">
        <v>0</v>
      </c>
      <c r="L612" t="n">
        <v>0</v>
      </c>
      <c r="M612" t="n">
        <v>0</v>
      </c>
      <c r="N612" t="n">
        <v>0</v>
      </c>
      <c r="O612" t="n">
        <v>0</v>
      </c>
      <c r="P612" t="n">
        <v>0</v>
      </c>
      <c r="Q612" t="n">
        <v>0</v>
      </c>
      <c r="R612" s="2" t="inlineStr"/>
    </row>
    <row r="613" ht="15" customHeight="1">
      <c r="A613" t="inlineStr">
        <is>
          <t>A 21882-2026</t>
        </is>
      </c>
      <c r="B613" s="1" t="n">
        <v>46150.59287037037</v>
      </c>
      <c r="C613" s="1" t="n">
        <v>46182</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58967-2022</t>
        </is>
      </c>
      <c r="B614" s="1" t="n">
        <v>44896</v>
      </c>
      <c r="C614" s="1" t="n">
        <v>46182</v>
      </c>
      <c r="D614" t="inlineStr">
        <is>
          <t>KALMAR LÄN</t>
        </is>
      </c>
      <c r="E614" t="inlineStr">
        <is>
          <t>VIMMERBY</t>
        </is>
      </c>
      <c r="G614" t="n">
        <v>5</v>
      </c>
      <c r="H614" t="n">
        <v>0</v>
      </c>
      <c r="I614" t="n">
        <v>0</v>
      </c>
      <c r="J614" t="n">
        <v>0</v>
      </c>
      <c r="K614" t="n">
        <v>0</v>
      </c>
      <c r="L614" t="n">
        <v>0</v>
      </c>
      <c r="M614" t="n">
        <v>0</v>
      </c>
      <c r="N614" t="n">
        <v>0</v>
      </c>
      <c r="O614" t="n">
        <v>0</v>
      </c>
      <c r="P614" t="n">
        <v>0</v>
      </c>
      <c r="Q614" t="n">
        <v>0</v>
      </c>
      <c r="R614" s="2" t="inlineStr"/>
    </row>
    <row r="615" ht="15" customHeight="1">
      <c r="A615" t="inlineStr">
        <is>
          <t>A 6399-2025</t>
        </is>
      </c>
      <c r="B615" s="1" t="n">
        <v>45699.44291666667</v>
      </c>
      <c r="C615" s="1" t="n">
        <v>46182</v>
      </c>
      <c r="D615" t="inlineStr">
        <is>
          <t>KALMAR LÄN</t>
        </is>
      </c>
      <c r="E615" t="inlineStr">
        <is>
          <t>VIMMERBY</t>
        </is>
      </c>
      <c r="G615" t="n">
        <v>3.1</v>
      </c>
      <c r="H615" t="n">
        <v>0</v>
      </c>
      <c r="I615" t="n">
        <v>0</v>
      </c>
      <c r="J615" t="n">
        <v>0</v>
      </c>
      <c r="K615" t="n">
        <v>0</v>
      </c>
      <c r="L615" t="n">
        <v>0</v>
      </c>
      <c r="M615" t="n">
        <v>0</v>
      </c>
      <c r="N615" t="n">
        <v>0</v>
      </c>
      <c r="O615" t="n">
        <v>0</v>
      </c>
      <c r="P615" t="n">
        <v>0</v>
      </c>
      <c r="Q615" t="n">
        <v>0</v>
      </c>
      <c r="R615" s="2" t="inlineStr"/>
    </row>
    <row r="616" ht="15" customHeight="1">
      <c r="A616" t="inlineStr">
        <is>
          <t>A 31355-2023</t>
        </is>
      </c>
      <c r="B616" s="1" t="n">
        <v>45114.49505787037</v>
      </c>
      <c r="C616" s="1" t="n">
        <v>46182</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30400-2023</t>
        </is>
      </c>
      <c r="B617" s="1" t="n">
        <v>45111.48225694444</v>
      </c>
      <c r="C617" s="1" t="n">
        <v>46182</v>
      </c>
      <c r="D617" t="inlineStr">
        <is>
          <t>KALMAR LÄN</t>
        </is>
      </c>
      <c r="E617" t="inlineStr">
        <is>
          <t>VIMMERBY</t>
        </is>
      </c>
      <c r="G617" t="n">
        <v>2.7</v>
      </c>
      <c r="H617" t="n">
        <v>0</v>
      </c>
      <c r="I617" t="n">
        <v>0</v>
      </c>
      <c r="J617" t="n">
        <v>0</v>
      </c>
      <c r="K617" t="n">
        <v>0</v>
      </c>
      <c r="L617" t="n">
        <v>0</v>
      </c>
      <c r="M617" t="n">
        <v>0</v>
      </c>
      <c r="N617" t="n">
        <v>0</v>
      </c>
      <c r="O617" t="n">
        <v>0</v>
      </c>
      <c r="P617" t="n">
        <v>0</v>
      </c>
      <c r="Q617" t="n">
        <v>0</v>
      </c>
      <c r="R617" s="2" t="inlineStr"/>
    </row>
    <row r="618" ht="15" customHeight="1">
      <c r="A618" t="inlineStr">
        <is>
          <t>A 30404-2023</t>
        </is>
      </c>
      <c r="B618" s="1" t="n">
        <v>45111.48636574074</v>
      </c>
      <c r="C618" s="1" t="n">
        <v>46182</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27705-2023</t>
        </is>
      </c>
      <c r="B619" s="1" t="n">
        <v>45098.30535879629</v>
      </c>
      <c r="C619" s="1" t="n">
        <v>46182</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36843-2023</t>
        </is>
      </c>
      <c r="B620" s="1" t="n">
        <v>45154.49831018518</v>
      </c>
      <c r="C620" s="1" t="n">
        <v>46182</v>
      </c>
      <c r="D620" t="inlineStr">
        <is>
          <t>KALMAR LÄN</t>
        </is>
      </c>
      <c r="E620" t="inlineStr">
        <is>
          <t>VIMMERBY</t>
        </is>
      </c>
      <c r="G620" t="n">
        <v>2</v>
      </c>
      <c r="H620" t="n">
        <v>0</v>
      </c>
      <c r="I620" t="n">
        <v>0</v>
      </c>
      <c r="J620" t="n">
        <v>0</v>
      </c>
      <c r="K620" t="n">
        <v>0</v>
      </c>
      <c r="L620" t="n">
        <v>0</v>
      </c>
      <c r="M620" t="n">
        <v>0</v>
      </c>
      <c r="N620" t="n">
        <v>0</v>
      </c>
      <c r="O620" t="n">
        <v>0</v>
      </c>
      <c r="P620" t="n">
        <v>0</v>
      </c>
      <c r="Q620" t="n">
        <v>0</v>
      </c>
      <c r="R620" s="2" t="inlineStr"/>
    </row>
    <row r="621" ht="15" customHeight="1">
      <c r="A621" t="inlineStr">
        <is>
          <t>A 10785-2025</t>
        </is>
      </c>
      <c r="B621" s="1" t="n">
        <v>45722.48634259259</v>
      </c>
      <c r="C621" s="1" t="n">
        <v>46182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16183-2026</t>
        </is>
      </c>
      <c r="B622" s="1" t="n">
        <v>46111</v>
      </c>
      <c r="C622" s="1" t="n">
        <v>46182</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29017-2024</t>
        </is>
      </c>
      <c r="B623" s="1" t="n">
        <v>45481.56722222222</v>
      </c>
      <c r="C623" s="1" t="n">
        <v>46182</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16648-2026</t>
        </is>
      </c>
      <c r="B624" s="1" t="n">
        <v>46112.64032407408</v>
      </c>
      <c r="C624" s="1" t="n">
        <v>46182</v>
      </c>
      <c r="D624" t="inlineStr">
        <is>
          <t>KALMAR LÄN</t>
        </is>
      </c>
      <c r="E624" t="inlineStr">
        <is>
          <t>VIMMERBY</t>
        </is>
      </c>
      <c r="F624" t="inlineStr">
        <is>
          <t>Kommuner</t>
        </is>
      </c>
      <c r="G624" t="n">
        <v>0.9</v>
      </c>
      <c r="H624" t="n">
        <v>0</v>
      </c>
      <c r="I624" t="n">
        <v>0</v>
      </c>
      <c r="J624" t="n">
        <v>0</v>
      </c>
      <c r="K624" t="n">
        <v>0</v>
      </c>
      <c r="L624" t="n">
        <v>0</v>
      </c>
      <c r="M624" t="n">
        <v>0</v>
      </c>
      <c r="N624" t="n">
        <v>0</v>
      </c>
      <c r="O624" t="n">
        <v>0</v>
      </c>
      <c r="P624" t="n">
        <v>0</v>
      </c>
      <c r="Q624" t="n">
        <v>0</v>
      </c>
      <c r="R624" s="2" t="inlineStr"/>
    </row>
    <row r="625" ht="15" customHeight="1">
      <c r="A625" t="inlineStr">
        <is>
          <t>A 16656-2026</t>
        </is>
      </c>
      <c r="B625" s="1" t="n">
        <v>46112.65111111111</v>
      </c>
      <c r="C625" s="1" t="n">
        <v>46182</v>
      </c>
      <c r="D625" t="inlineStr">
        <is>
          <t>KALMAR LÄN</t>
        </is>
      </c>
      <c r="E625" t="inlineStr">
        <is>
          <t>VIMMERBY</t>
        </is>
      </c>
      <c r="F625" t="inlineStr">
        <is>
          <t>Kommuner</t>
        </is>
      </c>
      <c r="G625" t="n">
        <v>5.5</v>
      </c>
      <c r="H625" t="n">
        <v>0</v>
      </c>
      <c r="I625" t="n">
        <v>0</v>
      </c>
      <c r="J625" t="n">
        <v>0</v>
      </c>
      <c r="K625" t="n">
        <v>0</v>
      </c>
      <c r="L625" t="n">
        <v>0</v>
      </c>
      <c r="M625" t="n">
        <v>0</v>
      </c>
      <c r="N625" t="n">
        <v>0</v>
      </c>
      <c r="O625" t="n">
        <v>0</v>
      </c>
      <c r="P625" t="n">
        <v>0</v>
      </c>
      <c r="Q625" t="n">
        <v>0</v>
      </c>
      <c r="R625" s="2" t="inlineStr"/>
    </row>
    <row r="626" ht="15" customHeight="1">
      <c r="A626" t="inlineStr">
        <is>
          <t>A 23263-2024</t>
        </is>
      </c>
      <c r="B626" s="1" t="n">
        <v>45453.36854166666</v>
      </c>
      <c r="C626" s="1" t="n">
        <v>46182</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11074-2023</t>
        </is>
      </c>
      <c r="B627" s="1" t="n">
        <v>44992.34151620371</v>
      </c>
      <c r="C627" s="1" t="n">
        <v>46182</v>
      </c>
      <c r="D627" t="inlineStr">
        <is>
          <t>KALMAR LÄN</t>
        </is>
      </c>
      <c r="E627" t="inlineStr">
        <is>
          <t>VIMMERBY</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16617-2026</t>
        </is>
      </c>
      <c r="B628" s="1" t="n">
        <v>46112.60607638889</v>
      </c>
      <c r="C628" s="1" t="n">
        <v>46182</v>
      </c>
      <c r="D628" t="inlineStr">
        <is>
          <t>KALMAR LÄN</t>
        </is>
      </c>
      <c r="E628" t="inlineStr">
        <is>
          <t>VIMMERBY</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61939-2021</t>
        </is>
      </c>
      <c r="B629" s="1" t="n">
        <v>44502</v>
      </c>
      <c r="C629" s="1" t="n">
        <v>46182</v>
      </c>
      <c r="D629" t="inlineStr">
        <is>
          <t>KALMAR LÄN</t>
        </is>
      </c>
      <c r="E629" t="inlineStr">
        <is>
          <t>VIMMERBY</t>
        </is>
      </c>
      <c r="G629" t="n">
        <v>2.7</v>
      </c>
      <c r="H629" t="n">
        <v>0</v>
      </c>
      <c r="I629" t="n">
        <v>0</v>
      </c>
      <c r="J629" t="n">
        <v>0</v>
      </c>
      <c r="K629" t="n">
        <v>0</v>
      </c>
      <c r="L629" t="n">
        <v>0</v>
      </c>
      <c r="M629" t="n">
        <v>0</v>
      </c>
      <c r="N629" t="n">
        <v>0</v>
      </c>
      <c r="O629" t="n">
        <v>0</v>
      </c>
      <c r="P629" t="n">
        <v>0</v>
      </c>
      <c r="Q629" t="n">
        <v>0</v>
      </c>
      <c r="R629" s="2" t="inlineStr"/>
    </row>
    <row r="630" ht="15" customHeight="1">
      <c r="A630" t="inlineStr">
        <is>
          <t>A 12215-2024</t>
        </is>
      </c>
      <c r="B630" s="1" t="n">
        <v>45378.32185185186</v>
      </c>
      <c r="C630" s="1" t="n">
        <v>46182</v>
      </c>
      <c r="D630" t="inlineStr">
        <is>
          <t>KALMAR LÄN</t>
        </is>
      </c>
      <c r="E630" t="inlineStr">
        <is>
          <t>VIMMERBY</t>
        </is>
      </c>
      <c r="G630" t="n">
        <v>1.6</v>
      </c>
      <c r="H630" t="n">
        <v>0</v>
      </c>
      <c r="I630" t="n">
        <v>0</v>
      </c>
      <c r="J630" t="n">
        <v>0</v>
      </c>
      <c r="K630" t="n">
        <v>0</v>
      </c>
      <c r="L630" t="n">
        <v>0</v>
      </c>
      <c r="M630" t="n">
        <v>0</v>
      </c>
      <c r="N630" t="n">
        <v>0</v>
      </c>
      <c r="O630" t="n">
        <v>0</v>
      </c>
      <c r="P630" t="n">
        <v>0</v>
      </c>
      <c r="Q630" t="n">
        <v>0</v>
      </c>
      <c r="R630" s="2" t="inlineStr"/>
    </row>
    <row r="631" ht="15" customHeight="1">
      <c r="A631" t="inlineStr">
        <is>
          <t>A 16672-2026</t>
        </is>
      </c>
      <c r="B631" s="1" t="n">
        <v>46112.67336805556</v>
      </c>
      <c r="C631" s="1" t="n">
        <v>46182</v>
      </c>
      <c r="D631" t="inlineStr">
        <is>
          <t>KALMAR LÄN</t>
        </is>
      </c>
      <c r="E631" t="inlineStr">
        <is>
          <t>VIMMERBY</t>
        </is>
      </c>
      <c r="F631" t="inlineStr">
        <is>
          <t>Kommuner</t>
        </is>
      </c>
      <c r="G631" t="n">
        <v>1.4</v>
      </c>
      <c r="H631" t="n">
        <v>0</v>
      </c>
      <c r="I631" t="n">
        <v>0</v>
      </c>
      <c r="J631" t="n">
        <v>0</v>
      </c>
      <c r="K631" t="n">
        <v>0</v>
      </c>
      <c r="L631" t="n">
        <v>0</v>
      </c>
      <c r="M631" t="n">
        <v>0</v>
      </c>
      <c r="N631" t="n">
        <v>0</v>
      </c>
      <c r="O631" t="n">
        <v>0</v>
      </c>
      <c r="P631" t="n">
        <v>0</v>
      </c>
      <c r="Q631" t="n">
        <v>0</v>
      </c>
      <c r="R631" s="2" t="inlineStr"/>
    </row>
    <row r="632" ht="15" customHeight="1">
      <c r="A632" t="inlineStr">
        <is>
          <t>A 12033-2024</t>
        </is>
      </c>
      <c r="B632" s="1" t="n">
        <v>45377.40043981482</v>
      </c>
      <c r="C632" s="1" t="n">
        <v>46182</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51408-2023</t>
        </is>
      </c>
      <c r="B633" s="1" t="n">
        <v>45219.69356481481</v>
      </c>
      <c r="C633" s="1" t="n">
        <v>46182</v>
      </c>
      <c r="D633" t="inlineStr">
        <is>
          <t>KALMAR LÄN</t>
        </is>
      </c>
      <c r="E633" t="inlineStr">
        <is>
          <t>VIMMERBY</t>
        </is>
      </c>
      <c r="G633" t="n">
        <v>0.7</v>
      </c>
      <c r="H633" t="n">
        <v>0</v>
      </c>
      <c r="I633" t="n">
        <v>0</v>
      </c>
      <c r="J633" t="n">
        <v>0</v>
      </c>
      <c r="K633" t="n">
        <v>0</v>
      </c>
      <c r="L633" t="n">
        <v>0</v>
      </c>
      <c r="M633" t="n">
        <v>0</v>
      </c>
      <c r="N633" t="n">
        <v>0</v>
      </c>
      <c r="O633" t="n">
        <v>0</v>
      </c>
      <c r="P633" t="n">
        <v>0</v>
      </c>
      <c r="Q633" t="n">
        <v>0</v>
      </c>
      <c r="R633" s="2" t="inlineStr"/>
    </row>
    <row r="634" ht="15" customHeight="1">
      <c r="A634" t="inlineStr">
        <is>
          <t>A 16653-2026</t>
        </is>
      </c>
      <c r="B634" s="1" t="n">
        <v>46112.64597222222</v>
      </c>
      <c r="C634" s="1" t="n">
        <v>46182</v>
      </c>
      <c r="D634" t="inlineStr">
        <is>
          <t>KALMAR LÄN</t>
        </is>
      </c>
      <c r="E634" t="inlineStr">
        <is>
          <t>VIMMERBY</t>
        </is>
      </c>
      <c r="F634" t="inlineStr">
        <is>
          <t>Kommuner</t>
        </is>
      </c>
      <c r="G634" t="n">
        <v>4.4</v>
      </c>
      <c r="H634" t="n">
        <v>0</v>
      </c>
      <c r="I634" t="n">
        <v>0</v>
      </c>
      <c r="J634" t="n">
        <v>0</v>
      </c>
      <c r="K634" t="n">
        <v>0</v>
      </c>
      <c r="L634" t="n">
        <v>0</v>
      </c>
      <c r="M634" t="n">
        <v>0</v>
      </c>
      <c r="N634" t="n">
        <v>0</v>
      </c>
      <c r="O634" t="n">
        <v>0</v>
      </c>
      <c r="P634" t="n">
        <v>0</v>
      </c>
      <c r="Q634" t="n">
        <v>0</v>
      </c>
      <c r="R634" s="2" t="inlineStr"/>
    </row>
    <row r="635" ht="15" customHeight="1">
      <c r="A635" t="inlineStr">
        <is>
          <t>A 49488-2023</t>
        </is>
      </c>
      <c r="B635" s="1" t="n">
        <v>45211.55472222222</v>
      </c>
      <c r="C635" s="1" t="n">
        <v>46182</v>
      </c>
      <c r="D635" t="inlineStr">
        <is>
          <t>KALMAR LÄN</t>
        </is>
      </c>
      <c r="E635" t="inlineStr">
        <is>
          <t>VIMMERBY</t>
        </is>
      </c>
      <c r="F635" t="inlineStr">
        <is>
          <t>Sveaskog</t>
        </is>
      </c>
      <c r="G635" t="n">
        <v>6.2</v>
      </c>
      <c r="H635" t="n">
        <v>0</v>
      </c>
      <c r="I635" t="n">
        <v>0</v>
      </c>
      <c r="J635" t="n">
        <v>0</v>
      </c>
      <c r="K635" t="n">
        <v>0</v>
      </c>
      <c r="L635" t="n">
        <v>0</v>
      </c>
      <c r="M635" t="n">
        <v>0</v>
      </c>
      <c r="N635" t="n">
        <v>0</v>
      </c>
      <c r="O635" t="n">
        <v>0</v>
      </c>
      <c r="P635" t="n">
        <v>0</v>
      </c>
      <c r="Q635" t="n">
        <v>0</v>
      </c>
      <c r="R635" s="2" t="inlineStr"/>
    </row>
    <row r="636" ht="15" customHeight="1">
      <c r="A636" t="inlineStr">
        <is>
          <t>A 16675-2026</t>
        </is>
      </c>
      <c r="B636" s="1" t="n">
        <v>46112.68202546296</v>
      </c>
      <c r="C636" s="1" t="n">
        <v>46182</v>
      </c>
      <c r="D636" t="inlineStr">
        <is>
          <t>KALMAR LÄN</t>
        </is>
      </c>
      <c r="E636" t="inlineStr">
        <is>
          <t>VIMMERBY</t>
        </is>
      </c>
      <c r="F636" t="inlineStr">
        <is>
          <t>Kommuner</t>
        </is>
      </c>
      <c r="G636" t="n">
        <v>0.8</v>
      </c>
      <c r="H636" t="n">
        <v>0</v>
      </c>
      <c r="I636" t="n">
        <v>0</v>
      </c>
      <c r="J636" t="n">
        <v>0</v>
      </c>
      <c r="K636" t="n">
        <v>0</v>
      </c>
      <c r="L636" t="n">
        <v>0</v>
      </c>
      <c r="M636" t="n">
        <v>0</v>
      </c>
      <c r="N636" t="n">
        <v>0</v>
      </c>
      <c r="O636" t="n">
        <v>0</v>
      </c>
      <c r="P636" t="n">
        <v>0</v>
      </c>
      <c r="Q636" t="n">
        <v>0</v>
      </c>
      <c r="R636" s="2" t="inlineStr"/>
    </row>
    <row r="637" ht="15" customHeight="1">
      <c r="A637" t="inlineStr">
        <is>
          <t>A 16632-2026</t>
        </is>
      </c>
      <c r="B637" s="1" t="n">
        <v>46112.62212962963</v>
      </c>
      <c r="C637" s="1" t="n">
        <v>46182</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16678-2026</t>
        </is>
      </c>
      <c r="B638" s="1" t="n">
        <v>46112.69435185185</v>
      </c>
      <c r="C638" s="1" t="n">
        <v>46182</v>
      </c>
      <c r="D638" t="inlineStr">
        <is>
          <t>KALMAR LÄN</t>
        </is>
      </c>
      <c r="E638" t="inlineStr">
        <is>
          <t>VIMMERBY</t>
        </is>
      </c>
      <c r="F638" t="inlineStr">
        <is>
          <t>Kommuner</t>
        </is>
      </c>
      <c r="G638" t="n">
        <v>1.6</v>
      </c>
      <c r="H638" t="n">
        <v>0</v>
      </c>
      <c r="I638" t="n">
        <v>0</v>
      </c>
      <c r="J638" t="n">
        <v>0</v>
      </c>
      <c r="K638" t="n">
        <v>0</v>
      </c>
      <c r="L638" t="n">
        <v>0</v>
      </c>
      <c r="M638" t="n">
        <v>0</v>
      </c>
      <c r="N638" t="n">
        <v>0</v>
      </c>
      <c r="O638" t="n">
        <v>0</v>
      </c>
      <c r="P638" t="n">
        <v>0</v>
      </c>
      <c r="Q638" t="n">
        <v>0</v>
      </c>
      <c r="R638" s="2" t="inlineStr"/>
    </row>
    <row r="639" ht="15" customHeight="1">
      <c r="A639" t="inlineStr">
        <is>
          <t>A 8410-2023</t>
        </is>
      </c>
      <c r="B639" s="1" t="n">
        <v>44977</v>
      </c>
      <c r="C639" s="1" t="n">
        <v>46182</v>
      </c>
      <c r="D639" t="inlineStr">
        <is>
          <t>KALMAR LÄN</t>
        </is>
      </c>
      <c r="E639" t="inlineStr">
        <is>
          <t>VIMMERBY</t>
        </is>
      </c>
      <c r="G639" t="n">
        <v>0.9</v>
      </c>
      <c r="H639" t="n">
        <v>0</v>
      </c>
      <c r="I639" t="n">
        <v>0</v>
      </c>
      <c r="J639" t="n">
        <v>0</v>
      </c>
      <c r="K639" t="n">
        <v>0</v>
      </c>
      <c r="L639" t="n">
        <v>0</v>
      </c>
      <c r="M639" t="n">
        <v>0</v>
      </c>
      <c r="N639" t="n">
        <v>0</v>
      </c>
      <c r="O639" t="n">
        <v>0</v>
      </c>
      <c r="P639" t="n">
        <v>0</v>
      </c>
      <c r="Q639" t="n">
        <v>0</v>
      </c>
      <c r="R639" s="2" t="inlineStr"/>
    </row>
    <row r="640" ht="15" customHeight="1">
      <c r="A640" t="inlineStr">
        <is>
          <t>A 40147-2023</t>
        </is>
      </c>
      <c r="B640" s="1" t="n">
        <v>45169</v>
      </c>
      <c r="C640" s="1" t="n">
        <v>46182</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30920-2024</t>
        </is>
      </c>
      <c r="B641" s="1" t="n">
        <v>45498.673125</v>
      </c>
      <c r="C641" s="1" t="n">
        <v>46182</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50995-2022</t>
        </is>
      </c>
      <c r="B642" s="1" t="n">
        <v>44867</v>
      </c>
      <c r="C642" s="1" t="n">
        <v>46182</v>
      </c>
      <c r="D642" t="inlineStr">
        <is>
          <t>KALMAR LÄN</t>
        </is>
      </c>
      <c r="E642" t="inlineStr">
        <is>
          <t>VIMMERBY</t>
        </is>
      </c>
      <c r="G642" t="n">
        <v>2.4</v>
      </c>
      <c r="H642" t="n">
        <v>0</v>
      </c>
      <c r="I642" t="n">
        <v>0</v>
      </c>
      <c r="J642" t="n">
        <v>0</v>
      </c>
      <c r="K642" t="n">
        <v>0</v>
      </c>
      <c r="L642" t="n">
        <v>0</v>
      </c>
      <c r="M642" t="n">
        <v>0</v>
      </c>
      <c r="N642" t="n">
        <v>0</v>
      </c>
      <c r="O642" t="n">
        <v>0</v>
      </c>
      <c r="P642" t="n">
        <v>0</v>
      </c>
      <c r="Q642" t="n">
        <v>0</v>
      </c>
      <c r="R642" s="2" t="inlineStr"/>
    </row>
    <row r="643" ht="15" customHeight="1">
      <c r="A643" t="inlineStr">
        <is>
          <t>A 16799-2026</t>
        </is>
      </c>
      <c r="B643" s="1" t="n">
        <v>46113.47913194444</v>
      </c>
      <c r="C643" s="1" t="n">
        <v>46182</v>
      </c>
      <c r="D643" t="inlineStr">
        <is>
          <t>KALMAR LÄN</t>
        </is>
      </c>
      <c r="E643" t="inlineStr">
        <is>
          <t>VIMMERBY</t>
        </is>
      </c>
      <c r="G643" t="n">
        <v>1</v>
      </c>
      <c r="H643" t="n">
        <v>0</v>
      </c>
      <c r="I643" t="n">
        <v>0</v>
      </c>
      <c r="J643" t="n">
        <v>0</v>
      </c>
      <c r="K643" t="n">
        <v>0</v>
      </c>
      <c r="L643" t="n">
        <v>0</v>
      </c>
      <c r="M643" t="n">
        <v>0</v>
      </c>
      <c r="N643" t="n">
        <v>0</v>
      </c>
      <c r="O643" t="n">
        <v>0</v>
      </c>
      <c r="P643" t="n">
        <v>0</v>
      </c>
      <c r="Q643" t="n">
        <v>0</v>
      </c>
      <c r="R643" s="2" t="inlineStr"/>
    </row>
    <row r="644" ht="15" customHeight="1">
      <c r="A644" t="inlineStr">
        <is>
          <t>A 40929-2022</t>
        </is>
      </c>
      <c r="B644" s="1" t="n">
        <v>44825.4336574074</v>
      </c>
      <c r="C644" s="1" t="n">
        <v>46182</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50091-2023</t>
        </is>
      </c>
      <c r="B645" s="1" t="n">
        <v>45215.60199074074</v>
      </c>
      <c r="C645" s="1" t="n">
        <v>46182</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27993-2022</t>
        </is>
      </c>
      <c r="B646" s="1" t="n">
        <v>44745.84396990741</v>
      </c>
      <c r="C646" s="1" t="n">
        <v>46182</v>
      </c>
      <c r="D646" t="inlineStr">
        <is>
          <t>KALMAR LÄN</t>
        </is>
      </c>
      <c r="E646" t="inlineStr">
        <is>
          <t>VIMMERBY</t>
        </is>
      </c>
      <c r="G646" t="n">
        <v>2.8</v>
      </c>
      <c r="H646" t="n">
        <v>0</v>
      </c>
      <c r="I646" t="n">
        <v>0</v>
      </c>
      <c r="J646" t="n">
        <v>0</v>
      </c>
      <c r="K646" t="n">
        <v>0</v>
      </c>
      <c r="L646" t="n">
        <v>0</v>
      </c>
      <c r="M646" t="n">
        <v>0</v>
      </c>
      <c r="N646" t="n">
        <v>0</v>
      </c>
      <c r="O646" t="n">
        <v>0</v>
      </c>
      <c r="P646" t="n">
        <v>0</v>
      </c>
      <c r="Q646" t="n">
        <v>0</v>
      </c>
      <c r="R646" s="2" t="inlineStr"/>
    </row>
    <row r="647" ht="15" customHeight="1">
      <c r="A647" t="inlineStr">
        <is>
          <t>A 16823-2026</t>
        </is>
      </c>
      <c r="B647" s="1" t="n">
        <v>46113.51649305555</v>
      </c>
      <c r="C647" s="1" t="n">
        <v>46182</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36008-2024</t>
        </is>
      </c>
      <c r="B648" s="1" t="n">
        <v>45533.55362268518</v>
      </c>
      <c r="C648" s="1" t="n">
        <v>46182</v>
      </c>
      <c r="D648" t="inlineStr">
        <is>
          <t>KALMAR LÄN</t>
        </is>
      </c>
      <c r="E648" t="inlineStr">
        <is>
          <t>VIMMERBY</t>
        </is>
      </c>
      <c r="G648" t="n">
        <v>3.7</v>
      </c>
      <c r="H648" t="n">
        <v>0</v>
      </c>
      <c r="I648" t="n">
        <v>0</v>
      </c>
      <c r="J648" t="n">
        <v>0</v>
      </c>
      <c r="K648" t="n">
        <v>0</v>
      </c>
      <c r="L648" t="n">
        <v>0</v>
      </c>
      <c r="M648" t="n">
        <v>0</v>
      </c>
      <c r="N648" t="n">
        <v>0</v>
      </c>
      <c r="O648" t="n">
        <v>0</v>
      </c>
      <c r="P648" t="n">
        <v>0</v>
      </c>
      <c r="Q648" t="n">
        <v>0</v>
      </c>
      <c r="R648" s="2" t="inlineStr"/>
    </row>
    <row r="649" ht="15" customHeight="1">
      <c r="A649" t="inlineStr">
        <is>
          <t>A 16870-2026</t>
        </is>
      </c>
      <c r="B649" s="1" t="n">
        <v>46113.5822800926</v>
      </c>
      <c r="C649" s="1" t="n">
        <v>46182</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16801-2026</t>
        </is>
      </c>
      <c r="B650" s="1" t="n">
        <v>46113.48400462963</v>
      </c>
      <c r="C650" s="1" t="n">
        <v>46182</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57555-2024</t>
        </is>
      </c>
      <c r="B651" s="1" t="n">
        <v>45630.45069444444</v>
      </c>
      <c r="C651" s="1" t="n">
        <v>46182</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16622-2025</t>
        </is>
      </c>
      <c r="B652" s="1" t="n">
        <v>45754.33641203704</v>
      </c>
      <c r="C652" s="1" t="n">
        <v>46182</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17511-2024</t>
        </is>
      </c>
      <c r="B653" s="1" t="n">
        <v>45415.57682870371</v>
      </c>
      <c r="C653" s="1" t="n">
        <v>46182</v>
      </c>
      <c r="D653" t="inlineStr">
        <is>
          <t>KALMAR LÄN</t>
        </is>
      </c>
      <c r="E653" t="inlineStr">
        <is>
          <t>VIMMERBY</t>
        </is>
      </c>
      <c r="G653" t="n">
        <v>5.3</v>
      </c>
      <c r="H653" t="n">
        <v>0</v>
      </c>
      <c r="I653" t="n">
        <v>0</v>
      </c>
      <c r="J653" t="n">
        <v>0</v>
      </c>
      <c r="K653" t="n">
        <v>0</v>
      </c>
      <c r="L653" t="n">
        <v>0</v>
      </c>
      <c r="M653" t="n">
        <v>0</v>
      </c>
      <c r="N653" t="n">
        <v>0</v>
      </c>
      <c r="O653" t="n">
        <v>0</v>
      </c>
      <c r="P653" t="n">
        <v>0</v>
      </c>
      <c r="Q653" t="n">
        <v>0</v>
      </c>
      <c r="R653" s="2" t="inlineStr"/>
    </row>
    <row r="654" ht="15" customHeight="1">
      <c r="A654" t="inlineStr">
        <is>
          <t>A 43705-2023</t>
        </is>
      </c>
      <c r="B654" s="1" t="n">
        <v>45187.42854166667</v>
      </c>
      <c r="C654" s="1" t="n">
        <v>46182</v>
      </c>
      <c r="D654" t="inlineStr">
        <is>
          <t>KALMAR LÄN</t>
        </is>
      </c>
      <c r="E654" t="inlineStr">
        <is>
          <t>VIMMERBY</t>
        </is>
      </c>
      <c r="G654" t="n">
        <v>1.2</v>
      </c>
      <c r="H654" t="n">
        <v>0</v>
      </c>
      <c r="I654" t="n">
        <v>0</v>
      </c>
      <c r="J654" t="n">
        <v>0</v>
      </c>
      <c r="K654" t="n">
        <v>0</v>
      </c>
      <c r="L654" t="n">
        <v>0</v>
      </c>
      <c r="M654" t="n">
        <v>0</v>
      </c>
      <c r="N654" t="n">
        <v>0</v>
      </c>
      <c r="O654" t="n">
        <v>0</v>
      </c>
      <c r="P654" t="n">
        <v>0</v>
      </c>
      <c r="Q654" t="n">
        <v>0</v>
      </c>
      <c r="R654" s="2" t="inlineStr"/>
    </row>
    <row r="655" ht="15" customHeight="1">
      <c r="A655" t="inlineStr">
        <is>
          <t>A 16795-2026</t>
        </is>
      </c>
      <c r="B655" s="1" t="n">
        <v>46113.47216435185</v>
      </c>
      <c r="C655" s="1" t="n">
        <v>46182</v>
      </c>
      <c r="D655" t="inlineStr">
        <is>
          <t>KALMAR LÄN</t>
        </is>
      </c>
      <c r="E655" t="inlineStr">
        <is>
          <t>VIMMERBY</t>
        </is>
      </c>
      <c r="G655" t="n">
        <v>2.1</v>
      </c>
      <c r="H655" t="n">
        <v>0</v>
      </c>
      <c r="I655" t="n">
        <v>0</v>
      </c>
      <c r="J655" t="n">
        <v>0</v>
      </c>
      <c r="K655" t="n">
        <v>0</v>
      </c>
      <c r="L655" t="n">
        <v>0</v>
      </c>
      <c r="M655" t="n">
        <v>0</v>
      </c>
      <c r="N655" t="n">
        <v>0</v>
      </c>
      <c r="O655" t="n">
        <v>0</v>
      </c>
      <c r="P655" t="n">
        <v>0</v>
      </c>
      <c r="Q655" t="n">
        <v>0</v>
      </c>
      <c r="R655" s="2" t="inlineStr"/>
    </row>
    <row r="656" ht="15" customHeight="1">
      <c r="A656" t="inlineStr">
        <is>
          <t>A 36014-2024</t>
        </is>
      </c>
      <c r="B656" s="1" t="n">
        <v>45533.56108796296</v>
      </c>
      <c r="C656" s="1" t="n">
        <v>46182</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36030-2024</t>
        </is>
      </c>
      <c r="B657" s="1" t="n">
        <v>45533.58302083334</v>
      </c>
      <c r="C657" s="1" t="n">
        <v>46182</v>
      </c>
      <c r="D657" t="inlineStr">
        <is>
          <t>KALMAR LÄN</t>
        </is>
      </c>
      <c r="E657" t="inlineStr">
        <is>
          <t>VIMMERBY</t>
        </is>
      </c>
      <c r="F657" t="inlineStr">
        <is>
          <t>Kommuner</t>
        </is>
      </c>
      <c r="G657" t="n">
        <v>4</v>
      </c>
      <c r="H657" t="n">
        <v>0</v>
      </c>
      <c r="I657" t="n">
        <v>0</v>
      </c>
      <c r="J657" t="n">
        <v>0</v>
      </c>
      <c r="K657" t="n">
        <v>0</v>
      </c>
      <c r="L657" t="n">
        <v>0</v>
      </c>
      <c r="M657" t="n">
        <v>0</v>
      </c>
      <c r="N657" t="n">
        <v>0</v>
      </c>
      <c r="O657" t="n">
        <v>0</v>
      </c>
      <c r="P657" t="n">
        <v>0</v>
      </c>
      <c r="Q657" t="n">
        <v>0</v>
      </c>
      <c r="R657" s="2" t="inlineStr"/>
    </row>
    <row r="658" ht="15" customHeight="1">
      <c r="A658" t="inlineStr">
        <is>
          <t>A 32865-2023</t>
        </is>
      </c>
      <c r="B658" s="1" t="n">
        <v>45124</v>
      </c>
      <c r="C658" s="1" t="n">
        <v>46182</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55300-2021</t>
        </is>
      </c>
      <c r="B659" s="1" t="n">
        <v>44475</v>
      </c>
      <c r="C659" s="1" t="n">
        <v>46182</v>
      </c>
      <c r="D659" t="inlineStr">
        <is>
          <t>KALMAR LÄN</t>
        </is>
      </c>
      <c r="E659" t="inlineStr">
        <is>
          <t>VIMMERBY</t>
        </is>
      </c>
      <c r="G659" t="n">
        <v>3.4</v>
      </c>
      <c r="H659" t="n">
        <v>0</v>
      </c>
      <c r="I659" t="n">
        <v>0</v>
      </c>
      <c r="J659" t="n">
        <v>0</v>
      </c>
      <c r="K659" t="n">
        <v>0</v>
      </c>
      <c r="L659" t="n">
        <v>0</v>
      </c>
      <c r="M659" t="n">
        <v>0</v>
      </c>
      <c r="N659" t="n">
        <v>0</v>
      </c>
      <c r="O659" t="n">
        <v>0</v>
      </c>
      <c r="P659" t="n">
        <v>0</v>
      </c>
      <c r="Q659" t="n">
        <v>0</v>
      </c>
      <c r="R659" s="2" t="inlineStr"/>
    </row>
    <row r="660" ht="15" customHeight="1">
      <c r="A660" t="inlineStr">
        <is>
          <t>A 44179-2022</t>
        </is>
      </c>
      <c r="B660" s="1" t="n">
        <v>44839.4528125</v>
      </c>
      <c r="C660" s="1" t="n">
        <v>46182</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52755-2022</t>
        </is>
      </c>
      <c r="B661" s="1" t="n">
        <v>44875.27736111111</v>
      </c>
      <c r="C661" s="1" t="n">
        <v>46182</v>
      </c>
      <c r="D661" t="inlineStr">
        <is>
          <t>KALMAR LÄN</t>
        </is>
      </c>
      <c r="E661" t="inlineStr">
        <is>
          <t>VIMMERBY</t>
        </is>
      </c>
      <c r="G661" t="n">
        <v>1.1</v>
      </c>
      <c r="H661" t="n">
        <v>0</v>
      </c>
      <c r="I661" t="n">
        <v>0</v>
      </c>
      <c r="J661" t="n">
        <v>0</v>
      </c>
      <c r="K661" t="n">
        <v>0</v>
      </c>
      <c r="L661" t="n">
        <v>0</v>
      </c>
      <c r="M661" t="n">
        <v>0</v>
      </c>
      <c r="N661" t="n">
        <v>0</v>
      </c>
      <c r="O661" t="n">
        <v>0</v>
      </c>
      <c r="P661" t="n">
        <v>0</v>
      </c>
      <c r="Q661" t="n">
        <v>0</v>
      </c>
      <c r="R661" s="2" t="inlineStr"/>
    </row>
    <row r="662" ht="15" customHeight="1">
      <c r="A662" t="inlineStr">
        <is>
          <t>A 35998-2024</t>
        </is>
      </c>
      <c r="B662" s="1" t="n">
        <v>45533.54429398148</v>
      </c>
      <c r="C662" s="1" t="n">
        <v>46182</v>
      </c>
      <c r="D662" t="inlineStr">
        <is>
          <t>KALMAR LÄN</t>
        </is>
      </c>
      <c r="E662" t="inlineStr">
        <is>
          <t>VIMMERBY</t>
        </is>
      </c>
      <c r="G662" t="n">
        <v>8.6</v>
      </c>
      <c r="H662" t="n">
        <v>0</v>
      </c>
      <c r="I662" t="n">
        <v>0</v>
      </c>
      <c r="J662" t="n">
        <v>0</v>
      </c>
      <c r="K662" t="n">
        <v>0</v>
      </c>
      <c r="L662" t="n">
        <v>0</v>
      </c>
      <c r="M662" t="n">
        <v>0</v>
      </c>
      <c r="N662" t="n">
        <v>0</v>
      </c>
      <c r="O662" t="n">
        <v>0</v>
      </c>
      <c r="P662" t="n">
        <v>0</v>
      </c>
      <c r="Q662" t="n">
        <v>0</v>
      </c>
      <c r="R662" s="2" t="inlineStr"/>
    </row>
    <row r="663" ht="15" customHeight="1">
      <c r="A663" t="inlineStr">
        <is>
          <t>A 42918-2021</t>
        </is>
      </c>
      <c r="B663" s="1" t="n">
        <v>44431</v>
      </c>
      <c r="C663" s="1" t="n">
        <v>46182</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7797-2023</t>
        </is>
      </c>
      <c r="B664" s="1" t="n">
        <v>44973.43075231482</v>
      </c>
      <c r="C664" s="1" t="n">
        <v>46182</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22643-2023</t>
        </is>
      </c>
      <c r="B665" s="1" t="n">
        <v>45071</v>
      </c>
      <c r="C665" s="1" t="n">
        <v>46182</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38780-2021</t>
        </is>
      </c>
      <c r="B666" s="1" t="n">
        <v>44410</v>
      </c>
      <c r="C666" s="1" t="n">
        <v>46182</v>
      </c>
      <c r="D666" t="inlineStr">
        <is>
          <t>KALMAR LÄN</t>
        </is>
      </c>
      <c r="E666" t="inlineStr">
        <is>
          <t>VIMMERBY</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29351-2023</t>
        </is>
      </c>
      <c r="B667" s="1" t="n">
        <v>45106.2610300926</v>
      </c>
      <c r="C667" s="1" t="n">
        <v>46182</v>
      </c>
      <c r="D667" t="inlineStr">
        <is>
          <t>KALMAR LÄN</t>
        </is>
      </c>
      <c r="E667" t="inlineStr">
        <is>
          <t>VIMMERBY</t>
        </is>
      </c>
      <c r="G667" t="n">
        <v>0.4</v>
      </c>
      <c r="H667" t="n">
        <v>0</v>
      </c>
      <c r="I667" t="n">
        <v>0</v>
      </c>
      <c r="J667" t="n">
        <v>0</v>
      </c>
      <c r="K667" t="n">
        <v>0</v>
      </c>
      <c r="L667" t="n">
        <v>0</v>
      </c>
      <c r="M667" t="n">
        <v>0</v>
      </c>
      <c r="N667" t="n">
        <v>0</v>
      </c>
      <c r="O667" t="n">
        <v>0</v>
      </c>
      <c r="P667" t="n">
        <v>0</v>
      </c>
      <c r="Q667" t="n">
        <v>0</v>
      </c>
      <c r="R667" s="2" t="inlineStr"/>
    </row>
    <row r="668" ht="15" customHeight="1">
      <c r="A668" t="inlineStr">
        <is>
          <t>A 1024-2024</t>
        </is>
      </c>
      <c r="B668" s="1" t="n">
        <v>45301.68237268519</v>
      </c>
      <c r="C668" s="1" t="n">
        <v>46182</v>
      </c>
      <c r="D668" t="inlineStr">
        <is>
          <t>KALMAR LÄN</t>
        </is>
      </c>
      <c r="E668" t="inlineStr">
        <is>
          <t>VIMMERBY</t>
        </is>
      </c>
      <c r="G668" t="n">
        <v>13</v>
      </c>
      <c r="H668" t="n">
        <v>0</v>
      </c>
      <c r="I668" t="n">
        <v>0</v>
      </c>
      <c r="J668" t="n">
        <v>0</v>
      </c>
      <c r="K668" t="n">
        <v>0</v>
      </c>
      <c r="L668" t="n">
        <v>0</v>
      </c>
      <c r="M668" t="n">
        <v>0</v>
      </c>
      <c r="N668" t="n">
        <v>0</v>
      </c>
      <c r="O668" t="n">
        <v>0</v>
      </c>
      <c r="P668" t="n">
        <v>0</v>
      </c>
      <c r="Q668" t="n">
        <v>0</v>
      </c>
      <c r="R668" s="2" t="inlineStr"/>
    </row>
    <row r="669" ht="15" customHeight="1">
      <c r="A669" t="inlineStr">
        <is>
          <t>A 29020-2024</t>
        </is>
      </c>
      <c r="B669" s="1" t="n">
        <v>45481.58048611111</v>
      </c>
      <c r="C669" s="1" t="n">
        <v>46182</v>
      </c>
      <c r="D669" t="inlineStr">
        <is>
          <t>KALMAR LÄN</t>
        </is>
      </c>
      <c r="E669" t="inlineStr">
        <is>
          <t>VIMMERBY</t>
        </is>
      </c>
      <c r="G669" t="n">
        <v>2.3</v>
      </c>
      <c r="H669" t="n">
        <v>0</v>
      </c>
      <c r="I669" t="n">
        <v>0</v>
      </c>
      <c r="J669" t="n">
        <v>0</v>
      </c>
      <c r="K669" t="n">
        <v>0</v>
      </c>
      <c r="L669" t="n">
        <v>0</v>
      </c>
      <c r="M669" t="n">
        <v>0</v>
      </c>
      <c r="N669" t="n">
        <v>0</v>
      </c>
      <c r="O669" t="n">
        <v>0</v>
      </c>
      <c r="P669" t="n">
        <v>0</v>
      </c>
      <c r="Q669" t="n">
        <v>0</v>
      </c>
      <c r="R669" s="2" t="inlineStr"/>
    </row>
    <row r="670" ht="15" customHeight="1">
      <c r="A670" t="inlineStr">
        <is>
          <t>A 30406-2023</t>
        </is>
      </c>
      <c r="B670" s="1" t="n">
        <v>45111.48787037037</v>
      </c>
      <c r="C670" s="1" t="n">
        <v>46182</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13817-2024</t>
        </is>
      </c>
      <c r="B671" s="1" t="n">
        <v>45391.41976851852</v>
      </c>
      <c r="C671" s="1" t="n">
        <v>46182</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10787-2025</t>
        </is>
      </c>
      <c r="B672" s="1" t="n">
        <v>45722.48915509259</v>
      </c>
      <c r="C672" s="1" t="n">
        <v>46182</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29350-2023</t>
        </is>
      </c>
      <c r="B673" s="1" t="n">
        <v>45106</v>
      </c>
      <c r="C673" s="1" t="n">
        <v>46182</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14855-2025</t>
        </is>
      </c>
      <c r="B674" s="1" t="n">
        <v>45743.41148148148</v>
      </c>
      <c r="C674" s="1" t="n">
        <v>46182</v>
      </c>
      <c r="D674" t="inlineStr">
        <is>
          <t>KALMAR LÄN</t>
        </is>
      </c>
      <c r="E674" t="inlineStr">
        <is>
          <t>VIMMERBY</t>
        </is>
      </c>
      <c r="G674" t="n">
        <v>1.2</v>
      </c>
      <c r="H674" t="n">
        <v>0</v>
      </c>
      <c r="I674" t="n">
        <v>0</v>
      </c>
      <c r="J674" t="n">
        <v>0</v>
      </c>
      <c r="K674" t="n">
        <v>0</v>
      </c>
      <c r="L674" t="n">
        <v>0</v>
      </c>
      <c r="M674" t="n">
        <v>0</v>
      </c>
      <c r="N674" t="n">
        <v>0</v>
      </c>
      <c r="O674" t="n">
        <v>0</v>
      </c>
      <c r="P674" t="n">
        <v>0</v>
      </c>
      <c r="Q674" t="n">
        <v>0</v>
      </c>
      <c r="R674" s="2" t="inlineStr"/>
    </row>
    <row r="675" ht="15" customHeight="1">
      <c r="A675" t="inlineStr">
        <is>
          <t>A 43601-2024</t>
        </is>
      </c>
      <c r="B675" s="1" t="n">
        <v>45569.44684027778</v>
      </c>
      <c r="C675" s="1" t="n">
        <v>46182</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35913-2023</t>
        </is>
      </c>
      <c r="B676" s="1" t="n">
        <v>45148</v>
      </c>
      <c r="C676" s="1" t="n">
        <v>46182</v>
      </c>
      <c r="D676" t="inlineStr">
        <is>
          <t>KALMAR LÄN</t>
        </is>
      </c>
      <c r="E676" t="inlineStr">
        <is>
          <t>VIMMERBY</t>
        </is>
      </c>
      <c r="G676" t="n">
        <v>6.9</v>
      </c>
      <c r="H676" t="n">
        <v>0</v>
      </c>
      <c r="I676" t="n">
        <v>0</v>
      </c>
      <c r="J676" t="n">
        <v>0</v>
      </c>
      <c r="K676" t="n">
        <v>0</v>
      </c>
      <c r="L676" t="n">
        <v>0</v>
      </c>
      <c r="M676" t="n">
        <v>0</v>
      </c>
      <c r="N676" t="n">
        <v>0</v>
      </c>
      <c r="O676" t="n">
        <v>0</v>
      </c>
      <c r="P676" t="n">
        <v>0</v>
      </c>
      <c r="Q676" t="n">
        <v>0</v>
      </c>
      <c r="R676" s="2" t="inlineStr"/>
    </row>
    <row r="677" ht="15" customHeight="1">
      <c r="A677" t="inlineStr">
        <is>
          <t>A 9624-2024</t>
        </is>
      </c>
      <c r="B677" s="1" t="n">
        <v>45361.90282407407</v>
      </c>
      <c r="C677" s="1" t="n">
        <v>46182</v>
      </c>
      <c r="D677" t="inlineStr">
        <is>
          <t>KALMAR LÄN</t>
        </is>
      </c>
      <c r="E677" t="inlineStr">
        <is>
          <t>VIMMERBY</t>
        </is>
      </c>
      <c r="G677" t="n">
        <v>3.8</v>
      </c>
      <c r="H677" t="n">
        <v>0</v>
      </c>
      <c r="I677" t="n">
        <v>0</v>
      </c>
      <c r="J677" t="n">
        <v>0</v>
      </c>
      <c r="K677" t="n">
        <v>0</v>
      </c>
      <c r="L677" t="n">
        <v>0</v>
      </c>
      <c r="M677" t="n">
        <v>0</v>
      </c>
      <c r="N677" t="n">
        <v>0</v>
      </c>
      <c r="O677" t="n">
        <v>0</v>
      </c>
      <c r="P677" t="n">
        <v>0</v>
      </c>
      <c r="Q677" t="n">
        <v>0</v>
      </c>
      <c r="R677" s="2" t="inlineStr"/>
    </row>
    <row r="678" ht="15" customHeight="1">
      <c r="A678" t="inlineStr">
        <is>
          <t>A 3938-2023</t>
        </is>
      </c>
      <c r="B678" s="1" t="n">
        <v>44952.35775462963</v>
      </c>
      <c r="C678" s="1" t="n">
        <v>46182</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39053-2024</t>
        </is>
      </c>
      <c r="B679" s="1" t="n">
        <v>45548</v>
      </c>
      <c r="C679" s="1" t="n">
        <v>46182</v>
      </c>
      <c r="D679" t="inlineStr">
        <is>
          <t>KALMAR LÄN</t>
        </is>
      </c>
      <c r="E679" t="inlineStr">
        <is>
          <t>VIMMERBY</t>
        </is>
      </c>
      <c r="G679" t="n">
        <v>5</v>
      </c>
      <c r="H679" t="n">
        <v>0</v>
      </c>
      <c r="I679" t="n">
        <v>0</v>
      </c>
      <c r="J679" t="n">
        <v>0</v>
      </c>
      <c r="K679" t="n">
        <v>0</v>
      </c>
      <c r="L679" t="n">
        <v>0</v>
      </c>
      <c r="M679" t="n">
        <v>0</v>
      </c>
      <c r="N679" t="n">
        <v>0</v>
      </c>
      <c r="O679" t="n">
        <v>0</v>
      </c>
      <c r="P679" t="n">
        <v>0</v>
      </c>
      <c r="Q679" t="n">
        <v>0</v>
      </c>
      <c r="R679" s="2" t="inlineStr"/>
    </row>
    <row r="680" ht="15" customHeight="1">
      <c r="A680" t="inlineStr">
        <is>
          <t>A 14451-2024</t>
        </is>
      </c>
      <c r="B680" s="1" t="n">
        <v>45394.50028935185</v>
      </c>
      <c r="C680" s="1" t="n">
        <v>46182</v>
      </c>
      <c r="D680" t="inlineStr">
        <is>
          <t>KALMAR LÄN</t>
        </is>
      </c>
      <c r="E680" t="inlineStr">
        <is>
          <t>VIMMERBY</t>
        </is>
      </c>
      <c r="G680" t="n">
        <v>1.9</v>
      </c>
      <c r="H680" t="n">
        <v>0</v>
      </c>
      <c r="I680" t="n">
        <v>0</v>
      </c>
      <c r="J680" t="n">
        <v>0</v>
      </c>
      <c r="K680" t="n">
        <v>0</v>
      </c>
      <c r="L680" t="n">
        <v>0</v>
      </c>
      <c r="M680" t="n">
        <v>0</v>
      </c>
      <c r="N680" t="n">
        <v>0</v>
      </c>
      <c r="O680" t="n">
        <v>0</v>
      </c>
      <c r="P680" t="n">
        <v>0</v>
      </c>
      <c r="Q680" t="n">
        <v>0</v>
      </c>
      <c r="R680" s="2" t="inlineStr"/>
    </row>
    <row r="681" ht="15" customHeight="1">
      <c r="A681" t="inlineStr">
        <is>
          <t>A 34205-2023</t>
        </is>
      </c>
      <c r="B681" s="1" t="n">
        <v>45138</v>
      </c>
      <c r="C681" s="1" t="n">
        <v>46182</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3268-2024</t>
        </is>
      </c>
      <c r="B682" s="1" t="n">
        <v>45317</v>
      </c>
      <c r="C682" s="1" t="n">
        <v>46182</v>
      </c>
      <c r="D682" t="inlineStr">
        <is>
          <t>KALMAR LÄN</t>
        </is>
      </c>
      <c r="E682" t="inlineStr">
        <is>
          <t>VIMMERBY</t>
        </is>
      </c>
      <c r="F682" t="inlineStr">
        <is>
          <t>Övriga Aktiebolag</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12819-2024</t>
        </is>
      </c>
      <c r="B683" s="1" t="n">
        <v>45384.66917824074</v>
      </c>
      <c r="C683" s="1" t="n">
        <v>46182</v>
      </c>
      <c r="D683" t="inlineStr">
        <is>
          <t>KALMAR LÄN</t>
        </is>
      </c>
      <c r="E683" t="inlineStr">
        <is>
          <t>VIMMERBY</t>
        </is>
      </c>
      <c r="G683" t="n">
        <v>5.1</v>
      </c>
      <c r="H683" t="n">
        <v>0</v>
      </c>
      <c r="I683" t="n">
        <v>0</v>
      </c>
      <c r="J683" t="n">
        <v>0</v>
      </c>
      <c r="K683" t="n">
        <v>0</v>
      </c>
      <c r="L683" t="n">
        <v>0</v>
      </c>
      <c r="M683" t="n">
        <v>0</v>
      </c>
      <c r="N683" t="n">
        <v>0</v>
      </c>
      <c r="O683" t="n">
        <v>0</v>
      </c>
      <c r="P683" t="n">
        <v>0</v>
      </c>
      <c r="Q683" t="n">
        <v>0</v>
      </c>
      <c r="R683" s="2" t="inlineStr"/>
    </row>
    <row r="684" ht="15" customHeight="1">
      <c r="A684" t="inlineStr">
        <is>
          <t>A 25582-2024</t>
        </is>
      </c>
      <c r="B684" s="1" t="n">
        <v>45463</v>
      </c>
      <c r="C684" s="1" t="n">
        <v>46182</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17713-2026</t>
        </is>
      </c>
      <c r="B685" s="1" t="n">
        <v>46121.72810185186</v>
      </c>
      <c r="C685" s="1" t="n">
        <v>46182</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32569-2024</t>
        </is>
      </c>
      <c r="B686" s="1" t="n">
        <v>45513.55840277778</v>
      </c>
      <c r="C686" s="1" t="n">
        <v>46182</v>
      </c>
      <c r="D686" t="inlineStr">
        <is>
          <t>KALMAR LÄN</t>
        </is>
      </c>
      <c r="E686" t="inlineStr">
        <is>
          <t>VIMMERBY</t>
        </is>
      </c>
      <c r="G686" t="n">
        <v>3.7</v>
      </c>
      <c r="H686" t="n">
        <v>0</v>
      </c>
      <c r="I686" t="n">
        <v>0</v>
      </c>
      <c r="J686" t="n">
        <v>0</v>
      </c>
      <c r="K686" t="n">
        <v>0</v>
      </c>
      <c r="L686" t="n">
        <v>0</v>
      </c>
      <c r="M686" t="n">
        <v>0</v>
      </c>
      <c r="N686" t="n">
        <v>0</v>
      </c>
      <c r="O686" t="n">
        <v>0</v>
      </c>
      <c r="P686" t="n">
        <v>0</v>
      </c>
      <c r="Q686" t="n">
        <v>0</v>
      </c>
      <c r="R686" s="2" t="inlineStr"/>
    </row>
    <row r="687" ht="15" customHeight="1">
      <c r="A687" t="inlineStr">
        <is>
          <t>A 32575-2024</t>
        </is>
      </c>
      <c r="B687" s="1" t="n">
        <v>45513.56527777778</v>
      </c>
      <c r="C687" s="1" t="n">
        <v>46182</v>
      </c>
      <c r="D687" t="inlineStr">
        <is>
          <t>KALMAR LÄN</t>
        </is>
      </c>
      <c r="E687" t="inlineStr">
        <is>
          <t>VIMMERBY</t>
        </is>
      </c>
      <c r="G687" t="n">
        <v>1.5</v>
      </c>
      <c r="H687" t="n">
        <v>0</v>
      </c>
      <c r="I687" t="n">
        <v>0</v>
      </c>
      <c r="J687" t="n">
        <v>0</v>
      </c>
      <c r="K687" t="n">
        <v>0</v>
      </c>
      <c r="L687" t="n">
        <v>0</v>
      </c>
      <c r="M687" t="n">
        <v>0</v>
      </c>
      <c r="N687" t="n">
        <v>0</v>
      </c>
      <c r="O687" t="n">
        <v>0</v>
      </c>
      <c r="P687" t="n">
        <v>0</v>
      </c>
      <c r="Q687" t="n">
        <v>0</v>
      </c>
      <c r="R687" s="2" t="inlineStr"/>
    </row>
    <row r="688" ht="15" customHeight="1">
      <c r="A688" t="inlineStr">
        <is>
          <t>A 57578-2024</t>
        </is>
      </c>
      <c r="B688" s="1" t="n">
        <v>45630.47564814815</v>
      </c>
      <c r="C688" s="1" t="n">
        <v>46182</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59300-2024</t>
        </is>
      </c>
      <c r="B689" s="1" t="n">
        <v>45637.66542824074</v>
      </c>
      <c r="C689" s="1" t="n">
        <v>46182</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6307-2025</t>
        </is>
      </c>
      <c r="B690" s="1" t="n">
        <v>45698.69016203703</v>
      </c>
      <c r="C690" s="1" t="n">
        <v>46182</v>
      </c>
      <c r="D690" t="inlineStr">
        <is>
          <t>KALMAR LÄN</t>
        </is>
      </c>
      <c r="E690" t="inlineStr">
        <is>
          <t>VIMMERBY</t>
        </is>
      </c>
      <c r="G690" t="n">
        <v>3</v>
      </c>
      <c r="H690" t="n">
        <v>0</v>
      </c>
      <c r="I690" t="n">
        <v>0</v>
      </c>
      <c r="J690" t="n">
        <v>0</v>
      </c>
      <c r="K690" t="n">
        <v>0</v>
      </c>
      <c r="L690" t="n">
        <v>0</v>
      </c>
      <c r="M690" t="n">
        <v>0</v>
      </c>
      <c r="N690" t="n">
        <v>0</v>
      </c>
      <c r="O690" t="n">
        <v>0</v>
      </c>
      <c r="P690" t="n">
        <v>0</v>
      </c>
      <c r="Q690" t="n">
        <v>0</v>
      </c>
      <c r="R690" s="2" t="inlineStr"/>
    </row>
    <row r="691" ht="15" customHeight="1">
      <c r="A691" t="inlineStr">
        <is>
          <t>A 11442-2025</t>
        </is>
      </c>
      <c r="B691" s="1" t="n">
        <v>45726.62721064815</v>
      </c>
      <c r="C691" s="1" t="n">
        <v>46182</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36526-2023</t>
        </is>
      </c>
      <c r="B692" s="1" t="n">
        <v>45153.32778935185</v>
      </c>
      <c r="C692" s="1" t="n">
        <v>46182</v>
      </c>
      <c r="D692" t="inlineStr">
        <is>
          <t>KALMAR LÄN</t>
        </is>
      </c>
      <c r="E692" t="inlineStr">
        <is>
          <t>VIMMERBY</t>
        </is>
      </c>
      <c r="G692" t="n">
        <v>2.7</v>
      </c>
      <c r="H692" t="n">
        <v>0</v>
      </c>
      <c r="I692" t="n">
        <v>0</v>
      </c>
      <c r="J692" t="n">
        <v>0</v>
      </c>
      <c r="K692" t="n">
        <v>0</v>
      </c>
      <c r="L692" t="n">
        <v>0</v>
      </c>
      <c r="M692" t="n">
        <v>0</v>
      </c>
      <c r="N692" t="n">
        <v>0</v>
      </c>
      <c r="O692" t="n">
        <v>0</v>
      </c>
      <c r="P692" t="n">
        <v>0</v>
      </c>
      <c r="Q692" t="n">
        <v>0</v>
      </c>
      <c r="R692" s="2" t="inlineStr"/>
    </row>
    <row r="693" ht="15" customHeight="1">
      <c r="A693" t="inlineStr">
        <is>
          <t>A 58728-2024</t>
        </is>
      </c>
      <c r="B693" s="1" t="n">
        <v>45635.66695601852</v>
      </c>
      <c r="C693" s="1" t="n">
        <v>46182</v>
      </c>
      <c r="D693" t="inlineStr">
        <is>
          <t>KALMAR LÄN</t>
        </is>
      </c>
      <c r="E693" t="inlineStr">
        <is>
          <t>VIMMERBY</t>
        </is>
      </c>
      <c r="G693" t="n">
        <v>0.4</v>
      </c>
      <c r="H693" t="n">
        <v>0</v>
      </c>
      <c r="I693" t="n">
        <v>0</v>
      </c>
      <c r="J693" t="n">
        <v>0</v>
      </c>
      <c r="K693" t="n">
        <v>0</v>
      </c>
      <c r="L693" t="n">
        <v>0</v>
      </c>
      <c r="M693" t="n">
        <v>0</v>
      </c>
      <c r="N693" t="n">
        <v>0</v>
      </c>
      <c r="O693" t="n">
        <v>0</v>
      </c>
      <c r="P693" t="n">
        <v>0</v>
      </c>
      <c r="Q693" t="n">
        <v>0</v>
      </c>
      <c r="R693" s="2" t="inlineStr"/>
    </row>
    <row r="694" ht="15" customHeight="1">
      <c r="A694" t="inlineStr">
        <is>
          <t>A 18122-2026</t>
        </is>
      </c>
      <c r="B694" s="1" t="n">
        <v>46125.58524305555</v>
      </c>
      <c r="C694" s="1" t="n">
        <v>46182</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49474-2023</t>
        </is>
      </c>
      <c r="B695" s="1" t="n">
        <v>45211.541875</v>
      </c>
      <c r="C695" s="1" t="n">
        <v>46182</v>
      </c>
      <c r="D695" t="inlineStr">
        <is>
          <t>KALMAR LÄN</t>
        </is>
      </c>
      <c r="E695" t="inlineStr">
        <is>
          <t>VIMMERBY</t>
        </is>
      </c>
      <c r="G695" t="n">
        <v>3.6</v>
      </c>
      <c r="H695" t="n">
        <v>0</v>
      </c>
      <c r="I695" t="n">
        <v>0</v>
      </c>
      <c r="J695" t="n">
        <v>0</v>
      </c>
      <c r="K695" t="n">
        <v>0</v>
      </c>
      <c r="L695" t="n">
        <v>0</v>
      </c>
      <c r="M695" t="n">
        <v>0</v>
      </c>
      <c r="N695" t="n">
        <v>0</v>
      </c>
      <c r="O695" t="n">
        <v>0</v>
      </c>
      <c r="P695" t="n">
        <v>0</v>
      </c>
      <c r="Q695" t="n">
        <v>0</v>
      </c>
      <c r="R695" s="2" t="inlineStr"/>
    </row>
    <row r="696" ht="15" customHeight="1">
      <c r="A696" t="inlineStr">
        <is>
          <t>A 57682-2022</t>
        </is>
      </c>
      <c r="B696" s="1" t="n">
        <v>44890</v>
      </c>
      <c r="C696" s="1" t="n">
        <v>46182</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18633-2026</t>
        </is>
      </c>
      <c r="B697" s="1" t="n">
        <v>46128.26289351852</v>
      </c>
      <c r="C697" s="1" t="n">
        <v>46182</v>
      </c>
      <c r="D697" t="inlineStr">
        <is>
          <t>KALMAR LÄN</t>
        </is>
      </c>
      <c r="E697" t="inlineStr">
        <is>
          <t>VIMMERBY</t>
        </is>
      </c>
      <c r="G697" t="n">
        <v>2</v>
      </c>
      <c r="H697" t="n">
        <v>0</v>
      </c>
      <c r="I697" t="n">
        <v>0</v>
      </c>
      <c r="J697" t="n">
        <v>0</v>
      </c>
      <c r="K697" t="n">
        <v>0</v>
      </c>
      <c r="L697" t="n">
        <v>0</v>
      </c>
      <c r="M697" t="n">
        <v>0</v>
      </c>
      <c r="N697" t="n">
        <v>0</v>
      </c>
      <c r="O697" t="n">
        <v>0</v>
      </c>
      <c r="P697" t="n">
        <v>0</v>
      </c>
      <c r="Q697" t="n">
        <v>0</v>
      </c>
      <c r="R697" s="2" t="inlineStr"/>
    </row>
    <row r="698" ht="15" customHeight="1">
      <c r="A698" t="inlineStr">
        <is>
          <t>A 63950-2023</t>
        </is>
      </c>
      <c r="B698" s="1" t="n">
        <v>45278</v>
      </c>
      <c r="C698" s="1" t="n">
        <v>46182</v>
      </c>
      <c r="D698" t="inlineStr">
        <is>
          <t>KALMAR LÄN</t>
        </is>
      </c>
      <c r="E698" t="inlineStr">
        <is>
          <t>VIMMERBY</t>
        </is>
      </c>
      <c r="F698" t="inlineStr">
        <is>
          <t>Kyrkan</t>
        </is>
      </c>
      <c r="G698" t="n">
        <v>2.7</v>
      </c>
      <c r="H698" t="n">
        <v>0</v>
      </c>
      <c r="I698" t="n">
        <v>0</v>
      </c>
      <c r="J698" t="n">
        <v>0</v>
      </c>
      <c r="K698" t="n">
        <v>0</v>
      </c>
      <c r="L698" t="n">
        <v>0</v>
      </c>
      <c r="M698" t="n">
        <v>0</v>
      </c>
      <c r="N698" t="n">
        <v>0</v>
      </c>
      <c r="O698" t="n">
        <v>0</v>
      </c>
      <c r="P698" t="n">
        <v>0</v>
      </c>
      <c r="Q698" t="n">
        <v>0</v>
      </c>
      <c r="R698" s="2" t="inlineStr"/>
    </row>
    <row r="699" ht="15" customHeight="1">
      <c r="A699" t="inlineStr">
        <is>
          <t>A 16516-2023</t>
        </is>
      </c>
      <c r="B699" s="1" t="n">
        <v>45029</v>
      </c>
      <c r="C699" s="1" t="n">
        <v>46182</v>
      </c>
      <c r="D699" t="inlineStr">
        <is>
          <t>KALMAR LÄN</t>
        </is>
      </c>
      <c r="E699" t="inlineStr">
        <is>
          <t>VIMMERBY</t>
        </is>
      </c>
      <c r="G699" t="n">
        <v>4.3</v>
      </c>
      <c r="H699" t="n">
        <v>0</v>
      </c>
      <c r="I699" t="n">
        <v>0</v>
      </c>
      <c r="J699" t="n">
        <v>0</v>
      </c>
      <c r="K699" t="n">
        <v>0</v>
      </c>
      <c r="L699" t="n">
        <v>0</v>
      </c>
      <c r="M699" t="n">
        <v>0</v>
      </c>
      <c r="N699" t="n">
        <v>0</v>
      </c>
      <c r="O699" t="n">
        <v>0</v>
      </c>
      <c r="P699" t="n">
        <v>0</v>
      </c>
      <c r="Q699" t="n">
        <v>0</v>
      </c>
      <c r="R699" s="2" t="inlineStr"/>
    </row>
    <row r="700" ht="15" customHeight="1">
      <c r="A700" t="inlineStr">
        <is>
          <t>A 47842-2024</t>
        </is>
      </c>
      <c r="B700" s="1" t="n">
        <v>45588.65545138889</v>
      </c>
      <c r="C700" s="1" t="n">
        <v>46182</v>
      </c>
      <c r="D700" t="inlineStr">
        <is>
          <t>KALMAR LÄN</t>
        </is>
      </c>
      <c r="E700" t="inlineStr">
        <is>
          <t>VIMMERBY</t>
        </is>
      </c>
      <c r="G700" t="n">
        <v>2.4</v>
      </c>
      <c r="H700" t="n">
        <v>0</v>
      </c>
      <c r="I700" t="n">
        <v>0</v>
      </c>
      <c r="J700" t="n">
        <v>0</v>
      </c>
      <c r="K700" t="n">
        <v>0</v>
      </c>
      <c r="L700" t="n">
        <v>0</v>
      </c>
      <c r="M700" t="n">
        <v>0</v>
      </c>
      <c r="N700" t="n">
        <v>0</v>
      </c>
      <c r="O700" t="n">
        <v>0</v>
      </c>
      <c r="P700" t="n">
        <v>0</v>
      </c>
      <c r="Q700" t="n">
        <v>0</v>
      </c>
      <c r="R700" s="2" t="inlineStr"/>
    </row>
    <row r="701" ht="15" customHeight="1">
      <c r="A701" t="inlineStr">
        <is>
          <t>A 6408-2025</t>
        </is>
      </c>
      <c r="B701" s="1" t="n">
        <v>45699.45671296296</v>
      </c>
      <c r="C701" s="1" t="n">
        <v>46182</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25109-2023</t>
        </is>
      </c>
      <c r="B702" s="1" t="n">
        <v>45086</v>
      </c>
      <c r="C702" s="1" t="n">
        <v>46182</v>
      </c>
      <c r="D702" t="inlineStr">
        <is>
          <t>KALMAR LÄN</t>
        </is>
      </c>
      <c r="E702" t="inlineStr">
        <is>
          <t>VIMMERBY</t>
        </is>
      </c>
      <c r="G702" t="n">
        <v>1.5</v>
      </c>
      <c r="H702" t="n">
        <v>0</v>
      </c>
      <c r="I702" t="n">
        <v>0</v>
      </c>
      <c r="J702" t="n">
        <v>0</v>
      </c>
      <c r="K702" t="n">
        <v>0</v>
      </c>
      <c r="L702" t="n">
        <v>0</v>
      </c>
      <c r="M702" t="n">
        <v>0</v>
      </c>
      <c r="N702" t="n">
        <v>0</v>
      </c>
      <c r="O702" t="n">
        <v>0</v>
      </c>
      <c r="P702" t="n">
        <v>0</v>
      </c>
      <c r="Q702" t="n">
        <v>0</v>
      </c>
      <c r="R702" s="2" t="inlineStr"/>
    </row>
    <row r="703" ht="15" customHeight="1">
      <c r="A703" t="inlineStr">
        <is>
          <t>A 33380-2023</t>
        </is>
      </c>
      <c r="B703" s="1" t="n">
        <v>45128</v>
      </c>
      <c r="C703" s="1" t="n">
        <v>46182</v>
      </c>
      <c r="D703" t="inlineStr">
        <is>
          <t>KALMAR LÄN</t>
        </is>
      </c>
      <c r="E703" t="inlineStr">
        <is>
          <t>VIMMERBY</t>
        </is>
      </c>
      <c r="G703" t="n">
        <v>5.2</v>
      </c>
      <c r="H703" t="n">
        <v>0</v>
      </c>
      <c r="I703" t="n">
        <v>0</v>
      </c>
      <c r="J703" t="n">
        <v>0</v>
      </c>
      <c r="K703" t="n">
        <v>0</v>
      </c>
      <c r="L703" t="n">
        <v>0</v>
      </c>
      <c r="M703" t="n">
        <v>0</v>
      </c>
      <c r="N703" t="n">
        <v>0</v>
      </c>
      <c r="O703" t="n">
        <v>0</v>
      </c>
      <c r="P703" t="n">
        <v>0</v>
      </c>
      <c r="Q703" t="n">
        <v>0</v>
      </c>
      <c r="R703" s="2" t="inlineStr"/>
    </row>
    <row r="704" ht="15" customHeight="1">
      <c r="A704" t="inlineStr">
        <is>
          <t>A 23984-2025</t>
        </is>
      </c>
      <c r="B704" s="1" t="n">
        <v>45796</v>
      </c>
      <c r="C704" s="1" t="n">
        <v>46182</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11928-2022</t>
        </is>
      </c>
      <c r="B705" s="1" t="n">
        <v>44635</v>
      </c>
      <c r="C705" s="1" t="n">
        <v>46182</v>
      </c>
      <c r="D705" t="inlineStr">
        <is>
          <t>KALMAR LÄN</t>
        </is>
      </c>
      <c r="E705" t="inlineStr">
        <is>
          <t>VIMMERBY</t>
        </is>
      </c>
      <c r="G705" t="n">
        <v>2.8</v>
      </c>
      <c r="H705" t="n">
        <v>0</v>
      </c>
      <c r="I705" t="n">
        <v>0</v>
      </c>
      <c r="J705" t="n">
        <v>0</v>
      </c>
      <c r="K705" t="n">
        <v>0</v>
      </c>
      <c r="L705" t="n">
        <v>0</v>
      </c>
      <c r="M705" t="n">
        <v>0</v>
      </c>
      <c r="N705" t="n">
        <v>0</v>
      </c>
      <c r="O705" t="n">
        <v>0</v>
      </c>
      <c r="P705" t="n">
        <v>0</v>
      </c>
      <c r="Q705" t="n">
        <v>0</v>
      </c>
      <c r="R705" s="2" t="inlineStr"/>
    </row>
    <row r="706" ht="15" customHeight="1">
      <c r="A706" t="inlineStr">
        <is>
          <t>A 7068-2024</t>
        </is>
      </c>
      <c r="B706" s="1" t="n">
        <v>45343.68038194445</v>
      </c>
      <c r="C706" s="1" t="n">
        <v>46182</v>
      </c>
      <c r="D706" t="inlineStr">
        <is>
          <t>KALMAR LÄN</t>
        </is>
      </c>
      <c r="E706" t="inlineStr">
        <is>
          <t>VIMMERBY</t>
        </is>
      </c>
      <c r="G706" t="n">
        <v>2.5</v>
      </c>
      <c r="H706" t="n">
        <v>0</v>
      </c>
      <c r="I706" t="n">
        <v>0</v>
      </c>
      <c r="J706" t="n">
        <v>0</v>
      </c>
      <c r="K706" t="n">
        <v>0</v>
      </c>
      <c r="L706" t="n">
        <v>0</v>
      </c>
      <c r="M706" t="n">
        <v>0</v>
      </c>
      <c r="N706" t="n">
        <v>0</v>
      </c>
      <c r="O706" t="n">
        <v>0</v>
      </c>
      <c r="P706" t="n">
        <v>0</v>
      </c>
      <c r="Q706" t="n">
        <v>0</v>
      </c>
      <c r="R706" s="2" t="inlineStr"/>
    </row>
    <row r="707" ht="15" customHeight="1">
      <c r="A707" t="inlineStr">
        <is>
          <t>A 46234-2024</t>
        </is>
      </c>
      <c r="B707" s="1" t="n">
        <v>45581.57958333333</v>
      </c>
      <c r="C707" s="1" t="n">
        <v>46182</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35082-2024</t>
        </is>
      </c>
      <c r="B708" s="1" t="n">
        <v>45527.68784722222</v>
      </c>
      <c r="C708" s="1" t="n">
        <v>46182</v>
      </c>
      <c r="D708" t="inlineStr">
        <is>
          <t>KALMAR LÄN</t>
        </is>
      </c>
      <c r="E708" t="inlineStr">
        <is>
          <t>VIMMERBY</t>
        </is>
      </c>
      <c r="G708" t="n">
        <v>0.8</v>
      </c>
      <c r="H708" t="n">
        <v>0</v>
      </c>
      <c r="I708" t="n">
        <v>0</v>
      </c>
      <c r="J708" t="n">
        <v>0</v>
      </c>
      <c r="K708" t="n">
        <v>0</v>
      </c>
      <c r="L708" t="n">
        <v>0</v>
      </c>
      <c r="M708" t="n">
        <v>0</v>
      </c>
      <c r="N708" t="n">
        <v>0</v>
      </c>
      <c r="O708" t="n">
        <v>0</v>
      </c>
      <c r="P708" t="n">
        <v>0</v>
      </c>
      <c r="Q708" t="n">
        <v>0</v>
      </c>
      <c r="R708" s="2" t="inlineStr"/>
    </row>
    <row r="709" ht="15" customHeight="1">
      <c r="A709" t="inlineStr">
        <is>
          <t>A 37187-2024</t>
        </is>
      </c>
      <c r="B709" s="1" t="n">
        <v>45539.65212962963</v>
      </c>
      <c r="C709" s="1" t="n">
        <v>46182</v>
      </c>
      <c r="D709" t="inlineStr">
        <is>
          <t>KALMAR LÄN</t>
        </is>
      </c>
      <c r="E709" t="inlineStr">
        <is>
          <t>VIMMERBY</t>
        </is>
      </c>
      <c r="G709" t="n">
        <v>2.7</v>
      </c>
      <c r="H709" t="n">
        <v>0</v>
      </c>
      <c r="I709" t="n">
        <v>0</v>
      </c>
      <c r="J709" t="n">
        <v>0</v>
      </c>
      <c r="K709" t="n">
        <v>0</v>
      </c>
      <c r="L709" t="n">
        <v>0</v>
      </c>
      <c r="M709" t="n">
        <v>0</v>
      </c>
      <c r="N709" t="n">
        <v>0</v>
      </c>
      <c r="O709" t="n">
        <v>0</v>
      </c>
      <c r="P709" t="n">
        <v>0</v>
      </c>
      <c r="Q709" t="n">
        <v>0</v>
      </c>
      <c r="R709" s="2" t="inlineStr"/>
    </row>
    <row r="710" ht="15" customHeight="1">
      <c r="A710" t="inlineStr">
        <is>
          <t>A 51278-2024</t>
        </is>
      </c>
      <c r="B710" s="1" t="n">
        <v>45603.74959490741</v>
      </c>
      <c r="C710" s="1" t="n">
        <v>46182</v>
      </c>
      <c r="D710" t="inlineStr">
        <is>
          <t>KALMAR LÄN</t>
        </is>
      </c>
      <c r="E710" t="inlineStr">
        <is>
          <t>VIMMERBY</t>
        </is>
      </c>
      <c r="G710" t="n">
        <v>3.4</v>
      </c>
      <c r="H710" t="n">
        <v>0</v>
      </c>
      <c r="I710" t="n">
        <v>0</v>
      </c>
      <c r="J710" t="n">
        <v>0</v>
      </c>
      <c r="K710" t="n">
        <v>0</v>
      </c>
      <c r="L710" t="n">
        <v>0</v>
      </c>
      <c r="M710" t="n">
        <v>0</v>
      </c>
      <c r="N710" t="n">
        <v>0</v>
      </c>
      <c r="O710" t="n">
        <v>0</v>
      </c>
      <c r="P710" t="n">
        <v>0</v>
      </c>
      <c r="Q710" t="n">
        <v>0</v>
      </c>
      <c r="R710" s="2" t="inlineStr"/>
    </row>
    <row r="711" ht="15" customHeight="1">
      <c r="A711" t="inlineStr">
        <is>
          <t>A 1021-2024</t>
        </is>
      </c>
      <c r="B711" s="1" t="n">
        <v>45301.67736111111</v>
      </c>
      <c r="C711" s="1" t="n">
        <v>46182</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9456-2025</t>
        </is>
      </c>
      <c r="B712" s="1" t="n">
        <v>45715.44159722222</v>
      </c>
      <c r="C712" s="1" t="n">
        <v>46182</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24932-2026</t>
        </is>
      </c>
      <c r="B713" s="1" t="n">
        <v>46174.5197800926</v>
      </c>
      <c r="C713" s="1" t="n">
        <v>46182</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11111-2023</t>
        </is>
      </c>
      <c r="B714" s="1" t="n">
        <v>44992.4255787037</v>
      </c>
      <c r="C714" s="1" t="n">
        <v>46182</v>
      </c>
      <c r="D714" t="inlineStr">
        <is>
          <t>KALMAR LÄN</t>
        </is>
      </c>
      <c r="E714" t="inlineStr">
        <is>
          <t>VIMMERBY</t>
        </is>
      </c>
      <c r="G714" t="n">
        <v>0.8</v>
      </c>
      <c r="H714" t="n">
        <v>0</v>
      </c>
      <c r="I714" t="n">
        <v>0</v>
      </c>
      <c r="J714" t="n">
        <v>0</v>
      </c>
      <c r="K714" t="n">
        <v>0</v>
      </c>
      <c r="L714" t="n">
        <v>0</v>
      </c>
      <c r="M714" t="n">
        <v>0</v>
      </c>
      <c r="N714" t="n">
        <v>0</v>
      </c>
      <c r="O714" t="n">
        <v>0</v>
      </c>
      <c r="P714" t="n">
        <v>0</v>
      </c>
      <c r="Q714" t="n">
        <v>0</v>
      </c>
      <c r="R714" s="2" t="inlineStr"/>
    </row>
    <row r="715" ht="15" customHeight="1">
      <c r="A715" t="inlineStr">
        <is>
          <t>A 25106-2026</t>
        </is>
      </c>
      <c r="B715" s="1" t="n">
        <v>46175.35026620371</v>
      </c>
      <c r="C715" s="1" t="n">
        <v>46182</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25105-2026</t>
        </is>
      </c>
      <c r="B716" s="1" t="n">
        <v>46175.34893518518</v>
      </c>
      <c r="C716" s="1" t="n">
        <v>46182</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25158-2026</t>
        </is>
      </c>
      <c r="B717" s="1" t="n">
        <v>46175.45645833333</v>
      </c>
      <c r="C717" s="1" t="n">
        <v>46182</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25194-2026</t>
        </is>
      </c>
      <c r="B718" s="1" t="n">
        <v>46175.58986111111</v>
      </c>
      <c r="C718" s="1" t="n">
        <v>46182</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24930-2026</t>
        </is>
      </c>
      <c r="B719" s="1" t="n">
        <v>46174.51430555555</v>
      </c>
      <c r="C719" s="1" t="n">
        <v>46182</v>
      </c>
      <c r="D719" t="inlineStr">
        <is>
          <t>KALMAR LÄN</t>
        </is>
      </c>
      <c r="E719" t="inlineStr">
        <is>
          <t>VIMMERBY</t>
        </is>
      </c>
      <c r="G719" t="n">
        <v>0.8</v>
      </c>
      <c r="H719" t="n">
        <v>0</v>
      </c>
      <c r="I719" t="n">
        <v>0</v>
      </c>
      <c r="J719" t="n">
        <v>0</v>
      </c>
      <c r="K719" t="n">
        <v>0</v>
      </c>
      <c r="L719" t="n">
        <v>0</v>
      </c>
      <c r="M719" t="n">
        <v>0</v>
      </c>
      <c r="N719" t="n">
        <v>0</v>
      </c>
      <c r="O719" t="n">
        <v>0</v>
      </c>
      <c r="P719" t="n">
        <v>0</v>
      </c>
      <c r="Q719" t="n">
        <v>0</v>
      </c>
      <c r="R719" s="2" t="inlineStr"/>
    </row>
    <row r="720" ht="15" customHeight="1">
      <c r="A720" t="inlineStr">
        <is>
          <t>A 25192-2026</t>
        </is>
      </c>
      <c r="B720" s="1" t="n">
        <v>46175.5820949074</v>
      </c>
      <c r="C720" s="1" t="n">
        <v>46182</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60215-2022</t>
        </is>
      </c>
      <c r="B721" s="1" t="n">
        <v>44910.41346064815</v>
      </c>
      <c r="C721" s="1" t="n">
        <v>46182</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25395-2026</t>
        </is>
      </c>
      <c r="B722" s="1" t="n">
        <v>46176.73450231482</v>
      </c>
      <c r="C722" s="1" t="n">
        <v>46182</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25830-2025</t>
        </is>
      </c>
      <c r="B723" s="1" t="n">
        <v>45804.44519675926</v>
      </c>
      <c r="C723" s="1" t="n">
        <v>46182</v>
      </c>
      <c r="D723" t="inlineStr">
        <is>
          <t>KALMAR LÄN</t>
        </is>
      </c>
      <c r="E723" t="inlineStr">
        <is>
          <t>VIMMERBY</t>
        </is>
      </c>
      <c r="G723" t="n">
        <v>4.9</v>
      </c>
      <c r="H723" t="n">
        <v>0</v>
      </c>
      <c r="I723" t="n">
        <v>0</v>
      </c>
      <c r="J723" t="n">
        <v>0</v>
      </c>
      <c r="K723" t="n">
        <v>0</v>
      </c>
      <c r="L723" t="n">
        <v>0</v>
      </c>
      <c r="M723" t="n">
        <v>0</v>
      </c>
      <c r="N723" t="n">
        <v>0</v>
      </c>
      <c r="O723" t="n">
        <v>0</v>
      </c>
      <c r="P723" t="n">
        <v>0</v>
      </c>
      <c r="Q723" t="n">
        <v>0</v>
      </c>
      <c r="R723" s="2" t="inlineStr"/>
    </row>
    <row r="724" ht="15" customHeight="1">
      <c r="A724" t="inlineStr">
        <is>
          <t>A 44582-2024</t>
        </is>
      </c>
      <c r="B724" s="1" t="n">
        <v>45574.49298611111</v>
      </c>
      <c r="C724" s="1" t="n">
        <v>46182</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25345-2026</t>
        </is>
      </c>
      <c r="B725" s="1" t="n">
        <v>46176.58015046296</v>
      </c>
      <c r="C725" s="1" t="n">
        <v>46182</v>
      </c>
      <c r="D725" t="inlineStr">
        <is>
          <t>KALMAR LÄN</t>
        </is>
      </c>
      <c r="E725" t="inlineStr">
        <is>
          <t>VIMMERBY</t>
        </is>
      </c>
      <c r="G725" t="n">
        <v>1.9</v>
      </c>
      <c r="H725" t="n">
        <v>0</v>
      </c>
      <c r="I725" t="n">
        <v>0</v>
      </c>
      <c r="J725" t="n">
        <v>0</v>
      </c>
      <c r="K725" t="n">
        <v>0</v>
      </c>
      <c r="L725" t="n">
        <v>0</v>
      </c>
      <c r="M725" t="n">
        <v>0</v>
      </c>
      <c r="N725" t="n">
        <v>0</v>
      </c>
      <c r="O725" t="n">
        <v>0</v>
      </c>
      <c r="P725" t="n">
        <v>0</v>
      </c>
      <c r="Q725" t="n">
        <v>0</v>
      </c>
      <c r="R725" s="2" t="inlineStr"/>
    </row>
    <row r="726" ht="15" customHeight="1">
      <c r="A726" t="inlineStr">
        <is>
          <t>A 15494-2024</t>
        </is>
      </c>
      <c r="B726" s="1" t="n">
        <v>45401.53033564815</v>
      </c>
      <c r="C726" s="1" t="n">
        <v>46182</v>
      </c>
      <c r="D726" t="inlineStr">
        <is>
          <t>KALMAR LÄN</t>
        </is>
      </c>
      <c r="E726" t="inlineStr">
        <is>
          <t>VIMMERBY</t>
        </is>
      </c>
      <c r="G726" t="n">
        <v>3.2</v>
      </c>
      <c r="H726" t="n">
        <v>0</v>
      </c>
      <c r="I726" t="n">
        <v>0</v>
      </c>
      <c r="J726" t="n">
        <v>0</v>
      </c>
      <c r="K726" t="n">
        <v>0</v>
      </c>
      <c r="L726" t="n">
        <v>0</v>
      </c>
      <c r="M726" t="n">
        <v>0</v>
      </c>
      <c r="N726" t="n">
        <v>0</v>
      </c>
      <c r="O726" t="n">
        <v>0</v>
      </c>
      <c r="P726" t="n">
        <v>0</v>
      </c>
      <c r="Q726" t="n">
        <v>0</v>
      </c>
      <c r="R726" s="2" t="inlineStr"/>
    </row>
    <row r="727" ht="15" customHeight="1">
      <c r="A727" t="inlineStr">
        <is>
          <t>A 25284-2026</t>
        </is>
      </c>
      <c r="B727" s="1" t="n">
        <v>46176.40210648148</v>
      </c>
      <c r="C727" s="1" t="n">
        <v>46182</v>
      </c>
      <c r="D727" t="inlineStr">
        <is>
          <t>KALMAR LÄN</t>
        </is>
      </c>
      <c r="E727" t="inlineStr">
        <is>
          <t>VIMMERBY</t>
        </is>
      </c>
      <c r="G727" t="n">
        <v>1.6</v>
      </c>
      <c r="H727" t="n">
        <v>0</v>
      </c>
      <c r="I727" t="n">
        <v>0</v>
      </c>
      <c r="J727" t="n">
        <v>0</v>
      </c>
      <c r="K727" t="n">
        <v>0</v>
      </c>
      <c r="L727" t="n">
        <v>0</v>
      </c>
      <c r="M727" t="n">
        <v>0</v>
      </c>
      <c r="N727" t="n">
        <v>0</v>
      </c>
      <c r="O727" t="n">
        <v>0</v>
      </c>
      <c r="P727" t="n">
        <v>0</v>
      </c>
      <c r="Q727" t="n">
        <v>0</v>
      </c>
      <c r="R727" s="2" t="inlineStr"/>
    </row>
    <row r="728" ht="15" customHeight="1">
      <c r="A728" t="inlineStr">
        <is>
          <t>A 58724-2024</t>
        </is>
      </c>
      <c r="B728" s="1" t="n">
        <v>45635.66409722222</v>
      </c>
      <c r="C728" s="1" t="n">
        <v>46182</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25792-2025</t>
        </is>
      </c>
      <c r="B729" s="1" t="n">
        <v>45804.39141203704</v>
      </c>
      <c r="C729" s="1" t="n">
        <v>46182</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26046-2025</t>
        </is>
      </c>
      <c r="B730" s="1" t="n">
        <v>45804.708125</v>
      </c>
      <c r="C730" s="1" t="n">
        <v>46182</v>
      </c>
      <c r="D730" t="inlineStr">
        <is>
          <t>KALMAR LÄN</t>
        </is>
      </c>
      <c r="E730" t="inlineStr">
        <is>
          <t>VIMMERBY</t>
        </is>
      </c>
      <c r="F730" t="inlineStr">
        <is>
          <t>Sveaskog</t>
        </is>
      </c>
      <c r="G730" t="n">
        <v>5.1</v>
      </c>
      <c r="H730" t="n">
        <v>0</v>
      </c>
      <c r="I730" t="n">
        <v>0</v>
      </c>
      <c r="J730" t="n">
        <v>0</v>
      </c>
      <c r="K730" t="n">
        <v>0</v>
      </c>
      <c r="L730" t="n">
        <v>0</v>
      </c>
      <c r="M730" t="n">
        <v>0</v>
      </c>
      <c r="N730" t="n">
        <v>0</v>
      </c>
      <c r="O730" t="n">
        <v>0</v>
      </c>
      <c r="P730" t="n">
        <v>0</v>
      </c>
      <c r="Q730" t="n">
        <v>0</v>
      </c>
      <c r="R730" s="2" t="inlineStr"/>
    </row>
    <row r="731" ht="15" customHeight="1">
      <c r="A731" t="inlineStr">
        <is>
          <t>A 26207-2025</t>
        </is>
      </c>
      <c r="B731" s="1" t="n">
        <v>45805.52983796296</v>
      </c>
      <c r="C731" s="1" t="n">
        <v>46182</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59579-2025</t>
        </is>
      </c>
      <c r="B732" s="1" t="n">
        <v>45992.30569444445</v>
      </c>
      <c r="C732" s="1" t="n">
        <v>46182</v>
      </c>
      <c r="D732" t="inlineStr">
        <is>
          <t>KALMAR LÄN</t>
        </is>
      </c>
      <c r="E732" t="inlineStr">
        <is>
          <t>VIMMERBY</t>
        </is>
      </c>
      <c r="G732" t="n">
        <v>1.3</v>
      </c>
      <c r="H732" t="n">
        <v>0</v>
      </c>
      <c r="I732" t="n">
        <v>0</v>
      </c>
      <c r="J732" t="n">
        <v>0</v>
      </c>
      <c r="K732" t="n">
        <v>0</v>
      </c>
      <c r="L732" t="n">
        <v>0</v>
      </c>
      <c r="M732" t="n">
        <v>0</v>
      </c>
      <c r="N732" t="n">
        <v>0</v>
      </c>
      <c r="O732" t="n">
        <v>0</v>
      </c>
      <c r="P732" t="n">
        <v>0</v>
      </c>
      <c r="Q732" t="n">
        <v>0</v>
      </c>
      <c r="R732" s="2" t="inlineStr"/>
    </row>
    <row r="733" ht="15" customHeight="1">
      <c r="A733" t="inlineStr">
        <is>
          <t>A 23394-2025</t>
        </is>
      </c>
      <c r="B733" s="1" t="n">
        <v>45791.89865740741</v>
      </c>
      <c r="C733" s="1" t="n">
        <v>46182</v>
      </c>
      <c r="D733" t="inlineStr">
        <is>
          <t>KALMAR LÄN</t>
        </is>
      </c>
      <c r="E733" t="inlineStr">
        <is>
          <t>VIMMERBY</t>
        </is>
      </c>
      <c r="G733" t="n">
        <v>3.1</v>
      </c>
      <c r="H733" t="n">
        <v>0</v>
      </c>
      <c r="I733" t="n">
        <v>0</v>
      </c>
      <c r="J733" t="n">
        <v>0</v>
      </c>
      <c r="K733" t="n">
        <v>0</v>
      </c>
      <c r="L733" t="n">
        <v>0</v>
      </c>
      <c r="M733" t="n">
        <v>0</v>
      </c>
      <c r="N733" t="n">
        <v>0</v>
      </c>
      <c r="O733" t="n">
        <v>0</v>
      </c>
      <c r="P733" t="n">
        <v>0</v>
      </c>
      <c r="Q733" t="n">
        <v>0</v>
      </c>
      <c r="R733" s="2" t="inlineStr"/>
    </row>
    <row r="734" ht="15" customHeight="1">
      <c r="A734" t="inlineStr">
        <is>
          <t>A 52294-2023</t>
        </is>
      </c>
      <c r="B734" s="1" t="n">
        <v>45224.60075231481</v>
      </c>
      <c r="C734" s="1" t="n">
        <v>46182</v>
      </c>
      <c r="D734" t="inlineStr">
        <is>
          <t>KALMAR LÄN</t>
        </is>
      </c>
      <c r="E734" t="inlineStr">
        <is>
          <t>VIMMERBY</t>
        </is>
      </c>
      <c r="F734" t="inlineStr">
        <is>
          <t>Sveaskog</t>
        </is>
      </c>
      <c r="G734" t="n">
        <v>2.5</v>
      </c>
      <c r="H734" t="n">
        <v>0</v>
      </c>
      <c r="I734" t="n">
        <v>0</v>
      </c>
      <c r="J734" t="n">
        <v>0</v>
      </c>
      <c r="K734" t="n">
        <v>0</v>
      </c>
      <c r="L734" t="n">
        <v>0</v>
      </c>
      <c r="M734" t="n">
        <v>0</v>
      </c>
      <c r="N734" t="n">
        <v>0</v>
      </c>
      <c r="O734" t="n">
        <v>0</v>
      </c>
      <c r="P734" t="n">
        <v>0</v>
      </c>
      <c r="Q734" t="n">
        <v>0</v>
      </c>
      <c r="R734" s="2" t="inlineStr"/>
    </row>
    <row r="735" ht="15" customHeight="1">
      <c r="A735" t="inlineStr">
        <is>
          <t>A 36273-2025</t>
        </is>
      </c>
      <c r="B735" s="1" t="n">
        <v>45867.63094907408</v>
      </c>
      <c r="C735" s="1" t="n">
        <v>46182</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36282-2025</t>
        </is>
      </c>
      <c r="B736" s="1" t="n">
        <v>45867.64663194444</v>
      </c>
      <c r="C736" s="1" t="n">
        <v>46182</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29783-2024</t>
        </is>
      </c>
      <c r="B737" s="1" t="n">
        <v>45485.45778935185</v>
      </c>
      <c r="C737" s="1" t="n">
        <v>46182</v>
      </c>
      <c r="D737" t="inlineStr">
        <is>
          <t>KALMAR LÄN</t>
        </is>
      </c>
      <c r="E737" t="inlineStr">
        <is>
          <t>VIMMERBY</t>
        </is>
      </c>
      <c r="G737" t="n">
        <v>3.1</v>
      </c>
      <c r="H737" t="n">
        <v>0</v>
      </c>
      <c r="I737" t="n">
        <v>0</v>
      </c>
      <c r="J737" t="n">
        <v>0</v>
      </c>
      <c r="K737" t="n">
        <v>0</v>
      </c>
      <c r="L737" t="n">
        <v>0</v>
      </c>
      <c r="M737" t="n">
        <v>0</v>
      </c>
      <c r="N737" t="n">
        <v>0</v>
      </c>
      <c r="O737" t="n">
        <v>0</v>
      </c>
      <c r="P737" t="n">
        <v>0</v>
      </c>
      <c r="Q737" t="n">
        <v>0</v>
      </c>
      <c r="R737" s="2" t="inlineStr"/>
    </row>
    <row r="738" ht="15" customHeight="1">
      <c r="A738" t="inlineStr">
        <is>
          <t>A 52465-2025</t>
        </is>
      </c>
      <c r="B738" s="1" t="n">
        <v>45954.44543981482</v>
      </c>
      <c r="C738" s="1" t="n">
        <v>46182</v>
      </c>
      <c r="D738" t="inlineStr">
        <is>
          <t>KALMAR LÄN</t>
        </is>
      </c>
      <c r="E738" t="inlineStr">
        <is>
          <t>VIMMERBY</t>
        </is>
      </c>
      <c r="G738" t="n">
        <v>0.9</v>
      </c>
      <c r="H738" t="n">
        <v>0</v>
      </c>
      <c r="I738" t="n">
        <v>0</v>
      </c>
      <c r="J738" t="n">
        <v>0</v>
      </c>
      <c r="K738" t="n">
        <v>0</v>
      </c>
      <c r="L738" t="n">
        <v>0</v>
      </c>
      <c r="M738" t="n">
        <v>0</v>
      </c>
      <c r="N738" t="n">
        <v>0</v>
      </c>
      <c r="O738" t="n">
        <v>0</v>
      </c>
      <c r="P738" t="n">
        <v>0</v>
      </c>
      <c r="Q738" t="n">
        <v>0</v>
      </c>
      <c r="R738" s="2" t="inlineStr"/>
    </row>
    <row r="739" ht="15" customHeight="1">
      <c r="A739" t="inlineStr">
        <is>
          <t>A 37866-2025</t>
        </is>
      </c>
      <c r="B739" s="1" t="n">
        <v>45881</v>
      </c>
      <c r="C739" s="1" t="n">
        <v>46182</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20-2025</t>
        </is>
      </c>
      <c r="B740" s="1" t="n">
        <v>45658.80232638889</v>
      </c>
      <c r="C740" s="1" t="n">
        <v>46182</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20018-2026</t>
        </is>
      </c>
      <c r="B741" s="1" t="n">
        <v>46136.50282407407</v>
      </c>
      <c r="C741" s="1" t="n">
        <v>46182</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29727-2025</t>
        </is>
      </c>
      <c r="B742" s="1" t="n">
        <v>45825.5796875</v>
      </c>
      <c r="C742" s="1" t="n">
        <v>46182</v>
      </c>
      <c r="D742" t="inlineStr">
        <is>
          <t>KALMAR LÄN</t>
        </is>
      </c>
      <c r="E742" t="inlineStr">
        <is>
          <t>VIMMERBY</t>
        </is>
      </c>
      <c r="G742" t="n">
        <v>1.3</v>
      </c>
      <c r="H742" t="n">
        <v>0</v>
      </c>
      <c r="I742" t="n">
        <v>0</v>
      </c>
      <c r="J742" t="n">
        <v>0</v>
      </c>
      <c r="K742" t="n">
        <v>0</v>
      </c>
      <c r="L742" t="n">
        <v>0</v>
      </c>
      <c r="M742" t="n">
        <v>0</v>
      </c>
      <c r="N742" t="n">
        <v>0</v>
      </c>
      <c r="O742" t="n">
        <v>0</v>
      </c>
      <c r="P742" t="n">
        <v>0</v>
      </c>
      <c r="Q742" t="n">
        <v>0</v>
      </c>
      <c r="R742" s="2" t="inlineStr"/>
    </row>
    <row r="743" ht="15" customHeight="1">
      <c r="A743" t="inlineStr">
        <is>
          <t>A 26029-2026</t>
        </is>
      </c>
      <c r="B743" s="1" t="n">
        <v>46181.50233796296</v>
      </c>
      <c r="C743" s="1" t="n">
        <v>46182</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42850-2022</t>
        </is>
      </c>
      <c r="B744" s="1" t="n">
        <v>44832.67608796297</v>
      </c>
      <c r="C744" s="1" t="n">
        <v>46182</v>
      </c>
      <c r="D744" t="inlineStr">
        <is>
          <t>KALMAR LÄN</t>
        </is>
      </c>
      <c r="E744" t="inlineStr">
        <is>
          <t>VIMMERBY</t>
        </is>
      </c>
      <c r="G744" t="n">
        <v>5.9</v>
      </c>
      <c r="H744" t="n">
        <v>0</v>
      </c>
      <c r="I744" t="n">
        <v>0</v>
      </c>
      <c r="J744" t="n">
        <v>0</v>
      </c>
      <c r="K744" t="n">
        <v>0</v>
      </c>
      <c r="L744" t="n">
        <v>0</v>
      </c>
      <c r="M744" t="n">
        <v>0</v>
      </c>
      <c r="N744" t="n">
        <v>0</v>
      </c>
      <c r="O744" t="n">
        <v>0</v>
      </c>
      <c r="P744" t="n">
        <v>0</v>
      </c>
      <c r="Q744" t="n">
        <v>0</v>
      </c>
      <c r="R744" s="2" t="inlineStr"/>
    </row>
    <row r="745" ht="15" customHeight="1">
      <c r="A745" t="inlineStr">
        <is>
          <t>A 16015-2025</t>
        </is>
      </c>
      <c r="B745" s="1" t="n">
        <v>45749.60487268519</v>
      </c>
      <c r="C745" s="1" t="n">
        <v>46182</v>
      </c>
      <c r="D745" t="inlineStr">
        <is>
          <t>KALMAR LÄN</t>
        </is>
      </c>
      <c r="E745" t="inlineStr">
        <is>
          <t>VIMMERBY</t>
        </is>
      </c>
      <c r="F745" t="inlineStr">
        <is>
          <t>Kyrkan</t>
        </is>
      </c>
      <c r="G745" t="n">
        <v>2.7</v>
      </c>
      <c r="H745" t="n">
        <v>0</v>
      </c>
      <c r="I745" t="n">
        <v>0</v>
      </c>
      <c r="J745" t="n">
        <v>0</v>
      </c>
      <c r="K745" t="n">
        <v>0</v>
      </c>
      <c r="L745" t="n">
        <v>0</v>
      </c>
      <c r="M745" t="n">
        <v>0</v>
      </c>
      <c r="N745" t="n">
        <v>0</v>
      </c>
      <c r="O745" t="n">
        <v>0</v>
      </c>
      <c r="P745" t="n">
        <v>0</v>
      </c>
      <c r="Q745" t="n">
        <v>0</v>
      </c>
      <c r="R745" s="2" t="inlineStr"/>
    </row>
    <row r="746" ht="15" customHeight="1">
      <c r="A746" t="inlineStr">
        <is>
          <t>A 37088-2025</t>
        </is>
      </c>
      <c r="B746" s="1" t="n">
        <v>45875.45716435185</v>
      </c>
      <c r="C746" s="1" t="n">
        <v>46182</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37102-2025</t>
        </is>
      </c>
      <c r="B747" s="1" t="n">
        <v>45875.47454861111</v>
      </c>
      <c r="C747" s="1" t="n">
        <v>46182</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20017-2026</t>
        </is>
      </c>
      <c r="B748" s="1" t="n">
        <v>46136.49986111111</v>
      </c>
      <c r="C748" s="1" t="n">
        <v>46182</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28282-2025</t>
        </is>
      </c>
      <c r="B749" s="1" t="n">
        <v>45818.58769675926</v>
      </c>
      <c r="C749" s="1" t="n">
        <v>46182</v>
      </c>
      <c r="D749" t="inlineStr">
        <is>
          <t>KALMAR LÄN</t>
        </is>
      </c>
      <c r="E749" t="inlineStr">
        <is>
          <t>VIMMERBY</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45854-2025</t>
        </is>
      </c>
      <c r="B750" s="1" t="n">
        <v>45923</v>
      </c>
      <c r="C750" s="1" t="n">
        <v>46182</v>
      </c>
      <c r="D750" t="inlineStr">
        <is>
          <t>KALMAR LÄN</t>
        </is>
      </c>
      <c r="E750" t="inlineStr">
        <is>
          <t>VIMMERBY</t>
        </is>
      </c>
      <c r="G750" t="n">
        <v>2.2</v>
      </c>
      <c r="H750" t="n">
        <v>0</v>
      </c>
      <c r="I750" t="n">
        <v>0</v>
      </c>
      <c r="J750" t="n">
        <v>0</v>
      </c>
      <c r="K750" t="n">
        <v>0</v>
      </c>
      <c r="L750" t="n">
        <v>0</v>
      </c>
      <c r="M750" t="n">
        <v>0</v>
      </c>
      <c r="N750" t="n">
        <v>0</v>
      </c>
      <c r="O750" t="n">
        <v>0</v>
      </c>
      <c r="P750" t="n">
        <v>0</v>
      </c>
      <c r="Q750" t="n">
        <v>0</v>
      </c>
      <c r="R750" s="2" t="inlineStr"/>
    </row>
    <row r="751" ht="15" customHeight="1">
      <c r="A751" t="inlineStr">
        <is>
          <t>A 46118-2025</t>
        </is>
      </c>
      <c r="B751" s="1" t="n">
        <v>45924.57697916667</v>
      </c>
      <c r="C751" s="1" t="n">
        <v>46182</v>
      </c>
      <c r="D751" t="inlineStr">
        <is>
          <t>KALMAR LÄN</t>
        </is>
      </c>
      <c r="E751" t="inlineStr">
        <is>
          <t>VIMMERBY</t>
        </is>
      </c>
      <c r="G751" t="n">
        <v>2.9</v>
      </c>
      <c r="H751" t="n">
        <v>0</v>
      </c>
      <c r="I751" t="n">
        <v>0</v>
      </c>
      <c r="J751" t="n">
        <v>0</v>
      </c>
      <c r="K751" t="n">
        <v>0</v>
      </c>
      <c r="L751" t="n">
        <v>0</v>
      </c>
      <c r="M751" t="n">
        <v>0</v>
      </c>
      <c r="N751" t="n">
        <v>0</v>
      </c>
      <c r="O751" t="n">
        <v>0</v>
      </c>
      <c r="P751" t="n">
        <v>0</v>
      </c>
      <c r="Q751" t="n">
        <v>0</v>
      </c>
      <c r="R751" s="2" t="inlineStr"/>
    </row>
    <row r="752" ht="15" customHeight="1">
      <c r="A752" t="inlineStr">
        <is>
          <t>A 38969-2023</t>
        </is>
      </c>
      <c r="B752" s="1" t="n">
        <v>45163.63621527778</v>
      </c>
      <c r="C752" s="1" t="n">
        <v>46182</v>
      </c>
      <c r="D752" t="inlineStr">
        <is>
          <t>KALMAR LÄN</t>
        </is>
      </c>
      <c r="E752" t="inlineStr">
        <is>
          <t>VIMMERBY</t>
        </is>
      </c>
      <c r="F752" t="inlineStr">
        <is>
          <t>Sveaskog</t>
        </is>
      </c>
      <c r="G752" t="n">
        <v>2.4</v>
      </c>
      <c r="H752" t="n">
        <v>0</v>
      </c>
      <c r="I752" t="n">
        <v>0</v>
      </c>
      <c r="J752" t="n">
        <v>0</v>
      </c>
      <c r="K752" t="n">
        <v>0</v>
      </c>
      <c r="L752" t="n">
        <v>0</v>
      </c>
      <c r="M752" t="n">
        <v>0</v>
      </c>
      <c r="N752" t="n">
        <v>0</v>
      </c>
      <c r="O752" t="n">
        <v>0</v>
      </c>
      <c r="P752" t="n">
        <v>0</v>
      </c>
      <c r="Q752" t="n">
        <v>0</v>
      </c>
      <c r="R752" s="2" t="inlineStr"/>
    </row>
    <row r="753" ht="15" customHeight="1">
      <c r="A753" t="inlineStr">
        <is>
          <t>A 45114-2025</t>
        </is>
      </c>
      <c r="B753" s="1" t="n">
        <v>45919.42387731482</v>
      </c>
      <c r="C753" s="1" t="n">
        <v>46182</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26254-2025</t>
        </is>
      </c>
      <c r="B754" s="1" t="n">
        <v>45805</v>
      </c>
      <c r="C754" s="1" t="n">
        <v>46182</v>
      </c>
      <c r="D754" t="inlineStr">
        <is>
          <t>KALMAR LÄN</t>
        </is>
      </c>
      <c r="E754" t="inlineStr">
        <is>
          <t>VIMMERBY</t>
        </is>
      </c>
      <c r="G754" t="n">
        <v>2</v>
      </c>
      <c r="H754" t="n">
        <v>0</v>
      </c>
      <c r="I754" t="n">
        <v>0</v>
      </c>
      <c r="J754" t="n">
        <v>0</v>
      </c>
      <c r="K754" t="n">
        <v>0</v>
      </c>
      <c r="L754" t="n">
        <v>0</v>
      </c>
      <c r="M754" t="n">
        <v>0</v>
      </c>
      <c r="N754" t="n">
        <v>0</v>
      </c>
      <c r="O754" t="n">
        <v>0</v>
      </c>
      <c r="P754" t="n">
        <v>0</v>
      </c>
      <c r="Q754" t="n">
        <v>0</v>
      </c>
      <c r="R754" s="2" t="inlineStr"/>
    </row>
    <row r="755" ht="15" customHeight="1">
      <c r="A755" t="inlineStr">
        <is>
          <t>A 31876-2025</t>
        </is>
      </c>
      <c r="B755" s="1" t="n">
        <v>45834.65197916667</v>
      </c>
      <c r="C755" s="1" t="n">
        <v>46182</v>
      </c>
      <c r="D755" t="inlineStr">
        <is>
          <t>KALMAR LÄN</t>
        </is>
      </c>
      <c r="E755" t="inlineStr">
        <is>
          <t>VIMMERBY</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58159-2024</t>
        </is>
      </c>
      <c r="B756" s="1" t="n">
        <v>45632.44886574074</v>
      </c>
      <c r="C756" s="1" t="n">
        <v>46182</v>
      </c>
      <c r="D756" t="inlineStr">
        <is>
          <t>KALMAR LÄN</t>
        </is>
      </c>
      <c r="E756" t="inlineStr">
        <is>
          <t>VIMMERBY</t>
        </is>
      </c>
      <c r="G756" t="n">
        <v>7.5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44964.44356481481</v>
      </c>
      <c r="C757" s="1" t="n">
        <v>46182</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c r="A758" t="inlineStr">
        <is>
          <t>A 19111-2025</t>
        </is>
      </c>
      <c r="B758" s="1" t="n">
        <v>45768.65611111111</v>
      </c>
      <c r="C758" s="1" t="n">
        <v>46182</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2026-06-09T09:30:28Z</dcterms:created>
  <dcterms:modified xmlns:dcterms="http://purl.org/dc/terms/" xmlns:xsi="http://www.w3.org/2001/XMLSchema-instance" xsi:type="dcterms:W3CDTF">2026-06-09T09:30:29Z</dcterms:modified>
</cp:coreProperties>
</file>