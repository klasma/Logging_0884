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45933</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45933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45933</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3075-2025</t>
        </is>
      </c>
      <c r="B11" s="1" t="n">
        <v>45678.64175925926</v>
      </c>
      <c r="C11" s="1" t="n">
        <v>45933</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32645-2023</t>
        </is>
      </c>
      <c r="B12" s="1" t="n">
        <v>45121.60543981481</v>
      </c>
      <c r="C12" s="1" t="n">
        <v>45933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45933</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45933</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45933</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45933</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45933</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37667-2025</t>
        </is>
      </c>
      <c r="B18" s="1" t="n">
        <v>45880.51413194444</v>
      </c>
      <c r="C18" s="1" t="n">
        <v>45933</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45933</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45933</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45933</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45933</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45933</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45933</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45933</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40684-2025</t>
        </is>
      </c>
      <c r="B26" s="1" t="n">
        <v>45896.86820601852</v>
      </c>
      <c r="C26" s="1" t="n">
        <v>45933</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22825-2023</t>
        </is>
      </c>
      <c r="B27" s="1" t="n">
        <v>45072</v>
      </c>
      <c r="C27" s="1" t="n">
        <v>45933</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42802-2025</t>
        </is>
      </c>
      <c r="B28" s="1" t="n">
        <v>45908</v>
      </c>
      <c r="C28" s="1" t="n">
        <v>45933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45933</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22396-2025</t>
        </is>
      </c>
      <c r="B30" s="1" t="n">
        <v>45786.52827546297</v>
      </c>
      <c r="C30" s="1" t="n">
        <v>45933</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45933</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1201-2025</t>
        </is>
      </c>
      <c r="B32" s="1" t="n">
        <v>45667</v>
      </c>
      <c r="C32" s="1" t="n">
        <v>45933</v>
      </c>
      <c r="D32" t="inlineStr">
        <is>
          <t>KALMAR LÄN</t>
        </is>
      </c>
      <c r="E32" t="inlineStr">
        <is>
          <t>VIMMERBY</t>
        </is>
      </c>
      <c r="G32" t="n">
        <v>6.4</v>
      </c>
      <c r="H32" t="n">
        <v>1</v>
      </c>
      <c r="I32" t="n">
        <v>0</v>
      </c>
      <c r="J32" t="n">
        <v>0</v>
      </c>
      <c r="K32" t="n">
        <v>1</v>
      </c>
      <c r="L32" t="n">
        <v>0</v>
      </c>
      <c r="M32" t="n">
        <v>0</v>
      </c>
      <c r="N32" t="n">
        <v>0</v>
      </c>
      <c r="O32" t="n">
        <v>1</v>
      </c>
      <c r="P32" t="n">
        <v>1</v>
      </c>
      <c r="Q32" t="n">
        <v>1</v>
      </c>
      <c r="R32" s="2" t="inlineStr">
        <is>
          <t>Knärot</t>
        </is>
      </c>
      <c r="S32">
        <f>HYPERLINK("https://klasma.github.io/Logging_0884/artfynd/A 1201-2025 artfynd.xlsx", "A 1201-2025")</f>
        <v/>
      </c>
      <c r="T32">
        <f>HYPERLINK("https://klasma.github.io/Logging_0884/kartor/A 1201-2025 karta.png", "A 1201-2025")</f>
        <v/>
      </c>
      <c r="U32">
        <f>HYPERLINK("https://klasma.github.io/Logging_0884/knärot/A 1201-2025 karta knärot.png", "A 1201-2025")</f>
        <v/>
      </c>
      <c r="V32">
        <f>HYPERLINK("https://klasma.github.io/Logging_0884/klagomål/A 1201-2025 FSC-klagomål.docx", "A 1201-2025")</f>
        <v/>
      </c>
      <c r="W32">
        <f>HYPERLINK("https://klasma.github.io/Logging_0884/klagomålsmail/A 1201-2025 FSC-klagomål mail.docx", "A 1201-2025")</f>
        <v/>
      </c>
      <c r="X32">
        <f>HYPERLINK("https://klasma.github.io/Logging_0884/tillsyn/A 1201-2025 tillsynsbegäran.docx", "A 1201-2025")</f>
        <v/>
      </c>
      <c r="Y32">
        <f>HYPERLINK("https://klasma.github.io/Logging_0884/tillsynsmail/A 1201-2025 tillsynsbegäran mail.docx", "A 1201-2025")</f>
        <v/>
      </c>
    </row>
    <row r="33" ht="15" customHeight="1">
      <c r="A33" t="inlineStr">
        <is>
          <t>A 15122-2024</t>
        </is>
      </c>
      <c r="B33" s="1" t="n">
        <v>45399.71412037037</v>
      </c>
      <c r="C33" s="1" t="n">
        <v>45933</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45933</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29183-2025</t>
        </is>
      </c>
      <c r="B35" s="1" t="n">
        <v>45821</v>
      </c>
      <c r="C35" s="1" t="n">
        <v>45933</v>
      </c>
      <c r="D35" t="inlineStr">
        <is>
          <t>KALMAR LÄN</t>
        </is>
      </c>
      <c r="E35" t="inlineStr">
        <is>
          <t>VIMMERBY</t>
        </is>
      </c>
      <c r="G35" t="n">
        <v>2.7</v>
      </c>
      <c r="H35" t="n">
        <v>0</v>
      </c>
      <c r="I35" t="n">
        <v>1</v>
      </c>
      <c r="J35" t="n">
        <v>0</v>
      </c>
      <c r="K35" t="n">
        <v>0</v>
      </c>
      <c r="L35" t="n">
        <v>0</v>
      </c>
      <c r="M35" t="n">
        <v>0</v>
      </c>
      <c r="N35" t="n">
        <v>0</v>
      </c>
      <c r="O35" t="n">
        <v>0</v>
      </c>
      <c r="P35" t="n">
        <v>0</v>
      </c>
      <c r="Q35" t="n">
        <v>1</v>
      </c>
      <c r="R35" s="2" t="inlineStr">
        <is>
          <t>Sårläka</t>
        </is>
      </c>
      <c r="S35">
        <f>HYPERLINK("https://klasma.github.io/Logging_0884/artfynd/A 29183-2025 artfynd.xlsx", "A 29183-2025")</f>
        <v/>
      </c>
      <c r="T35">
        <f>HYPERLINK("https://klasma.github.io/Logging_0884/kartor/A 29183-2025 karta.png", "A 29183-2025")</f>
        <v/>
      </c>
      <c r="V35">
        <f>HYPERLINK("https://klasma.github.io/Logging_0884/klagomål/A 29183-2025 FSC-klagomål.docx", "A 29183-2025")</f>
        <v/>
      </c>
      <c r="W35">
        <f>HYPERLINK("https://klasma.github.io/Logging_0884/klagomålsmail/A 29183-2025 FSC-klagomål mail.docx", "A 29183-2025")</f>
        <v/>
      </c>
      <c r="X35">
        <f>HYPERLINK("https://klasma.github.io/Logging_0884/tillsyn/A 29183-2025 tillsynsbegäran.docx", "A 29183-2025")</f>
        <v/>
      </c>
      <c r="Y35">
        <f>HYPERLINK("https://klasma.github.io/Logging_0884/tillsynsmail/A 29183-2025 tillsynsbegäran mail.docx", "A 29183-2025")</f>
        <v/>
      </c>
    </row>
    <row r="36" ht="15" customHeight="1">
      <c r="A36" t="inlineStr">
        <is>
          <t>A 28852-2023</t>
        </is>
      </c>
      <c r="B36" s="1" t="n">
        <v>45104</v>
      </c>
      <c r="C36" s="1" t="n">
        <v>45933</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44515-2024</t>
        </is>
      </c>
      <c r="B37" s="1" t="n">
        <v>45574.42767361111</v>
      </c>
      <c r="C37" s="1" t="n">
        <v>45933</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37930-2021</t>
        </is>
      </c>
      <c r="B38" s="1" t="n">
        <v>44403</v>
      </c>
      <c r="C38" s="1" t="n">
        <v>45933</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40083-2023</t>
        </is>
      </c>
      <c r="B39" s="1" t="n">
        <v>45168</v>
      </c>
      <c r="C39" s="1" t="n">
        <v>45933</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45933</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46824-2025</t>
        </is>
      </c>
      <c r="B41" s="1" t="n">
        <v>45926.90006944445</v>
      </c>
      <c r="C41" s="1" t="n">
        <v>45933</v>
      </c>
      <c r="D41" t="inlineStr">
        <is>
          <t>KALMAR LÄN</t>
        </is>
      </c>
      <c r="E41" t="inlineStr">
        <is>
          <t>VIMMERBY</t>
        </is>
      </c>
      <c r="G41" t="n">
        <v>2.8</v>
      </c>
      <c r="H41" t="n">
        <v>1</v>
      </c>
      <c r="I41" t="n">
        <v>0</v>
      </c>
      <c r="J41" t="n">
        <v>0</v>
      </c>
      <c r="K41" t="n">
        <v>1</v>
      </c>
      <c r="L41" t="n">
        <v>0</v>
      </c>
      <c r="M41" t="n">
        <v>0</v>
      </c>
      <c r="N41" t="n">
        <v>0</v>
      </c>
      <c r="O41" t="n">
        <v>1</v>
      </c>
      <c r="P41" t="n">
        <v>1</v>
      </c>
      <c r="Q41" t="n">
        <v>1</v>
      </c>
      <c r="R41" s="2" t="inlineStr">
        <is>
          <t>Knärot</t>
        </is>
      </c>
      <c r="S41">
        <f>HYPERLINK("https://klasma.github.io/Logging_0884/artfynd/A 46824-2025 artfynd.xlsx", "A 46824-2025")</f>
        <v/>
      </c>
      <c r="T41">
        <f>HYPERLINK("https://klasma.github.io/Logging_0884/kartor/A 46824-2025 karta.png", "A 46824-2025")</f>
        <v/>
      </c>
      <c r="U41">
        <f>HYPERLINK("https://klasma.github.io/Logging_0884/knärot/A 46824-2025 karta knärot.png", "A 46824-2025")</f>
        <v/>
      </c>
      <c r="V41">
        <f>HYPERLINK("https://klasma.github.io/Logging_0884/klagomål/A 46824-2025 FSC-klagomål.docx", "A 46824-2025")</f>
        <v/>
      </c>
      <c r="W41">
        <f>HYPERLINK("https://klasma.github.io/Logging_0884/klagomålsmail/A 46824-2025 FSC-klagomål mail.docx", "A 46824-2025")</f>
        <v/>
      </c>
      <c r="X41">
        <f>HYPERLINK("https://klasma.github.io/Logging_0884/tillsyn/A 46824-2025 tillsynsbegäran.docx", "A 46824-2025")</f>
        <v/>
      </c>
      <c r="Y41">
        <f>HYPERLINK("https://klasma.github.io/Logging_0884/tillsynsmail/A 46824-2025 tillsynsbegäran mail.docx", "A 46824-2025")</f>
        <v/>
      </c>
    </row>
    <row r="42" ht="15" customHeight="1">
      <c r="A42" t="inlineStr">
        <is>
          <t>A 6841-2021</t>
        </is>
      </c>
      <c r="B42" s="1" t="n">
        <v>44236</v>
      </c>
      <c r="C42" s="1" t="n">
        <v>45933</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61860-2024</t>
        </is>
      </c>
      <c r="B43" s="1" t="n">
        <v>45649</v>
      </c>
      <c r="C43" s="1" t="n">
        <v>45933</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9067-2025</t>
        </is>
      </c>
      <c r="B44" s="1" t="n">
        <v>45713</v>
      </c>
      <c r="C44" s="1" t="n">
        <v>45933</v>
      </c>
      <c r="D44" t="inlineStr">
        <is>
          <t>KALMAR LÄN</t>
        </is>
      </c>
      <c r="E44" t="inlineStr">
        <is>
          <t>VIMMERBY</t>
        </is>
      </c>
      <c r="G44" t="n">
        <v>3.9</v>
      </c>
      <c r="H44" t="n">
        <v>0</v>
      </c>
      <c r="I44" t="n">
        <v>1</v>
      </c>
      <c r="J44" t="n">
        <v>0</v>
      </c>
      <c r="K44" t="n">
        <v>0</v>
      </c>
      <c r="L44" t="n">
        <v>0</v>
      </c>
      <c r="M44" t="n">
        <v>0</v>
      </c>
      <c r="N44" t="n">
        <v>0</v>
      </c>
      <c r="O44" t="n">
        <v>0</v>
      </c>
      <c r="P44" t="n">
        <v>0</v>
      </c>
      <c r="Q44" t="n">
        <v>1</v>
      </c>
      <c r="R44" s="2" t="inlineStr">
        <is>
          <t>Ögonpyrola</t>
        </is>
      </c>
      <c r="S44">
        <f>HYPERLINK("https://klasma.github.io/Logging_0884/artfynd/A 9067-2025 artfynd.xlsx", "A 9067-2025")</f>
        <v/>
      </c>
      <c r="T44">
        <f>HYPERLINK("https://klasma.github.io/Logging_0884/kartor/A 9067-2025 karta.png", "A 9067-2025")</f>
        <v/>
      </c>
      <c r="V44">
        <f>HYPERLINK("https://klasma.github.io/Logging_0884/klagomål/A 9067-2025 FSC-klagomål.docx", "A 9067-2025")</f>
        <v/>
      </c>
      <c r="W44">
        <f>HYPERLINK("https://klasma.github.io/Logging_0884/klagomålsmail/A 9067-2025 FSC-klagomål mail.docx", "A 9067-2025")</f>
        <v/>
      </c>
      <c r="X44">
        <f>HYPERLINK("https://klasma.github.io/Logging_0884/tillsyn/A 9067-2025 tillsynsbegäran.docx", "A 9067-2025")</f>
        <v/>
      </c>
      <c r="Y44">
        <f>HYPERLINK("https://klasma.github.io/Logging_0884/tillsynsmail/A 9067-2025 tillsynsbegäran mail.docx", "A 9067-2025")</f>
        <v/>
      </c>
    </row>
    <row r="45" ht="15" customHeight="1">
      <c r="A45" t="inlineStr">
        <is>
          <t>A 23602-2023</t>
        </is>
      </c>
      <c r="B45" s="1" t="n">
        <v>45077</v>
      </c>
      <c r="C45" s="1" t="n">
        <v>45933</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38602-2025</t>
        </is>
      </c>
      <c r="B46" s="1" t="n">
        <v>45884.50331018519</v>
      </c>
      <c r="C46" s="1" t="n">
        <v>45933</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38602-2025 artfynd.xlsx", "A 38602-2025")</f>
        <v/>
      </c>
      <c r="T46">
        <f>HYPERLINK("https://klasma.github.io/Logging_0884/kartor/A 38602-2025 karta.png", "A 38602-2025")</f>
        <v/>
      </c>
      <c r="U46">
        <f>HYPERLINK("https://klasma.github.io/Logging_0884/knärot/A 38602-2025 karta knärot.png", "A 38602-2025")</f>
        <v/>
      </c>
      <c r="V46">
        <f>HYPERLINK("https://klasma.github.io/Logging_0884/klagomål/A 38602-2025 FSC-klagomål.docx", "A 38602-2025")</f>
        <v/>
      </c>
      <c r="W46">
        <f>HYPERLINK("https://klasma.github.io/Logging_0884/klagomålsmail/A 38602-2025 FSC-klagomål mail.docx", "A 38602-2025")</f>
        <v/>
      </c>
      <c r="X46">
        <f>HYPERLINK("https://klasma.github.io/Logging_0884/tillsyn/A 38602-2025 tillsynsbegäran.docx", "A 38602-2025")</f>
        <v/>
      </c>
      <c r="Y46">
        <f>HYPERLINK("https://klasma.github.io/Logging_0884/tillsynsmail/A 38602-2025 tillsynsbegäran mail.docx", "A 38602-2025")</f>
        <v/>
      </c>
    </row>
    <row r="47" ht="15" customHeight="1">
      <c r="A47" t="inlineStr">
        <is>
          <t>A 52301-2023</t>
        </is>
      </c>
      <c r="B47" s="1" t="n">
        <v>45224</v>
      </c>
      <c r="C47" s="1" t="n">
        <v>45933</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33436-2021</t>
        </is>
      </c>
      <c r="B48" s="1" t="n">
        <v>44377.61104166666</v>
      </c>
      <c r="C48" s="1" t="n">
        <v>45933</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55053-2020</t>
        </is>
      </c>
      <c r="B49" s="1" t="n">
        <v>44130</v>
      </c>
      <c r="C49" s="1" t="n">
        <v>45933</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45933</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45933</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45933</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45933</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45933</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45933</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45933</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45933</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45933</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45933</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45933</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45933</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45933</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45933</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45933</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45933</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45933</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45933</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45933</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45933</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45933</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45933</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45933</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45933</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45933</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45933</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45933</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45933</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45933</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45933</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45933</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45933</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45933</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45933</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45933</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45933</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45933</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45933</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45933</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45933</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45933</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45933</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45933</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45933</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45933</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45933</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45933</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45933</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45933</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53711-2020</t>
        </is>
      </c>
      <c r="B101" s="1" t="n">
        <v>44124.59795138889</v>
      </c>
      <c r="C101" s="1" t="n">
        <v>45933</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45933</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45933</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45933</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45933</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45933</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45933</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45933</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45933</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45933</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45933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45933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45933</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45933</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45933</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45933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45933</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45933</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45933</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45933</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45933</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45933</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45933</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45933</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45933</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45933</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52073-2020</t>
        </is>
      </c>
      <c r="B127" s="1" t="n">
        <v>44117</v>
      </c>
      <c r="C127" s="1" t="n">
        <v>45933</v>
      </c>
      <c r="D127" t="inlineStr">
        <is>
          <t>KALMAR LÄN</t>
        </is>
      </c>
      <c r="E127" t="inlineStr">
        <is>
          <t>VIMMERBY</t>
        </is>
      </c>
      <c r="G127" t="n">
        <v>2.3</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45933</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14521-2021</t>
        </is>
      </c>
      <c r="B129" s="1" t="n">
        <v>44279.64934027778</v>
      </c>
      <c r="C129" s="1" t="n">
        <v>45933</v>
      </c>
      <c r="D129" t="inlineStr">
        <is>
          <t>KALMAR LÄN</t>
        </is>
      </c>
      <c r="E129" t="inlineStr">
        <is>
          <t>VIMMERBY</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15533-2022</t>
        </is>
      </c>
      <c r="B130" s="1" t="n">
        <v>44662</v>
      </c>
      <c r="C130" s="1" t="n">
        <v>45933</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45933</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45933</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618-2021</t>
        </is>
      </c>
      <c r="B133" s="1" t="n">
        <v>44203</v>
      </c>
      <c r="C133" s="1" t="n">
        <v>45933</v>
      </c>
      <c r="D133" t="inlineStr">
        <is>
          <t>KALMAR LÄN</t>
        </is>
      </c>
      <c r="E133" t="inlineStr">
        <is>
          <t>VIMMERBY</t>
        </is>
      </c>
      <c r="G133" t="n">
        <v>0.7</v>
      </c>
      <c r="H133" t="n">
        <v>0</v>
      </c>
      <c r="I133" t="n">
        <v>0</v>
      </c>
      <c r="J133" t="n">
        <v>0</v>
      </c>
      <c r="K133" t="n">
        <v>0</v>
      </c>
      <c r="L133" t="n">
        <v>0</v>
      </c>
      <c r="M133" t="n">
        <v>0</v>
      </c>
      <c r="N133" t="n">
        <v>0</v>
      </c>
      <c r="O133" t="n">
        <v>0</v>
      </c>
      <c r="P133" t="n">
        <v>0</v>
      </c>
      <c r="Q133" t="n">
        <v>0</v>
      </c>
      <c r="R133" s="2" t="inlineStr"/>
    </row>
    <row r="134" ht="15" customHeight="1">
      <c r="A134" t="inlineStr">
        <is>
          <t>A 34036-2021</t>
        </is>
      </c>
      <c r="B134" s="1" t="n">
        <v>44379</v>
      </c>
      <c r="C134" s="1" t="n">
        <v>45933</v>
      </c>
      <c r="D134" t="inlineStr">
        <is>
          <t>KALMAR LÄN</t>
        </is>
      </c>
      <c r="E134" t="inlineStr">
        <is>
          <t>VIMMERBY</t>
        </is>
      </c>
      <c r="F134" t="inlineStr">
        <is>
          <t>Sveaskog</t>
        </is>
      </c>
      <c r="G134" t="n">
        <v>7</v>
      </c>
      <c r="H134" t="n">
        <v>0</v>
      </c>
      <c r="I134" t="n">
        <v>0</v>
      </c>
      <c r="J134" t="n">
        <v>0</v>
      </c>
      <c r="K134" t="n">
        <v>0</v>
      </c>
      <c r="L134" t="n">
        <v>0</v>
      </c>
      <c r="M134" t="n">
        <v>0</v>
      </c>
      <c r="N134" t="n">
        <v>0</v>
      </c>
      <c r="O134" t="n">
        <v>0</v>
      </c>
      <c r="P134" t="n">
        <v>0</v>
      </c>
      <c r="Q134" t="n">
        <v>0</v>
      </c>
      <c r="R134" s="2" t="inlineStr"/>
    </row>
    <row r="135" ht="15" customHeight="1">
      <c r="A135" t="inlineStr">
        <is>
          <t>A 63244-2021</t>
        </is>
      </c>
      <c r="B135" s="1" t="n">
        <v>44508</v>
      </c>
      <c r="C135" s="1" t="n">
        <v>45933</v>
      </c>
      <c r="D135" t="inlineStr">
        <is>
          <t>KALMAR LÄN</t>
        </is>
      </c>
      <c r="E135" t="inlineStr">
        <is>
          <t>VIMMERBY</t>
        </is>
      </c>
      <c r="F135" t="inlineStr">
        <is>
          <t>Övriga statliga verk och myndigheter</t>
        </is>
      </c>
      <c r="G135" t="n">
        <v>0.6</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45933</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12241-2021</t>
        </is>
      </c>
      <c r="B137" s="1" t="n">
        <v>44266.7240625</v>
      </c>
      <c r="C137" s="1" t="n">
        <v>45933</v>
      </c>
      <c r="D137" t="inlineStr">
        <is>
          <t>KALMAR LÄN</t>
        </is>
      </c>
      <c r="E137" t="inlineStr">
        <is>
          <t>VIMMERBY</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15200-2021</t>
        </is>
      </c>
      <c r="B138" s="1" t="n">
        <v>44284.44574074074</v>
      </c>
      <c r="C138" s="1" t="n">
        <v>45933</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12662-2021</t>
        </is>
      </c>
      <c r="B139" s="1" t="n">
        <v>44270.49743055556</v>
      </c>
      <c r="C139" s="1" t="n">
        <v>45933</v>
      </c>
      <c r="D139" t="inlineStr">
        <is>
          <t>KALMAR LÄN</t>
        </is>
      </c>
      <c r="E139" t="inlineStr">
        <is>
          <t>VIMMERBY</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12107-2022</t>
        </is>
      </c>
      <c r="B140" s="1" t="n">
        <v>44636</v>
      </c>
      <c r="C140" s="1" t="n">
        <v>45933</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39225-2022</t>
        </is>
      </c>
      <c r="B141" s="1" t="n">
        <v>44817.57988425926</v>
      </c>
      <c r="C141" s="1" t="n">
        <v>45933</v>
      </c>
      <c r="D141" t="inlineStr">
        <is>
          <t>KALMAR LÄN</t>
        </is>
      </c>
      <c r="E141" t="inlineStr">
        <is>
          <t>VIMMERBY</t>
        </is>
      </c>
      <c r="G141" t="n">
        <v>2.2</v>
      </c>
      <c r="H141" t="n">
        <v>0</v>
      </c>
      <c r="I141" t="n">
        <v>0</v>
      </c>
      <c r="J141" t="n">
        <v>0</v>
      </c>
      <c r="K141" t="n">
        <v>0</v>
      </c>
      <c r="L141" t="n">
        <v>0</v>
      </c>
      <c r="M141" t="n">
        <v>0</v>
      </c>
      <c r="N141" t="n">
        <v>0</v>
      </c>
      <c r="O141" t="n">
        <v>0</v>
      </c>
      <c r="P141" t="n">
        <v>0</v>
      </c>
      <c r="Q141" t="n">
        <v>0</v>
      </c>
      <c r="R141" s="2" t="inlineStr"/>
    </row>
    <row r="142" ht="15" customHeight="1">
      <c r="A142" t="inlineStr">
        <is>
          <t>A 16602-2021</t>
        </is>
      </c>
      <c r="B142" s="1" t="n">
        <v>44294</v>
      </c>
      <c r="C142" s="1" t="n">
        <v>45933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16607-2021</t>
        </is>
      </c>
      <c r="B143" s="1" t="n">
        <v>44294</v>
      </c>
      <c r="C143" s="1" t="n">
        <v>45933</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17029-2022</t>
        </is>
      </c>
      <c r="B144" s="1" t="n">
        <v>44676.85248842592</v>
      </c>
      <c r="C144" s="1" t="n">
        <v>45933</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23825-2022</t>
        </is>
      </c>
      <c r="B145" s="1" t="n">
        <v>44722.48768518519</v>
      </c>
      <c r="C145" s="1" t="n">
        <v>45933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32603-2021</t>
        </is>
      </c>
      <c r="B146" s="1" t="n">
        <v>44375.38789351852</v>
      </c>
      <c r="C146" s="1" t="n">
        <v>45933</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7167-2022</t>
        </is>
      </c>
      <c r="B147" s="1" t="n">
        <v>44604</v>
      </c>
      <c r="C147" s="1" t="n">
        <v>45933</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45933</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18356-2021</t>
        </is>
      </c>
      <c r="B149" s="1" t="n">
        <v>44305</v>
      </c>
      <c r="C149" s="1" t="n">
        <v>45933</v>
      </c>
      <c r="D149" t="inlineStr">
        <is>
          <t>KALMAR LÄN</t>
        </is>
      </c>
      <c r="E149" t="inlineStr">
        <is>
          <t>VIMMERBY</t>
        </is>
      </c>
      <c r="G149" t="n">
        <v>3.4</v>
      </c>
      <c r="H149" t="n">
        <v>0</v>
      </c>
      <c r="I149" t="n">
        <v>0</v>
      </c>
      <c r="J149" t="n">
        <v>0</v>
      </c>
      <c r="K149" t="n">
        <v>0</v>
      </c>
      <c r="L149" t="n">
        <v>0</v>
      </c>
      <c r="M149" t="n">
        <v>0</v>
      </c>
      <c r="N149" t="n">
        <v>0</v>
      </c>
      <c r="O149" t="n">
        <v>0</v>
      </c>
      <c r="P149" t="n">
        <v>0</v>
      </c>
      <c r="Q149" t="n">
        <v>0</v>
      </c>
      <c r="R149" s="2" t="inlineStr"/>
    </row>
    <row r="150" ht="15" customHeight="1">
      <c r="A150" t="inlineStr">
        <is>
          <t>A 42521-2021</t>
        </is>
      </c>
      <c r="B150" s="1" t="n">
        <v>44427</v>
      </c>
      <c r="C150" s="1" t="n">
        <v>45933</v>
      </c>
      <c r="D150" t="inlineStr">
        <is>
          <t>KALMAR LÄN</t>
        </is>
      </c>
      <c r="E150" t="inlineStr">
        <is>
          <t>VIMMERBY</t>
        </is>
      </c>
      <c r="G150" t="n">
        <v>5.4</v>
      </c>
      <c r="H150" t="n">
        <v>0</v>
      </c>
      <c r="I150" t="n">
        <v>0</v>
      </c>
      <c r="J150" t="n">
        <v>0</v>
      </c>
      <c r="K150" t="n">
        <v>0</v>
      </c>
      <c r="L150" t="n">
        <v>0</v>
      </c>
      <c r="M150" t="n">
        <v>0</v>
      </c>
      <c r="N150" t="n">
        <v>0</v>
      </c>
      <c r="O150" t="n">
        <v>0</v>
      </c>
      <c r="P150" t="n">
        <v>0</v>
      </c>
      <c r="Q150" t="n">
        <v>0</v>
      </c>
      <c r="R150" s="2" t="inlineStr"/>
    </row>
    <row r="151" ht="15" customHeight="1">
      <c r="A151" t="inlineStr">
        <is>
          <t>A 11814-2022</t>
        </is>
      </c>
      <c r="B151" s="1" t="n">
        <v>44634.69703703704</v>
      </c>
      <c r="C151" s="1" t="n">
        <v>45933</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56385-2021</t>
        </is>
      </c>
      <c r="B152" s="1" t="n">
        <v>44480</v>
      </c>
      <c r="C152" s="1" t="n">
        <v>45933</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31053-2022</t>
        </is>
      </c>
      <c r="B153" s="1" t="n">
        <v>44769.45422453704</v>
      </c>
      <c r="C153" s="1" t="n">
        <v>45933</v>
      </c>
      <c r="D153" t="inlineStr">
        <is>
          <t>KALMAR LÄN</t>
        </is>
      </c>
      <c r="E153" t="inlineStr">
        <is>
          <t>VIMMERBY</t>
        </is>
      </c>
      <c r="G153" t="n">
        <v>1.9</v>
      </c>
      <c r="H153" t="n">
        <v>0</v>
      </c>
      <c r="I153" t="n">
        <v>0</v>
      </c>
      <c r="J153" t="n">
        <v>0</v>
      </c>
      <c r="K153" t="n">
        <v>0</v>
      </c>
      <c r="L153" t="n">
        <v>0</v>
      </c>
      <c r="M153" t="n">
        <v>0</v>
      </c>
      <c r="N153" t="n">
        <v>0</v>
      </c>
      <c r="O153" t="n">
        <v>0</v>
      </c>
      <c r="P153" t="n">
        <v>0</v>
      </c>
      <c r="Q153" t="n">
        <v>0</v>
      </c>
      <c r="R153" s="2" t="inlineStr"/>
    </row>
    <row r="154" ht="15" customHeight="1">
      <c r="A154" t="inlineStr">
        <is>
          <t>A 24738-2021</t>
        </is>
      </c>
      <c r="B154" s="1" t="n">
        <v>44340.58002314815</v>
      </c>
      <c r="C154" s="1" t="n">
        <v>45933</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45933</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45933</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8454-2022</t>
        </is>
      </c>
      <c r="B157" s="1" t="n">
        <v>44612.86762731482</v>
      </c>
      <c r="C157" s="1" t="n">
        <v>45933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46964-2022</t>
        </is>
      </c>
      <c r="B158" s="1" t="n">
        <v>44851.95016203704</v>
      </c>
      <c r="C158" s="1" t="n">
        <v>45933</v>
      </c>
      <c r="D158" t="inlineStr">
        <is>
          <t>KALMAR LÄN</t>
        </is>
      </c>
      <c r="E158" t="inlineStr">
        <is>
          <t>VIMMERBY</t>
        </is>
      </c>
      <c r="G158" t="n">
        <v>0.2</v>
      </c>
      <c r="H158" t="n">
        <v>0</v>
      </c>
      <c r="I158" t="n">
        <v>0</v>
      </c>
      <c r="J158" t="n">
        <v>0</v>
      </c>
      <c r="K158" t="n">
        <v>0</v>
      </c>
      <c r="L158" t="n">
        <v>0</v>
      </c>
      <c r="M158" t="n">
        <v>0</v>
      </c>
      <c r="N158" t="n">
        <v>0</v>
      </c>
      <c r="O158" t="n">
        <v>0</v>
      </c>
      <c r="P158" t="n">
        <v>0</v>
      </c>
      <c r="Q158" t="n">
        <v>0</v>
      </c>
      <c r="R158" s="2" t="inlineStr"/>
    </row>
    <row r="159" ht="15" customHeight="1">
      <c r="A159" t="inlineStr">
        <is>
          <t>A 57948-2020</t>
        </is>
      </c>
      <c r="B159" s="1" t="n">
        <v>44142</v>
      </c>
      <c r="C159" s="1" t="n">
        <v>45933</v>
      </c>
      <c r="D159" t="inlineStr">
        <is>
          <t>KALMAR LÄN</t>
        </is>
      </c>
      <c r="E159" t="inlineStr">
        <is>
          <t>VIMMERBY</t>
        </is>
      </c>
      <c r="G159" t="n">
        <v>7.1</v>
      </c>
      <c r="H159" t="n">
        <v>0</v>
      </c>
      <c r="I159" t="n">
        <v>0</v>
      </c>
      <c r="J159" t="n">
        <v>0</v>
      </c>
      <c r="K159" t="n">
        <v>0</v>
      </c>
      <c r="L159" t="n">
        <v>0</v>
      </c>
      <c r="M159" t="n">
        <v>0</v>
      </c>
      <c r="N159" t="n">
        <v>0</v>
      </c>
      <c r="O159" t="n">
        <v>0</v>
      </c>
      <c r="P159" t="n">
        <v>0</v>
      </c>
      <c r="Q159" t="n">
        <v>0</v>
      </c>
      <c r="R159" s="2" t="inlineStr"/>
    </row>
    <row r="160" ht="15" customHeight="1">
      <c r="A160" t="inlineStr">
        <is>
          <t>A 40077-2021</t>
        </is>
      </c>
      <c r="B160" s="1" t="n">
        <v>44418</v>
      </c>
      <c r="C160" s="1" t="n">
        <v>45933</v>
      </c>
      <c r="D160" t="inlineStr">
        <is>
          <t>KALMAR LÄN</t>
        </is>
      </c>
      <c r="E160" t="inlineStr">
        <is>
          <t>VIMMERBY</t>
        </is>
      </c>
      <c r="G160" t="n">
        <v>2.9</v>
      </c>
      <c r="H160" t="n">
        <v>0</v>
      </c>
      <c r="I160" t="n">
        <v>0</v>
      </c>
      <c r="J160" t="n">
        <v>0</v>
      </c>
      <c r="K160" t="n">
        <v>0</v>
      </c>
      <c r="L160" t="n">
        <v>0</v>
      </c>
      <c r="M160" t="n">
        <v>0</v>
      </c>
      <c r="N160" t="n">
        <v>0</v>
      </c>
      <c r="O160" t="n">
        <v>0</v>
      </c>
      <c r="P160" t="n">
        <v>0</v>
      </c>
      <c r="Q160" t="n">
        <v>0</v>
      </c>
      <c r="R160" s="2" t="inlineStr"/>
    </row>
    <row r="161" ht="15" customHeight="1">
      <c r="A161" t="inlineStr">
        <is>
          <t>A 47769-2022</t>
        </is>
      </c>
      <c r="B161" s="1" t="n">
        <v>44854</v>
      </c>
      <c r="C161" s="1" t="n">
        <v>45933</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18276-2021</t>
        </is>
      </c>
      <c r="B162" s="1" t="n">
        <v>44305.40046296296</v>
      </c>
      <c r="C162" s="1" t="n">
        <v>45933</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13180-2022</t>
        </is>
      </c>
      <c r="B163" s="1" t="n">
        <v>44644</v>
      </c>
      <c r="C163" s="1" t="n">
        <v>45933</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47473-2021</t>
        </is>
      </c>
      <c r="B164" s="1" t="n">
        <v>44447</v>
      </c>
      <c r="C164" s="1" t="n">
        <v>45933</v>
      </c>
      <c r="D164" t="inlineStr">
        <is>
          <t>KALMAR LÄN</t>
        </is>
      </c>
      <c r="E164" t="inlineStr">
        <is>
          <t>VIMMERBY</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65887-2021</t>
        </is>
      </c>
      <c r="B165" s="1" t="n">
        <v>44517</v>
      </c>
      <c r="C165" s="1" t="n">
        <v>45933</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39959-2022</t>
        </is>
      </c>
      <c r="B166" s="1" t="n">
        <v>44819</v>
      </c>
      <c r="C166" s="1" t="n">
        <v>45933</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45933</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48377-2021</t>
        </is>
      </c>
      <c r="B168" s="1" t="n">
        <v>44451.8375</v>
      </c>
      <c r="C168" s="1" t="n">
        <v>45933</v>
      </c>
      <c r="D168" t="inlineStr">
        <is>
          <t>KALMAR LÄN</t>
        </is>
      </c>
      <c r="E168" t="inlineStr">
        <is>
          <t>VIMMERBY</t>
        </is>
      </c>
      <c r="G168" t="n">
        <v>0.4</v>
      </c>
      <c r="H168" t="n">
        <v>0</v>
      </c>
      <c r="I168" t="n">
        <v>0</v>
      </c>
      <c r="J168" t="n">
        <v>0</v>
      </c>
      <c r="K168" t="n">
        <v>0</v>
      </c>
      <c r="L168" t="n">
        <v>0</v>
      </c>
      <c r="M168" t="n">
        <v>0</v>
      </c>
      <c r="N168" t="n">
        <v>0</v>
      </c>
      <c r="O168" t="n">
        <v>0</v>
      </c>
      <c r="P168" t="n">
        <v>0</v>
      </c>
      <c r="Q168" t="n">
        <v>0</v>
      </c>
      <c r="R168" s="2" t="inlineStr"/>
    </row>
    <row r="169" ht="15" customHeight="1">
      <c r="A169" t="inlineStr">
        <is>
          <t>A 31660-2021</t>
        </is>
      </c>
      <c r="B169" s="1" t="n">
        <v>44369</v>
      </c>
      <c r="C169" s="1" t="n">
        <v>45933</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40472-2022</t>
        </is>
      </c>
      <c r="B170" s="1" t="n">
        <v>44823</v>
      </c>
      <c r="C170" s="1" t="n">
        <v>45933</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27455-2022</t>
        </is>
      </c>
      <c r="B171" s="1" t="n">
        <v>44742</v>
      </c>
      <c r="C171" s="1" t="n">
        <v>45933</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42850-2022</t>
        </is>
      </c>
      <c r="B172" s="1" t="n">
        <v>44832.67608796297</v>
      </c>
      <c r="C172" s="1" t="n">
        <v>45933</v>
      </c>
      <c r="D172" t="inlineStr">
        <is>
          <t>KALMAR LÄN</t>
        </is>
      </c>
      <c r="E172" t="inlineStr">
        <is>
          <t>VIMMERBY</t>
        </is>
      </c>
      <c r="G172" t="n">
        <v>5.9</v>
      </c>
      <c r="H172" t="n">
        <v>0</v>
      </c>
      <c r="I172" t="n">
        <v>0</v>
      </c>
      <c r="J172" t="n">
        <v>0</v>
      </c>
      <c r="K172" t="n">
        <v>0</v>
      </c>
      <c r="L172" t="n">
        <v>0</v>
      </c>
      <c r="M172" t="n">
        <v>0</v>
      </c>
      <c r="N172" t="n">
        <v>0</v>
      </c>
      <c r="O172" t="n">
        <v>0</v>
      </c>
      <c r="P172" t="n">
        <v>0</v>
      </c>
      <c r="Q172" t="n">
        <v>0</v>
      </c>
      <c r="R172" s="2" t="inlineStr"/>
    </row>
    <row r="173" ht="15" customHeight="1">
      <c r="A173" t="inlineStr">
        <is>
          <t>A 35316-2021</t>
        </is>
      </c>
      <c r="B173" s="1" t="n">
        <v>44384</v>
      </c>
      <c r="C173" s="1" t="n">
        <v>45933</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33831-2022</t>
        </is>
      </c>
      <c r="B174" s="1" t="n">
        <v>44790.48503472222</v>
      </c>
      <c r="C174" s="1" t="n">
        <v>45933</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47708-2022</t>
        </is>
      </c>
      <c r="B175" s="1" t="n">
        <v>44854.59157407407</v>
      </c>
      <c r="C175" s="1" t="n">
        <v>45933</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12661-2021</t>
        </is>
      </c>
      <c r="B176" s="1" t="n">
        <v>44270</v>
      </c>
      <c r="C176" s="1" t="n">
        <v>45933</v>
      </c>
      <c r="D176" t="inlineStr">
        <is>
          <t>KALMAR LÄN</t>
        </is>
      </c>
      <c r="E176" t="inlineStr">
        <is>
          <t>VIMMERBY</t>
        </is>
      </c>
      <c r="G176" t="n">
        <v>1.8</v>
      </c>
      <c r="H176" t="n">
        <v>0</v>
      </c>
      <c r="I176" t="n">
        <v>0</v>
      </c>
      <c r="J176" t="n">
        <v>0</v>
      </c>
      <c r="K176" t="n">
        <v>0</v>
      </c>
      <c r="L176" t="n">
        <v>0</v>
      </c>
      <c r="M176" t="n">
        <v>0</v>
      </c>
      <c r="N176" t="n">
        <v>0</v>
      </c>
      <c r="O176" t="n">
        <v>0</v>
      </c>
      <c r="P176" t="n">
        <v>0</v>
      </c>
      <c r="Q176" t="n">
        <v>0</v>
      </c>
      <c r="R176" s="2" t="inlineStr"/>
    </row>
    <row r="177" ht="15" customHeight="1">
      <c r="A177" t="inlineStr">
        <is>
          <t>A 24999-2021</t>
        </is>
      </c>
      <c r="B177" s="1" t="n">
        <v>44341</v>
      </c>
      <c r="C177" s="1" t="n">
        <v>45933</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7917-2022</t>
        </is>
      </c>
      <c r="B178" s="1" t="n">
        <v>44608</v>
      </c>
      <c r="C178" s="1" t="n">
        <v>45933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47208-2021</t>
        </is>
      </c>
      <c r="B179" s="1" t="n">
        <v>44447.34237268518</v>
      </c>
      <c r="C179" s="1" t="n">
        <v>45933</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3330-2021</t>
        </is>
      </c>
      <c r="B180" s="1" t="n">
        <v>44217.79856481482</v>
      </c>
      <c r="C180" s="1" t="n">
        <v>45933</v>
      </c>
      <c r="D180" t="inlineStr">
        <is>
          <t>KALMAR LÄN</t>
        </is>
      </c>
      <c r="E180" t="inlineStr">
        <is>
          <t>VIMMERBY</t>
        </is>
      </c>
      <c r="G180" t="n">
        <v>11.1</v>
      </c>
      <c r="H180" t="n">
        <v>0</v>
      </c>
      <c r="I180" t="n">
        <v>0</v>
      </c>
      <c r="J180" t="n">
        <v>0</v>
      </c>
      <c r="K180" t="n">
        <v>0</v>
      </c>
      <c r="L180" t="n">
        <v>0</v>
      </c>
      <c r="M180" t="n">
        <v>0</v>
      </c>
      <c r="N180" t="n">
        <v>0</v>
      </c>
      <c r="O180" t="n">
        <v>0</v>
      </c>
      <c r="P180" t="n">
        <v>0</v>
      </c>
      <c r="Q180" t="n">
        <v>0</v>
      </c>
      <c r="R180" s="2" t="inlineStr"/>
    </row>
    <row r="181" ht="15" customHeight="1">
      <c r="A181" t="inlineStr">
        <is>
          <t>A 9918-2022</t>
        </is>
      </c>
      <c r="B181" s="1" t="n">
        <v>44620</v>
      </c>
      <c r="C181" s="1" t="n">
        <v>45933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16705-2021</t>
        </is>
      </c>
      <c r="B182" s="1" t="n">
        <v>44294</v>
      </c>
      <c r="C182" s="1" t="n">
        <v>45933</v>
      </c>
      <c r="D182" t="inlineStr">
        <is>
          <t>KALMAR LÄN</t>
        </is>
      </c>
      <c r="E182" t="inlineStr">
        <is>
          <t>VIMMERBY</t>
        </is>
      </c>
      <c r="G182" t="n">
        <v>2.6</v>
      </c>
      <c r="H182" t="n">
        <v>0</v>
      </c>
      <c r="I182" t="n">
        <v>0</v>
      </c>
      <c r="J182" t="n">
        <v>0</v>
      </c>
      <c r="K182" t="n">
        <v>0</v>
      </c>
      <c r="L182" t="n">
        <v>0</v>
      </c>
      <c r="M182" t="n">
        <v>0</v>
      </c>
      <c r="N182" t="n">
        <v>0</v>
      </c>
      <c r="O182" t="n">
        <v>0</v>
      </c>
      <c r="P182" t="n">
        <v>0</v>
      </c>
      <c r="Q182" t="n">
        <v>0</v>
      </c>
      <c r="R182" s="2" t="inlineStr"/>
    </row>
    <row r="183" ht="15" customHeight="1">
      <c r="A183" t="inlineStr">
        <is>
          <t>A 51977-2020</t>
        </is>
      </c>
      <c r="B183" s="1" t="n">
        <v>44116</v>
      </c>
      <c r="C183" s="1" t="n">
        <v>45933</v>
      </c>
      <c r="D183" t="inlineStr">
        <is>
          <t>KALMAR LÄN</t>
        </is>
      </c>
      <c r="E183" t="inlineStr">
        <is>
          <t>VIMMERBY</t>
        </is>
      </c>
      <c r="G183" t="n">
        <v>1.5</v>
      </c>
      <c r="H183" t="n">
        <v>0</v>
      </c>
      <c r="I183" t="n">
        <v>0</v>
      </c>
      <c r="J183" t="n">
        <v>0</v>
      </c>
      <c r="K183" t="n">
        <v>0</v>
      </c>
      <c r="L183" t="n">
        <v>0</v>
      </c>
      <c r="M183" t="n">
        <v>0</v>
      </c>
      <c r="N183" t="n">
        <v>0</v>
      </c>
      <c r="O183" t="n">
        <v>0</v>
      </c>
      <c r="P183" t="n">
        <v>0</v>
      </c>
      <c r="Q183" t="n">
        <v>0</v>
      </c>
      <c r="R183" s="2" t="inlineStr"/>
    </row>
    <row r="184" ht="15" customHeight="1">
      <c r="A184" t="inlineStr">
        <is>
          <t>A 22197-2024</t>
        </is>
      </c>
      <c r="B184" s="1" t="n">
        <v>45446.36774305555</v>
      </c>
      <c r="C184" s="1" t="n">
        <v>45933</v>
      </c>
      <c r="D184" t="inlineStr">
        <is>
          <t>KALMAR LÄN</t>
        </is>
      </c>
      <c r="E184" t="inlineStr">
        <is>
          <t>VIMMERBY</t>
        </is>
      </c>
      <c r="F184" t="inlineStr">
        <is>
          <t>Sveaskog</t>
        </is>
      </c>
      <c r="G184" t="n">
        <v>3.2</v>
      </c>
      <c r="H184" t="n">
        <v>0</v>
      </c>
      <c r="I184" t="n">
        <v>0</v>
      </c>
      <c r="J184" t="n">
        <v>0</v>
      </c>
      <c r="K184" t="n">
        <v>0</v>
      </c>
      <c r="L184" t="n">
        <v>0</v>
      </c>
      <c r="M184" t="n">
        <v>0</v>
      </c>
      <c r="N184" t="n">
        <v>0</v>
      </c>
      <c r="O184" t="n">
        <v>0</v>
      </c>
      <c r="P184" t="n">
        <v>0</v>
      </c>
      <c r="Q184" t="n">
        <v>0</v>
      </c>
      <c r="R184" s="2" t="inlineStr"/>
    </row>
    <row r="185" ht="15" customHeight="1">
      <c r="A185" t="inlineStr">
        <is>
          <t>A 10086-2022</t>
        </is>
      </c>
      <c r="B185" s="1" t="n">
        <v>44621</v>
      </c>
      <c r="C185" s="1" t="n">
        <v>45933</v>
      </c>
      <c r="D185" t="inlineStr">
        <is>
          <t>KALMAR LÄN</t>
        </is>
      </c>
      <c r="E185" t="inlineStr">
        <is>
          <t>VIMMERBY</t>
        </is>
      </c>
      <c r="G185" t="n">
        <v>1.2</v>
      </c>
      <c r="H185" t="n">
        <v>0</v>
      </c>
      <c r="I185" t="n">
        <v>0</v>
      </c>
      <c r="J185" t="n">
        <v>0</v>
      </c>
      <c r="K185" t="n">
        <v>0</v>
      </c>
      <c r="L185" t="n">
        <v>0</v>
      </c>
      <c r="M185" t="n">
        <v>0</v>
      </c>
      <c r="N185" t="n">
        <v>0</v>
      </c>
      <c r="O185" t="n">
        <v>0</v>
      </c>
      <c r="P185" t="n">
        <v>0</v>
      </c>
      <c r="Q185" t="n">
        <v>0</v>
      </c>
      <c r="R185" s="2" t="inlineStr"/>
    </row>
    <row r="186" ht="15" customHeight="1">
      <c r="A186" t="inlineStr">
        <is>
          <t>A 37187-2024</t>
        </is>
      </c>
      <c r="B186" s="1" t="n">
        <v>45539.65212962963</v>
      </c>
      <c r="C186" s="1" t="n">
        <v>45933</v>
      </c>
      <c r="D186" t="inlineStr">
        <is>
          <t>KALMAR LÄN</t>
        </is>
      </c>
      <c r="E186" t="inlineStr">
        <is>
          <t>VIMMERBY</t>
        </is>
      </c>
      <c r="G186" t="n">
        <v>2.7</v>
      </c>
      <c r="H186" t="n">
        <v>0</v>
      </c>
      <c r="I186" t="n">
        <v>0</v>
      </c>
      <c r="J186" t="n">
        <v>0</v>
      </c>
      <c r="K186" t="n">
        <v>0</v>
      </c>
      <c r="L186" t="n">
        <v>0</v>
      </c>
      <c r="M186" t="n">
        <v>0</v>
      </c>
      <c r="N186" t="n">
        <v>0</v>
      </c>
      <c r="O186" t="n">
        <v>0</v>
      </c>
      <c r="P186" t="n">
        <v>0</v>
      </c>
      <c r="Q186" t="n">
        <v>0</v>
      </c>
      <c r="R186" s="2" t="inlineStr"/>
    </row>
    <row r="187" ht="15" customHeight="1">
      <c r="A187" t="inlineStr">
        <is>
          <t>A 35710-2023</t>
        </is>
      </c>
      <c r="B187" s="1" t="n">
        <v>45147.67096064815</v>
      </c>
      <c r="C187" s="1" t="n">
        <v>45933</v>
      </c>
      <c r="D187" t="inlineStr">
        <is>
          <t>KALMAR LÄN</t>
        </is>
      </c>
      <c r="E187" t="inlineStr">
        <is>
          <t>VIMMERBY</t>
        </is>
      </c>
      <c r="G187" t="n">
        <v>3.1</v>
      </c>
      <c r="H187" t="n">
        <v>0</v>
      </c>
      <c r="I187" t="n">
        <v>0</v>
      </c>
      <c r="J187" t="n">
        <v>0</v>
      </c>
      <c r="K187" t="n">
        <v>0</v>
      </c>
      <c r="L187" t="n">
        <v>0</v>
      </c>
      <c r="M187" t="n">
        <v>0</v>
      </c>
      <c r="N187" t="n">
        <v>0</v>
      </c>
      <c r="O187" t="n">
        <v>0</v>
      </c>
      <c r="P187" t="n">
        <v>0</v>
      </c>
      <c r="Q187" t="n">
        <v>0</v>
      </c>
      <c r="R187" s="2" t="inlineStr"/>
    </row>
    <row r="188" ht="15" customHeight="1">
      <c r="A188" t="inlineStr">
        <is>
          <t>A 35711-2023</t>
        </is>
      </c>
      <c r="B188" s="1" t="n">
        <v>45147.67172453704</v>
      </c>
      <c r="C188" s="1" t="n">
        <v>45933</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65564-2020</t>
        </is>
      </c>
      <c r="B189" s="1" t="n">
        <v>44172</v>
      </c>
      <c r="C189" s="1" t="n">
        <v>45933</v>
      </c>
      <c r="D189" t="inlineStr">
        <is>
          <t>KALMAR LÄN</t>
        </is>
      </c>
      <c r="E189" t="inlineStr">
        <is>
          <t>VIMMERBY</t>
        </is>
      </c>
      <c r="G189" t="n">
        <v>4.1</v>
      </c>
      <c r="H189" t="n">
        <v>0</v>
      </c>
      <c r="I189" t="n">
        <v>0</v>
      </c>
      <c r="J189" t="n">
        <v>0</v>
      </c>
      <c r="K189" t="n">
        <v>0</v>
      </c>
      <c r="L189" t="n">
        <v>0</v>
      </c>
      <c r="M189" t="n">
        <v>0</v>
      </c>
      <c r="N189" t="n">
        <v>0</v>
      </c>
      <c r="O189" t="n">
        <v>0</v>
      </c>
      <c r="P189" t="n">
        <v>0</v>
      </c>
      <c r="Q189" t="n">
        <v>0</v>
      </c>
      <c r="R189" s="2" t="inlineStr"/>
    </row>
    <row r="190" ht="15" customHeight="1">
      <c r="A190" t="inlineStr">
        <is>
          <t>A 56389-2021</t>
        </is>
      </c>
      <c r="B190" s="1" t="n">
        <v>44480</v>
      </c>
      <c r="C190" s="1" t="n">
        <v>45933</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53145-2022</t>
        </is>
      </c>
      <c r="B191" s="1" t="n">
        <v>44876.48346064815</v>
      </c>
      <c r="C191" s="1" t="n">
        <v>45933</v>
      </c>
      <c r="D191" t="inlineStr">
        <is>
          <t>KALMAR LÄN</t>
        </is>
      </c>
      <c r="E191" t="inlineStr">
        <is>
          <t>VIMMERBY</t>
        </is>
      </c>
      <c r="G191" t="n">
        <v>0.4</v>
      </c>
      <c r="H191" t="n">
        <v>0</v>
      </c>
      <c r="I191" t="n">
        <v>0</v>
      </c>
      <c r="J191" t="n">
        <v>0</v>
      </c>
      <c r="K191" t="n">
        <v>0</v>
      </c>
      <c r="L191" t="n">
        <v>0</v>
      </c>
      <c r="M191" t="n">
        <v>0</v>
      </c>
      <c r="N191" t="n">
        <v>0</v>
      </c>
      <c r="O191" t="n">
        <v>0</v>
      </c>
      <c r="P191" t="n">
        <v>0</v>
      </c>
      <c r="Q191" t="n">
        <v>0</v>
      </c>
      <c r="R191" s="2" t="inlineStr"/>
    </row>
    <row r="192" ht="15" customHeight="1">
      <c r="A192" t="inlineStr">
        <is>
          <t>A 25738-2022</t>
        </is>
      </c>
      <c r="B192" s="1" t="n">
        <v>44733.43092592592</v>
      </c>
      <c r="C192" s="1" t="n">
        <v>45933</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12630-2023</t>
        </is>
      </c>
      <c r="B193" s="1" t="n">
        <v>45000.47998842593</v>
      </c>
      <c r="C193" s="1" t="n">
        <v>45933</v>
      </c>
      <c r="D193" t="inlineStr">
        <is>
          <t>KALMAR LÄN</t>
        </is>
      </c>
      <c r="E193" t="inlineStr">
        <is>
          <t>VIMMERBY</t>
        </is>
      </c>
      <c r="G193" t="n">
        <v>2.1</v>
      </c>
      <c r="H193" t="n">
        <v>0</v>
      </c>
      <c r="I193" t="n">
        <v>0</v>
      </c>
      <c r="J193" t="n">
        <v>0</v>
      </c>
      <c r="K193" t="n">
        <v>0</v>
      </c>
      <c r="L193" t="n">
        <v>0</v>
      </c>
      <c r="M193" t="n">
        <v>0</v>
      </c>
      <c r="N193" t="n">
        <v>0</v>
      </c>
      <c r="O193" t="n">
        <v>0</v>
      </c>
      <c r="P193" t="n">
        <v>0</v>
      </c>
      <c r="Q193" t="n">
        <v>0</v>
      </c>
      <c r="R193" s="2" t="inlineStr"/>
    </row>
    <row r="194" ht="15" customHeight="1">
      <c r="A194" t="inlineStr">
        <is>
          <t>A 34588-2024</t>
        </is>
      </c>
      <c r="B194" s="1" t="n">
        <v>45526.3865625</v>
      </c>
      <c r="C194" s="1" t="n">
        <v>45933</v>
      </c>
      <c r="D194" t="inlineStr">
        <is>
          <t>KALMAR LÄN</t>
        </is>
      </c>
      <c r="E194" t="inlineStr">
        <is>
          <t>VIMMERBY</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56659-2023</t>
        </is>
      </c>
      <c r="B195" s="1" t="n">
        <v>45243.84869212963</v>
      </c>
      <c r="C195" s="1" t="n">
        <v>45933</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39584-2024</t>
        </is>
      </c>
      <c r="B196" s="1" t="n">
        <v>45552.36759259259</v>
      </c>
      <c r="C196" s="1" t="n">
        <v>45933</v>
      </c>
      <c r="D196" t="inlineStr">
        <is>
          <t>KALMAR LÄN</t>
        </is>
      </c>
      <c r="E196" t="inlineStr">
        <is>
          <t>VIMMERBY</t>
        </is>
      </c>
      <c r="G196" t="n">
        <v>1.9</v>
      </c>
      <c r="H196" t="n">
        <v>0</v>
      </c>
      <c r="I196" t="n">
        <v>0</v>
      </c>
      <c r="J196" t="n">
        <v>0</v>
      </c>
      <c r="K196" t="n">
        <v>0</v>
      </c>
      <c r="L196" t="n">
        <v>0</v>
      </c>
      <c r="M196" t="n">
        <v>0</v>
      </c>
      <c r="N196" t="n">
        <v>0</v>
      </c>
      <c r="O196" t="n">
        <v>0</v>
      </c>
      <c r="P196" t="n">
        <v>0</v>
      </c>
      <c r="Q196" t="n">
        <v>0</v>
      </c>
      <c r="R196" s="2" t="inlineStr"/>
    </row>
    <row r="197" ht="15" customHeight="1">
      <c r="A197" t="inlineStr">
        <is>
          <t>A 27705-2023</t>
        </is>
      </c>
      <c r="B197" s="1" t="n">
        <v>45098.30535879629</v>
      </c>
      <c r="C197" s="1" t="n">
        <v>45933</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8194-2022</t>
        </is>
      </c>
      <c r="B198" s="1" t="n">
        <v>44609</v>
      </c>
      <c r="C198" s="1" t="n">
        <v>45933</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15191-2021</t>
        </is>
      </c>
      <c r="B199" s="1" t="n">
        <v>44284.42348379629</v>
      </c>
      <c r="C199" s="1" t="n">
        <v>45933</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25830-2025</t>
        </is>
      </c>
      <c r="B200" s="1" t="n">
        <v>45804.44519675926</v>
      </c>
      <c r="C200" s="1" t="n">
        <v>45933</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40971-2021</t>
        </is>
      </c>
      <c r="B201" s="1" t="n">
        <v>44421</v>
      </c>
      <c r="C201" s="1" t="n">
        <v>45933</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68744-2020</t>
        </is>
      </c>
      <c r="B202" s="1" t="n">
        <v>44186</v>
      </c>
      <c r="C202" s="1" t="n">
        <v>45933</v>
      </c>
      <c r="D202" t="inlineStr">
        <is>
          <t>KALMAR LÄN</t>
        </is>
      </c>
      <c r="E202" t="inlineStr">
        <is>
          <t>VIMMERBY</t>
        </is>
      </c>
      <c r="G202" t="n">
        <v>2.5</v>
      </c>
      <c r="H202" t="n">
        <v>0</v>
      </c>
      <c r="I202" t="n">
        <v>0</v>
      </c>
      <c r="J202" t="n">
        <v>0</v>
      </c>
      <c r="K202" t="n">
        <v>0</v>
      </c>
      <c r="L202" t="n">
        <v>0</v>
      </c>
      <c r="M202" t="n">
        <v>0</v>
      </c>
      <c r="N202" t="n">
        <v>0</v>
      </c>
      <c r="O202" t="n">
        <v>0</v>
      </c>
      <c r="P202" t="n">
        <v>0</v>
      </c>
      <c r="Q202" t="n">
        <v>0</v>
      </c>
      <c r="R202" s="2" t="inlineStr"/>
    </row>
    <row r="203" ht="15" customHeight="1">
      <c r="A203" t="inlineStr">
        <is>
          <t>A 26124-2025</t>
        </is>
      </c>
      <c r="B203" s="1" t="n">
        <v>45805.39247685186</v>
      </c>
      <c r="C203" s="1" t="n">
        <v>45933</v>
      </c>
      <c r="D203" t="inlineStr">
        <is>
          <t>KALMAR LÄN</t>
        </is>
      </c>
      <c r="E203" t="inlineStr">
        <is>
          <t>VIMMERBY</t>
        </is>
      </c>
      <c r="G203" t="n">
        <v>6.6</v>
      </c>
      <c r="H203" t="n">
        <v>0</v>
      </c>
      <c r="I203" t="n">
        <v>0</v>
      </c>
      <c r="J203" t="n">
        <v>0</v>
      </c>
      <c r="K203" t="n">
        <v>0</v>
      </c>
      <c r="L203" t="n">
        <v>0</v>
      </c>
      <c r="M203" t="n">
        <v>0</v>
      </c>
      <c r="N203" t="n">
        <v>0</v>
      </c>
      <c r="O203" t="n">
        <v>0</v>
      </c>
      <c r="P203" t="n">
        <v>0</v>
      </c>
      <c r="Q203" t="n">
        <v>0</v>
      </c>
      <c r="R203" s="2" t="inlineStr"/>
    </row>
    <row r="204" ht="15" customHeight="1">
      <c r="A204" t="inlineStr">
        <is>
          <t>A 3331-2023</t>
        </is>
      </c>
      <c r="B204" s="1" t="n">
        <v>44949</v>
      </c>
      <c r="C204" s="1" t="n">
        <v>45933</v>
      </c>
      <c r="D204" t="inlineStr">
        <is>
          <t>KALMAR LÄN</t>
        </is>
      </c>
      <c r="E204" t="inlineStr">
        <is>
          <t>VIMMERBY</t>
        </is>
      </c>
      <c r="G204" t="n">
        <v>6.2</v>
      </c>
      <c r="H204" t="n">
        <v>0</v>
      </c>
      <c r="I204" t="n">
        <v>0</v>
      </c>
      <c r="J204" t="n">
        <v>0</v>
      </c>
      <c r="K204" t="n">
        <v>0</v>
      </c>
      <c r="L204" t="n">
        <v>0</v>
      </c>
      <c r="M204" t="n">
        <v>0</v>
      </c>
      <c r="N204" t="n">
        <v>0</v>
      </c>
      <c r="O204" t="n">
        <v>0</v>
      </c>
      <c r="P204" t="n">
        <v>0</v>
      </c>
      <c r="Q204" t="n">
        <v>0</v>
      </c>
      <c r="R204" s="2" t="inlineStr"/>
    </row>
    <row r="205" ht="15" customHeight="1">
      <c r="A205" t="inlineStr">
        <is>
          <t>A 13457-2021</t>
        </is>
      </c>
      <c r="B205" s="1" t="n">
        <v>44273</v>
      </c>
      <c r="C205" s="1" t="n">
        <v>45933</v>
      </c>
      <c r="D205" t="inlineStr">
        <is>
          <t>KALMAR LÄN</t>
        </is>
      </c>
      <c r="E205" t="inlineStr">
        <is>
          <t>VIMMERBY</t>
        </is>
      </c>
      <c r="G205" t="n">
        <v>1.4</v>
      </c>
      <c r="H205" t="n">
        <v>0</v>
      </c>
      <c r="I205" t="n">
        <v>0</v>
      </c>
      <c r="J205" t="n">
        <v>0</v>
      </c>
      <c r="K205" t="n">
        <v>0</v>
      </c>
      <c r="L205" t="n">
        <v>0</v>
      </c>
      <c r="M205" t="n">
        <v>0</v>
      </c>
      <c r="N205" t="n">
        <v>0</v>
      </c>
      <c r="O205" t="n">
        <v>0</v>
      </c>
      <c r="P205" t="n">
        <v>0</v>
      </c>
      <c r="Q205" t="n">
        <v>0</v>
      </c>
      <c r="R205" s="2" t="inlineStr"/>
    </row>
    <row r="206" ht="15" customHeight="1">
      <c r="A206" t="inlineStr">
        <is>
          <t>A 26254-2025</t>
        </is>
      </c>
      <c r="B206" s="1" t="n">
        <v>45805</v>
      </c>
      <c r="C206" s="1" t="n">
        <v>45933</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14278-2021</t>
        </is>
      </c>
      <c r="B207" s="1" t="n">
        <v>44278.63479166666</v>
      </c>
      <c r="C207" s="1" t="n">
        <v>45933</v>
      </c>
      <c r="D207" t="inlineStr">
        <is>
          <t>KALMAR LÄN</t>
        </is>
      </c>
      <c r="E207" t="inlineStr">
        <is>
          <t>VIMMERBY</t>
        </is>
      </c>
      <c r="F207" t="inlineStr">
        <is>
          <t>Övriga statliga verk och myndigheter</t>
        </is>
      </c>
      <c r="G207" t="n">
        <v>0.8</v>
      </c>
      <c r="H207" t="n">
        <v>0</v>
      </c>
      <c r="I207" t="n">
        <v>0</v>
      </c>
      <c r="J207" t="n">
        <v>0</v>
      </c>
      <c r="K207" t="n">
        <v>0</v>
      </c>
      <c r="L207" t="n">
        <v>0</v>
      </c>
      <c r="M207" t="n">
        <v>0</v>
      </c>
      <c r="N207" t="n">
        <v>0</v>
      </c>
      <c r="O207" t="n">
        <v>0</v>
      </c>
      <c r="P207" t="n">
        <v>0</v>
      </c>
      <c r="Q207" t="n">
        <v>0</v>
      </c>
      <c r="R207" s="2" t="inlineStr"/>
    </row>
    <row r="208" ht="15" customHeight="1">
      <c r="A208" t="inlineStr">
        <is>
          <t>A 31013-2023</t>
        </is>
      </c>
      <c r="B208" s="1" t="n">
        <v>45113.56574074074</v>
      </c>
      <c r="C208" s="1" t="n">
        <v>45933</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26207-2025</t>
        </is>
      </c>
      <c r="B209" s="1" t="n">
        <v>45805.52983796296</v>
      </c>
      <c r="C209" s="1" t="n">
        <v>45933</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40828-2023</t>
        </is>
      </c>
      <c r="B210" s="1" t="n">
        <v>45171.96248842592</v>
      </c>
      <c r="C210" s="1" t="n">
        <v>45933</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15388-2025</t>
        </is>
      </c>
      <c r="B211" s="1" t="n">
        <v>45747.42633101852</v>
      </c>
      <c r="C211" s="1" t="n">
        <v>45933</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15391-2025</t>
        </is>
      </c>
      <c r="B212" s="1" t="n">
        <v>45747.42958333333</v>
      </c>
      <c r="C212" s="1" t="n">
        <v>45933</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11303-2025</t>
        </is>
      </c>
      <c r="B213" s="1" t="n">
        <v>45726.44471064815</v>
      </c>
      <c r="C213" s="1" t="n">
        <v>45933</v>
      </c>
      <c r="D213" t="inlineStr">
        <is>
          <t>KALMAR LÄN</t>
        </is>
      </c>
      <c r="E213" t="inlineStr">
        <is>
          <t>VIMMERBY</t>
        </is>
      </c>
      <c r="G213" t="n">
        <v>2.1</v>
      </c>
      <c r="H213" t="n">
        <v>0</v>
      </c>
      <c r="I213" t="n">
        <v>0</v>
      </c>
      <c r="J213" t="n">
        <v>0</v>
      </c>
      <c r="K213" t="n">
        <v>0</v>
      </c>
      <c r="L213" t="n">
        <v>0</v>
      </c>
      <c r="M213" t="n">
        <v>0</v>
      </c>
      <c r="N213" t="n">
        <v>0</v>
      </c>
      <c r="O213" t="n">
        <v>0</v>
      </c>
      <c r="P213" t="n">
        <v>0</v>
      </c>
      <c r="Q213" t="n">
        <v>0</v>
      </c>
      <c r="R213" s="2" t="inlineStr"/>
    </row>
    <row r="214" ht="15" customHeight="1">
      <c r="A214" t="inlineStr">
        <is>
          <t>A 16734-2023</t>
        </is>
      </c>
      <c r="B214" s="1" t="n">
        <v>45030.71012731481</v>
      </c>
      <c r="C214" s="1" t="n">
        <v>45933</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8453-2022</t>
        </is>
      </c>
      <c r="B215" s="1" t="n">
        <v>44612.86554398148</v>
      </c>
      <c r="C215" s="1" t="n">
        <v>45933</v>
      </c>
      <c r="D215" t="inlineStr">
        <is>
          <t>KALMAR LÄN</t>
        </is>
      </c>
      <c r="E215" t="inlineStr">
        <is>
          <t>VIMMERBY</t>
        </is>
      </c>
      <c r="G215" t="n">
        <v>1.7</v>
      </c>
      <c r="H215" t="n">
        <v>0</v>
      </c>
      <c r="I215" t="n">
        <v>0</v>
      </c>
      <c r="J215" t="n">
        <v>0</v>
      </c>
      <c r="K215" t="n">
        <v>0</v>
      </c>
      <c r="L215" t="n">
        <v>0</v>
      </c>
      <c r="M215" t="n">
        <v>0</v>
      </c>
      <c r="N215" t="n">
        <v>0</v>
      </c>
      <c r="O215" t="n">
        <v>0</v>
      </c>
      <c r="P215" t="n">
        <v>0</v>
      </c>
      <c r="Q215" t="n">
        <v>0</v>
      </c>
      <c r="R215" s="2" t="inlineStr"/>
    </row>
    <row r="216" ht="15" customHeight="1">
      <c r="A216" t="inlineStr">
        <is>
          <t>A 52433-2021</t>
        </is>
      </c>
      <c r="B216" s="1" t="n">
        <v>44466.34726851852</v>
      </c>
      <c r="C216" s="1" t="n">
        <v>45933</v>
      </c>
      <c r="D216" t="inlineStr">
        <is>
          <t>KALMAR LÄN</t>
        </is>
      </c>
      <c r="E216" t="inlineStr">
        <is>
          <t>VIMMERBY</t>
        </is>
      </c>
      <c r="G216" t="n">
        <v>3.5</v>
      </c>
      <c r="H216" t="n">
        <v>0</v>
      </c>
      <c r="I216" t="n">
        <v>0</v>
      </c>
      <c r="J216" t="n">
        <v>0</v>
      </c>
      <c r="K216" t="n">
        <v>0</v>
      </c>
      <c r="L216" t="n">
        <v>0</v>
      </c>
      <c r="M216" t="n">
        <v>0</v>
      </c>
      <c r="N216" t="n">
        <v>0</v>
      </c>
      <c r="O216" t="n">
        <v>0</v>
      </c>
      <c r="P216" t="n">
        <v>0</v>
      </c>
      <c r="Q216" t="n">
        <v>0</v>
      </c>
      <c r="R216" s="2" t="inlineStr"/>
    </row>
    <row r="217" ht="15" customHeight="1">
      <c r="A217" t="inlineStr">
        <is>
          <t>A 50621-2022</t>
        </is>
      </c>
      <c r="B217" s="1" t="n">
        <v>44866.81100694444</v>
      </c>
      <c r="C217" s="1" t="n">
        <v>45933</v>
      </c>
      <c r="D217" t="inlineStr">
        <is>
          <t>KALMAR LÄN</t>
        </is>
      </c>
      <c r="E217" t="inlineStr">
        <is>
          <t>VIMMERBY</t>
        </is>
      </c>
      <c r="F217" t="inlineStr">
        <is>
          <t>Övriga Aktiebolag</t>
        </is>
      </c>
      <c r="G217" t="n">
        <v>5.1</v>
      </c>
      <c r="H217" t="n">
        <v>0</v>
      </c>
      <c r="I217" t="n">
        <v>0</v>
      </c>
      <c r="J217" t="n">
        <v>0</v>
      </c>
      <c r="K217" t="n">
        <v>0</v>
      </c>
      <c r="L217" t="n">
        <v>0</v>
      </c>
      <c r="M217" t="n">
        <v>0</v>
      </c>
      <c r="N217" t="n">
        <v>0</v>
      </c>
      <c r="O217" t="n">
        <v>0</v>
      </c>
      <c r="P217" t="n">
        <v>0</v>
      </c>
      <c r="Q217" t="n">
        <v>0</v>
      </c>
      <c r="R217" s="2" t="inlineStr"/>
    </row>
    <row r="218" ht="15" customHeight="1">
      <c r="A218" t="inlineStr">
        <is>
          <t>A 33352-2022</t>
        </is>
      </c>
      <c r="B218" s="1" t="n">
        <v>44788</v>
      </c>
      <c r="C218" s="1" t="n">
        <v>45933</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46234-2024</t>
        </is>
      </c>
      <c r="B219" s="1" t="n">
        <v>45581.57958333333</v>
      </c>
      <c r="C219" s="1" t="n">
        <v>45933</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39053-2024</t>
        </is>
      </c>
      <c r="B220" s="1" t="n">
        <v>45548</v>
      </c>
      <c r="C220" s="1" t="n">
        <v>45933</v>
      </c>
      <c r="D220" t="inlineStr">
        <is>
          <t>KALMAR LÄN</t>
        </is>
      </c>
      <c r="E220" t="inlineStr">
        <is>
          <t>VIMMERBY</t>
        </is>
      </c>
      <c r="G220" t="n">
        <v>5</v>
      </c>
      <c r="H220" t="n">
        <v>0</v>
      </c>
      <c r="I220" t="n">
        <v>0</v>
      </c>
      <c r="J220" t="n">
        <v>0</v>
      </c>
      <c r="K220" t="n">
        <v>0</v>
      </c>
      <c r="L220" t="n">
        <v>0</v>
      </c>
      <c r="M220" t="n">
        <v>0</v>
      </c>
      <c r="N220" t="n">
        <v>0</v>
      </c>
      <c r="O220" t="n">
        <v>0</v>
      </c>
      <c r="P220" t="n">
        <v>0</v>
      </c>
      <c r="Q220" t="n">
        <v>0</v>
      </c>
      <c r="R220" s="2" t="inlineStr"/>
    </row>
    <row r="221" ht="15" customHeight="1">
      <c r="A221" t="inlineStr">
        <is>
          <t>A 15449-2023</t>
        </is>
      </c>
      <c r="B221" s="1" t="n">
        <v>45020</v>
      </c>
      <c r="C221" s="1" t="n">
        <v>45933</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43594-2024</t>
        </is>
      </c>
      <c r="B222" s="1" t="n">
        <v>45569.44295138889</v>
      </c>
      <c r="C222" s="1" t="n">
        <v>45933</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17486-2024</t>
        </is>
      </c>
      <c r="B223" s="1" t="n">
        <v>45415.48979166667</v>
      </c>
      <c r="C223" s="1" t="n">
        <v>45933</v>
      </c>
      <c r="D223" t="inlineStr">
        <is>
          <t>KALMAR LÄN</t>
        </is>
      </c>
      <c r="E223" t="inlineStr">
        <is>
          <t>VIMMERBY</t>
        </is>
      </c>
      <c r="G223" t="n">
        <v>2.6</v>
      </c>
      <c r="H223" t="n">
        <v>0</v>
      </c>
      <c r="I223" t="n">
        <v>0</v>
      </c>
      <c r="J223" t="n">
        <v>0</v>
      </c>
      <c r="K223" t="n">
        <v>0</v>
      </c>
      <c r="L223" t="n">
        <v>0</v>
      </c>
      <c r="M223" t="n">
        <v>0</v>
      </c>
      <c r="N223" t="n">
        <v>0</v>
      </c>
      <c r="O223" t="n">
        <v>0</v>
      </c>
      <c r="P223" t="n">
        <v>0</v>
      </c>
      <c r="Q223" t="n">
        <v>0</v>
      </c>
      <c r="R223" s="2" t="inlineStr"/>
    </row>
    <row r="224" ht="15" customHeight="1">
      <c r="A224" t="inlineStr">
        <is>
          <t>A 14248-2023</t>
        </is>
      </c>
      <c r="B224" s="1" t="n">
        <v>45009</v>
      </c>
      <c r="C224" s="1" t="n">
        <v>45933</v>
      </c>
      <c r="D224" t="inlineStr">
        <is>
          <t>KALMAR LÄN</t>
        </is>
      </c>
      <c r="E224" t="inlineStr">
        <is>
          <t>VIMMERBY</t>
        </is>
      </c>
      <c r="G224" t="n">
        <v>2.6</v>
      </c>
      <c r="H224" t="n">
        <v>0</v>
      </c>
      <c r="I224" t="n">
        <v>0</v>
      </c>
      <c r="J224" t="n">
        <v>0</v>
      </c>
      <c r="K224" t="n">
        <v>0</v>
      </c>
      <c r="L224" t="n">
        <v>0</v>
      </c>
      <c r="M224" t="n">
        <v>0</v>
      </c>
      <c r="N224" t="n">
        <v>0</v>
      </c>
      <c r="O224" t="n">
        <v>0</v>
      </c>
      <c r="P224" t="n">
        <v>0</v>
      </c>
      <c r="Q224" t="n">
        <v>0</v>
      </c>
      <c r="R224" s="2" t="inlineStr"/>
    </row>
    <row r="225" ht="15" customHeight="1">
      <c r="A225" t="inlineStr">
        <is>
          <t>A 64143-2021</t>
        </is>
      </c>
      <c r="B225" s="1" t="n">
        <v>44510.52157407408</v>
      </c>
      <c r="C225" s="1" t="n">
        <v>45933</v>
      </c>
      <c r="D225" t="inlineStr">
        <is>
          <t>KALMAR LÄN</t>
        </is>
      </c>
      <c r="E225" t="inlineStr">
        <is>
          <t>VIMMERBY</t>
        </is>
      </c>
      <c r="G225" t="n">
        <v>1.6</v>
      </c>
      <c r="H225" t="n">
        <v>0</v>
      </c>
      <c r="I225" t="n">
        <v>0</v>
      </c>
      <c r="J225" t="n">
        <v>0</v>
      </c>
      <c r="K225" t="n">
        <v>0</v>
      </c>
      <c r="L225" t="n">
        <v>0</v>
      </c>
      <c r="M225" t="n">
        <v>0</v>
      </c>
      <c r="N225" t="n">
        <v>0</v>
      </c>
      <c r="O225" t="n">
        <v>0</v>
      </c>
      <c r="P225" t="n">
        <v>0</v>
      </c>
      <c r="Q225" t="n">
        <v>0</v>
      </c>
      <c r="R225" s="2" t="inlineStr"/>
    </row>
    <row r="226" ht="15" customHeight="1">
      <c r="A226" t="inlineStr">
        <is>
          <t>A 9720-2023</t>
        </is>
      </c>
      <c r="B226" s="1" t="n">
        <v>44984</v>
      </c>
      <c r="C226" s="1" t="n">
        <v>45933</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5938-2022</t>
        </is>
      </c>
      <c r="B227" s="1" t="n">
        <v>44598</v>
      </c>
      <c r="C227" s="1" t="n">
        <v>45933</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1687-2023</t>
        </is>
      </c>
      <c r="B228" s="1" t="n">
        <v>44938</v>
      </c>
      <c r="C228" s="1" t="n">
        <v>45933</v>
      </c>
      <c r="D228" t="inlineStr">
        <is>
          <t>KALMAR LÄN</t>
        </is>
      </c>
      <c r="E228" t="inlineStr">
        <is>
          <t>VIMMERBY</t>
        </is>
      </c>
      <c r="F228" t="inlineStr">
        <is>
          <t>Kommuner</t>
        </is>
      </c>
      <c r="G228" t="n">
        <v>2.5</v>
      </c>
      <c r="H228" t="n">
        <v>0</v>
      </c>
      <c r="I228" t="n">
        <v>0</v>
      </c>
      <c r="J228" t="n">
        <v>0</v>
      </c>
      <c r="K228" t="n">
        <v>0</v>
      </c>
      <c r="L228" t="n">
        <v>0</v>
      </c>
      <c r="M228" t="n">
        <v>0</v>
      </c>
      <c r="N228" t="n">
        <v>0</v>
      </c>
      <c r="O228" t="n">
        <v>0</v>
      </c>
      <c r="P228" t="n">
        <v>0</v>
      </c>
      <c r="Q228" t="n">
        <v>0</v>
      </c>
      <c r="R228" s="2" t="inlineStr"/>
    </row>
    <row r="229" ht="15" customHeight="1">
      <c r="A229" t="inlineStr">
        <is>
          <t>A 29440-2024</t>
        </is>
      </c>
      <c r="B229" s="1" t="n">
        <v>45483.82479166667</v>
      </c>
      <c r="C229" s="1" t="n">
        <v>45933</v>
      </c>
      <c r="D229" t="inlineStr">
        <is>
          <t>KALMAR LÄN</t>
        </is>
      </c>
      <c r="E229" t="inlineStr">
        <is>
          <t>VIMMERBY</t>
        </is>
      </c>
      <c r="G229" t="n">
        <v>4.5</v>
      </c>
      <c r="H229" t="n">
        <v>0</v>
      </c>
      <c r="I229" t="n">
        <v>0</v>
      </c>
      <c r="J229" t="n">
        <v>0</v>
      </c>
      <c r="K229" t="n">
        <v>0</v>
      </c>
      <c r="L229" t="n">
        <v>0</v>
      </c>
      <c r="M229" t="n">
        <v>0</v>
      </c>
      <c r="N229" t="n">
        <v>0</v>
      </c>
      <c r="O229" t="n">
        <v>0</v>
      </c>
      <c r="P229" t="n">
        <v>0</v>
      </c>
      <c r="Q229" t="n">
        <v>0</v>
      </c>
      <c r="R229" s="2" t="inlineStr"/>
    </row>
    <row r="230" ht="15" customHeight="1">
      <c r="A230" t="inlineStr">
        <is>
          <t>A 30921-2024</t>
        </is>
      </c>
      <c r="B230" s="1" t="n">
        <v>45498</v>
      </c>
      <c r="C230" s="1" t="n">
        <v>45933</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53482-2022</t>
        </is>
      </c>
      <c r="B231" s="1" t="n">
        <v>44879</v>
      </c>
      <c r="C231" s="1" t="n">
        <v>45933</v>
      </c>
      <c r="D231" t="inlineStr">
        <is>
          <t>KALMAR LÄN</t>
        </is>
      </c>
      <c r="E231" t="inlineStr">
        <is>
          <t>VIMMERBY</t>
        </is>
      </c>
      <c r="G231" t="n">
        <v>10.1</v>
      </c>
      <c r="H231" t="n">
        <v>0</v>
      </c>
      <c r="I231" t="n">
        <v>0</v>
      </c>
      <c r="J231" t="n">
        <v>0</v>
      </c>
      <c r="K231" t="n">
        <v>0</v>
      </c>
      <c r="L231" t="n">
        <v>0</v>
      </c>
      <c r="M231" t="n">
        <v>0</v>
      </c>
      <c r="N231" t="n">
        <v>0</v>
      </c>
      <c r="O231" t="n">
        <v>0</v>
      </c>
      <c r="P231" t="n">
        <v>0</v>
      </c>
      <c r="Q231" t="n">
        <v>0</v>
      </c>
      <c r="R231" s="2" t="inlineStr"/>
    </row>
    <row r="232" ht="15" customHeight="1">
      <c r="A232" t="inlineStr">
        <is>
          <t>A 54065-2021</t>
        </is>
      </c>
      <c r="B232" s="1" t="n">
        <v>44470.44232638889</v>
      </c>
      <c r="C232" s="1" t="n">
        <v>45933</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31824-2022</t>
        </is>
      </c>
      <c r="B233" s="1" t="n">
        <v>44776</v>
      </c>
      <c r="C233" s="1" t="n">
        <v>45933</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30400-2023</t>
        </is>
      </c>
      <c r="B234" s="1" t="n">
        <v>45111.48225694444</v>
      </c>
      <c r="C234" s="1" t="n">
        <v>45933</v>
      </c>
      <c r="D234" t="inlineStr">
        <is>
          <t>KALMAR LÄN</t>
        </is>
      </c>
      <c r="E234" t="inlineStr">
        <is>
          <t>VIMMERBY</t>
        </is>
      </c>
      <c r="G234" t="n">
        <v>2.7</v>
      </c>
      <c r="H234" t="n">
        <v>0</v>
      </c>
      <c r="I234" t="n">
        <v>0</v>
      </c>
      <c r="J234" t="n">
        <v>0</v>
      </c>
      <c r="K234" t="n">
        <v>0</v>
      </c>
      <c r="L234" t="n">
        <v>0</v>
      </c>
      <c r="M234" t="n">
        <v>0</v>
      </c>
      <c r="N234" t="n">
        <v>0</v>
      </c>
      <c r="O234" t="n">
        <v>0</v>
      </c>
      <c r="P234" t="n">
        <v>0</v>
      </c>
      <c r="Q234" t="n">
        <v>0</v>
      </c>
      <c r="R234" s="2" t="inlineStr"/>
    </row>
    <row r="235" ht="15" customHeight="1">
      <c r="A235" t="inlineStr">
        <is>
          <t>A 30404-2023</t>
        </is>
      </c>
      <c r="B235" s="1" t="n">
        <v>45111.48636574074</v>
      </c>
      <c r="C235" s="1" t="n">
        <v>45933</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55123-2024</t>
        </is>
      </c>
      <c r="B236" s="1" t="n">
        <v>45621.46103009259</v>
      </c>
      <c r="C236" s="1" t="n">
        <v>45933</v>
      </c>
      <c r="D236" t="inlineStr">
        <is>
          <t>KALMAR LÄN</t>
        </is>
      </c>
      <c r="E236" t="inlineStr">
        <is>
          <t>VIMMERBY</t>
        </is>
      </c>
      <c r="G236" t="n">
        <v>3.1</v>
      </c>
      <c r="H236" t="n">
        <v>0</v>
      </c>
      <c r="I236" t="n">
        <v>0</v>
      </c>
      <c r="J236" t="n">
        <v>0</v>
      </c>
      <c r="K236" t="n">
        <v>0</v>
      </c>
      <c r="L236" t="n">
        <v>0</v>
      </c>
      <c r="M236" t="n">
        <v>0</v>
      </c>
      <c r="N236" t="n">
        <v>0</v>
      </c>
      <c r="O236" t="n">
        <v>0</v>
      </c>
      <c r="P236" t="n">
        <v>0</v>
      </c>
      <c r="Q236" t="n">
        <v>0</v>
      </c>
      <c r="R236" s="2" t="inlineStr"/>
    </row>
    <row r="237" ht="15" customHeight="1">
      <c r="A237" t="inlineStr">
        <is>
          <t>A 31405-2023</t>
        </is>
      </c>
      <c r="B237" s="1" t="n">
        <v>45114.58148148148</v>
      </c>
      <c r="C237" s="1" t="n">
        <v>45933</v>
      </c>
      <c r="D237" t="inlineStr">
        <is>
          <t>KALMAR LÄN</t>
        </is>
      </c>
      <c r="E237" t="inlineStr">
        <is>
          <t>VIMMERBY</t>
        </is>
      </c>
      <c r="G237" t="n">
        <v>2.6</v>
      </c>
      <c r="H237" t="n">
        <v>0</v>
      </c>
      <c r="I237" t="n">
        <v>0</v>
      </c>
      <c r="J237" t="n">
        <v>0</v>
      </c>
      <c r="K237" t="n">
        <v>0</v>
      </c>
      <c r="L237" t="n">
        <v>0</v>
      </c>
      <c r="M237" t="n">
        <v>0</v>
      </c>
      <c r="N237" t="n">
        <v>0</v>
      </c>
      <c r="O237" t="n">
        <v>0</v>
      </c>
      <c r="P237" t="n">
        <v>0</v>
      </c>
      <c r="Q237" t="n">
        <v>0</v>
      </c>
      <c r="R237" s="2" t="inlineStr"/>
    </row>
    <row r="238" ht="15" customHeight="1">
      <c r="A238" t="inlineStr">
        <is>
          <t>A 11733-2022</t>
        </is>
      </c>
      <c r="B238" s="1" t="n">
        <v>44634</v>
      </c>
      <c r="C238" s="1" t="n">
        <v>45933</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24707-2024</t>
        </is>
      </c>
      <c r="B239" s="1" t="n">
        <v>45460.62172453704</v>
      </c>
      <c r="C239" s="1" t="n">
        <v>45933</v>
      </c>
      <c r="D239" t="inlineStr">
        <is>
          <t>KALMAR LÄN</t>
        </is>
      </c>
      <c r="E239" t="inlineStr">
        <is>
          <t>VIMMERBY</t>
        </is>
      </c>
      <c r="G239" t="n">
        <v>1.7</v>
      </c>
      <c r="H239" t="n">
        <v>0</v>
      </c>
      <c r="I239" t="n">
        <v>0</v>
      </c>
      <c r="J239" t="n">
        <v>0</v>
      </c>
      <c r="K239" t="n">
        <v>0</v>
      </c>
      <c r="L239" t="n">
        <v>0</v>
      </c>
      <c r="M239" t="n">
        <v>0</v>
      </c>
      <c r="N239" t="n">
        <v>0</v>
      </c>
      <c r="O239" t="n">
        <v>0</v>
      </c>
      <c r="P239" t="n">
        <v>0</v>
      </c>
      <c r="Q239" t="n">
        <v>0</v>
      </c>
      <c r="R239" s="2" t="inlineStr"/>
    </row>
    <row r="240" ht="15" customHeight="1">
      <c r="A240" t="inlineStr">
        <is>
          <t>A 36049-2024</t>
        </is>
      </c>
      <c r="B240" s="1" t="n">
        <v>45533.61996527778</v>
      </c>
      <c r="C240" s="1" t="n">
        <v>45933</v>
      </c>
      <c r="D240" t="inlineStr">
        <is>
          <t>KALMAR LÄN</t>
        </is>
      </c>
      <c r="E240" t="inlineStr">
        <is>
          <t>VIMMERBY</t>
        </is>
      </c>
      <c r="F240" t="inlineStr">
        <is>
          <t>Kommuner</t>
        </is>
      </c>
      <c r="G240" t="n">
        <v>2.6</v>
      </c>
      <c r="H240" t="n">
        <v>0</v>
      </c>
      <c r="I240" t="n">
        <v>0</v>
      </c>
      <c r="J240" t="n">
        <v>0</v>
      </c>
      <c r="K240" t="n">
        <v>0</v>
      </c>
      <c r="L240" t="n">
        <v>0</v>
      </c>
      <c r="M240" t="n">
        <v>0</v>
      </c>
      <c r="N240" t="n">
        <v>0</v>
      </c>
      <c r="O240" t="n">
        <v>0</v>
      </c>
      <c r="P240" t="n">
        <v>0</v>
      </c>
      <c r="Q240" t="n">
        <v>0</v>
      </c>
      <c r="R240" s="2" t="inlineStr"/>
    </row>
    <row r="241" ht="15" customHeight="1">
      <c r="A241" t="inlineStr">
        <is>
          <t>A 29180-2024</t>
        </is>
      </c>
      <c r="B241" s="1" t="n">
        <v>45482.54108796296</v>
      </c>
      <c r="C241" s="1" t="n">
        <v>45933</v>
      </c>
      <c r="D241" t="inlineStr">
        <is>
          <t>KALMAR LÄN</t>
        </is>
      </c>
      <c r="E241" t="inlineStr">
        <is>
          <t>VIMMERBY</t>
        </is>
      </c>
      <c r="G241" t="n">
        <v>3.8</v>
      </c>
      <c r="H241" t="n">
        <v>0</v>
      </c>
      <c r="I241" t="n">
        <v>0</v>
      </c>
      <c r="J241" t="n">
        <v>0</v>
      </c>
      <c r="K241" t="n">
        <v>0</v>
      </c>
      <c r="L241" t="n">
        <v>0</v>
      </c>
      <c r="M241" t="n">
        <v>0</v>
      </c>
      <c r="N241" t="n">
        <v>0</v>
      </c>
      <c r="O241" t="n">
        <v>0</v>
      </c>
      <c r="P241" t="n">
        <v>0</v>
      </c>
      <c r="Q241" t="n">
        <v>0</v>
      </c>
      <c r="R241" s="2" t="inlineStr"/>
    </row>
    <row r="242" ht="15" customHeight="1">
      <c r="A242" t="inlineStr">
        <is>
          <t>A 7804-2022</t>
        </is>
      </c>
      <c r="B242" s="1" t="n">
        <v>44608.50458333334</v>
      </c>
      <c r="C242" s="1" t="n">
        <v>45933</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39042-2022</t>
        </is>
      </c>
      <c r="B243" s="1" t="n">
        <v>44817</v>
      </c>
      <c r="C243" s="1" t="n">
        <v>45933</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58159-2024</t>
        </is>
      </c>
      <c r="B244" s="1" t="n">
        <v>45632.44886574074</v>
      </c>
      <c r="C244" s="1" t="n">
        <v>45933</v>
      </c>
      <c r="D244" t="inlineStr">
        <is>
          <t>KALMAR LÄN</t>
        </is>
      </c>
      <c r="E244" t="inlineStr">
        <is>
          <t>VIMMERBY</t>
        </is>
      </c>
      <c r="G244" t="n">
        <v>7.5</v>
      </c>
      <c r="H244" t="n">
        <v>0</v>
      </c>
      <c r="I244" t="n">
        <v>0</v>
      </c>
      <c r="J244" t="n">
        <v>0</v>
      </c>
      <c r="K244" t="n">
        <v>0</v>
      </c>
      <c r="L244" t="n">
        <v>0</v>
      </c>
      <c r="M244" t="n">
        <v>0</v>
      </c>
      <c r="N244" t="n">
        <v>0</v>
      </c>
      <c r="O244" t="n">
        <v>0</v>
      </c>
      <c r="P244" t="n">
        <v>0</v>
      </c>
      <c r="Q244" t="n">
        <v>0</v>
      </c>
      <c r="R244" s="2" t="inlineStr"/>
    </row>
    <row r="245" ht="15" customHeight="1">
      <c r="A245" t="inlineStr">
        <is>
          <t>A 29783-2024</t>
        </is>
      </c>
      <c r="B245" s="1" t="n">
        <v>45485.45778935185</v>
      </c>
      <c r="C245" s="1" t="n">
        <v>45933</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16288-2021</t>
        </is>
      </c>
      <c r="B246" s="1" t="n">
        <v>44292</v>
      </c>
      <c r="C246" s="1" t="n">
        <v>45933</v>
      </c>
      <c r="D246" t="inlineStr">
        <is>
          <t>KALMAR LÄN</t>
        </is>
      </c>
      <c r="E246" t="inlineStr">
        <is>
          <t>VIMMERBY</t>
        </is>
      </c>
      <c r="F246" t="inlineStr">
        <is>
          <t>Övriga Aktiebolag</t>
        </is>
      </c>
      <c r="G246" t="n">
        <v>27.6</v>
      </c>
      <c r="H246" t="n">
        <v>0</v>
      </c>
      <c r="I246" t="n">
        <v>0</v>
      </c>
      <c r="J246" t="n">
        <v>0</v>
      </c>
      <c r="K246" t="n">
        <v>0</v>
      </c>
      <c r="L246" t="n">
        <v>0</v>
      </c>
      <c r="M246" t="n">
        <v>0</v>
      </c>
      <c r="N246" t="n">
        <v>0</v>
      </c>
      <c r="O246" t="n">
        <v>0</v>
      </c>
      <c r="P246" t="n">
        <v>0</v>
      </c>
      <c r="Q246" t="n">
        <v>0</v>
      </c>
      <c r="R246" s="2" t="inlineStr"/>
    </row>
    <row r="247" ht="15" customHeight="1">
      <c r="A247" t="inlineStr">
        <is>
          <t>A 54838-2024</t>
        </is>
      </c>
      <c r="B247" s="1" t="n">
        <v>45618.56787037037</v>
      </c>
      <c r="C247" s="1" t="n">
        <v>45933</v>
      </c>
      <c r="D247" t="inlineStr">
        <is>
          <t>KALMAR LÄN</t>
        </is>
      </c>
      <c r="E247" t="inlineStr">
        <is>
          <t>VIMMERBY</t>
        </is>
      </c>
      <c r="G247" t="n">
        <v>3.3</v>
      </c>
      <c r="H247" t="n">
        <v>0</v>
      </c>
      <c r="I247" t="n">
        <v>0</v>
      </c>
      <c r="J247" t="n">
        <v>0</v>
      </c>
      <c r="K247" t="n">
        <v>0</v>
      </c>
      <c r="L247" t="n">
        <v>0</v>
      </c>
      <c r="M247" t="n">
        <v>0</v>
      </c>
      <c r="N247" t="n">
        <v>0</v>
      </c>
      <c r="O247" t="n">
        <v>0</v>
      </c>
      <c r="P247" t="n">
        <v>0</v>
      </c>
      <c r="Q247" t="n">
        <v>0</v>
      </c>
      <c r="R247" s="2" t="inlineStr"/>
    </row>
    <row r="248" ht="15" customHeight="1">
      <c r="A248" t="inlineStr">
        <is>
          <t>A 14359-2025</t>
        </is>
      </c>
      <c r="B248" s="1" t="n">
        <v>45741.37270833334</v>
      </c>
      <c r="C248" s="1" t="n">
        <v>45933</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29441-2024</t>
        </is>
      </c>
      <c r="B249" s="1" t="n">
        <v>45483.82834490741</v>
      </c>
      <c r="C249" s="1" t="n">
        <v>45933</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25987-2024</t>
        </is>
      </c>
      <c r="B250" s="1" t="n">
        <v>45467.74417824074</v>
      </c>
      <c r="C250" s="1" t="n">
        <v>45933</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25109-2023</t>
        </is>
      </c>
      <c r="B251" s="1" t="n">
        <v>45086</v>
      </c>
      <c r="C251" s="1" t="n">
        <v>45933</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25728-2023</t>
        </is>
      </c>
      <c r="B252" s="1" t="n">
        <v>45090.38012731481</v>
      </c>
      <c r="C252" s="1" t="n">
        <v>45933</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61878-2020</t>
        </is>
      </c>
      <c r="B253" s="1" t="n">
        <v>44159</v>
      </c>
      <c r="C253" s="1" t="n">
        <v>45933</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27719-2025</t>
        </is>
      </c>
      <c r="B254" s="1" t="n">
        <v>45814.3865625</v>
      </c>
      <c r="C254" s="1" t="n">
        <v>45933</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27718-2025</t>
        </is>
      </c>
      <c r="B255" s="1" t="n">
        <v>45814.38221064815</v>
      </c>
      <c r="C255" s="1" t="n">
        <v>45933</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39578-2024</t>
        </is>
      </c>
      <c r="B256" s="1" t="n">
        <v>45552.36484953704</v>
      </c>
      <c r="C256" s="1" t="n">
        <v>45933</v>
      </c>
      <c r="D256" t="inlineStr">
        <is>
          <t>KALMAR LÄN</t>
        </is>
      </c>
      <c r="E256" t="inlineStr">
        <is>
          <t>VIMMERBY</t>
        </is>
      </c>
      <c r="G256" t="n">
        <v>1.5</v>
      </c>
      <c r="H256" t="n">
        <v>0</v>
      </c>
      <c r="I256" t="n">
        <v>0</v>
      </c>
      <c r="J256" t="n">
        <v>0</v>
      </c>
      <c r="K256" t="n">
        <v>0</v>
      </c>
      <c r="L256" t="n">
        <v>0</v>
      </c>
      <c r="M256" t="n">
        <v>0</v>
      </c>
      <c r="N256" t="n">
        <v>0</v>
      </c>
      <c r="O256" t="n">
        <v>0</v>
      </c>
      <c r="P256" t="n">
        <v>0</v>
      </c>
      <c r="Q256" t="n">
        <v>0</v>
      </c>
      <c r="R256" s="2" t="inlineStr"/>
    </row>
    <row r="257" ht="15" customHeight="1">
      <c r="A257" t="inlineStr">
        <is>
          <t>A 28290-2025</t>
        </is>
      </c>
      <c r="B257" s="1" t="n">
        <v>45818.59261574074</v>
      </c>
      <c r="C257" s="1" t="n">
        <v>45933</v>
      </c>
      <c r="D257" t="inlineStr">
        <is>
          <t>KALMAR LÄN</t>
        </is>
      </c>
      <c r="E257" t="inlineStr">
        <is>
          <t>VIMMERBY</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28280-2025</t>
        </is>
      </c>
      <c r="B258" s="1" t="n">
        <v>45818.5862037037</v>
      </c>
      <c r="C258" s="1" t="n">
        <v>45933</v>
      </c>
      <c r="D258" t="inlineStr">
        <is>
          <t>KALMAR LÄN</t>
        </is>
      </c>
      <c r="E258" t="inlineStr">
        <is>
          <t>VIMMERBY</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28286-2025</t>
        </is>
      </c>
      <c r="B259" s="1" t="n">
        <v>45818.58993055556</v>
      </c>
      <c r="C259" s="1" t="n">
        <v>45933</v>
      </c>
      <c r="D259" t="inlineStr">
        <is>
          <t>KALMAR LÄN</t>
        </is>
      </c>
      <c r="E259" t="inlineStr">
        <is>
          <t>VIMMERBY</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62023-2022</t>
        </is>
      </c>
      <c r="B260" s="1" t="n">
        <v>44918.50106481482</v>
      </c>
      <c r="C260" s="1" t="n">
        <v>45933</v>
      </c>
      <c r="D260" t="inlineStr">
        <is>
          <t>KALMAR LÄN</t>
        </is>
      </c>
      <c r="E260" t="inlineStr">
        <is>
          <t>VIMMERBY</t>
        </is>
      </c>
      <c r="G260" t="n">
        <v>0.3</v>
      </c>
      <c r="H260" t="n">
        <v>0</v>
      </c>
      <c r="I260" t="n">
        <v>0</v>
      </c>
      <c r="J260" t="n">
        <v>0</v>
      </c>
      <c r="K260" t="n">
        <v>0</v>
      </c>
      <c r="L260" t="n">
        <v>0</v>
      </c>
      <c r="M260" t="n">
        <v>0</v>
      </c>
      <c r="N260" t="n">
        <v>0</v>
      </c>
      <c r="O260" t="n">
        <v>0</v>
      </c>
      <c r="P260" t="n">
        <v>0</v>
      </c>
      <c r="Q260" t="n">
        <v>0</v>
      </c>
      <c r="R260" s="2" t="inlineStr"/>
    </row>
    <row r="261" ht="15" customHeight="1">
      <c r="A261" t="inlineStr">
        <is>
          <t>A 62779-2023</t>
        </is>
      </c>
      <c r="B261" s="1" t="n">
        <v>45271.66576388889</v>
      </c>
      <c r="C261" s="1" t="n">
        <v>45933</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58104-2024</t>
        </is>
      </c>
      <c r="B262" s="1" t="n">
        <v>45632.37459490741</v>
      </c>
      <c r="C262" s="1" t="n">
        <v>45933</v>
      </c>
      <c r="D262" t="inlineStr">
        <is>
          <t>KALMAR LÄN</t>
        </is>
      </c>
      <c r="E262" t="inlineStr">
        <is>
          <t>VIMMERBY</t>
        </is>
      </c>
      <c r="G262" t="n">
        <v>5</v>
      </c>
      <c r="H262" t="n">
        <v>0</v>
      </c>
      <c r="I262" t="n">
        <v>0</v>
      </c>
      <c r="J262" t="n">
        <v>0</v>
      </c>
      <c r="K262" t="n">
        <v>0</v>
      </c>
      <c r="L262" t="n">
        <v>0</v>
      </c>
      <c r="M262" t="n">
        <v>0</v>
      </c>
      <c r="N262" t="n">
        <v>0</v>
      </c>
      <c r="O262" t="n">
        <v>0</v>
      </c>
      <c r="P262" t="n">
        <v>0</v>
      </c>
      <c r="Q262" t="n">
        <v>0</v>
      </c>
      <c r="R262" s="2" t="inlineStr"/>
    </row>
    <row r="263" ht="15" customHeight="1">
      <c r="A263" t="inlineStr">
        <is>
          <t>A 12215-2024</t>
        </is>
      </c>
      <c r="B263" s="1" t="n">
        <v>45378.32185185186</v>
      </c>
      <c r="C263" s="1" t="n">
        <v>45933</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28282-2025</t>
        </is>
      </c>
      <c r="B264" s="1" t="n">
        <v>45818.58769675926</v>
      </c>
      <c r="C264" s="1" t="n">
        <v>45933</v>
      </c>
      <c r="D264" t="inlineStr">
        <is>
          <t>KALMAR LÄN</t>
        </is>
      </c>
      <c r="E264" t="inlineStr">
        <is>
          <t>VIMMERBY</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28294-2025</t>
        </is>
      </c>
      <c r="B265" s="1" t="n">
        <v>45818.595625</v>
      </c>
      <c r="C265" s="1" t="n">
        <v>45933</v>
      </c>
      <c r="D265" t="inlineStr">
        <is>
          <t>KALMAR LÄN</t>
        </is>
      </c>
      <c r="E265" t="inlineStr">
        <is>
          <t>VIMMERBY</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30920-2024</t>
        </is>
      </c>
      <c r="B266" s="1" t="n">
        <v>45498.673125</v>
      </c>
      <c r="C266" s="1" t="n">
        <v>45933</v>
      </c>
      <c r="D266" t="inlineStr">
        <is>
          <t>KALMAR LÄN</t>
        </is>
      </c>
      <c r="E266" t="inlineStr">
        <is>
          <t>VIMMERBY</t>
        </is>
      </c>
      <c r="G266" t="n">
        <v>1.3</v>
      </c>
      <c r="H266" t="n">
        <v>0</v>
      </c>
      <c r="I266" t="n">
        <v>0</v>
      </c>
      <c r="J266" t="n">
        <v>0</v>
      </c>
      <c r="K266" t="n">
        <v>0</v>
      </c>
      <c r="L266" t="n">
        <v>0</v>
      </c>
      <c r="M266" t="n">
        <v>0</v>
      </c>
      <c r="N266" t="n">
        <v>0</v>
      </c>
      <c r="O266" t="n">
        <v>0</v>
      </c>
      <c r="P266" t="n">
        <v>0</v>
      </c>
      <c r="Q266" t="n">
        <v>0</v>
      </c>
      <c r="R266" s="2" t="inlineStr"/>
    </row>
    <row r="267" ht="15" customHeight="1">
      <c r="A267" t="inlineStr">
        <is>
          <t>A 56536-2022</t>
        </is>
      </c>
      <c r="B267" s="1" t="n">
        <v>44893</v>
      </c>
      <c r="C267" s="1" t="n">
        <v>45933</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63541-2023</t>
        </is>
      </c>
      <c r="B268" s="1" t="n">
        <v>45275.32266203704</v>
      </c>
      <c r="C268" s="1" t="n">
        <v>45933</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37323-2024</t>
        </is>
      </c>
      <c r="B269" s="1" t="n">
        <v>45540.50098379629</v>
      </c>
      <c r="C269" s="1" t="n">
        <v>45933</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46399-2024</t>
        </is>
      </c>
      <c r="B270" s="1" t="n">
        <v>45582.41200231481</v>
      </c>
      <c r="C270" s="1" t="n">
        <v>45933</v>
      </c>
      <c r="D270" t="inlineStr">
        <is>
          <t>KALMAR LÄN</t>
        </is>
      </c>
      <c r="E270" t="inlineStr">
        <is>
          <t>VIMMERBY</t>
        </is>
      </c>
      <c r="G270" t="n">
        <v>4.6</v>
      </c>
      <c r="H270" t="n">
        <v>0</v>
      </c>
      <c r="I270" t="n">
        <v>0</v>
      </c>
      <c r="J270" t="n">
        <v>0</v>
      </c>
      <c r="K270" t="n">
        <v>0</v>
      </c>
      <c r="L270" t="n">
        <v>0</v>
      </c>
      <c r="M270" t="n">
        <v>0</v>
      </c>
      <c r="N270" t="n">
        <v>0</v>
      </c>
      <c r="O270" t="n">
        <v>0</v>
      </c>
      <c r="P270" t="n">
        <v>0</v>
      </c>
      <c r="Q270" t="n">
        <v>0</v>
      </c>
      <c r="R270" s="2" t="inlineStr"/>
    </row>
    <row r="271" ht="15" customHeight="1">
      <c r="A271" t="inlineStr">
        <is>
          <t>A 54917-2020</t>
        </is>
      </c>
      <c r="B271" s="1" t="n">
        <v>44127</v>
      </c>
      <c r="C271" s="1" t="n">
        <v>45933</v>
      </c>
      <c r="D271" t="inlineStr">
        <is>
          <t>KALMAR LÄN</t>
        </is>
      </c>
      <c r="E271" t="inlineStr">
        <is>
          <t>VIMMERBY</t>
        </is>
      </c>
      <c r="G271" t="n">
        <v>9.5</v>
      </c>
      <c r="H271" t="n">
        <v>0</v>
      </c>
      <c r="I271" t="n">
        <v>0</v>
      </c>
      <c r="J271" t="n">
        <v>0</v>
      </c>
      <c r="K271" t="n">
        <v>0</v>
      </c>
      <c r="L271" t="n">
        <v>0</v>
      </c>
      <c r="M271" t="n">
        <v>0</v>
      </c>
      <c r="N271" t="n">
        <v>0</v>
      </c>
      <c r="O271" t="n">
        <v>0</v>
      </c>
      <c r="P271" t="n">
        <v>0</v>
      </c>
      <c r="Q271" t="n">
        <v>0</v>
      </c>
      <c r="R271" s="2" t="inlineStr"/>
    </row>
    <row r="272" ht="15" customHeight="1">
      <c r="A272" t="inlineStr">
        <is>
          <t>A 28713-2025</t>
        </is>
      </c>
      <c r="B272" s="1" t="n">
        <v>45820.33930555556</v>
      </c>
      <c r="C272" s="1" t="n">
        <v>45933</v>
      </c>
      <c r="D272" t="inlineStr">
        <is>
          <t>KALMAR LÄN</t>
        </is>
      </c>
      <c r="E272" t="inlineStr">
        <is>
          <t>VIMMERBY</t>
        </is>
      </c>
      <c r="G272" t="n">
        <v>2.3</v>
      </c>
      <c r="H272" t="n">
        <v>0</v>
      </c>
      <c r="I272" t="n">
        <v>0</v>
      </c>
      <c r="J272" t="n">
        <v>0</v>
      </c>
      <c r="K272" t="n">
        <v>0</v>
      </c>
      <c r="L272" t="n">
        <v>0</v>
      </c>
      <c r="M272" t="n">
        <v>0</v>
      </c>
      <c r="N272" t="n">
        <v>0</v>
      </c>
      <c r="O272" t="n">
        <v>0</v>
      </c>
      <c r="P272" t="n">
        <v>0</v>
      </c>
      <c r="Q272" t="n">
        <v>0</v>
      </c>
      <c r="R272" s="2" t="inlineStr"/>
    </row>
    <row r="273" ht="15" customHeight="1">
      <c r="A273" t="inlineStr">
        <is>
          <t>A 3425-2022</t>
        </is>
      </c>
      <c r="B273" s="1" t="n">
        <v>44585.51060185185</v>
      </c>
      <c r="C273" s="1" t="n">
        <v>45933</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43962-2024</t>
        </is>
      </c>
      <c r="B274" s="1" t="n">
        <v>45572.48293981481</v>
      </c>
      <c r="C274" s="1" t="n">
        <v>45933</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52435-2021</t>
        </is>
      </c>
      <c r="B275" s="1" t="n">
        <v>44466.34962962963</v>
      </c>
      <c r="C275" s="1" t="n">
        <v>45933</v>
      </c>
      <c r="D275" t="inlineStr">
        <is>
          <t>KALMAR LÄN</t>
        </is>
      </c>
      <c r="E275" t="inlineStr">
        <is>
          <t>VIMMERBY</t>
        </is>
      </c>
      <c r="G275" t="n">
        <v>2.8</v>
      </c>
      <c r="H275" t="n">
        <v>0</v>
      </c>
      <c r="I275" t="n">
        <v>0</v>
      </c>
      <c r="J275" t="n">
        <v>0</v>
      </c>
      <c r="K275" t="n">
        <v>0</v>
      </c>
      <c r="L275" t="n">
        <v>0</v>
      </c>
      <c r="M275" t="n">
        <v>0</v>
      </c>
      <c r="N275" t="n">
        <v>0</v>
      </c>
      <c r="O275" t="n">
        <v>0</v>
      </c>
      <c r="P275" t="n">
        <v>0</v>
      </c>
      <c r="Q275" t="n">
        <v>0</v>
      </c>
      <c r="R275" s="2" t="inlineStr"/>
    </row>
    <row r="276" ht="15" customHeight="1">
      <c r="A276" t="inlineStr">
        <is>
          <t>A 29093-2023</t>
        </is>
      </c>
      <c r="B276" s="1" t="n">
        <v>45105</v>
      </c>
      <c r="C276" s="1" t="n">
        <v>45933</v>
      </c>
      <c r="D276" t="inlineStr">
        <is>
          <t>KALMAR LÄN</t>
        </is>
      </c>
      <c r="E276" t="inlineStr">
        <is>
          <t>VIMMERBY</t>
        </is>
      </c>
      <c r="G276" t="n">
        <v>2.9</v>
      </c>
      <c r="H276" t="n">
        <v>0</v>
      </c>
      <c r="I276" t="n">
        <v>0</v>
      </c>
      <c r="J276" t="n">
        <v>0</v>
      </c>
      <c r="K276" t="n">
        <v>0</v>
      </c>
      <c r="L276" t="n">
        <v>0</v>
      </c>
      <c r="M276" t="n">
        <v>0</v>
      </c>
      <c r="N276" t="n">
        <v>0</v>
      </c>
      <c r="O276" t="n">
        <v>0</v>
      </c>
      <c r="P276" t="n">
        <v>0</v>
      </c>
      <c r="Q276" t="n">
        <v>0</v>
      </c>
      <c r="R276" s="2" t="inlineStr"/>
    </row>
    <row r="277" ht="15" customHeight="1">
      <c r="A277" t="inlineStr">
        <is>
          <t>A 11429-2022</t>
        </is>
      </c>
      <c r="B277" s="1" t="n">
        <v>44630</v>
      </c>
      <c r="C277" s="1" t="n">
        <v>45933</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14220-2021</t>
        </is>
      </c>
      <c r="B278" s="1" t="n">
        <v>44278.54855324074</v>
      </c>
      <c r="C278" s="1" t="n">
        <v>45933</v>
      </c>
      <c r="D278" t="inlineStr">
        <is>
          <t>KALMAR LÄN</t>
        </is>
      </c>
      <c r="E278" t="inlineStr">
        <is>
          <t>VIMMERBY</t>
        </is>
      </c>
      <c r="G278" t="n">
        <v>0.3</v>
      </c>
      <c r="H278" t="n">
        <v>0</v>
      </c>
      <c r="I278" t="n">
        <v>0</v>
      </c>
      <c r="J278" t="n">
        <v>0</v>
      </c>
      <c r="K278" t="n">
        <v>0</v>
      </c>
      <c r="L278" t="n">
        <v>0</v>
      </c>
      <c r="M278" t="n">
        <v>0</v>
      </c>
      <c r="N278" t="n">
        <v>0</v>
      </c>
      <c r="O278" t="n">
        <v>0</v>
      </c>
      <c r="P278" t="n">
        <v>0</v>
      </c>
      <c r="Q278" t="n">
        <v>0</v>
      </c>
      <c r="R278" s="2" t="inlineStr"/>
    </row>
    <row r="279" ht="15" customHeight="1">
      <c r="A279" t="inlineStr">
        <is>
          <t>A 56582-2022</t>
        </is>
      </c>
      <c r="B279" s="1" t="n">
        <v>44893</v>
      </c>
      <c r="C279" s="1" t="n">
        <v>45933</v>
      </c>
      <c r="D279" t="inlineStr">
        <is>
          <t>KALMAR LÄN</t>
        </is>
      </c>
      <c r="E279" t="inlineStr">
        <is>
          <t>VIMMERBY</t>
        </is>
      </c>
      <c r="G279" t="n">
        <v>2.2</v>
      </c>
      <c r="H279" t="n">
        <v>0</v>
      </c>
      <c r="I279" t="n">
        <v>0</v>
      </c>
      <c r="J279" t="n">
        <v>0</v>
      </c>
      <c r="K279" t="n">
        <v>0</v>
      </c>
      <c r="L279" t="n">
        <v>0</v>
      </c>
      <c r="M279" t="n">
        <v>0</v>
      </c>
      <c r="N279" t="n">
        <v>0</v>
      </c>
      <c r="O279" t="n">
        <v>0</v>
      </c>
      <c r="P279" t="n">
        <v>0</v>
      </c>
      <c r="Q279" t="n">
        <v>0</v>
      </c>
      <c r="R279" s="2" t="inlineStr"/>
    </row>
    <row r="280" ht="15" customHeight="1">
      <c r="A280" t="inlineStr">
        <is>
          <t>A 12810-2023</t>
        </is>
      </c>
      <c r="B280" s="1" t="n">
        <v>45001.43854166667</v>
      </c>
      <c r="C280" s="1" t="n">
        <v>45933</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28712-2025</t>
        </is>
      </c>
      <c r="B281" s="1" t="n">
        <v>45820.33708333333</v>
      </c>
      <c r="C281" s="1" t="n">
        <v>45933</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28714-2025</t>
        </is>
      </c>
      <c r="B282" s="1" t="n">
        <v>45820.34128472222</v>
      </c>
      <c r="C282" s="1" t="n">
        <v>45933</v>
      </c>
      <c r="D282" t="inlineStr">
        <is>
          <t>KALMAR LÄN</t>
        </is>
      </c>
      <c r="E282" t="inlineStr">
        <is>
          <t>VIMMERBY</t>
        </is>
      </c>
      <c r="G282" t="n">
        <v>1.8</v>
      </c>
      <c r="H282" t="n">
        <v>0</v>
      </c>
      <c r="I282" t="n">
        <v>0</v>
      </c>
      <c r="J282" t="n">
        <v>0</v>
      </c>
      <c r="K282" t="n">
        <v>0</v>
      </c>
      <c r="L282" t="n">
        <v>0</v>
      </c>
      <c r="M282" t="n">
        <v>0</v>
      </c>
      <c r="N282" t="n">
        <v>0</v>
      </c>
      <c r="O282" t="n">
        <v>0</v>
      </c>
      <c r="P282" t="n">
        <v>0</v>
      </c>
      <c r="Q282" t="n">
        <v>0</v>
      </c>
      <c r="R282" s="2" t="inlineStr"/>
    </row>
    <row r="283" ht="15" customHeight="1">
      <c r="A283" t="inlineStr">
        <is>
          <t>A 6408-2025</t>
        </is>
      </c>
      <c r="B283" s="1" t="n">
        <v>45699.45671296296</v>
      </c>
      <c r="C283" s="1" t="n">
        <v>45933</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43068-2023</t>
        </is>
      </c>
      <c r="B284" s="1" t="n">
        <v>45182.78834490741</v>
      </c>
      <c r="C284" s="1" t="n">
        <v>45933</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28620-2025</t>
        </is>
      </c>
      <c r="B285" s="1" t="n">
        <v>45819.61060185185</v>
      </c>
      <c r="C285" s="1" t="n">
        <v>45933</v>
      </c>
      <c r="D285" t="inlineStr">
        <is>
          <t>KALMAR LÄN</t>
        </is>
      </c>
      <c r="E285" t="inlineStr">
        <is>
          <t>VIMMERBY</t>
        </is>
      </c>
      <c r="G285" t="n">
        <v>5.6</v>
      </c>
      <c r="H285" t="n">
        <v>0</v>
      </c>
      <c r="I285" t="n">
        <v>0</v>
      </c>
      <c r="J285" t="n">
        <v>0</v>
      </c>
      <c r="K285" t="n">
        <v>0</v>
      </c>
      <c r="L285" t="n">
        <v>0</v>
      </c>
      <c r="M285" t="n">
        <v>0</v>
      </c>
      <c r="N285" t="n">
        <v>0</v>
      </c>
      <c r="O285" t="n">
        <v>0</v>
      </c>
      <c r="P285" t="n">
        <v>0</v>
      </c>
      <c r="Q285" t="n">
        <v>0</v>
      </c>
      <c r="R285" s="2" t="inlineStr"/>
    </row>
    <row r="286" ht="15" customHeight="1">
      <c r="A286" t="inlineStr">
        <is>
          <t>A 33359-2021</t>
        </is>
      </c>
      <c r="B286" s="1" t="n">
        <v>44377.49684027778</v>
      </c>
      <c r="C286" s="1" t="n">
        <v>45933</v>
      </c>
      <c r="D286" t="inlineStr">
        <is>
          <t>KALMAR LÄN</t>
        </is>
      </c>
      <c r="E286" t="inlineStr">
        <is>
          <t>VIMMERBY</t>
        </is>
      </c>
      <c r="F286" t="inlineStr">
        <is>
          <t>Kommuner</t>
        </is>
      </c>
      <c r="G286" t="n">
        <v>8</v>
      </c>
      <c r="H286" t="n">
        <v>0</v>
      </c>
      <c r="I286" t="n">
        <v>0</v>
      </c>
      <c r="J286" t="n">
        <v>0</v>
      </c>
      <c r="K286" t="n">
        <v>0</v>
      </c>
      <c r="L286" t="n">
        <v>0</v>
      </c>
      <c r="M286" t="n">
        <v>0</v>
      </c>
      <c r="N286" t="n">
        <v>0</v>
      </c>
      <c r="O286" t="n">
        <v>0</v>
      </c>
      <c r="P286" t="n">
        <v>0</v>
      </c>
      <c r="Q286" t="n">
        <v>0</v>
      </c>
      <c r="R286" s="2" t="inlineStr"/>
    </row>
    <row r="287" ht="15" customHeight="1">
      <c r="A287" t="inlineStr">
        <is>
          <t>A 43038-2022</t>
        </is>
      </c>
      <c r="B287" s="1" t="n">
        <v>44833.60123842592</v>
      </c>
      <c r="C287" s="1" t="n">
        <v>45933</v>
      </c>
      <c r="D287" t="inlineStr">
        <is>
          <t>KALMAR LÄN</t>
        </is>
      </c>
      <c r="E287" t="inlineStr">
        <is>
          <t>VIMMERBY</t>
        </is>
      </c>
      <c r="G287" t="n">
        <v>4.2</v>
      </c>
      <c r="H287" t="n">
        <v>0</v>
      </c>
      <c r="I287" t="n">
        <v>0</v>
      </c>
      <c r="J287" t="n">
        <v>0</v>
      </c>
      <c r="K287" t="n">
        <v>0</v>
      </c>
      <c r="L287" t="n">
        <v>0</v>
      </c>
      <c r="M287" t="n">
        <v>0</v>
      </c>
      <c r="N287" t="n">
        <v>0</v>
      </c>
      <c r="O287" t="n">
        <v>0</v>
      </c>
      <c r="P287" t="n">
        <v>0</v>
      </c>
      <c r="Q287" t="n">
        <v>0</v>
      </c>
      <c r="R287" s="2" t="inlineStr"/>
    </row>
    <row r="288" ht="15" customHeight="1">
      <c r="A288" t="inlineStr">
        <is>
          <t>A 11609-2023</t>
        </is>
      </c>
      <c r="B288" s="1" t="n">
        <v>44994.40635416667</v>
      </c>
      <c r="C288" s="1" t="n">
        <v>45933</v>
      </c>
      <c r="D288" t="inlineStr">
        <is>
          <t>KALMAR LÄN</t>
        </is>
      </c>
      <c r="E288" t="inlineStr">
        <is>
          <t>VIMMERBY</t>
        </is>
      </c>
      <c r="G288" t="n">
        <v>4.9</v>
      </c>
      <c r="H288" t="n">
        <v>0</v>
      </c>
      <c r="I288" t="n">
        <v>0</v>
      </c>
      <c r="J288" t="n">
        <v>0</v>
      </c>
      <c r="K288" t="n">
        <v>0</v>
      </c>
      <c r="L288" t="n">
        <v>0</v>
      </c>
      <c r="M288" t="n">
        <v>0</v>
      </c>
      <c r="N288" t="n">
        <v>0</v>
      </c>
      <c r="O288" t="n">
        <v>0</v>
      </c>
      <c r="P288" t="n">
        <v>0</v>
      </c>
      <c r="Q288" t="n">
        <v>0</v>
      </c>
      <c r="R288" s="2" t="inlineStr"/>
    </row>
    <row r="289" ht="15" customHeight="1">
      <c r="A289" t="inlineStr">
        <is>
          <t>A 50087-2023</t>
        </is>
      </c>
      <c r="B289" s="1" t="n">
        <v>45215.59743055556</v>
      </c>
      <c r="C289" s="1" t="n">
        <v>45933</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33681-2022</t>
        </is>
      </c>
      <c r="B290" s="1" t="n">
        <v>44789</v>
      </c>
      <c r="C290" s="1" t="n">
        <v>45933</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44464-2024</t>
        </is>
      </c>
      <c r="B291" s="1" t="n">
        <v>45574.35809027778</v>
      </c>
      <c r="C291" s="1" t="n">
        <v>45933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41066-2024</t>
        </is>
      </c>
      <c r="B292" s="1" t="n">
        <v>45559.38876157408</v>
      </c>
      <c r="C292" s="1" t="n">
        <v>45933</v>
      </c>
      <c r="D292" t="inlineStr">
        <is>
          <t>KALMAR LÄN</t>
        </is>
      </c>
      <c r="E292" t="inlineStr">
        <is>
          <t>VIMMERBY</t>
        </is>
      </c>
      <c r="G292" t="n">
        <v>2.4</v>
      </c>
      <c r="H292" t="n">
        <v>0</v>
      </c>
      <c r="I292" t="n">
        <v>0</v>
      </c>
      <c r="J292" t="n">
        <v>0</v>
      </c>
      <c r="K292" t="n">
        <v>0</v>
      </c>
      <c r="L292" t="n">
        <v>0</v>
      </c>
      <c r="M292" t="n">
        <v>0</v>
      </c>
      <c r="N292" t="n">
        <v>0</v>
      </c>
      <c r="O292" t="n">
        <v>0</v>
      </c>
      <c r="P292" t="n">
        <v>0</v>
      </c>
      <c r="Q292" t="n">
        <v>0</v>
      </c>
      <c r="R292" s="2" t="inlineStr"/>
    </row>
    <row r="293" ht="15" customHeight="1">
      <c r="A293" t="inlineStr">
        <is>
          <t>A 12075-2024</t>
        </is>
      </c>
      <c r="B293" s="1" t="n">
        <v>45377</v>
      </c>
      <c r="C293" s="1" t="n">
        <v>45933</v>
      </c>
      <c r="D293" t="inlineStr">
        <is>
          <t>KALMAR LÄN</t>
        </is>
      </c>
      <c r="E293" t="inlineStr">
        <is>
          <t>VIMMERBY</t>
        </is>
      </c>
      <c r="G293" t="n">
        <v>3.7</v>
      </c>
      <c r="H293" t="n">
        <v>0</v>
      </c>
      <c r="I293" t="n">
        <v>0</v>
      </c>
      <c r="J293" t="n">
        <v>0</v>
      </c>
      <c r="K293" t="n">
        <v>0</v>
      </c>
      <c r="L293" t="n">
        <v>0</v>
      </c>
      <c r="M293" t="n">
        <v>0</v>
      </c>
      <c r="N293" t="n">
        <v>0</v>
      </c>
      <c r="O293" t="n">
        <v>0</v>
      </c>
      <c r="P293" t="n">
        <v>0</v>
      </c>
      <c r="Q293" t="n">
        <v>0</v>
      </c>
      <c r="R293" s="2" t="inlineStr"/>
    </row>
    <row r="294" ht="15" customHeight="1">
      <c r="A294" t="inlineStr">
        <is>
          <t>A 3816-2022</t>
        </is>
      </c>
      <c r="B294" s="1" t="n">
        <v>44587</v>
      </c>
      <c r="C294" s="1" t="n">
        <v>45933</v>
      </c>
      <c r="D294" t="inlineStr">
        <is>
          <t>KALMAR LÄN</t>
        </is>
      </c>
      <c r="E294" t="inlineStr">
        <is>
          <t>VIMMERBY</t>
        </is>
      </c>
      <c r="G294" t="n">
        <v>1.2</v>
      </c>
      <c r="H294" t="n">
        <v>0</v>
      </c>
      <c r="I294" t="n">
        <v>0</v>
      </c>
      <c r="J294" t="n">
        <v>0</v>
      </c>
      <c r="K294" t="n">
        <v>0</v>
      </c>
      <c r="L294" t="n">
        <v>0</v>
      </c>
      <c r="M294" t="n">
        <v>0</v>
      </c>
      <c r="N294" t="n">
        <v>0</v>
      </c>
      <c r="O294" t="n">
        <v>0</v>
      </c>
      <c r="P294" t="n">
        <v>0</v>
      </c>
      <c r="Q294" t="n">
        <v>0</v>
      </c>
      <c r="R294" s="2" t="inlineStr"/>
    </row>
    <row r="295" ht="15" customHeight="1">
      <c r="A295" t="inlineStr">
        <is>
          <t>A 29727-2025</t>
        </is>
      </c>
      <c r="B295" s="1" t="n">
        <v>45825.5796875</v>
      </c>
      <c r="C295" s="1" t="n">
        <v>45933</v>
      </c>
      <c r="D295" t="inlineStr">
        <is>
          <t>KALMAR LÄN</t>
        </is>
      </c>
      <c r="E295" t="inlineStr">
        <is>
          <t>VIMMERBY</t>
        </is>
      </c>
      <c r="G295" t="n">
        <v>1.3</v>
      </c>
      <c r="H295" t="n">
        <v>0</v>
      </c>
      <c r="I295" t="n">
        <v>0</v>
      </c>
      <c r="J295" t="n">
        <v>0</v>
      </c>
      <c r="K295" t="n">
        <v>0</v>
      </c>
      <c r="L295" t="n">
        <v>0</v>
      </c>
      <c r="M295" t="n">
        <v>0</v>
      </c>
      <c r="N295" t="n">
        <v>0</v>
      </c>
      <c r="O295" t="n">
        <v>0</v>
      </c>
      <c r="P295" t="n">
        <v>0</v>
      </c>
      <c r="Q295" t="n">
        <v>0</v>
      </c>
      <c r="R295" s="2" t="inlineStr"/>
    </row>
    <row r="296" ht="15" customHeight="1">
      <c r="A296" t="inlineStr">
        <is>
          <t>A 1799-2025</t>
        </is>
      </c>
      <c r="B296" s="1" t="n">
        <v>45671.46746527778</v>
      </c>
      <c r="C296" s="1" t="n">
        <v>45933</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2462-2022</t>
        </is>
      </c>
      <c r="B297" s="1" t="n">
        <v>44579.62225694444</v>
      </c>
      <c r="C297" s="1" t="n">
        <v>45933</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16825-2024</t>
        </is>
      </c>
      <c r="B298" s="1" t="n">
        <v>45411.47335648148</v>
      </c>
      <c r="C298" s="1" t="n">
        <v>45933</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29737-2025</t>
        </is>
      </c>
      <c r="B299" s="1" t="n">
        <v>45825.58672453704</v>
      </c>
      <c r="C299" s="1" t="n">
        <v>45933</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1081-2023</t>
        </is>
      </c>
      <c r="B300" s="1" t="n">
        <v>44935</v>
      </c>
      <c r="C300" s="1" t="n">
        <v>45933</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7047-2022</t>
        </is>
      </c>
      <c r="B301" s="1" t="n">
        <v>44603</v>
      </c>
      <c r="C301" s="1" t="n">
        <v>45933</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12499-2023</t>
        </is>
      </c>
      <c r="B302" s="1" t="n">
        <v>44999.86172453704</v>
      </c>
      <c r="C302" s="1" t="n">
        <v>45933</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12500-2023</t>
        </is>
      </c>
      <c r="B303" s="1" t="n">
        <v>44999.8625</v>
      </c>
      <c r="C303" s="1" t="n">
        <v>45933</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12033-2024</t>
        </is>
      </c>
      <c r="B304" s="1" t="n">
        <v>45377.40043981482</v>
      </c>
      <c r="C304" s="1" t="n">
        <v>45933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6214-2025</t>
        </is>
      </c>
      <c r="B305" s="1" t="n">
        <v>45698.51711805556</v>
      </c>
      <c r="C305" s="1" t="n">
        <v>45933</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6066-2023</t>
        </is>
      </c>
      <c r="B306" s="1" t="n">
        <v>44964.50894675926</v>
      </c>
      <c r="C306" s="1" t="n">
        <v>45933</v>
      </c>
      <c r="D306" t="inlineStr">
        <is>
          <t>KALMAR LÄN</t>
        </is>
      </c>
      <c r="E306" t="inlineStr">
        <is>
          <t>VIMMERBY</t>
        </is>
      </c>
      <c r="G306" t="n">
        <v>2.8</v>
      </c>
      <c r="H306" t="n">
        <v>0</v>
      </c>
      <c r="I306" t="n">
        <v>0</v>
      </c>
      <c r="J306" t="n">
        <v>0</v>
      </c>
      <c r="K306" t="n">
        <v>0</v>
      </c>
      <c r="L306" t="n">
        <v>0</v>
      </c>
      <c r="M306" t="n">
        <v>0</v>
      </c>
      <c r="N306" t="n">
        <v>0</v>
      </c>
      <c r="O306" t="n">
        <v>0</v>
      </c>
      <c r="P306" t="n">
        <v>0</v>
      </c>
      <c r="Q306" t="n">
        <v>0</v>
      </c>
      <c r="R306" s="2" t="inlineStr"/>
    </row>
    <row r="307" ht="15" customHeight="1">
      <c r="A307" t="inlineStr">
        <is>
          <t>A 49408-2023</t>
        </is>
      </c>
      <c r="B307" s="1" t="n">
        <v>45211.43555555555</v>
      </c>
      <c r="C307" s="1" t="n">
        <v>45933</v>
      </c>
      <c r="D307" t="inlineStr">
        <is>
          <t>KALMAR LÄN</t>
        </is>
      </c>
      <c r="E307" t="inlineStr">
        <is>
          <t>VIMMERBY</t>
        </is>
      </c>
      <c r="G307" t="n">
        <v>13.1</v>
      </c>
      <c r="H307" t="n">
        <v>0</v>
      </c>
      <c r="I307" t="n">
        <v>0</v>
      </c>
      <c r="J307" t="n">
        <v>0</v>
      </c>
      <c r="K307" t="n">
        <v>0</v>
      </c>
      <c r="L307" t="n">
        <v>0</v>
      </c>
      <c r="M307" t="n">
        <v>0</v>
      </c>
      <c r="N307" t="n">
        <v>0</v>
      </c>
      <c r="O307" t="n">
        <v>0</v>
      </c>
      <c r="P307" t="n">
        <v>0</v>
      </c>
      <c r="Q307" t="n">
        <v>0</v>
      </c>
      <c r="R307" s="2" t="inlineStr"/>
    </row>
    <row r="308" ht="15" customHeight="1">
      <c r="A308" t="inlineStr">
        <is>
          <t>A 29724-2025</t>
        </is>
      </c>
      <c r="B308" s="1" t="n">
        <v>45825.57680555555</v>
      </c>
      <c r="C308" s="1" t="n">
        <v>45933</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33103-2024</t>
        </is>
      </c>
      <c r="B309" s="1" t="n">
        <v>45517.8162037037</v>
      </c>
      <c r="C309" s="1" t="n">
        <v>45933</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33161-2024</t>
        </is>
      </c>
      <c r="B310" s="1" t="n">
        <v>45518.40657407408</v>
      </c>
      <c r="C310" s="1" t="n">
        <v>45933</v>
      </c>
      <c r="D310" t="inlineStr">
        <is>
          <t>KALMAR LÄN</t>
        </is>
      </c>
      <c r="E310" t="inlineStr">
        <is>
          <t>VIMMERBY</t>
        </is>
      </c>
      <c r="G310" t="n">
        <v>4.7</v>
      </c>
      <c r="H310" t="n">
        <v>0</v>
      </c>
      <c r="I310" t="n">
        <v>0</v>
      </c>
      <c r="J310" t="n">
        <v>0</v>
      </c>
      <c r="K310" t="n">
        <v>0</v>
      </c>
      <c r="L310" t="n">
        <v>0</v>
      </c>
      <c r="M310" t="n">
        <v>0</v>
      </c>
      <c r="N310" t="n">
        <v>0</v>
      </c>
      <c r="O310" t="n">
        <v>0</v>
      </c>
      <c r="P310" t="n">
        <v>0</v>
      </c>
      <c r="Q310" t="n">
        <v>0</v>
      </c>
      <c r="R310" s="2" t="inlineStr"/>
    </row>
    <row r="311" ht="15" customHeight="1">
      <c r="A311" t="inlineStr">
        <is>
          <t>A 12510-2022</t>
        </is>
      </c>
      <c r="B311" s="1" t="n">
        <v>44638.55256944444</v>
      </c>
      <c r="C311" s="1" t="n">
        <v>45933</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13015-2022</t>
        </is>
      </c>
      <c r="B312" s="1" t="n">
        <v>44643</v>
      </c>
      <c r="C312" s="1" t="n">
        <v>45933</v>
      </c>
      <c r="D312" t="inlineStr">
        <is>
          <t>KALMAR LÄN</t>
        </is>
      </c>
      <c r="E312" t="inlineStr">
        <is>
          <t>VIMMERBY</t>
        </is>
      </c>
      <c r="G312" t="n">
        <v>2.4</v>
      </c>
      <c r="H312" t="n">
        <v>0</v>
      </c>
      <c r="I312" t="n">
        <v>0</v>
      </c>
      <c r="J312" t="n">
        <v>0</v>
      </c>
      <c r="K312" t="n">
        <v>0</v>
      </c>
      <c r="L312" t="n">
        <v>0</v>
      </c>
      <c r="M312" t="n">
        <v>0</v>
      </c>
      <c r="N312" t="n">
        <v>0</v>
      </c>
      <c r="O312" t="n">
        <v>0</v>
      </c>
      <c r="P312" t="n">
        <v>0</v>
      </c>
      <c r="Q312" t="n">
        <v>0</v>
      </c>
      <c r="R312" s="2" t="inlineStr"/>
    </row>
    <row r="313" ht="15" customHeight="1">
      <c r="A313" t="inlineStr">
        <is>
          <t>A 27443-2023</t>
        </is>
      </c>
      <c r="B313" s="1" t="n">
        <v>45097.40524305555</v>
      </c>
      <c r="C313" s="1" t="n">
        <v>45933</v>
      </c>
      <c r="D313" t="inlineStr">
        <is>
          <t>KALMAR LÄN</t>
        </is>
      </c>
      <c r="E313" t="inlineStr">
        <is>
          <t>VIMMERBY</t>
        </is>
      </c>
      <c r="F313" t="inlineStr">
        <is>
          <t>Övriga Aktiebolag</t>
        </is>
      </c>
      <c r="G313" t="n">
        <v>2.3</v>
      </c>
      <c r="H313" t="n">
        <v>0</v>
      </c>
      <c r="I313" t="n">
        <v>0</v>
      </c>
      <c r="J313" t="n">
        <v>0</v>
      </c>
      <c r="K313" t="n">
        <v>0</v>
      </c>
      <c r="L313" t="n">
        <v>0</v>
      </c>
      <c r="M313" t="n">
        <v>0</v>
      </c>
      <c r="N313" t="n">
        <v>0</v>
      </c>
      <c r="O313" t="n">
        <v>0</v>
      </c>
      <c r="P313" t="n">
        <v>0</v>
      </c>
      <c r="Q313" t="n">
        <v>0</v>
      </c>
      <c r="R313" s="2" t="inlineStr"/>
    </row>
    <row r="314" ht="15" customHeight="1">
      <c r="A314" t="inlineStr">
        <is>
          <t>A 28395-2023</t>
        </is>
      </c>
      <c r="B314" s="1" t="n">
        <v>45100.4062962963</v>
      </c>
      <c r="C314" s="1" t="n">
        <v>45933</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4624-2024</t>
        </is>
      </c>
      <c r="B315" s="1" t="n">
        <v>45328.38755787037</v>
      </c>
      <c r="C315" s="1" t="n">
        <v>45933</v>
      </c>
      <c r="D315" t="inlineStr">
        <is>
          <t>KALMAR LÄN</t>
        </is>
      </c>
      <c r="E315" t="inlineStr">
        <is>
          <t>VIMMERBY</t>
        </is>
      </c>
      <c r="G315" t="n">
        <v>1.7</v>
      </c>
      <c r="H315" t="n">
        <v>0</v>
      </c>
      <c r="I315" t="n">
        <v>0</v>
      </c>
      <c r="J315" t="n">
        <v>0</v>
      </c>
      <c r="K315" t="n">
        <v>0</v>
      </c>
      <c r="L315" t="n">
        <v>0</v>
      </c>
      <c r="M315" t="n">
        <v>0</v>
      </c>
      <c r="N315" t="n">
        <v>0</v>
      </c>
      <c r="O315" t="n">
        <v>0</v>
      </c>
      <c r="P315" t="n">
        <v>0</v>
      </c>
      <c r="Q315" t="n">
        <v>0</v>
      </c>
      <c r="R315" s="2" t="inlineStr"/>
    </row>
    <row r="316" ht="15" customHeight="1">
      <c r="A316" t="inlineStr">
        <is>
          <t>A 9129-2025</t>
        </is>
      </c>
      <c r="B316" s="1" t="n">
        <v>45713.92412037037</v>
      </c>
      <c r="C316" s="1" t="n">
        <v>45933</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30293-2025</t>
        </is>
      </c>
      <c r="B317" s="1" t="n">
        <v>45827</v>
      </c>
      <c r="C317" s="1" t="n">
        <v>45933</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18501-2024</t>
        </is>
      </c>
      <c r="B318" s="1" t="n">
        <v>45425.57538194444</v>
      </c>
      <c r="C318" s="1" t="n">
        <v>45933</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1146-2025</t>
        </is>
      </c>
      <c r="B319" s="1" t="n">
        <v>45666</v>
      </c>
      <c r="C319" s="1" t="n">
        <v>45933</v>
      </c>
      <c r="D319" t="inlineStr">
        <is>
          <t>KALMAR LÄN</t>
        </is>
      </c>
      <c r="E319" t="inlineStr">
        <is>
          <t>VIMMERBY</t>
        </is>
      </c>
      <c r="G319" t="n">
        <v>4</v>
      </c>
      <c r="H319" t="n">
        <v>0</v>
      </c>
      <c r="I319" t="n">
        <v>0</v>
      </c>
      <c r="J319" t="n">
        <v>0</v>
      </c>
      <c r="K319" t="n">
        <v>0</v>
      </c>
      <c r="L319" t="n">
        <v>0</v>
      </c>
      <c r="M319" t="n">
        <v>0</v>
      </c>
      <c r="N319" t="n">
        <v>0</v>
      </c>
      <c r="O319" t="n">
        <v>0</v>
      </c>
      <c r="P319" t="n">
        <v>0</v>
      </c>
      <c r="Q319" t="n">
        <v>0</v>
      </c>
      <c r="R319" s="2" t="inlineStr"/>
    </row>
    <row r="320" ht="15" customHeight="1">
      <c r="A320" t="inlineStr">
        <is>
          <t>A 25799-2023</t>
        </is>
      </c>
      <c r="B320" s="1" t="n">
        <v>45090</v>
      </c>
      <c r="C320" s="1" t="n">
        <v>45933</v>
      </c>
      <c r="D320" t="inlineStr">
        <is>
          <t>KALMAR LÄN</t>
        </is>
      </c>
      <c r="E320" t="inlineStr">
        <is>
          <t>VIMMERBY</t>
        </is>
      </c>
      <c r="G320" t="n">
        <v>7.7</v>
      </c>
      <c r="H320" t="n">
        <v>0</v>
      </c>
      <c r="I320" t="n">
        <v>0</v>
      </c>
      <c r="J320" t="n">
        <v>0</v>
      </c>
      <c r="K320" t="n">
        <v>0</v>
      </c>
      <c r="L320" t="n">
        <v>0</v>
      </c>
      <c r="M320" t="n">
        <v>0</v>
      </c>
      <c r="N320" t="n">
        <v>0</v>
      </c>
      <c r="O320" t="n">
        <v>0</v>
      </c>
      <c r="P320" t="n">
        <v>0</v>
      </c>
      <c r="Q320" t="n">
        <v>0</v>
      </c>
      <c r="R320" s="2" t="inlineStr"/>
    </row>
    <row r="321" ht="15" customHeight="1">
      <c r="A321" t="inlineStr">
        <is>
          <t>A 30290-2025</t>
        </is>
      </c>
      <c r="B321" s="1" t="n">
        <v>45827</v>
      </c>
      <c r="C321" s="1" t="n">
        <v>45933</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12890-2023</t>
        </is>
      </c>
      <c r="B322" s="1" t="n">
        <v>45001.59209490741</v>
      </c>
      <c r="C322" s="1" t="n">
        <v>45933</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22643-2023</t>
        </is>
      </c>
      <c r="B323" s="1" t="n">
        <v>45071</v>
      </c>
      <c r="C323" s="1" t="n">
        <v>45933</v>
      </c>
      <c r="D323" t="inlineStr">
        <is>
          <t>KALMAR LÄN</t>
        </is>
      </c>
      <c r="E323" t="inlineStr">
        <is>
          <t>VIMMERBY</t>
        </is>
      </c>
      <c r="G323" t="n">
        <v>3.9</v>
      </c>
      <c r="H323" t="n">
        <v>0</v>
      </c>
      <c r="I323" t="n">
        <v>0</v>
      </c>
      <c r="J323" t="n">
        <v>0</v>
      </c>
      <c r="K323" t="n">
        <v>0</v>
      </c>
      <c r="L323" t="n">
        <v>0</v>
      </c>
      <c r="M323" t="n">
        <v>0</v>
      </c>
      <c r="N323" t="n">
        <v>0</v>
      </c>
      <c r="O323" t="n">
        <v>0</v>
      </c>
      <c r="P323" t="n">
        <v>0</v>
      </c>
      <c r="Q323" t="n">
        <v>0</v>
      </c>
      <c r="R323" s="2" t="inlineStr"/>
    </row>
    <row r="324" ht="15" customHeight="1">
      <c r="A324" t="inlineStr">
        <is>
          <t>A 16015-2025</t>
        </is>
      </c>
      <c r="B324" s="1" t="n">
        <v>45749.60487268519</v>
      </c>
      <c r="C324" s="1" t="n">
        <v>45933</v>
      </c>
      <c r="D324" t="inlineStr">
        <is>
          <t>KALMAR LÄN</t>
        </is>
      </c>
      <c r="E324" t="inlineStr">
        <is>
          <t>VIMMERBY</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3902-2022</t>
        </is>
      </c>
      <c r="B325" s="1" t="n">
        <v>44587.48847222222</v>
      </c>
      <c r="C325" s="1" t="n">
        <v>45933</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57256-2023</t>
        </is>
      </c>
      <c r="B326" s="1" t="n">
        <v>45245.5735300926</v>
      </c>
      <c r="C326" s="1" t="n">
        <v>45933</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23088-2024</t>
        </is>
      </c>
      <c r="B327" s="1" t="n">
        <v>45450.51092592593</v>
      </c>
      <c r="C327" s="1" t="n">
        <v>45933</v>
      </c>
      <c r="D327" t="inlineStr">
        <is>
          <t>KALMAR LÄN</t>
        </is>
      </c>
      <c r="E327" t="inlineStr">
        <is>
          <t>VIMMERBY</t>
        </is>
      </c>
      <c r="G327" t="n">
        <v>1.9</v>
      </c>
      <c r="H327" t="n">
        <v>0</v>
      </c>
      <c r="I327" t="n">
        <v>0</v>
      </c>
      <c r="J327" t="n">
        <v>0</v>
      </c>
      <c r="K327" t="n">
        <v>0</v>
      </c>
      <c r="L327" t="n">
        <v>0</v>
      </c>
      <c r="M327" t="n">
        <v>0</v>
      </c>
      <c r="N327" t="n">
        <v>0</v>
      </c>
      <c r="O327" t="n">
        <v>0</v>
      </c>
      <c r="P327" t="n">
        <v>0</v>
      </c>
      <c r="Q327" t="n">
        <v>0</v>
      </c>
      <c r="R327" s="2" t="inlineStr"/>
    </row>
    <row r="328" ht="15" customHeight="1">
      <c r="A328" t="inlineStr">
        <is>
          <t>A 89-2023</t>
        </is>
      </c>
      <c r="B328" s="1" t="n">
        <v>44918</v>
      </c>
      <c r="C328" s="1" t="n">
        <v>45933</v>
      </c>
      <c r="D328" t="inlineStr">
        <is>
          <t>KALMAR LÄN</t>
        </is>
      </c>
      <c r="E328" t="inlineStr">
        <is>
          <t>VIMMERBY</t>
        </is>
      </c>
      <c r="G328" t="n">
        <v>16.1</v>
      </c>
      <c r="H328" t="n">
        <v>0</v>
      </c>
      <c r="I328" t="n">
        <v>0</v>
      </c>
      <c r="J328" t="n">
        <v>0</v>
      </c>
      <c r="K328" t="n">
        <v>0</v>
      </c>
      <c r="L328" t="n">
        <v>0</v>
      </c>
      <c r="M328" t="n">
        <v>0</v>
      </c>
      <c r="N328" t="n">
        <v>0</v>
      </c>
      <c r="O328" t="n">
        <v>0</v>
      </c>
      <c r="P328" t="n">
        <v>0</v>
      </c>
      <c r="Q328" t="n">
        <v>0</v>
      </c>
      <c r="R328" s="2" t="inlineStr"/>
    </row>
    <row r="329" ht="15" customHeight="1">
      <c r="A329" t="inlineStr">
        <is>
          <t>A 30850-2025</t>
        </is>
      </c>
      <c r="B329" s="1" t="n">
        <v>45831</v>
      </c>
      <c r="C329" s="1" t="n">
        <v>45933</v>
      </c>
      <c r="D329" t="inlineStr">
        <is>
          <t>KALMAR LÄN</t>
        </is>
      </c>
      <c r="E329" t="inlineStr">
        <is>
          <t>VIMMERBY</t>
        </is>
      </c>
      <c r="G329" t="n">
        <v>2.7</v>
      </c>
      <c r="H329" t="n">
        <v>0</v>
      </c>
      <c r="I329" t="n">
        <v>0</v>
      </c>
      <c r="J329" t="n">
        <v>0</v>
      </c>
      <c r="K329" t="n">
        <v>0</v>
      </c>
      <c r="L329" t="n">
        <v>0</v>
      </c>
      <c r="M329" t="n">
        <v>0</v>
      </c>
      <c r="N329" t="n">
        <v>0</v>
      </c>
      <c r="O329" t="n">
        <v>0</v>
      </c>
      <c r="P329" t="n">
        <v>0</v>
      </c>
      <c r="Q329" t="n">
        <v>0</v>
      </c>
      <c r="R329" s="2" t="inlineStr"/>
    </row>
    <row r="330" ht="15" customHeight="1">
      <c r="A330" t="inlineStr">
        <is>
          <t>A 5382-2023</t>
        </is>
      </c>
      <c r="B330" s="1" t="n">
        <v>44959.66407407408</v>
      </c>
      <c r="C330" s="1" t="n">
        <v>45933</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6668-2023</t>
        </is>
      </c>
      <c r="B331" s="1" t="n">
        <v>44966</v>
      </c>
      <c r="C331" s="1" t="n">
        <v>45933</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172-2022</t>
        </is>
      </c>
      <c r="B332" s="1" t="n">
        <v>44564.62598379629</v>
      </c>
      <c r="C332" s="1" t="n">
        <v>45933</v>
      </c>
      <c r="D332" t="inlineStr">
        <is>
          <t>KALMAR LÄN</t>
        </is>
      </c>
      <c r="E332" t="inlineStr">
        <is>
          <t>VIMMERBY</t>
        </is>
      </c>
      <c r="G332" t="n">
        <v>2.1</v>
      </c>
      <c r="H332" t="n">
        <v>0</v>
      </c>
      <c r="I332" t="n">
        <v>0</v>
      </c>
      <c r="J332" t="n">
        <v>0</v>
      </c>
      <c r="K332" t="n">
        <v>0</v>
      </c>
      <c r="L332" t="n">
        <v>0</v>
      </c>
      <c r="M332" t="n">
        <v>0</v>
      </c>
      <c r="N332" t="n">
        <v>0</v>
      </c>
      <c r="O332" t="n">
        <v>0</v>
      </c>
      <c r="P332" t="n">
        <v>0</v>
      </c>
      <c r="Q332" t="n">
        <v>0</v>
      </c>
      <c r="R332" s="2" t="inlineStr"/>
    </row>
    <row r="333" ht="15" customHeight="1">
      <c r="A333" t="inlineStr">
        <is>
          <t>A 57189-2022</t>
        </is>
      </c>
      <c r="B333" s="1" t="n">
        <v>44895.62296296296</v>
      </c>
      <c r="C333" s="1" t="n">
        <v>45933</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1987-2024</t>
        </is>
      </c>
      <c r="B334" s="1" t="n">
        <v>45308.61152777778</v>
      </c>
      <c r="C334" s="1" t="n">
        <v>45933</v>
      </c>
      <c r="D334" t="inlineStr">
        <is>
          <t>KALMAR LÄN</t>
        </is>
      </c>
      <c r="E334" t="inlineStr">
        <is>
          <t>VIMMERBY</t>
        </is>
      </c>
      <c r="G334" t="n">
        <v>3</v>
      </c>
      <c r="H334" t="n">
        <v>0</v>
      </c>
      <c r="I334" t="n">
        <v>0</v>
      </c>
      <c r="J334" t="n">
        <v>0</v>
      </c>
      <c r="K334" t="n">
        <v>0</v>
      </c>
      <c r="L334" t="n">
        <v>0</v>
      </c>
      <c r="M334" t="n">
        <v>0</v>
      </c>
      <c r="N334" t="n">
        <v>0</v>
      </c>
      <c r="O334" t="n">
        <v>0</v>
      </c>
      <c r="P334" t="n">
        <v>0</v>
      </c>
      <c r="Q334" t="n">
        <v>0</v>
      </c>
      <c r="R334" s="2" t="inlineStr"/>
    </row>
    <row r="335" ht="15" customHeight="1">
      <c r="A335" t="inlineStr">
        <is>
          <t>A 30882-2025</t>
        </is>
      </c>
      <c r="B335" s="1" t="n">
        <v>45832.34540509259</v>
      </c>
      <c r="C335" s="1" t="n">
        <v>45933</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527-2024</t>
        </is>
      </c>
      <c r="B336" s="1" t="n">
        <v>45299.47513888889</v>
      </c>
      <c r="C336" s="1" t="n">
        <v>45933</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30634-2024</t>
        </is>
      </c>
      <c r="B337" s="1" t="n">
        <v>45495</v>
      </c>
      <c r="C337" s="1" t="n">
        <v>45933</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6355-2022</t>
        </is>
      </c>
      <c r="B338" s="1" t="n">
        <v>44600</v>
      </c>
      <c r="C338" s="1" t="n">
        <v>45933</v>
      </c>
      <c r="D338" t="inlineStr">
        <is>
          <t>KALMAR LÄN</t>
        </is>
      </c>
      <c r="E338" t="inlineStr">
        <is>
          <t>VIMMERBY</t>
        </is>
      </c>
      <c r="G338" t="n">
        <v>4.9</v>
      </c>
      <c r="H338" t="n">
        <v>0</v>
      </c>
      <c r="I338" t="n">
        <v>0</v>
      </c>
      <c r="J338" t="n">
        <v>0</v>
      </c>
      <c r="K338" t="n">
        <v>0</v>
      </c>
      <c r="L338" t="n">
        <v>0</v>
      </c>
      <c r="M338" t="n">
        <v>0</v>
      </c>
      <c r="N338" t="n">
        <v>0</v>
      </c>
      <c r="O338" t="n">
        <v>0</v>
      </c>
      <c r="P338" t="n">
        <v>0</v>
      </c>
      <c r="Q338" t="n">
        <v>0</v>
      </c>
      <c r="R338" s="2" t="inlineStr"/>
    </row>
    <row r="339" ht="15" customHeight="1">
      <c r="A339" t="inlineStr">
        <is>
          <t>A 30971-2025</t>
        </is>
      </c>
      <c r="B339" s="1" t="n">
        <v>45832.46146990741</v>
      </c>
      <c r="C339" s="1" t="n">
        <v>45933</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16020-2023</t>
        </is>
      </c>
      <c r="B340" s="1" t="n">
        <v>45026.82216435186</v>
      </c>
      <c r="C340" s="1" t="n">
        <v>45933</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31552-2025</t>
        </is>
      </c>
      <c r="B341" s="1" t="n">
        <v>45833.64563657407</v>
      </c>
      <c r="C341" s="1" t="n">
        <v>45933</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31555-2025</t>
        </is>
      </c>
      <c r="B342" s="1" t="n">
        <v>45833.64814814815</v>
      </c>
      <c r="C342" s="1" t="n">
        <v>45933</v>
      </c>
      <c r="D342" t="inlineStr">
        <is>
          <t>KALMAR LÄN</t>
        </is>
      </c>
      <c r="E342" t="inlineStr">
        <is>
          <t>VIMMERBY</t>
        </is>
      </c>
      <c r="G342" t="n">
        <v>1.8</v>
      </c>
      <c r="H342" t="n">
        <v>0</v>
      </c>
      <c r="I342" t="n">
        <v>0</v>
      </c>
      <c r="J342" t="n">
        <v>0</v>
      </c>
      <c r="K342" t="n">
        <v>0</v>
      </c>
      <c r="L342" t="n">
        <v>0</v>
      </c>
      <c r="M342" t="n">
        <v>0</v>
      </c>
      <c r="N342" t="n">
        <v>0</v>
      </c>
      <c r="O342" t="n">
        <v>0</v>
      </c>
      <c r="P342" t="n">
        <v>0</v>
      </c>
      <c r="Q342" t="n">
        <v>0</v>
      </c>
      <c r="R342" s="2" t="inlineStr"/>
    </row>
    <row r="343" ht="15" customHeight="1">
      <c r="A343" t="inlineStr">
        <is>
          <t>A 37192-2024</t>
        </is>
      </c>
      <c r="B343" s="1" t="n">
        <v>45539.66027777778</v>
      </c>
      <c r="C343" s="1" t="n">
        <v>45933</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34597-2022</t>
        </is>
      </c>
      <c r="B344" s="1" t="n">
        <v>44795</v>
      </c>
      <c r="C344" s="1" t="n">
        <v>45933</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60292-2022</t>
        </is>
      </c>
      <c r="B345" s="1" t="n">
        <v>44910.54231481482</v>
      </c>
      <c r="C345" s="1" t="n">
        <v>45933</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43034-2024</t>
        </is>
      </c>
      <c r="B346" s="1" t="n">
        <v>45567.42011574074</v>
      </c>
      <c r="C346" s="1" t="n">
        <v>45933</v>
      </c>
      <c r="D346" t="inlineStr">
        <is>
          <t>KALMAR LÄN</t>
        </is>
      </c>
      <c r="E346" t="inlineStr">
        <is>
          <t>VIMMERBY</t>
        </is>
      </c>
      <c r="G346" t="n">
        <v>1.8</v>
      </c>
      <c r="H346" t="n">
        <v>0</v>
      </c>
      <c r="I346" t="n">
        <v>0</v>
      </c>
      <c r="J346" t="n">
        <v>0</v>
      </c>
      <c r="K346" t="n">
        <v>0</v>
      </c>
      <c r="L346" t="n">
        <v>0</v>
      </c>
      <c r="M346" t="n">
        <v>0</v>
      </c>
      <c r="N346" t="n">
        <v>0</v>
      </c>
      <c r="O346" t="n">
        <v>0</v>
      </c>
      <c r="P346" t="n">
        <v>0</v>
      </c>
      <c r="Q346" t="n">
        <v>0</v>
      </c>
      <c r="R346" s="2" t="inlineStr"/>
    </row>
    <row r="347" ht="15" customHeight="1">
      <c r="A347" t="inlineStr">
        <is>
          <t>A 40256-2024</t>
        </is>
      </c>
      <c r="B347" s="1" t="n">
        <v>45554.62944444444</v>
      </c>
      <c r="C347" s="1" t="n">
        <v>45933</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40079-2023</t>
        </is>
      </c>
      <c r="B348" s="1" t="n">
        <v>45168.89298611111</v>
      </c>
      <c r="C348" s="1" t="n">
        <v>45933</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31870-2025</t>
        </is>
      </c>
      <c r="B349" s="1" t="n">
        <v>45834.64667824074</v>
      </c>
      <c r="C349" s="1" t="n">
        <v>45933</v>
      </c>
      <c r="D349" t="inlineStr">
        <is>
          <t>KALMAR LÄN</t>
        </is>
      </c>
      <c r="E349" t="inlineStr">
        <is>
          <t>VIMMERBY</t>
        </is>
      </c>
      <c r="F349" t="inlineStr">
        <is>
          <t>Sveaskog</t>
        </is>
      </c>
      <c r="G349" t="n">
        <v>3.5</v>
      </c>
      <c r="H349" t="n">
        <v>0</v>
      </c>
      <c r="I349" t="n">
        <v>0</v>
      </c>
      <c r="J349" t="n">
        <v>0</v>
      </c>
      <c r="K349" t="n">
        <v>0</v>
      </c>
      <c r="L349" t="n">
        <v>0</v>
      </c>
      <c r="M349" t="n">
        <v>0</v>
      </c>
      <c r="N349" t="n">
        <v>0</v>
      </c>
      <c r="O349" t="n">
        <v>0</v>
      </c>
      <c r="P349" t="n">
        <v>0</v>
      </c>
      <c r="Q349" t="n">
        <v>0</v>
      </c>
      <c r="R349" s="2" t="inlineStr"/>
    </row>
    <row r="350" ht="15" customHeight="1">
      <c r="A350" t="inlineStr">
        <is>
          <t>A 19833-2023</t>
        </is>
      </c>
      <c r="B350" s="1" t="n">
        <v>45052</v>
      </c>
      <c r="C350" s="1" t="n">
        <v>45933</v>
      </c>
      <c r="D350" t="inlineStr">
        <is>
          <t>KALMAR LÄN</t>
        </is>
      </c>
      <c r="E350" t="inlineStr">
        <is>
          <t>VIMMERBY</t>
        </is>
      </c>
      <c r="G350" t="n">
        <v>6.7</v>
      </c>
      <c r="H350" t="n">
        <v>0</v>
      </c>
      <c r="I350" t="n">
        <v>0</v>
      </c>
      <c r="J350" t="n">
        <v>0</v>
      </c>
      <c r="K350" t="n">
        <v>0</v>
      </c>
      <c r="L350" t="n">
        <v>0</v>
      </c>
      <c r="M350" t="n">
        <v>0</v>
      </c>
      <c r="N350" t="n">
        <v>0</v>
      </c>
      <c r="O350" t="n">
        <v>0</v>
      </c>
      <c r="P350" t="n">
        <v>0</v>
      </c>
      <c r="Q350" t="n">
        <v>0</v>
      </c>
      <c r="R350" s="2" t="inlineStr"/>
    </row>
    <row r="351" ht="15" customHeight="1">
      <c r="A351" t="inlineStr">
        <is>
          <t>A 8559-2025</t>
        </is>
      </c>
      <c r="B351" s="1" t="n">
        <v>45709.62280092593</v>
      </c>
      <c r="C351" s="1" t="n">
        <v>45933</v>
      </c>
      <c r="D351" t="inlineStr">
        <is>
          <t>KALMAR LÄN</t>
        </is>
      </c>
      <c r="E351" t="inlineStr">
        <is>
          <t>VIMMERBY</t>
        </is>
      </c>
      <c r="G351" t="n">
        <v>8.9</v>
      </c>
      <c r="H351" t="n">
        <v>0</v>
      </c>
      <c r="I351" t="n">
        <v>0</v>
      </c>
      <c r="J351" t="n">
        <v>0</v>
      </c>
      <c r="K351" t="n">
        <v>0</v>
      </c>
      <c r="L351" t="n">
        <v>0</v>
      </c>
      <c r="M351" t="n">
        <v>0</v>
      </c>
      <c r="N351" t="n">
        <v>0</v>
      </c>
      <c r="O351" t="n">
        <v>0</v>
      </c>
      <c r="P351" t="n">
        <v>0</v>
      </c>
      <c r="Q351" t="n">
        <v>0</v>
      </c>
      <c r="R351" s="2" t="inlineStr"/>
    </row>
    <row r="352" ht="15" customHeight="1">
      <c r="A352" t="inlineStr">
        <is>
          <t>A 31872-2025</t>
        </is>
      </c>
      <c r="B352" s="1" t="n">
        <v>45834.65040509259</v>
      </c>
      <c r="C352" s="1" t="n">
        <v>45933</v>
      </c>
      <c r="D352" t="inlineStr">
        <is>
          <t>KALMAR LÄN</t>
        </is>
      </c>
      <c r="E352" t="inlineStr">
        <is>
          <t>VIMMERBY</t>
        </is>
      </c>
      <c r="F352" t="inlineStr">
        <is>
          <t>Sveaskog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31876-2025</t>
        </is>
      </c>
      <c r="B353" s="1" t="n">
        <v>45834.65197916667</v>
      </c>
      <c r="C353" s="1" t="n">
        <v>45933</v>
      </c>
      <c r="D353" t="inlineStr">
        <is>
          <t>KALMAR LÄN</t>
        </is>
      </c>
      <c r="E353" t="inlineStr">
        <is>
          <t>VIMMERBY</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31551-2025</t>
        </is>
      </c>
      <c r="B354" s="1" t="n">
        <v>45833.64237268519</v>
      </c>
      <c r="C354" s="1" t="n">
        <v>45933</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31987-2025</t>
        </is>
      </c>
      <c r="B355" s="1" t="n">
        <v>45835.36229166666</v>
      </c>
      <c r="C355" s="1" t="n">
        <v>45933</v>
      </c>
      <c r="D355" t="inlineStr">
        <is>
          <t>KALMAR LÄN</t>
        </is>
      </c>
      <c r="E355" t="inlineStr">
        <is>
          <t>VIMMERBY</t>
        </is>
      </c>
      <c r="F355" t="inlineStr">
        <is>
          <t>Kyrkan</t>
        </is>
      </c>
      <c r="G355" t="n">
        <v>1.2</v>
      </c>
      <c r="H355" t="n">
        <v>0</v>
      </c>
      <c r="I355" t="n">
        <v>0</v>
      </c>
      <c r="J355" t="n">
        <v>0</v>
      </c>
      <c r="K355" t="n">
        <v>0</v>
      </c>
      <c r="L355" t="n">
        <v>0</v>
      </c>
      <c r="M355" t="n">
        <v>0</v>
      </c>
      <c r="N355" t="n">
        <v>0</v>
      </c>
      <c r="O355" t="n">
        <v>0</v>
      </c>
      <c r="P355" t="n">
        <v>0</v>
      </c>
      <c r="Q355" t="n">
        <v>0</v>
      </c>
      <c r="R355" s="2" t="inlineStr"/>
    </row>
    <row r="356" ht="15" customHeight="1">
      <c r="A356" t="inlineStr">
        <is>
          <t>A 47063-2022</t>
        </is>
      </c>
      <c r="B356" s="1" t="n">
        <v>44852</v>
      </c>
      <c r="C356" s="1" t="n">
        <v>45933</v>
      </c>
      <c r="D356" t="inlineStr">
        <is>
          <t>KALMAR LÄN</t>
        </is>
      </c>
      <c r="E356" t="inlineStr">
        <is>
          <t>VIMMERBY</t>
        </is>
      </c>
      <c r="G356" t="n">
        <v>2.5</v>
      </c>
      <c r="H356" t="n">
        <v>0</v>
      </c>
      <c r="I356" t="n">
        <v>0</v>
      </c>
      <c r="J356" t="n">
        <v>0</v>
      </c>
      <c r="K356" t="n">
        <v>0</v>
      </c>
      <c r="L356" t="n">
        <v>0</v>
      </c>
      <c r="M356" t="n">
        <v>0</v>
      </c>
      <c r="N356" t="n">
        <v>0</v>
      </c>
      <c r="O356" t="n">
        <v>0</v>
      </c>
      <c r="P356" t="n">
        <v>0</v>
      </c>
      <c r="Q356" t="n">
        <v>0</v>
      </c>
      <c r="R356" s="2" t="inlineStr"/>
    </row>
    <row r="357" ht="15" customHeight="1">
      <c r="A357" t="inlineStr">
        <is>
          <t>A 32120-2025</t>
        </is>
      </c>
      <c r="B357" s="1" t="n">
        <v>45835.4924537037</v>
      </c>
      <c r="C357" s="1" t="n">
        <v>45933</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12819-2024</t>
        </is>
      </c>
      <c r="B358" s="1" t="n">
        <v>45384.66917824074</v>
      </c>
      <c r="C358" s="1" t="n">
        <v>45933</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32116-2025</t>
        </is>
      </c>
      <c r="B359" s="1" t="n">
        <v>45835.48862268519</v>
      </c>
      <c r="C359" s="1" t="n">
        <v>45933</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43093-2024</t>
        </is>
      </c>
      <c r="B360" s="1" t="n">
        <v>45567</v>
      </c>
      <c r="C360" s="1" t="n">
        <v>45933</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31382-2023</t>
        </is>
      </c>
      <c r="B361" s="1" t="n">
        <v>45114.55136574074</v>
      </c>
      <c r="C361" s="1" t="n">
        <v>45933</v>
      </c>
      <c r="D361" t="inlineStr">
        <is>
          <t>KALMAR LÄN</t>
        </is>
      </c>
      <c r="E361" t="inlineStr">
        <is>
          <t>VIMMERBY</t>
        </is>
      </c>
      <c r="G361" t="n">
        <v>3.7</v>
      </c>
      <c r="H361" t="n">
        <v>0</v>
      </c>
      <c r="I361" t="n">
        <v>0</v>
      </c>
      <c r="J361" t="n">
        <v>0</v>
      </c>
      <c r="K361" t="n">
        <v>0</v>
      </c>
      <c r="L361" t="n">
        <v>0</v>
      </c>
      <c r="M361" t="n">
        <v>0</v>
      </c>
      <c r="N361" t="n">
        <v>0</v>
      </c>
      <c r="O361" t="n">
        <v>0</v>
      </c>
      <c r="P361" t="n">
        <v>0</v>
      </c>
      <c r="Q361" t="n">
        <v>0</v>
      </c>
      <c r="R361" s="2" t="inlineStr"/>
    </row>
    <row r="362" ht="15" customHeight="1">
      <c r="A362" t="inlineStr">
        <is>
          <t>A 11073-2023</t>
        </is>
      </c>
      <c r="B362" s="1" t="n">
        <v>44992</v>
      </c>
      <c r="C362" s="1" t="n">
        <v>45933</v>
      </c>
      <c r="D362" t="inlineStr">
        <is>
          <t>KALMAR LÄN</t>
        </is>
      </c>
      <c r="E362" t="inlineStr">
        <is>
          <t>VIMMERBY</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32380-2025</t>
        </is>
      </c>
      <c r="B363" s="1" t="n">
        <v>45837.77701388889</v>
      </c>
      <c r="C363" s="1" t="n">
        <v>45933</v>
      </c>
      <c r="D363" t="inlineStr">
        <is>
          <t>KALMAR LÄN</t>
        </is>
      </c>
      <c r="E363" t="inlineStr">
        <is>
          <t>VIMMERBY</t>
        </is>
      </c>
      <c r="G363" t="n">
        <v>3.1</v>
      </c>
      <c r="H363" t="n">
        <v>0</v>
      </c>
      <c r="I363" t="n">
        <v>0</v>
      </c>
      <c r="J363" t="n">
        <v>0</v>
      </c>
      <c r="K363" t="n">
        <v>0</v>
      </c>
      <c r="L363" t="n">
        <v>0</v>
      </c>
      <c r="M363" t="n">
        <v>0</v>
      </c>
      <c r="N363" t="n">
        <v>0</v>
      </c>
      <c r="O363" t="n">
        <v>0</v>
      </c>
      <c r="P363" t="n">
        <v>0</v>
      </c>
      <c r="Q363" t="n">
        <v>0</v>
      </c>
      <c r="R363" s="2" t="inlineStr"/>
    </row>
    <row r="364" ht="15" customHeight="1">
      <c r="A364" t="inlineStr">
        <is>
          <t>A 32109-2025</t>
        </is>
      </c>
      <c r="B364" s="1" t="n">
        <v>45835.48267361111</v>
      </c>
      <c r="C364" s="1" t="n">
        <v>45933</v>
      </c>
      <c r="D364" t="inlineStr">
        <is>
          <t>KALMAR LÄN</t>
        </is>
      </c>
      <c r="E364" t="inlineStr">
        <is>
          <t>VIMMERBY</t>
        </is>
      </c>
      <c r="G364" t="n">
        <v>2.5</v>
      </c>
      <c r="H364" t="n">
        <v>0</v>
      </c>
      <c r="I364" t="n">
        <v>0</v>
      </c>
      <c r="J364" t="n">
        <v>0</v>
      </c>
      <c r="K364" t="n">
        <v>0</v>
      </c>
      <c r="L364" t="n">
        <v>0</v>
      </c>
      <c r="M364" t="n">
        <v>0</v>
      </c>
      <c r="N364" t="n">
        <v>0</v>
      </c>
      <c r="O364" t="n">
        <v>0</v>
      </c>
      <c r="P364" t="n">
        <v>0</v>
      </c>
      <c r="Q364" t="n">
        <v>0</v>
      </c>
      <c r="R364" s="2" t="inlineStr"/>
    </row>
    <row r="365" ht="15" customHeight="1">
      <c r="A365" t="inlineStr">
        <is>
          <t>A 32113-2025</t>
        </is>
      </c>
      <c r="B365" s="1" t="n">
        <v>45835.48445601852</v>
      </c>
      <c r="C365" s="1" t="n">
        <v>45933</v>
      </c>
      <c r="D365" t="inlineStr">
        <is>
          <t>KALMAR LÄN</t>
        </is>
      </c>
      <c r="E365" t="inlineStr">
        <is>
          <t>VIMMERBY</t>
        </is>
      </c>
      <c r="G365" t="n">
        <v>3.5</v>
      </c>
      <c r="H365" t="n">
        <v>0</v>
      </c>
      <c r="I365" t="n">
        <v>0</v>
      </c>
      <c r="J365" t="n">
        <v>0</v>
      </c>
      <c r="K365" t="n">
        <v>0</v>
      </c>
      <c r="L365" t="n">
        <v>0</v>
      </c>
      <c r="M365" t="n">
        <v>0</v>
      </c>
      <c r="N365" t="n">
        <v>0</v>
      </c>
      <c r="O365" t="n">
        <v>0</v>
      </c>
      <c r="P365" t="n">
        <v>0</v>
      </c>
      <c r="Q365" t="n">
        <v>0</v>
      </c>
      <c r="R365" s="2" t="inlineStr"/>
    </row>
    <row r="366" ht="15" customHeight="1">
      <c r="A366" t="inlineStr">
        <is>
          <t>A 32077-2025</t>
        </is>
      </c>
      <c r="B366" s="1" t="n">
        <v>45835.45099537037</v>
      </c>
      <c r="C366" s="1" t="n">
        <v>45933</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35198-2023</t>
        </is>
      </c>
      <c r="B367" s="1" t="n">
        <v>45145</v>
      </c>
      <c r="C367" s="1" t="n">
        <v>45933</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59955-2023</t>
        </is>
      </c>
      <c r="B368" s="1" t="n">
        <v>45257.70313657408</v>
      </c>
      <c r="C368" s="1" t="n">
        <v>45933</v>
      </c>
      <c r="D368" t="inlineStr">
        <is>
          <t>KALMAR LÄN</t>
        </is>
      </c>
      <c r="E368" t="inlineStr">
        <is>
          <t>VIMMERBY</t>
        </is>
      </c>
      <c r="G368" t="n">
        <v>13.8</v>
      </c>
      <c r="H368" t="n">
        <v>0</v>
      </c>
      <c r="I368" t="n">
        <v>0</v>
      </c>
      <c r="J368" t="n">
        <v>0</v>
      </c>
      <c r="K368" t="n">
        <v>0</v>
      </c>
      <c r="L368" t="n">
        <v>0</v>
      </c>
      <c r="M368" t="n">
        <v>0</v>
      </c>
      <c r="N368" t="n">
        <v>0</v>
      </c>
      <c r="O368" t="n">
        <v>0</v>
      </c>
      <c r="P368" t="n">
        <v>0</v>
      </c>
      <c r="Q368" t="n">
        <v>0</v>
      </c>
      <c r="R368" s="2" t="inlineStr"/>
    </row>
    <row r="369" ht="15" customHeight="1">
      <c r="A369" t="inlineStr">
        <is>
          <t>A 32064-2025</t>
        </is>
      </c>
      <c r="B369" s="1" t="n">
        <v>45835.44709490741</v>
      </c>
      <c r="C369" s="1" t="n">
        <v>45933</v>
      </c>
      <c r="D369" t="inlineStr">
        <is>
          <t>KALMAR LÄN</t>
        </is>
      </c>
      <c r="E369" t="inlineStr">
        <is>
          <t>VIMMERBY</t>
        </is>
      </c>
      <c r="G369" t="n">
        <v>2.6</v>
      </c>
      <c r="H369" t="n">
        <v>0</v>
      </c>
      <c r="I369" t="n">
        <v>0</v>
      </c>
      <c r="J369" t="n">
        <v>0</v>
      </c>
      <c r="K369" t="n">
        <v>0</v>
      </c>
      <c r="L369" t="n">
        <v>0</v>
      </c>
      <c r="M369" t="n">
        <v>0</v>
      </c>
      <c r="N369" t="n">
        <v>0</v>
      </c>
      <c r="O369" t="n">
        <v>0</v>
      </c>
      <c r="P369" t="n">
        <v>0</v>
      </c>
      <c r="Q369" t="n">
        <v>0</v>
      </c>
      <c r="R369" s="2" t="inlineStr"/>
    </row>
    <row r="370" ht="15" customHeight="1">
      <c r="A370" t="inlineStr">
        <is>
          <t>A 32065-2025</t>
        </is>
      </c>
      <c r="B370" s="1" t="n">
        <v>45835.44732638889</v>
      </c>
      <c r="C370" s="1" t="n">
        <v>45933</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36802-2021</t>
        </is>
      </c>
      <c r="B371" s="1" t="n">
        <v>44392</v>
      </c>
      <c r="C371" s="1" t="n">
        <v>45933</v>
      </c>
      <c r="D371" t="inlineStr">
        <is>
          <t>KALMAR LÄN</t>
        </is>
      </c>
      <c r="E371" t="inlineStr">
        <is>
          <t>VIMMERBY</t>
        </is>
      </c>
      <c r="F371" t="inlineStr">
        <is>
          <t>Sveaskog</t>
        </is>
      </c>
      <c r="G371" t="n">
        <v>4.6</v>
      </c>
      <c r="H371" t="n">
        <v>0</v>
      </c>
      <c r="I371" t="n">
        <v>0</v>
      </c>
      <c r="J371" t="n">
        <v>0</v>
      </c>
      <c r="K371" t="n">
        <v>0</v>
      </c>
      <c r="L371" t="n">
        <v>0</v>
      </c>
      <c r="M371" t="n">
        <v>0</v>
      </c>
      <c r="N371" t="n">
        <v>0</v>
      </c>
      <c r="O371" t="n">
        <v>0</v>
      </c>
      <c r="P371" t="n">
        <v>0</v>
      </c>
      <c r="Q371" t="n">
        <v>0</v>
      </c>
      <c r="R371" s="2" t="inlineStr"/>
    </row>
    <row r="372" ht="15" customHeight="1">
      <c r="A372" t="inlineStr">
        <is>
          <t>A 58374-2024</t>
        </is>
      </c>
      <c r="B372" s="1" t="n">
        <v>45632.72635416667</v>
      </c>
      <c r="C372" s="1" t="n">
        <v>45933</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17084-2025</t>
        </is>
      </c>
      <c r="B373" s="1" t="n">
        <v>45755.64450231481</v>
      </c>
      <c r="C373" s="1" t="n">
        <v>45933</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61820-2023</t>
        </is>
      </c>
      <c r="B374" s="1" t="n">
        <v>45266.32614583334</v>
      </c>
      <c r="C374" s="1" t="n">
        <v>45933</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33186-2025</t>
        </is>
      </c>
      <c r="B375" s="1" t="n">
        <v>45840.59474537037</v>
      </c>
      <c r="C375" s="1" t="n">
        <v>45933</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3269-2024</t>
        </is>
      </c>
      <c r="B376" s="1" t="n">
        <v>45317.40372685185</v>
      </c>
      <c r="C376" s="1" t="n">
        <v>45933</v>
      </c>
      <c r="D376" t="inlineStr">
        <is>
          <t>KALMAR LÄN</t>
        </is>
      </c>
      <c r="E376" t="inlineStr">
        <is>
          <t>VIMMERBY</t>
        </is>
      </c>
      <c r="F376" t="inlineStr">
        <is>
          <t>Övriga Aktiebolag</t>
        </is>
      </c>
      <c r="G376" t="n">
        <v>1.7</v>
      </c>
      <c r="H376" t="n">
        <v>0</v>
      </c>
      <c r="I376" t="n">
        <v>0</v>
      </c>
      <c r="J376" t="n">
        <v>0</v>
      </c>
      <c r="K376" t="n">
        <v>0</v>
      </c>
      <c r="L376" t="n">
        <v>0</v>
      </c>
      <c r="M376" t="n">
        <v>0</v>
      </c>
      <c r="N376" t="n">
        <v>0</v>
      </c>
      <c r="O376" t="n">
        <v>0</v>
      </c>
      <c r="P376" t="n">
        <v>0</v>
      </c>
      <c r="Q376" t="n">
        <v>0</v>
      </c>
      <c r="R376" s="2" t="inlineStr"/>
    </row>
    <row r="377" ht="15" customHeight="1">
      <c r="A377" t="inlineStr">
        <is>
          <t>A 56022-2024</t>
        </is>
      </c>
      <c r="B377" s="1" t="n">
        <v>45623.95947916667</v>
      </c>
      <c r="C377" s="1" t="n">
        <v>45933</v>
      </c>
      <c r="D377" t="inlineStr">
        <is>
          <t>KALMAR LÄN</t>
        </is>
      </c>
      <c r="E377" t="inlineStr">
        <is>
          <t>VIMMERBY</t>
        </is>
      </c>
      <c r="G377" t="n">
        <v>0.3</v>
      </c>
      <c r="H377" t="n">
        <v>0</v>
      </c>
      <c r="I377" t="n">
        <v>0</v>
      </c>
      <c r="J377" t="n">
        <v>0</v>
      </c>
      <c r="K377" t="n">
        <v>0</v>
      </c>
      <c r="L377" t="n">
        <v>0</v>
      </c>
      <c r="M377" t="n">
        <v>0</v>
      </c>
      <c r="N377" t="n">
        <v>0</v>
      </c>
      <c r="O377" t="n">
        <v>0</v>
      </c>
      <c r="P377" t="n">
        <v>0</v>
      </c>
      <c r="Q377" t="n">
        <v>0</v>
      </c>
      <c r="R377" s="2" t="inlineStr"/>
    </row>
    <row r="378" ht="15" customHeight="1">
      <c r="A378" t="inlineStr">
        <is>
          <t>A 55300-2021</t>
        </is>
      </c>
      <c r="B378" s="1" t="n">
        <v>44475</v>
      </c>
      <c r="C378" s="1" t="n">
        <v>45933</v>
      </c>
      <c r="D378" t="inlineStr">
        <is>
          <t>KALMAR LÄN</t>
        </is>
      </c>
      <c r="E378" t="inlineStr">
        <is>
          <t>VIMMERBY</t>
        </is>
      </c>
      <c r="G378" t="n">
        <v>3.4</v>
      </c>
      <c r="H378" t="n">
        <v>0</v>
      </c>
      <c r="I378" t="n">
        <v>0</v>
      </c>
      <c r="J378" t="n">
        <v>0</v>
      </c>
      <c r="K378" t="n">
        <v>0</v>
      </c>
      <c r="L378" t="n">
        <v>0</v>
      </c>
      <c r="M378" t="n">
        <v>0</v>
      </c>
      <c r="N378" t="n">
        <v>0</v>
      </c>
      <c r="O378" t="n">
        <v>0</v>
      </c>
      <c r="P378" t="n">
        <v>0</v>
      </c>
      <c r="Q378" t="n">
        <v>0</v>
      </c>
      <c r="R378" s="2" t="inlineStr"/>
    </row>
    <row r="379" ht="15" customHeight="1">
      <c r="A379" t="inlineStr">
        <is>
          <t>A 11928-2022</t>
        </is>
      </c>
      <c r="B379" s="1" t="n">
        <v>44635</v>
      </c>
      <c r="C379" s="1" t="n">
        <v>45933</v>
      </c>
      <c r="D379" t="inlineStr">
        <is>
          <t>KALMAR LÄN</t>
        </is>
      </c>
      <c r="E379" t="inlineStr">
        <is>
          <t>VIMMERBY</t>
        </is>
      </c>
      <c r="G379" t="n">
        <v>2.8</v>
      </c>
      <c r="H379" t="n">
        <v>0</v>
      </c>
      <c r="I379" t="n">
        <v>0</v>
      </c>
      <c r="J379" t="n">
        <v>0</v>
      </c>
      <c r="K379" t="n">
        <v>0</v>
      </c>
      <c r="L379" t="n">
        <v>0</v>
      </c>
      <c r="M379" t="n">
        <v>0</v>
      </c>
      <c r="N379" t="n">
        <v>0</v>
      </c>
      <c r="O379" t="n">
        <v>0</v>
      </c>
      <c r="P379" t="n">
        <v>0</v>
      </c>
      <c r="Q379" t="n">
        <v>0</v>
      </c>
      <c r="R379" s="2" t="inlineStr"/>
    </row>
    <row r="380" ht="15" customHeight="1">
      <c r="A380" t="inlineStr">
        <is>
          <t>A 2157-2024</t>
        </is>
      </c>
      <c r="B380" s="1" t="n">
        <v>45309.59487268519</v>
      </c>
      <c r="C380" s="1" t="n">
        <v>45933</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30977-2025</t>
        </is>
      </c>
      <c r="B381" s="1" t="n">
        <v>45832.46649305556</v>
      </c>
      <c r="C381" s="1" t="n">
        <v>45933</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9416-2024</t>
        </is>
      </c>
      <c r="B382" s="1" t="n">
        <v>45359.44837962963</v>
      </c>
      <c r="C382" s="1" t="n">
        <v>45933</v>
      </c>
      <c r="D382" t="inlineStr">
        <is>
          <t>KALMAR LÄN</t>
        </is>
      </c>
      <c r="E382" t="inlineStr">
        <is>
          <t>VIMMERBY</t>
        </is>
      </c>
      <c r="G382" t="n">
        <v>3.2</v>
      </c>
      <c r="H382" t="n">
        <v>0</v>
      </c>
      <c r="I382" t="n">
        <v>0</v>
      </c>
      <c r="J382" t="n">
        <v>0</v>
      </c>
      <c r="K382" t="n">
        <v>0</v>
      </c>
      <c r="L382" t="n">
        <v>0</v>
      </c>
      <c r="M382" t="n">
        <v>0</v>
      </c>
      <c r="N382" t="n">
        <v>0</v>
      </c>
      <c r="O382" t="n">
        <v>0</v>
      </c>
      <c r="P382" t="n">
        <v>0</v>
      </c>
      <c r="Q382" t="n">
        <v>0</v>
      </c>
      <c r="R382" s="2" t="inlineStr"/>
    </row>
    <row r="383" ht="15" customHeight="1">
      <c r="A383" t="inlineStr">
        <is>
          <t>A 58318-2021</t>
        </is>
      </c>
      <c r="B383" s="1" t="n">
        <v>44488.35878472222</v>
      </c>
      <c r="C383" s="1" t="n">
        <v>45933</v>
      </c>
      <c r="D383" t="inlineStr">
        <is>
          <t>KALMAR LÄN</t>
        </is>
      </c>
      <c r="E383" t="inlineStr">
        <is>
          <t>VIMMERBY</t>
        </is>
      </c>
      <c r="G383" t="n">
        <v>4</v>
      </c>
      <c r="H383" t="n">
        <v>0</v>
      </c>
      <c r="I383" t="n">
        <v>0</v>
      </c>
      <c r="J383" t="n">
        <v>0</v>
      </c>
      <c r="K383" t="n">
        <v>0</v>
      </c>
      <c r="L383" t="n">
        <v>0</v>
      </c>
      <c r="M383" t="n">
        <v>0</v>
      </c>
      <c r="N383" t="n">
        <v>0</v>
      </c>
      <c r="O383" t="n">
        <v>0</v>
      </c>
      <c r="P383" t="n">
        <v>0</v>
      </c>
      <c r="Q383" t="n">
        <v>0</v>
      </c>
      <c r="R383" s="2" t="inlineStr"/>
    </row>
    <row r="384" ht="15" customHeight="1">
      <c r="A384" t="inlineStr">
        <is>
          <t>A 47263-2023</t>
        </is>
      </c>
      <c r="B384" s="1" t="n">
        <v>45202.4209837963</v>
      </c>
      <c r="C384" s="1" t="n">
        <v>45933</v>
      </c>
      <c r="D384" t="inlineStr">
        <is>
          <t>KALMAR LÄN</t>
        </is>
      </c>
      <c r="E384" t="inlineStr">
        <is>
          <t>VIMMERBY</t>
        </is>
      </c>
      <c r="G384" t="n">
        <v>1.8</v>
      </c>
      <c r="H384" t="n">
        <v>0</v>
      </c>
      <c r="I384" t="n">
        <v>0</v>
      </c>
      <c r="J384" t="n">
        <v>0</v>
      </c>
      <c r="K384" t="n">
        <v>0</v>
      </c>
      <c r="L384" t="n">
        <v>0</v>
      </c>
      <c r="M384" t="n">
        <v>0</v>
      </c>
      <c r="N384" t="n">
        <v>0</v>
      </c>
      <c r="O384" t="n">
        <v>0</v>
      </c>
      <c r="P384" t="n">
        <v>0</v>
      </c>
      <c r="Q384" t="n">
        <v>0</v>
      </c>
      <c r="R384" s="2" t="inlineStr"/>
    </row>
    <row r="385" ht="15" customHeight="1">
      <c r="A385" t="inlineStr">
        <is>
          <t>A 53083-2021</t>
        </is>
      </c>
      <c r="B385" s="1" t="n">
        <v>44467.83386574074</v>
      </c>
      <c r="C385" s="1" t="n">
        <v>45933</v>
      </c>
      <c r="D385" t="inlineStr">
        <is>
          <t>KALMAR LÄN</t>
        </is>
      </c>
      <c r="E385" t="inlineStr">
        <is>
          <t>VIMMERBY</t>
        </is>
      </c>
      <c r="G385" t="n">
        <v>6.8</v>
      </c>
      <c r="H385" t="n">
        <v>0</v>
      </c>
      <c r="I385" t="n">
        <v>0</v>
      </c>
      <c r="J385" t="n">
        <v>0</v>
      </c>
      <c r="K385" t="n">
        <v>0</v>
      </c>
      <c r="L385" t="n">
        <v>0</v>
      </c>
      <c r="M385" t="n">
        <v>0</v>
      </c>
      <c r="N385" t="n">
        <v>0</v>
      </c>
      <c r="O385" t="n">
        <v>0</v>
      </c>
      <c r="P385" t="n">
        <v>0</v>
      </c>
      <c r="Q385" t="n">
        <v>0</v>
      </c>
      <c r="R385" s="2" t="inlineStr"/>
    </row>
    <row r="386" ht="15" customHeight="1">
      <c r="A386" t="inlineStr">
        <is>
          <t>A 29173-2024</t>
        </is>
      </c>
      <c r="B386" s="1" t="n">
        <v>45482.52887731481</v>
      </c>
      <c r="C386" s="1" t="n">
        <v>45933</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33695-2025</t>
        </is>
      </c>
      <c r="B387" s="1" t="n">
        <v>45841.70569444444</v>
      </c>
      <c r="C387" s="1" t="n">
        <v>45933</v>
      </c>
      <c r="D387" t="inlineStr">
        <is>
          <t>KALMAR LÄN</t>
        </is>
      </c>
      <c r="E387" t="inlineStr">
        <is>
          <t>VIMMERBY</t>
        </is>
      </c>
      <c r="G387" t="n">
        <v>2.7</v>
      </c>
      <c r="H387" t="n">
        <v>0</v>
      </c>
      <c r="I387" t="n">
        <v>0</v>
      </c>
      <c r="J387" t="n">
        <v>0</v>
      </c>
      <c r="K387" t="n">
        <v>0</v>
      </c>
      <c r="L387" t="n">
        <v>0</v>
      </c>
      <c r="M387" t="n">
        <v>0</v>
      </c>
      <c r="N387" t="n">
        <v>0</v>
      </c>
      <c r="O387" t="n">
        <v>0</v>
      </c>
      <c r="P387" t="n">
        <v>0</v>
      </c>
      <c r="Q387" t="n">
        <v>0</v>
      </c>
      <c r="R387" s="2" t="inlineStr"/>
    </row>
    <row r="388" ht="15" customHeight="1">
      <c r="A388" t="inlineStr">
        <is>
          <t>A 33698-2025</t>
        </is>
      </c>
      <c r="B388" s="1" t="n">
        <v>45841.70868055556</v>
      </c>
      <c r="C388" s="1" t="n">
        <v>45933</v>
      </c>
      <c r="D388" t="inlineStr">
        <is>
          <t>KALMAR LÄN</t>
        </is>
      </c>
      <c r="E388" t="inlineStr">
        <is>
          <t>VIMMERBY</t>
        </is>
      </c>
      <c r="G388" t="n">
        <v>3.7</v>
      </c>
      <c r="H388" t="n">
        <v>0</v>
      </c>
      <c r="I388" t="n">
        <v>0</v>
      </c>
      <c r="J388" t="n">
        <v>0</v>
      </c>
      <c r="K388" t="n">
        <v>0</v>
      </c>
      <c r="L388" t="n">
        <v>0</v>
      </c>
      <c r="M388" t="n">
        <v>0</v>
      </c>
      <c r="N388" t="n">
        <v>0</v>
      </c>
      <c r="O388" t="n">
        <v>0</v>
      </c>
      <c r="P388" t="n">
        <v>0</v>
      </c>
      <c r="Q388" t="n">
        <v>0</v>
      </c>
      <c r="R388" s="2" t="inlineStr"/>
    </row>
    <row r="389" ht="15" customHeight="1">
      <c r="A389" t="inlineStr">
        <is>
          <t>A 11111-2024</t>
        </is>
      </c>
      <c r="B389" s="1" t="n">
        <v>45371.36359953704</v>
      </c>
      <c r="C389" s="1" t="n">
        <v>45933</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11141-2024</t>
        </is>
      </c>
      <c r="B390" s="1" t="n">
        <v>45371.45865740741</v>
      </c>
      <c r="C390" s="1" t="n">
        <v>45933</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9418-2024</t>
        </is>
      </c>
      <c r="B391" s="1" t="n">
        <v>45359.45038194444</v>
      </c>
      <c r="C391" s="1" t="n">
        <v>45933</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49313-2022</t>
        </is>
      </c>
      <c r="B392" s="1" t="n">
        <v>44861.52505787037</v>
      </c>
      <c r="C392" s="1" t="n">
        <v>45933</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35998-2024</t>
        </is>
      </c>
      <c r="B393" s="1" t="n">
        <v>45533.54429398148</v>
      </c>
      <c r="C393" s="1" t="n">
        <v>45933</v>
      </c>
      <c r="D393" t="inlineStr">
        <is>
          <t>KALMAR LÄN</t>
        </is>
      </c>
      <c r="E393" t="inlineStr">
        <is>
          <t>VIMMERBY</t>
        </is>
      </c>
      <c r="G393" t="n">
        <v>8.6</v>
      </c>
      <c r="H393" t="n">
        <v>0</v>
      </c>
      <c r="I393" t="n">
        <v>0</v>
      </c>
      <c r="J393" t="n">
        <v>0</v>
      </c>
      <c r="K393" t="n">
        <v>0</v>
      </c>
      <c r="L393" t="n">
        <v>0</v>
      </c>
      <c r="M393" t="n">
        <v>0</v>
      </c>
      <c r="N393" t="n">
        <v>0</v>
      </c>
      <c r="O393" t="n">
        <v>0</v>
      </c>
      <c r="P393" t="n">
        <v>0</v>
      </c>
      <c r="Q393" t="n">
        <v>0</v>
      </c>
      <c r="R393" s="2" t="inlineStr"/>
    </row>
    <row r="394" ht="15" customHeight="1">
      <c r="A394" t="inlineStr">
        <is>
          <t>A 36040-2024</t>
        </is>
      </c>
      <c r="B394" s="1" t="n">
        <v>45533.60232638889</v>
      </c>
      <c r="C394" s="1" t="n">
        <v>45933</v>
      </c>
      <c r="D394" t="inlineStr">
        <is>
          <t>KALMAR LÄN</t>
        </is>
      </c>
      <c r="E394" t="inlineStr">
        <is>
          <t>VIMMERBY</t>
        </is>
      </c>
      <c r="F394" t="inlineStr">
        <is>
          <t>Kommuner</t>
        </is>
      </c>
      <c r="G394" t="n">
        <v>3.6</v>
      </c>
      <c r="H394" t="n">
        <v>0</v>
      </c>
      <c r="I394" t="n">
        <v>0</v>
      </c>
      <c r="J394" t="n">
        <v>0</v>
      </c>
      <c r="K394" t="n">
        <v>0</v>
      </c>
      <c r="L394" t="n">
        <v>0</v>
      </c>
      <c r="M394" t="n">
        <v>0</v>
      </c>
      <c r="N394" t="n">
        <v>0</v>
      </c>
      <c r="O394" t="n">
        <v>0</v>
      </c>
      <c r="P394" t="n">
        <v>0</v>
      </c>
      <c r="Q394" t="n">
        <v>0</v>
      </c>
      <c r="R394" s="2" t="inlineStr"/>
    </row>
    <row r="395" ht="15" customHeight="1">
      <c r="A395" t="inlineStr">
        <is>
          <t>A 36043-2024</t>
        </is>
      </c>
      <c r="B395" s="1" t="n">
        <v>45533.60770833334</v>
      </c>
      <c r="C395" s="1" t="n">
        <v>45933</v>
      </c>
      <c r="D395" t="inlineStr">
        <is>
          <t>KALMAR LÄN</t>
        </is>
      </c>
      <c r="E395" t="inlineStr">
        <is>
          <t>VIMMERBY</t>
        </is>
      </c>
      <c r="F395" t="inlineStr">
        <is>
          <t>Kommuner</t>
        </is>
      </c>
      <c r="G395" t="n">
        <v>1.5</v>
      </c>
      <c r="H395" t="n">
        <v>0</v>
      </c>
      <c r="I395" t="n">
        <v>0</v>
      </c>
      <c r="J395" t="n">
        <v>0</v>
      </c>
      <c r="K395" t="n">
        <v>0</v>
      </c>
      <c r="L395" t="n">
        <v>0</v>
      </c>
      <c r="M395" t="n">
        <v>0</v>
      </c>
      <c r="N395" t="n">
        <v>0</v>
      </c>
      <c r="O395" t="n">
        <v>0</v>
      </c>
      <c r="P395" t="n">
        <v>0</v>
      </c>
      <c r="Q395" t="n">
        <v>0</v>
      </c>
      <c r="R395" s="2" t="inlineStr"/>
    </row>
    <row r="396" ht="15" customHeight="1">
      <c r="A396" t="inlineStr">
        <is>
          <t>A 33696-2025</t>
        </is>
      </c>
      <c r="B396" s="1" t="n">
        <v>45841.7072337963</v>
      </c>
      <c r="C396" s="1" t="n">
        <v>45933</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2536-2023</t>
        </is>
      </c>
      <c r="B397" s="1" t="n">
        <v>44943.62954861111</v>
      </c>
      <c r="C397" s="1" t="n">
        <v>45933</v>
      </c>
      <c r="D397" t="inlineStr">
        <is>
          <t>KALMAR LÄN</t>
        </is>
      </c>
      <c r="E397" t="inlineStr">
        <is>
          <t>VIMMERBY</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2801-2023</t>
        </is>
      </c>
      <c r="B398" s="1" t="n">
        <v>44944.73487268519</v>
      </c>
      <c r="C398" s="1" t="n">
        <v>45933</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5527-2022</t>
        </is>
      </c>
      <c r="B399" s="1" t="n">
        <v>44595.583125</v>
      </c>
      <c r="C399" s="1" t="n">
        <v>45933</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17968-2025</t>
        </is>
      </c>
      <c r="B400" s="1" t="n">
        <v>45761.35990740741</v>
      </c>
      <c r="C400" s="1" t="n">
        <v>45933</v>
      </c>
      <c r="D400" t="inlineStr">
        <is>
          <t>KALMAR LÄN</t>
        </is>
      </c>
      <c r="E400" t="inlineStr">
        <is>
          <t>VIMMERBY</t>
        </is>
      </c>
      <c r="G400" t="n">
        <v>3.3</v>
      </c>
      <c r="H400" t="n">
        <v>0</v>
      </c>
      <c r="I400" t="n">
        <v>0</v>
      </c>
      <c r="J400" t="n">
        <v>0</v>
      </c>
      <c r="K400" t="n">
        <v>0</v>
      </c>
      <c r="L400" t="n">
        <v>0</v>
      </c>
      <c r="M400" t="n">
        <v>0</v>
      </c>
      <c r="N400" t="n">
        <v>0</v>
      </c>
      <c r="O400" t="n">
        <v>0</v>
      </c>
      <c r="P400" t="n">
        <v>0</v>
      </c>
      <c r="Q400" t="n">
        <v>0</v>
      </c>
      <c r="R400" s="2" t="inlineStr"/>
    </row>
    <row r="401" ht="15" customHeight="1">
      <c r="A401" t="inlineStr">
        <is>
          <t>A 28702-2025</t>
        </is>
      </c>
      <c r="B401" s="1" t="n">
        <v>45820.03976851852</v>
      </c>
      <c r="C401" s="1" t="n">
        <v>45933</v>
      </c>
      <c r="D401" t="inlineStr">
        <is>
          <t>KALMAR LÄN</t>
        </is>
      </c>
      <c r="E401" t="inlineStr">
        <is>
          <t>VIMMERBY</t>
        </is>
      </c>
      <c r="G401" t="n">
        <v>2.1</v>
      </c>
      <c r="H401" t="n">
        <v>0</v>
      </c>
      <c r="I401" t="n">
        <v>0</v>
      </c>
      <c r="J401" t="n">
        <v>0</v>
      </c>
      <c r="K401" t="n">
        <v>0</v>
      </c>
      <c r="L401" t="n">
        <v>0</v>
      </c>
      <c r="M401" t="n">
        <v>0</v>
      </c>
      <c r="N401" t="n">
        <v>0</v>
      </c>
      <c r="O401" t="n">
        <v>0</v>
      </c>
      <c r="P401" t="n">
        <v>0</v>
      </c>
      <c r="Q401" t="n">
        <v>0</v>
      </c>
      <c r="R401" s="2" t="inlineStr"/>
    </row>
    <row r="402" ht="15" customHeight="1">
      <c r="A402" t="inlineStr">
        <is>
          <t>A 49461-2023</t>
        </is>
      </c>
      <c r="B402" s="1" t="n">
        <v>45211.52642361111</v>
      </c>
      <c r="C402" s="1" t="n">
        <v>45933</v>
      </c>
      <c r="D402" t="inlineStr">
        <is>
          <t>KALMAR LÄN</t>
        </is>
      </c>
      <c r="E402" t="inlineStr">
        <is>
          <t>VIMMERBY</t>
        </is>
      </c>
      <c r="G402" t="n">
        <v>1.5</v>
      </c>
      <c r="H402" t="n">
        <v>0</v>
      </c>
      <c r="I402" t="n">
        <v>0</v>
      </c>
      <c r="J402" t="n">
        <v>0</v>
      </c>
      <c r="K402" t="n">
        <v>0</v>
      </c>
      <c r="L402" t="n">
        <v>0</v>
      </c>
      <c r="M402" t="n">
        <v>0</v>
      </c>
      <c r="N402" t="n">
        <v>0</v>
      </c>
      <c r="O402" t="n">
        <v>0</v>
      </c>
      <c r="P402" t="n">
        <v>0</v>
      </c>
      <c r="Q402" t="n">
        <v>0</v>
      </c>
      <c r="R402" s="2" t="inlineStr"/>
    </row>
    <row r="403" ht="15" customHeight="1">
      <c r="A403" t="inlineStr">
        <is>
          <t>A 49474-2023</t>
        </is>
      </c>
      <c r="B403" s="1" t="n">
        <v>45211.541875</v>
      </c>
      <c r="C403" s="1" t="n">
        <v>45933</v>
      </c>
      <c r="D403" t="inlineStr">
        <is>
          <t>KALMAR LÄN</t>
        </is>
      </c>
      <c r="E403" t="inlineStr">
        <is>
          <t>VIMMERBY</t>
        </is>
      </c>
      <c r="G403" t="n">
        <v>3.6</v>
      </c>
      <c r="H403" t="n">
        <v>0</v>
      </c>
      <c r="I403" t="n">
        <v>0</v>
      </c>
      <c r="J403" t="n">
        <v>0</v>
      </c>
      <c r="K403" t="n">
        <v>0</v>
      </c>
      <c r="L403" t="n">
        <v>0</v>
      </c>
      <c r="M403" t="n">
        <v>0</v>
      </c>
      <c r="N403" t="n">
        <v>0</v>
      </c>
      <c r="O403" t="n">
        <v>0</v>
      </c>
      <c r="P403" t="n">
        <v>0</v>
      </c>
      <c r="Q403" t="n">
        <v>0</v>
      </c>
      <c r="R403" s="2" t="inlineStr"/>
    </row>
    <row r="404" ht="15" customHeight="1">
      <c r="A404" t="inlineStr">
        <is>
          <t>A 14451-2024</t>
        </is>
      </c>
      <c r="B404" s="1" t="n">
        <v>45394.50028935185</v>
      </c>
      <c r="C404" s="1" t="n">
        <v>45933</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61861-2024</t>
        </is>
      </c>
      <c r="B405" s="1" t="n">
        <v>45650.37370370371</v>
      </c>
      <c r="C405" s="1" t="n">
        <v>45933</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46238-2024</t>
        </is>
      </c>
      <c r="B406" s="1" t="n">
        <v>45581.58418981481</v>
      </c>
      <c r="C406" s="1" t="n">
        <v>45933</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34060-2025</t>
        </is>
      </c>
      <c r="B407" s="1" t="n">
        <v>45845.42015046296</v>
      </c>
      <c r="C407" s="1" t="n">
        <v>45933</v>
      </c>
      <c r="D407" t="inlineStr">
        <is>
          <t>KALMAR LÄN</t>
        </is>
      </c>
      <c r="E407" t="inlineStr">
        <is>
          <t>VIMMERBY</t>
        </is>
      </c>
      <c r="G407" t="n">
        <v>5.7</v>
      </c>
      <c r="H407" t="n">
        <v>0</v>
      </c>
      <c r="I407" t="n">
        <v>0</v>
      </c>
      <c r="J407" t="n">
        <v>0</v>
      </c>
      <c r="K407" t="n">
        <v>0</v>
      </c>
      <c r="L407" t="n">
        <v>0</v>
      </c>
      <c r="M407" t="n">
        <v>0</v>
      </c>
      <c r="N407" t="n">
        <v>0</v>
      </c>
      <c r="O407" t="n">
        <v>0</v>
      </c>
      <c r="P407" t="n">
        <v>0</v>
      </c>
      <c r="Q407" t="n">
        <v>0</v>
      </c>
      <c r="R407" s="2" t="inlineStr"/>
    </row>
    <row r="408" ht="15" customHeight="1">
      <c r="A408" t="inlineStr">
        <is>
          <t>A 50993-2022</t>
        </is>
      </c>
      <c r="B408" s="1" t="n">
        <v>44867</v>
      </c>
      <c r="C408" s="1" t="n">
        <v>45933</v>
      </c>
      <c r="D408" t="inlineStr">
        <is>
          <t>KALMAR LÄN</t>
        </is>
      </c>
      <c r="E408" t="inlineStr">
        <is>
          <t>VIMMERBY</t>
        </is>
      </c>
      <c r="G408" t="n">
        <v>1.7</v>
      </c>
      <c r="H408" t="n">
        <v>0</v>
      </c>
      <c r="I408" t="n">
        <v>0</v>
      </c>
      <c r="J408" t="n">
        <v>0</v>
      </c>
      <c r="K408" t="n">
        <v>0</v>
      </c>
      <c r="L408" t="n">
        <v>0</v>
      </c>
      <c r="M408" t="n">
        <v>0</v>
      </c>
      <c r="N408" t="n">
        <v>0</v>
      </c>
      <c r="O408" t="n">
        <v>0</v>
      </c>
      <c r="P408" t="n">
        <v>0</v>
      </c>
      <c r="Q408" t="n">
        <v>0</v>
      </c>
      <c r="R408" s="2" t="inlineStr"/>
    </row>
    <row r="409" ht="15" customHeight="1">
      <c r="A409" t="inlineStr">
        <is>
          <t>A 34071-2025</t>
        </is>
      </c>
      <c r="B409" s="1" t="n">
        <v>45845.43803240741</v>
      </c>
      <c r="C409" s="1" t="n">
        <v>45933</v>
      </c>
      <c r="D409" t="inlineStr">
        <is>
          <t>KALMAR LÄN</t>
        </is>
      </c>
      <c r="E409" t="inlineStr">
        <is>
          <t>VIMMERBY</t>
        </is>
      </c>
      <c r="G409" t="n">
        <v>6.8</v>
      </c>
      <c r="H409" t="n">
        <v>0</v>
      </c>
      <c r="I409" t="n">
        <v>0</v>
      </c>
      <c r="J409" t="n">
        <v>0</v>
      </c>
      <c r="K409" t="n">
        <v>0</v>
      </c>
      <c r="L409" t="n">
        <v>0</v>
      </c>
      <c r="M409" t="n">
        <v>0</v>
      </c>
      <c r="N409" t="n">
        <v>0</v>
      </c>
      <c r="O409" t="n">
        <v>0</v>
      </c>
      <c r="P409" t="n">
        <v>0</v>
      </c>
      <c r="Q409" t="n">
        <v>0</v>
      </c>
      <c r="R409" s="2" t="inlineStr"/>
    </row>
    <row r="410" ht="15" customHeight="1">
      <c r="A410" t="inlineStr">
        <is>
          <t>A 46225-2024</t>
        </is>
      </c>
      <c r="B410" s="1" t="n">
        <v>45581.57333333333</v>
      </c>
      <c r="C410" s="1" t="n">
        <v>45933</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34106-2025</t>
        </is>
      </c>
      <c r="B411" s="1" t="n">
        <v>45845.49414351852</v>
      </c>
      <c r="C411" s="1" t="n">
        <v>45933</v>
      </c>
      <c r="D411" t="inlineStr">
        <is>
          <t>KALMAR LÄN</t>
        </is>
      </c>
      <c r="E411" t="inlineStr">
        <is>
          <t>VIMMERBY</t>
        </is>
      </c>
      <c r="G411" t="n">
        <v>6</v>
      </c>
      <c r="H411" t="n">
        <v>0</v>
      </c>
      <c r="I411" t="n">
        <v>0</v>
      </c>
      <c r="J411" t="n">
        <v>0</v>
      </c>
      <c r="K411" t="n">
        <v>0</v>
      </c>
      <c r="L411" t="n">
        <v>0</v>
      </c>
      <c r="M411" t="n">
        <v>0</v>
      </c>
      <c r="N411" t="n">
        <v>0</v>
      </c>
      <c r="O411" t="n">
        <v>0</v>
      </c>
      <c r="P411" t="n">
        <v>0</v>
      </c>
      <c r="Q411" t="n">
        <v>0</v>
      </c>
      <c r="R411" s="2" t="inlineStr"/>
    </row>
    <row r="412" ht="15" customHeight="1">
      <c r="A412" t="inlineStr">
        <is>
          <t>A 36055-2024</t>
        </is>
      </c>
      <c r="B412" s="1" t="n">
        <v>45533.63056712963</v>
      </c>
      <c r="C412" s="1" t="n">
        <v>45933</v>
      </c>
      <c r="D412" t="inlineStr">
        <is>
          <t>KALMAR LÄN</t>
        </is>
      </c>
      <c r="E412" t="inlineStr">
        <is>
          <t>VIMMERBY</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45846-2023</t>
        </is>
      </c>
      <c r="B413" s="1" t="n">
        <v>45195.58452546296</v>
      </c>
      <c r="C413" s="1" t="n">
        <v>45933</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26956-2025</t>
        </is>
      </c>
      <c r="B414" s="1" t="n">
        <v>45811.45460648148</v>
      </c>
      <c r="C414" s="1" t="n">
        <v>45933</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8167-2024</t>
        </is>
      </c>
      <c r="B415" s="1" t="n">
        <v>45351.6062962963</v>
      </c>
      <c r="C415" s="1" t="n">
        <v>45933</v>
      </c>
      <c r="D415" t="inlineStr">
        <is>
          <t>KALMAR LÄN</t>
        </is>
      </c>
      <c r="E415" t="inlineStr">
        <is>
          <t>VIMMERBY</t>
        </is>
      </c>
      <c r="G415" t="n">
        <v>3.8</v>
      </c>
      <c r="H415" t="n">
        <v>0</v>
      </c>
      <c r="I415" t="n">
        <v>0</v>
      </c>
      <c r="J415" t="n">
        <v>0</v>
      </c>
      <c r="K415" t="n">
        <v>0</v>
      </c>
      <c r="L415" t="n">
        <v>0</v>
      </c>
      <c r="M415" t="n">
        <v>0</v>
      </c>
      <c r="N415" t="n">
        <v>0</v>
      </c>
      <c r="O415" t="n">
        <v>0</v>
      </c>
      <c r="P415" t="n">
        <v>0</v>
      </c>
      <c r="Q415" t="n">
        <v>0</v>
      </c>
      <c r="R415" s="2" t="inlineStr"/>
    </row>
    <row r="416" ht="15" customHeight="1">
      <c r="A416" t="inlineStr">
        <is>
          <t>A 47859-2024</t>
        </is>
      </c>
      <c r="B416" s="1" t="n">
        <v>45588.67070601852</v>
      </c>
      <c r="C416" s="1" t="n">
        <v>45933</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32835-2022</t>
        </is>
      </c>
      <c r="B417" s="1" t="n">
        <v>44784.42528935185</v>
      </c>
      <c r="C417" s="1" t="n">
        <v>45933</v>
      </c>
      <c r="D417" t="inlineStr">
        <is>
          <t>KALMAR LÄN</t>
        </is>
      </c>
      <c r="E417" t="inlineStr">
        <is>
          <t>VIMMERBY</t>
        </is>
      </c>
      <c r="G417" t="n">
        <v>1.6</v>
      </c>
      <c r="H417" t="n">
        <v>0</v>
      </c>
      <c r="I417" t="n">
        <v>0</v>
      </c>
      <c r="J417" t="n">
        <v>0</v>
      </c>
      <c r="K417" t="n">
        <v>0</v>
      </c>
      <c r="L417" t="n">
        <v>0</v>
      </c>
      <c r="M417" t="n">
        <v>0</v>
      </c>
      <c r="N417" t="n">
        <v>0</v>
      </c>
      <c r="O417" t="n">
        <v>0</v>
      </c>
      <c r="P417" t="n">
        <v>0</v>
      </c>
      <c r="Q417" t="n">
        <v>0</v>
      </c>
      <c r="R417" s="2" t="inlineStr"/>
    </row>
    <row r="418" ht="15" customHeight="1">
      <c r="A418" t="inlineStr">
        <is>
          <t>A 49382-2023</t>
        </is>
      </c>
      <c r="B418" s="1" t="n">
        <v>45208</v>
      </c>
      <c r="C418" s="1" t="n">
        <v>45933</v>
      </c>
      <c r="D418" t="inlineStr">
        <is>
          <t>KALMAR LÄN</t>
        </is>
      </c>
      <c r="E418" t="inlineStr">
        <is>
          <t>VIMMERBY</t>
        </is>
      </c>
      <c r="G418" t="n">
        <v>2.2</v>
      </c>
      <c r="H418" t="n">
        <v>0</v>
      </c>
      <c r="I418" t="n">
        <v>0</v>
      </c>
      <c r="J418" t="n">
        <v>0</v>
      </c>
      <c r="K418" t="n">
        <v>0</v>
      </c>
      <c r="L418" t="n">
        <v>0</v>
      </c>
      <c r="M418" t="n">
        <v>0</v>
      </c>
      <c r="N418" t="n">
        <v>0</v>
      </c>
      <c r="O418" t="n">
        <v>0</v>
      </c>
      <c r="P418" t="n">
        <v>0</v>
      </c>
      <c r="Q418" t="n">
        <v>0</v>
      </c>
      <c r="R418" s="2" t="inlineStr"/>
    </row>
    <row r="419" ht="15" customHeight="1">
      <c r="A419" t="inlineStr">
        <is>
          <t>A 12121-2025</t>
        </is>
      </c>
      <c r="B419" s="1" t="n">
        <v>45729.36868055556</v>
      </c>
      <c r="C419" s="1" t="n">
        <v>45933</v>
      </c>
      <c r="D419" t="inlineStr">
        <is>
          <t>KALMAR LÄN</t>
        </is>
      </c>
      <c r="E419" t="inlineStr">
        <is>
          <t>VIMMERBY</t>
        </is>
      </c>
      <c r="G419" t="n">
        <v>4.3</v>
      </c>
      <c r="H419" t="n">
        <v>0</v>
      </c>
      <c r="I419" t="n">
        <v>0</v>
      </c>
      <c r="J419" t="n">
        <v>0</v>
      </c>
      <c r="K419" t="n">
        <v>0</v>
      </c>
      <c r="L419" t="n">
        <v>0</v>
      </c>
      <c r="M419" t="n">
        <v>0</v>
      </c>
      <c r="N419" t="n">
        <v>0</v>
      </c>
      <c r="O419" t="n">
        <v>0</v>
      </c>
      <c r="P419" t="n">
        <v>0</v>
      </c>
      <c r="Q419" t="n">
        <v>0</v>
      </c>
      <c r="R419" s="2" t="inlineStr"/>
    </row>
    <row r="420" ht="15" customHeight="1">
      <c r="A420" t="inlineStr">
        <is>
          <t>A 34628-2025</t>
        </is>
      </c>
      <c r="B420" s="1" t="n">
        <v>45847.91280092593</v>
      </c>
      <c r="C420" s="1" t="n">
        <v>45933</v>
      </c>
      <c r="D420" t="inlineStr">
        <is>
          <t>KALMAR LÄN</t>
        </is>
      </c>
      <c r="E420" t="inlineStr">
        <is>
          <t>VIMMERBY</t>
        </is>
      </c>
      <c r="G420" t="n">
        <v>4.2</v>
      </c>
      <c r="H420" t="n">
        <v>0</v>
      </c>
      <c r="I420" t="n">
        <v>0</v>
      </c>
      <c r="J420" t="n">
        <v>0</v>
      </c>
      <c r="K420" t="n">
        <v>0</v>
      </c>
      <c r="L420" t="n">
        <v>0</v>
      </c>
      <c r="M420" t="n">
        <v>0</v>
      </c>
      <c r="N420" t="n">
        <v>0</v>
      </c>
      <c r="O420" t="n">
        <v>0</v>
      </c>
      <c r="P420" t="n">
        <v>0</v>
      </c>
      <c r="Q420" t="n">
        <v>0</v>
      </c>
      <c r="R420" s="2" t="inlineStr"/>
    </row>
    <row r="421" ht="15" customHeight="1">
      <c r="A421" t="inlineStr">
        <is>
          <t>A 41896-2023</t>
        </is>
      </c>
      <c r="B421" s="1" t="n">
        <v>45176.72427083334</v>
      </c>
      <c r="C421" s="1" t="n">
        <v>45933</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35846-2023</t>
        </is>
      </c>
      <c r="B422" s="1" t="n">
        <v>45148</v>
      </c>
      <c r="C422" s="1" t="n">
        <v>45933</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35913-2023</t>
        </is>
      </c>
      <c r="B423" s="1" t="n">
        <v>45148</v>
      </c>
      <c r="C423" s="1" t="n">
        <v>45933</v>
      </c>
      <c r="D423" t="inlineStr">
        <is>
          <t>KALMAR LÄN</t>
        </is>
      </c>
      <c r="E423" t="inlineStr">
        <is>
          <t>VIMMERBY</t>
        </is>
      </c>
      <c r="G423" t="n">
        <v>6.9</v>
      </c>
      <c r="H423" t="n">
        <v>0</v>
      </c>
      <c r="I423" t="n">
        <v>0</v>
      </c>
      <c r="J423" t="n">
        <v>0</v>
      </c>
      <c r="K423" t="n">
        <v>0</v>
      </c>
      <c r="L423" t="n">
        <v>0</v>
      </c>
      <c r="M423" t="n">
        <v>0</v>
      </c>
      <c r="N423" t="n">
        <v>0</v>
      </c>
      <c r="O423" t="n">
        <v>0</v>
      </c>
      <c r="P423" t="n">
        <v>0</v>
      </c>
      <c r="Q423" t="n">
        <v>0</v>
      </c>
      <c r="R423" s="2" t="inlineStr"/>
    </row>
    <row r="424" ht="15" customHeight="1">
      <c r="A424" t="inlineStr">
        <is>
          <t>A 45856-2025</t>
        </is>
      </c>
      <c r="B424" s="1" t="n">
        <v>45923</v>
      </c>
      <c r="C424" s="1" t="n">
        <v>45933</v>
      </c>
      <c r="D424" t="inlineStr">
        <is>
          <t>KALMAR LÄN</t>
        </is>
      </c>
      <c r="E424" t="inlineStr">
        <is>
          <t>VIMMERBY</t>
        </is>
      </c>
      <c r="G424" t="n">
        <v>2.1</v>
      </c>
      <c r="H424" t="n">
        <v>0</v>
      </c>
      <c r="I424" t="n">
        <v>0</v>
      </c>
      <c r="J424" t="n">
        <v>0</v>
      </c>
      <c r="K424" t="n">
        <v>0</v>
      </c>
      <c r="L424" t="n">
        <v>0</v>
      </c>
      <c r="M424" t="n">
        <v>0</v>
      </c>
      <c r="N424" t="n">
        <v>0</v>
      </c>
      <c r="O424" t="n">
        <v>0</v>
      </c>
      <c r="P424" t="n">
        <v>0</v>
      </c>
      <c r="Q424" t="n">
        <v>0</v>
      </c>
      <c r="R424" s="2" t="inlineStr"/>
    </row>
    <row r="425" ht="15" customHeight="1">
      <c r="A425" t="inlineStr">
        <is>
          <t>A 43606-2024</t>
        </is>
      </c>
      <c r="B425" s="1" t="n">
        <v>45569.45017361111</v>
      </c>
      <c r="C425" s="1" t="n">
        <v>45933</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38757-2023</t>
        </is>
      </c>
      <c r="B426" s="1" t="n">
        <v>45163.41376157408</v>
      </c>
      <c r="C426" s="1" t="n">
        <v>45933</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39736-2025</t>
        </is>
      </c>
      <c r="B427" s="1" t="n">
        <v>45891</v>
      </c>
      <c r="C427" s="1" t="n">
        <v>45933</v>
      </c>
      <c r="D427" t="inlineStr">
        <is>
          <t>KALMAR LÄN</t>
        </is>
      </c>
      <c r="E427" t="inlineStr">
        <is>
          <t>VIMMERBY</t>
        </is>
      </c>
      <c r="G427" t="n">
        <v>12.8</v>
      </c>
      <c r="H427" t="n">
        <v>0</v>
      </c>
      <c r="I427" t="n">
        <v>0</v>
      </c>
      <c r="J427" t="n">
        <v>0</v>
      </c>
      <c r="K427" t="n">
        <v>0</v>
      </c>
      <c r="L427" t="n">
        <v>0</v>
      </c>
      <c r="M427" t="n">
        <v>0</v>
      </c>
      <c r="N427" t="n">
        <v>0</v>
      </c>
      <c r="O427" t="n">
        <v>0</v>
      </c>
      <c r="P427" t="n">
        <v>0</v>
      </c>
      <c r="Q427" t="n">
        <v>0</v>
      </c>
      <c r="R427" s="2" t="inlineStr"/>
    </row>
    <row r="428" ht="15" customHeight="1">
      <c r="A428" t="inlineStr">
        <is>
          <t>A 20136-2024</t>
        </is>
      </c>
      <c r="B428" s="1" t="n">
        <v>45434.56291666667</v>
      </c>
      <c r="C428" s="1" t="n">
        <v>45933</v>
      </c>
      <c r="D428" t="inlineStr">
        <is>
          <t>KALMAR LÄN</t>
        </is>
      </c>
      <c r="E428" t="inlineStr">
        <is>
          <t>VIMMERBY</t>
        </is>
      </c>
      <c r="F428" t="inlineStr">
        <is>
          <t>Sveaskog</t>
        </is>
      </c>
      <c r="G428" t="n">
        <v>8.4</v>
      </c>
      <c r="H428" t="n">
        <v>0</v>
      </c>
      <c r="I428" t="n">
        <v>0</v>
      </c>
      <c r="J428" t="n">
        <v>0</v>
      </c>
      <c r="K428" t="n">
        <v>0</v>
      </c>
      <c r="L428" t="n">
        <v>0</v>
      </c>
      <c r="M428" t="n">
        <v>0</v>
      </c>
      <c r="N428" t="n">
        <v>0</v>
      </c>
      <c r="O428" t="n">
        <v>0</v>
      </c>
      <c r="P428" t="n">
        <v>0</v>
      </c>
      <c r="Q428" t="n">
        <v>0</v>
      </c>
      <c r="R428" s="2" t="inlineStr"/>
    </row>
    <row r="429" ht="15" customHeight="1">
      <c r="A429" t="inlineStr">
        <is>
          <t>A 39803-2025</t>
        </is>
      </c>
      <c r="B429" s="1" t="n">
        <v>45891.50525462963</v>
      </c>
      <c r="C429" s="1" t="n">
        <v>45933</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39807-2025</t>
        </is>
      </c>
      <c r="B430" s="1" t="n">
        <v>45891.50986111111</v>
      </c>
      <c r="C430" s="1" t="n">
        <v>45933</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12325-2023</t>
        </is>
      </c>
      <c r="B431" s="1" t="n">
        <v>44999.35858796296</v>
      </c>
      <c r="C431" s="1" t="n">
        <v>45933</v>
      </c>
      <c r="D431" t="inlineStr">
        <is>
          <t>KALMAR LÄN</t>
        </is>
      </c>
      <c r="E431" t="inlineStr">
        <is>
          <t>VIMMERBY</t>
        </is>
      </c>
      <c r="G431" t="n">
        <v>3.4</v>
      </c>
      <c r="H431" t="n">
        <v>0</v>
      </c>
      <c r="I431" t="n">
        <v>0</v>
      </c>
      <c r="J431" t="n">
        <v>0</v>
      </c>
      <c r="K431" t="n">
        <v>0</v>
      </c>
      <c r="L431" t="n">
        <v>0</v>
      </c>
      <c r="M431" t="n">
        <v>0</v>
      </c>
      <c r="N431" t="n">
        <v>0</v>
      </c>
      <c r="O431" t="n">
        <v>0</v>
      </c>
      <c r="P431" t="n">
        <v>0</v>
      </c>
      <c r="Q431" t="n">
        <v>0</v>
      </c>
      <c r="R431" s="2" t="inlineStr"/>
    </row>
    <row r="432" ht="15" customHeight="1">
      <c r="A432" t="inlineStr">
        <is>
          <t>A 8945-2025</t>
        </is>
      </c>
      <c r="B432" s="1" t="n">
        <v>45713.45311342592</v>
      </c>
      <c r="C432" s="1" t="n">
        <v>45933</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24283-2023</t>
        </is>
      </c>
      <c r="B433" s="1" t="n">
        <v>45079.87827546296</v>
      </c>
      <c r="C433" s="1" t="n">
        <v>45933</v>
      </c>
      <c r="D433" t="inlineStr">
        <is>
          <t>KALMAR LÄN</t>
        </is>
      </c>
      <c r="E433" t="inlineStr">
        <is>
          <t>VIMMERBY</t>
        </is>
      </c>
      <c r="G433" t="n">
        <v>2</v>
      </c>
      <c r="H433" t="n">
        <v>0</v>
      </c>
      <c r="I433" t="n">
        <v>0</v>
      </c>
      <c r="J433" t="n">
        <v>0</v>
      </c>
      <c r="K433" t="n">
        <v>0</v>
      </c>
      <c r="L433" t="n">
        <v>0</v>
      </c>
      <c r="M433" t="n">
        <v>0</v>
      </c>
      <c r="N433" t="n">
        <v>0</v>
      </c>
      <c r="O433" t="n">
        <v>0</v>
      </c>
      <c r="P433" t="n">
        <v>0</v>
      </c>
      <c r="Q433" t="n">
        <v>0</v>
      </c>
      <c r="R433" s="2" t="inlineStr"/>
    </row>
    <row r="434" ht="15" customHeight="1">
      <c r="A434" t="inlineStr">
        <is>
          <t>A 40665-2023</t>
        </is>
      </c>
      <c r="B434" s="1" t="n">
        <v>45170</v>
      </c>
      <c r="C434" s="1" t="n">
        <v>45933</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13307-2025</t>
        </is>
      </c>
      <c r="B435" s="1" t="n">
        <v>45735.58024305556</v>
      </c>
      <c r="C435" s="1" t="n">
        <v>45933</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28034-2022</t>
        </is>
      </c>
      <c r="B436" s="1" t="n">
        <v>44746.38834490741</v>
      </c>
      <c r="C436" s="1" t="n">
        <v>45933</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39801-2025</t>
        </is>
      </c>
      <c r="B437" s="1" t="n">
        <v>45891.50216435185</v>
      </c>
      <c r="C437" s="1" t="n">
        <v>45933</v>
      </c>
      <c r="D437" t="inlineStr">
        <is>
          <t>KALMAR LÄN</t>
        </is>
      </c>
      <c r="E437" t="inlineStr">
        <is>
          <t>VIMMERBY</t>
        </is>
      </c>
      <c r="G437" t="n">
        <v>2</v>
      </c>
      <c r="H437" t="n">
        <v>0</v>
      </c>
      <c r="I437" t="n">
        <v>0</v>
      </c>
      <c r="J437" t="n">
        <v>0</v>
      </c>
      <c r="K437" t="n">
        <v>0</v>
      </c>
      <c r="L437" t="n">
        <v>0</v>
      </c>
      <c r="M437" t="n">
        <v>0</v>
      </c>
      <c r="N437" t="n">
        <v>0</v>
      </c>
      <c r="O437" t="n">
        <v>0</v>
      </c>
      <c r="P437" t="n">
        <v>0</v>
      </c>
      <c r="Q437" t="n">
        <v>0</v>
      </c>
      <c r="R437" s="2" t="inlineStr"/>
    </row>
    <row r="438" ht="15" customHeight="1">
      <c r="A438" t="inlineStr">
        <is>
          <t>A 59598-2023</t>
        </is>
      </c>
      <c r="B438" s="1" t="n">
        <v>45254.62489583333</v>
      </c>
      <c r="C438" s="1" t="n">
        <v>45933</v>
      </c>
      <c r="D438" t="inlineStr">
        <is>
          <t>KALMAR LÄN</t>
        </is>
      </c>
      <c r="E438" t="inlineStr">
        <is>
          <t>VIMMERBY</t>
        </is>
      </c>
      <c r="F438" t="inlineStr">
        <is>
          <t>Övriga Aktiebolag</t>
        </is>
      </c>
      <c r="G438" t="n">
        <v>4</v>
      </c>
      <c r="H438" t="n">
        <v>0</v>
      </c>
      <c r="I438" t="n">
        <v>0</v>
      </c>
      <c r="J438" t="n">
        <v>0</v>
      </c>
      <c r="K438" t="n">
        <v>0</v>
      </c>
      <c r="L438" t="n">
        <v>0</v>
      </c>
      <c r="M438" t="n">
        <v>0</v>
      </c>
      <c r="N438" t="n">
        <v>0</v>
      </c>
      <c r="O438" t="n">
        <v>0</v>
      </c>
      <c r="P438" t="n">
        <v>0</v>
      </c>
      <c r="Q438" t="n">
        <v>0</v>
      </c>
      <c r="R438" s="2" t="inlineStr"/>
    </row>
    <row r="439" ht="15" customHeight="1">
      <c r="A439" t="inlineStr">
        <is>
          <t>A 30920-2023</t>
        </is>
      </c>
      <c r="B439" s="1" t="n">
        <v>45113.43921296296</v>
      </c>
      <c r="C439" s="1" t="n">
        <v>45933</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35270-2025</t>
        </is>
      </c>
      <c r="B440" s="1" t="n">
        <v>45853.87112268519</v>
      </c>
      <c r="C440" s="1" t="n">
        <v>45933</v>
      </c>
      <c r="D440" t="inlineStr">
        <is>
          <t>KALMAR LÄN</t>
        </is>
      </c>
      <c r="E440" t="inlineStr">
        <is>
          <t>VIMMERBY</t>
        </is>
      </c>
      <c r="G440" t="n">
        <v>2.4</v>
      </c>
      <c r="H440" t="n">
        <v>0</v>
      </c>
      <c r="I440" t="n">
        <v>0</v>
      </c>
      <c r="J440" t="n">
        <v>0</v>
      </c>
      <c r="K440" t="n">
        <v>0</v>
      </c>
      <c r="L440" t="n">
        <v>0</v>
      </c>
      <c r="M440" t="n">
        <v>0</v>
      </c>
      <c r="N440" t="n">
        <v>0</v>
      </c>
      <c r="O440" t="n">
        <v>0</v>
      </c>
      <c r="P440" t="n">
        <v>0</v>
      </c>
      <c r="Q440" t="n">
        <v>0</v>
      </c>
      <c r="R440" s="2" t="inlineStr"/>
    </row>
    <row r="441" ht="15" customHeight="1">
      <c r="A441" t="inlineStr">
        <is>
          <t>A 55605-2024</t>
        </is>
      </c>
      <c r="B441" s="1" t="n">
        <v>45622</v>
      </c>
      <c r="C441" s="1" t="n">
        <v>45933</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35271-2025</t>
        </is>
      </c>
      <c r="B442" s="1" t="n">
        <v>45853.87599537037</v>
      </c>
      <c r="C442" s="1" t="n">
        <v>45933</v>
      </c>
      <c r="D442" t="inlineStr">
        <is>
          <t>KALMAR LÄN</t>
        </is>
      </c>
      <c r="E442" t="inlineStr">
        <is>
          <t>VIMMERBY</t>
        </is>
      </c>
      <c r="G442" t="n">
        <v>0.4</v>
      </c>
      <c r="H442" t="n">
        <v>0</v>
      </c>
      <c r="I442" t="n">
        <v>0</v>
      </c>
      <c r="J442" t="n">
        <v>0</v>
      </c>
      <c r="K442" t="n">
        <v>0</v>
      </c>
      <c r="L442" t="n">
        <v>0</v>
      </c>
      <c r="M442" t="n">
        <v>0</v>
      </c>
      <c r="N442" t="n">
        <v>0</v>
      </c>
      <c r="O442" t="n">
        <v>0</v>
      </c>
      <c r="P442" t="n">
        <v>0</v>
      </c>
      <c r="Q442" t="n">
        <v>0</v>
      </c>
      <c r="R442" s="2" t="inlineStr"/>
    </row>
    <row r="443" ht="15" customHeight="1">
      <c r="A443" t="inlineStr">
        <is>
          <t>A 35272-2025</t>
        </is>
      </c>
      <c r="B443" s="1" t="n">
        <v>45853.88070601852</v>
      </c>
      <c r="C443" s="1" t="n">
        <v>45933</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42165-2024</t>
        </is>
      </c>
      <c r="B444" s="1" t="n">
        <v>45562.46342592593</v>
      </c>
      <c r="C444" s="1" t="n">
        <v>45933</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16953-2025</t>
        </is>
      </c>
      <c r="B445" s="1" t="n">
        <v>45755.44333333334</v>
      </c>
      <c r="C445" s="1" t="n">
        <v>45933</v>
      </c>
      <c r="D445" t="inlineStr">
        <is>
          <t>KALMAR LÄN</t>
        </is>
      </c>
      <c r="E445" t="inlineStr">
        <is>
          <t>VIMMERBY</t>
        </is>
      </c>
      <c r="G445" t="n">
        <v>2</v>
      </c>
      <c r="H445" t="n">
        <v>0</v>
      </c>
      <c r="I445" t="n">
        <v>0</v>
      </c>
      <c r="J445" t="n">
        <v>0</v>
      </c>
      <c r="K445" t="n">
        <v>0</v>
      </c>
      <c r="L445" t="n">
        <v>0</v>
      </c>
      <c r="M445" t="n">
        <v>0</v>
      </c>
      <c r="N445" t="n">
        <v>0</v>
      </c>
      <c r="O445" t="n">
        <v>0</v>
      </c>
      <c r="P445" t="n">
        <v>0</v>
      </c>
      <c r="Q445" t="n">
        <v>0</v>
      </c>
      <c r="R445" s="2" t="inlineStr"/>
    </row>
    <row r="446" ht="15" customHeight="1">
      <c r="A446" t="inlineStr">
        <is>
          <t>A 20129-2024</t>
        </is>
      </c>
      <c r="B446" s="1" t="n">
        <v>45434.55831018519</v>
      </c>
      <c r="C446" s="1" t="n">
        <v>45933</v>
      </c>
      <c r="D446" t="inlineStr">
        <is>
          <t>KALMAR LÄN</t>
        </is>
      </c>
      <c r="E446" t="inlineStr">
        <is>
          <t>VIMMERBY</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20137-2024</t>
        </is>
      </c>
      <c r="B447" s="1" t="n">
        <v>45434.56398148148</v>
      </c>
      <c r="C447" s="1" t="n">
        <v>45933</v>
      </c>
      <c r="D447" t="inlineStr">
        <is>
          <t>KALMAR LÄN</t>
        </is>
      </c>
      <c r="E447" t="inlineStr">
        <is>
          <t>VIMMERBY</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39889-2025</t>
        </is>
      </c>
      <c r="B448" s="1" t="n">
        <v>45891</v>
      </c>
      <c r="C448" s="1" t="n">
        <v>45933</v>
      </c>
      <c r="D448" t="inlineStr">
        <is>
          <t>KALMAR LÄN</t>
        </is>
      </c>
      <c r="E448" t="inlineStr">
        <is>
          <t>VIMMERBY</t>
        </is>
      </c>
      <c r="G448" t="n">
        <v>4.5</v>
      </c>
      <c r="H448" t="n">
        <v>0</v>
      </c>
      <c r="I448" t="n">
        <v>0</v>
      </c>
      <c r="J448" t="n">
        <v>0</v>
      </c>
      <c r="K448" t="n">
        <v>0</v>
      </c>
      <c r="L448" t="n">
        <v>0</v>
      </c>
      <c r="M448" t="n">
        <v>0</v>
      </c>
      <c r="N448" t="n">
        <v>0</v>
      </c>
      <c r="O448" t="n">
        <v>0</v>
      </c>
      <c r="P448" t="n">
        <v>0</v>
      </c>
      <c r="Q448" t="n">
        <v>0</v>
      </c>
      <c r="R448" s="2" t="inlineStr"/>
    </row>
    <row r="449" ht="15" customHeight="1">
      <c r="A449" t="inlineStr">
        <is>
          <t>A 23095-2023</t>
        </is>
      </c>
      <c r="B449" s="1" t="n">
        <v>45075.43059027778</v>
      </c>
      <c r="C449" s="1" t="n">
        <v>45933</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32919-2022</t>
        </is>
      </c>
      <c r="B450" s="1" t="n">
        <v>44784.62724537037</v>
      </c>
      <c r="C450" s="1" t="n">
        <v>45933</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40929-2022</t>
        </is>
      </c>
      <c r="B451" s="1" t="n">
        <v>44825.4336574074</v>
      </c>
      <c r="C451" s="1" t="n">
        <v>45933</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46361-2025</t>
        </is>
      </c>
      <c r="B452" s="1" t="n">
        <v>45925.49670138889</v>
      </c>
      <c r="C452" s="1" t="n">
        <v>45933</v>
      </c>
      <c r="D452" t="inlineStr">
        <is>
          <t>KALMAR LÄN</t>
        </is>
      </c>
      <c r="E452" t="inlineStr">
        <is>
          <t>VIMMERBY</t>
        </is>
      </c>
      <c r="G452" t="n">
        <v>4.2</v>
      </c>
      <c r="H452" t="n">
        <v>0</v>
      </c>
      <c r="I452" t="n">
        <v>0</v>
      </c>
      <c r="J452" t="n">
        <v>0</v>
      </c>
      <c r="K452" t="n">
        <v>0</v>
      </c>
      <c r="L452" t="n">
        <v>0</v>
      </c>
      <c r="M452" t="n">
        <v>0</v>
      </c>
      <c r="N452" t="n">
        <v>0</v>
      </c>
      <c r="O452" t="n">
        <v>0</v>
      </c>
      <c r="P452" t="n">
        <v>0</v>
      </c>
      <c r="Q452" t="n">
        <v>0</v>
      </c>
      <c r="R452" s="2" t="inlineStr"/>
    </row>
    <row r="453" ht="15" customHeight="1">
      <c r="A453" t="inlineStr">
        <is>
          <t>A 40921-2025</t>
        </is>
      </c>
      <c r="B453" s="1" t="n">
        <v>45897.63520833333</v>
      </c>
      <c r="C453" s="1" t="n">
        <v>45933</v>
      </c>
      <c r="D453" t="inlineStr">
        <is>
          <t>KALMAR LÄN</t>
        </is>
      </c>
      <c r="E453" t="inlineStr">
        <is>
          <t>VIMMERBY</t>
        </is>
      </c>
      <c r="G453" t="n">
        <v>4.2</v>
      </c>
      <c r="H453" t="n">
        <v>0</v>
      </c>
      <c r="I453" t="n">
        <v>0</v>
      </c>
      <c r="J453" t="n">
        <v>0</v>
      </c>
      <c r="K453" t="n">
        <v>0</v>
      </c>
      <c r="L453" t="n">
        <v>0</v>
      </c>
      <c r="M453" t="n">
        <v>0</v>
      </c>
      <c r="N453" t="n">
        <v>0</v>
      </c>
      <c r="O453" t="n">
        <v>0</v>
      </c>
      <c r="P453" t="n">
        <v>0</v>
      </c>
      <c r="Q453" t="n">
        <v>0</v>
      </c>
      <c r="R453" s="2" t="inlineStr"/>
    </row>
    <row r="454" ht="15" customHeight="1">
      <c r="A454" t="inlineStr">
        <is>
          <t>A 7068-2024</t>
        </is>
      </c>
      <c r="B454" s="1" t="n">
        <v>45343.68038194445</v>
      </c>
      <c r="C454" s="1" t="n">
        <v>45933</v>
      </c>
      <c r="D454" t="inlineStr">
        <is>
          <t>KALMAR LÄN</t>
        </is>
      </c>
      <c r="E454" t="inlineStr">
        <is>
          <t>VIMMERBY</t>
        </is>
      </c>
      <c r="G454" t="n">
        <v>2.5</v>
      </c>
      <c r="H454" t="n">
        <v>0</v>
      </c>
      <c r="I454" t="n">
        <v>0</v>
      </c>
      <c r="J454" t="n">
        <v>0</v>
      </c>
      <c r="K454" t="n">
        <v>0</v>
      </c>
      <c r="L454" t="n">
        <v>0</v>
      </c>
      <c r="M454" t="n">
        <v>0</v>
      </c>
      <c r="N454" t="n">
        <v>0</v>
      </c>
      <c r="O454" t="n">
        <v>0</v>
      </c>
      <c r="P454" t="n">
        <v>0</v>
      </c>
      <c r="Q454" t="n">
        <v>0</v>
      </c>
      <c r="R454" s="2" t="inlineStr"/>
    </row>
    <row r="455" ht="15" customHeight="1">
      <c r="A455" t="inlineStr">
        <is>
          <t>A 40971-2025</t>
        </is>
      </c>
      <c r="B455" s="1" t="n">
        <v>45897.88836805556</v>
      </c>
      <c r="C455" s="1" t="n">
        <v>45933</v>
      </c>
      <c r="D455" t="inlineStr">
        <is>
          <t>KALMAR LÄN</t>
        </is>
      </c>
      <c r="E455" t="inlineStr">
        <is>
          <t>VIMMERBY</t>
        </is>
      </c>
      <c r="G455" t="n">
        <v>1.5</v>
      </c>
      <c r="H455" t="n">
        <v>0</v>
      </c>
      <c r="I455" t="n">
        <v>0</v>
      </c>
      <c r="J455" t="n">
        <v>0</v>
      </c>
      <c r="K455" t="n">
        <v>0</v>
      </c>
      <c r="L455" t="n">
        <v>0</v>
      </c>
      <c r="M455" t="n">
        <v>0</v>
      </c>
      <c r="N455" t="n">
        <v>0</v>
      </c>
      <c r="O455" t="n">
        <v>0</v>
      </c>
      <c r="P455" t="n">
        <v>0</v>
      </c>
      <c r="Q455" t="n">
        <v>0</v>
      </c>
      <c r="R455" s="2" t="inlineStr"/>
    </row>
    <row r="456" ht="15" customHeight="1">
      <c r="A456" t="inlineStr">
        <is>
          <t>A 40925-2025</t>
        </is>
      </c>
      <c r="B456" s="1" t="n">
        <v>45897.64208333333</v>
      </c>
      <c r="C456" s="1" t="n">
        <v>45933</v>
      </c>
      <c r="D456" t="inlineStr">
        <is>
          <t>KALMAR LÄN</t>
        </is>
      </c>
      <c r="E456" t="inlineStr">
        <is>
          <t>VIMMERBY</t>
        </is>
      </c>
      <c r="G456" t="n">
        <v>1.9</v>
      </c>
      <c r="H456" t="n">
        <v>0</v>
      </c>
      <c r="I456" t="n">
        <v>0</v>
      </c>
      <c r="J456" t="n">
        <v>0</v>
      </c>
      <c r="K456" t="n">
        <v>0</v>
      </c>
      <c r="L456" t="n">
        <v>0</v>
      </c>
      <c r="M456" t="n">
        <v>0</v>
      </c>
      <c r="N456" t="n">
        <v>0</v>
      </c>
      <c r="O456" t="n">
        <v>0</v>
      </c>
      <c r="P456" t="n">
        <v>0</v>
      </c>
      <c r="Q456" t="n">
        <v>0</v>
      </c>
      <c r="R456" s="2" t="inlineStr"/>
    </row>
    <row r="457" ht="15" customHeight="1">
      <c r="A457" t="inlineStr">
        <is>
          <t>A 33380-2023</t>
        </is>
      </c>
      <c r="B457" s="1" t="n">
        <v>45128</v>
      </c>
      <c r="C457" s="1" t="n">
        <v>45933</v>
      </c>
      <c r="D457" t="inlineStr">
        <is>
          <t>KALMAR LÄN</t>
        </is>
      </c>
      <c r="E457" t="inlineStr">
        <is>
          <t>VIMMERBY</t>
        </is>
      </c>
      <c r="G457" t="n">
        <v>5.2</v>
      </c>
      <c r="H457" t="n">
        <v>0</v>
      </c>
      <c r="I457" t="n">
        <v>0</v>
      </c>
      <c r="J457" t="n">
        <v>0</v>
      </c>
      <c r="K457" t="n">
        <v>0</v>
      </c>
      <c r="L457" t="n">
        <v>0</v>
      </c>
      <c r="M457" t="n">
        <v>0</v>
      </c>
      <c r="N457" t="n">
        <v>0</v>
      </c>
      <c r="O457" t="n">
        <v>0</v>
      </c>
      <c r="P457" t="n">
        <v>0</v>
      </c>
      <c r="Q457" t="n">
        <v>0</v>
      </c>
      <c r="R457" s="2" t="inlineStr"/>
    </row>
    <row r="458" ht="15" customHeight="1">
      <c r="A458" t="inlineStr">
        <is>
          <t>A 12596-2021</t>
        </is>
      </c>
      <c r="B458" s="1" t="n">
        <v>44270.39765046296</v>
      </c>
      <c r="C458" s="1" t="n">
        <v>45933</v>
      </c>
      <c r="D458" t="inlineStr">
        <is>
          <t>KALMAR LÄN</t>
        </is>
      </c>
      <c r="E458" t="inlineStr">
        <is>
          <t>VIMMERBY</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46144-2023</t>
        </is>
      </c>
      <c r="B459" s="1" t="n">
        <v>45196.57247685185</v>
      </c>
      <c r="C459" s="1" t="n">
        <v>45933</v>
      </c>
      <c r="D459" t="inlineStr">
        <is>
          <t>KALMAR LÄN</t>
        </is>
      </c>
      <c r="E459" t="inlineStr">
        <is>
          <t>VIMMERBY</t>
        </is>
      </c>
      <c r="G459" t="n">
        <v>6.5</v>
      </c>
      <c r="H459" t="n">
        <v>0</v>
      </c>
      <c r="I459" t="n">
        <v>0</v>
      </c>
      <c r="J459" t="n">
        <v>0</v>
      </c>
      <c r="K459" t="n">
        <v>0</v>
      </c>
      <c r="L459" t="n">
        <v>0</v>
      </c>
      <c r="M459" t="n">
        <v>0</v>
      </c>
      <c r="N459" t="n">
        <v>0</v>
      </c>
      <c r="O459" t="n">
        <v>0</v>
      </c>
      <c r="P459" t="n">
        <v>0</v>
      </c>
      <c r="Q459" t="n">
        <v>0</v>
      </c>
      <c r="R459" s="2" t="inlineStr"/>
    </row>
    <row r="460" ht="15" customHeight="1">
      <c r="A460" t="inlineStr">
        <is>
          <t>A 32655-2023</t>
        </is>
      </c>
      <c r="B460" s="1" t="n">
        <v>45121.61318287037</v>
      </c>
      <c r="C460" s="1" t="n">
        <v>45933</v>
      </c>
      <c r="D460" t="inlineStr">
        <is>
          <t>KALMAR LÄN</t>
        </is>
      </c>
      <c r="E460" t="inlineStr">
        <is>
          <t>VIMMERBY</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41224-2025</t>
        </is>
      </c>
      <c r="B461" s="1" t="n">
        <v>45898.58861111111</v>
      </c>
      <c r="C461" s="1" t="n">
        <v>45933</v>
      </c>
      <c r="D461" t="inlineStr">
        <is>
          <t>KALMAR LÄN</t>
        </is>
      </c>
      <c r="E461" t="inlineStr">
        <is>
          <t>VIMMERBY</t>
        </is>
      </c>
      <c r="G461" t="n">
        <v>4.4</v>
      </c>
      <c r="H461" t="n">
        <v>0</v>
      </c>
      <c r="I461" t="n">
        <v>0</v>
      </c>
      <c r="J461" t="n">
        <v>0</v>
      </c>
      <c r="K461" t="n">
        <v>0</v>
      </c>
      <c r="L461" t="n">
        <v>0</v>
      </c>
      <c r="M461" t="n">
        <v>0</v>
      </c>
      <c r="N461" t="n">
        <v>0</v>
      </c>
      <c r="O461" t="n">
        <v>0</v>
      </c>
      <c r="P461" t="n">
        <v>0</v>
      </c>
      <c r="Q461" t="n">
        <v>0</v>
      </c>
      <c r="R461" s="2" t="inlineStr"/>
    </row>
    <row r="462" ht="15" customHeight="1">
      <c r="A462" t="inlineStr">
        <is>
          <t>A 40973-2025</t>
        </is>
      </c>
      <c r="B462" s="1" t="n">
        <v>45897.89737268518</v>
      </c>
      <c r="C462" s="1" t="n">
        <v>45933</v>
      </c>
      <c r="D462" t="inlineStr">
        <is>
          <t>KALMAR LÄN</t>
        </is>
      </c>
      <c r="E462" t="inlineStr">
        <is>
          <t>VIMMERBY</t>
        </is>
      </c>
      <c r="G462" t="n">
        <v>1.8</v>
      </c>
      <c r="H462" t="n">
        <v>0</v>
      </c>
      <c r="I462" t="n">
        <v>0</v>
      </c>
      <c r="J462" t="n">
        <v>0</v>
      </c>
      <c r="K462" t="n">
        <v>0</v>
      </c>
      <c r="L462" t="n">
        <v>0</v>
      </c>
      <c r="M462" t="n">
        <v>0</v>
      </c>
      <c r="N462" t="n">
        <v>0</v>
      </c>
      <c r="O462" t="n">
        <v>0</v>
      </c>
      <c r="P462" t="n">
        <v>0</v>
      </c>
      <c r="Q462" t="n">
        <v>0</v>
      </c>
      <c r="R462" s="2" t="inlineStr"/>
    </row>
    <row r="463" ht="15" customHeight="1">
      <c r="A463" t="inlineStr">
        <is>
          <t>A 40970-2025</t>
        </is>
      </c>
      <c r="B463" s="1" t="n">
        <v>45897.88706018519</v>
      </c>
      <c r="C463" s="1" t="n">
        <v>45933</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54787-2023</t>
        </is>
      </c>
      <c r="B464" s="1" t="n">
        <v>45236</v>
      </c>
      <c r="C464" s="1" t="n">
        <v>45933</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15715-2022</t>
        </is>
      </c>
      <c r="B465" s="1" t="n">
        <v>44663</v>
      </c>
      <c r="C465" s="1" t="n">
        <v>45933</v>
      </c>
      <c r="D465" t="inlineStr">
        <is>
          <t>KALMAR LÄN</t>
        </is>
      </c>
      <c r="E465" t="inlineStr">
        <is>
          <t>VIMMERBY</t>
        </is>
      </c>
      <c r="G465" t="n">
        <v>2.3</v>
      </c>
      <c r="H465" t="n">
        <v>0</v>
      </c>
      <c r="I465" t="n">
        <v>0</v>
      </c>
      <c r="J465" t="n">
        <v>0</v>
      </c>
      <c r="K465" t="n">
        <v>0</v>
      </c>
      <c r="L465" t="n">
        <v>0</v>
      </c>
      <c r="M465" t="n">
        <v>0</v>
      </c>
      <c r="N465" t="n">
        <v>0</v>
      </c>
      <c r="O465" t="n">
        <v>0</v>
      </c>
      <c r="P465" t="n">
        <v>0</v>
      </c>
      <c r="Q465" t="n">
        <v>0</v>
      </c>
      <c r="R465" s="2" t="inlineStr"/>
    </row>
    <row r="466" ht="15" customHeight="1">
      <c r="A466" t="inlineStr">
        <is>
          <t>A 41589-2025</t>
        </is>
      </c>
      <c r="B466" s="1" t="n">
        <v>45901.63219907408</v>
      </c>
      <c r="C466" s="1" t="n">
        <v>45933</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41591-2025</t>
        </is>
      </c>
      <c r="B467" s="1" t="n">
        <v>45901.6327662037</v>
      </c>
      <c r="C467" s="1" t="n">
        <v>45933</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54409-2024</t>
        </is>
      </c>
      <c r="B468" s="1" t="n">
        <v>45617.47570601852</v>
      </c>
      <c r="C468" s="1" t="n">
        <v>45933</v>
      </c>
      <c r="D468" t="inlineStr">
        <is>
          <t>KALMAR LÄN</t>
        </is>
      </c>
      <c r="E468" t="inlineStr">
        <is>
          <t>VIMMERBY</t>
        </is>
      </c>
      <c r="G468" t="n">
        <v>4.3</v>
      </c>
      <c r="H468" t="n">
        <v>0</v>
      </c>
      <c r="I468" t="n">
        <v>0</v>
      </c>
      <c r="J468" t="n">
        <v>0</v>
      </c>
      <c r="K468" t="n">
        <v>0</v>
      </c>
      <c r="L468" t="n">
        <v>0</v>
      </c>
      <c r="M468" t="n">
        <v>0</v>
      </c>
      <c r="N468" t="n">
        <v>0</v>
      </c>
      <c r="O468" t="n">
        <v>0</v>
      </c>
      <c r="P468" t="n">
        <v>0</v>
      </c>
      <c r="Q468" t="n">
        <v>0</v>
      </c>
      <c r="R468" s="2" t="inlineStr"/>
    </row>
    <row r="469" ht="15" customHeight="1">
      <c r="A469" t="inlineStr">
        <is>
          <t>A 43774-2023</t>
        </is>
      </c>
      <c r="B469" s="1" t="n">
        <v>45187</v>
      </c>
      <c r="C469" s="1" t="n">
        <v>45933</v>
      </c>
      <c r="D469" t="inlineStr">
        <is>
          <t>KALMAR LÄN</t>
        </is>
      </c>
      <c r="E469" t="inlineStr">
        <is>
          <t>VIMMERBY</t>
        </is>
      </c>
      <c r="G469" t="n">
        <v>3.4</v>
      </c>
      <c r="H469" t="n">
        <v>0</v>
      </c>
      <c r="I469" t="n">
        <v>0</v>
      </c>
      <c r="J469" t="n">
        <v>0</v>
      </c>
      <c r="K469" t="n">
        <v>0</v>
      </c>
      <c r="L469" t="n">
        <v>0</v>
      </c>
      <c r="M469" t="n">
        <v>0</v>
      </c>
      <c r="N469" t="n">
        <v>0</v>
      </c>
      <c r="O469" t="n">
        <v>0</v>
      </c>
      <c r="P469" t="n">
        <v>0</v>
      </c>
      <c r="Q469" t="n">
        <v>0</v>
      </c>
      <c r="R469" s="2" t="inlineStr"/>
    </row>
    <row r="470" ht="15" customHeight="1">
      <c r="A470" t="inlineStr">
        <is>
          <t>A 35597-2025</t>
        </is>
      </c>
      <c r="B470" s="1" t="n">
        <v>45858.66019675926</v>
      </c>
      <c r="C470" s="1" t="n">
        <v>45933</v>
      </c>
      <c r="D470" t="inlineStr">
        <is>
          <t>KALMAR LÄN</t>
        </is>
      </c>
      <c r="E470" t="inlineStr">
        <is>
          <t>VIMMERBY</t>
        </is>
      </c>
      <c r="G470" t="n">
        <v>6.4</v>
      </c>
      <c r="H470" t="n">
        <v>0</v>
      </c>
      <c r="I470" t="n">
        <v>0</v>
      </c>
      <c r="J470" t="n">
        <v>0</v>
      </c>
      <c r="K470" t="n">
        <v>0</v>
      </c>
      <c r="L470" t="n">
        <v>0</v>
      </c>
      <c r="M470" t="n">
        <v>0</v>
      </c>
      <c r="N470" t="n">
        <v>0</v>
      </c>
      <c r="O470" t="n">
        <v>0</v>
      </c>
      <c r="P470" t="n">
        <v>0</v>
      </c>
      <c r="Q470" t="n">
        <v>0</v>
      </c>
      <c r="R470" s="2" t="inlineStr"/>
    </row>
    <row r="471" ht="15" customHeight="1">
      <c r="A471" t="inlineStr">
        <is>
          <t>A 43705-2023</t>
        </is>
      </c>
      <c r="B471" s="1" t="n">
        <v>45187.42854166667</v>
      </c>
      <c r="C471" s="1" t="n">
        <v>45933</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7932-2025</t>
        </is>
      </c>
      <c r="B472" s="1" t="n">
        <v>45707.3793287037</v>
      </c>
      <c r="C472" s="1" t="n">
        <v>45933</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13532-2025</t>
        </is>
      </c>
      <c r="B473" s="1" t="n">
        <v>45736.50743055555</v>
      </c>
      <c r="C473" s="1" t="n">
        <v>45933</v>
      </c>
      <c r="D473" t="inlineStr">
        <is>
          <t>KALMAR LÄN</t>
        </is>
      </c>
      <c r="E473" t="inlineStr">
        <is>
          <t>VIMMERBY</t>
        </is>
      </c>
      <c r="G473" t="n">
        <v>3.6</v>
      </c>
      <c r="H473" t="n">
        <v>0</v>
      </c>
      <c r="I473" t="n">
        <v>0</v>
      </c>
      <c r="J473" t="n">
        <v>0</v>
      </c>
      <c r="K473" t="n">
        <v>0</v>
      </c>
      <c r="L473" t="n">
        <v>0</v>
      </c>
      <c r="M473" t="n">
        <v>0</v>
      </c>
      <c r="N473" t="n">
        <v>0</v>
      </c>
      <c r="O473" t="n">
        <v>0</v>
      </c>
      <c r="P473" t="n">
        <v>0</v>
      </c>
      <c r="Q473" t="n">
        <v>0</v>
      </c>
      <c r="R473" s="2" t="inlineStr"/>
    </row>
    <row r="474" ht="15" customHeight="1">
      <c r="A474" t="inlineStr">
        <is>
          <t>A 65049-2020</t>
        </is>
      </c>
      <c r="B474" s="1" t="n">
        <v>44172</v>
      </c>
      <c r="C474" s="1" t="n">
        <v>45933</v>
      </c>
      <c r="D474" t="inlineStr">
        <is>
          <t>KALMAR LÄN</t>
        </is>
      </c>
      <c r="E474" t="inlineStr">
        <is>
          <t>VIMMERBY</t>
        </is>
      </c>
      <c r="G474" t="n">
        <v>2.3</v>
      </c>
      <c r="H474" t="n">
        <v>0</v>
      </c>
      <c r="I474" t="n">
        <v>0</v>
      </c>
      <c r="J474" t="n">
        <v>0</v>
      </c>
      <c r="K474" t="n">
        <v>0</v>
      </c>
      <c r="L474" t="n">
        <v>0</v>
      </c>
      <c r="M474" t="n">
        <v>0</v>
      </c>
      <c r="N474" t="n">
        <v>0</v>
      </c>
      <c r="O474" t="n">
        <v>0</v>
      </c>
      <c r="P474" t="n">
        <v>0</v>
      </c>
      <c r="Q474" t="n">
        <v>0</v>
      </c>
      <c r="R474" s="2" t="inlineStr"/>
    </row>
    <row r="475" ht="15" customHeight="1">
      <c r="A475" t="inlineStr">
        <is>
          <t>A 9475-2023</t>
        </is>
      </c>
      <c r="B475" s="1" t="n">
        <v>44981.58834490741</v>
      </c>
      <c r="C475" s="1" t="n">
        <v>45933</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35596-2025</t>
        </is>
      </c>
      <c r="B476" s="1" t="n">
        <v>45858.60641203704</v>
      </c>
      <c r="C476" s="1" t="n">
        <v>45933</v>
      </c>
      <c r="D476" t="inlineStr">
        <is>
          <t>KALMAR LÄN</t>
        </is>
      </c>
      <c r="E476" t="inlineStr">
        <is>
          <t>VIMMERBY</t>
        </is>
      </c>
      <c r="G476" t="n">
        <v>2.8</v>
      </c>
      <c r="H476" t="n">
        <v>0</v>
      </c>
      <c r="I476" t="n">
        <v>0</v>
      </c>
      <c r="J476" t="n">
        <v>0</v>
      </c>
      <c r="K476" t="n">
        <v>0</v>
      </c>
      <c r="L476" t="n">
        <v>0</v>
      </c>
      <c r="M476" t="n">
        <v>0</v>
      </c>
      <c r="N476" t="n">
        <v>0</v>
      </c>
      <c r="O476" t="n">
        <v>0</v>
      </c>
      <c r="P476" t="n">
        <v>0</v>
      </c>
      <c r="Q476" t="n">
        <v>0</v>
      </c>
      <c r="R476" s="2" t="inlineStr"/>
    </row>
    <row r="477" ht="15" customHeight="1">
      <c r="A477" t="inlineStr">
        <is>
          <t>A 38604-2025</t>
        </is>
      </c>
      <c r="B477" s="1" t="n">
        <v>45884.50613425926</v>
      </c>
      <c r="C477" s="1" t="n">
        <v>45933</v>
      </c>
      <c r="D477" t="inlineStr">
        <is>
          <t>KALMAR LÄN</t>
        </is>
      </c>
      <c r="E477" t="inlineStr">
        <is>
          <t>VIMMERBY</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41735-2025</t>
        </is>
      </c>
      <c r="B478" s="1" t="n">
        <v>45902.47164351852</v>
      </c>
      <c r="C478" s="1" t="n">
        <v>45933</v>
      </c>
      <c r="D478" t="inlineStr">
        <is>
          <t>KALMAR LÄN</t>
        </is>
      </c>
      <c r="E478" t="inlineStr">
        <is>
          <t>VIMMERBY</t>
        </is>
      </c>
      <c r="G478" t="n">
        <v>3</v>
      </c>
      <c r="H478" t="n">
        <v>0</v>
      </c>
      <c r="I478" t="n">
        <v>0</v>
      </c>
      <c r="J478" t="n">
        <v>0</v>
      </c>
      <c r="K478" t="n">
        <v>0</v>
      </c>
      <c r="L478" t="n">
        <v>0</v>
      </c>
      <c r="M478" t="n">
        <v>0</v>
      </c>
      <c r="N478" t="n">
        <v>0</v>
      </c>
      <c r="O478" t="n">
        <v>0</v>
      </c>
      <c r="P478" t="n">
        <v>0</v>
      </c>
      <c r="Q478" t="n">
        <v>0</v>
      </c>
      <c r="R478" s="2" t="inlineStr"/>
    </row>
    <row r="479" ht="15" customHeight="1">
      <c r="A479" t="inlineStr">
        <is>
          <t>A 43092-2024</t>
        </is>
      </c>
      <c r="B479" s="1" t="n">
        <v>45567</v>
      </c>
      <c r="C479" s="1" t="n">
        <v>45933</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11619-2023</t>
        </is>
      </c>
      <c r="B480" s="1" t="n">
        <v>44994.42113425926</v>
      </c>
      <c r="C480" s="1" t="n">
        <v>45933</v>
      </c>
      <c r="D480" t="inlineStr">
        <is>
          <t>KALMAR LÄN</t>
        </is>
      </c>
      <c r="E480" t="inlineStr">
        <is>
          <t>VIMMERBY</t>
        </is>
      </c>
      <c r="G480" t="n">
        <v>2.5</v>
      </c>
      <c r="H480" t="n">
        <v>0</v>
      </c>
      <c r="I480" t="n">
        <v>0</v>
      </c>
      <c r="J480" t="n">
        <v>0</v>
      </c>
      <c r="K480" t="n">
        <v>0</v>
      </c>
      <c r="L480" t="n">
        <v>0</v>
      </c>
      <c r="M480" t="n">
        <v>0</v>
      </c>
      <c r="N480" t="n">
        <v>0</v>
      </c>
      <c r="O480" t="n">
        <v>0</v>
      </c>
      <c r="P480" t="n">
        <v>0</v>
      </c>
      <c r="Q480" t="n">
        <v>0</v>
      </c>
      <c r="R480" s="2" t="inlineStr"/>
    </row>
    <row r="481" ht="15" customHeight="1">
      <c r="A481" t="inlineStr">
        <is>
          <t>A 41896-2025</t>
        </is>
      </c>
      <c r="B481" s="1" t="n">
        <v>45903.38800925926</v>
      </c>
      <c r="C481" s="1" t="n">
        <v>45933</v>
      </c>
      <c r="D481" t="inlineStr">
        <is>
          <t>KALMAR LÄN</t>
        </is>
      </c>
      <c r="E481" t="inlineStr">
        <is>
          <t>VIMMERBY</t>
        </is>
      </c>
      <c r="G481" t="n">
        <v>2.9</v>
      </c>
      <c r="H481" t="n">
        <v>0</v>
      </c>
      <c r="I481" t="n">
        <v>0</v>
      </c>
      <c r="J481" t="n">
        <v>0</v>
      </c>
      <c r="K481" t="n">
        <v>0</v>
      </c>
      <c r="L481" t="n">
        <v>0</v>
      </c>
      <c r="M481" t="n">
        <v>0</v>
      </c>
      <c r="N481" t="n">
        <v>0</v>
      </c>
      <c r="O481" t="n">
        <v>0</v>
      </c>
      <c r="P481" t="n">
        <v>0</v>
      </c>
      <c r="Q481" t="n">
        <v>0</v>
      </c>
      <c r="R481" s="2" t="inlineStr"/>
    </row>
    <row r="482" ht="15" customHeight="1">
      <c r="A482" t="inlineStr">
        <is>
          <t>A 5074-2023</t>
        </is>
      </c>
      <c r="B482" s="1" t="n">
        <v>44958.61047453704</v>
      </c>
      <c r="C482" s="1" t="n">
        <v>45933</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6368-2023</t>
        </is>
      </c>
      <c r="B483" s="1" t="n">
        <v>44965</v>
      </c>
      <c r="C483" s="1" t="n">
        <v>45933</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1978-2024</t>
        </is>
      </c>
      <c r="B484" s="1" t="n">
        <v>45308.59001157407</v>
      </c>
      <c r="C484" s="1" t="n">
        <v>45933</v>
      </c>
      <c r="D484" t="inlineStr">
        <is>
          <t>KALMAR LÄN</t>
        </is>
      </c>
      <c r="E484" t="inlineStr">
        <is>
          <t>VIMMERBY</t>
        </is>
      </c>
      <c r="G484" t="n">
        <v>0.9</v>
      </c>
      <c r="H484" t="n">
        <v>0</v>
      </c>
      <c r="I484" t="n">
        <v>0</v>
      </c>
      <c r="J484" t="n">
        <v>0</v>
      </c>
      <c r="K484" t="n">
        <v>0</v>
      </c>
      <c r="L484" t="n">
        <v>0</v>
      </c>
      <c r="M484" t="n">
        <v>0</v>
      </c>
      <c r="N484" t="n">
        <v>0</v>
      </c>
      <c r="O484" t="n">
        <v>0</v>
      </c>
      <c r="P484" t="n">
        <v>0</v>
      </c>
      <c r="Q484" t="n">
        <v>0</v>
      </c>
      <c r="R484" s="2" t="inlineStr"/>
    </row>
    <row r="485" ht="15" customHeight="1">
      <c r="A485" t="inlineStr">
        <is>
          <t>A 6399-2025</t>
        </is>
      </c>
      <c r="B485" s="1" t="n">
        <v>45699.44291666667</v>
      </c>
      <c r="C485" s="1" t="n">
        <v>45933</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5701-2024</t>
        </is>
      </c>
      <c r="B486" s="1" t="n">
        <v>45334.78826388889</v>
      </c>
      <c r="C486" s="1" t="n">
        <v>45933</v>
      </c>
      <c r="D486" t="inlineStr">
        <is>
          <t>KALMAR LÄN</t>
        </is>
      </c>
      <c r="E486" t="inlineStr">
        <is>
          <t>VIMMERBY</t>
        </is>
      </c>
      <c r="G486" t="n">
        <v>2.3</v>
      </c>
      <c r="H486" t="n">
        <v>0</v>
      </c>
      <c r="I486" t="n">
        <v>0</v>
      </c>
      <c r="J486" t="n">
        <v>0</v>
      </c>
      <c r="K486" t="n">
        <v>0</v>
      </c>
      <c r="L486" t="n">
        <v>0</v>
      </c>
      <c r="M486" t="n">
        <v>0</v>
      </c>
      <c r="N486" t="n">
        <v>0</v>
      </c>
      <c r="O486" t="n">
        <v>0</v>
      </c>
      <c r="P486" t="n">
        <v>0</v>
      </c>
      <c r="Q486" t="n">
        <v>0</v>
      </c>
      <c r="R486" s="2" t="inlineStr"/>
    </row>
    <row r="487" ht="15" customHeight="1">
      <c r="A487" t="inlineStr">
        <is>
          <t>A 41311-2023</t>
        </is>
      </c>
      <c r="B487" s="1" t="n">
        <v>45174</v>
      </c>
      <c r="C487" s="1" t="n">
        <v>45933</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7797-2023</t>
        </is>
      </c>
      <c r="B488" s="1" t="n">
        <v>44973.43075231482</v>
      </c>
      <c r="C488" s="1" t="n">
        <v>45933</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24655-2021</t>
        </is>
      </c>
      <c r="B489" s="1" t="n">
        <v>44340</v>
      </c>
      <c r="C489" s="1" t="n">
        <v>45933</v>
      </c>
      <c r="D489" t="inlineStr">
        <is>
          <t>KALMAR LÄN</t>
        </is>
      </c>
      <c r="E489" t="inlineStr">
        <is>
          <t>VIMMERBY</t>
        </is>
      </c>
      <c r="G489" t="n">
        <v>14.9</v>
      </c>
      <c r="H489" t="n">
        <v>0</v>
      </c>
      <c r="I489" t="n">
        <v>0</v>
      </c>
      <c r="J489" t="n">
        <v>0</v>
      </c>
      <c r="K489" t="n">
        <v>0</v>
      </c>
      <c r="L489" t="n">
        <v>0</v>
      </c>
      <c r="M489" t="n">
        <v>0</v>
      </c>
      <c r="N489" t="n">
        <v>0</v>
      </c>
      <c r="O489" t="n">
        <v>0</v>
      </c>
      <c r="P489" t="n">
        <v>0</v>
      </c>
      <c r="Q489" t="n">
        <v>0</v>
      </c>
      <c r="R489" s="2" t="inlineStr"/>
    </row>
    <row r="490" ht="15" customHeight="1">
      <c r="A490" t="inlineStr">
        <is>
          <t>A 10785-2025</t>
        </is>
      </c>
      <c r="B490" s="1" t="n">
        <v>45722.48634259259</v>
      </c>
      <c r="C490" s="1" t="n">
        <v>45933</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42828-2025</t>
        </is>
      </c>
      <c r="B491" s="1" t="n">
        <v>45908.57716435185</v>
      </c>
      <c r="C491" s="1" t="n">
        <v>45933</v>
      </c>
      <c r="D491" t="inlineStr">
        <is>
          <t>KALMAR LÄN</t>
        </is>
      </c>
      <c r="E491" t="inlineStr">
        <is>
          <t>VIMMERBY</t>
        </is>
      </c>
      <c r="G491" t="n">
        <v>5.2</v>
      </c>
      <c r="H491" t="n">
        <v>0</v>
      </c>
      <c r="I491" t="n">
        <v>0</v>
      </c>
      <c r="J491" t="n">
        <v>0</v>
      </c>
      <c r="K491" t="n">
        <v>0</v>
      </c>
      <c r="L491" t="n">
        <v>0</v>
      </c>
      <c r="M491" t="n">
        <v>0</v>
      </c>
      <c r="N491" t="n">
        <v>0</v>
      </c>
      <c r="O491" t="n">
        <v>0</v>
      </c>
      <c r="P491" t="n">
        <v>0</v>
      </c>
      <c r="Q491" t="n">
        <v>0</v>
      </c>
      <c r="R491" s="2" t="inlineStr"/>
    </row>
    <row r="492" ht="15" customHeight="1">
      <c r="A492" t="inlineStr">
        <is>
          <t>A 19502-2025</t>
        </is>
      </c>
      <c r="B492" s="1" t="n">
        <v>45769</v>
      </c>
      <c r="C492" s="1" t="n">
        <v>45933</v>
      </c>
      <c r="D492" t="inlineStr">
        <is>
          <t>KALMAR LÄN</t>
        </is>
      </c>
      <c r="E492" t="inlineStr">
        <is>
          <t>VIMMERBY</t>
        </is>
      </c>
      <c r="G492" t="n">
        <v>1.9</v>
      </c>
      <c r="H492" t="n">
        <v>0</v>
      </c>
      <c r="I492" t="n">
        <v>0</v>
      </c>
      <c r="J492" t="n">
        <v>0</v>
      </c>
      <c r="K492" t="n">
        <v>0</v>
      </c>
      <c r="L492" t="n">
        <v>0</v>
      </c>
      <c r="M492" t="n">
        <v>0</v>
      </c>
      <c r="N492" t="n">
        <v>0</v>
      </c>
      <c r="O492" t="n">
        <v>0</v>
      </c>
      <c r="P492" t="n">
        <v>0</v>
      </c>
      <c r="Q492" t="n">
        <v>0</v>
      </c>
      <c r="R492" s="2" t="inlineStr"/>
    </row>
    <row r="493" ht="15" customHeight="1">
      <c r="A493" t="inlineStr">
        <is>
          <t>A 8410-2023</t>
        </is>
      </c>
      <c r="B493" s="1" t="n">
        <v>44977</v>
      </c>
      <c r="C493" s="1" t="n">
        <v>45933</v>
      </c>
      <c r="D493" t="inlineStr">
        <is>
          <t>KALMAR LÄN</t>
        </is>
      </c>
      <c r="E493" t="inlineStr">
        <is>
          <t>VIMMERBY</t>
        </is>
      </c>
      <c r="G493" t="n">
        <v>0.9</v>
      </c>
      <c r="H493" t="n">
        <v>0</v>
      </c>
      <c r="I493" t="n">
        <v>0</v>
      </c>
      <c r="J493" t="n">
        <v>0</v>
      </c>
      <c r="K493" t="n">
        <v>0</v>
      </c>
      <c r="L493" t="n">
        <v>0</v>
      </c>
      <c r="M493" t="n">
        <v>0</v>
      </c>
      <c r="N493" t="n">
        <v>0</v>
      </c>
      <c r="O493" t="n">
        <v>0</v>
      </c>
      <c r="P493" t="n">
        <v>0</v>
      </c>
      <c r="Q493" t="n">
        <v>0</v>
      </c>
      <c r="R493" s="2" t="inlineStr"/>
    </row>
    <row r="494" ht="15" customHeight="1">
      <c r="A494" t="inlineStr">
        <is>
          <t>A 18020-2025</t>
        </is>
      </c>
      <c r="B494" s="1" t="n">
        <v>45761.4437962963</v>
      </c>
      <c r="C494" s="1" t="n">
        <v>45933</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6028-2023</t>
        </is>
      </c>
      <c r="B495" s="1" t="n">
        <v>44964.44356481481</v>
      </c>
      <c r="C495" s="1" t="n">
        <v>45933</v>
      </c>
      <c r="D495" t="inlineStr">
        <is>
          <t>KALMAR LÄN</t>
        </is>
      </c>
      <c r="E495" t="inlineStr">
        <is>
          <t>VIMMERBY</t>
        </is>
      </c>
      <c r="G495" t="n">
        <v>2.5</v>
      </c>
      <c r="H495" t="n">
        <v>0</v>
      </c>
      <c r="I495" t="n">
        <v>0</v>
      </c>
      <c r="J495" t="n">
        <v>0</v>
      </c>
      <c r="K495" t="n">
        <v>0</v>
      </c>
      <c r="L495" t="n">
        <v>0</v>
      </c>
      <c r="M495" t="n">
        <v>0</v>
      </c>
      <c r="N495" t="n">
        <v>0</v>
      </c>
      <c r="O495" t="n">
        <v>0</v>
      </c>
      <c r="P495" t="n">
        <v>0</v>
      </c>
      <c r="Q495" t="n">
        <v>0</v>
      </c>
      <c r="R495" s="2" t="inlineStr"/>
    </row>
    <row r="496" ht="15" customHeight="1">
      <c r="A496" t="inlineStr">
        <is>
          <t>A 52823-2024</t>
        </is>
      </c>
      <c r="B496" s="1" t="n">
        <v>45610.59094907407</v>
      </c>
      <c r="C496" s="1" t="n">
        <v>45933</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585-2024</t>
        </is>
      </c>
      <c r="B497" s="1" t="n">
        <v>45299.62576388889</v>
      </c>
      <c r="C497" s="1" t="n">
        <v>45933</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36273-2025</t>
        </is>
      </c>
      <c r="B498" s="1" t="n">
        <v>45867.63094907408</v>
      </c>
      <c r="C498" s="1" t="n">
        <v>45933</v>
      </c>
      <c r="D498" t="inlineStr">
        <is>
          <t>KALMAR LÄN</t>
        </is>
      </c>
      <c r="E498" t="inlineStr">
        <is>
          <t>VIMMERBY</t>
        </is>
      </c>
      <c r="G498" t="n">
        <v>1.7</v>
      </c>
      <c r="H498" t="n">
        <v>0</v>
      </c>
      <c r="I498" t="n">
        <v>0</v>
      </c>
      <c r="J498" t="n">
        <v>0</v>
      </c>
      <c r="K498" t="n">
        <v>0</v>
      </c>
      <c r="L498" t="n">
        <v>0</v>
      </c>
      <c r="M498" t="n">
        <v>0</v>
      </c>
      <c r="N498" t="n">
        <v>0</v>
      </c>
      <c r="O498" t="n">
        <v>0</v>
      </c>
      <c r="P498" t="n">
        <v>0</v>
      </c>
      <c r="Q498" t="n">
        <v>0</v>
      </c>
      <c r="R498" s="2" t="inlineStr"/>
    </row>
    <row r="499" ht="15" customHeight="1">
      <c r="A499" t="inlineStr">
        <is>
          <t>A 36299-2025</t>
        </is>
      </c>
      <c r="B499" s="1" t="n">
        <v>45867.69346064814</v>
      </c>
      <c r="C499" s="1" t="n">
        <v>45933</v>
      </c>
      <c r="D499" t="inlineStr">
        <is>
          <t>KALMAR LÄN</t>
        </is>
      </c>
      <c r="E499" t="inlineStr">
        <is>
          <t>VIMMERBY</t>
        </is>
      </c>
      <c r="G499" t="n">
        <v>7.6</v>
      </c>
      <c r="H499" t="n">
        <v>0</v>
      </c>
      <c r="I499" t="n">
        <v>0</v>
      </c>
      <c r="J499" t="n">
        <v>0</v>
      </c>
      <c r="K499" t="n">
        <v>0</v>
      </c>
      <c r="L499" t="n">
        <v>0</v>
      </c>
      <c r="M499" t="n">
        <v>0</v>
      </c>
      <c r="N499" t="n">
        <v>0</v>
      </c>
      <c r="O499" t="n">
        <v>0</v>
      </c>
      <c r="P499" t="n">
        <v>0</v>
      </c>
      <c r="Q499" t="n">
        <v>0</v>
      </c>
      <c r="R499" s="2" t="inlineStr"/>
    </row>
    <row r="500" ht="15" customHeight="1">
      <c r="A500" t="inlineStr">
        <is>
          <t>A 56853-2022</t>
        </is>
      </c>
      <c r="B500" s="1" t="n">
        <v>44894.49538194444</v>
      </c>
      <c r="C500" s="1" t="n">
        <v>45933</v>
      </c>
      <c r="D500" t="inlineStr">
        <is>
          <t>KALMAR LÄN</t>
        </is>
      </c>
      <c r="E500" t="inlineStr">
        <is>
          <t>VIMMERBY</t>
        </is>
      </c>
      <c r="G500" t="n">
        <v>4.3</v>
      </c>
      <c r="H500" t="n">
        <v>0</v>
      </c>
      <c r="I500" t="n">
        <v>0</v>
      </c>
      <c r="J500" t="n">
        <v>0</v>
      </c>
      <c r="K500" t="n">
        <v>0</v>
      </c>
      <c r="L500" t="n">
        <v>0</v>
      </c>
      <c r="M500" t="n">
        <v>0</v>
      </c>
      <c r="N500" t="n">
        <v>0</v>
      </c>
      <c r="O500" t="n">
        <v>0</v>
      </c>
      <c r="P500" t="n">
        <v>0</v>
      </c>
      <c r="Q500" t="n">
        <v>0</v>
      </c>
      <c r="R500" s="2" t="inlineStr"/>
    </row>
    <row r="501" ht="15" customHeight="1">
      <c r="A501" t="inlineStr">
        <is>
          <t>A 11152-2023</t>
        </is>
      </c>
      <c r="B501" s="1" t="n">
        <v>44992</v>
      </c>
      <c r="C501" s="1" t="n">
        <v>45933</v>
      </c>
      <c r="D501" t="inlineStr">
        <is>
          <t>KALMAR LÄN</t>
        </is>
      </c>
      <c r="E501" t="inlineStr">
        <is>
          <t>VIMMERBY</t>
        </is>
      </c>
      <c r="G501" t="n">
        <v>10.6</v>
      </c>
      <c r="H501" t="n">
        <v>0</v>
      </c>
      <c r="I501" t="n">
        <v>0</v>
      </c>
      <c r="J501" t="n">
        <v>0</v>
      </c>
      <c r="K501" t="n">
        <v>0</v>
      </c>
      <c r="L501" t="n">
        <v>0</v>
      </c>
      <c r="M501" t="n">
        <v>0</v>
      </c>
      <c r="N501" t="n">
        <v>0</v>
      </c>
      <c r="O501" t="n">
        <v>0</v>
      </c>
      <c r="P501" t="n">
        <v>0</v>
      </c>
      <c r="Q501" t="n">
        <v>0</v>
      </c>
      <c r="R501" s="2" t="inlineStr"/>
    </row>
    <row r="502" ht="15" customHeight="1">
      <c r="A502" t="inlineStr">
        <is>
          <t>A 36221-2025</t>
        </is>
      </c>
      <c r="B502" s="1" t="n">
        <v>45867.50792824074</v>
      </c>
      <c r="C502" s="1" t="n">
        <v>45933</v>
      </c>
      <c r="D502" t="inlineStr">
        <is>
          <t>KALMAR LÄN</t>
        </is>
      </c>
      <c r="E502" t="inlineStr">
        <is>
          <t>VIMMERBY</t>
        </is>
      </c>
      <c r="G502" t="n">
        <v>2.5</v>
      </c>
      <c r="H502" t="n">
        <v>0</v>
      </c>
      <c r="I502" t="n">
        <v>0</v>
      </c>
      <c r="J502" t="n">
        <v>0</v>
      </c>
      <c r="K502" t="n">
        <v>0</v>
      </c>
      <c r="L502" t="n">
        <v>0</v>
      </c>
      <c r="M502" t="n">
        <v>0</v>
      </c>
      <c r="N502" t="n">
        <v>0</v>
      </c>
      <c r="O502" t="n">
        <v>0</v>
      </c>
      <c r="P502" t="n">
        <v>0</v>
      </c>
      <c r="Q502" t="n">
        <v>0</v>
      </c>
      <c r="R502" s="2" t="inlineStr"/>
    </row>
    <row r="503" ht="15" customHeight="1">
      <c r="A503" t="inlineStr">
        <is>
          <t>A 36226-2025</t>
        </is>
      </c>
      <c r="B503" s="1" t="n">
        <v>45867.51630787037</v>
      </c>
      <c r="C503" s="1" t="n">
        <v>45933</v>
      </c>
      <c r="D503" t="inlineStr">
        <is>
          <t>KALMAR LÄN</t>
        </is>
      </c>
      <c r="E503" t="inlineStr">
        <is>
          <t>VIMMERBY</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6802-2025</t>
        </is>
      </c>
      <c r="B504" s="1" t="n">
        <v>45700.68289351852</v>
      </c>
      <c r="C504" s="1" t="n">
        <v>45933</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15550-2023</t>
        </is>
      </c>
      <c r="B505" s="1" t="n">
        <v>45020</v>
      </c>
      <c r="C505" s="1" t="n">
        <v>45933</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36297-2025</t>
        </is>
      </c>
      <c r="B506" s="1" t="n">
        <v>45867.68625</v>
      </c>
      <c r="C506" s="1" t="n">
        <v>45933</v>
      </c>
      <c r="D506" t="inlineStr">
        <is>
          <t>KALMAR LÄN</t>
        </is>
      </c>
      <c r="E506" t="inlineStr">
        <is>
          <t>VIMMERBY</t>
        </is>
      </c>
      <c r="G506" t="n">
        <v>4.9</v>
      </c>
      <c r="H506" t="n">
        <v>0</v>
      </c>
      <c r="I506" t="n">
        <v>0</v>
      </c>
      <c r="J506" t="n">
        <v>0</v>
      </c>
      <c r="K506" t="n">
        <v>0</v>
      </c>
      <c r="L506" t="n">
        <v>0</v>
      </c>
      <c r="M506" t="n">
        <v>0</v>
      </c>
      <c r="N506" t="n">
        <v>0</v>
      </c>
      <c r="O506" t="n">
        <v>0</v>
      </c>
      <c r="P506" t="n">
        <v>0</v>
      </c>
      <c r="Q506" t="n">
        <v>0</v>
      </c>
      <c r="R506" s="2" t="inlineStr"/>
    </row>
    <row r="507" ht="15" customHeight="1">
      <c r="A507" t="inlineStr">
        <is>
          <t>A 36246-2025</t>
        </is>
      </c>
      <c r="B507" s="1" t="n">
        <v>45867.56320601852</v>
      </c>
      <c r="C507" s="1" t="n">
        <v>45933</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36282-2025</t>
        </is>
      </c>
      <c r="B508" s="1" t="n">
        <v>45867.64663194444</v>
      </c>
      <c r="C508" s="1" t="n">
        <v>45933</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42794-2025</t>
        </is>
      </c>
      <c r="B509" s="1" t="n">
        <v>45908</v>
      </c>
      <c r="C509" s="1" t="n">
        <v>45933</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56020-2024</t>
        </is>
      </c>
      <c r="B510" s="1" t="n">
        <v>45623.9525462963</v>
      </c>
      <c r="C510" s="1" t="n">
        <v>45933</v>
      </c>
      <c r="D510" t="inlineStr">
        <is>
          <t>KALMAR LÄN</t>
        </is>
      </c>
      <c r="E510" t="inlineStr">
        <is>
          <t>VIMMERBY</t>
        </is>
      </c>
      <c r="G510" t="n">
        <v>1</v>
      </c>
      <c r="H510" t="n">
        <v>0</v>
      </c>
      <c r="I510" t="n">
        <v>0</v>
      </c>
      <c r="J510" t="n">
        <v>0</v>
      </c>
      <c r="K510" t="n">
        <v>0</v>
      </c>
      <c r="L510" t="n">
        <v>0</v>
      </c>
      <c r="M510" t="n">
        <v>0</v>
      </c>
      <c r="N510" t="n">
        <v>0</v>
      </c>
      <c r="O510" t="n">
        <v>0</v>
      </c>
      <c r="P510" t="n">
        <v>0</v>
      </c>
      <c r="Q510" t="n">
        <v>0</v>
      </c>
      <c r="R510" s="2" t="inlineStr"/>
    </row>
    <row r="511" ht="15" customHeight="1">
      <c r="A511" t="inlineStr">
        <is>
          <t>A 36538-2025</t>
        </is>
      </c>
      <c r="B511" s="1" t="n">
        <v>45869.62276620371</v>
      </c>
      <c r="C511" s="1" t="n">
        <v>45933</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33842-2022</t>
        </is>
      </c>
      <c r="B512" s="1" t="n">
        <v>44790.49523148148</v>
      </c>
      <c r="C512" s="1" t="n">
        <v>45933</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31355-2023</t>
        </is>
      </c>
      <c r="B513" s="1" t="n">
        <v>45114.49505787037</v>
      </c>
      <c r="C513" s="1" t="n">
        <v>45933</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60675-2023</t>
        </is>
      </c>
      <c r="B514" s="1" t="n">
        <v>45260.4716550926</v>
      </c>
      <c r="C514" s="1" t="n">
        <v>45933</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18330-2023</t>
        </is>
      </c>
      <c r="B515" s="1" t="n">
        <v>45041</v>
      </c>
      <c r="C515" s="1" t="n">
        <v>45933</v>
      </c>
      <c r="D515" t="inlineStr">
        <is>
          <t>KALMAR LÄN</t>
        </is>
      </c>
      <c r="E515" t="inlineStr">
        <is>
          <t>VIMMERBY</t>
        </is>
      </c>
      <c r="G515" t="n">
        <v>1.7</v>
      </c>
      <c r="H515" t="n">
        <v>0</v>
      </c>
      <c r="I515" t="n">
        <v>0</v>
      </c>
      <c r="J515" t="n">
        <v>0</v>
      </c>
      <c r="K515" t="n">
        <v>0</v>
      </c>
      <c r="L515" t="n">
        <v>0</v>
      </c>
      <c r="M515" t="n">
        <v>0</v>
      </c>
      <c r="N515" t="n">
        <v>0</v>
      </c>
      <c r="O515" t="n">
        <v>0</v>
      </c>
      <c r="P515" t="n">
        <v>0</v>
      </c>
      <c r="Q515" t="n">
        <v>0</v>
      </c>
      <c r="R515" s="2" t="inlineStr"/>
    </row>
    <row r="516" ht="15" customHeight="1">
      <c r="A516" t="inlineStr">
        <is>
          <t>A 43465-2025</t>
        </is>
      </c>
      <c r="B516" s="1" t="n">
        <v>45911.47138888889</v>
      </c>
      <c r="C516" s="1" t="n">
        <v>45933</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40095-2022</t>
        </is>
      </c>
      <c r="B517" s="1" t="n">
        <v>44820</v>
      </c>
      <c r="C517" s="1" t="n">
        <v>45933</v>
      </c>
      <c r="D517" t="inlineStr">
        <is>
          <t>KALMAR LÄN</t>
        </is>
      </c>
      <c r="E517" t="inlineStr">
        <is>
          <t>VIMMERBY</t>
        </is>
      </c>
      <c r="G517" t="n">
        <v>2.4</v>
      </c>
      <c r="H517" t="n">
        <v>0</v>
      </c>
      <c r="I517" t="n">
        <v>0</v>
      </c>
      <c r="J517" t="n">
        <v>0</v>
      </c>
      <c r="K517" t="n">
        <v>0</v>
      </c>
      <c r="L517" t="n">
        <v>0</v>
      </c>
      <c r="M517" t="n">
        <v>0</v>
      </c>
      <c r="N517" t="n">
        <v>0</v>
      </c>
      <c r="O517" t="n">
        <v>0</v>
      </c>
      <c r="P517" t="n">
        <v>0</v>
      </c>
      <c r="Q517" t="n">
        <v>0</v>
      </c>
      <c r="R517" s="2" t="inlineStr"/>
    </row>
    <row r="518" ht="15" customHeight="1">
      <c r="A518" t="inlineStr">
        <is>
          <t>A 58100-2024</t>
        </is>
      </c>
      <c r="B518" s="1" t="n">
        <v>45632.36706018518</v>
      </c>
      <c r="C518" s="1" t="n">
        <v>45933</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45854-2025</t>
        </is>
      </c>
      <c r="B519" s="1" t="n">
        <v>45923</v>
      </c>
      <c r="C519" s="1" t="n">
        <v>45933</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45855-2025</t>
        </is>
      </c>
      <c r="B520" s="1" t="n">
        <v>45923</v>
      </c>
      <c r="C520" s="1" t="n">
        <v>45933</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27993-2022</t>
        </is>
      </c>
      <c r="B521" s="1" t="n">
        <v>44745.84396990741</v>
      </c>
      <c r="C521" s="1" t="n">
        <v>45933</v>
      </c>
      <c r="D521" t="inlineStr">
        <is>
          <t>KALMAR LÄN</t>
        </is>
      </c>
      <c r="E521" t="inlineStr">
        <is>
          <t>VIMMERBY</t>
        </is>
      </c>
      <c r="G521" t="n">
        <v>2.8</v>
      </c>
      <c r="H521" t="n">
        <v>0</v>
      </c>
      <c r="I521" t="n">
        <v>0</v>
      </c>
      <c r="J521" t="n">
        <v>0</v>
      </c>
      <c r="K521" t="n">
        <v>0</v>
      </c>
      <c r="L521" t="n">
        <v>0</v>
      </c>
      <c r="M521" t="n">
        <v>0</v>
      </c>
      <c r="N521" t="n">
        <v>0</v>
      </c>
      <c r="O521" t="n">
        <v>0</v>
      </c>
      <c r="P521" t="n">
        <v>0</v>
      </c>
      <c r="Q521" t="n">
        <v>0</v>
      </c>
      <c r="R521" s="2" t="inlineStr"/>
    </row>
    <row r="522" ht="15" customHeight="1">
      <c r="A522" t="inlineStr">
        <is>
          <t>A 36598-2025</t>
        </is>
      </c>
      <c r="B522" s="1" t="n">
        <v>45870.51708333333</v>
      </c>
      <c r="C522" s="1" t="n">
        <v>45933</v>
      </c>
      <c r="D522" t="inlineStr">
        <is>
          <t>KALMAR LÄN</t>
        </is>
      </c>
      <c r="E522" t="inlineStr">
        <is>
          <t>VIMMERBY</t>
        </is>
      </c>
      <c r="G522" t="n">
        <v>3.7</v>
      </c>
      <c r="H522" t="n">
        <v>0</v>
      </c>
      <c r="I522" t="n">
        <v>0</v>
      </c>
      <c r="J522" t="n">
        <v>0</v>
      </c>
      <c r="K522" t="n">
        <v>0</v>
      </c>
      <c r="L522" t="n">
        <v>0</v>
      </c>
      <c r="M522" t="n">
        <v>0</v>
      </c>
      <c r="N522" t="n">
        <v>0</v>
      </c>
      <c r="O522" t="n">
        <v>0</v>
      </c>
      <c r="P522" t="n">
        <v>0</v>
      </c>
      <c r="Q522" t="n">
        <v>0</v>
      </c>
      <c r="R522" s="2" t="inlineStr"/>
    </row>
    <row r="523" ht="15" customHeight="1">
      <c r="A523" t="inlineStr">
        <is>
          <t>A 36602-2025</t>
        </is>
      </c>
      <c r="B523" s="1" t="n">
        <v>45870.52111111111</v>
      </c>
      <c r="C523" s="1" t="n">
        <v>45933</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19537-2022</t>
        </is>
      </c>
      <c r="B524" s="1" t="n">
        <v>44693.62822916666</v>
      </c>
      <c r="C524" s="1" t="n">
        <v>45933</v>
      </c>
      <c r="D524" t="inlineStr">
        <is>
          <t>KALMAR LÄN</t>
        </is>
      </c>
      <c r="E524" t="inlineStr">
        <is>
          <t>VIMMERBY</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38969-2023</t>
        </is>
      </c>
      <c r="B525" s="1" t="n">
        <v>45163.63621527778</v>
      </c>
      <c r="C525" s="1" t="n">
        <v>45933</v>
      </c>
      <c r="D525" t="inlineStr">
        <is>
          <t>KALMAR LÄN</t>
        </is>
      </c>
      <c r="E525" t="inlineStr">
        <is>
          <t>VIMMERBY</t>
        </is>
      </c>
      <c r="F525" t="inlineStr">
        <is>
          <t>Sveaskog</t>
        </is>
      </c>
      <c r="G525" t="n">
        <v>2.4</v>
      </c>
      <c r="H525" t="n">
        <v>0</v>
      </c>
      <c r="I525" t="n">
        <v>0</v>
      </c>
      <c r="J525" t="n">
        <v>0</v>
      </c>
      <c r="K525" t="n">
        <v>0</v>
      </c>
      <c r="L525" t="n">
        <v>0</v>
      </c>
      <c r="M525" t="n">
        <v>0</v>
      </c>
      <c r="N525" t="n">
        <v>0</v>
      </c>
      <c r="O525" t="n">
        <v>0</v>
      </c>
      <c r="P525" t="n">
        <v>0</v>
      </c>
      <c r="Q525" t="n">
        <v>0</v>
      </c>
      <c r="R525" s="2" t="inlineStr"/>
    </row>
    <row r="526" ht="15" customHeight="1">
      <c r="A526" t="inlineStr">
        <is>
          <t>A 43617-2025</t>
        </is>
      </c>
      <c r="B526" s="1" t="n">
        <v>45911.67798611111</v>
      </c>
      <c r="C526" s="1" t="n">
        <v>45933</v>
      </c>
      <c r="D526" t="inlineStr">
        <is>
          <t>KALMAR LÄN</t>
        </is>
      </c>
      <c r="E526" t="inlineStr">
        <is>
          <t>VIMMERBY</t>
        </is>
      </c>
      <c r="G526" t="n">
        <v>0.6</v>
      </c>
      <c r="H526" t="n">
        <v>0</v>
      </c>
      <c r="I526" t="n">
        <v>0</v>
      </c>
      <c r="J526" t="n">
        <v>0</v>
      </c>
      <c r="K526" t="n">
        <v>0</v>
      </c>
      <c r="L526" t="n">
        <v>0</v>
      </c>
      <c r="M526" t="n">
        <v>0</v>
      </c>
      <c r="N526" t="n">
        <v>0</v>
      </c>
      <c r="O526" t="n">
        <v>0</v>
      </c>
      <c r="P526" t="n">
        <v>0</v>
      </c>
      <c r="Q526" t="n">
        <v>0</v>
      </c>
      <c r="R526" s="2" t="inlineStr"/>
    </row>
    <row r="527" ht="15" customHeight="1">
      <c r="A527" t="inlineStr">
        <is>
          <t>A 34090-2025</t>
        </is>
      </c>
      <c r="B527" s="1" t="n">
        <v>45845</v>
      </c>
      <c r="C527" s="1" t="n">
        <v>45933</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36600-2025</t>
        </is>
      </c>
      <c r="B528" s="1" t="n">
        <v>45870.51958333333</v>
      </c>
      <c r="C528" s="1" t="n">
        <v>45933</v>
      </c>
      <c r="D528" t="inlineStr">
        <is>
          <t>KALMAR LÄN</t>
        </is>
      </c>
      <c r="E528" t="inlineStr">
        <is>
          <t>VIMMERBY</t>
        </is>
      </c>
      <c r="G528" t="n">
        <v>2</v>
      </c>
      <c r="H528" t="n">
        <v>0</v>
      </c>
      <c r="I528" t="n">
        <v>0</v>
      </c>
      <c r="J528" t="n">
        <v>0</v>
      </c>
      <c r="K528" t="n">
        <v>0</v>
      </c>
      <c r="L528" t="n">
        <v>0</v>
      </c>
      <c r="M528" t="n">
        <v>0</v>
      </c>
      <c r="N528" t="n">
        <v>0</v>
      </c>
      <c r="O528" t="n">
        <v>0</v>
      </c>
      <c r="P528" t="n">
        <v>0</v>
      </c>
      <c r="Q528" t="n">
        <v>0</v>
      </c>
      <c r="R528" s="2" t="inlineStr"/>
    </row>
    <row r="529" ht="15" customHeight="1">
      <c r="A529" t="inlineStr">
        <is>
          <t>A 36601-2025</t>
        </is>
      </c>
      <c r="B529" s="1" t="n">
        <v>45870.52005787037</v>
      </c>
      <c r="C529" s="1" t="n">
        <v>45933</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36603-2025</t>
        </is>
      </c>
      <c r="B530" s="1" t="n">
        <v>45870.52142361111</v>
      </c>
      <c r="C530" s="1" t="n">
        <v>45933</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53752-2024</t>
        </is>
      </c>
      <c r="B531" s="1" t="n">
        <v>45615.48927083334</v>
      </c>
      <c r="C531" s="1" t="n">
        <v>45933</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57311-2023</t>
        </is>
      </c>
      <c r="B532" s="1" t="n">
        <v>45245.63574074074</v>
      </c>
      <c r="C532" s="1" t="n">
        <v>45933</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64428-2023</t>
        </is>
      </c>
      <c r="B533" s="1" t="n">
        <v>45280.66769675926</v>
      </c>
      <c r="C533" s="1" t="n">
        <v>45933</v>
      </c>
      <c r="D533" t="inlineStr">
        <is>
          <t>KALMAR LÄN</t>
        </is>
      </c>
      <c r="E533" t="inlineStr">
        <is>
          <t>VIMMERBY</t>
        </is>
      </c>
      <c r="G533" t="n">
        <v>1.2</v>
      </c>
      <c r="H533" t="n">
        <v>0</v>
      </c>
      <c r="I533" t="n">
        <v>0</v>
      </c>
      <c r="J533" t="n">
        <v>0</v>
      </c>
      <c r="K533" t="n">
        <v>0</v>
      </c>
      <c r="L533" t="n">
        <v>0</v>
      </c>
      <c r="M533" t="n">
        <v>0</v>
      </c>
      <c r="N533" t="n">
        <v>0</v>
      </c>
      <c r="O533" t="n">
        <v>0</v>
      </c>
      <c r="P533" t="n">
        <v>0</v>
      </c>
      <c r="Q533" t="n">
        <v>0</v>
      </c>
      <c r="R533" s="2" t="inlineStr"/>
    </row>
    <row r="534" ht="15" customHeight="1">
      <c r="A534" t="inlineStr">
        <is>
          <t>A 4527-2023</t>
        </is>
      </c>
      <c r="B534" s="1" t="n">
        <v>44956</v>
      </c>
      <c r="C534" s="1" t="n">
        <v>45933</v>
      </c>
      <c r="D534" t="inlineStr">
        <is>
          <t>KALMAR LÄN</t>
        </is>
      </c>
      <c r="E534" t="inlineStr">
        <is>
          <t>VIMMERBY</t>
        </is>
      </c>
      <c r="F534" t="inlineStr">
        <is>
          <t>Kommuner</t>
        </is>
      </c>
      <c r="G534" t="n">
        <v>8.5</v>
      </c>
      <c r="H534" t="n">
        <v>0</v>
      </c>
      <c r="I534" t="n">
        <v>0</v>
      </c>
      <c r="J534" t="n">
        <v>0</v>
      </c>
      <c r="K534" t="n">
        <v>0</v>
      </c>
      <c r="L534" t="n">
        <v>0</v>
      </c>
      <c r="M534" t="n">
        <v>0</v>
      </c>
      <c r="N534" t="n">
        <v>0</v>
      </c>
      <c r="O534" t="n">
        <v>0</v>
      </c>
      <c r="P534" t="n">
        <v>0</v>
      </c>
      <c r="Q534" t="n">
        <v>0</v>
      </c>
      <c r="R534" s="2" t="inlineStr"/>
    </row>
    <row r="535" ht="15" customHeight="1">
      <c r="A535" t="inlineStr">
        <is>
          <t>A 3268-2024</t>
        </is>
      </c>
      <c r="B535" s="1" t="n">
        <v>45317</v>
      </c>
      <c r="C535" s="1" t="n">
        <v>45933</v>
      </c>
      <c r="D535" t="inlineStr">
        <is>
          <t>KALMAR LÄN</t>
        </is>
      </c>
      <c r="E535" t="inlineStr">
        <is>
          <t>VIMMERBY</t>
        </is>
      </c>
      <c r="F535" t="inlineStr">
        <is>
          <t>Övriga Aktiebolag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51408-2023</t>
        </is>
      </c>
      <c r="B536" s="1" t="n">
        <v>45219.69356481481</v>
      </c>
      <c r="C536" s="1" t="n">
        <v>45933</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58728-2024</t>
        </is>
      </c>
      <c r="B537" s="1" t="n">
        <v>45635.66695601852</v>
      </c>
      <c r="C537" s="1" t="n">
        <v>45933</v>
      </c>
      <c r="D537" t="inlineStr">
        <is>
          <t>KALMAR LÄN</t>
        </is>
      </c>
      <c r="E537" t="inlineStr">
        <is>
          <t>VIMMERBY</t>
        </is>
      </c>
      <c r="G537" t="n">
        <v>0.4</v>
      </c>
      <c r="H537" t="n">
        <v>0</v>
      </c>
      <c r="I537" t="n">
        <v>0</v>
      </c>
      <c r="J537" t="n">
        <v>0</v>
      </c>
      <c r="K537" t="n">
        <v>0</v>
      </c>
      <c r="L537" t="n">
        <v>0</v>
      </c>
      <c r="M537" t="n">
        <v>0</v>
      </c>
      <c r="N537" t="n">
        <v>0</v>
      </c>
      <c r="O537" t="n">
        <v>0</v>
      </c>
      <c r="P537" t="n">
        <v>0</v>
      </c>
      <c r="Q537" t="n">
        <v>0</v>
      </c>
      <c r="R537" s="2" t="inlineStr"/>
    </row>
    <row r="538" ht="15" customHeight="1">
      <c r="A538" t="inlineStr">
        <is>
          <t>A 43242-2024</t>
        </is>
      </c>
      <c r="B538" s="1" t="n">
        <v>45568.30189814815</v>
      </c>
      <c r="C538" s="1" t="n">
        <v>45933</v>
      </c>
      <c r="D538" t="inlineStr">
        <is>
          <t>KALMAR LÄN</t>
        </is>
      </c>
      <c r="E538" t="inlineStr">
        <is>
          <t>VIMMERBY</t>
        </is>
      </c>
      <c r="G538" t="n">
        <v>2.6</v>
      </c>
      <c r="H538" t="n">
        <v>0</v>
      </c>
      <c r="I538" t="n">
        <v>0</v>
      </c>
      <c r="J538" t="n">
        <v>0</v>
      </c>
      <c r="K538" t="n">
        <v>0</v>
      </c>
      <c r="L538" t="n">
        <v>0</v>
      </c>
      <c r="M538" t="n">
        <v>0</v>
      </c>
      <c r="N538" t="n">
        <v>0</v>
      </c>
      <c r="O538" t="n">
        <v>0</v>
      </c>
      <c r="P538" t="n">
        <v>0</v>
      </c>
      <c r="Q538" t="n">
        <v>0</v>
      </c>
      <c r="R538" s="2" t="inlineStr"/>
    </row>
    <row r="539" ht="15" customHeight="1">
      <c r="A539" t="inlineStr">
        <is>
          <t>A 16983-2023</t>
        </is>
      </c>
      <c r="B539" s="1" t="n">
        <v>45033.76043981482</v>
      </c>
      <c r="C539" s="1" t="n">
        <v>45933</v>
      </c>
      <c r="D539" t="inlineStr">
        <is>
          <t>KALMAR LÄN</t>
        </is>
      </c>
      <c r="E539" t="inlineStr">
        <is>
          <t>VIMMERBY</t>
        </is>
      </c>
      <c r="G539" t="n">
        <v>0.6</v>
      </c>
      <c r="H539" t="n">
        <v>0</v>
      </c>
      <c r="I539" t="n">
        <v>0</v>
      </c>
      <c r="J539" t="n">
        <v>0</v>
      </c>
      <c r="K539" t="n">
        <v>0</v>
      </c>
      <c r="L539" t="n">
        <v>0</v>
      </c>
      <c r="M539" t="n">
        <v>0</v>
      </c>
      <c r="N539" t="n">
        <v>0</v>
      </c>
      <c r="O539" t="n">
        <v>0</v>
      </c>
      <c r="P539" t="n">
        <v>0</v>
      </c>
      <c r="Q539" t="n">
        <v>0</v>
      </c>
      <c r="R539" s="2" t="inlineStr"/>
    </row>
    <row r="540" ht="15" customHeight="1">
      <c r="A540" t="inlineStr">
        <is>
          <t>A 44329-2025</t>
        </is>
      </c>
      <c r="B540" s="1" t="n">
        <v>45916.41019675926</v>
      </c>
      <c r="C540" s="1" t="n">
        <v>45933</v>
      </c>
      <c r="D540" t="inlineStr">
        <is>
          <t>KALMAR LÄN</t>
        </is>
      </c>
      <c r="E540" t="inlineStr">
        <is>
          <t>VIMMERBY</t>
        </is>
      </c>
      <c r="G540" t="n">
        <v>4.3</v>
      </c>
      <c r="H540" t="n">
        <v>0</v>
      </c>
      <c r="I540" t="n">
        <v>0</v>
      </c>
      <c r="J540" t="n">
        <v>0</v>
      </c>
      <c r="K540" t="n">
        <v>0</v>
      </c>
      <c r="L540" t="n">
        <v>0</v>
      </c>
      <c r="M540" t="n">
        <v>0</v>
      </c>
      <c r="N540" t="n">
        <v>0</v>
      </c>
      <c r="O540" t="n">
        <v>0</v>
      </c>
      <c r="P540" t="n">
        <v>0</v>
      </c>
      <c r="Q540" t="n">
        <v>0</v>
      </c>
      <c r="R540" s="2" t="inlineStr"/>
    </row>
    <row r="541" ht="15" customHeight="1">
      <c r="A541" t="inlineStr">
        <is>
          <t>A 6405-2025</t>
        </is>
      </c>
      <c r="B541" s="1" t="n">
        <v>45699.45392361111</v>
      </c>
      <c r="C541" s="1" t="n">
        <v>45933</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36843-2023</t>
        </is>
      </c>
      <c r="B542" s="1" t="n">
        <v>45154.49831018518</v>
      </c>
      <c r="C542" s="1" t="n">
        <v>45933</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47227-2025</t>
        </is>
      </c>
      <c r="B543" s="1" t="n">
        <v>45930.39769675926</v>
      </c>
      <c r="C543" s="1" t="n">
        <v>45933</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12480-2024</t>
        </is>
      </c>
      <c r="B544" s="1" t="n">
        <v>45379</v>
      </c>
      <c r="C544" s="1" t="n">
        <v>45933</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52588-2023</t>
        </is>
      </c>
      <c r="B545" s="1" t="n">
        <v>45225.60192129629</v>
      </c>
      <c r="C545" s="1" t="n">
        <v>45933</v>
      </c>
      <c r="D545" t="inlineStr">
        <is>
          <t>KALMAR LÄN</t>
        </is>
      </c>
      <c r="E545" t="inlineStr">
        <is>
          <t>VIMMERBY</t>
        </is>
      </c>
      <c r="G545" t="n">
        <v>2.9</v>
      </c>
      <c r="H545" t="n">
        <v>0</v>
      </c>
      <c r="I545" t="n">
        <v>0</v>
      </c>
      <c r="J545" t="n">
        <v>0</v>
      </c>
      <c r="K545" t="n">
        <v>0</v>
      </c>
      <c r="L545" t="n">
        <v>0</v>
      </c>
      <c r="M545" t="n">
        <v>0</v>
      </c>
      <c r="N545" t="n">
        <v>0</v>
      </c>
      <c r="O545" t="n">
        <v>0</v>
      </c>
      <c r="P545" t="n">
        <v>0</v>
      </c>
      <c r="Q545" t="n">
        <v>0</v>
      </c>
      <c r="R545" s="2" t="inlineStr"/>
    </row>
    <row r="546" ht="15" customHeight="1">
      <c r="A546" t="inlineStr">
        <is>
          <t>A 57486-2024</t>
        </is>
      </c>
      <c r="B546" s="1" t="n">
        <v>45630.35827546296</v>
      </c>
      <c r="C546" s="1" t="n">
        <v>45933</v>
      </c>
      <c r="D546" t="inlineStr">
        <is>
          <t>KALMAR LÄN</t>
        </is>
      </c>
      <c r="E546" t="inlineStr">
        <is>
          <t>VIMMERBY</t>
        </is>
      </c>
      <c r="G546" t="n">
        <v>0.4</v>
      </c>
      <c r="H546" t="n">
        <v>0</v>
      </c>
      <c r="I546" t="n">
        <v>0</v>
      </c>
      <c r="J546" t="n">
        <v>0</v>
      </c>
      <c r="K546" t="n">
        <v>0</v>
      </c>
      <c r="L546" t="n">
        <v>0</v>
      </c>
      <c r="M546" t="n">
        <v>0</v>
      </c>
      <c r="N546" t="n">
        <v>0</v>
      </c>
      <c r="O546" t="n">
        <v>0</v>
      </c>
      <c r="P546" t="n">
        <v>0</v>
      </c>
      <c r="Q546" t="n">
        <v>0</v>
      </c>
      <c r="R546" s="2" t="inlineStr"/>
    </row>
    <row r="547" ht="15" customHeight="1">
      <c r="A547" t="inlineStr">
        <is>
          <t>A 44517-2025</t>
        </is>
      </c>
      <c r="B547" s="1" t="n">
        <v>45916.7103587963</v>
      </c>
      <c r="C547" s="1" t="n">
        <v>45933</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66295-2020</t>
        </is>
      </c>
      <c r="B548" s="1" t="n">
        <v>44176</v>
      </c>
      <c r="C548" s="1" t="n">
        <v>45933</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55236-2023</t>
        </is>
      </c>
      <c r="B549" s="1" t="n">
        <v>45237.63225694445</v>
      </c>
      <c r="C549" s="1" t="n">
        <v>45933</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55245-2023</t>
        </is>
      </c>
      <c r="B550" s="1" t="n">
        <v>45237.64408564815</v>
      </c>
      <c r="C550" s="1" t="n">
        <v>45933</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19111-2025</t>
        </is>
      </c>
      <c r="B551" s="1" t="n">
        <v>45768.65611111111</v>
      </c>
      <c r="C551" s="1" t="n">
        <v>45933</v>
      </c>
      <c r="D551" t="inlineStr">
        <is>
          <t>KALMAR LÄN</t>
        </is>
      </c>
      <c r="E551" t="inlineStr">
        <is>
          <t>VIMMERBY</t>
        </is>
      </c>
      <c r="G551" t="n">
        <v>6.2</v>
      </c>
      <c r="H551" t="n">
        <v>0</v>
      </c>
      <c r="I551" t="n">
        <v>0</v>
      </c>
      <c r="J551" t="n">
        <v>0</v>
      </c>
      <c r="K551" t="n">
        <v>0</v>
      </c>
      <c r="L551" t="n">
        <v>0</v>
      </c>
      <c r="M551" t="n">
        <v>0</v>
      </c>
      <c r="N551" t="n">
        <v>0</v>
      </c>
      <c r="O551" t="n">
        <v>0</v>
      </c>
      <c r="P551" t="n">
        <v>0</v>
      </c>
      <c r="Q551" t="n">
        <v>0</v>
      </c>
      <c r="R551" s="2" t="inlineStr"/>
    </row>
    <row r="552" ht="15" customHeight="1">
      <c r="A552" t="inlineStr">
        <is>
          <t>A 36934-2025</t>
        </is>
      </c>
      <c r="B552" s="1" t="n">
        <v>45874.57109953704</v>
      </c>
      <c r="C552" s="1" t="n">
        <v>45933</v>
      </c>
      <c r="D552" t="inlineStr">
        <is>
          <t>KALMAR LÄN</t>
        </is>
      </c>
      <c r="E552" t="inlineStr">
        <is>
          <t>VIMMERBY</t>
        </is>
      </c>
      <c r="G552" t="n">
        <v>4.2</v>
      </c>
      <c r="H552" t="n">
        <v>0</v>
      </c>
      <c r="I552" t="n">
        <v>0</v>
      </c>
      <c r="J552" t="n">
        <v>0</v>
      </c>
      <c r="K552" t="n">
        <v>0</v>
      </c>
      <c r="L552" t="n">
        <v>0</v>
      </c>
      <c r="M552" t="n">
        <v>0</v>
      </c>
      <c r="N552" t="n">
        <v>0</v>
      </c>
      <c r="O552" t="n">
        <v>0</v>
      </c>
      <c r="P552" t="n">
        <v>0</v>
      </c>
      <c r="Q552" t="n">
        <v>0</v>
      </c>
      <c r="R552" s="2" t="inlineStr"/>
    </row>
    <row r="553" ht="15" customHeight="1">
      <c r="A553" t="inlineStr">
        <is>
          <t>A 44423-2023</t>
        </is>
      </c>
      <c r="B553" s="1" t="n">
        <v>45189</v>
      </c>
      <c r="C553" s="1" t="n">
        <v>45933</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44091-2025</t>
        </is>
      </c>
      <c r="B554" s="1" t="n">
        <v>45915.55950231481</v>
      </c>
      <c r="C554" s="1" t="n">
        <v>45933</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42820-2025</t>
        </is>
      </c>
      <c r="B555" s="1" t="n">
        <v>45908</v>
      </c>
      <c r="C555" s="1" t="n">
        <v>45933</v>
      </c>
      <c r="D555" t="inlineStr">
        <is>
          <t>KALMAR LÄN</t>
        </is>
      </c>
      <c r="E555" t="inlineStr">
        <is>
          <t>VIMMERBY</t>
        </is>
      </c>
      <c r="G555" t="n">
        <v>1.2</v>
      </c>
      <c r="H555" t="n">
        <v>0</v>
      </c>
      <c r="I555" t="n">
        <v>0</v>
      </c>
      <c r="J555" t="n">
        <v>0</v>
      </c>
      <c r="K555" t="n">
        <v>0</v>
      </c>
      <c r="L555" t="n">
        <v>0</v>
      </c>
      <c r="M555" t="n">
        <v>0</v>
      </c>
      <c r="N555" t="n">
        <v>0</v>
      </c>
      <c r="O555" t="n">
        <v>0</v>
      </c>
      <c r="P555" t="n">
        <v>0</v>
      </c>
      <c r="Q555" t="n">
        <v>0</v>
      </c>
      <c r="R555" s="2" t="inlineStr"/>
    </row>
    <row r="556" ht="15" customHeight="1">
      <c r="A556" t="inlineStr">
        <is>
          <t>A 20-2025</t>
        </is>
      </c>
      <c r="B556" s="1" t="n">
        <v>45658.80232638889</v>
      </c>
      <c r="C556" s="1" t="n">
        <v>45933</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23-2025</t>
        </is>
      </c>
      <c r="B557" s="1" t="n">
        <v>45658.80827546296</v>
      </c>
      <c r="C557" s="1" t="n">
        <v>45933</v>
      </c>
      <c r="D557" t="inlineStr">
        <is>
          <t>KALMAR LÄN</t>
        </is>
      </c>
      <c r="E557" t="inlineStr">
        <is>
          <t>VIMMERBY</t>
        </is>
      </c>
      <c r="G557" t="n">
        <v>1.8</v>
      </c>
      <c r="H557" t="n">
        <v>0</v>
      </c>
      <c r="I557" t="n">
        <v>0</v>
      </c>
      <c r="J557" t="n">
        <v>0</v>
      </c>
      <c r="K557" t="n">
        <v>0</v>
      </c>
      <c r="L557" t="n">
        <v>0</v>
      </c>
      <c r="M557" t="n">
        <v>0</v>
      </c>
      <c r="N557" t="n">
        <v>0</v>
      </c>
      <c r="O557" t="n">
        <v>0</v>
      </c>
      <c r="P557" t="n">
        <v>0</v>
      </c>
      <c r="Q557" t="n">
        <v>0</v>
      </c>
      <c r="R557" s="2" t="inlineStr"/>
    </row>
    <row r="558" ht="15" customHeight="1">
      <c r="A558" t="inlineStr">
        <is>
          <t>A 44095-2025</t>
        </is>
      </c>
      <c r="B558" s="1" t="n">
        <v>45915.56430555556</v>
      </c>
      <c r="C558" s="1" t="n">
        <v>45933</v>
      </c>
      <c r="D558" t="inlineStr">
        <is>
          <t>KALMAR LÄN</t>
        </is>
      </c>
      <c r="E558" t="inlineStr">
        <is>
          <t>VIMMERBY</t>
        </is>
      </c>
      <c r="G558" t="n">
        <v>2.4</v>
      </c>
      <c r="H558" t="n">
        <v>0</v>
      </c>
      <c r="I558" t="n">
        <v>0</v>
      </c>
      <c r="J558" t="n">
        <v>0</v>
      </c>
      <c r="K558" t="n">
        <v>0</v>
      </c>
      <c r="L558" t="n">
        <v>0</v>
      </c>
      <c r="M558" t="n">
        <v>0</v>
      </c>
      <c r="N558" t="n">
        <v>0</v>
      </c>
      <c r="O558" t="n">
        <v>0</v>
      </c>
      <c r="P558" t="n">
        <v>0</v>
      </c>
      <c r="Q558" t="n">
        <v>0</v>
      </c>
      <c r="R558" s="2" t="inlineStr"/>
    </row>
    <row r="559" ht="15" customHeight="1">
      <c r="A559" t="inlineStr">
        <is>
          <t>A 21496-2023</t>
        </is>
      </c>
      <c r="B559" s="1" t="n">
        <v>45063.49936342592</v>
      </c>
      <c r="C559" s="1" t="n">
        <v>45933</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25370-2022</t>
        </is>
      </c>
      <c r="B560" s="1" t="n">
        <v>44732.3659837963</v>
      </c>
      <c r="C560" s="1" t="n">
        <v>45933</v>
      </c>
      <c r="D560" t="inlineStr">
        <is>
          <t>KALMAR LÄN</t>
        </is>
      </c>
      <c r="E560" t="inlineStr">
        <is>
          <t>VIMMERBY</t>
        </is>
      </c>
      <c r="G560" t="n">
        <v>1.2</v>
      </c>
      <c r="H560" t="n">
        <v>0</v>
      </c>
      <c r="I560" t="n">
        <v>0</v>
      </c>
      <c r="J560" t="n">
        <v>0</v>
      </c>
      <c r="K560" t="n">
        <v>0</v>
      </c>
      <c r="L560" t="n">
        <v>0</v>
      </c>
      <c r="M560" t="n">
        <v>0</v>
      </c>
      <c r="N560" t="n">
        <v>0</v>
      </c>
      <c r="O560" t="n">
        <v>0</v>
      </c>
      <c r="P560" t="n">
        <v>0</v>
      </c>
      <c r="Q560" t="n">
        <v>0</v>
      </c>
      <c r="R560" s="2" t="inlineStr"/>
    </row>
    <row r="561" ht="15" customHeight="1">
      <c r="A561" t="inlineStr">
        <is>
          <t>A 31056-2022</t>
        </is>
      </c>
      <c r="B561" s="1" t="n">
        <v>44769.45805555556</v>
      </c>
      <c r="C561" s="1" t="n">
        <v>45933</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29726-2025</t>
        </is>
      </c>
      <c r="B562" s="1" t="n">
        <v>45825.57805555555</v>
      </c>
      <c r="C562" s="1" t="n">
        <v>45933</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37088-2025</t>
        </is>
      </c>
      <c r="B563" s="1" t="n">
        <v>45875.45716435185</v>
      </c>
      <c r="C563" s="1" t="n">
        <v>45933</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37102-2025</t>
        </is>
      </c>
      <c r="B564" s="1" t="n">
        <v>45875.47454861111</v>
      </c>
      <c r="C564" s="1" t="n">
        <v>45933</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72701-2021</t>
        </is>
      </c>
      <c r="B565" s="1" t="n">
        <v>44546</v>
      </c>
      <c r="C565" s="1" t="n">
        <v>45933</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52294-2023</t>
        </is>
      </c>
      <c r="B566" s="1" t="n">
        <v>45224.60075231481</v>
      </c>
      <c r="C566" s="1" t="n">
        <v>45933</v>
      </c>
      <c r="D566" t="inlineStr">
        <is>
          <t>KALMAR LÄN</t>
        </is>
      </c>
      <c r="E566" t="inlineStr">
        <is>
          <t>VIMMERBY</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61355-2024</t>
        </is>
      </c>
      <c r="B567" s="1" t="n">
        <v>45646.38200231481</v>
      </c>
      <c r="C567" s="1" t="n">
        <v>45933</v>
      </c>
      <c r="D567" t="inlineStr">
        <is>
          <t>KALMAR LÄN</t>
        </is>
      </c>
      <c r="E567" t="inlineStr">
        <is>
          <t>VIMMERBY</t>
        </is>
      </c>
      <c r="G567" t="n">
        <v>2.7</v>
      </c>
      <c r="H567" t="n">
        <v>0</v>
      </c>
      <c r="I567" t="n">
        <v>0</v>
      </c>
      <c r="J567" t="n">
        <v>0</v>
      </c>
      <c r="K567" t="n">
        <v>0</v>
      </c>
      <c r="L567" t="n">
        <v>0</v>
      </c>
      <c r="M567" t="n">
        <v>0</v>
      </c>
      <c r="N567" t="n">
        <v>0</v>
      </c>
      <c r="O567" t="n">
        <v>0</v>
      </c>
      <c r="P567" t="n">
        <v>0</v>
      </c>
      <c r="Q567" t="n">
        <v>0</v>
      </c>
      <c r="R567" s="2" t="inlineStr"/>
    </row>
    <row r="568" ht="15" customHeight="1">
      <c r="A568" t="inlineStr">
        <is>
          <t>A 46887-2025</t>
        </is>
      </c>
      <c r="B568" s="1" t="n">
        <v>45929.3672337963</v>
      </c>
      <c r="C568" s="1" t="n">
        <v>45933</v>
      </c>
      <c r="D568" t="inlineStr">
        <is>
          <t>KALMAR LÄN</t>
        </is>
      </c>
      <c r="E568" t="inlineStr">
        <is>
          <t>VIMMERBY</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33374-2021</t>
        </is>
      </c>
      <c r="B569" s="1" t="n">
        <v>44377</v>
      </c>
      <c r="C569" s="1" t="n">
        <v>45933</v>
      </c>
      <c r="D569" t="inlineStr">
        <is>
          <t>KALMAR LÄN</t>
        </is>
      </c>
      <c r="E569" t="inlineStr">
        <is>
          <t>VIMMERBY</t>
        </is>
      </c>
      <c r="G569" t="n">
        <v>3.3</v>
      </c>
      <c r="H569" t="n">
        <v>0</v>
      </c>
      <c r="I569" t="n">
        <v>0</v>
      </c>
      <c r="J569" t="n">
        <v>0</v>
      </c>
      <c r="K569" t="n">
        <v>0</v>
      </c>
      <c r="L569" t="n">
        <v>0</v>
      </c>
      <c r="M569" t="n">
        <v>0</v>
      </c>
      <c r="N569" t="n">
        <v>0</v>
      </c>
      <c r="O569" t="n">
        <v>0</v>
      </c>
      <c r="P569" t="n">
        <v>0</v>
      </c>
      <c r="Q569" t="n">
        <v>0</v>
      </c>
      <c r="R569" s="2" t="inlineStr"/>
    </row>
    <row r="570" ht="15" customHeight="1">
      <c r="A570" t="inlineStr">
        <is>
          <t>A 10759-2023</t>
        </is>
      </c>
      <c r="B570" s="1" t="n">
        <v>44988</v>
      </c>
      <c r="C570" s="1" t="n">
        <v>45933</v>
      </c>
      <c r="D570" t="inlineStr">
        <is>
          <t>KALMAR LÄN</t>
        </is>
      </c>
      <c r="E570" t="inlineStr">
        <is>
          <t>VIMMERBY</t>
        </is>
      </c>
      <c r="G570" t="n">
        <v>0.4</v>
      </c>
      <c r="H570" t="n">
        <v>0</v>
      </c>
      <c r="I570" t="n">
        <v>0</v>
      </c>
      <c r="J570" t="n">
        <v>0</v>
      </c>
      <c r="K570" t="n">
        <v>0</v>
      </c>
      <c r="L570" t="n">
        <v>0</v>
      </c>
      <c r="M570" t="n">
        <v>0</v>
      </c>
      <c r="N570" t="n">
        <v>0</v>
      </c>
      <c r="O570" t="n">
        <v>0</v>
      </c>
      <c r="P570" t="n">
        <v>0</v>
      </c>
      <c r="Q570" t="n">
        <v>0</v>
      </c>
      <c r="R570" s="2" t="inlineStr"/>
    </row>
    <row r="571" ht="15" customHeight="1">
      <c r="A571" t="inlineStr">
        <is>
          <t>A 37079-2025</t>
        </is>
      </c>
      <c r="B571" s="1" t="n">
        <v>45875.42716435185</v>
      </c>
      <c r="C571" s="1" t="n">
        <v>45933</v>
      </c>
      <c r="D571" t="inlineStr">
        <is>
          <t>KALMAR LÄN</t>
        </is>
      </c>
      <c r="E571" t="inlineStr">
        <is>
          <t>VIMMERBY</t>
        </is>
      </c>
      <c r="G571" t="n">
        <v>0.8</v>
      </c>
      <c r="H571" t="n">
        <v>0</v>
      </c>
      <c r="I571" t="n">
        <v>0</v>
      </c>
      <c r="J571" t="n">
        <v>0</v>
      </c>
      <c r="K571" t="n">
        <v>0</v>
      </c>
      <c r="L571" t="n">
        <v>0</v>
      </c>
      <c r="M571" t="n">
        <v>0</v>
      </c>
      <c r="N571" t="n">
        <v>0</v>
      </c>
      <c r="O571" t="n">
        <v>0</v>
      </c>
      <c r="P571" t="n">
        <v>0</v>
      </c>
      <c r="Q571" t="n">
        <v>0</v>
      </c>
      <c r="R571" s="2" t="inlineStr"/>
    </row>
    <row r="572" ht="15" customHeight="1">
      <c r="A572" t="inlineStr">
        <is>
          <t>A 18899-2025</t>
        </is>
      </c>
      <c r="B572" s="1" t="n">
        <v>45764.44931712963</v>
      </c>
      <c r="C572" s="1" t="n">
        <v>45933</v>
      </c>
      <c r="D572" t="inlineStr">
        <is>
          <t>KALMAR LÄN</t>
        </is>
      </c>
      <c r="E572" t="inlineStr">
        <is>
          <t>VIMMERBY</t>
        </is>
      </c>
      <c r="F572" t="inlineStr">
        <is>
          <t>Kommuner</t>
        </is>
      </c>
      <c r="G572" t="n">
        <v>4</v>
      </c>
      <c r="H572" t="n">
        <v>0</v>
      </c>
      <c r="I572" t="n">
        <v>0</v>
      </c>
      <c r="J572" t="n">
        <v>0</v>
      </c>
      <c r="K572" t="n">
        <v>0</v>
      </c>
      <c r="L572" t="n">
        <v>0</v>
      </c>
      <c r="M572" t="n">
        <v>0</v>
      </c>
      <c r="N572" t="n">
        <v>0</v>
      </c>
      <c r="O572" t="n">
        <v>0</v>
      </c>
      <c r="P572" t="n">
        <v>0</v>
      </c>
      <c r="Q572" t="n">
        <v>0</v>
      </c>
      <c r="R572" s="2" t="inlineStr"/>
    </row>
    <row r="573" ht="15" customHeight="1">
      <c r="A573" t="inlineStr">
        <is>
          <t>A 38964-2025</t>
        </is>
      </c>
      <c r="B573" s="1" t="n">
        <v>45887.68759259259</v>
      </c>
      <c r="C573" s="1" t="n">
        <v>45933</v>
      </c>
      <c r="D573" t="inlineStr">
        <is>
          <t>KALMAR LÄN</t>
        </is>
      </c>
      <c r="E573" t="inlineStr">
        <is>
          <t>VIMMERBY</t>
        </is>
      </c>
      <c r="G573" t="n">
        <v>7.5</v>
      </c>
      <c r="H573" t="n">
        <v>0</v>
      </c>
      <c r="I573" t="n">
        <v>0</v>
      </c>
      <c r="J573" t="n">
        <v>0</v>
      </c>
      <c r="K573" t="n">
        <v>0</v>
      </c>
      <c r="L573" t="n">
        <v>0</v>
      </c>
      <c r="M573" t="n">
        <v>0</v>
      </c>
      <c r="N573" t="n">
        <v>0</v>
      </c>
      <c r="O573" t="n">
        <v>0</v>
      </c>
      <c r="P573" t="n">
        <v>0</v>
      </c>
      <c r="Q573" t="n">
        <v>0</v>
      </c>
      <c r="R573" s="2" t="inlineStr"/>
    </row>
    <row r="574" ht="15" customHeight="1">
      <c r="A574" t="inlineStr">
        <is>
          <t>A 33838-2022</t>
        </is>
      </c>
      <c r="B574" s="1" t="n">
        <v>44790.49040509259</v>
      </c>
      <c r="C574" s="1" t="n">
        <v>45933</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44742-2025</t>
        </is>
      </c>
      <c r="B575" s="1" t="n">
        <v>45917.67054398148</v>
      </c>
      <c r="C575" s="1" t="n">
        <v>45933</v>
      </c>
      <c r="D575" t="inlineStr">
        <is>
          <t>KALMAR LÄN</t>
        </is>
      </c>
      <c r="E575" t="inlineStr">
        <is>
          <t>VIMMERBY</t>
        </is>
      </c>
      <c r="G575" t="n">
        <v>4.7</v>
      </c>
      <c r="H575" t="n">
        <v>0</v>
      </c>
      <c r="I575" t="n">
        <v>0</v>
      </c>
      <c r="J575" t="n">
        <v>0</v>
      </c>
      <c r="K575" t="n">
        <v>0</v>
      </c>
      <c r="L575" t="n">
        <v>0</v>
      </c>
      <c r="M575" t="n">
        <v>0</v>
      </c>
      <c r="N575" t="n">
        <v>0</v>
      </c>
      <c r="O575" t="n">
        <v>0</v>
      </c>
      <c r="P575" t="n">
        <v>0</v>
      </c>
      <c r="Q575" t="n">
        <v>0</v>
      </c>
      <c r="R575" s="2" t="inlineStr"/>
    </row>
    <row r="576" ht="15" customHeight="1">
      <c r="A576" t="inlineStr">
        <is>
          <t>A 4058-2024</t>
        </is>
      </c>
      <c r="B576" s="1" t="n">
        <v>45323.53744212963</v>
      </c>
      <c r="C576" s="1" t="n">
        <v>45933</v>
      </c>
      <c r="D576" t="inlineStr">
        <is>
          <t>KALMAR LÄN</t>
        </is>
      </c>
      <c r="E576" t="inlineStr">
        <is>
          <t>VIMMERBY</t>
        </is>
      </c>
      <c r="G576" t="n">
        <v>6.5</v>
      </c>
      <c r="H576" t="n">
        <v>0</v>
      </c>
      <c r="I576" t="n">
        <v>0</v>
      </c>
      <c r="J576" t="n">
        <v>0</v>
      </c>
      <c r="K576" t="n">
        <v>0</v>
      </c>
      <c r="L576" t="n">
        <v>0</v>
      </c>
      <c r="M576" t="n">
        <v>0</v>
      </c>
      <c r="N576" t="n">
        <v>0</v>
      </c>
      <c r="O576" t="n">
        <v>0</v>
      </c>
      <c r="P576" t="n">
        <v>0</v>
      </c>
      <c r="Q576" t="n">
        <v>0</v>
      </c>
      <c r="R576" s="2" t="inlineStr"/>
    </row>
    <row r="577" ht="15" customHeight="1">
      <c r="A577" t="inlineStr">
        <is>
          <t>A 45114-2025</t>
        </is>
      </c>
      <c r="B577" s="1" t="n">
        <v>45919.42387731482</v>
      </c>
      <c r="C577" s="1" t="n">
        <v>45933</v>
      </c>
      <c r="D577" t="inlineStr">
        <is>
          <t>KALMAR LÄN</t>
        </is>
      </c>
      <c r="E577" t="inlineStr">
        <is>
          <t>VIMMERBY</t>
        </is>
      </c>
      <c r="G577" t="n">
        <v>2.7</v>
      </c>
      <c r="H577" t="n">
        <v>0</v>
      </c>
      <c r="I577" t="n">
        <v>0</v>
      </c>
      <c r="J577" t="n">
        <v>0</v>
      </c>
      <c r="K577" t="n">
        <v>0</v>
      </c>
      <c r="L577" t="n">
        <v>0</v>
      </c>
      <c r="M577" t="n">
        <v>0</v>
      </c>
      <c r="N577" t="n">
        <v>0</v>
      </c>
      <c r="O577" t="n">
        <v>0</v>
      </c>
      <c r="P577" t="n">
        <v>0</v>
      </c>
      <c r="Q577" t="n">
        <v>0</v>
      </c>
      <c r="R577" s="2" t="inlineStr"/>
    </row>
    <row r="578" ht="15" customHeight="1">
      <c r="A578" t="inlineStr">
        <is>
          <t>A 45320-2025</t>
        </is>
      </c>
      <c r="B578" s="1" t="n">
        <v>45921.96395833333</v>
      </c>
      <c r="C578" s="1" t="n">
        <v>45933</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36008-2024</t>
        </is>
      </c>
      <c r="B579" s="1" t="n">
        <v>45533.55362268518</v>
      </c>
      <c r="C579" s="1" t="n">
        <v>45933</v>
      </c>
      <c r="D579" t="inlineStr">
        <is>
          <t>KALMAR LÄN</t>
        </is>
      </c>
      <c r="E579" t="inlineStr">
        <is>
          <t>VIMMERBY</t>
        </is>
      </c>
      <c r="G579" t="n">
        <v>3.7</v>
      </c>
      <c r="H579" t="n">
        <v>0</v>
      </c>
      <c r="I579" t="n">
        <v>0</v>
      </c>
      <c r="J579" t="n">
        <v>0</v>
      </c>
      <c r="K579" t="n">
        <v>0</v>
      </c>
      <c r="L579" t="n">
        <v>0</v>
      </c>
      <c r="M579" t="n">
        <v>0</v>
      </c>
      <c r="N579" t="n">
        <v>0</v>
      </c>
      <c r="O579" t="n">
        <v>0</v>
      </c>
      <c r="P579" t="n">
        <v>0</v>
      </c>
      <c r="Q579" t="n">
        <v>0</v>
      </c>
      <c r="R579" s="2" t="inlineStr"/>
    </row>
    <row r="580" ht="15" customHeight="1">
      <c r="A580" t="inlineStr">
        <is>
          <t>A 12586-2021</t>
        </is>
      </c>
      <c r="B580" s="1" t="n">
        <v>44270.38002314815</v>
      </c>
      <c r="C580" s="1" t="n">
        <v>45933</v>
      </c>
      <c r="D580" t="inlineStr">
        <is>
          <t>KALMAR LÄN</t>
        </is>
      </c>
      <c r="E580" t="inlineStr">
        <is>
          <t>VIMMERBY</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37668-2025</t>
        </is>
      </c>
      <c r="B581" s="1" t="n">
        <v>45880.51550925926</v>
      </c>
      <c r="C581" s="1" t="n">
        <v>45933</v>
      </c>
      <c r="D581" t="inlineStr">
        <is>
          <t>KALMAR LÄN</t>
        </is>
      </c>
      <c r="E581" t="inlineStr">
        <is>
          <t>VIMMERBY</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18669-2025</t>
        </is>
      </c>
      <c r="B582" s="1" t="n">
        <v>45763.59436342592</v>
      </c>
      <c r="C582" s="1" t="n">
        <v>45933</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8540-2024</t>
        </is>
      </c>
      <c r="B583" s="1" t="n">
        <v>45355.54138888889</v>
      </c>
      <c r="C583" s="1" t="n">
        <v>45933</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9623-2024</t>
        </is>
      </c>
      <c r="B584" s="1" t="n">
        <v>45361.87975694444</v>
      </c>
      <c r="C584" s="1" t="n">
        <v>45933</v>
      </c>
      <c r="D584" t="inlineStr">
        <is>
          <t>KALMAR LÄN</t>
        </is>
      </c>
      <c r="E584" t="inlineStr">
        <is>
          <t>VIMMERBY</t>
        </is>
      </c>
      <c r="G584" t="n">
        <v>1.6</v>
      </c>
      <c r="H584" t="n">
        <v>0</v>
      </c>
      <c r="I584" t="n">
        <v>0</v>
      </c>
      <c r="J584" t="n">
        <v>0</v>
      </c>
      <c r="K584" t="n">
        <v>0</v>
      </c>
      <c r="L584" t="n">
        <v>0</v>
      </c>
      <c r="M584" t="n">
        <v>0</v>
      </c>
      <c r="N584" t="n">
        <v>0</v>
      </c>
      <c r="O584" t="n">
        <v>0</v>
      </c>
      <c r="P584" t="n">
        <v>0</v>
      </c>
      <c r="Q584" t="n">
        <v>0</v>
      </c>
      <c r="R584" s="2" t="inlineStr"/>
    </row>
    <row r="585" ht="15" customHeight="1">
      <c r="A585" t="inlineStr">
        <is>
          <t>A 47955-2025</t>
        </is>
      </c>
      <c r="B585" s="1" t="n">
        <v>45932.58896990741</v>
      </c>
      <c r="C585" s="1" t="n">
        <v>45933</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5146-2024</t>
        </is>
      </c>
      <c r="B586" s="1" t="n">
        <v>45330</v>
      </c>
      <c r="C586" s="1" t="n">
        <v>45933</v>
      </c>
      <c r="D586" t="inlineStr">
        <is>
          <t>KALMAR LÄN</t>
        </is>
      </c>
      <c r="E586" t="inlineStr">
        <is>
          <t>VIMMERBY</t>
        </is>
      </c>
      <c r="G586" t="n">
        <v>5.3</v>
      </c>
      <c r="H586" t="n">
        <v>0</v>
      </c>
      <c r="I586" t="n">
        <v>0</v>
      </c>
      <c r="J586" t="n">
        <v>0</v>
      </c>
      <c r="K586" t="n">
        <v>0</v>
      </c>
      <c r="L586" t="n">
        <v>0</v>
      </c>
      <c r="M586" t="n">
        <v>0</v>
      </c>
      <c r="N586" t="n">
        <v>0</v>
      </c>
      <c r="O586" t="n">
        <v>0</v>
      </c>
      <c r="P586" t="n">
        <v>0</v>
      </c>
      <c r="Q586" t="n">
        <v>0</v>
      </c>
      <c r="R586" s="2" t="inlineStr"/>
    </row>
    <row r="587" ht="15" customHeight="1">
      <c r="A587" t="inlineStr">
        <is>
          <t>A 5148-2024</t>
        </is>
      </c>
      <c r="B587" s="1" t="n">
        <v>45330</v>
      </c>
      <c r="C587" s="1" t="n">
        <v>45933</v>
      </c>
      <c r="D587" t="inlineStr">
        <is>
          <t>KALMAR LÄN</t>
        </is>
      </c>
      <c r="E587" t="inlineStr">
        <is>
          <t>VIMMERBY</t>
        </is>
      </c>
      <c r="G587" t="n">
        <v>5.6</v>
      </c>
      <c r="H587" t="n">
        <v>0</v>
      </c>
      <c r="I587" t="n">
        <v>0</v>
      </c>
      <c r="J587" t="n">
        <v>0</v>
      </c>
      <c r="K587" t="n">
        <v>0</v>
      </c>
      <c r="L587" t="n">
        <v>0</v>
      </c>
      <c r="M587" t="n">
        <v>0</v>
      </c>
      <c r="N587" t="n">
        <v>0</v>
      </c>
      <c r="O587" t="n">
        <v>0</v>
      </c>
      <c r="P587" t="n">
        <v>0</v>
      </c>
      <c r="Q587" t="n">
        <v>0</v>
      </c>
      <c r="R587" s="2" t="inlineStr"/>
    </row>
    <row r="588" ht="15" customHeight="1">
      <c r="A588" t="inlineStr">
        <is>
          <t>A 37578-2025</t>
        </is>
      </c>
      <c r="B588" s="1" t="n">
        <v>45880.38380787037</v>
      </c>
      <c r="C588" s="1" t="n">
        <v>45933</v>
      </c>
      <c r="D588" t="inlineStr">
        <is>
          <t>KALMAR LÄN</t>
        </is>
      </c>
      <c r="E588" t="inlineStr">
        <is>
          <t>VIMMERBY</t>
        </is>
      </c>
      <c r="G588" t="n">
        <v>0.7</v>
      </c>
      <c r="H588" t="n">
        <v>0</v>
      </c>
      <c r="I588" t="n">
        <v>0</v>
      </c>
      <c r="J588" t="n">
        <v>0</v>
      </c>
      <c r="K588" t="n">
        <v>0</v>
      </c>
      <c r="L588" t="n">
        <v>0</v>
      </c>
      <c r="M588" t="n">
        <v>0</v>
      </c>
      <c r="N588" t="n">
        <v>0</v>
      </c>
      <c r="O588" t="n">
        <v>0</v>
      </c>
      <c r="P588" t="n">
        <v>0</v>
      </c>
      <c r="Q588" t="n">
        <v>0</v>
      </c>
      <c r="R588" s="2" t="inlineStr"/>
    </row>
    <row r="589" ht="15" customHeight="1">
      <c r="A589" t="inlineStr">
        <is>
          <t>A 32614-2023</t>
        </is>
      </c>
      <c r="B589" s="1" t="n">
        <v>45121</v>
      </c>
      <c r="C589" s="1" t="n">
        <v>45933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44179-2022</t>
        </is>
      </c>
      <c r="B590" s="1" t="n">
        <v>44839.4528125</v>
      </c>
      <c r="C590" s="1" t="n">
        <v>45933</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61939-2021</t>
        </is>
      </c>
      <c r="B591" s="1" t="n">
        <v>44502</v>
      </c>
      <c r="C591" s="1" t="n">
        <v>45933</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50648-2023</t>
        </is>
      </c>
      <c r="B592" s="1" t="n">
        <v>45217.47834490741</v>
      </c>
      <c r="C592" s="1" t="n">
        <v>45933</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47965-2025</t>
        </is>
      </c>
      <c r="B593" s="1" t="n">
        <v>45932.59597222223</v>
      </c>
      <c r="C593" s="1" t="n">
        <v>45933</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45319-2025</t>
        </is>
      </c>
      <c r="B594" s="1" t="n">
        <v>45921.95611111111</v>
      </c>
      <c r="C594" s="1" t="n">
        <v>45933</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2121-2022</t>
        </is>
      </c>
      <c r="B595" s="1" t="n">
        <v>44578.32717592592</v>
      </c>
      <c r="C595" s="1" t="n">
        <v>45933</v>
      </c>
      <c r="D595" t="inlineStr">
        <is>
          <t>KALMAR LÄN</t>
        </is>
      </c>
      <c r="E595" t="inlineStr">
        <is>
          <t>VIMMERBY</t>
        </is>
      </c>
      <c r="G595" t="n">
        <v>2</v>
      </c>
      <c r="H595" t="n">
        <v>0</v>
      </c>
      <c r="I595" t="n">
        <v>0</v>
      </c>
      <c r="J595" t="n">
        <v>0</v>
      </c>
      <c r="K595" t="n">
        <v>0</v>
      </c>
      <c r="L595" t="n">
        <v>0</v>
      </c>
      <c r="M595" t="n">
        <v>0</v>
      </c>
      <c r="N595" t="n">
        <v>0</v>
      </c>
      <c r="O595" t="n">
        <v>0</v>
      </c>
      <c r="P595" t="n">
        <v>0</v>
      </c>
      <c r="Q595" t="n">
        <v>0</v>
      </c>
      <c r="R595" s="2" t="inlineStr"/>
    </row>
    <row r="596" ht="15" customHeight="1">
      <c r="A596" t="inlineStr">
        <is>
          <t>A 57799-2022</t>
        </is>
      </c>
      <c r="B596" s="1" t="n">
        <v>44897</v>
      </c>
      <c r="C596" s="1" t="n">
        <v>45933</v>
      </c>
      <c r="D596" t="inlineStr">
        <is>
          <t>KALMAR LÄN</t>
        </is>
      </c>
      <c r="E596" t="inlineStr">
        <is>
          <t>VIMMERBY</t>
        </is>
      </c>
      <c r="G596" t="n">
        <v>1.4</v>
      </c>
      <c r="H596" t="n">
        <v>0</v>
      </c>
      <c r="I596" t="n">
        <v>0</v>
      </c>
      <c r="J596" t="n">
        <v>0</v>
      </c>
      <c r="K596" t="n">
        <v>0</v>
      </c>
      <c r="L596" t="n">
        <v>0</v>
      </c>
      <c r="M596" t="n">
        <v>0</v>
      </c>
      <c r="N596" t="n">
        <v>0</v>
      </c>
      <c r="O596" t="n">
        <v>0</v>
      </c>
      <c r="P596" t="n">
        <v>0</v>
      </c>
      <c r="Q596" t="n">
        <v>0</v>
      </c>
      <c r="R596" s="2" t="inlineStr"/>
    </row>
    <row r="597" ht="15" customHeight="1">
      <c r="A597" t="inlineStr">
        <is>
          <t>A 15394-2025</t>
        </is>
      </c>
      <c r="B597" s="1" t="n">
        <v>45747.43196759259</v>
      </c>
      <c r="C597" s="1" t="n">
        <v>45933</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6218-2025</t>
        </is>
      </c>
      <c r="B598" s="1" t="n">
        <v>45698.53336805556</v>
      </c>
      <c r="C598" s="1" t="n">
        <v>45933</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40076-2021</t>
        </is>
      </c>
      <c r="B599" s="1" t="n">
        <v>44418</v>
      </c>
      <c r="C599" s="1" t="n">
        <v>45933</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46118-2025</t>
        </is>
      </c>
      <c r="B600" s="1" t="n">
        <v>45924.57697916667</v>
      </c>
      <c r="C600" s="1" t="n">
        <v>45933</v>
      </c>
      <c r="D600" t="inlineStr">
        <is>
          <t>KALMAR LÄN</t>
        </is>
      </c>
      <c r="E600" t="inlineStr">
        <is>
          <t>VIMMERBY</t>
        </is>
      </c>
      <c r="G600" t="n">
        <v>2.9</v>
      </c>
      <c r="H600" t="n">
        <v>0</v>
      </c>
      <c r="I600" t="n">
        <v>0</v>
      </c>
      <c r="J600" t="n">
        <v>0</v>
      </c>
      <c r="K600" t="n">
        <v>0</v>
      </c>
      <c r="L600" t="n">
        <v>0</v>
      </c>
      <c r="M600" t="n">
        <v>0</v>
      </c>
      <c r="N600" t="n">
        <v>0</v>
      </c>
      <c r="O600" t="n">
        <v>0</v>
      </c>
      <c r="P600" t="n">
        <v>0</v>
      </c>
      <c r="Q600" t="n">
        <v>0</v>
      </c>
      <c r="R600" s="2" t="inlineStr"/>
    </row>
    <row r="601" ht="15" customHeight="1">
      <c r="A601" t="inlineStr">
        <is>
          <t>A 26318-2023</t>
        </is>
      </c>
      <c r="B601" s="1" t="n">
        <v>45091.67936342592</v>
      </c>
      <c r="C601" s="1" t="n">
        <v>45933</v>
      </c>
      <c r="D601" t="inlineStr">
        <is>
          <t>KALMAR LÄN</t>
        </is>
      </c>
      <c r="E601" t="inlineStr">
        <is>
          <t>VIMMERBY</t>
        </is>
      </c>
      <c r="G601" t="n">
        <v>3.8</v>
      </c>
      <c r="H601" t="n">
        <v>0</v>
      </c>
      <c r="I601" t="n">
        <v>0</v>
      </c>
      <c r="J601" t="n">
        <v>0</v>
      </c>
      <c r="K601" t="n">
        <v>0</v>
      </c>
      <c r="L601" t="n">
        <v>0</v>
      </c>
      <c r="M601" t="n">
        <v>0</v>
      </c>
      <c r="N601" t="n">
        <v>0</v>
      </c>
      <c r="O601" t="n">
        <v>0</v>
      </c>
      <c r="P601" t="n">
        <v>0</v>
      </c>
      <c r="Q601" t="n">
        <v>0</v>
      </c>
      <c r="R601" s="2" t="inlineStr"/>
    </row>
    <row r="602" ht="15" customHeight="1">
      <c r="A602" t="inlineStr">
        <is>
          <t>A 60437-2023</t>
        </is>
      </c>
      <c r="B602" s="1" t="n">
        <v>45259.51916666667</v>
      </c>
      <c r="C602" s="1" t="n">
        <v>45933</v>
      </c>
      <c r="D602" t="inlineStr">
        <is>
          <t>KALMAR LÄN</t>
        </is>
      </c>
      <c r="E602" t="inlineStr">
        <is>
          <t>VIMMERBY</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60438-2023</t>
        </is>
      </c>
      <c r="B603" s="1" t="n">
        <v>45259.52020833334</v>
      </c>
      <c r="C603" s="1" t="n">
        <v>45933</v>
      </c>
      <c r="D603" t="inlineStr">
        <is>
          <t>KALMAR LÄN</t>
        </is>
      </c>
      <c r="E603" t="inlineStr">
        <is>
          <t>VIMMERBY</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37866-2025</t>
        </is>
      </c>
      <c r="B604" s="1" t="n">
        <v>45881</v>
      </c>
      <c r="C604" s="1" t="n">
        <v>45933</v>
      </c>
      <c r="D604" t="inlineStr">
        <is>
          <t>KALMAR LÄN</t>
        </is>
      </c>
      <c r="E604" t="inlineStr">
        <is>
          <t>VIMMERBY</t>
        </is>
      </c>
      <c r="G604" t="n">
        <v>3.4</v>
      </c>
      <c r="H604" t="n">
        <v>0</v>
      </c>
      <c r="I604" t="n">
        <v>0</v>
      </c>
      <c r="J604" t="n">
        <v>0</v>
      </c>
      <c r="K604" t="n">
        <v>0</v>
      </c>
      <c r="L604" t="n">
        <v>0</v>
      </c>
      <c r="M604" t="n">
        <v>0</v>
      </c>
      <c r="N604" t="n">
        <v>0</v>
      </c>
      <c r="O604" t="n">
        <v>0</v>
      </c>
      <c r="P604" t="n">
        <v>0</v>
      </c>
      <c r="Q604" t="n">
        <v>0</v>
      </c>
      <c r="R604" s="2" t="inlineStr"/>
    </row>
    <row r="605" ht="15" customHeight="1">
      <c r="A605" t="inlineStr">
        <is>
          <t>A 7758-2024</t>
        </is>
      </c>
      <c r="B605" s="1" t="n">
        <v>45349.54434027777</v>
      </c>
      <c r="C605" s="1" t="n">
        <v>45933</v>
      </c>
      <c r="D605" t="inlineStr">
        <is>
          <t>KALMAR LÄN</t>
        </is>
      </c>
      <c r="E605" t="inlineStr">
        <is>
          <t>VIMMERBY</t>
        </is>
      </c>
      <c r="G605" t="n">
        <v>3.5</v>
      </c>
      <c r="H605" t="n">
        <v>0</v>
      </c>
      <c r="I605" t="n">
        <v>0</v>
      </c>
      <c r="J605" t="n">
        <v>0</v>
      </c>
      <c r="K605" t="n">
        <v>0</v>
      </c>
      <c r="L605" t="n">
        <v>0</v>
      </c>
      <c r="M605" t="n">
        <v>0</v>
      </c>
      <c r="N605" t="n">
        <v>0</v>
      </c>
      <c r="O605" t="n">
        <v>0</v>
      </c>
      <c r="P605" t="n">
        <v>0</v>
      </c>
      <c r="Q605" t="n">
        <v>0</v>
      </c>
      <c r="R605" s="2" t="inlineStr"/>
    </row>
    <row r="606" ht="15" customHeight="1">
      <c r="A606" t="inlineStr">
        <is>
          <t>A 37939-2025</t>
        </is>
      </c>
      <c r="B606" s="1" t="n">
        <v>45881.59877314815</v>
      </c>
      <c r="C606" s="1" t="n">
        <v>45933</v>
      </c>
      <c r="D606" t="inlineStr">
        <is>
          <t>KALMAR LÄN</t>
        </is>
      </c>
      <c r="E606" t="inlineStr">
        <is>
          <t>VIMMERBY</t>
        </is>
      </c>
      <c r="G606" t="n">
        <v>1.3</v>
      </c>
      <c r="H606" t="n">
        <v>0</v>
      </c>
      <c r="I606" t="n">
        <v>0</v>
      </c>
      <c r="J606" t="n">
        <v>0</v>
      </c>
      <c r="K606" t="n">
        <v>0</v>
      </c>
      <c r="L606" t="n">
        <v>0</v>
      </c>
      <c r="M606" t="n">
        <v>0</v>
      </c>
      <c r="N606" t="n">
        <v>0</v>
      </c>
      <c r="O606" t="n">
        <v>0</v>
      </c>
      <c r="P606" t="n">
        <v>0</v>
      </c>
      <c r="Q606" t="n">
        <v>0</v>
      </c>
      <c r="R606" s="2" t="inlineStr"/>
    </row>
    <row r="607" ht="15" customHeight="1">
      <c r="A607" t="inlineStr">
        <is>
          <t>A 7456-2024</t>
        </is>
      </c>
      <c r="B607" s="1" t="n">
        <v>45345.83557870371</v>
      </c>
      <c r="C607" s="1" t="n">
        <v>45933</v>
      </c>
      <c r="D607" t="inlineStr">
        <is>
          <t>KALMAR LÄN</t>
        </is>
      </c>
      <c r="E607" t="inlineStr">
        <is>
          <t>VIMMERBY</t>
        </is>
      </c>
      <c r="G607" t="n">
        <v>4.1</v>
      </c>
      <c r="H607" t="n">
        <v>0</v>
      </c>
      <c r="I607" t="n">
        <v>0</v>
      </c>
      <c r="J607" t="n">
        <v>0</v>
      </c>
      <c r="K607" t="n">
        <v>0</v>
      </c>
      <c r="L607" t="n">
        <v>0</v>
      </c>
      <c r="M607" t="n">
        <v>0</v>
      </c>
      <c r="N607" t="n">
        <v>0</v>
      </c>
      <c r="O607" t="n">
        <v>0</v>
      </c>
      <c r="P607" t="n">
        <v>0</v>
      </c>
      <c r="Q607" t="n">
        <v>0</v>
      </c>
      <c r="R607" s="2" t="inlineStr"/>
    </row>
    <row r="608" ht="15" customHeight="1">
      <c r="A608" t="inlineStr">
        <is>
          <t>A 12588-2025</t>
        </is>
      </c>
      <c r="B608" s="1" t="n">
        <v>45732.76936342593</v>
      </c>
      <c r="C608" s="1" t="n">
        <v>45933</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25979-2023</t>
        </is>
      </c>
      <c r="B609" s="1" t="n">
        <v>45090.89653935185</v>
      </c>
      <c r="C609" s="1" t="n">
        <v>45933</v>
      </c>
      <c r="D609" t="inlineStr">
        <is>
          <t>KALMAR LÄN</t>
        </is>
      </c>
      <c r="E609" t="inlineStr">
        <is>
          <t>VIMMERBY</t>
        </is>
      </c>
      <c r="G609" t="n">
        <v>2</v>
      </c>
      <c r="H609" t="n">
        <v>0</v>
      </c>
      <c r="I609" t="n">
        <v>0</v>
      </c>
      <c r="J609" t="n">
        <v>0</v>
      </c>
      <c r="K609" t="n">
        <v>0</v>
      </c>
      <c r="L609" t="n">
        <v>0</v>
      </c>
      <c r="M609" t="n">
        <v>0</v>
      </c>
      <c r="N609" t="n">
        <v>0</v>
      </c>
      <c r="O609" t="n">
        <v>0</v>
      </c>
      <c r="P609" t="n">
        <v>0</v>
      </c>
      <c r="Q609" t="n">
        <v>0</v>
      </c>
      <c r="R609" s="2" t="inlineStr"/>
    </row>
    <row r="610" ht="15" customHeight="1">
      <c r="A610" t="inlineStr">
        <is>
          <t>A 25980-2023</t>
        </is>
      </c>
      <c r="B610" s="1" t="n">
        <v>45090.89880787037</v>
      </c>
      <c r="C610" s="1" t="n">
        <v>45933</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6082-2022</t>
        </is>
      </c>
      <c r="B611" s="1" t="n">
        <v>44599</v>
      </c>
      <c r="C611" s="1" t="n">
        <v>45933</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46979-2023</t>
        </is>
      </c>
      <c r="B612" s="1" t="n">
        <v>45201</v>
      </c>
      <c r="C612" s="1" t="n">
        <v>45933</v>
      </c>
      <c r="D612" t="inlineStr">
        <is>
          <t>KALMAR LÄN</t>
        </is>
      </c>
      <c r="E612" t="inlineStr">
        <is>
          <t>VIMMERBY</t>
        </is>
      </c>
      <c r="G612" t="n">
        <v>1</v>
      </c>
      <c r="H612" t="n">
        <v>0</v>
      </c>
      <c r="I612" t="n">
        <v>0</v>
      </c>
      <c r="J612" t="n">
        <v>0</v>
      </c>
      <c r="K612" t="n">
        <v>0</v>
      </c>
      <c r="L612" t="n">
        <v>0</v>
      </c>
      <c r="M612" t="n">
        <v>0</v>
      </c>
      <c r="N612" t="n">
        <v>0</v>
      </c>
      <c r="O612" t="n">
        <v>0</v>
      </c>
      <c r="P612" t="n">
        <v>0</v>
      </c>
      <c r="Q612" t="n">
        <v>0</v>
      </c>
      <c r="R612" s="2" t="inlineStr"/>
    </row>
    <row r="613" ht="15" customHeight="1">
      <c r="A613" t="inlineStr">
        <is>
          <t>A 46921-2023</t>
        </is>
      </c>
      <c r="B613" s="1" t="n">
        <v>45201.39996527778</v>
      </c>
      <c r="C613" s="1" t="n">
        <v>45933</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10837-2023</t>
        </is>
      </c>
      <c r="B614" s="1" t="n">
        <v>44991.30547453704</v>
      </c>
      <c r="C614" s="1" t="n">
        <v>45933</v>
      </c>
      <c r="D614" t="inlineStr">
        <is>
          <t>KALMAR LÄN</t>
        </is>
      </c>
      <c r="E614" t="inlineStr">
        <is>
          <t>VIMMERBY</t>
        </is>
      </c>
      <c r="G614" t="n">
        <v>7.3</v>
      </c>
      <c r="H614" t="n">
        <v>0</v>
      </c>
      <c r="I614" t="n">
        <v>0</v>
      </c>
      <c r="J614" t="n">
        <v>0</v>
      </c>
      <c r="K614" t="n">
        <v>0</v>
      </c>
      <c r="L614" t="n">
        <v>0</v>
      </c>
      <c r="M614" t="n">
        <v>0</v>
      </c>
      <c r="N614" t="n">
        <v>0</v>
      </c>
      <c r="O614" t="n">
        <v>0</v>
      </c>
      <c r="P614" t="n">
        <v>0</v>
      </c>
      <c r="Q614" t="n">
        <v>0</v>
      </c>
      <c r="R614" s="2" t="inlineStr"/>
    </row>
    <row r="615" ht="15" customHeight="1">
      <c r="A615" t="inlineStr">
        <is>
          <t>A 10838-2023</t>
        </is>
      </c>
      <c r="B615" s="1" t="n">
        <v>44991</v>
      </c>
      <c r="C615" s="1" t="n">
        <v>45933</v>
      </c>
      <c r="D615" t="inlineStr">
        <is>
          <t>KALMAR LÄN</t>
        </is>
      </c>
      <c r="E615" t="inlineStr">
        <is>
          <t>VIMMERBY</t>
        </is>
      </c>
      <c r="G615" t="n">
        <v>5.1</v>
      </c>
      <c r="H615" t="n">
        <v>0</v>
      </c>
      <c r="I615" t="n">
        <v>0</v>
      </c>
      <c r="J615" t="n">
        <v>0</v>
      </c>
      <c r="K615" t="n">
        <v>0</v>
      </c>
      <c r="L615" t="n">
        <v>0</v>
      </c>
      <c r="M615" t="n">
        <v>0</v>
      </c>
      <c r="N615" t="n">
        <v>0</v>
      </c>
      <c r="O615" t="n">
        <v>0</v>
      </c>
      <c r="P615" t="n">
        <v>0</v>
      </c>
      <c r="Q615" t="n">
        <v>0</v>
      </c>
      <c r="R615" s="2" t="inlineStr"/>
    </row>
    <row r="616" ht="15" customHeight="1">
      <c r="A616" t="inlineStr">
        <is>
          <t>A 2596-2025</t>
        </is>
      </c>
      <c r="B616" s="1" t="n">
        <v>45674.71810185185</v>
      </c>
      <c r="C616" s="1" t="n">
        <v>45933</v>
      </c>
      <c r="D616" t="inlineStr">
        <is>
          <t>KALMAR LÄN</t>
        </is>
      </c>
      <c r="E616" t="inlineStr">
        <is>
          <t>VIMMERBY</t>
        </is>
      </c>
      <c r="G616" t="n">
        <v>9</v>
      </c>
      <c r="H616" t="n">
        <v>0</v>
      </c>
      <c r="I616" t="n">
        <v>0</v>
      </c>
      <c r="J616" t="n">
        <v>0</v>
      </c>
      <c r="K616" t="n">
        <v>0</v>
      </c>
      <c r="L616" t="n">
        <v>0</v>
      </c>
      <c r="M616" t="n">
        <v>0</v>
      </c>
      <c r="N616" t="n">
        <v>0</v>
      </c>
      <c r="O616" t="n">
        <v>0</v>
      </c>
      <c r="P616" t="n">
        <v>0</v>
      </c>
      <c r="Q616" t="n">
        <v>0</v>
      </c>
      <c r="R616" s="2" t="inlineStr"/>
    </row>
    <row r="617" ht="15" customHeight="1">
      <c r="A617" t="inlineStr">
        <is>
          <t>A 47855-2024</t>
        </is>
      </c>
      <c r="B617" s="1" t="n">
        <v>45588.66457175926</v>
      </c>
      <c r="C617" s="1" t="n">
        <v>45933</v>
      </c>
      <c r="D617" t="inlineStr">
        <is>
          <t>KALMAR LÄN</t>
        </is>
      </c>
      <c r="E617" t="inlineStr">
        <is>
          <t>VIMMERBY</t>
        </is>
      </c>
      <c r="G617" t="n">
        <v>0.8</v>
      </c>
      <c r="H617" t="n">
        <v>0</v>
      </c>
      <c r="I617" t="n">
        <v>0</v>
      </c>
      <c r="J617" t="n">
        <v>0</v>
      </c>
      <c r="K617" t="n">
        <v>0</v>
      </c>
      <c r="L617" t="n">
        <v>0</v>
      </c>
      <c r="M617" t="n">
        <v>0</v>
      </c>
      <c r="N617" t="n">
        <v>0</v>
      </c>
      <c r="O617" t="n">
        <v>0</v>
      </c>
      <c r="P617" t="n">
        <v>0</v>
      </c>
      <c r="Q617" t="n">
        <v>0</v>
      </c>
      <c r="R617" s="2" t="inlineStr"/>
    </row>
    <row r="618" ht="15" customHeight="1">
      <c r="A618" t="inlineStr">
        <is>
          <t>A 63583-2023</t>
        </is>
      </c>
      <c r="B618" s="1" t="n">
        <v>45275.41833333333</v>
      </c>
      <c r="C618" s="1" t="n">
        <v>45933</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30912-2023</t>
        </is>
      </c>
      <c r="B619" s="1" t="n">
        <v>45113.41633101852</v>
      </c>
      <c r="C619" s="1" t="n">
        <v>45933</v>
      </c>
      <c r="D619" t="inlineStr">
        <is>
          <t>KALMAR LÄN</t>
        </is>
      </c>
      <c r="E619" t="inlineStr">
        <is>
          <t>VIMMERBY</t>
        </is>
      </c>
      <c r="G619" t="n">
        <v>5</v>
      </c>
      <c r="H619" t="n">
        <v>0</v>
      </c>
      <c r="I619" t="n">
        <v>0</v>
      </c>
      <c r="J619" t="n">
        <v>0</v>
      </c>
      <c r="K619" t="n">
        <v>0</v>
      </c>
      <c r="L619" t="n">
        <v>0</v>
      </c>
      <c r="M619" t="n">
        <v>0</v>
      </c>
      <c r="N619" t="n">
        <v>0</v>
      </c>
      <c r="O619" t="n">
        <v>0</v>
      </c>
      <c r="P619" t="n">
        <v>0</v>
      </c>
      <c r="Q619" t="n">
        <v>0</v>
      </c>
      <c r="R619" s="2" t="inlineStr"/>
    </row>
    <row r="620" ht="15" customHeight="1">
      <c r="A620" t="inlineStr">
        <is>
          <t>A 55436-2023</t>
        </is>
      </c>
      <c r="B620" s="1" t="n">
        <v>45238.4328587963</v>
      </c>
      <c r="C620" s="1" t="n">
        <v>45933</v>
      </c>
      <c r="D620" t="inlineStr">
        <is>
          <t>KALMAR LÄN</t>
        </is>
      </c>
      <c r="E620" t="inlineStr">
        <is>
          <t>VIMMERBY</t>
        </is>
      </c>
      <c r="G620" t="n">
        <v>5.6</v>
      </c>
      <c r="H620" t="n">
        <v>0</v>
      </c>
      <c r="I620" t="n">
        <v>0</v>
      </c>
      <c r="J620" t="n">
        <v>0</v>
      </c>
      <c r="K620" t="n">
        <v>0</v>
      </c>
      <c r="L620" t="n">
        <v>0</v>
      </c>
      <c r="M620" t="n">
        <v>0</v>
      </c>
      <c r="N620" t="n">
        <v>0</v>
      </c>
      <c r="O620" t="n">
        <v>0</v>
      </c>
      <c r="P620" t="n">
        <v>0</v>
      </c>
      <c r="Q620" t="n">
        <v>0</v>
      </c>
      <c r="R620" s="2" t="inlineStr"/>
    </row>
    <row r="621" ht="15" customHeight="1">
      <c r="A621" t="inlineStr">
        <is>
          <t>A 60228-2021</t>
        </is>
      </c>
      <c r="B621" s="1" t="n">
        <v>44495</v>
      </c>
      <c r="C621" s="1" t="n">
        <v>45933</v>
      </c>
      <c r="D621" t="inlineStr">
        <is>
          <t>KALMAR LÄN</t>
        </is>
      </c>
      <c r="E621" t="inlineStr">
        <is>
          <t>VIMMERBY</t>
        </is>
      </c>
      <c r="G621" t="n">
        <v>4.1</v>
      </c>
      <c r="H621" t="n">
        <v>0</v>
      </c>
      <c r="I621" t="n">
        <v>0</v>
      </c>
      <c r="J621" t="n">
        <v>0</v>
      </c>
      <c r="K621" t="n">
        <v>0</v>
      </c>
      <c r="L621" t="n">
        <v>0</v>
      </c>
      <c r="M621" t="n">
        <v>0</v>
      </c>
      <c r="N621" t="n">
        <v>0</v>
      </c>
      <c r="O621" t="n">
        <v>0</v>
      </c>
      <c r="P621" t="n">
        <v>0</v>
      </c>
      <c r="Q621" t="n">
        <v>0</v>
      </c>
      <c r="R621" s="2" t="inlineStr"/>
    </row>
    <row r="622" ht="15" customHeight="1">
      <c r="A622" t="inlineStr">
        <is>
          <t>A 21507-2023</t>
        </is>
      </c>
      <c r="B622" s="1" t="n">
        <v>45063.508125</v>
      </c>
      <c r="C622" s="1" t="n">
        <v>45933</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51187-2023</t>
        </is>
      </c>
      <c r="B623" s="1" t="n">
        <v>45219.40528935185</v>
      </c>
      <c r="C623" s="1" t="n">
        <v>45933</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13290-2025</t>
        </is>
      </c>
      <c r="B624" s="1" t="n">
        <v>45735.56751157407</v>
      </c>
      <c r="C624" s="1" t="n">
        <v>45933</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46522-2022</t>
        </is>
      </c>
      <c r="B625" s="1" t="n">
        <v>44848.59133101852</v>
      </c>
      <c r="C625" s="1" t="n">
        <v>45933</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45560-2021</t>
        </is>
      </c>
      <c r="B626" s="1" t="n">
        <v>44440</v>
      </c>
      <c r="C626" s="1" t="n">
        <v>45933</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21109-2024</t>
        </is>
      </c>
      <c r="B627" s="1" t="n">
        <v>45440.28329861111</v>
      </c>
      <c r="C627" s="1" t="n">
        <v>45933</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33815-2022</t>
        </is>
      </c>
      <c r="B628" s="1" t="n">
        <v>44790.45876157407</v>
      </c>
      <c r="C628" s="1" t="n">
        <v>45933</v>
      </c>
      <c r="D628" t="inlineStr">
        <is>
          <t>KALMAR LÄN</t>
        </is>
      </c>
      <c r="E628" t="inlineStr">
        <is>
          <t>VIMMERBY</t>
        </is>
      </c>
      <c r="G628" t="n">
        <v>0.9</v>
      </c>
      <c r="H628" t="n">
        <v>0</v>
      </c>
      <c r="I628" t="n">
        <v>0</v>
      </c>
      <c r="J628" t="n">
        <v>0</v>
      </c>
      <c r="K628" t="n">
        <v>0</v>
      </c>
      <c r="L628" t="n">
        <v>0</v>
      </c>
      <c r="M628" t="n">
        <v>0</v>
      </c>
      <c r="N628" t="n">
        <v>0</v>
      </c>
      <c r="O628" t="n">
        <v>0</v>
      </c>
      <c r="P628" t="n">
        <v>0</v>
      </c>
      <c r="Q628" t="n">
        <v>0</v>
      </c>
      <c r="R628" s="2" t="inlineStr"/>
    </row>
    <row r="629" ht="15" customHeight="1">
      <c r="A629" t="inlineStr">
        <is>
          <t>A 16622-2025</t>
        </is>
      </c>
      <c r="B629" s="1" t="n">
        <v>45754.33641203704</v>
      </c>
      <c r="C629" s="1" t="n">
        <v>45933</v>
      </c>
      <c r="D629" t="inlineStr">
        <is>
          <t>KALMAR LÄN</t>
        </is>
      </c>
      <c r="E629" t="inlineStr">
        <is>
          <t>VIMMERBY</t>
        </is>
      </c>
      <c r="G629" t="n">
        <v>1</v>
      </c>
      <c r="H629" t="n">
        <v>0</v>
      </c>
      <c r="I629" t="n">
        <v>0</v>
      </c>
      <c r="J629" t="n">
        <v>0</v>
      </c>
      <c r="K629" t="n">
        <v>0</v>
      </c>
      <c r="L629" t="n">
        <v>0</v>
      </c>
      <c r="M629" t="n">
        <v>0</v>
      </c>
      <c r="N629" t="n">
        <v>0</v>
      </c>
      <c r="O629" t="n">
        <v>0</v>
      </c>
      <c r="P629" t="n">
        <v>0</v>
      </c>
      <c r="Q629" t="n">
        <v>0</v>
      </c>
      <c r="R629" s="2" t="inlineStr"/>
    </row>
    <row r="630" ht="15" customHeight="1">
      <c r="A630" t="inlineStr">
        <is>
          <t>A 49461-2022</t>
        </is>
      </c>
      <c r="B630" s="1" t="n">
        <v>44861</v>
      </c>
      <c r="C630" s="1" t="n">
        <v>45933</v>
      </c>
      <c r="D630" t="inlineStr">
        <is>
          <t>KALMAR LÄN</t>
        </is>
      </c>
      <c r="E630" t="inlineStr">
        <is>
          <t>VIMMERBY</t>
        </is>
      </c>
      <c r="G630" t="n">
        <v>3.2</v>
      </c>
      <c r="H630" t="n">
        <v>0</v>
      </c>
      <c r="I630" t="n">
        <v>0</v>
      </c>
      <c r="J630" t="n">
        <v>0</v>
      </c>
      <c r="K630" t="n">
        <v>0</v>
      </c>
      <c r="L630" t="n">
        <v>0</v>
      </c>
      <c r="M630" t="n">
        <v>0</v>
      </c>
      <c r="N630" t="n">
        <v>0</v>
      </c>
      <c r="O630" t="n">
        <v>0</v>
      </c>
      <c r="P630" t="n">
        <v>0</v>
      </c>
      <c r="Q630" t="n">
        <v>0</v>
      </c>
      <c r="R630" s="2" t="inlineStr"/>
    </row>
    <row r="631" ht="15" customHeight="1">
      <c r="A631" t="inlineStr">
        <is>
          <t>A 53542-2022</t>
        </is>
      </c>
      <c r="B631" s="1" t="n">
        <v>44879.62173611111</v>
      </c>
      <c r="C631" s="1" t="n">
        <v>45933</v>
      </c>
      <c r="D631" t="inlineStr">
        <is>
          <t>KALMAR LÄN</t>
        </is>
      </c>
      <c r="E631" t="inlineStr">
        <is>
          <t>VIMMERBY</t>
        </is>
      </c>
      <c r="G631" t="n">
        <v>2.6</v>
      </c>
      <c r="H631" t="n">
        <v>0</v>
      </c>
      <c r="I631" t="n">
        <v>0</v>
      </c>
      <c r="J631" t="n">
        <v>0</v>
      </c>
      <c r="K631" t="n">
        <v>0</v>
      </c>
      <c r="L631" t="n">
        <v>0</v>
      </c>
      <c r="M631" t="n">
        <v>0</v>
      </c>
      <c r="N631" t="n">
        <v>0</v>
      </c>
      <c r="O631" t="n">
        <v>0</v>
      </c>
      <c r="P631" t="n">
        <v>0</v>
      </c>
      <c r="Q631" t="n">
        <v>0</v>
      </c>
      <c r="R631" s="2" t="inlineStr"/>
    </row>
    <row r="632" ht="15" customHeight="1">
      <c r="A632" t="inlineStr">
        <is>
          <t>A 35713-2023</t>
        </is>
      </c>
      <c r="B632" s="1" t="n">
        <v>45147</v>
      </c>
      <c r="C632" s="1" t="n">
        <v>45933</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10424-2023</t>
        </is>
      </c>
      <c r="B633" s="1" t="n">
        <v>44987.54104166666</v>
      </c>
      <c r="C633" s="1" t="n">
        <v>45933</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31340-2023</t>
        </is>
      </c>
      <c r="B634" s="1" t="n">
        <v>45114.47895833333</v>
      </c>
      <c r="C634" s="1" t="n">
        <v>45933</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29168-2024</t>
        </is>
      </c>
      <c r="B635" s="1" t="n">
        <v>45482.49870370371</v>
      </c>
      <c r="C635" s="1" t="n">
        <v>45933</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29186-2024</t>
        </is>
      </c>
      <c r="B636" s="1" t="n">
        <v>45482.54844907407</v>
      </c>
      <c r="C636" s="1" t="n">
        <v>45933</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35895-2024</t>
        </is>
      </c>
      <c r="B637" s="1" t="n">
        <v>45533.38870370371</v>
      </c>
      <c r="C637" s="1" t="n">
        <v>45933</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12590-2025</t>
        </is>
      </c>
      <c r="B638" s="1" t="n">
        <v>45732.79925925926</v>
      </c>
      <c r="C638" s="1" t="n">
        <v>45933</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30318-2023</t>
        </is>
      </c>
      <c r="B639" s="1" t="n">
        <v>45111.30824074074</v>
      </c>
      <c r="C639" s="1" t="n">
        <v>45933</v>
      </c>
      <c r="D639" t="inlineStr">
        <is>
          <t>KALMAR LÄN</t>
        </is>
      </c>
      <c r="E639" t="inlineStr">
        <is>
          <t>VIMMERBY</t>
        </is>
      </c>
      <c r="G639" t="n">
        <v>2.6</v>
      </c>
      <c r="H639" t="n">
        <v>0</v>
      </c>
      <c r="I639" t="n">
        <v>0</v>
      </c>
      <c r="J639" t="n">
        <v>0</v>
      </c>
      <c r="K639" t="n">
        <v>0</v>
      </c>
      <c r="L639" t="n">
        <v>0</v>
      </c>
      <c r="M639" t="n">
        <v>0</v>
      </c>
      <c r="N639" t="n">
        <v>0</v>
      </c>
      <c r="O639" t="n">
        <v>0</v>
      </c>
      <c r="P639" t="n">
        <v>0</v>
      </c>
      <c r="Q639" t="n">
        <v>0</v>
      </c>
      <c r="R639" s="2" t="inlineStr"/>
    </row>
    <row r="640" ht="15" customHeight="1">
      <c r="A640" t="inlineStr">
        <is>
          <t>A 43186-2021</t>
        </is>
      </c>
      <c r="B640" s="1" t="n">
        <v>44431.84840277778</v>
      </c>
      <c r="C640" s="1" t="n">
        <v>45933</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60215-2022</t>
        </is>
      </c>
      <c r="B641" s="1" t="n">
        <v>44910.41346064815</v>
      </c>
      <c r="C641" s="1" t="n">
        <v>45933</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60230-2022</t>
        </is>
      </c>
      <c r="B642" s="1" t="n">
        <v>44910</v>
      </c>
      <c r="C642" s="1" t="n">
        <v>45933</v>
      </c>
      <c r="D642" t="inlineStr">
        <is>
          <t>KALMAR LÄN</t>
        </is>
      </c>
      <c r="E642" t="inlineStr">
        <is>
          <t>VIMMERBY</t>
        </is>
      </c>
      <c r="G642" t="n">
        <v>11.3</v>
      </c>
      <c r="H642" t="n">
        <v>0</v>
      </c>
      <c r="I642" t="n">
        <v>0</v>
      </c>
      <c r="J642" t="n">
        <v>0</v>
      </c>
      <c r="K642" t="n">
        <v>0</v>
      </c>
      <c r="L642" t="n">
        <v>0</v>
      </c>
      <c r="M642" t="n">
        <v>0</v>
      </c>
      <c r="N642" t="n">
        <v>0</v>
      </c>
      <c r="O642" t="n">
        <v>0</v>
      </c>
      <c r="P642" t="n">
        <v>0</v>
      </c>
      <c r="Q642" t="n">
        <v>0</v>
      </c>
      <c r="R642" s="2" t="inlineStr"/>
    </row>
    <row r="643" ht="15" customHeight="1">
      <c r="A643" t="inlineStr">
        <is>
          <t>A 5925-2022</t>
        </is>
      </c>
      <c r="B643" s="1" t="n">
        <v>44598.7384837963</v>
      </c>
      <c r="C643" s="1" t="n">
        <v>45933</v>
      </c>
      <c r="D643" t="inlineStr">
        <is>
          <t>KALMAR LÄN</t>
        </is>
      </c>
      <c r="E643" t="inlineStr">
        <is>
          <t>VIMMERBY</t>
        </is>
      </c>
      <c r="G643" t="n">
        <v>2.1</v>
      </c>
      <c r="H643" t="n">
        <v>0</v>
      </c>
      <c r="I643" t="n">
        <v>0</v>
      </c>
      <c r="J643" t="n">
        <v>0</v>
      </c>
      <c r="K643" t="n">
        <v>0</v>
      </c>
      <c r="L643" t="n">
        <v>0</v>
      </c>
      <c r="M643" t="n">
        <v>0</v>
      </c>
      <c r="N643" t="n">
        <v>0</v>
      </c>
      <c r="O643" t="n">
        <v>0</v>
      </c>
      <c r="P643" t="n">
        <v>0</v>
      </c>
      <c r="Q643" t="n">
        <v>0</v>
      </c>
      <c r="R643" s="2" t="inlineStr"/>
    </row>
    <row r="644" ht="15" customHeight="1">
      <c r="A644" t="inlineStr">
        <is>
          <t>A 845-2023</t>
        </is>
      </c>
      <c r="B644" s="1" t="n">
        <v>44931</v>
      </c>
      <c r="C644" s="1" t="n">
        <v>45933</v>
      </c>
      <c r="D644" t="inlineStr">
        <is>
          <t>KALMAR LÄN</t>
        </is>
      </c>
      <c r="E644" t="inlineStr">
        <is>
          <t>VIMMERBY</t>
        </is>
      </c>
      <c r="F644" t="inlineStr">
        <is>
          <t>Övriga Aktiebolag</t>
        </is>
      </c>
      <c r="G644" t="n">
        <v>19</v>
      </c>
      <c r="H644" t="n">
        <v>0</v>
      </c>
      <c r="I644" t="n">
        <v>0</v>
      </c>
      <c r="J644" t="n">
        <v>0</v>
      </c>
      <c r="K644" t="n">
        <v>0</v>
      </c>
      <c r="L644" t="n">
        <v>0</v>
      </c>
      <c r="M644" t="n">
        <v>0</v>
      </c>
      <c r="N644" t="n">
        <v>0</v>
      </c>
      <c r="O644" t="n">
        <v>0</v>
      </c>
      <c r="P644" t="n">
        <v>0</v>
      </c>
      <c r="Q644" t="n">
        <v>0</v>
      </c>
      <c r="R644" s="2" t="inlineStr"/>
    </row>
    <row r="645" ht="15" customHeight="1">
      <c r="A645" t="inlineStr">
        <is>
          <t>A 16119-2023</t>
        </is>
      </c>
      <c r="B645" s="1" t="n">
        <v>45027.59450231482</v>
      </c>
      <c r="C645" s="1" t="n">
        <v>45933</v>
      </c>
      <c r="D645" t="inlineStr">
        <is>
          <t>KALMAR LÄN</t>
        </is>
      </c>
      <c r="E645" t="inlineStr">
        <is>
          <t>VIMMERBY</t>
        </is>
      </c>
      <c r="F645" t="inlineStr">
        <is>
          <t>Kommuner</t>
        </is>
      </c>
      <c r="G645" t="n">
        <v>4.4</v>
      </c>
      <c r="H645" t="n">
        <v>0</v>
      </c>
      <c r="I645" t="n">
        <v>0</v>
      </c>
      <c r="J645" t="n">
        <v>0</v>
      </c>
      <c r="K645" t="n">
        <v>0</v>
      </c>
      <c r="L645" t="n">
        <v>0</v>
      </c>
      <c r="M645" t="n">
        <v>0</v>
      </c>
      <c r="N645" t="n">
        <v>0</v>
      </c>
      <c r="O645" t="n">
        <v>0</v>
      </c>
      <c r="P645" t="n">
        <v>0</v>
      </c>
      <c r="Q645" t="n">
        <v>0</v>
      </c>
      <c r="R645" s="2" t="inlineStr"/>
    </row>
    <row r="646" ht="15" customHeight="1">
      <c r="A646" t="inlineStr">
        <is>
          <t>A 30588-2023</t>
        </is>
      </c>
      <c r="B646" s="1" t="n">
        <v>45112.33599537037</v>
      </c>
      <c r="C646" s="1" t="n">
        <v>45933</v>
      </c>
      <c r="D646" t="inlineStr">
        <is>
          <t>KALMAR LÄN</t>
        </is>
      </c>
      <c r="E646" t="inlineStr">
        <is>
          <t>VIMMERBY</t>
        </is>
      </c>
      <c r="G646" t="n">
        <v>2.7</v>
      </c>
      <c r="H646" t="n">
        <v>0</v>
      </c>
      <c r="I646" t="n">
        <v>0</v>
      </c>
      <c r="J646" t="n">
        <v>0</v>
      </c>
      <c r="K646" t="n">
        <v>0</v>
      </c>
      <c r="L646" t="n">
        <v>0</v>
      </c>
      <c r="M646" t="n">
        <v>0</v>
      </c>
      <c r="N646" t="n">
        <v>0</v>
      </c>
      <c r="O646" t="n">
        <v>0</v>
      </c>
      <c r="P646" t="n">
        <v>0</v>
      </c>
      <c r="Q646" t="n">
        <v>0</v>
      </c>
      <c r="R646" s="2" t="inlineStr"/>
    </row>
    <row r="647" ht="15" customHeight="1">
      <c r="A647" t="inlineStr">
        <is>
          <t>A 33340-2023</t>
        </is>
      </c>
      <c r="B647" s="1" t="n">
        <v>45128.37305555555</v>
      </c>
      <c r="C647" s="1" t="n">
        <v>45933</v>
      </c>
      <c r="D647" t="inlineStr">
        <is>
          <t>KALMAR LÄN</t>
        </is>
      </c>
      <c r="E647" t="inlineStr">
        <is>
          <t>VIMMERBY</t>
        </is>
      </c>
      <c r="G647" t="n">
        <v>1.5</v>
      </c>
      <c r="H647" t="n">
        <v>0</v>
      </c>
      <c r="I647" t="n">
        <v>0</v>
      </c>
      <c r="J647" t="n">
        <v>0</v>
      </c>
      <c r="K647" t="n">
        <v>0</v>
      </c>
      <c r="L647" t="n">
        <v>0</v>
      </c>
      <c r="M647" t="n">
        <v>0</v>
      </c>
      <c r="N647" t="n">
        <v>0</v>
      </c>
      <c r="O647" t="n">
        <v>0</v>
      </c>
      <c r="P647" t="n">
        <v>0</v>
      </c>
      <c r="Q647" t="n">
        <v>0</v>
      </c>
      <c r="R647" s="2" t="inlineStr"/>
    </row>
    <row r="648" ht="15" customHeight="1">
      <c r="A648" t="inlineStr">
        <is>
          <t>A 50764-2020</t>
        </is>
      </c>
      <c r="B648" s="1" t="n">
        <v>44111</v>
      </c>
      <c r="C648" s="1" t="n">
        <v>45933</v>
      </c>
      <c r="D648" t="inlineStr">
        <is>
          <t>KALMAR LÄN</t>
        </is>
      </c>
      <c r="E648" t="inlineStr">
        <is>
          <t>VIMMERBY</t>
        </is>
      </c>
      <c r="G648" t="n">
        <v>2.3</v>
      </c>
      <c r="H648" t="n">
        <v>0</v>
      </c>
      <c r="I648" t="n">
        <v>0</v>
      </c>
      <c r="J648" t="n">
        <v>0</v>
      </c>
      <c r="K648" t="n">
        <v>0</v>
      </c>
      <c r="L648" t="n">
        <v>0</v>
      </c>
      <c r="M648" t="n">
        <v>0</v>
      </c>
      <c r="N648" t="n">
        <v>0</v>
      </c>
      <c r="O648" t="n">
        <v>0</v>
      </c>
      <c r="P648" t="n">
        <v>0</v>
      </c>
      <c r="Q648" t="n">
        <v>0</v>
      </c>
      <c r="R648" s="2" t="inlineStr"/>
    </row>
    <row r="649" ht="15" customHeight="1">
      <c r="A649" t="inlineStr">
        <is>
          <t>A 45528-2021</t>
        </is>
      </c>
      <c r="B649" s="1" t="n">
        <v>44440.60415509259</v>
      </c>
      <c r="C649" s="1" t="n">
        <v>45933</v>
      </c>
      <c r="D649" t="inlineStr">
        <is>
          <t>KALMAR LÄN</t>
        </is>
      </c>
      <c r="E649" t="inlineStr">
        <is>
          <t>VIMMERBY</t>
        </is>
      </c>
      <c r="G649" t="n">
        <v>2.2</v>
      </c>
      <c r="H649" t="n">
        <v>0</v>
      </c>
      <c r="I649" t="n">
        <v>0</v>
      </c>
      <c r="J649" t="n">
        <v>0</v>
      </c>
      <c r="K649" t="n">
        <v>0</v>
      </c>
      <c r="L649" t="n">
        <v>0</v>
      </c>
      <c r="M649" t="n">
        <v>0</v>
      </c>
      <c r="N649" t="n">
        <v>0</v>
      </c>
      <c r="O649" t="n">
        <v>0</v>
      </c>
      <c r="P649" t="n">
        <v>0</v>
      </c>
      <c r="Q649" t="n">
        <v>0</v>
      </c>
      <c r="R649" s="2" t="inlineStr"/>
    </row>
    <row r="650" ht="15" customHeight="1">
      <c r="A650" t="inlineStr">
        <is>
          <t>A 29017-2024</t>
        </is>
      </c>
      <c r="B650" s="1" t="n">
        <v>45481.56722222222</v>
      </c>
      <c r="C650" s="1" t="n">
        <v>45933</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58046-2022</t>
        </is>
      </c>
      <c r="B651" s="1" t="n">
        <v>44900.57393518519</v>
      </c>
      <c r="C651" s="1" t="n">
        <v>45933</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14548-2024</t>
        </is>
      </c>
      <c r="B652" s="1" t="n">
        <v>45394.66887731481</v>
      </c>
      <c r="C652" s="1" t="n">
        <v>45933</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16516-2023</t>
        </is>
      </c>
      <c r="B653" s="1" t="n">
        <v>45029</v>
      </c>
      <c r="C653" s="1" t="n">
        <v>45933</v>
      </c>
      <c r="D653" t="inlineStr">
        <is>
          <t>KALMAR LÄN</t>
        </is>
      </c>
      <c r="E653" t="inlineStr">
        <is>
          <t>VIMMERBY</t>
        </is>
      </c>
      <c r="G653" t="n">
        <v>4.3</v>
      </c>
      <c r="H653" t="n">
        <v>0</v>
      </c>
      <c r="I653" t="n">
        <v>0</v>
      </c>
      <c r="J653" t="n">
        <v>0</v>
      </c>
      <c r="K653" t="n">
        <v>0</v>
      </c>
      <c r="L653" t="n">
        <v>0</v>
      </c>
      <c r="M653" t="n">
        <v>0</v>
      </c>
      <c r="N653" t="n">
        <v>0</v>
      </c>
      <c r="O653" t="n">
        <v>0</v>
      </c>
      <c r="P653" t="n">
        <v>0</v>
      </c>
      <c r="Q653" t="n">
        <v>0</v>
      </c>
      <c r="R653" s="2" t="inlineStr"/>
    </row>
    <row r="654" ht="15" customHeight="1">
      <c r="A654" t="inlineStr">
        <is>
          <t>A 2510-2023</t>
        </is>
      </c>
      <c r="B654" s="1" t="n">
        <v>44943.57309027778</v>
      </c>
      <c r="C654" s="1" t="n">
        <v>45933</v>
      </c>
      <c r="D654" t="inlineStr">
        <is>
          <t>KALMAR LÄN</t>
        </is>
      </c>
      <c r="E654" t="inlineStr">
        <is>
          <t>VIMMERBY</t>
        </is>
      </c>
      <c r="G654" t="n">
        <v>8.6</v>
      </c>
      <c r="H654" t="n">
        <v>0</v>
      </c>
      <c r="I654" t="n">
        <v>0</v>
      </c>
      <c r="J654" t="n">
        <v>0</v>
      </c>
      <c r="K654" t="n">
        <v>0</v>
      </c>
      <c r="L654" t="n">
        <v>0</v>
      </c>
      <c r="M654" t="n">
        <v>0</v>
      </c>
      <c r="N654" t="n">
        <v>0</v>
      </c>
      <c r="O654" t="n">
        <v>0</v>
      </c>
      <c r="P654" t="n">
        <v>0</v>
      </c>
      <c r="Q654" t="n">
        <v>0</v>
      </c>
      <c r="R654" s="2" t="inlineStr"/>
    </row>
    <row r="655" ht="15" customHeight="1">
      <c r="A655" t="inlineStr">
        <is>
          <t>A 48120-2022</t>
        </is>
      </c>
      <c r="B655" s="1" t="n">
        <v>44857.65989583333</v>
      </c>
      <c r="C655" s="1" t="n">
        <v>45933</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3423-2022</t>
        </is>
      </c>
      <c r="B656" s="1" t="n">
        <v>44585.50431712963</v>
      </c>
      <c r="C656" s="1" t="n">
        <v>45933</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11074-2023</t>
        </is>
      </c>
      <c r="B657" s="1" t="n">
        <v>44992.34151620371</v>
      </c>
      <c r="C657" s="1" t="n">
        <v>45933</v>
      </c>
      <c r="D657" t="inlineStr">
        <is>
          <t>KALMAR LÄN</t>
        </is>
      </c>
      <c r="E657" t="inlineStr">
        <is>
          <t>VIMMERBY</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71631-2021</t>
        </is>
      </c>
      <c r="B658" s="1" t="n">
        <v>44542.90072916666</v>
      </c>
      <c r="C658" s="1" t="n">
        <v>45933</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48373-2021</t>
        </is>
      </c>
      <c r="B659" s="1" t="n">
        <v>44451</v>
      </c>
      <c r="C659" s="1" t="n">
        <v>45933</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7485-2024</t>
        </is>
      </c>
      <c r="B660" s="1" t="n">
        <v>45346.67184027778</v>
      </c>
      <c r="C660" s="1" t="n">
        <v>45933</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49039-2021</t>
        </is>
      </c>
      <c r="B661" s="1" t="n">
        <v>44453.56578703703</v>
      </c>
      <c r="C661" s="1" t="n">
        <v>45933</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6574-2023</t>
        </is>
      </c>
      <c r="B662" s="1" t="n">
        <v>44966</v>
      </c>
      <c r="C662" s="1" t="n">
        <v>45933</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20054-2023</t>
        </is>
      </c>
      <c r="B663" s="1" t="n">
        <v>45054.6750462963</v>
      </c>
      <c r="C663" s="1" t="n">
        <v>45933</v>
      </c>
      <c r="D663" t="inlineStr">
        <is>
          <t>KALMAR LÄN</t>
        </is>
      </c>
      <c r="E663" t="inlineStr">
        <is>
          <t>VIMMERBY</t>
        </is>
      </c>
      <c r="G663" t="n">
        <v>2.4</v>
      </c>
      <c r="H663" t="n">
        <v>0</v>
      </c>
      <c r="I663" t="n">
        <v>0</v>
      </c>
      <c r="J663" t="n">
        <v>0</v>
      </c>
      <c r="K663" t="n">
        <v>0</v>
      </c>
      <c r="L663" t="n">
        <v>0</v>
      </c>
      <c r="M663" t="n">
        <v>0</v>
      </c>
      <c r="N663" t="n">
        <v>0</v>
      </c>
      <c r="O663" t="n">
        <v>0</v>
      </c>
      <c r="P663" t="n">
        <v>0</v>
      </c>
      <c r="Q663" t="n">
        <v>0</v>
      </c>
      <c r="R663" s="2" t="inlineStr"/>
    </row>
    <row r="664" ht="15" customHeight="1">
      <c r="A664" t="inlineStr">
        <is>
          <t>A 42918-2021</t>
        </is>
      </c>
      <c r="B664" s="1" t="n">
        <v>44431</v>
      </c>
      <c r="C664" s="1" t="n">
        <v>45933</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529-2022</t>
        </is>
      </c>
      <c r="B665" s="1" t="n">
        <v>44566</v>
      </c>
      <c r="C665" s="1" t="n">
        <v>45933</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58750-2022</t>
        </is>
      </c>
      <c r="B666" s="1" t="n">
        <v>44903.33363425926</v>
      </c>
      <c r="C666" s="1" t="n">
        <v>45933</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46365-2025</t>
        </is>
      </c>
      <c r="B667" s="1" t="n">
        <v>45925.50075231482</v>
      </c>
      <c r="C667" s="1" t="n">
        <v>45933</v>
      </c>
      <c r="D667" t="inlineStr">
        <is>
          <t>KALMAR LÄN</t>
        </is>
      </c>
      <c r="E667" t="inlineStr">
        <is>
          <t>VIMMERBY</t>
        </is>
      </c>
      <c r="G667" t="n">
        <v>5.6</v>
      </c>
      <c r="H667" t="n">
        <v>0</v>
      </c>
      <c r="I667" t="n">
        <v>0</v>
      </c>
      <c r="J667" t="n">
        <v>0</v>
      </c>
      <c r="K667" t="n">
        <v>0</v>
      </c>
      <c r="L667" t="n">
        <v>0</v>
      </c>
      <c r="M667" t="n">
        <v>0</v>
      </c>
      <c r="N667" t="n">
        <v>0</v>
      </c>
      <c r="O667" t="n">
        <v>0</v>
      </c>
      <c r="P667" t="n">
        <v>0</v>
      </c>
      <c r="Q667" t="n">
        <v>0</v>
      </c>
      <c r="R667" s="2" t="inlineStr"/>
    </row>
    <row r="668" ht="15" customHeight="1">
      <c r="A668" t="inlineStr">
        <is>
          <t>A 14855-2025</t>
        </is>
      </c>
      <c r="B668" s="1" t="n">
        <v>45743.41148148148</v>
      </c>
      <c r="C668" s="1" t="n">
        <v>45933</v>
      </c>
      <c r="D668" t="inlineStr">
        <is>
          <t>KALMAR LÄN</t>
        </is>
      </c>
      <c r="E668" t="inlineStr">
        <is>
          <t>VIMMERBY</t>
        </is>
      </c>
      <c r="G668" t="n">
        <v>1.2</v>
      </c>
      <c r="H668" t="n">
        <v>0</v>
      </c>
      <c r="I668" t="n">
        <v>0</v>
      </c>
      <c r="J668" t="n">
        <v>0</v>
      </c>
      <c r="K668" t="n">
        <v>0</v>
      </c>
      <c r="L668" t="n">
        <v>0</v>
      </c>
      <c r="M668" t="n">
        <v>0</v>
      </c>
      <c r="N668" t="n">
        <v>0</v>
      </c>
      <c r="O668" t="n">
        <v>0</v>
      </c>
      <c r="P668" t="n">
        <v>0</v>
      </c>
      <c r="Q668" t="n">
        <v>0</v>
      </c>
      <c r="R668" s="2" t="inlineStr"/>
    </row>
    <row r="669" ht="15" customHeight="1">
      <c r="A669" t="inlineStr">
        <is>
          <t>A 60951-2023</t>
        </is>
      </c>
      <c r="B669" s="1" t="n">
        <v>45261.44914351852</v>
      </c>
      <c r="C669" s="1" t="n">
        <v>45933</v>
      </c>
      <c r="D669" t="inlineStr">
        <is>
          <t>KALMAR LÄN</t>
        </is>
      </c>
      <c r="E669" t="inlineStr">
        <is>
          <t>VIMMERBY</t>
        </is>
      </c>
      <c r="G669" t="n">
        <v>4.3</v>
      </c>
      <c r="H669" t="n">
        <v>0</v>
      </c>
      <c r="I669" t="n">
        <v>0</v>
      </c>
      <c r="J669" t="n">
        <v>0</v>
      </c>
      <c r="K669" t="n">
        <v>0</v>
      </c>
      <c r="L669" t="n">
        <v>0</v>
      </c>
      <c r="M669" t="n">
        <v>0</v>
      </c>
      <c r="N669" t="n">
        <v>0</v>
      </c>
      <c r="O669" t="n">
        <v>0</v>
      </c>
      <c r="P669" t="n">
        <v>0</v>
      </c>
      <c r="Q669" t="n">
        <v>0</v>
      </c>
      <c r="R669" s="2" t="inlineStr"/>
    </row>
    <row r="670" ht="15" customHeight="1">
      <c r="A670" t="inlineStr">
        <is>
          <t>A 19162-2023</t>
        </is>
      </c>
      <c r="B670" s="1" t="n">
        <v>45048.59699074074</v>
      </c>
      <c r="C670" s="1" t="n">
        <v>45933</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2260-2022</t>
        </is>
      </c>
      <c r="B671" s="1" t="n">
        <v>44578.62943287037</v>
      </c>
      <c r="C671" s="1" t="n">
        <v>45933</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31209-2024</t>
        </is>
      </c>
      <c r="B672" s="1" t="n">
        <v>45503.5658912037</v>
      </c>
      <c r="C672" s="1" t="n">
        <v>45933</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50860-2022</t>
        </is>
      </c>
      <c r="B673" s="1" t="n">
        <v>44867</v>
      </c>
      <c r="C673" s="1" t="n">
        <v>45933</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53483-2022</t>
        </is>
      </c>
      <c r="B674" s="1" t="n">
        <v>44879.55940972222</v>
      </c>
      <c r="C674" s="1" t="n">
        <v>45933</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5864-2022</t>
        </is>
      </c>
      <c r="B675" s="1" t="n">
        <v>44596</v>
      </c>
      <c r="C675" s="1" t="n">
        <v>45933</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58962-2022</t>
        </is>
      </c>
      <c r="B676" s="1" t="n">
        <v>44903</v>
      </c>
      <c r="C676" s="1" t="n">
        <v>45933</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58967-2022</t>
        </is>
      </c>
      <c r="B677" s="1" t="n">
        <v>44896</v>
      </c>
      <c r="C677" s="1" t="n">
        <v>45933</v>
      </c>
      <c r="D677" t="inlineStr">
        <is>
          <t>KALMAR LÄN</t>
        </is>
      </c>
      <c r="E677" t="inlineStr">
        <is>
          <t>VIMMERBY</t>
        </is>
      </c>
      <c r="G677" t="n">
        <v>5</v>
      </c>
      <c r="H677" t="n">
        <v>0</v>
      </c>
      <c r="I677" t="n">
        <v>0</v>
      </c>
      <c r="J677" t="n">
        <v>0</v>
      </c>
      <c r="K677" t="n">
        <v>0</v>
      </c>
      <c r="L677" t="n">
        <v>0</v>
      </c>
      <c r="M677" t="n">
        <v>0</v>
      </c>
      <c r="N677" t="n">
        <v>0</v>
      </c>
      <c r="O677" t="n">
        <v>0</v>
      </c>
      <c r="P677" t="n">
        <v>0</v>
      </c>
      <c r="Q677" t="n">
        <v>0</v>
      </c>
      <c r="R677" s="2" t="inlineStr"/>
    </row>
    <row r="678" ht="15" customHeight="1">
      <c r="A678" t="inlineStr">
        <is>
          <t>A 57682-2022</t>
        </is>
      </c>
      <c r="B678" s="1" t="n">
        <v>44890</v>
      </c>
      <c r="C678" s="1" t="n">
        <v>45933</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3938-2023</t>
        </is>
      </c>
      <c r="B679" s="1" t="n">
        <v>44952.35775462963</v>
      </c>
      <c r="C679" s="1" t="n">
        <v>45933</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26937-2023</t>
        </is>
      </c>
      <c r="B680" s="1" t="n">
        <v>45093.62777777778</v>
      </c>
      <c r="C680" s="1" t="n">
        <v>45933</v>
      </c>
      <c r="D680" t="inlineStr">
        <is>
          <t>KALMAR LÄN</t>
        </is>
      </c>
      <c r="E680" t="inlineStr">
        <is>
          <t>VIMMERBY</t>
        </is>
      </c>
      <c r="F680" t="inlineStr">
        <is>
          <t>Sveaskog</t>
        </is>
      </c>
      <c r="G680" t="n">
        <v>14.5</v>
      </c>
      <c r="H680" t="n">
        <v>0</v>
      </c>
      <c r="I680" t="n">
        <v>0</v>
      </c>
      <c r="J680" t="n">
        <v>0</v>
      </c>
      <c r="K680" t="n">
        <v>0</v>
      </c>
      <c r="L680" t="n">
        <v>0</v>
      </c>
      <c r="M680" t="n">
        <v>0</v>
      </c>
      <c r="N680" t="n">
        <v>0</v>
      </c>
      <c r="O680" t="n">
        <v>0</v>
      </c>
      <c r="P680" t="n">
        <v>0</v>
      </c>
      <c r="Q680" t="n">
        <v>0</v>
      </c>
      <c r="R680" s="2" t="inlineStr"/>
    </row>
    <row r="681" ht="15" customHeight="1">
      <c r="A681" t="inlineStr">
        <is>
          <t>A 4076-2022</t>
        </is>
      </c>
      <c r="B681" s="1" t="n">
        <v>44588.37998842593</v>
      </c>
      <c r="C681" s="1" t="n">
        <v>45933</v>
      </c>
      <c r="D681" t="inlineStr">
        <is>
          <t>KALMAR LÄN</t>
        </is>
      </c>
      <c r="E681" t="inlineStr">
        <is>
          <t>VIMMERBY</t>
        </is>
      </c>
      <c r="G681" t="n">
        <v>3</v>
      </c>
      <c r="H681" t="n">
        <v>0</v>
      </c>
      <c r="I681" t="n">
        <v>0</v>
      </c>
      <c r="J681" t="n">
        <v>0</v>
      </c>
      <c r="K681" t="n">
        <v>0</v>
      </c>
      <c r="L681" t="n">
        <v>0</v>
      </c>
      <c r="M681" t="n">
        <v>0</v>
      </c>
      <c r="N681" t="n">
        <v>0</v>
      </c>
      <c r="O681" t="n">
        <v>0</v>
      </c>
      <c r="P681" t="n">
        <v>0</v>
      </c>
      <c r="Q681" t="n">
        <v>0</v>
      </c>
      <c r="R681" s="2" t="inlineStr"/>
    </row>
    <row r="682" ht="15" customHeight="1">
      <c r="A682" t="inlineStr">
        <is>
          <t>A 4122-2022</t>
        </is>
      </c>
      <c r="B682" s="1" t="n">
        <v>44588</v>
      </c>
      <c r="C682" s="1" t="n">
        <v>45933</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50085-2023</t>
        </is>
      </c>
      <c r="B683" s="1" t="n">
        <v>45215.5959375</v>
      </c>
      <c r="C683" s="1" t="n">
        <v>45933</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65961-2020</t>
        </is>
      </c>
      <c r="B684" s="1" t="n">
        <v>44175.39748842592</v>
      </c>
      <c r="C684" s="1" t="n">
        <v>45933</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11219-2023</t>
        </is>
      </c>
      <c r="B685" s="1" t="n">
        <v>44992.62498842592</v>
      </c>
      <c r="C685" s="1" t="n">
        <v>45933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9624-2024</t>
        </is>
      </c>
      <c r="B686" s="1" t="n">
        <v>45361.90282407407</v>
      </c>
      <c r="C686" s="1" t="n">
        <v>45933</v>
      </c>
      <c r="D686" t="inlineStr">
        <is>
          <t>KALMAR LÄN</t>
        </is>
      </c>
      <c r="E686" t="inlineStr">
        <is>
          <t>VIMMERBY</t>
        </is>
      </c>
      <c r="G686" t="n">
        <v>3.8</v>
      </c>
      <c r="H686" t="n">
        <v>0</v>
      </c>
      <c r="I686" t="n">
        <v>0</v>
      </c>
      <c r="J686" t="n">
        <v>0</v>
      </c>
      <c r="K686" t="n">
        <v>0</v>
      </c>
      <c r="L686" t="n">
        <v>0</v>
      </c>
      <c r="M686" t="n">
        <v>0</v>
      </c>
      <c r="N686" t="n">
        <v>0</v>
      </c>
      <c r="O686" t="n">
        <v>0</v>
      </c>
      <c r="P686" t="n">
        <v>0</v>
      </c>
      <c r="Q686" t="n">
        <v>0</v>
      </c>
      <c r="R686" s="2" t="inlineStr"/>
    </row>
    <row r="687" ht="15" customHeight="1">
      <c r="A687" t="inlineStr">
        <is>
          <t>A 52327-2023</t>
        </is>
      </c>
      <c r="B687" s="1" t="n">
        <v>45224.6515162037</v>
      </c>
      <c r="C687" s="1" t="n">
        <v>45933</v>
      </c>
      <c r="D687" t="inlineStr">
        <is>
          <t>KALMAR LÄN</t>
        </is>
      </c>
      <c r="E687" t="inlineStr">
        <is>
          <t>VIMMERBY</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29616-2022</t>
        </is>
      </c>
      <c r="B688" s="1" t="n">
        <v>44754</v>
      </c>
      <c r="C688" s="1" t="n">
        <v>45933</v>
      </c>
      <c r="D688" t="inlineStr">
        <is>
          <t>KALMAR LÄN</t>
        </is>
      </c>
      <c r="E688" t="inlineStr">
        <is>
          <t>VIMMERBY</t>
        </is>
      </c>
      <c r="G688" t="n">
        <v>1.1</v>
      </c>
      <c r="H688" t="n">
        <v>0</v>
      </c>
      <c r="I688" t="n">
        <v>0</v>
      </c>
      <c r="J688" t="n">
        <v>0</v>
      </c>
      <c r="K688" t="n">
        <v>0</v>
      </c>
      <c r="L688" t="n">
        <v>0</v>
      </c>
      <c r="M688" t="n">
        <v>0</v>
      </c>
      <c r="N688" t="n">
        <v>0</v>
      </c>
      <c r="O688" t="n">
        <v>0</v>
      </c>
      <c r="P688" t="n">
        <v>0</v>
      </c>
      <c r="Q688" t="n">
        <v>0</v>
      </c>
      <c r="R688" s="2" t="inlineStr"/>
    </row>
    <row r="689" ht="15" customHeight="1">
      <c r="A689" t="inlineStr">
        <is>
          <t>A 29348-2023</t>
        </is>
      </c>
      <c r="B689" s="1" t="n">
        <v>45106.25025462963</v>
      </c>
      <c r="C689" s="1" t="n">
        <v>45933</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28403-2023</t>
        </is>
      </c>
      <c r="B690" s="1" t="n">
        <v>45100.85270833333</v>
      </c>
      <c r="C690" s="1" t="n">
        <v>45933</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17511-2024</t>
        </is>
      </c>
      <c r="B691" s="1" t="n">
        <v>45415.57682870371</v>
      </c>
      <c r="C691" s="1" t="n">
        <v>45933</v>
      </c>
      <c r="D691" t="inlineStr">
        <is>
          <t>KALMAR LÄN</t>
        </is>
      </c>
      <c r="E691" t="inlineStr">
        <is>
          <t>VIMMERBY</t>
        </is>
      </c>
      <c r="G691" t="n">
        <v>5.3</v>
      </c>
      <c r="H691" t="n">
        <v>0</v>
      </c>
      <c r="I691" t="n">
        <v>0</v>
      </c>
      <c r="J691" t="n">
        <v>0</v>
      </c>
      <c r="K691" t="n">
        <v>0</v>
      </c>
      <c r="L691" t="n">
        <v>0</v>
      </c>
      <c r="M691" t="n">
        <v>0</v>
      </c>
      <c r="N691" t="n">
        <v>0</v>
      </c>
      <c r="O691" t="n">
        <v>0</v>
      </c>
      <c r="P691" t="n">
        <v>0</v>
      </c>
      <c r="Q691" t="n">
        <v>0</v>
      </c>
      <c r="R691" s="2" t="inlineStr"/>
    </row>
    <row r="692" ht="15" customHeight="1">
      <c r="A692" t="inlineStr">
        <is>
          <t>A 66022-2021</t>
        </is>
      </c>
      <c r="B692" s="1" t="n">
        <v>44517</v>
      </c>
      <c r="C692" s="1" t="n">
        <v>45933</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29973-2023</t>
        </is>
      </c>
      <c r="B693" s="1" t="n">
        <v>45108.703125</v>
      </c>
      <c r="C693" s="1" t="n">
        <v>45933</v>
      </c>
      <c r="D693" t="inlineStr">
        <is>
          <t>KALMAR LÄN</t>
        </is>
      </c>
      <c r="E693" t="inlineStr">
        <is>
          <t>VIMMERBY</t>
        </is>
      </c>
      <c r="G693" t="n">
        <v>4</v>
      </c>
      <c r="H693" t="n">
        <v>0</v>
      </c>
      <c r="I693" t="n">
        <v>0</v>
      </c>
      <c r="J693" t="n">
        <v>0</v>
      </c>
      <c r="K693" t="n">
        <v>0</v>
      </c>
      <c r="L693" t="n">
        <v>0</v>
      </c>
      <c r="M693" t="n">
        <v>0</v>
      </c>
      <c r="N693" t="n">
        <v>0</v>
      </c>
      <c r="O693" t="n">
        <v>0</v>
      </c>
      <c r="P693" t="n">
        <v>0</v>
      </c>
      <c r="Q693" t="n">
        <v>0</v>
      </c>
      <c r="R693" s="2" t="inlineStr"/>
    </row>
    <row r="694" ht="15" customHeight="1">
      <c r="A694" t="inlineStr">
        <is>
          <t>A 6850-2023</t>
        </is>
      </c>
      <c r="B694" s="1" t="n">
        <v>44967.44255787037</v>
      </c>
      <c r="C694" s="1" t="n">
        <v>45933</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30070-2023</t>
        </is>
      </c>
      <c r="B695" s="1" t="n">
        <v>45110.4275</v>
      </c>
      <c r="C695" s="1" t="n">
        <v>45933</v>
      </c>
      <c r="D695" t="inlineStr">
        <is>
          <t>KALMAR LÄN</t>
        </is>
      </c>
      <c r="E695" t="inlineStr">
        <is>
          <t>VIMMERBY</t>
        </is>
      </c>
      <c r="G695" t="n">
        <v>1.6</v>
      </c>
      <c r="H695" t="n">
        <v>0</v>
      </c>
      <c r="I695" t="n">
        <v>0</v>
      </c>
      <c r="J695" t="n">
        <v>0</v>
      </c>
      <c r="K695" t="n">
        <v>0</v>
      </c>
      <c r="L695" t="n">
        <v>0</v>
      </c>
      <c r="M695" t="n">
        <v>0</v>
      </c>
      <c r="N695" t="n">
        <v>0</v>
      </c>
      <c r="O695" t="n">
        <v>0</v>
      </c>
      <c r="P695" t="n">
        <v>0</v>
      </c>
      <c r="Q695" t="n">
        <v>0</v>
      </c>
      <c r="R695" s="2" t="inlineStr"/>
    </row>
    <row r="696" ht="15" customHeight="1">
      <c r="A696" t="inlineStr">
        <is>
          <t>A 6358-2022</t>
        </is>
      </c>
      <c r="B696" s="1" t="n">
        <v>44600</v>
      </c>
      <c r="C696" s="1" t="n">
        <v>45933</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46078-2023</t>
        </is>
      </c>
      <c r="B697" s="1" t="n">
        <v>45196</v>
      </c>
      <c r="C697" s="1" t="n">
        <v>45933</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7643-2022</t>
        </is>
      </c>
      <c r="B698" s="1" t="n">
        <v>44607</v>
      </c>
      <c r="C698" s="1" t="n">
        <v>45933</v>
      </c>
      <c r="D698" t="inlineStr">
        <is>
          <t>KALMAR LÄN</t>
        </is>
      </c>
      <c r="E698" t="inlineStr">
        <is>
          <t>VIMMERBY</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3494-2023</t>
        </is>
      </c>
      <c r="B699" s="1" t="n">
        <v>44949</v>
      </c>
      <c r="C699" s="1" t="n">
        <v>45933</v>
      </c>
      <c r="D699" t="inlineStr">
        <is>
          <t>KALMAR LÄN</t>
        </is>
      </c>
      <c r="E699" t="inlineStr">
        <is>
          <t>VIMMERBY</t>
        </is>
      </c>
      <c r="F699" t="inlineStr">
        <is>
          <t>Kyrkan</t>
        </is>
      </c>
      <c r="G699" t="n">
        <v>0.8</v>
      </c>
      <c r="H699" t="n">
        <v>0</v>
      </c>
      <c r="I699" t="n">
        <v>0</v>
      </c>
      <c r="J699" t="n">
        <v>0</v>
      </c>
      <c r="K699" t="n">
        <v>0</v>
      </c>
      <c r="L699" t="n">
        <v>0</v>
      </c>
      <c r="M699" t="n">
        <v>0</v>
      </c>
      <c r="N699" t="n">
        <v>0</v>
      </c>
      <c r="O699" t="n">
        <v>0</v>
      </c>
      <c r="P699" t="n">
        <v>0</v>
      </c>
      <c r="Q699" t="n">
        <v>0</v>
      </c>
      <c r="R699" s="2" t="inlineStr"/>
    </row>
    <row r="700" ht="15" customHeight="1">
      <c r="A700" t="inlineStr">
        <is>
          <t>A 43853-2023</t>
        </is>
      </c>
      <c r="B700" s="1" t="n">
        <v>45187.60813657408</v>
      </c>
      <c r="C700" s="1" t="n">
        <v>45933</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7075-2021</t>
        </is>
      </c>
      <c r="B701" s="1" t="n">
        <v>44237</v>
      </c>
      <c r="C701" s="1" t="n">
        <v>45933</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32633-2023</t>
        </is>
      </c>
      <c r="B702" s="1" t="n">
        <v>45121.58699074074</v>
      </c>
      <c r="C702" s="1" t="n">
        <v>45933</v>
      </c>
      <c r="D702" t="inlineStr">
        <is>
          <t>KALMAR LÄN</t>
        </is>
      </c>
      <c r="E702" t="inlineStr">
        <is>
          <t>VIMMERBY</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43601-2024</t>
        </is>
      </c>
      <c r="B703" s="1" t="n">
        <v>45569.44684027778</v>
      </c>
      <c r="C703" s="1" t="n">
        <v>45933</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48673-2021</t>
        </is>
      </c>
      <c r="B704" s="1" t="n">
        <v>44452</v>
      </c>
      <c r="C704" s="1" t="n">
        <v>45933</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14137-2023</t>
        </is>
      </c>
      <c r="B705" s="1" t="n">
        <v>45009.4671875</v>
      </c>
      <c r="C705" s="1" t="n">
        <v>45933</v>
      </c>
      <c r="D705" t="inlineStr">
        <is>
          <t>KALMAR LÄN</t>
        </is>
      </c>
      <c r="E705" t="inlineStr">
        <is>
          <t>VIMMERBY</t>
        </is>
      </c>
      <c r="G705" t="n">
        <v>1.3</v>
      </c>
      <c r="H705" t="n">
        <v>0</v>
      </c>
      <c r="I705" t="n">
        <v>0</v>
      </c>
      <c r="J705" t="n">
        <v>0</v>
      </c>
      <c r="K705" t="n">
        <v>0</v>
      </c>
      <c r="L705" t="n">
        <v>0</v>
      </c>
      <c r="M705" t="n">
        <v>0</v>
      </c>
      <c r="N705" t="n">
        <v>0</v>
      </c>
      <c r="O705" t="n">
        <v>0</v>
      </c>
      <c r="P705" t="n">
        <v>0</v>
      </c>
      <c r="Q705" t="n">
        <v>0</v>
      </c>
      <c r="R705" s="2" t="inlineStr"/>
    </row>
    <row r="706" ht="15" customHeight="1">
      <c r="A706" t="inlineStr">
        <is>
          <t>A 7630-2025</t>
        </is>
      </c>
      <c r="B706" s="1" t="n">
        <v>45705.74418981482</v>
      </c>
      <c r="C706" s="1" t="n">
        <v>45933</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13813-2024</t>
        </is>
      </c>
      <c r="B707" s="1" t="n">
        <v>45391.41310185185</v>
      </c>
      <c r="C707" s="1" t="n">
        <v>45933</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25234-2023</t>
        </is>
      </c>
      <c r="B708" s="1" t="n">
        <v>45086.63194444445</v>
      </c>
      <c r="C708" s="1" t="n">
        <v>45933</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25236-2023</t>
        </is>
      </c>
      <c r="B709" s="1" t="n">
        <v>45086.63334490741</v>
      </c>
      <c r="C709" s="1" t="n">
        <v>45933</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25244-2023</t>
        </is>
      </c>
      <c r="B710" s="1" t="n">
        <v>45086</v>
      </c>
      <c r="C710" s="1" t="n">
        <v>45933</v>
      </c>
      <c r="D710" t="inlineStr">
        <is>
          <t>KALMAR LÄN</t>
        </is>
      </c>
      <c r="E710" t="inlineStr">
        <is>
          <t>VIMMERBY</t>
        </is>
      </c>
      <c r="G710" t="n">
        <v>4.7</v>
      </c>
      <c r="H710" t="n">
        <v>0</v>
      </c>
      <c r="I710" t="n">
        <v>0</v>
      </c>
      <c r="J710" t="n">
        <v>0</v>
      </c>
      <c r="K710" t="n">
        <v>0</v>
      </c>
      <c r="L710" t="n">
        <v>0</v>
      </c>
      <c r="M710" t="n">
        <v>0</v>
      </c>
      <c r="N710" t="n">
        <v>0</v>
      </c>
      <c r="O710" t="n">
        <v>0</v>
      </c>
      <c r="P710" t="n">
        <v>0</v>
      </c>
      <c r="Q710" t="n">
        <v>0</v>
      </c>
      <c r="R710" s="2" t="inlineStr"/>
    </row>
    <row r="711" ht="15" customHeight="1">
      <c r="A711" t="inlineStr">
        <is>
          <t>A 38780-2021</t>
        </is>
      </c>
      <c r="B711" s="1" t="n">
        <v>44410</v>
      </c>
      <c r="C711" s="1" t="n">
        <v>45933</v>
      </c>
      <c r="D711" t="inlineStr">
        <is>
          <t>KALMAR LÄN</t>
        </is>
      </c>
      <c r="E711" t="inlineStr">
        <is>
          <t>VIMMERBY</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30503-2023</t>
        </is>
      </c>
      <c r="B712" s="1" t="n">
        <v>45111</v>
      </c>
      <c r="C712" s="1" t="n">
        <v>45933</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23341-2022</t>
        </is>
      </c>
      <c r="B713" s="1" t="n">
        <v>44720.53898148148</v>
      </c>
      <c r="C713" s="1" t="n">
        <v>45933</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8086-2021</t>
        </is>
      </c>
      <c r="B714" s="1" t="n">
        <v>44243</v>
      </c>
      <c r="C714" s="1" t="n">
        <v>45933</v>
      </c>
      <c r="D714" t="inlineStr">
        <is>
          <t>KALMAR LÄN</t>
        </is>
      </c>
      <c r="E714" t="inlineStr">
        <is>
          <t>VIMMERBY</t>
        </is>
      </c>
      <c r="G714" t="n">
        <v>4.1</v>
      </c>
      <c r="H714" t="n">
        <v>0</v>
      </c>
      <c r="I714" t="n">
        <v>0</v>
      </c>
      <c r="J714" t="n">
        <v>0</v>
      </c>
      <c r="K714" t="n">
        <v>0</v>
      </c>
      <c r="L714" t="n">
        <v>0</v>
      </c>
      <c r="M714" t="n">
        <v>0</v>
      </c>
      <c r="N714" t="n">
        <v>0</v>
      </c>
      <c r="O714" t="n">
        <v>0</v>
      </c>
      <c r="P714" t="n">
        <v>0</v>
      </c>
      <c r="Q714" t="n">
        <v>0</v>
      </c>
      <c r="R714" s="2" t="inlineStr"/>
    </row>
    <row r="715" ht="15" customHeight="1">
      <c r="A715" t="inlineStr">
        <is>
          <t>A 60110-2022</t>
        </is>
      </c>
      <c r="B715" s="1" t="n">
        <v>44909</v>
      </c>
      <c r="C715" s="1" t="n">
        <v>45933</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71793-2021</t>
        </is>
      </c>
      <c r="B716" s="1" t="n">
        <v>44539</v>
      </c>
      <c r="C716" s="1" t="n">
        <v>45933</v>
      </c>
      <c r="D716" t="inlineStr">
        <is>
          <t>KALMAR LÄN</t>
        </is>
      </c>
      <c r="E716" t="inlineStr">
        <is>
          <t>VIMMERBY</t>
        </is>
      </c>
      <c r="G716" t="n">
        <v>2.7</v>
      </c>
      <c r="H716" t="n">
        <v>0</v>
      </c>
      <c r="I716" t="n">
        <v>0</v>
      </c>
      <c r="J716" t="n">
        <v>0</v>
      </c>
      <c r="K716" t="n">
        <v>0</v>
      </c>
      <c r="L716" t="n">
        <v>0</v>
      </c>
      <c r="M716" t="n">
        <v>0</v>
      </c>
      <c r="N716" t="n">
        <v>0</v>
      </c>
      <c r="O716" t="n">
        <v>0</v>
      </c>
      <c r="P716" t="n">
        <v>0</v>
      </c>
      <c r="Q716" t="n">
        <v>0</v>
      </c>
      <c r="R716" s="2" t="inlineStr"/>
    </row>
    <row r="717" ht="15" customHeight="1">
      <c r="A717" t="inlineStr">
        <is>
          <t>A 59300-2024</t>
        </is>
      </c>
      <c r="B717" s="1" t="n">
        <v>45637.66542824074</v>
      </c>
      <c r="C717" s="1" t="n">
        <v>45933</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73938-2021</t>
        </is>
      </c>
      <c r="B718" s="1" t="n">
        <v>44553</v>
      </c>
      <c r="C718" s="1" t="n">
        <v>45933</v>
      </c>
      <c r="D718" t="inlineStr">
        <is>
          <t>KALMAR LÄN</t>
        </is>
      </c>
      <c r="E718" t="inlineStr">
        <is>
          <t>VIMMERBY</t>
        </is>
      </c>
      <c r="G718" t="n">
        <v>3.2</v>
      </c>
      <c r="H718" t="n">
        <v>0</v>
      </c>
      <c r="I718" t="n">
        <v>0</v>
      </c>
      <c r="J718" t="n">
        <v>0</v>
      </c>
      <c r="K718" t="n">
        <v>0</v>
      </c>
      <c r="L718" t="n">
        <v>0</v>
      </c>
      <c r="M718" t="n">
        <v>0</v>
      </c>
      <c r="N718" t="n">
        <v>0</v>
      </c>
      <c r="O718" t="n">
        <v>0</v>
      </c>
      <c r="P718" t="n">
        <v>0</v>
      </c>
      <c r="Q718" t="n">
        <v>0</v>
      </c>
      <c r="R718" s="2" t="inlineStr"/>
    </row>
    <row r="719" ht="15" customHeight="1">
      <c r="A719" t="inlineStr">
        <is>
          <t>A 6069-2023</t>
        </is>
      </c>
      <c r="B719" s="1" t="n">
        <v>44964.5115162037</v>
      </c>
      <c r="C719" s="1" t="n">
        <v>45933</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19445-2021</t>
        </is>
      </c>
      <c r="B720" s="1" t="n">
        <v>44310</v>
      </c>
      <c r="C720" s="1" t="n">
        <v>45933</v>
      </c>
      <c r="D720" t="inlineStr">
        <is>
          <t>KALMAR LÄN</t>
        </is>
      </c>
      <c r="E720" t="inlineStr">
        <is>
          <t>VIMMERBY</t>
        </is>
      </c>
      <c r="G720" t="n">
        <v>6.8</v>
      </c>
      <c r="H720" t="n">
        <v>0</v>
      </c>
      <c r="I720" t="n">
        <v>0</v>
      </c>
      <c r="J720" t="n">
        <v>0</v>
      </c>
      <c r="K720" t="n">
        <v>0</v>
      </c>
      <c r="L720" t="n">
        <v>0</v>
      </c>
      <c r="M720" t="n">
        <v>0</v>
      </c>
      <c r="N720" t="n">
        <v>0</v>
      </c>
      <c r="O720" t="n">
        <v>0</v>
      </c>
      <c r="P720" t="n">
        <v>0</v>
      </c>
      <c r="Q720" t="n">
        <v>0</v>
      </c>
      <c r="R720" s="2" t="inlineStr"/>
    </row>
    <row r="721" ht="15" customHeight="1">
      <c r="A721" t="inlineStr">
        <is>
          <t>A 18329-2023</t>
        </is>
      </c>
      <c r="B721" s="1" t="n">
        <v>45041.63380787037</v>
      </c>
      <c r="C721" s="1" t="n">
        <v>45933</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5720-2023</t>
        </is>
      </c>
      <c r="B722" s="1" t="n">
        <v>44961</v>
      </c>
      <c r="C722" s="1" t="n">
        <v>45933</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61538-2022</t>
        </is>
      </c>
      <c r="B723" s="1" t="n">
        <v>44916.55414351852</v>
      </c>
      <c r="C723" s="1" t="n">
        <v>45933</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50995-2022</t>
        </is>
      </c>
      <c r="B724" s="1" t="n">
        <v>44867</v>
      </c>
      <c r="C724" s="1" t="n">
        <v>45933</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694-2024</t>
        </is>
      </c>
      <c r="B725" s="1" t="n">
        <v>45300.3794212963</v>
      </c>
      <c r="C725" s="1" t="n">
        <v>45933</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57114-2023</t>
        </is>
      </c>
      <c r="B726" s="1" t="n">
        <v>45245.36174768519</v>
      </c>
      <c r="C726" s="1" t="n">
        <v>45933</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27122-2023</t>
        </is>
      </c>
      <c r="B727" s="1" t="n">
        <v>45096.45247685185</v>
      </c>
      <c r="C727" s="1" t="n">
        <v>45933</v>
      </c>
      <c r="D727" t="inlineStr">
        <is>
          <t>KALMAR LÄN</t>
        </is>
      </c>
      <c r="E727" t="inlineStr">
        <is>
          <t>VIMMERBY</t>
        </is>
      </c>
      <c r="G727" t="n">
        <v>1.7</v>
      </c>
      <c r="H727" t="n">
        <v>0</v>
      </c>
      <c r="I727" t="n">
        <v>0</v>
      </c>
      <c r="J727" t="n">
        <v>0</v>
      </c>
      <c r="K727" t="n">
        <v>0</v>
      </c>
      <c r="L727" t="n">
        <v>0</v>
      </c>
      <c r="M727" t="n">
        <v>0</v>
      </c>
      <c r="N727" t="n">
        <v>0</v>
      </c>
      <c r="O727" t="n">
        <v>0</v>
      </c>
      <c r="P727" t="n">
        <v>0</v>
      </c>
      <c r="Q727" t="n">
        <v>0</v>
      </c>
      <c r="R727" s="2" t="inlineStr"/>
    </row>
    <row r="728" ht="15" customHeight="1">
      <c r="A728" t="inlineStr">
        <is>
          <t>A 30402-2023</t>
        </is>
      </c>
      <c r="B728" s="1" t="n">
        <v>45111.48395833333</v>
      </c>
      <c r="C728" s="1" t="n">
        <v>45933</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12327-2023</t>
        </is>
      </c>
      <c r="B729" s="1" t="n">
        <v>44999.36081018519</v>
      </c>
      <c r="C729" s="1" t="n">
        <v>45933</v>
      </c>
      <c r="D729" t="inlineStr">
        <is>
          <t>KALMAR LÄN</t>
        </is>
      </c>
      <c r="E729" t="inlineStr">
        <is>
          <t>VIMMERBY</t>
        </is>
      </c>
      <c r="G729" t="n">
        <v>1.2</v>
      </c>
      <c r="H729" t="n">
        <v>0</v>
      </c>
      <c r="I729" t="n">
        <v>0</v>
      </c>
      <c r="J729" t="n">
        <v>0</v>
      </c>
      <c r="K729" t="n">
        <v>0</v>
      </c>
      <c r="L729" t="n">
        <v>0</v>
      </c>
      <c r="M729" t="n">
        <v>0</v>
      </c>
      <c r="N729" t="n">
        <v>0</v>
      </c>
      <c r="O729" t="n">
        <v>0</v>
      </c>
      <c r="P729" t="n">
        <v>0</v>
      </c>
      <c r="Q729" t="n">
        <v>0</v>
      </c>
      <c r="R729" s="2" t="inlineStr"/>
    </row>
    <row r="730" ht="15" customHeight="1">
      <c r="A730" t="inlineStr">
        <is>
          <t>A 47842-2024</t>
        </is>
      </c>
      <c r="B730" s="1" t="n">
        <v>45588.65545138889</v>
      </c>
      <c r="C730" s="1" t="n">
        <v>45933</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30633-2024</t>
        </is>
      </c>
      <c r="B731" s="1" t="n">
        <v>45495</v>
      </c>
      <c r="C731" s="1" t="n">
        <v>45933</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6857-2023</t>
        </is>
      </c>
      <c r="B732" s="1" t="n">
        <v>44967.45122685185</v>
      </c>
      <c r="C732" s="1" t="n">
        <v>45933</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33424-2023</t>
        </is>
      </c>
      <c r="B733" s="1" t="n">
        <v>45128.9325</v>
      </c>
      <c r="C733" s="1" t="n">
        <v>45933</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33425-2023</t>
        </is>
      </c>
      <c r="B734" s="1" t="n">
        <v>45128.93540509259</v>
      </c>
      <c r="C734" s="1" t="n">
        <v>45933</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3609-2024</t>
        </is>
      </c>
      <c r="B735" s="1" t="n">
        <v>45320.89128472222</v>
      </c>
      <c r="C735" s="1" t="n">
        <v>45933</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46224-2024</t>
        </is>
      </c>
      <c r="B736" s="1" t="n">
        <v>45581.57016203704</v>
      </c>
      <c r="C736" s="1" t="n">
        <v>45933</v>
      </c>
      <c r="D736" t="inlineStr">
        <is>
          <t>KALMAR LÄN</t>
        </is>
      </c>
      <c r="E736" t="inlineStr">
        <is>
          <t>VIMMERBY</t>
        </is>
      </c>
      <c r="G736" t="n">
        <v>3.1</v>
      </c>
      <c r="H736" t="n">
        <v>0</v>
      </c>
      <c r="I736" t="n">
        <v>0</v>
      </c>
      <c r="J736" t="n">
        <v>0</v>
      </c>
      <c r="K736" t="n">
        <v>0</v>
      </c>
      <c r="L736" t="n">
        <v>0</v>
      </c>
      <c r="M736" t="n">
        <v>0</v>
      </c>
      <c r="N736" t="n">
        <v>0</v>
      </c>
      <c r="O736" t="n">
        <v>0</v>
      </c>
      <c r="P736" t="n">
        <v>0</v>
      </c>
      <c r="Q736" t="n">
        <v>0</v>
      </c>
      <c r="R736" s="2" t="inlineStr"/>
    </row>
    <row r="737" ht="15" customHeight="1">
      <c r="A737" t="inlineStr">
        <is>
          <t>A 29013-2024</t>
        </is>
      </c>
      <c r="B737" s="1" t="n">
        <v>45481.55984953704</v>
      </c>
      <c r="C737" s="1" t="n">
        <v>45933</v>
      </c>
      <c r="D737" t="inlineStr">
        <is>
          <t>KALMAR LÄN</t>
        </is>
      </c>
      <c r="E737" t="inlineStr">
        <is>
          <t>VIMMERBY</t>
        </is>
      </c>
      <c r="G737" t="n">
        <v>3.4</v>
      </c>
      <c r="H737" t="n">
        <v>0</v>
      </c>
      <c r="I737" t="n">
        <v>0</v>
      </c>
      <c r="J737" t="n">
        <v>0</v>
      </c>
      <c r="K737" t="n">
        <v>0</v>
      </c>
      <c r="L737" t="n">
        <v>0</v>
      </c>
      <c r="M737" t="n">
        <v>0</v>
      </c>
      <c r="N737" t="n">
        <v>0</v>
      </c>
      <c r="O737" t="n">
        <v>0</v>
      </c>
      <c r="P737" t="n">
        <v>0</v>
      </c>
      <c r="Q737" t="n">
        <v>0</v>
      </c>
      <c r="R737" s="2" t="inlineStr"/>
    </row>
    <row r="738" ht="15" customHeight="1">
      <c r="A738" t="inlineStr">
        <is>
          <t>A 37028-2024</t>
        </is>
      </c>
      <c r="B738" s="1" t="n">
        <v>45539.38744212963</v>
      </c>
      <c r="C738" s="1" t="n">
        <v>45933</v>
      </c>
      <c r="D738" t="inlineStr">
        <is>
          <t>KALMAR LÄN</t>
        </is>
      </c>
      <c r="E738" t="inlineStr">
        <is>
          <t>VIMMERBY</t>
        </is>
      </c>
      <c r="G738" t="n">
        <v>5.2</v>
      </c>
      <c r="H738" t="n">
        <v>0</v>
      </c>
      <c r="I738" t="n">
        <v>0</v>
      </c>
      <c r="J738" t="n">
        <v>0</v>
      </c>
      <c r="K738" t="n">
        <v>0</v>
      </c>
      <c r="L738" t="n">
        <v>0</v>
      </c>
      <c r="M738" t="n">
        <v>0</v>
      </c>
      <c r="N738" t="n">
        <v>0</v>
      </c>
      <c r="O738" t="n">
        <v>0</v>
      </c>
      <c r="P738" t="n">
        <v>0</v>
      </c>
      <c r="Q738" t="n">
        <v>0</v>
      </c>
      <c r="R738" s="2" t="inlineStr"/>
    </row>
    <row r="739" ht="15" customHeight="1">
      <c r="A739" t="inlineStr">
        <is>
          <t>A 8650-2022</t>
        </is>
      </c>
      <c r="B739" s="1" t="n">
        <v>44613</v>
      </c>
      <c r="C739" s="1" t="n">
        <v>45933</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11147-2023</t>
        </is>
      </c>
      <c r="B740" s="1" t="n">
        <v>44992</v>
      </c>
      <c r="C740" s="1" t="n">
        <v>45933</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16676-2023</t>
        </is>
      </c>
      <c r="B741" s="1" t="n">
        <v>45028</v>
      </c>
      <c r="C741" s="1" t="n">
        <v>45933</v>
      </c>
      <c r="D741" t="inlineStr">
        <is>
          <t>KALMAR LÄN</t>
        </is>
      </c>
      <c r="E741" t="inlineStr">
        <is>
          <t>VIMMERBY</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23263-2024</t>
        </is>
      </c>
      <c r="B742" s="1" t="n">
        <v>45453.36854166666</v>
      </c>
      <c r="C742" s="1" t="n">
        <v>45933</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49488-2023</t>
        </is>
      </c>
      <c r="B743" s="1" t="n">
        <v>45211.55472222222</v>
      </c>
      <c r="C743" s="1" t="n">
        <v>45933</v>
      </c>
      <c r="D743" t="inlineStr">
        <is>
          <t>KALMAR LÄN</t>
        </is>
      </c>
      <c r="E743" t="inlineStr">
        <is>
          <t>VIMMERBY</t>
        </is>
      </c>
      <c r="F743" t="inlineStr">
        <is>
          <t>Sveaskog</t>
        </is>
      </c>
      <c r="G743" t="n">
        <v>6.2</v>
      </c>
      <c r="H743" t="n">
        <v>0</v>
      </c>
      <c r="I743" t="n">
        <v>0</v>
      </c>
      <c r="J743" t="n">
        <v>0</v>
      </c>
      <c r="K743" t="n">
        <v>0</v>
      </c>
      <c r="L743" t="n">
        <v>0</v>
      </c>
      <c r="M743" t="n">
        <v>0</v>
      </c>
      <c r="N743" t="n">
        <v>0</v>
      </c>
      <c r="O743" t="n">
        <v>0</v>
      </c>
      <c r="P743" t="n">
        <v>0</v>
      </c>
      <c r="Q743" t="n">
        <v>0</v>
      </c>
      <c r="R743" s="2" t="inlineStr"/>
    </row>
    <row r="744" ht="15" customHeight="1">
      <c r="A744" t="inlineStr">
        <is>
          <t>A 59768-2024</t>
        </is>
      </c>
      <c r="B744" s="1" t="n">
        <v>45639.56185185185</v>
      </c>
      <c r="C744" s="1" t="n">
        <v>45933</v>
      </c>
      <c r="D744" t="inlineStr">
        <is>
          <t>KALMAR LÄN</t>
        </is>
      </c>
      <c r="E744" t="inlineStr">
        <is>
          <t>VIMMERBY</t>
        </is>
      </c>
      <c r="G744" t="n">
        <v>5.9</v>
      </c>
      <c r="H744" t="n">
        <v>0</v>
      </c>
      <c r="I744" t="n">
        <v>0</v>
      </c>
      <c r="J744" t="n">
        <v>0</v>
      </c>
      <c r="K744" t="n">
        <v>0</v>
      </c>
      <c r="L744" t="n">
        <v>0</v>
      </c>
      <c r="M744" t="n">
        <v>0</v>
      </c>
      <c r="N744" t="n">
        <v>0</v>
      </c>
      <c r="O744" t="n">
        <v>0</v>
      </c>
      <c r="P744" t="n">
        <v>0</v>
      </c>
      <c r="Q744" t="n">
        <v>0</v>
      </c>
      <c r="R744" s="2" t="inlineStr"/>
    </row>
    <row r="745" ht="15" customHeight="1">
      <c r="A745" t="inlineStr">
        <is>
          <t>A 72067-2021</t>
        </is>
      </c>
      <c r="B745" s="1" t="n">
        <v>44540</v>
      </c>
      <c r="C745" s="1" t="n">
        <v>45933</v>
      </c>
      <c r="D745" t="inlineStr">
        <is>
          <t>KALMAR LÄN</t>
        </is>
      </c>
      <c r="E745" t="inlineStr">
        <is>
          <t>VIMMERBY</t>
        </is>
      </c>
      <c r="G745" t="n">
        <v>1.6</v>
      </c>
      <c r="H745" t="n">
        <v>0</v>
      </c>
      <c r="I745" t="n">
        <v>0</v>
      </c>
      <c r="J745" t="n">
        <v>0</v>
      </c>
      <c r="K745" t="n">
        <v>0</v>
      </c>
      <c r="L745" t="n">
        <v>0</v>
      </c>
      <c r="M745" t="n">
        <v>0</v>
      </c>
      <c r="N745" t="n">
        <v>0</v>
      </c>
      <c r="O745" t="n">
        <v>0</v>
      </c>
      <c r="P745" t="n">
        <v>0</v>
      </c>
      <c r="Q745" t="n">
        <v>0</v>
      </c>
      <c r="R745" s="2" t="inlineStr"/>
    </row>
    <row r="746" ht="15" customHeight="1">
      <c r="A746" t="inlineStr">
        <is>
          <t>A 41158-2023</t>
        </is>
      </c>
      <c r="B746" s="1" t="n">
        <v>45174.31395833333</v>
      </c>
      <c r="C746" s="1" t="n">
        <v>45933</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22198-2024</t>
        </is>
      </c>
      <c r="B747" s="1" t="n">
        <v>45446.36865740741</v>
      </c>
      <c r="C747" s="1" t="n">
        <v>45933</v>
      </c>
      <c r="D747" t="inlineStr">
        <is>
          <t>KALMAR LÄN</t>
        </is>
      </c>
      <c r="E747" t="inlineStr">
        <is>
          <t>VIMMERBY</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9511-2023</t>
        </is>
      </c>
      <c r="B748" s="1" t="n">
        <v>44981.64725694444</v>
      </c>
      <c r="C748" s="1" t="n">
        <v>45933</v>
      </c>
      <c r="D748" t="inlineStr">
        <is>
          <t>KALMAR LÄN</t>
        </is>
      </c>
      <c r="E748" t="inlineStr">
        <is>
          <t>VIMMERBY</t>
        </is>
      </c>
      <c r="G748" t="n">
        <v>3.5</v>
      </c>
      <c r="H748" t="n">
        <v>0</v>
      </c>
      <c r="I748" t="n">
        <v>0</v>
      </c>
      <c r="J748" t="n">
        <v>0</v>
      </c>
      <c r="K748" t="n">
        <v>0</v>
      </c>
      <c r="L748" t="n">
        <v>0</v>
      </c>
      <c r="M748" t="n">
        <v>0</v>
      </c>
      <c r="N748" t="n">
        <v>0</v>
      </c>
      <c r="O748" t="n">
        <v>0</v>
      </c>
      <c r="P748" t="n">
        <v>0</v>
      </c>
      <c r="Q748" t="n">
        <v>0</v>
      </c>
      <c r="R748" s="2" t="inlineStr"/>
    </row>
    <row r="749" ht="15" customHeight="1">
      <c r="A749" t="inlineStr">
        <is>
          <t>A 34205-2023</t>
        </is>
      </c>
      <c r="B749" s="1" t="n">
        <v>45138</v>
      </c>
      <c r="C749" s="1" t="n">
        <v>45933</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57091-2022</t>
        </is>
      </c>
      <c r="B750" s="1" t="n">
        <v>44895.46524305556</v>
      </c>
      <c r="C750" s="1" t="n">
        <v>45933</v>
      </c>
      <c r="D750" t="inlineStr">
        <is>
          <t>KALMAR LÄN</t>
        </is>
      </c>
      <c r="E750" t="inlineStr">
        <is>
          <t>VIMMERBY</t>
        </is>
      </c>
      <c r="G750" t="n">
        <v>2.6</v>
      </c>
      <c r="H750" t="n">
        <v>0</v>
      </c>
      <c r="I750" t="n">
        <v>0</v>
      </c>
      <c r="J750" t="n">
        <v>0</v>
      </c>
      <c r="K750" t="n">
        <v>0</v>
      </c>
      <c r="L750" t="n">
        <v>0</v>
      </c>
      <c r="M750" t="n">
        <v>0</v>
      </c>
      <c r="N750" t="n">
        <v>0</v>
      </c>
      <c r="O750" t="n">
        <v>0</v>
      </c>
      <c r="P750" t="n">
        <v>0</v>
      </c>
      <c r="Q750" t="n">
        <v>0</v>
      </c>
      <c r="R750" s="2" t="inlineStr"/>
    </row>
    <row r="751" ht="15" customHeight="1">
      <c r="A751" t="inlineStr">
        <is>
          <t>A 2604-2025</t>
        </is>
      </c>
      <c r="B751" s="1" t="n">
        <v>45674.74094907408</v>
      </c>
      <c r="C751" s="1" t="n">
        <v>45933</v>
      </c>
      <c r="D751" t="inlineStr">
        <is>
          <t>KALMAR LÄN</t>
        </is>
      </c>
      <c r="E751" t="inlineStr">
        <is>
          <t>VIMMERBY</t>
        </is>
      </c>
      <c r="G751" t="n">
        <v>7.6</v>
      </c>
      <c r="H751" t="n">
        <v>0</v>
      </c>
      <c r="I751" t="n">
        <v>0</v>
      </c>
      <c r="J751" t="n">
        <v>0</v>
      </c>
      <c r="K751" t="n">
        <v>0</v>
      </c>
      <c r="L751" t="n">
        <v>0</v>
      </c>
      <c r="M751" t="n">
        <v>0</v>
      </c>
      <c r="N751" t="n">
        <v>0</v>
      </c>
      <c r="O751" t="n">
        <v>0</v>
      </c>
      <c r="P751" t="n">
        <v>0</v>
      </c>
      <c r="Q751" t="n">
        <v>0</v>
      </c>
      <c r="R751" s="2" t="inlineStr"/>
    </row>
    <row r="752" ht="15" customHeight="1">
      <c r="A752" t="inlineStr">
        <is>
          <t>A 6807-2025</t>
        </is>
      </c>
      <c r="B752" s="1" t="n">
        <v>45700.68672453704</v>
      </c>
      <c r="C752" s="1" t="n">
        <v>45933</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38851-2023</t>
        </is>
      </c>
      <c r="B753" s="1" t="n">
        <v>45163</v>
      </c>
      <c r="C753" s="1" t="n">
        <v>45933</v>
      </c>
      <c r="D753" t="inlineStr">
        <is>
          <t>KALMAR LÄN</t>
        </is>
      </c>
      <c r="E753" t="inlineStr">
        <is>
          <t>VIMMERBY</t>
        </is>
      </c>
      <c r="G753" t="n">
        <v>4.3</v>
      </c>
      <c r="H753" t="n">
        <v>0</v>
      </c>
      <c r="I753" t="n">
        <v>0</v>
      </c>
      <c r="J753" t="n">
        <v>0</v>
      </c>
      <c r="K753" t="n">
        <v>0</v>
      </c>
      <c r="L753" t="n">
        <v>0</v>
      </c>
      <c r="M753" t="n">
        <v>0</v>
      </c>
      <c r="N753" t="n">
        <v>0</v>
      </c>
      <c r="O753" t="n">
        <v>0</v>
      </c>
      <c r="P753" t="n">
        <v>0</v>
      </c>
      <c r="Q753" t="n">
        <v>0</v>
      </c>
      <c r="R753" s="2" t="inlineStr"/>
    </row>
    <row r="754" ht="15" customHeight="1">
      <c r="A754" t="inlineStr">
        <is>
          <t>A 23252-2024</t>
        </is>
      </c>
      <c r="B754" s="1" t="n">
        <v>45453.36067129629</v>
      </c>
      <c r="C754" s="1" t="n">
        <v>45933</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5792-2023</t>
        </is>
      </c>
      <c r="B755" s="1" t="n">
        <v>44963.44769675926</v>
      </c>
      <c r="C755" s="1" t="n">
        <v>45933</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44944.71386574074</v>
      </c>
      <c r="C756" s="1" t="n">
        <v>45933</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2799-2023</t>
        </is>
      </c>
      <c r="B757" s="1" t="n">
        <v>44944.72100694444</v>
      </c>
      <c r="C757" s="1" t="n">
        <v>45933</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6220-2025</t>
        </is>
      </c>
      <c r="B758" s="1" t="n">
        <v>45698.53725694444</v>
      </c>
      <c r="C758" s="1" t="n">
        <v>45933</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58278-2023</t>
        </is>
      </c>
      <c r="B759" s="1" t="n">
        <v>45250.5278587963</v>
      </c>
      <c r="C759" s="1" t="n">
        <v>45933</v>
      </c>
      <c r="D759" t="inlineStr">
        <is>
          <t>KALMAR LÄN</t>
        </is>
      </c>
      <c r="E759" t="inlineStr">
        <is>
          <t>VIMMERBY</t>
        </is>
      </c>
      <c r="G759" t="n">
        <v>1.8</v>
      </c>
      <c r="H759" t="n">
        <v>0</v>
      </c>
      <c r="I759" t="n">
        <v>0</v>
      </c>
      <c r="J759" t="n">
        <v>0</v>
      </c>
      <c r="K759" t="n">
        <v>0</v>
      </c>
      <c r="L759" t="n">
        <v>0</v>
      </c>
      <c r="M759" t="n">
        <v>0</v>
      </c>
      <c r="N759" t="n">
        <v>0</v>
      </c>
      <c r="O759" t="n">
        <v>0</v>
      </c>
      <c r="P759" t="n">
        <v>0</v>
      </c>
      <c r="Q759" t="n">
        <v>0</v>
      </c>
      <c r="R759" s="2" t="inlineStr"/>
    </row>
    <row r="760" ht="15" customHeight="1">
      <c r="A760" t="inlineStr">
        <is>
          <t>A 36259-2022</t>
        </is>
      </c>
      <c r="B760" s="1" t="n">
        <v>44803.59118055556</v>
      </c>
      <c r="C760" s="1" t="n">
        <v>45933</v>
      </c>
      <c r="D760" t="inlineStr">
        <is>
          <t>KALMAR LÄN</t>
        </is>
      </c>
      <c r="E760" t="inlineStr">
        <is>
          <t>VIMMERBY</t>
        </is>
      </c>
      <c r="G760" t="n">
        <v>3.9</v>
      </c>
      <c r="H760" t="n">
        <v>0</v>
      </c>
      <c r="I760" t="n">
        <v>0</v>
      </c>
      <c r="J760" t="n">
        <v>0</v>
      </c>
      <c r="K760" t="n">
        <v>0</v>
      </c>
      <c r="L760" t="n">
        <v>0</v>
      </c>
      <c r="M760" t="n">
        <v>0</v>
      </c>
      <c r="N760" t="n">
        <v>0</v>
      </c>
      <c r="O760" t="n">
        <v>0</v>
      </c>
      <c r="P760" t="n">
        <v>0</v>
      </c>
      <c r="Q760" t="n">
        <v>0</v>
      </c>
      <c r="R760" s="2" t="inlineStr"/>
    </row>
    <row r="761" ht="15" customHeight="1">
      <c r="A761" t="inlineStr">
        <is>
          <t>A 36526-2023</t>
        </is>
      </c>
      <c r="B761" s="1" t="n">
        <v>45153.32778935185</v>
      </c>
      <c r="C761" s="1" t="n">
        <v>45933</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17988-2025</t>
        </is>
      </c>
      <c r="B762" s="1" t="n">
        <v>45761.39600694444</v>
      </c>
      <c r="C762" s="1" t="n">
        <v>45933</v>
      </c>
      <c r="D762" t="inlineStr">
        <is>
          <t>KALMAR LÄN</t>
        </is>
      </c>
      <c r="E762" t="inlineStr">
        <is>
          <t>VIMMERBY</t>
        </is>
      </c>
      <c r="G762" t="n">
        <v>2.8</v>
      </c>
      <c r="H762" t="n">
        <v>0</v>
      </c>
      <c r="I762" t="n">
        <v>0</v>
      </c>
      <c r="J762" t="n">
        <v>0</v>
      </c>
      <c r="K762" t="n">
        <v>0</v>
      </c>
      <c r="L762" t="n">
        <v>0</v>
      </c>
      <c r="M762" t="n">
        <v>0</v>
      </c>
      <c r="N762" t="n">
        <v>0</v>
      </c>
      <c r="O762" t="n">
        <v>0</v>
      </c>
      <c r="P762" t="n">
        <v>0</v>
      </c>
      <c r="Q762" t="n">
        <v>0</v>
      </c>
      <c r="R762" s="2" t="inlineStr"/>
    </row>
    <row r="763" ht="15" customHeight="1">
      <c r="A763" t="inlineStr">
        <is>
          <t>A 29350-2023</t>
        </is>
      </c>
      <c r="B763" s="1" t="n">
        <v>45106</v>
      </c>
      <c r="C763" s="1" t="n">
        <v>45933</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29351-2023</t>
        </is>
      </c>
      <c r="B764" s="1" t="n">
        <v>45106.2610300926</v>
      </c>
      <c r="C764" s="1" t="n">
        <v>45933</v>
      </c>
      <c r="D764" t="inlineStr">
        <is>
          <t>KALMAR LÄN</t>
        </is>
      </c>
      <c r="E764" t="inlineStr">
        <is>
          <t>VIMMERBY</t>
        </is>
      </c>
      <c r="G764" t="n">
        <v>0.4</v>
      </c>
      <c r="H764" t="n">
        <v>0</v>
      </c>
      <c r="I764" t="n">
        <v>0</v>
      </c>
      <c r="J764" t="n">
        <v>0</v>
      </c>
      <c r="K764" t="n">
        <v>0</v>
      </c>
      <c r="L764" t="n">
        <v>0</v>
      </c>
      <c r="M764" t="n">
        <v>0</v>
      </c>
      <c r="N764" t="n">
        <v>0</v>
      </c>
      <c r="O764" t="n">
        <v>0</v>
      </c>
      <c r="P764" t="n">
        <v>0</v>
      </c>
      <c r="Q764" t="n">
        <v>0</v>
      </c>
      <c r="R764" s="2" t="inlineStr"/>
    </row>
    <row r="765" ht="15" customHeight="1">
      <c r="A765" t="inlineStr">
        <is>
          <t>A 6474-2025</t>
        </is>
      </c>
      <c r="B765" s="1" t="n">
        <v>45699.60055555555</v>
      </c>
      <c r="C765" s="1" t="n">
        <v>45933</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17-2025</t>
        </is>
      </c>
      <c r="B766" s="1" t="n">
        <v>45658.78774305555</v>
      </c>
      <c r="C766" s="1" t="n">
        <v>45933</v>
      </c>
      <c r="D766" t="inlineStr">
        <is>
          <t>KALMAR LÄN</t>
        </is>
      </c>
      <c r="E766" t="inlineStr">
        <is>
          <t>VIMMERBY</t>
        </is>
      </c>
      <c r="G766" t="n">
        <v>4.4</v>
      </c>
      <c r="H766" t="n">
        <v>0</v>
      </c>
      <c r="I766" t="n">
        <v>0</v>
      </c>
      <c r="J766" t="n">
        <v>0</v>
      </c>
      <c r="K766" t="n">
        <v>0</v>
      </c>
      <c r="L766" t="n">
        <v>0</v>
      </c>
      <c r="M766" t="n">
        <v>0</v>
      </c>
      <c r="N766" t="n">
        <v>0</v>
      </c>
      <c r="O766" t="n">
        <v>0</v>
      </c>
      <c r="P766" t="n">
        <v>0</v>
      </c>
      <c r="Q766" t="n">
        <v>0</v>
      </c>
      <c r="R766" s="2" t="inlineStr"/>
    </row>
    <row r="767" ht="15" customHeight="1">
      <c r="A767" t="inlineStr">
        <is>
          <t>A 57555-2024</t>
        </is>
      </c>
      <c r="B767" s="1" t="n">
        <v>45630.45069444444</v>
      </c>
      <c r="C767" s="1" t="n">
        <v>45933</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18411-2021</t>
        </is>
      </c>
      <c r="B768" s="1" t="n">
        <v>44302</v>
      </c>
      <c r="C768" s="1" t="n">
        <v>45933</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52279-2023</t>
        </is>
      </c>
      <c r="B769" s="1" t="n">
        <v>45224</v>
      </c>
      <c r="C769" s="1" t="n">
        <v>45933</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52324-2023</t>
        </is>
      </c>
      <c r="B770" s="1" t="n">
        <v>45224.64659722222</v>
      </c>
      <c r="C770" s="1" t="n">
        <v>45933</v>
      </c>
      <c r="D770" t="inlineStr">
        <is>
          <t>KALMAR LÄN</t>
        </is>
      </c>
      <c r="E770" t="inlineStr">
        <is>
          <t>VIMMERBY</t>
        </is>
      </c>
      <c r="F770" t="inlineStr">
        <is>
          <t>Sveaskog</t>
        </is>
      </c>
      <c r="G770" t="n">
        <v>2.9</v>
      </c>
      <c r="H770" t="n">
        <v>0</v>
      </c>
      <c r="I770" t="n">
        <v>0</v>
      </c>
      <c r="J770" t="n">
        <v>0</v>
      </c>
      <c r="K770" t="n">
        <v>0</v>
      </c>
      <c r="L770" t="n">
        <v>0</v>
      </c>
      <c r="M770" t="n">
        <v>0</v>
      </c>
      <c r="N770" t="n">
        <v>0</v>
      </c>
      <c r="O770" t="n">
        <v>0</v>
      </c>
      <c r="P770" t="n">
        <v>0</v>
      </c>
      <c r="Q770" t="n">
        <v>0</v>
      </c>
      <c r="R770" s="2" t="inlineStr"/>
    </row>
    <row r="771" ht="15" customHeight="1">
      <c r="A771" t="inlineStr">
        <is>
          <t>A 32639-2023</t>
        </is>
      </c>
      <c r="B771" s="1" t="n">
        <v>45121.5965162037</v>
      </c>
      <c r="C771" s="1" t="n">
        <v>45933</v>
      </c>
      <c r="D771" t="inlineStr">
        <is>
          <t>KALMAR LÄN</t>
        </is>
      </c>
      <c r="E771" t="inlineStr">
        <is>
          <t>VIMMERBY</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32642-2023</t>
        </is>
      </c>
      <c r="B772" s="1" t="n">
        <v>45121.59954861111</v>
      </c>
      <c r="C772" s="1" t="n">
        <v>45933</v>
      </c>
      <c r="D772" t="inlineStr">
        <is>
          <t>KALMAR LÄN</t>
        </is>
      </c>
      <c r="E772" t="inlineStr">
        <is>
          <t>VIMMERBY</t>
        </is>
      </c>
      <c r="F772" t="inlineStr">
        <is>
          <t>Sveaskog</t>
        </is>
      </c>
      <c r="G772" t="n">
        <v>2.1</v>
      </c>
      <c r="H772" t="n">
        <v>0</v>
      </c>
      <c r="I772" t="n">
        <v>0</v>
      </c>
      <c r="J772" t="n">
        <v>0</v>
      </c>
      <c r="K772" t="n">
        <v>0</v>
      </c>
      <c r="L772" t="n">
        <v>0</v>
      </c>
      <c r="M772" t="n">
        <v>0</v>
      </c>
      <c r="N772" t="n">
        <v>0</v>
      </c>
      <c r="O772" t="n">
        <v>0</v>
      </c>
      <c r="P772" t="n">
        <v>0</v>
      </c>
      <c r="Q772" t="n">
        <v>0</v>
      </c>
      <c r="R772" s="2" t="inlineStr"/>
    </row>
    <row r="773" ht="15" customHeight="1">
      <c r="A773" t="inlineStr">
        <is>
          <t>A 32651-2023</t>
        </is>
      </c>
      <c r="B773" s="1" t="n">
        <v>45121.6096875</v>
      </c>
      <c r="C773" s="1" t="n">
        <v>45933</v>
      </c>
      <c r="D773" t="inlineStr">
        <is>
          <t>KALMAR LÄN</t>
        </is>
      </c>
      <c r="E773" t="inlineStr">
        <is>
          <t>VIMMERBY</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40730-2024</t>
        </is>
      </c>
      <c r="B774" s="1" t="n">
        <v>45558.44914351852</v>
      </c>
      <c r="C774" s="1" t="n">
        <v>45933</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9643-2023</t>
        </is>
      </c>
      <c r="B775" s="1" t="n">
        <v>44984</v>
      </c>
      <c r="C775" s="1" t="n">
        <v>45933</v>
      </c>
      <c r="D775" t="inlineStr">
        <is>
          <t>KALMAR LÄN</t>
        </is>
      </c>
      <c r="E775" t="inlineStr">
        <is>
          <t>VIMMERBY</t>
        </is>
      </c>
      <c r="G775" t="n">
        <v>2</v>
      </c>
      <c r="H775" t="n">
        <v>0</v>
      </c>
      <c r="I775" t="n">
        <v>0</v>
      </c>
      <c r="J775" t="n">
        <v>0</v>
      </c>
      <c r="K775" t="n">
        <v>0</v>
      </c>
      <c r="L775" t="n">
        <v>0</v>
      </c>
      <c r="M775" t="n">
        <v>0</v>
      </c>
      <c r="N775" t="n">
        <v>0</v>
      </c>
      <c r="O775" t="n">
        <v>0</v>
      </c>
      <c r="P775" t="n">
        <v>0</v>
      </c>
      <c r="Q775" t="n">
        <v>0</v>
      </c>
      <c r="R775" s="2" t="inlineStr"/>
    </row>
    <row r="776" ht="15" customHeight="1">
      <c r="A776" t="inlineStr">
        <is>
          <t>A 56213-2024</t>
        </is>
      </c>
      <c r="B776" s="1" t="n">
        <v>45624.60141203704</v>
      </c>
      <c r="C776" s="1" t="n">
        <v>45933</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20126-2024</t>
        </is>
      </c>
      <c r="B777" s="1" t="n">
        <v>45434.55471064815</v>
      </c>
      <c r="C777" s="1" t="n">
        <v>45933</v>
      </c>
      <c r="D777" t="inlineStr">
        <is>
          <t>KALMAR LÄN</t>
        </is>
      </c>
      <c r="E777" t="inlineStr">
        <is>
          <t>VIMMERBY</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19865-2021</t>
        </is>
      </c>
      <c r="B778" s="1" t="n">
        <v>44312</v>
      </c>
      <c r="C778" s="1" t="n">
        <v>45933</v>
      </c>
      <c r="D778" t="inlineStr">
        <is>
          <t>KALMAR LÄN</t>
        </is>
      </c>
      <c r="E778" t="inlineStr">
        <is>
          <t>VIMMERBY</t>
        </is>
      </c>
      <c r="G778" t="n">
        <v>8.6</v>
      </c>
      <c r="H778" t="n">
        <v>0</v>
      </c>
      <c r="I778" t="n">
        <v>0</v>
      </c>
      <c r="J778" t="n">
        <v>0</v>
      </c>
      <c r="K778" t="n">
        <v>0</v>
      </c>
      <c r="L778" t="n">
        <v>0</v>
      </c>
      <c r="M778" t="n">
        <v>0</v>
      </c>
      <c r="N778" t="n">
        <v>0</v>
      </c>
      <c r="O778" t="n">
        <v>0</v>
      </c>
      <c r="P778" t="n">
        <v>0</v>
      </c>
      <c r="Q778" t="n">
        <v>0</v>
      </c>
      <c r="R778" s="2" t="inlineStr"/>
    </row>
    <row r="779" ht="15" customHeight="1">
      <c r="A779" t="inlineStr">
        <is>
          <t>A 9694-2023</t>
        </is>
      </c>
      <c r="B779" s="1" t="n">
        <v>44984.45895833334</v>
      </c>
      <c r="C779" s="1" t="n">
        <v>45933</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9710-2023</t>
        </is>
      </c>
      <c r="B780" s="1" t="n">
        <v>44984</v>
      </c>
      <c r="C780" s="1" t="n">
        <v>45933</v>
      </c>
      <c r="D780" t="inlineStr">
        <is>
          <t>KALMAR LÄN</t>
        </is>
      </c>
      <c r="E780" t="inlineStr">
        <is>
          <t>VIMMERBY</t>
        </is>
      </c>
      <c r="G780" t="n">
        <v>3.7</v>
      </c>
      <c r="H780" t="n">
        <v>0</v>
      </c>
      <c r="I780" t="n">
        <v>0</v>
      </c>
      <c r="J780" t="n">
        <v>0</v>
      </c>
      <c r="K780" t="n">
        <v>0</v>
      </c>
      <c r="L780" t="n">
        <v>0</v>
      </c>
      <c r="M780" t="n">
        <v>0</v>
      </c>
      <c r="N780" t="n">
        <v>0</v>
      </c>
      <c r="O780" t="n">
        <v>0</v>
      </c>
      <c r="P780" t="n">
        <v>0</v>
      </c>
      <c r="Q780" t="n">
        <v>0</v>
      </c>
      <c r="R780" s="2" t="inlineStr"/>
    </row>
    <row r="781" ht="15" customHeight="1">
      <c r="A781" t="inlineStr">
        <is>
          <t>A 6216-2025</t>
        </is>
      </c>
      <c r="B781" s="1" t="n">
        <v>45698.52806712963</v>
      </c>
      <c r="C781" s="1" t="n">
        <v>45933</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7944-2024</t>
        </is>
      </c>
      <c r="B782" s="1" t="n">
        <v>45350.53306712963</v>
      </c>
      <c r="C782" s="1" t="n">
        <v>45933</v>
      </c>
      <c r="D782" t="inlineStr">
        <is>
          <t>KALMAR LÄN</t>
        </is>
      </c>
      <c r="E782" t="inlineStr">
        <is>
          <t>VIMMERBY</t>
        </is>
      </c>
      <c r="G782" t="n">
        <v>1.2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45933</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10674-2021</t>
        </is>
      </c>
      <c r="B784" s="1" t="n">
        <v>44258</v>
      </c>
      <c r="C784" s="1" t="n">
        <v>45933</v>
      </c>
      <c r="D784" t="inlineStr">
        <is>
          <t>KALMAR LÄN</t>
        </is>
      </c>
      <c r="E784" t="inlineStr">
        <is>
          <t>VIMMERBY</t>
        </is>
      </c>
      <c r="G784" t="n">
        <v>8.4</v>
      </c>
      <c r="H784" t="n">
        <v>0</v>
      </c>
      <c r="I784" t="n">
        <v>0</v>
      </c>
      <c r="J784" t="n">
        <v>0</v>
      </c>
      <c r="K784" t="n">
        <v>0</v>
      </c>
      <c r="L784" t="n">
        <v>0</v>
      </c>
      <c r="M784" t="n">
        <v>0</v>
      </c>
      <c r="N784" t="n">
        <v>0</v>
      </c>
      <c r="O784" t="n">
        <v>0</v>
      </c>
      <c r="P784" t="n">
        <v>0</v>
      </c>
      <c r="Q784" t="n">
        <v>0</v>
      </c>
      <c r="R784" s="2" t="inlineStr"/>
    </row>
    <row r="785" ht="15" customHeight="1">
      <c r="A785" t="inlineStr">
        <is>
          <t>A 10807-2024</t>
        </is>
      </c>
      <c r="B785" s="1" t="n">
        <v>45369.62780092593</v>
      </c>
      <c r="C785" s="1" t="n">
        <v>45933</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40260-2024</t>
        </is>
      </c>
      <c r="B786" s="1" t="n">
        <v>45554.63225694445</v>
      </c>
      <c r="C786" s="1" t="n">
        <v>45933</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10787-2025</t>
        </is>
      </c>
      <c r="B787" s="1" t="n">
        <v>45722.48915509259</v>
      </c>
      <c r="C787" s="1" t="n">
        <v>45933</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58577-2024</t>
        </is>
      </c>
      <c r="B788" s="1" t="n">
        <v>45635.4874537037</v>
      </c>
      <c r="C788" s="1" t="n">
        <v>45933</v>
      </c>
      <c r="D788" t="inlineStr">
        <is>
          <t>KALMAR LÄN</t>
        </is>
      </c>
      <c r="E788" t="inlineStr">
        <is>
          <t>VIMMERBY</t>
        </is>
      </c>
      <c r="G788" t="n">
        <v>1.1</v>
      </c>
      <c r="H788" t="n">
        <v>0</v>
      </c>
      <c r="I788" t="n">
        <v>0</v>
      </c>
      <c r="J788" t="n">
        <v>0</v>
      </c>
      <c r="K788" t="n">
        <v>0</v>
      </c>
      <c r="L788" t="n">
        <v>0</v>
      </c>
      <c r="M788" t="n">
        <v>0</v>
      </c>
      <c r="N788" t="n">
        <v>0</v>
      </c>
      <c r="O788" t="n">
        <v>0</v>
      </c>
      <c r="P788" t="n">
        <v>0</v>
      </c>
      <c r="Q788" t="n">
        <v>0</v>
      </c>
      <c r="R788" s="2" t="inlineStr"/>
    </row>
    <row r="789" ht="15" customHeight="1">
      <c r="A789" t="inlineStr">
        <is>
          <t>A 38198-2024</t>
        </is>
      </c>
      <c r="B789" s="1" t="n">
        <v>45545.49508101852</v>
      </c>
      <c r="C789" s="1" t="n">
        <v>45933</v>
      </c>
      <c r="D789" t="inlineStr">
        <is>
          <t>KALMAR LÄN</t>
        </is>
      </c>
      <c r="E789" t="inlineStr">
        <is>
          <t>VIMMERBY</t>
        </is>
      </c>
      <c r="G789" t="n">
        <v>7.9</v>
      </c>
      <c r="H789" t="n">
        <v>0</v>
      </c>
      <c r="I789" t="n">
        <v>0</v>
      </c>
      <c r="J789" t="n">
        <v>0</v>
      </c>
      <c r="K789" t="n">
        <v>0</v>
      </c>
      <c r="L789" t="n">
        <v>0</v>
      </c>
      <c r="M789" t="n">
        <v>0</v>
      </c>
      <c r="N789" t="n">
        <v>0</v>
      </c>
      <c r="O789" t="n">
        <v>0</v>
      </c>
      <c r="P789" t="n">
        <v>0</v>
      </c>
      <c r="Q789" t="n">
        <v>0</v>
      </c>
      <c r="R789" s="2" t="inlineStr"/>
    </row>
    <row r="790" ht="15" customHeight="1">
      <c r="A790" t="inlineStr">
        <is>
          <t>A 43617-2024</t>
        </is>
      </c>
      <c r="B790" s="1" t="n">
        <v>45569.47494212963</v>
      </c>
      <c r="C790" s="1" t="n">
        <v>45933</v>
      </c>
      <c r="D790" t="inlineStr">
        <is>
          <t>KALMAR LÄN</t>
        </is>
      </c>
      <c r="E790" t="inlineStr">
        <is>
          <t>VIMMERBY</t>
        </is>
      </c>
      <c r="G790" t="n">
        <v>2.7</v>
      </c>
      <c r="H790" t="n">
        <v>0</v>
      </c>
      <c r="I790" t="n">
        <v>0</v>
      </c>
      <c r="J790" t="n">
        <v>0</v>
      </c>
      <c r="K790" t="n">
        <v>0</v>
      </c>
      <c r="L790" t="n">
        <v>0</v>
      </c>
      <c r="M790" t="n">
        <v>0</v>
      </c>
      <c r="N790" t="n">
        <v>0</v>
      </c>
      <c r="O790" t="n">
        <v>0</v>
      </c>
      <c r="P790" t="n">
        <v>0</v>
      </c>
      <c r="Q790" t="n">
        <v>0</v>
      </c>
      <c r="R790" s="2" t="inlineStr"/>
    </row>
    <row r="791" ht="15" customHeight="1">
      <c r="A791" t="inlineStr">
        <is>
          <t>A 22264-2023</t>
        </is>
      </c>
      <c r="B791" s="1" t="n">
        <v>45070.3665625</v>
      </c>
      <c r="C791" s="1" t="n">
        <v>45933</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22266-2023</t>
        </is>
      </c>
      <c r="B792" s="1" t="n">
        <v>45070</v>
      </c>
      <c r="C792" s="1" t="n">
        <v>45933</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50091-2023</t>
        </is>
      </c>
      <c r="B793" s="1" t="n">
        <v>45215.60199074074</v>
      </c>
      <c r="C793" s="1" t="n">
        <v>45933</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10303-2025</t>
        </is>
      </c>
      <c r="B794" s="1" t="n">
        <v>45720.44217592593</v>
      </c>
      <c r="C794" s="1" t="n">
        <v>45933</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44991.89657407408</v>
      </c>
      <c r="C795" s="1" t="n">
        <v>45933</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11661-2023</t>
        </is>
      </c>
      <c r="B796" s="1" t="n">
        <v>44994.46908564815</v>
      </c>
      <c r="C796" s="1" t="n">
        <v>45933</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36155-2023</t>
        </is>
      </c>
      <c r="B797" s="1" t="n">
        <v>45149.60917824074</v>
      </c>
      <c r="C797" s="1" t="n">
        <v>45933</v>
      </c>
      <c r="D797" t="inlineStr">
        <is>
          <t>KALMAR LÄN</t>
        </is>
      </c>
      <c r="E797" t="inlineStr">
        <is>
          <t>VIMMERBY</t>
        </is>
      </c>
      <c r="G797" t="n">
        <v>5</v>
      </c>
      <c r="H797" t="n">
        <v>0</v>
      </c>
      <c r="I797" t="n">
        <v>0</v>
      </c>
      <c r="J797" t="n">
        <v>0</v>
      </c>
      <c r="K797" t="n">
        <v>0</v>
      </c>
      <c r="L797" t="n">
        <v>0</v>
      </c>
      <c r="M797" t="n">
        <v>0</v>
      </c>
      <c r="N797" t="n">
        <v>0</v>
      </c>
      <c r="O797" t="n">
        <v>0</v>
      </c>
      <c r="P797" t="n">
        <v>0</v>
      </c>
      <c r="Q797" t="n">
        <v>0</v>
      </c>
      <c r="R797" s="2" t="inlineStr"/>
    </row>
    <row r="798" ht="15" customHeight="1">
      <c r="A798" t="inlineStr">
        <is>
          <t>A 40147-2023</t>
        </is>
      </c>
      <c r="B798" s="1" t="n">
        <v>45169</v>
      </c>
      <c r="C798" s="1" t="n">
        <v>45933</v>
      </c>
      <c r="D798" t="inlineStr">
        <is>
          <t>KALMAR LÄN</t>
        </is>
      </c>
      <c r="E798" t="inlineStr">
        <is>
          <t>VIMMERBY</t>
        </is>
      </c>
      <c r="G798" t="n">
        <v>1.7</v>
      </c>
      <c r="H798" t="n">
        <v>0</v>
      </c>
      <c r="I798" t="n">
        <v>0</v>
      </c>
      <c r="J798" t="n">
        <v>0</v>
      </c>
      <c r="K798" t="n">
        <v>0</v>
      </c>
      <c r="L798" t="n">
        <v>0</v>
      </c>
      <c r="M798" t="n">
        <v>0</v>
      </c>
      <c r="N798" t="n">
        <v>0</v>
      </c>
      <c r="O798" t="n">
        <v>0</v>
      </c>
      <c r="P798" t="n">
        <v>0</v>
      </c>
      <c r="Q798" t="n">
        <v>0</v>
      </c>
      <c r="R798" s="2" t="inlineStr"/>
    </row>
    <row r="799" ht="15" customHeight="1">
      <c r="A799" t="inlineStr">
        <is>
          <t>A 63950-2023</t>
        </is>
      </c>
      <c r="B799" s="1" t="n">
        <v>45278</v>
      </c>
      <c r="C799" s="1" t="n">
        <v>45933</v>
      </c>
      <c r="D799" t="inlineStr">
        <is>
          <t>KALMAR LÄN</t>
        </is>
      </c>
      <c r="E799" t="inlineStr">
        <is>
          <t>VIMMERBY</t>
        </is>
      </c>
      <c r="F799" t="inlineStr">
        <is>
          <t>Kyrkan</t>
        </is>
      </c>
      <c r="G799" t="n">
        <v>2.7</v>
      </c>
      <c r="H799" t="n">
        <v>0</v>
      </c>
      <c r="I799" t="n">
        <v>0</v>
      </c>
      <c r="J799" t="n">
        <v>0</v>
      </c>
      <c r="K799" t="n">
        <v>0</v>
      </c>
      <c r="L799" t="n">
        <v>0</v>
      </c>
      <c r="M799" t="n">
        <v>0</v>
      </c>
      <c r="N799" t="n">
        <v>0</v>
      </c>
      <c r="O799" t="n">
        <v>0</v>
      </c>
      <c r="P799" t="n">
        <v>0</v>
      </c>
      <c r="Q799" t="n">
        <v>0</v>
      </c>
      <c r="R799" s="2" t="inlineStr"/>
    </row>
    <row r="800" ht="15" customHeight="1">
      <c r="A800" t="inlineStr">
        <is>
          <t>A 24096-2024</t>
        </is>
      </c>
      <c r="B800" s="1" t="n">
        <v>45456.59289351852</v>
      </c>
      <c r="C800" s="1" t="n">
        <v>45933</v>
      </c>
      <c r="D800" t="inlineStr">
        <is>
          <t>KALMAR LÄN</t>
        </is>
      </c>
      <c r="E800" t="inlineStr">
        <is>
          <t>VIMMERBY</t>
        </is>
      </c>
      <c r="G800" t="n">
        <v>2.3</v>
      </c>
      <c r="H800" t="n">
        <v>0</v>
      </c>
      <c r="I800" t="n">
        <v>0</v>
      </c>
      <c r="J800" t="n">
        <v>0</v>
      </c>
      <c r="K800" t="n">
        <v>0</v>
      </c>
      <c r="L800" t="n">
        <v>0</v>
      </c>
      <c r="M800" t="n">
        <v>0</v>
      </c>
      <c r="N800" t="n">
        <v>0</v>
      </c>
      <c r="O800" t="n">
        <v>0</v>
      </c>
      <c r="P800" t="n">
        <v>0</v>
      </c>
      <c r="Q800" t="n">
        <v>0</v>
      </c>
      <c r="R800" s="2" t="inlineStr"/>
    </row>
    <row r="801" ht="15" customHeight="1">
      <c r="A801" t="inlineStr">
        <is>
          <t>A 13015-2023</t>
        </is>
      </c>
      <c r="B801" s="1" t="n">
        <v>45002</v>
      </c>
      <c r="C801" s="1" t="n">
        <v>45933</v>
      </c>
      <c r="D801" t="inlineStr">
        <is>
          <t>KALMAR LÄN</t>
        </is>
      </c>
      <c r="E801" t="inlineStr">
        <is>
          <t>VIMMERBY</t>
        </is>
      </c>
      <c r="G801" t="n">
        <v>3.2</v>
      </c>
      <c r="H801" t="n">
        <v>0</v>
      </c>
      <c r="I801" t="n">
        <v>0</v>
      </c>
      <c r="J801" t="n">
        <v>0</v>
      </c>
      <c r="K801" t="n">
        <v>0</v>
      </c>
      <c r="L801" t="n">
        <v>0</v>
      </c>
      <c r="M801" t="n">
        <v>0</v>
      </c>
      <c r="N801" t="n">
        <v>0</v>
      </c>
      <c r="O801" t="n">
        <v>0</v>
      </c>
      <c r="P801" t="n">
        <v>0</v>
      </c>
      <c r="Q801" t="n">
        <v>0</v>
      </c>
      <c r="R801" s="2" t="inlineStr"/>
    </row>
    <row r="802" ht="15" customHeight="1">
      <c r="A802" t="inlineStr">
        <is>
          <t>A 41199-2023</t>
        </is>
      </c>
      <c r="B802" s="1" t="n">
        <v>45174.40454861111</v>
      </c>
      <c r="C802" s="1" t="n">
        <v>45933</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36014-2024</t>
        </is>
      </c>
      <c r="B803" s="1" t="n">
        <v>45533.56108796296</v>
      </c>
      <c r="C803" s="1" t="n">
        <v>45933</v>
      </c>
      <c r="D803" t="inlineStr">
        <is>
          <t>KALMAR LÄN</t>
        </is>
      </c>
      <c r="E803" t="inlineStr">
        <is>
          <t>VIMMERBY</t>
        </is>
      </c>
      <c r="G803" t="n">
        <v>2.3</v>
      </c>
      <c r="H803" t="n">
        <v>0</v>
      </c>
      <c r="I803" t="n">
        <v>0</v>
      </c>
      <c r="J803" t="n">
        <v>0</v>
      </c>
      <c r="K803" t="n">
        <v>0</v>
      </c>
      <c r="L803" t="n">
        <v>0</v>
      </c>
      <c r="M803" t="n">
        <v>0</v>
      </c>
      <c r="N803" t="n">
        <v>0</v>
      </c>
      <c r="O803" t="n">
        <v>0</v>
      </c>
      <c r="P803" t="n">
        <v>0</v>
      </c>
      <c r="Q803" t="n">
        <v>0</v>
      </c>
      <c r="R803" s="2" t="inlineStr"/>
    </row>
    <row r="804" ht="15" customHeight="1">
      <c r="A804" t="inlineStr">
        <is>
          <t>A 36030-2024</t>
        </is>
      </c>
      <c r="B804" s="1" t="n">
        <v>45533.58302083334</v>
      </c>
      <c r="C804" s="1" t="n">
        <v>45933</v>
      </c>
      <c r="D804" t="inlineStr">
        <is>
          <t>KALMAR LÄN</t>
        </is>
      </c>
      <c r="E804" t="inlineStr">
        <is>
          <t>VIMMERBY</t>
        </is>
      </c>
      <c r="F804" t="inlineStr">
        <is>
          <t>Kommuner</t>
        </is>
      </c>
      <c r="G804" t="n">
        <v>4</v>
      </c>
      <c r="H804" t="n">
        <v>0</v>
      </c>
      <c r="I804" t="n">
        <v>0</v>
      </c>
      <c r="J804" t="n">
        <v>0</v>
      </c>
      <c r="K804" t="n">
        <v>0</v>
      </c>
      <c r="L804" t="n">
        <v>0</v>
      </c>
      <c r="M804" t="n">
        <v>0</v>
      </c>
      <c r="N804" t="n">
        <v>0</v>
      </c>
      <c r="O804" t="n">
        <v>0</v>
      </c>
      <c r="P804" t="n">
        <v>0</v>
      </c>
      <c r="Q804" t="n">
        <v>0</v>
      </c>
      <c r="R804" s="2" t="inlineStr"/>
    </row>
    <row r="805" ht="15" customHeight="1">
      <c r="A805" t="inlineStr">
        <is>
          <t>A 7627-2025</t>
        </is>
      </c>
      <c r="B805" s="1" t="n">
        <v>45705.73300925926</v>
      </c>
      <c r="C805" s="1" t="n">
        <v>45933</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6321-2023</t>
        </is>
      </c>
      <c r="B806" s="1" t="n">
        <v>44965.4815162037</v>
      </c>
      <c r="C806" s="1" t="n">
        <v>45933</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52755-2022</t>
        </is>
      </c>
      <c r="B807" s="1" t="n">
        <v>44875.27736111111</v>
      </c>
      <c r="C807" s="1" t="n">
        <v>45933</v>
      </c>
      <c r="D807" t="inlineStr">
        <is>
          <t>KALMAR LÄN</t>
        </is>
      </c>
      <c r="E807" t="inlineStr">
        <is>
          <t>VIMMERBY</t>
        </is>
      </c>
      <c r="G807" t="n">
        <v>1.1</v>
      </c>
      <c r="H807" t="n">
        <v>0</v>
      </c>
      <c r="I807" t="n">
        <v>0</v>
      </c>
      <c r="J807" t="n">
        <v>0</v>
      </c>
      <c r="K807" t="n">
        <v>0</v>
      </c>
      <c r="L807" t="n">
        <v>0</v>
      </c>
      <c r="M807" t="n">
        <v>0</v>
      </c>
      <c r="N807" t="n">
        <v>0</v>
      </c>
      <c r="O807" t="n">
        <v>0</v>
      </c>
      <c r="P807" t="n">
        <v>0</v>
      </c>
      <c r="Q807" t="n">
        <v>0</v>
      </c>
      <c r="R807" s="2" t="inlineStr"/>
    </row>
    <row r="808" ht="15" customHeight="1">
      <c r="A808" t="inlineStr">
        <is>
          <t>A 40823-2023</t>
        </is>
      </c>
      <c r="B808" s="1" t="n">
        <v>45171.77335648148</v>
      </c>
      <c r="C808" s="1" t="n">
        <v>45933</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27761-2024</t>
        </is>
      </c>
      <c r="B809" s="1" t="n">
        <v>45475.49018518518</v>
      </c>
      <c r="C809" s="1" t="n">
        <v>45933</v>
      </c>
      <c r="D809" t="inlineStr">
        <is>
          <t>KALMAR LÄN</t>
        </is>
      </c>
      <c r="E809" t="inlineStr">
        <is>
          <t>VIMMERBY</t>
        </is>
      </c>
      <c r="G809" t="n">
        <v>0.6</v>
      </c>
      <c r="H809" t="n">
        <v>0</v>
      </c>
      <c r="I809" t="n">
        <v>0</v>
      </c>
      <c r="J809" t="n">
        <v>0</v>
      </c>
      <c r="K809" t="n">
        <v>0</v>
      </c>
      <c r="L809" t="n">
        <v>0</v>
      </c>
      <c r="M809" t="n">
        <v>0</v>
      </c>
      <c r="N809" t="n">
        <v>0</v>
      </c>
      <c r="O809" t="n">
        <v>0</v>
      </c>
      <c r="P809" t="n">
        <v>0</v>
      </c>
      <c r="Q809" t="n">
        <v>0</v>
      </c>
      <c r="R809" s="2" t="inlineStr"/>
    </row>
    <row r="810" ht="15" customHeight="1">
      <c r="A810" t="inlineStr">
        <is>
          <t>A 21028-2023</t>
        </is>
      </c>
      <c r="B810" s="1" t="n">
        <v>45061</v>
      </c>
      <c r="C810" s="1" t="n">
        <v>45933</v>
      </c>
      <c r="D810" t="inlineStr">
        <is>
          <t>KALMAR LÄN</t>
        </is>
      </c>
      <c r="E810" t="inlineStr">
        <is>
          <t>VIMMERBY</t>
        </is>
      </c>
      <c r="F810" t="inlineStr">
        <is>
          <t>Övriga Aktiebolag</t>
        </is>
      </c>
      <c r="G810" t="n">
        <v>0.7</v>
      </c>
      <c r="H810" t="n">
        <v>0</v>
      </c>
      <c r="I810" t="n">
        <v>0</v>
      </c>
      <c r="J810" t="n">
        <v>0</v>
      </c>
      <c r="K810" t="n">
        <v>0</v>
      </c>
      <c r="L810" t="n">
        <v>0</v>
      </c>
      <c r="M810" t="n">
        <v>0</v>
      </c>
      <c r="N810" t="n">
        <v>0</v>
      </c>
      <c r="O810" t="n">
        <v>0</v>
      </c>
      <c r="P810" t="n">
        <v>0</v>
      </c>
      <c r="Q810" t="n">
        <v>0</v>
      </c>
      <c r="R810" s="2" t="inlineStr"/>
    </row>
    <row r="811" ht="15" customHeight="1">
      <c r="A811" t="inlineStr">
        <is>
          <t>A 64203-2021</t>
        </is>
      </c>
      <c r="B811" s="1" t="n">
        <v>44510.60921296296</v>
      </c>
      <c r="C811" s="1" t="n">
        <v>45933</v>
      </c>
      <c r="D811" t="inlineStr">
        <is>
          <t>KALMAR LÄN</t>
        </is>
      </c>
      <c r="E811" t="inlineStr">
        <is>
          <t>VIMMERBY</t>
        </is>
      </c>
      <c r="F811" t="inlineStr">
        <is>
          <t>Övriga Aktiebolag</t>
        </is>
      </c>
      <c r="G811" t="n">
        <v>5.4</v>
      </c>
      <c r="H811" t="n">
        <v>0</v>
      </c>
      <c r="I811" t="n">
        <v>0</v>
      </c>
      <c r="J811" t="n">
        <v>0</v>
      </c>
      <c r="K811" t="n">
        <v>0</v>
      </c>
      <c r="L811" t="n">
        <v>0</v>
      </c>
      <c r="M811" t="n">
        <v>0</v>
      </c>
      <c r="N811" t="n">
        <v>0</v>
      </c>
      <c r="O811" t="n">
        <v>0</v>
      </c>
      <c r="P811" t="n">
        <v>0</v>
      </c>
      <c r="Q811" t="n">
        <v>0</v>
      </c>
      <c r="R811" s="2" t="inlineStr"/>
    </row>
    <row r="812" ht="15" customHeight="1">
      <c r="A812" t="inlineStr">
        <is>
          <t>A 1016-2024</t>
        </is>
      </c>
      <c r="B812" s="1" t="n">
        <v>45301</v>
      </c>
      <c r="C812" s="1" t="n">
        <v>45933</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1024-2024</t>
        </is>
      </c>
      <c r="B813" s="1" t="n">
        <v>45301.68237268519</v>
      </c>
      <c r="C813" s="1" t="n">
        <v>45933</v>
      </c>
      <c r="D813" t="inlineStr">
        <is>
          <t>KALMAR LÄN</t>
        </is>
      </c>
      <c r="E813" t="inlineStr">
        <is>
          <t>VIMMERBY</t>
        </is>
      </c>
      <c r="G813" t="n">
        <v>13</v>
      </c>
      <c r="H813" t="n">
        <v>0</v>
      </c>
      <c r="I813" t="n">
        <v>0</v>
      </c>
      <c r="J813" t="n">
        <v>0</v>
      </c>
      <c r="K813" t="n">
        <v>0</v>
      </c>
      <c r="L813" t="n">
        <v>0</v>
      </c>
      <c r="M813" t="n">
        <v>0</v>
      </c>
      <c r="N813" t="n">
        <v>0</v>
      </c>
      <c r="O813" t="n">
        <v>0</v>
      </c>
      <c r="P813" t="n">
        <v>0</v>
      </c>
      <c r="Q813" t="n">
        <v>0</v>
      </c>
      <c r="R813" s="2" t="inlineStr"/>
    </row>
    <row r="814" ht="15" customHeight="1">
      <c r="A814" t="inlineStr">
        <is>
          <t>A 27758-2024</t>
        </is>
      </c>
      <c r="B814" s="1" t="n">
        <v>45475.48303240741</v>
      </c>
      <c r="C814" s="1" t="n">
        <v>45933</v>
      </c>
      <c r="D814" t="inlineStr">
        <is>
          <t>KALMAR LÄN</t>
        </is>
      </c>
      <c r="E814" t="inlineStr">
        <is>
          <t>VIMMERBY</t>
        </is>
      </c>
      <c r="G814" t="n">
        <v>2.6</v>
      </c>
      <c r="H814" t="n">
        <v>0</v>
      </c>
      <c r="I814" t="n">
        <v>0</v>
      </c>
      <c r="J814" t="n">
        <v>0</v>
      </c>
      <c r="K814" t="n">
        <v>0</v>
      </c>
      <c r="L814" t="n">
        <v>0</v>
      </c>
      <c r="M814" t="n">
        <v>0</v>
      </c>
      <c r="N814" t="n">
        <v>0</v>
      </c>
      <c r="O814" t="n">
        <v>0</v>
      </c>
      <c r="P814" t="n">
        <v>0</v>
      </c>
      <c r="Q814" t="n">
        <v>0</v>
      </c>
      <c r="R814" s="2" t="inlineStr"/>
    </row>
    <row r="815" ht="15" customHeight="1">
      <c r="A815" t="inlineStr">
        <is>
          <t>A 32865-2023</t>
        </is>
      </c>
      <c r="B815" s="1" t="n">
        <v>45124</v>
      </c>
      <c r="C815" s="1" t="n">
        <v>45933</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22194-2024</t>
        </is>
      </c>
      <c r="B816" s="1" t="n">
        <v>45446.36482638889</v>
      </c>
      <c r="C816" s="1" t="n">
        <v>45933</v>
      </c>
      <c r="D816" t="inlineStr">
        <is>
          <t>KALMAR LÄN</t>
        </is>
      </c>
      <c r="E816" t="inlineStr">
        <is>
          <t>VIMMERBY</t>
        </is>
      </c>
      <c r="F816" t="inlineStr">
        <is>
          <t>Sveaskog</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17926-2025</t>
        </is>
      </c>
      <c r="B817" s="1" t="n">
        <v>45759.38987268518</v>
      </c>
      <c r="C817" s="1" t="n">
        <v>45933</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35127-2024</t>
        </is>
      </c>
      <c r="B818" s="1" t="n">
        <v>45530.33202546297</v>
      </c>
      <c r="C818" s="1" t="n">
        <v>45933</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33383-2023</t>
        </is>
      </c>
      <c r="B819" s="1" t="n">
        <v>45128.58414351852</v>
      </c>
      <c r="C819" s="1" t="n">
        <v>45933</v>
      </c>
      <c r="D819" t="inlineStr">
        <is>
          <t>KALMAR LÄN</t>
        </is>
      </c>
      <c r="E819" t="inlineStr">
        <is>
          <t>VIMMERBY</t>
        </is>
      </c>
      <c r="G819" t="n">
        <v>2.3</v>
      </c>
      <c r="H819" t="n">
        <v>0</v>
      </c>
      <c r="I819" t="n">
        <v>0</v>
      </c>
      <c r="J819" t="n">
        <v>0</v>
      </c>
      <c r="K819" t="n">
        <v>0</v>
      </c>
      <c r="L819" t="n">
        <v>0</v>
      </c>
      <c r="M819" t="n">
        <v>0</v>
      </c>
      <c r="N819" t="n">
        <v>0</v>
      </c>
      <c r="O819" t="n">
        <v>0</v>
      </c>
      <c r="P819" t="n">
        <v>0</v>
      </c>
      <c r="Q819" t="n">
        <v>0</v>
      </c>
      <c r="R819" s="2" t="inlineStr"/>
    </row>
    <row r="820" ht="15" customHeight="1">
      <c r="A820" t="inlineStr">
        <is>
          <t>A 4297-2022</t>
        </is>
      </c>
      <c r="B820" s="1" t="n">
        <v>44588</v>
      </c>
      <c r="C820" s="1" t="n">
        <v>45933</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55716-2023</t>
        </is>
      </c>
      <c r="B821" s="1" t="n">
        <v>45232</v>
      </c>
      <c r="C821" s="1" t="n">
        <v>45933</v>
      </c>
      <c r="D821" t="inlineStr">
        <is>
          <t>KALMAR LÄN</t>
        </is>
      </c>
      <c r="E821" t="inlineStr">
        <is>
          <t>VIMMERBY</t>
        </is>
      </c>
      <c r="G821" t="n">
        <v>2.3</v>
      </c>
      <c r="H821" t="n">
        <v>0</v>
      </c>
      <c r="I821" t="n">
        <v>0</v>
      </c>
      <c r="J821" t="n">
        <v>0</v>
      </c>
      <c r="K821" t="n">
        <v>0</v>
      </c>
      <c r="L821" t="n">
        <v>0</v>
      </c>
      <c r="M821" t="n">
        <v>0</v>
      </c>
      <c r="N821" t="n">
        <v>0</v>
      </c>
      <c r="O821" t="n">
        <v>0</v>
      </c>
      <c r="P821" t="n">
        <v>0</v>
      </c>
      <c r="Q821" t="n">
        <v>0</v>
      </c>
      <c r="R821" s="2" t="inlineStr"/>
    </row>
    <row r="822" ht="15" customHeight="1">
      <c r="A822" t="inlineStr">
        <is>
          <t>A 34386-2024</t>
        </is>
      </c>
      <c r="B822" s="1" t="n">
        <v>45525.41762731481</v>
      </c>
      <c r="C822" s="1" t="n">
        <v>45933</v>
      </c>
      <c r="D822" t="inlineStr">
        <is>
          <t>KALMAR LÄN</t>
        </is>
      </c>
      <c r="E822" t="inlineStr">
        <is>
          <t>VIMMERBY</t>
        </is>
      </c>
      <c r="G822" t="n">
        <v>0.3</v>
      </c>
      <c r="H822" t="n">
        <v>0</v>
      </c>
      <c r="I822" t="n">
        <v>0</v>
      </c>
      <c r="J822" t="n">
        <v>0</v>
      </c>
      <c r="K822" t="n">
        <v>0</v>
      </c>
      <c r="L822" t="n">
        <v>0</v>
      </c>
      <c r="M822" t="n">
        <v>0</v>
      </c>
      <c r="N822" t="n">
        <v>0</v>
      </c>
      <c r="O822" t="n">
        <v>0</v>
      </c>
      <c r="P822" t="n">
        <v>0</v>
      </c>
      <c r="Q822" t="n">
        <v>0</v>
      </c>
      <c r="R822" s="2" t="inlineStr"/>
    </row>
    <row r="823" ht="15" customHeight="1">
      <c r="A823" t="inlineStr">
        <is>
          <t>A 42429-2024</t>
        </is>
      </c>
      <c r="B823" s="1" t="n">
        <v>45565.40657407408</v>
      </c>
      <c r="C823" s="1" t="n">
        <v>45933</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11946-2025</t>
        </is>
      </c>
      <c r="B824" s="1" t="n">
        <v>45728.54832175926</v>
      </c>
      <c r="C824" s="1" t="n">
        <v>45933</v>
      </c>
      <c r="D824" t="inlineStr">
        <is>
          <t>KALMAR LÄN</t>
        </is>
      </c>
      <c r="E824" t="inlineStr">
        <is>
          <t>VIMMERBY</t>
        </is>
      </c>
      <c r="G824" t="n">
        <v>0.4</v>
      </c>
      <c r="H824" t="n">
        <v>0</v>
      </c>
      <c r="I824" t="n">
        <v>0</v>
      </c>
      <c r="J824" t="n">
        <v>0</v>
      </c>
      <c r="K824" t="n">
        <v>0</v>
      </c>
      <c r="L824" t="n">
        <v>0</v>
      </c>
      <c r="M824" t="n">
        <v>0</v>
      </c>
      <c r="N824" t="n">
        <v>0</v>
      </c>
      <c r="O824" t="n">
        <v>0</v>
      </c>
      <c r="P824" t="n">
        <v>0</v>
      </c>
      <c r="Q824" t="n">
        <v>0</v>
      </c>
      <c r="R824" s="2" t="inlineStr"/>
    </row>
    <row r="825" ht="15" customHeight="1">
      <c r="A825" t="inlineStr">
        <is>
          <t>A 59943-2023</t>
        </is>
      </c>
      <c r="B825" s="1" t="n">
        <v>45257.67958333333</v>
      </c>
      <c r="C825" s="1" t="n">
        <v>45933</v>
      </c>
      <c r="D825" t="inlineStr">
        <is>
          <t>KALMAR LÄN</t>
        </is>
      </c>
      <c r="E825" t="inlineStr">
        <is>
          <t>VIMMERBY</t>
        </is>
      </c>
      <c r="G825" t="n">
        <v>6.4</v>
      </c>
      <c r="H825" t="n">
        <v>0</v>
      </c>
      <c r="I825" t="n">
        <v>0</v>
      </c>
      <c r="J825" t="n">
        <v>0</v>
      </c>
      <c r="K825" t="n">
        <v>0</v>
      </c>
      <c r="L825" t="n">
        <v>0</v>
      </c>
      <c r="M825" t="n">
        <v>0</v>
      </c>
      <c r="N825" t="n">
        <v>0</v>
      </c>
      <c r="O825" t="n">
        <v>0</v>
      </c>
      <c r="P825" t="n">
        <v>0</v>
      </c>
      <c r="Q825" t="n">
        <v>0</v>
      </c>
      <c r="R825" s="2" t="inlineStr"/>
    </row>
    <row r="826" ht="15" customHeight="1">
      <c r="A826" t="inlineStr">
        <is>
          <t>A 15493-2023</t>
        </is>
      </c>
      <c r="B826" s="1" t="n">
        <v>45018</v>
      </c>
      <c r="C826" s="1" t="n">
        <v>45933</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51881-2024</t>
        </is>
      </c>
      <c r="B827" s="1" t="n">
        <v>45607.56773148148</v>
      </c>
      <c r="C827" s="1" t="n">
        <v>45933</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1021-2024</t>
        </is>
      </c>
      <c r="B828" s="1" t="n">
        <v>45301.67736111111</v>
      </c>
      <c r="C828" s="1" t="n">
        <v>45933</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32569-2024</t>
        </is>
      </c>
      <c r="B829" s="1" t="n">
        <v>45513.55840277778</v>
      </c>
      <c r="C829" s="1" t="n">
        <v>45933</v>
      </c>
      <c r="D829" t="inlineStr">
        <is>
          <t>KALMAR LÄN</t>
        </is>
      </c>
      <c r="E829" t="inlineStr">
        <is>
          <t>VIMMERBY</t>
        </is>
      </c>
      <c r="G829" t="n">
        <v>3.7</v>
      </c>
      <c r="H829" t="n">
        <v>0</v>
      </c>
      <c r="I829" t="n">
        <v>0</v>
      </c>
      <c r="J829" t="n">
        <v>0</v>
      </c>
      <c r="K829" t="n">
        <v>0</v>
      </c>
      <c r="L829" t="n">
        <v>0</v>
      </c>
      <c r="M829" t="n">
        <v>0</v>
      </c>
      <c r="N829" t="n">
        <v>0</v>
      </c>
      <c r="O829" t="n">
        <v>0</v>
      </c>
      <c r="P829" t="n">
        <v>0</v>
      </c>
      <c r="Q829" t="n">
        <v>0</v>
      </c>
      <c r="R829" s="2" t="inlineStr"/>
    </row>
    <row r="830" ht="15" customHeight="1">
      <c r="A830" t="inlineStr">
        <is>
          <t>A 32575-2024</t>
        </is>
      </c>
      <c r="B830" s="1" t="n">
        <v>45513.56527777778</v>
      </c>
      <c r="C830" s="1" t="n">
        <v>45933</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30063-2023</t>
        </is>
      </c>
      <c r="B831" s="1" t="n">
        <v>45110.4184375</v>
      </c>
      <c r="C831" s="1" t="n">
        <v>45933</v>
      </c>
      <c r="D831" t="inlineStr">
        <is>
          <t>KALMAR LÄN</t>
        </is>
      </c>
      <c r="E831" t="inlineStr">
        <is>
          <t>VIMMERBY</t>
        </is>
      </c>
      <c r="G831" t="n">
        <v>1.2</v>
      </c>
      <c r="H831" t="n">
        <v>0</v>
      </c>
      <c r="I831" t="n">
        <v>0</v>
      </c>
      <c r="J831" t="n">
        <v>0</v>
      </c>
      <c r="K831" t="n">
        <v>0</v>
      </c>
      <c r="L831" t="n">
        <v>0</v>
      </c>
      <c r="M831" t="n">
        <v>0</v>
      </c>
      <c r="N831" t="n">
        <v>0</v>
      </c>
      <c r="O831" t="n">
        <v>0</v>
      </c>
      <c r="P831" t="n">
        <v>0</v>
      </c>
      <c r="Q831" t="n">
        <v>0</v>
      </c>
      <c r="R831" s="2" t="inlineStr"/>
    </row>
    <row r="832" ht="15" customHeight="1">
      <c r="A832" t="inlineStr">
        <is>
          <t>A 17482-2024</t>
        </is>
      </c>
      <c r="B832" s="1" t="n">
        <v>45415.47848379629</v>
      </c>
      <c r="C832" s="1" t="n">
        <v>45933</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13817-2024</t>
        </is>
      </c>
      <c r="B833" s="1" t="n">
        <v>45391.41976851852</v>
      </c>
      <c r="C833" s="1" t="n">
        <v>45933</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30406-2023</t>
        </is>
      </c>
      <c r="B834" s="1" t="n">
        <v>45111.48787037037</v>
      </c>
      <c r="C834" s="1" t="n">
        <v>45933</v>
      </c>
      <c r="D834" t="inlineStr">
        <is>
          <t>KALMAR LÄN</t>
        </is>
      </c>
      <c r="E834" t="inlineStr">
        <is>
          <t>VIMMERBY</t>
        </is>
      </c>
      <c r="G834" t="n">
        <v>2.4</v>
      </c>
      <c r="H834" t="n">
        <v>0</v>
      </c>
      <c r="I834" t="n">
        <v>0</v>
      </c>
      <c r="J834" t="n">
        <v>0</v>
      </c>
      <c r="K834" t="n">
        <v>0</v>
      </c>
      <c r="L834" t="n">
        <v>0</v>
      </c>
      <c r="M834" t="n">
        <v>0</v>
      </c>
      <c r="N834" t="n">
        <v>0</v>
      </c>
      <c r="O834" t="n">
        <v>0</v>
      </c>
      <c r="P834" t="n">
        <v>0</v>
      </c>
      <c r="Q834" t="n">
        <v>0</v>
      </c>
      <c r="R834" s="2" t="inlineStr"/>
    </row>
    <row r="835" ht="15" customHeight="1">
      <c r="A835" t="inlineStr">
        <is>
          <t>A 29020-2024</t>
        </is>
      </c>
      <c r="B835" s="1" t="n">
        <v>45481.58048611111</v>
      </c>
      <c r="C835" s="1" t="n">
        <v>45933</v>
      </c>
      <c r="D835" t="inlineStr">
        <is>
          <t>KALMAR LÄN</t>
        </is>
      </c>
      <c r="E835" t="inlineStr">
        <is>
          <t>VIMMERBY</t>
        </is>
      </c>
      <c r="G835" t="n">
        <v>2.3</v>
      </c>
      <c r="H835" t="n">
        <v>0</v>
      </c>
      <c r="I835" t="n">
        <v>0</v>
      </c>
      <c r="J835" t="n">
        <v>0</v>
      </c>
      <c r="K835" t="n">
        <v>0</v>
      </c>
      <c r="L835" t="n">
        <v>0</v>
      </c>
      <c r="M835" t="n">
        <v>0</v>
      </c>
      <c r="N835" t="n">
        <v>0</v>
      </c>
      <c r="O835" t="n">
        <v>0</v>
      </c>
      <c r="P835" t="n">
        <v>0</v>
      </c>
      <c r="Q835" t="n">
        <v>0</v>
      </c>
      <c r="R835" s="2" t="inlineStr"/>
    </row>
    <row r="836" ht="15" customHeight="1">
      <c r="A836" t="inlineStr">
        <is>
          <t>A 25582-2024</t>
        </is>
      </c>
      <c r="B836" s="1" t="n">
        <v>45463</v>
      </c>
      <c r="C836" s="1" t="n">
        <v>45933</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57578-2024</t>
        </is>
      </c>
      <c r="B837" s="1" t="n">
        <v>45630.47564814815</v>
      </c>
      <c r="C837" s="1" t="n">
        <v>45933</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22399-2025</t>
        </is>
      </c>
      <c r="B838" s="1" t="n">
        <v>45786.52996527778</v>
      </c>
      <c r="C838" s="1" t="n">
        <v>45933</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22397-2025</t>
        </is>
      </c>
      <c r="B839" s="1" t="n">
        <v>45786.52878472222</v>
      </c>
      <c r="C839" s="1" t="n">
        <v>45933</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11442-2025</t>
        </is>
      </c>
      <c r="B840" s="1" t="n">
        <v>45726.62721064815</v>
      </c>
      <c r="C840" s="1" t="n">
        <v>45933</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6307-2025</t>
        </is>
      </c>
      <c r="B841" s="1" t="n">
        <v>45698.69016203703</v>
      </c>
      <c r="C841" s="1" t="n">
        <v>45933</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23394-2025</t>
        </is>
      </c>
      <c r="B842" s="1" t="n">
        <v>45791.89865740741</v>
      </c>
      <c r="C842" s="1" t="n">
        <v>45933</v>
      </c>
      <c r="D842" t="inlineStr">
        <is>
          <t>KALMAR LÄN</t>
        </is>
      </c>
      <c r="E842" t="inlineStr">
        <is>
          <t>VIMMERBY</t>
        </is>
      </c>
      <c r="G842" t="n">
        <v>3.1</v>
      </c>
      <c r="H842" t="n">
        <v>0</v>
      </c>
      <c r="I842" t="n">
        <v>0</v>
      </c>
      <c r="J842" t="n">
        <v>0</v>
      </c>
      <c r="K842" t="n">
        <v>0</v>
      </c>
      <c r="L842" t="n">
        <v>0</v>
      </c>
      <c r="M842" t="n">
        <v>0</v>
      </c>
      <c r="N842" t="n">
        <v>0</v>
      </c>
      <c r="O842" t="n">
        <v>0</v>
      </c>
      <c r="P842" t="n">
        <v>0</v>
      </c>
      <c r="Q842" t="n">
        <v>0</v>
      </c>
      <c r="R842" s="2" t="inlineStr"/>
    </row>
    <row r="843" ht="15" customHeight="1">
      <c r="A843" t="inlineStr">
        <is>
          <t>A 23984-2025</t>
        </is>
      </c>
      <c r="B843" s="1" t="n">
        <v>45796</v>
      </c>
      <c r="C843" s="1" t="n">
        <v>45933</v>
      </c>
      <c r="D843" t="inlineStr">
        <is>
          <t>KALMAR LÄN</t>
        </is>
      </c>
      <c r="E843" t="inlineStr">
        <is>
          <t>VIMMERBY</t>
        </is>
      </c>
      <c r="G843" t="n">
        <v>1.4</v>
      </c>
      <c r="H843" t="n">
        <v>0</v>
      </c>
      <c r="I843" t="n">
        <v>0</v>
      </c>
      <c r="J843" t="n">
        <v>0</v>
      </c>
      <c r="K843" t="n">
        <v>0</v>
      </c>
      <c r="L843" t="n">
        <v>0</v>
      </c>
      <c r="M843" t="n">
        <v>0</v>
      </c>
      <c r="N843" t="n">
        <v>0</v>
      </c>
      <c r="O843" t="n">
        <v>0</v>
      </c>
      <c r="P843" t="n">
        <v>0</v>
      </c>
      <c r="Q843" t="n">
        <v>0</v>
      </c>
      <c r="R843" s="2" t="inlineStr"/>
    </row>
    <row r="844" ht="15" customHeight="1">
      <c r="A844" t="inlineStr">
        <is>
          <t>A 51278-2024</t>
        </is>
      </c>
      <c r="B844" s="1" t="n">
        <v>45603.74959490741</v>
      </c>
      <c r="C844" s="1" t="n">
        <v>45933</v>
      </c>
      <c r="D844" t="inlineStr">
        <is>
          <t>KALMAR LÄN</t>
        </is>
      </c>
      <c r="E844" t="inlineStr">
        <is>
          <t>VIMMERBY</t>
        </is>
      </c>
      <c r="G844" t="n">
        <v>3.4</v>
      </c>
      <c r="H844" t="n">
        <v>0</v>
      </c>
      <c r="I844" t="n">
        <v>0</v>
      </c>
      <c r="J844" t="n">
        <v>0</v>
      </c>
      <c r="K844" t="n">
        <v>0</v>
      </c>
      <c r="L844" t="n">
        <v>0</v>
      </c>
      <c r="M844" t="n">
        <v>0</v>
      </c>
      <c r="N844" t="n">
        <v>0</v>
      </c>
      <c r="O844" t="n">
        <v>0</v>
      </c>
      <c r="P844" t="n">
        <v>0</v>
      </c>
      <c r="Q844" t="n">
        <v>0</v>
      </c>
      <c r="R844" s="2" t="inlineStr"/>
    </row>
    <row r="845" ht="15" customHeight="1">
      <c r="A845" t="inlineStr">
        <is>
          <t>A 35082-2024</t>
        </is>
      </c>
      <c r="B845" s="1" t="n">
        <v>45527.68784722222</v>
      </c>
      <c r="C845" s="1" t="n">
        <v>45933</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44582-2024</t>
        </is>
      </c>
      <c r="B846" s="1" t="n">
        <v>45574.49298611111</v>
      </c>
      <c r="C846" s="1" t="n">
        <v>45933</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9456-2025</t>
        </is>
      </c>
      <c r="B847" s="1" t="n">
        <v>45715.44159722222</v>
      </c>
      <c r="C847" s="1" t="n">
        <v>45933</v>
      </c>
      <c r="D847" t="inlineStr">
        <is>
          <t>KALMAR LÄN</t>
        </is>
      </c>
      <c r="E847" t="inlineStr">
        <is>
          <t>VIMMERBY</t>
        </is>
      </c>
      <c r="G847" t="n">
        <v>1.5</v>
      </c>
      <c r="H847" t="n">
        <v>0</v>
      </c>
      <c r="I847" t="n">
        <v>0</v>
      </c>
      <c r="J847" t="n">
        <v>0</v>
      </c>
      <c r="K847" t="n">
        <v>0</v>
      </c>
      <c r="L847" t="n">
        <v>0</v>
      </c>
      <c r="M847" t="n">
        <v>0</v>
      </c>
      <c r="N847" t="n">
        <v>0</v>
      </c>
      <c r="O847" t="n">
        <v>0</v>
      </c>
      <c r="P847" t="n">
        <v>0</v>
      </c>
      <c r="Q847" t="n">
        <v>0</v>
      </c>
      <c r="R847" s="2" t="inlineStr"/>
    </row>
    <row r="848" ht="15" customHeight="1">
      <c r="A848" t="inlineStr">
        <is>
          <t>A 11111-2023</t>
        </is>
      </c>
      <c r="B848" s="1" t="n">
        <v>44992.4255787037</v>
      </c>
      <c r="C848" s="1" t="n">
        <v>45933</v>
      </c>
      <c r="D848" t="inlineStr">
        <is>
          <t>KALMAR LÄN</t>
        </is>
      </c>
      <c r="E848" t="inlineStr">
        <is>
          <t>VIMMERBY</t>
        </is>
      </c>
      <c r="G848" t="n">
        <v>0.8</v>
      </c>
      <c r="H848" t="n">
        <v>0</v>
      </c>
      <c r="I848" t="n">
        <v>0</v>
      </c>
      <c r="J848" t="n">
        <v>0</v>
      </c>
      <c r="K848" t="n">
        <v>0</v>
      </c>
      <c r="L848" t="n">
        <v>0</v>
      </c>
      <c r="M848" t="n">
        <v>0</v>
      </c>
      <c r="N848" t="n">
        <v>0</v>
      </c>
      <c r="O848" t="n">
        <v>0</v>
      </c>
      <c r="P848" t="n">
        <v>0</v>
      </c>
      <c r="Q848" t="n">
        <v>0</v>
      </c>
      <c r="R848" s="2" t="inlineStr"/>
    </row>
    <row r="849" ht="15" customHeight="1">
      <c r="A849" t="inlineStr">
        <is>
          <t>A 58724-2024</t>
        </is>
      </c>
      <c r="B849" s="1" t="n">
        <v>45635.66409722222</v>
      </c>
      <c r="C849" s="1" t="n">
        <v>45933</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15494-2024</t>
        </is>
      </c>
      <c r="B850" s="1" t="n">
        <v>45401.53033564815</v>
      </c>
      <c r="C850" s="1" t="n">
        <v>45933</v>
      </c>
      <c r="D850" t="inlineStr">
        <is>
          <t>KALMAR LÄN</t>
        </is>
      </c>
      <c r="E850" t="inlineStr">
        <is>
          <t>VIMMERBY</t>
        </is>
      </c>
      <c r="G850" t="n">
        <v>3.2</v>
      </c>
      <c r="H850" t="n">
        <v>0</v>
      </c>
      <c r="I850" t="n">
        <v>0</v>
      </c>
      <c r="J850" t="n">
        <v>0</v>
      </c>
      <c r="K850" t="n">
        <v>0</v>
      </c>
      <c r="L850" t="n">
        <v>0</v>
      </c>
      <c r="M850" t="n">
        <v>0</v>
      </c>
      <c r="N850" t="n">
        <v>0</v>
      </c>
      <c r="O850" t="n">
        <v>0</v>
      </c>
      <c r="P850" t="n">
        <v>0</v>
      </c>
      <c r="Q850" t="n">
        <v>0</v>
      </c>
      <c r="R850" s="2" t="inlineStr"/>
    </row>
    <row r="851" ht="15" customHeight="1">
      <c r="A851" t="inlineStr">
        <is>
          <t>A 26039-2025</t>
        </is>
      </c>
      <c r="B851" s="1" t="n">
        <v>45804.6953587963</v>
      </c>
      <c r="C851" s="1" t="n">
        <v>45933</v>
      </c>
      <c r="D851" t="inlineStr">
        <is>
          <t>KALMAR LÄN</t>
        </is>
      </c>
      <c r="E851" t="inlineStr">
        <is>
          <t>VIMMERBY</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26046-2025</t>
        </is>
      </c>
      <c r="B852" s="1" t="n">
        <v>45804.708125</v>
      </c>
      <c r="C852" s="1" t="n">
        <v>45933</v>
      </c>
      <c r="D852" t="inlineStr">
        <is>
          <t>KALMAR LÄN</t>
        </is>
      </c>
      <c r="E852" t="inlineStr">
        <is>
          <t>VIMMERBY</t>
        </is>
      </c>
      <c r="F852" t="inlineStr">
        <is>
          <t>Sveaskog</t>
        </is>
      </c>
      <c r="G852" t="n">
        <v>5.1</v>
      </c>
      <c r="H852" t="n">
        <v>0</v>
      </c>
      <c r="I852" t="n">
        <v>0</v>
      </c>
      <c r="J852" t="n">
        <v>0</v>
      </c>
      <c r="K852" t="n">
        <v>0</v>
      </c>
      <c r="L852" t="n">
        <v>0</v>
      </c>
      <c r="M852" t="n">
        <v>0</v>
      </c>
      <c r="N852" t="n">
        <v>0</v>
      </c>
      <c r="O852" t="n">
        <v>0</v>
      </c>
      <c r="P852" t="n">
        <v>0</v>
      </c>
      <c r="Q852" t="n">
        <v>0</v>
      </c>
      <c r="R852" s="2" t="inlineStr"/>
    </row>
    <row r="853">
      <c r="A853" t="inlineStr">
        <is>
          <t>A 25792-2025</t>
        </is>
      </c>
      <c r="B853" s="1" t="n">
        <v>45804.39141203704</v>
      </c>
      <c r="C853" s="1" t="n">
        <v>45933</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2025-10-03T12:34:41Z</dcterms:created>
  <dcterms:modified xmlns:dcterms="http://purl.org/dc/terms/" xmlns:xsi="http://www.w3.org/2001/XMLSchema-instance" xsi:type="dcterms:W3CDTF">2025-10-03T12:34:42Z</dcterms:modified>
</cp:coreProperties>
</file>