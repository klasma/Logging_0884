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45510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45510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45510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45510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45510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45510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45510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45510</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45510</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45510</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45510</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45510</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45510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45510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45510</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45510</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45510</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45510</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45510</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45510</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45510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45510</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45510</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45510</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45510</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45510</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45510</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45510</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45510</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45510</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45510</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45510</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45510</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19158-2023</t>
        </is>
      </c>
      <c r="B35" s="1" t="n">
        <v>45048</v>
      </c>
      <c r="C35" s="1" t="n">
        <v>45510</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22825-2023</t>
        </is>
      </c>
      <c r="B36" s="1" t="n">
        <v>45072</v>
      </c>
      <c r="C36" s="1" t="n">
        <v>45510</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22825-2023 artfynd.xlsx", "A 22825-2023")</f>
        <v/>
      </c>
      <c r="T36">
        <f>HYPERLINK("https://klasma.github.io/Logging_0884/kartor/A 22825-2023 karta.png", "A 22825-2023")</f>
        <v/>
      </c>
      <c r="V36">
        <f>HYPERLINK("https://klasma.github.io/Logging_0884/klagomål/A 22825-2023 FSC-klagomål.docx", "A 22825-2023")</f>
        <v/>
      </c>
      <c r="W36">
        <f>HYPERLINK("https://klasma.github.io/Logging_0884/klagomålsmail/A 22825-2023 FSC-klagomål mail.docx", "A 22825-2023")</f>
        <v/>
      </c>
      <c r="X36">
        <f>HYPERLINK("https://klasma.github.io/Logging_0884/tillsyn/A 22825-2023 tillsynsbegäran.docx", "A 22825-2023")</f>
        <v/>
      </c>
      <c r="Y36">
        <f>HYPERLINK("https://klasma.github.io/Logging_0884/tillsynsmail/A 22825-2023 tillsynsbegäran mail.docx", "A 22825-2023")</f>
        <v/>
      </c>
    </row>
    <row r="37" ht="15" customHeight="1">
      <c r="A37" t="inlineStr">
        <is>
          <t>A 32657-2023</t>
        </is>
      </c>
      <c r="B37" s="1" t="n">
        <v>45121</v>
      </c>
      <c r="C37" s="1" t="n">
        <v>45510</v>
      </c>
      <c r="D37" t="inlineStr">
        <is>
          <t>KALMAR LÄN</t>
        </is>
      </c>
      <c r="E37" t="inlineStr">
        <is>
          <t>VIMMERBY</t>
        </is>
      </c>
      <c r="G37" t="n">
        <v>1.6</v>
      </c>
      <c r="H37" t="n">
        <v>1</v>
      </c>
      <c r="I37" t="n">
        <v>0</v>
      </c>
      <c r="J37" t="n">
        <v>1</v>
      </c>
      <c r="K37" t="n">
        <v>0</v>
      </c>
      <c r="L37" t="n">
        <v>1</v>
      </c>
      <c r="M37" t="n">
        <v>0</v>
      </c>
      <c r="N37" t="n">
        <v>0</v>
      </c>
      <c r="O37" t="n">
        <v>2</v>
      </c>
      <c r="P37" t="n">
        <v>1</v>
      </c>
      <c r="Q37" t="n">
        <v>2</v>
      </c>
      <c r="R37" s="2" t="inlineStr">
        <is>
          <t>Bredgentiana
Sandviol</t>
        </is>
      </c>
      <c r="S37">
        <f>HYPERLINK("https://klasma.github.io/Logging_0884/artfynd/A 32657-2023 artfynd.xlsx", "A 32657-2023")</f>
        <v/>
      </c>
      <c r="T37">
        <f>HYPERLINK("https://klasma.github.io/Logging_0884/kartor/A 32657-2023 karta.png", "A 32657-2023")</f>
        <v/>
      </c>
      <c r="V37">
        <f>HYPERLINK("https://klasma.github.io/Logging_0884/klagomål/A 32657-2023 FSC-klagomål.docx", "A 32657-2023")</f>
        <v/>
      </c>
      <c r="W37">
        <f>HYPERLINK("https://klasma.github.io/Logging_0884/klagomålsmail/A 32657-2023 FSC-klagomål mail.docx", "A 32657-2023")</f>
        <v/>
      </c>
      <c r="X37">
        <f>HYPERLINK("https://klasma.github.io/Logging_0884/tillsyn/A 32657-2023 tillsynsbegäran.docx", "A 32657-2023")</f>
        <v/>
      </c>
      <c r="Y37">
        <f>HYPERLINK("https://klasma.github.io/Logging_0884/tillsynsmail/A 32657-2023 tillsynsbegäran mail.docx", "A 32657-2023")</f>
        <v/>
      </c>
    </row>
    <row r="38" ht="15" customHeight="1">
      <c r="A38" t="inlineStr">
        <is>
          <t>A 4864-2024</t>
        </is>
      </c>
      <c r="B38" s="1" t="n">
        <v>45329</v>
      </c>
      <c r="C38" s="1" t="n">
        <v>45510</v>
      </c>
      <c r="D38" t="inlineStr">
        <is>
          <t>KALMAR LÄN</t>
        </is>
      </c>
      <c r="E38" t="inlineStr">
        <is>
          <t>VIMMERBY</t>
        </is>
      </c>
      <c r="G38" t="n">
        <v>2.1</v>
      </c>
      <c r="H38" t="n">
        <v>2</v>
      </c>
      <c r="I38" t="n">
        <v>0</v>
      </c>
      <c r="J38" t="n">
        <v>1</v>
      </c>
      <c r="K38" t="n">
        <v>1</v>
      </c>
      <c r="L38" t="n">
        <v>0</v>
      </c>
      <c r="M38" t="n">
        <v>0</v>
      </c>
      <c r="N38" t="n">
        <v>0</v>
      </c>
      <c r="O38" t="n">
        <v>2</v>
      </c>
      <c r="P38" t="n">
        <v>1</v>
      </c>
      <c r="Q38" t="n">
        <v>2</v>
      </c>
      <c r="R38" s="2" t="inlineStr">
        <is>
          <t>Knärot
Talltita</t>
        </is>
      </c>
      <c r="S38">
        <f>HYPERLINK("https://klasma.github.io/Logging_0884/artfynd/A 4864-2024 artfynd.xlsx", "A 4864-2024")</f>
        <v/>
      </c>
      <c r="T38">
        <f>HYPERLINK("https://klasma.github.io/Logging_0884/kartor/A 4864-2024 karta.png", "A 4864-2024")</f>
        <v/>
      </c>
      <c r="U38">
        <f>HYPERLINK("https://klasma.github.io/Logging_0884/knärot/A 4864-2024 karta knärot.png", "A 4864-2024")</f>
        <v/>
      </c>
      <c r="V38">
        <f>HYPERLINK("https://klasma.github.io/Logging_0884/klagomål/A 4864-2024 FSC-klagomål.docx", "A 4864-2024")</f>
        <v/>
      </c>
      <c r="W38">
        <f>HYPERLINK("https://klasma.github.io/Logging_0884/klagomålsmail/A 4864-2024 FSC-klagomål mail.docx", "A 4864-2024")</f>
        <v/>
      </c>
      <c r="X38">
        <f>HYPERLINK("https://klasma.github.io/Logging_0884/tillsyn/A 4864-2024 tillsynsbegäran.docx", "A 4864-2024")</f>
        <v/>
      </c>
      <c r="Y38">
        <f>HYPERLINK("https://klasma.github.io/Logging_0884/tillsynsmail/A 4864-2024 tillsynsbegäran mail.docx", "A 4864-2024")</f>
        <v/>
      </c>
      <c r="Z38">
        <f>HYPERLINK("https://klasma.github.io/Logging_0884/fåglar/A 4864-2024 prioriterade fågelarter.docx", "A 4864-2024")</f>
        <v/>
      </c>
    </row>
    <row r="39" ht="15" customHeight="1">
      <c r="A39" t="inlineStr">
        <is>
          <t>A 26465-2024</t>
        </is>
      </c>
      <c r="B39" s="1" t="n">
        <v>45469</v>
      </c>
      <c r="C39" s="1" t="n">
        <v>45510</v>
      </c>
      <c r="D39" t="inlineStr">
        <is>
          <t>KALMAR LÄN</t>
        </is>
      </c>
      <c r="E39" t="inlineStr">
        <is>
          <t>VIMMERBY</t>
        </is>
      </c>
      <c r="F39" t="inlineStr">
        <is>
          <t>Kyrkan</t>
        </is>
      </c>
      <c r="G39" t="n">
        <v>8.199999999999999</v>
      </c>
      <c r="H39" t="n">
        <v>2</v>
      </c>
      <c r="I39" t="n">
        <v>0</v>
      </c>
      <c r="J39" t="n">
        <v>2</v>
      </c>
      <c r="K39" t="n">
        <v>0</v>
      </c>
      <c r="L39" t="n">
        <v>0</v>
      </c>
      <c r="M39" t="n">
        <v>0</v>
      </c>
      <c r="N39" t="n">
        <v>0</v>
      </c>
      <c r="O39" t="n">
        <v>2</v>
      </c>
      <c r="P39" t="n">
        <v>0</v>
      </c>
      <c r="Q39" t="n">
        <v>2</v>
      </c>
      <c r="R39" s="2" t="inlineStr">
        <is>
          <t>Mindre hackspett
Talltita</t>
        </is>
      </c>
      <c r="S39">
        <f>HYPERLINK("https://klasma.github.io/Logging_0884/artfynd/A 26465-2024 artfynd.xlsx", "A 26465-2024")</f>
        <v/>
      </c>
      <c r="T39">
        <f>HYPERLINK("https://klasma.github.io/Logging_0884/kartor/A 26465-2024 karta.png", "A 26465-2024")</f>
        <v/>
      </c>
      <c r="V39">
        <f>HYPERLINK("https://klasma.github.io/Logging_0884/klagomål/A 26465-2024 FSC-klagomål.docx", "A 26465-2024")</f>
        <v/>
      </c>
      <c r="W39">
        <f>HYPERLINK("https://klasma.github.io/Logging_0884/klagomålsmail/A 26465-2024 FSC-klagomål mail.docx", "A 26465-2024")</f>
        <v/>
      </c>
      <c r="X39">
        <f>HYPERLINK("https://klasma.github.io/Logging_0884/tillsyn/A 26465-2024 tillsynsbegäran.docx", "A 26465-2024")</f>
        <v/>
      </c>
      <c r="Y39">
        <f>HYPERLINK("https://klasma.github.io/Logging_0884/tillsynsmail/A 26465-2024 tillsynsbegäran mail.docx", "A 26465-2024")</f>
        <v/>
      </c>
      <c r="Z39">
        <f>HYPERLINK("https://klasma.github.io/Logging_0884/fåglar/A 26465-2024 prioriterade fågelarter.docx", "A 26465-2024")</f>
        <v/>
      </c>
    </row>
    <row r="40" ht="15" customHeight="1">
      <c r="A40" t="inlineStr">
        <is>
          <t>A 19055-2019</t>
        </is>
      </c>
      <c r="B40" s="1" t="n">
        <v>43563</v>
      </c>
      <c r="C40" s="1" t="n">
        <v>45510</v>
      </c>
      <c r="D40" t="inlineStr">
        <is>
          <t>KALMAR LÄN</t>
        </is>
      </c>
      <c r="E40" t="inlineStr">
        <is>
          <t>VIMMERBY</t>
        </is>
      </c>
      <c r="G40" t="n">
        <v>1</v>
      </c>
      <c r="H40" t="n">
        <v>1</v>
      </c>
      <c r="I40" t="n">
        <v>1</v>
      </c>
      <c r="J40" t="n">
        <v>0</v>
      </c>
      <c r="K40" t="n">
        <v>0</v>
      </c>
      <c r="L40" t="n">
        <v>0</v>
      </c>
      <c r="M40" t="n">
        <v>0</v>
      </c>
      <c r="N40" t="n">
        <v>0</v>
      </c>
      <c r="O40" t="n">
        <v>0</v>
      </c>
      <c r="P40" t="n">
        <v>0</v>
      </c>
      <c r="Q40" t="n">
        <v>1</v>
      </c>
      <c r="R40" s="2" t="inlineStr">
        <is>
          <t>Korallrot</t>
        </is>
      </c>
      <c r="S40">
        <f>HYPERLINK("https://klasma.github.io/Logging_0884/artfynd/A 19055-2019 artfynd.xlsx", "A 19055-2019")</f>
        <v/>
      </c>
      <c r="T40">
        <f>HYPERLINK("https://klasma.github.io/Logging_0884/kartor/A 19055-2019 karta.png", "A 19055-2019")</f>
        <v/>
      </c>
      <c r="V40">
        <f>HYPERLINK("https://klasma.github.io/Logging_0884/klagomål/A 19055-2019 FSC-klagomål.docx", "A 19055-2019")</f>
        <v/>
      </c>
      <c r="W40">
        <f>HYPERLINK("https://klasma.github.io/Logging_0884/klagomålsmail/A 19055-2019 FSC-klagomål mail.docx", "A 19055-2019")</f>
        <v/>
      </c>
      <c r="X40">
        <f>HYPERLINK("https://klasma.github.io/Logging_0884/tillsyn/A 19055-2019 tillsynsbegäran.docx", "A 19055-2019")</f>
        <v/>
      </c>
      <c r="Y40">
        <f>HYPERLINK("https://klasma.github.io/Logging_0884/tillsynsmail/A 19055-2019 tillsynsbegäran mail.docx", "A 19055-2019")</f>
        <v/>
      </c>
    </row>
    <row r="41" ht="15" customHeight="1">
      <c r="A41" t="inlineStr">
        <is>
          <t>A 52156-2019</t>
        </is>
      </c>
      <c r="B41" s="1" t="n">
        <v>43742</v>
      </c>
      <c r="C41" s="1" t="n">
        <v>45510</v>
      </c>
      <c r="D41" t="inlineStr">
        <is>
          <t>KALMAR LÄN</t>
        </is>
      </c>
      <c r="E41" t="inlineStr">
        <is>
          <t>VIMMERBY</t>
        </is>
      </c>
      <c r="G41" t="n">
        <v>3.7</v>
      </c>
      <c r="H41" t="n">
        <v>1</v>
      </c>
      <c r="I41" t="n">
        <v>0</v>
      </c>
      <c r="J41" t="n">
        <v>0</v>
      </c>
      <c r="K41" t="n">
        <v>0</v>
      </c>
      <c r="L41" t="n">
        <v>0</v>
      </c>
      <c r="M41" t="n">
        <v>0</v>
      </c>
      <c r="N41" t="n">
        <v>0</v>
      </c>
      <c r="O41" t="n">
        <v>0</v>
      </c>
      <c r="P41" t="n">
        <v>0</v>
      </c>
      <c r="Q41" t="n">
        <v>1</v>
      </c>
      <c r="R41" s="2" t="inlineStr">
        <is>
          <t>Blåsippa</t>
        </is>
      </c>
      <c r="S41">
        <f>HYPERLINK("https://klasma.github.io/Logging_0884/artfynd/A 52156-2019 artfynd.xlsx", "A 52156-2019")</f>
        <v/>
      </c>
      <c r="T41">
        <f>HYPERLINK("https://klasma.github.io/Logging_0884/kartor/A 52156-2019 karta.png", "A 52156-2019")</f>
        <v/>
      </c>
      <c r="U41">
        <f>HYPERLINK("https://klasma.github.io/Logging_0884/knärot/A 52156-2019 karta knärot.png", "A 52156-2019")</f>
        <v/>
      </c>
      <c r="V41">
        <f>HYPERLINK("https://klasma.github.io/Logging_0884/klagomål/A 52156-2019 FSC-klagomål.docx", "A 52156-2019")</f>
        <v/>
      </c>
      <c r="W41">
        <f>HYPERLINK("https://klasma.github.io/Logging_0884/klagomålsmail/A 52156-2019 FSC-klagomål mail.docx", "A 52156-2019")</f>
        <v/>
      </c>
      <c r="X41">
        <f>HYPERLINK("https://klasma.github.io/Logging_0884/tillsyn/A 52156-2019 tillsynsbegäran.docx", "A 52156-2019")</f>
        <v/>
      </c>
      <c r="Y41">
        <f>HYPERLINK("https://klasma.github.io/Logging_0884/tillsynsmail/A 52156-2019 tillsynsbegäran mail.docx", "A 52156-2019")</f>
        <v/>
      </c>
    </row>
    <row r="42" ht="15" customHeight="1">
      <c r="A42" t="inlineStr">
        <is>
          <t>A 64356-2019</t>
        </is>
      </c>
      <c r="B42" s="1" t="n">
        <v>43797</v>
      </c>
      <c r="C42" s="1" t="n">
        <v>45510</v>
      </c>
      <c r="D42" t="inlineStr">
        <is>
          <t>KALMAR LÄN</t>
        </is>
      </c>
      <c r="E42" t="inlineStr">
        <is>
          <t>VIMMERBY</t>
        </is>
      </c>
      <c r="G42" t="n">
        <v>1.4</v>
      </c>
      <c r="H42" t="n">
        <v>0</v>
      </c>
      <c r="I42" t="n">
        <v>1</v>
      </c>
      <c r="J42" t="n">
        <v>0</v>
      </c>
      <c r="K42" t="n">
        <v>0</v>
      </c>
      <c r="L42" t="n">
        <v>0</v>
      </c>
      <c r="M42" t="n">
        <v>0</v>
      </c>
      <c r="N42" t="n">
        <v>0</v>
      </c>
      <c r="O42" t="n">
        <v>0</v>
      </c>
      <c r="P42" t="n">
        <v>0</v>
      </c>
      <c r="Q42" t="n">
        <v>1</v>
      </c>
      <c r="R42" s="2" t="inlineStr">
        <is>
          <t>Fällmossa</t>
        </is>
      </c>
      <c r="S42">
        <f>HYPERLINK("https://klasma.github.io/Logging_0884/artfynd/A 64356-2019 artfynd.xlsx", "A 64356-2019")</f>
        <v/>
      </c>
      <c r="T42">
        <f>HYPERLINK("https://klasma.github.io/Logging_0884/kartor/A 64356-2019 karta.png", "A 64356-2019")</f>
        <v/>
      </c>
      <c r="V42">
        <f>HYPERLINK("https://klasma.github.io/Logging_0884/klagomål/A 64356-2019 FSC-klagomål.docx", "A 64356-2019")</f>
        <v/>
      </c>
      <c r="W42">
        <f>HYPERLINK("https://klasma.github.io/Logging_0884/klagomålsmail/A 64356-2019 FSC-klagomål mail.docx", "A 64356-2019")</f>
        <v/>
      </c>
      <c r="X42">
        <f>HYPERLINK("https://klasma.github.io/Logging_0884/tillsyn/A 64356-2019 tillsynsbegäran.docx", "A 64356-2019")</f>
        <v/>
      </c>
      <c r="Y42">
        <f>HYPERLINK("https://klasma.github.io/Logging_0884/tillsynsmail/A 64356-2019 tillsynsbegäran mail.docx", "A 64356-2019")</f>
        <v/>
      </c>
    </row>
    <row r="43" ht="15" customHeight="1">
      <c r="A43" t="inlineStr">
        <is>
          <t>A 22439-2020</t>
        </is>
      </c>
      <c r="B43" s="1" t="n">
        <v>43963</v>
      </c>
      <c r="C43" s="1" t="n">
        <v>45510</v>
      </c>
      <c r="D43" t="inlineStr">
        <is>
          <t>KALMAR LÄN</t>
        </is>
      </c>
      <c r="E43" t="inlineStr">
        <is>
          <t>VIMMERBY</t>
        </is>
      </c>
      <c r="G43" t="n">
        <v>13.8</v>
      </c>
      <c r="H43" t="n">
        <v>0</v>
      </c>
      <c r="I43" t="n">
        <v>0</v>
      </c>
      <c r="J43" t="n">
        <v>1</v>
      </c>
      <c r="K43" t="n">
        <v>0</v>
      </c>
      <c r="L43" t="n">
        <v>0</v>
      </c>
      <c r="M43" t="n">
        <v>0</v>
      </c>
      <c r="N43" t="n">
        <v>0</v>
      </c>
      <c r="O43" t="n">
        <v>1</v>
      </c>
      <c r="P43" t="n">
        <v>0</v>
      </c>
      <c r="Q43" t="n">
        <v>1</v>
      </c>
      <c r="R43" s="2" t="inlineStr">
        <is>
          <t>Tallticka</t>
        </is>
      </c>
      <c r="S43">
        <f>HYPERLINK("https://klasma.github.io/Logging_0884/artfynd/A 22439-2020 artfynd.xlsx", "A 22439-2020")</f>
        <v/>
      </c>
      <c r="T43">
        <f>HYPERLINK("https://klasma.github.io/Logging_0884/kartor/A 22439-2020 karta.png", "A 22439-2020")</f>
        <v/>
      </c>
      <c r="V43">
        <f>HYPERLINK("https://klasma.github.io/Logging_0884/klagomål/A 22439-2020 FSC-klagomål.docx", "A 22439-2020")</f>
        <v/>
      </c>
      <c r="W43">
        <f>HYPERLINK("https://klasma.github.io/Logging_0884/klagomålsmail/A 22439-2020 FSC-klagomål mail.docx", "A 22439-2020")</f>
        <v/>
      </c>
      <c r="X43">
        <f>HYPERLINK("https://klasma.github.io/Logging_0884/tillsyn/A 22439-2020 tillsynsbegäran.docx", "A 22439-2020")</f>
        <v/>
      </c>
      <c r="Y43">
        <f>HYPERLINK("https://klasma.github.io/Logging_0884/tillsynsmail/A 22439-2020 tillsynsbegäran mail.docx", "A 22439-2020")</f>
        <v/>
      </c>
    </row>
    <row r="44" ht="15" customHeight="1">
      <c r="A44" t="inlineStr">
        <is>
          <t>A 35462-2020</t>
        </is>
      </c>
      <c r="B44" s="1" t="n">
        <v>44042</v>
      </c>
      <c r="C44" s="1" t="n">
        <v>45510</v>
      </c>
      <c r="D44" t="inlineStr">
        <is>
          <t>KALMAR LÄN</t>
        </is>
      </c>
      <c r="E44" t="inlineStr">
        <is>
          <t>VIMMERBY</t>
        </is>
      </c>
      <c r="G44" t="n">
        <v>4.3</v>
      </c>
      <c r="H44" t="n">
        <v>1</v>
      </c>
      <c r="I44" t="n">
        <v>0</v>
      </c>
      <c r="J44" t="n">
        <v>0</v>
      </c>
      <c r="K44" t="n">
        <v>0</v>
      </c>
      <c r="L44" t="n">
        <v>0</v>
      </c>
      <c r="M44" t="n">
        <v>0</v>
      </c>
      <c r="N44" t="n">
        <v>0</v>
      </c>
      <c r="O44" t="n">
        <v>0</v>
      </c>
      <c r="P44" t="n">
        <v>0</v>
      </c>
      <c r="Q44" t="n">
        <v>1</v>
      </c>
      <c r="R44" s="2" t="inlineStr">
        <is>
          <t>Lopplummer</t>
        </is>
      </c>
      <c r="S44">
        <f>HYPERLINK("https://klasma.github.io/Logging_0884/artfynd/A 35462-2020 artfynd.xlsx", "A 35462-2020")</f>
        <v/>
      </c>
      <c r="T44">
        <f>HYPERLINK("https://klasma.github.io/Logging_0884/kartor/A 35462-2020 karta.png", "A 35462-2020")</f>
        <v/>
      </c>
      <c r="V44">
        <f>HYPERLINK("https://klasma.github.io/Logging_0884/klagomål/A 35462-2020 FSC-klagomål.docx", "A 35462-2020")</f>
        <v/>
      </c>
      <c r="W44">
        <f>HYPERLINK("https://klasma.github.io/Logging_0884/klagomålsmail/A 35462-2020 FSC-klagomål mail.docx", "A 35462-2020")</f>
        <v/>
      </c>
      <c r="X44">
        <f>HYPERLINK("https://klasma.github.io/Logging_0884/tillsyn/A 35462-2020 tillsynsbegäran.docx", "A 35462-2020")</f>
        <v/>
      </c>
      <c r="Y44">
        <f>HYPERLINK("https://klasma.github.io/Logging_0884/tillsynsmail/A 35462-2020 tillsynsbegäran mail.docx", "A 35462-2020")</f>
        <v/>
      </c>
    </row>
    <row r="45" ht="15" customHeight="1">
      <c r="A45" t="inlineStr">
        <is>
          <t>A 42097-2020</t>
        </is>
      </c>
      <c r="B45" s="1" t="n">
        <v>44075</v>
      </c>
      <c r="C45" s="1" t="n">
        <v>45510</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44306-2020</t>
        </is>
      </c>
      <c r="B46" s="1" t="n">
        <v>44082</v>
      </c>
      <c r="C46" s="1" t="n">
        <v>45510</v>
      </c>
      <c r="D46" t="inlineStr">
        <is>
          <t>KALMAR LÄN</t>
        </is>
      </c>
      <c r="E46" t="inlineStr">
        <is>
          <t>VIMMERBY</t>
        </is>
      </c>
      <c r="G46" t="n">
        <v>16.4</v>
      </c>
      <c r="H46" t="n">
        <v>1</v>
      </c>
      <c r="I46" t="n">
        <v>1</v>
      </c>
      <c r="J46" t="n">
        <v>0</v>
      </c>
      <c r="K46" t="n">
        <v>0</v>
      </c>
      <c r="L46" t="n">
        <v>0</v>
      </c>
      <c r="M46" t="n">
        <v>0</v>
      </c>
      <c r="N46" t="n">
        <v>0</v>
      </c>
      <c r="O46" t="n">
        <v>0</v>
      </c>
      <c r="P46" t="n">
        <v>0</v>
      </c>
      <c r="Q46" t="n">
        <v>1</v>
      </c>
      <c r="R46" s="2" t="inlineStr">
        <is>
          <t>Plattlummer</t>
        </is>
      </c>
      <c r="S46">
        <f>HYPERLINK("https://klasma.github.io/Logging_0884/artfynd/A 44306-2020 artfynd.xlsx", "A 44306-2020")</f>
        <v/>
      </c>
      <c r="T46">
        <f>HYPERLINK("https://klasma.github.io/Logging_0884/kartor/A 44306-2020 karta.png", "A 44306-2020")</f>
        <v/>
      </c>
      <c r="V46">
        <f>HYPERLINK("https://klasma.github.io/Logging_0884/klagomål/A 44306-2020 FSC-klagomål.docx", "A 44306-2020")</f>
        <v/>
      </c>
      <c r="W46">
        <f>HYPERLINK("https://klasma.github.io/Logging_0884/klagomålsmail/A 44306-2020 FSC-klagomål mail.docx", "A 44306-2020")</f>
        <v/>
      </c>
      <c r="X46">
        <f>HYPERLINK("https://klasma.github.io/Logging_0884/tillsyn/A 44306-2020 tillsynsbegäran.docx", "A 44306-2020")</f>
        <v/>
      </c>
      <c r="Y46">
        <f>HYPERLINK("https://klasma.github.io/Logging_0884/tillsynsmail/A 44306-2020 tillsynsbegäran mail.docx", "A 44306-2020")</f>
        <v/>
      </c>
    </row>
    <row r="47" ht="15" customHeight="1">
      <c r="A47" t="inlineStr">
        <is>
          <t>A 57949-2020</t>
        </is>
      </c>
      <c r="B47" s="1" t="n">
        <v>44142</v>
      </c>
      <c r="C47" s="1" t="n">
        <v>45510</v>
      </c>
      <c r="D47" t="inlineStr">
        <is>
          <t>KALMAR LÄN</t>
        </is>
      </c>
      <c r="E47" t="inlineStr">
        <is>
          <t>VIMMERBY</t>
        </is>
      </c>
      <c r="G47" t="n">
        <v>3.4</v>
      </c>
      <c r="H47" t="n">
        <v>0</v>
      </c>
      <c r="I47" t="n">
        <v>1</v>
      </c>
      <c r="J47" t="n">
        <v>0</v>
      </c>
      <c r="K47" t="n">
        <v>0</v>
      </c>
      <c r="L47" t="n">
        <v>0</v>
      </c>
      <c r="M47" t="n">
        <v>0</v>
      </c>
      <c r="N47" t="n">
        <v>0</v>
      </c>
      <c r="O47" t="n">
        <v>0</v>
      </c>
      <c r="P47" t="n">
        <v>0</v>
      </c>
      <c r="Q47" t="n">
        <v>1</v>
      </c>
      <c r="R47" s="2" t="inlineStr">
        <is>
          <t>Vårärt</t>
        </is>
      </c>
      <c r="S47">
        <f>HYPERLINK("https://klasma.github.io/Logging_0884/artfynd/A 57949-2020 artfynd.xlsx", "A 57949-2020")</f>
        <v/>
      </c>
      <c r="T47">
        <f>HYPERLINK("https://klasma.github.io/Logging_0884/kartor/A 57949-2020 karta.png", "A 57949-2020")</f>
        <v/>
      </c>
      <c r="V47">
        <f>HYPERLINK("https://klasma.github.io/Logging_0884/klagomål/A 57949-2020 FSC-klagomål.docx", "A 57949-2020")</f>
        <v/>
      </c>
      <c r="W47">
        <f>HYPERLINK("https://klasma.github.io/Logging_0884/klagomålsmail/A 57949-2020 FSC-klagomål mail.docx", "A 57949-2020")</f>
        <v/>
      </c>
      <c r="X47">
        <f>HYPERLINK("https://klasma.github.io/Logging_0884/tillsyn/A 57949-2020 tillsynsbegäran.docx", "A 57949-2020")</f>
        <v/>
      </c>
      <c r="Y47">
        <f>HYPERLINK("https://klasma.github.io/Logging_0884/tillsynsmail/A 57949-2020 tillsynsbegäran mail.docx", "A 57949-2020")</f>
        <v/>
      </c>
    </row>
    <row r="48" ht="15" customHeight="1">
      <c r="A48" t="inlineStr">
        <is>
          <t>A 64674-2020</t>
        </is>
      </c>
      <c r="B48" s="1" t="n">
        <v>44169</v>
      </c>
      <c r="C48" s="1" t="n">
        <v>45510</v>
      </c>
      <c r="D48" t="inlineStr">
        <is>
          <t>KALMAR LÄN</t>
        </is>
      </c>
      <c r="E48" t="inlineStr">
        <is>
          <t>VIMMERBY</t>
        </is>
      </c>
      <c r="G48" t="n">
        <v>7.4</v>
      </c>
      <c r="H48" t="n">
        <v>0</v>
      </c>
      <c r="I48" t="n">
        <v>0</v>
      </c>
      <c r="J48" t="n">
        <v>0</v>
      </c>
      <c r="K48" t="n">
        <v>1</v>
      </c>
      <c r="L48" t="n">
        <v>0</v>
      </c>
      <c r="M48" t="n">
        <v>0</v>
      </c>
      <c r="N48" t="n">
        <v>0</v>
      </c>
      <c r="O48" t="n">
        <v>1</v>
      </c>
      <c r="P48" t="n">
        <v>1</v>
      </c>
      <c r="Q48" t="n">
        <v>1</v>
      </c>
      <c r="R48" s="2" t="inlineStr">
        <is>
          <t>Lansettfibbla</t>
        </is>
      </c>
      <c r="S48">
        <f>HYPERLINK("https://klasma.github.io/Logging_0884/artfynd/A 64674-2020 artfynd.xlsx", "A 64674-2020")</f>
        <v/>
      </c>
      <c r="T48">
        <f>HYPERLINK("https://klasma.github.io/Logging_0884/kartor/A 64674-2020 karta.png", "A 64674-2020")</f>
        <v/>
      </c>
      <c r="V48">
        <f>HYPERLINK("https://klasma.github.io/Logging_0884/klagomål/A 64674-2020 FSC-klagomål.docx", "A 64674-2020")</f>
        <v/>
      </c>
      <c r="W48">
        <f>HYPERLINK("https://klasma.github.io/Logging_0884/klagomålsmail/A 64674-2020 FSC-klagomål mail.docx", "A 64674-2020")</f>
        <v/>
      </c>
      <c r="X48">
        <f>HYPERLINK("https://klasma.github.io/Logging_0884/tillsyn/A 64674-2020 tillsynsbegäran.docx", "A 64674-2020")</f>
        <v/>
      </c>
      <c r="Y48">
        <f>HYPERLINK("https://klasma.github.io/Logging_0884/tillsynsmail/A 64674-2020 tillsynsbegäran mail.docx", "A 64674-2020")</f>
        <v/>
      </c>
    </row>
    <row r="49" ht="15" customHeight="1">
      <c r="A49" t="inlineStr">
        <is>
          <t>A 68851-2020</t>
        </is>
      </c>
      <c r="B49" s="1" t="n">
        <v>44187</v>
      </c>
      <c r="C49" s="1" t="n">
        <v>45510</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68851-2020 artfynd.xlsx", "A 68851-2020")</f>
        <v/>
      </c>
      <c r="T49">
        <f>HYPERLINK("https://klasma.github.io/Logging_0884/kartor/A 68851-2020 karta.png", "A 68851-2020")</f>
        <v/>
      </c>
      <c r="V49">
        <f>HYPERLINK("https://klasma.github.io/Logging_0884/klagomål/A 68851-2020 FSC-klagomål.docx", "A 68851-2020")</f>
        <v/>
      </c>
      <c r="W49">
        <f>HYPERLINK("https://klasma.github.io/Logging_0884/klagomålsmail/A 68851-2020 FSC-klagomål mail.docx", "A 68851-2020")</f>
        <v/>
      </c>
      <c r="X49">
        <f>HYPERLINK("https://klasma.github.io/Logging_0884/tillsyn/A 68851-2020 tillsynsbegäran.docx", "A 68851-2020")</f>
        <v/>
      </c>
      <c r="Y49">
        <f>HYPERLINK("https://klasma.github.io/Logging_0884/tillsynsmail/A 68851-2020 tillsynsbegäran mail.docx", "A 68851-2020")</f>
        <v/>
      </c>
    </row>
    <row r="50" ht="15" customHeight="1">
      <c r="A50" t="inlineStr">
        <is>
          <t>A 6841-2021</t>
        </is>
      </c>
      <c r="B50" s="1" t="n">
        <v>44236</v>
      </c>
      <c r="C50" s="1" t="n">
        <v>45510</v>
      </c>
      <c r="D50" t="inlineStr">
        <is>
          <t>KALMAR LÄN</t>
        </is>
      </c>
      <c r="E50" t="inlineStr">
        <is>
          <t>VIMMERBY</t>
        </is>
      </c>
      <c r="G50" t="n">
        <v>25</v>
      </c>
      <c r="H50" t="n">
        <v>0</v>
      </c>
      <c r="I50" t="n">
        <v>0</v>
      </c>
      <c r="J50" t="n">
        <v>1</v>
      </c>
      <c r="K50" t="n">
        <v>0</v>
      </c>
      <c r="L50" t="n">
        <v>0</v>
      </c>
      <c r="M50" t="n">
        <v>0</v>
      </c>
      <c r="N50" t="n">
        <v>0</v>
      </c>
      <c r="O50" t="n">
        <v>1</v>
      </c>
      <c r="P50" t="n">
        <v>0</v>
      </c>
      <c r="Q50" t="n">
        <v>1</v>
      </c>
      <c r="R50" s="2" t="inlineStr">
        <is>
          <t>Bredbrämad bastardsvärmare</t>
        </is>
      </c>
      <c r="S50">
        <f>HYPERLINK("https://klasma.github.io/Logging_0884/artfynd/A 6841-2021 artfynd.xlsx", "A 6841-2021")</f>
        <v/>
      </c>
      <c r="T50">
        <f>HYPERLINK("https://klasma.github.io/Logging_0884/kartor/A 6841-2021 karta.png", "A 6841-2021")</f>
        <v/>
      </c>
      <c r="V50">
        <f>HYPERLINK("https://klasma.github.io/Logging_0884/klagomål/A 6841-2021 FSC-klagomål.docx", "A 6841-2021")</f>
        <v/>
      </c>
      <c r="W50">
        <f>HYPERLINK("https://klasma.github.io/Logging_0884/klagomålsmail/A 6841-2021 FSC-klagomål mail.docx", "A 6841-2021")</f>
        <v/>
      </c>
      <c r="X50">
        <f>HYPERLINK("https://klasma.github.io/Logging_0884/tillsyn/A 6841-2021 tillsynsbegäran.docx", "A 6841-2021")</f>
        <v/>
      </c>
      <c r="Y50">
        <f>HYPERLINK("https://klasma.github.io/Logging_0884/tillsynsmail/A 6841-2021 tillsynsbegäran mail.docx", "A 6841-2021")</f>
        <v/>
      </c>
    </row>
    <row r="51" ht="15" customHeight="1">
      <c r="A51" t="inlineStr">
        <is>
          <t>A 32396-2021</t>
        </is>
      </c>
      <c r="B51" s="1" t="n">
        <v>44371</v>
      </c>
      <c r="C51" s="1" t="n">
        <v>45510</v>
      </c>
      <c r="D51" t="inlineStr">
        <is>
          <t>KALMAR LÄN</t>
        </is>
      </c>
      <c r="E51" t="inlineStr">
        <is>
          <t>VIMMERBY</t>
        </is>
      </c>
      <c r="G51" t="n">
        <v>2.8</v>
      </c>
      <c r="H51" t="n">
        <v>1</v>
      </c>
      <c r="I51" t="n">
        <v>0</v>
      </c>
      <c r="J51" t="n">
        <v>0</v>
      </c>
      <c r="K51" t="n">
        <v>0</v>
      </c>
      <c r="L51" t="n">
        <v>0</v>
      </c>
      <c r="M51" t="n">
        <v>0</v>
      </c>
      <c r="N51" t="n">
        <v>0</v>
      </c>
      <c r="O51" t="n">
        <v>0</v>
      </c>
      <c r="P51" t="n">
        <v>0</v>
      </c>
      <c r="Q51" t="n">
        <v>1</v>
      </c>
      <c r="R51" s="2" t="inlineStr">
        <is>
          <t>Blåsippa</t>
        </is>
      </c>
      <c r="S51">
        <f>HYPERLINK("https://klasma.github.io/Logging_0884/artfynd/A 32396-2021 artfynd.xlsx", "A 32396-2021")</f>
        <v/>
      </c>
      <c r="T51">
        <f>HYPERLINK("https://klasma.github.io/Logging_0884/kartor/A 32396-2021 karta.png", "A 32396-2021")</f>
        <v/>
      </c>
      <c r="V51">
        <f>HYPERLINK("https://klasma.github.io/Logging_0884/klagomål/A 32396-2021 FSC-klagomål.docx", "A 32396-2021")</f>
        <v/>
      </c>
      <c r="W51">
        <f>HYPERLINK("https://klasma.github.io/Logging_0884/klagomålsmail/A 32396-2021 FSC-klagomål mail.docx", "A 32396-2021")</f>
        <v/>
      </c>
      <c r="X51">
        <f>HYPERLINK("https://klasma.github.io/Logging_0884/tillsyn/A 32396-2021 tillsynsbegäran.docx", "A 32396-2021")</f>
        <v/>
      </c>
      <c r="Y51">
        <f>HYPERLINK("https://klasma.github.io/Logging_0884/tillsynsmail/A 32396-2021 tillsynsbegäran mail.docx", "A 32396-2021")</f>
        <v/>
      </c>
    </row>
    <row r="52" ht="15" customHeight="1">
      <c r="A52" t="inlineStr">
        <is>
          <t>A 33436-2021</t>
        </is>
      </c>
      <c r="B52" s="1" t="n">
        <v>44377</v>
      </c>
      <c r="C52" s="1" t="n">
        <v>45510</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37930-2021</t>
        </is>
      </c>
      <c r="B53" s="1" t="n">
        <v>44403</v>
      </c>
      <c r="C53" s="1" t="n">
        <v>45510</v>
      </c>
      <c r="D53" t="inlineStr">
        <is>
          <t>KALMAR LÄN</t>
        </is>
      </c>
      <c r="E53" t="inlineStr">
        <is>
          <t>VIMMERBY</t>
        </is>
      </c>
      <c r="G53" t="n">
        <v>4.4</v>
      </c>
      <c r="H53" t="n">
        <v>0</v>
      </c>
      <c r="I53" t="n">
        <v>0</v>
      </c>
      <c r="J53" t="n">
        <v>1</v>
      </c>
      <c r="K53" t="n">
        <v>0</v>
      </c>
      <c r="L53" t="n">
        <v>0</v>
      </c>
      <c r="M53" t="n">
        <v>0</v>
      </c>
      <c r="N53" t="n">
        <v>0</v>
      </c>
      <c r="O53" t="n">
        <v>1</v>
      </c>
      <c r="P53" t="n">
        <v>0</v>
      </c>
      <c r="Q53" t="n">
        <v>1</v>
      </c>
      <c r="R53" s="2" t="inlineStr">
        <is>
          <t>Spindelört</t>
        </is>
      </c>
      <c r="S53">
        <f>HYPERLINK("https://klasma.github.io/Logging_0884/artfynd/A 37930-2021 artfynd.xlsx", "A 37930-2021")</f>
        <v/>
      </c>
      <c r="T53">
        <f>HYPERLINK("https://klasma.github.io/Logging_0884/kartor/A 37930-2021 karta.png", "A 37930-2021")</f>
        <v/>
      </c>
      <c r="V53">
        <f>HYPERLINK("https://klasma.github.io/Logging_0884/klagomål/A 37930-2021 FSC-klagomål.docx", "A 37930-2021")</f>
        <v/>
      </c>
      <c r="W53">
        <f>HYPERLINK("https://klasma.github.io/Logging_0884/klagomålsmail/A 37930-2021 FSC-klagomål mail.docx", "A 37930-2021")</f>
        <v/>
      </c>
      <c r="X53">
        <f>HYPERLINK("https://klasma.github.io/Logging_0884/tillsyn/A 37930-2021 tillsynsbegäran.docx", "A 37930-2021")</f>
        <v/>
      </c>
      <c r="Y53">
        <f>HYPERLINK("https://klasma.github.io/Logging_0884/tillsynsmail/A 37930-2021 tillsynsbegäran mail.docx", "A 37930-2021")</f>
        <v/>
      </c>
    </row>
    <row r="54" ht="15" customHeight="1">
      <c r="A54" t="inlineStr">
        <is>
          <t>A 71785-2021</t>
        </is>
      </c>
      <c r="B54" s="1" t="n">
        <v>44539</v>
      </c>
      <c r="C54" s="1" t="n">
        <v>45510</v>
      </c>
      <c r="D54" t="inlineStr">
        <is>
          <t>KALMAR LÄN</t>
        </is>
      </c>
      <c r="E54" t="inlineStr">
        <is>
          <t>VIMMERBY</t>
        </is>
      </c>
      <c r="G54" t="n">
        <v>1.1</v>
      </c>
      <c r="H54" t="n">
        <v>0</v>
      </c>
      <c r="I54" t="n">
        <v>0</v>
      </c>
      <c r="J54" t="n">
        <v>0</v>
      </c>
      <c r="K54" t="n">
        <v>0</v>
      </c>
      <c r="L54" t="n">
        <v>1</v>
      </c>
      <c r="M54" t="n">
        <v>0</v>
      </c>
      <c r="N54" t="n">
        <v>0</v>
      </c>
      <c r="O54" t="n">
        <v>1</v>
      </c>
      <c r="P54" t="n">
        <v>1</v>
      </c>
      <c r="Q54" t="n">
        <v>1</v>
      </c>
      <c r="R54" s="2" t="inlineStr">
        <is>
          <t>Ryl</t>
        </is>
      </c>
      <c r="S54">
        <f>HYPERLINK("https://klasma.github.io/Logging_0884/artfynd/A 71785-2021 artfynd.xlsx", "A 71785-2021")</f>
        <v/>
      </c>
      <c r="T54">
        <f>HYPERLINK("https://klasma.github.io/Logging_0884/kartor/A 71785-2021 karta.png", "A 71785-2021")</f>
        <v/>
      </c>
      <c r="V54">
        <f>HYPERLINK("https://klasma.github.io/Logging_0884/klagomål/A 71785-2021 FSC-klagomål.docx", "A 71785-2021")</f>
        <v/>
      </c>
      <c r="W54">
        <f>HYPERLINK("https://klasma.github.io/Logging_0884/klagomålsmail/A 71785-2021 FSC-klagomål mail.docx", "A 71785-2021")</f>
        <v/>
      </c>
      <c r="X54">
        <f>HYPERLINK("https://klasma.github.io/Logging_0884/tillsyn/A 71785-2021 tillsynsbegäran.docx", "A 71785-2021")</f>
        <v/>
      </c>
      <c r="Y54">
        <f>HYPERLINK("https://klasma.github.io/Logging_0884/tillsynsmail/A 71785-2021 tillsynsbegäran mail.docx", "A 71785-2021")</f>
        <v/>
      </c>
    </row>
    <row r="55" ht="15" customHeight="1">
      <c r="A55" t="inlineStr">
        <is>
          <t>A 21489-2022</t>
        </is>
      </c>
      <c r="B55" s="1" t="n">
        <v>44706</v>
      </c>
      <c r="C55" s="1" t="n">
        <v>45510</v>
      </c>
      <c r="D55" t="inlineStr">
        <is>
          <t>KALMAR LÄN</t>
        </is>
      </c>
      <c r="E55" t="inlineStr">
        <is>
          <t>VIMMERBY</t>
        </is>
      </c>
      <c r="G55" t="n">
        <v>4.8</v>
      </c>
      <c r="H55" t="n">
        <v>0</v>
      </c>
      <c r="I55" t="n">
        <v>0</v>
      </c>
      <c r="J55" t="n">
        <v>0</v>
      </c>
      <c r="K55" t="n">
        <v>1</v>
      </c>
      <c r="L55" t="n">
        <v>0</v>
      </c>
      <c r="M55" t="n">
        <v>0</v>
      </c>
      <c r="N55" t="n">
        <v>0</v>
      </c>
      <c r="O55" t="n">
        <v>1</v>
      </c>
      <c r="P55" t="n">
        <v>1</v>
      </c>
      <c r="Q55" t="n">
        <v>1</v>
      </c>
      <c r="R55" s="2" t="inlineStr">
        <is>
          <t>Späd fetfibbla</t>
        </is>
      </c>
      <c r="S55">
        <f>HYPERLINK("https://klasma.github.io/Logging_0884/artfynd/A 21489-2022 artfynd.xlsx", "A 21489-2022")</f>
        <v/>
      </c>
      <c r="T55">
        <f>HYPERLINK("https://klasma.github.io/Logging_0884/kartor/A 21489-2022 karta.png", "A 21489-2022")</f>
        <v/>
      </c>
      <c r="V55">
        <f>HYPERLINK("https://klasma.github.io/Logging_0884/klagomål/A 21489-2022 FSC-klagomål.docx", "A 21489-2022")</f>
        <v/>
      </c>
      <c r="W55">
        <f>HYPERLINK("https://klasma.github.io/Logging_0884/klagomålsmail/A 21489-2022 FSC-klagomål mail.docx", "A 21489-2022")</f>
        <v/>
      </c>
      <c r="X55">
        <f>HYPERLINK("https://klasma.github.io/Logging_0884/tillsyn/A 21489-2022 tillsynsbegäran.docx", "A 21489-2022")</f>
        <v/>
      </c>
      <c r="Y55">
        <f>HYPERLINK("https://klasma.github.io/Logging_0884/tillsynsmail/A 21489-2022 tillsynsbegäran mail.docx", "A 21489-2022")</f>
        <v/>
      </c>
    </row>
    <row r="56" ht="15" customHeight="1">
      <c r="A56" t="inlineStr">
        <is>
          <t>A 30473-2022</t>
        </is>
      </c>
      <c r="B56" s="1" t="n">
        <v>44761</v>
      </c>
      <c r="C56" s="1" t="n">
        <v>45510</v>
      </c>
      <c r="D56" t="inlineStr">
        <is>
          <t>KALMAR LÄN</t>
        </is>
      </c>
      <c r="E56" t="inlineStr">
        <is>
          <t>VIMMERBY</t>
        </is>
      </c>
      <c r="G56" t="n">
        <v>4.2</v>
      </c>
      <c r="H56" t="n">
        <v>1</v>
      </c>
      <c r="I56" t="n">
        <v>0</v>
      </c>
      <c r="J56" t="n">
        <v>1</v>
      </c>
      <c r="K56" t="n">
        <v>0</v>
      </c>
      <c r="L56" t="n">
        <v>0</v>
      </c>
      <c r="M56" t="n">
        <v>0</v>
      </c>
      <c r="N56" t="n">
        <v>0</v>
      </c>
      <c r="O56" t="n">
        <v>1</v>
      </c>
      <c r="P56" t="n">
        <v>0</v>
      </c>
      <c r="Q56" t="n">
        <v>1</v>
      </c>
      <c r="R56" s="2" t="inlineStr">
        <is>
          <t>Talltita</t>
        </is>
      </c>
      <c r="S56">
        <f>HYPERLINK("https://klasma.github.io/Logging_0884/artfynd/A 30473-2022 artfynd.xlsx", "A 30473-2022")</f>
        <v/>
      </c>
      <c r="T56">
        <f>HYPERLINK("https://klasma.github.io/Logging_0884/kartor/A 30473-2022 karta.png", "A 30473-2022")</f>
        <v/>
      </c>
      <c r="V56">
        <f>HYPERLINK("https://klasma.github.io/Logging_0884/klagomål/A 30473-2022 FSC-klagomål.docx", "A 30473-2022")</f>
        <v/>
      </c>
      <c r="W56">
        <f>HYPERLINK("https://klasma.github.io/Logging_0884/klagomålsmail/A 30473-2022 FSC-klagomål mail.docx", "A 30473-2022")</f>
        <v/>
      </c>
      <c r="X56">
        <f>HYPERLINK("https://klasma.github.io/Logging_0884/tillsyn/A 30473-2022 tillsynsbegäran.docx", "A 30473-2022")</f>
        <v/>
      </c>
      <c r="Y56">
        <f>HYPERLINK("https://klasma.github.io/Logging_0884/tillsynsmail/A 30473-2022 tillsynsbegäran mail.docx", "A 30473-2022")</f>
        <v/>
      </c>
      <c r="Z56">
        <f>HYPERLINK("https://klasma.github.io/Logging_0884/fåglar/A 30473-2022 prioriterade fågelarter.docx", "A 30473-2022")</f>
        <v/>
      </c>
    </row>
    <row r="57" ht="15" customHeight="1">
      <c r="A57" t="inlineStr">
        <is>
          <t>A 9638-2023</t>
        </is>
      </c>
      <c r="B57" s="1" t="n">
        <v>44984</v>
      </c>
      <c r="C57" s="1" t="n">
        <v>45510</v>
      </c>
      <c r="D57" t="inlineStr">
        <is>
          <t>KALMAR LÄN</t>
        </is>
      </c>
      <c r="E57" t="inlineStr">
        <is>
          <t>VIMMERBY</t>
        </is>
      </c>
      <c r="G57" t="n">
        <v>6.3</v>
      </c>
      <c r="H57" t="n">
        <v>0</v>
      </c>
      <c r="I57" t="n">
        <v>1</v>
      </c>
      <c r="J57" t="n">
        <v>0</v>
      </c>
      <c r="K57" t="n">
        <v>0</v>
      </c>
      <c r="L57" t="n">
        <v>0</v>
      </c>
      <c r="M57" t="n">
        <v>0</v>
      </c>
      <c r="N57" t="n">
        <v>0</v>
      </c>
      <c r="O57" t="n">
        <v>0</v>
      </c>
      <c r="P57" t="n">
        <v>0</v>
      </c>
      <c r="Q57" t="n">
        <v>1</v>
      </c>
      <c r="R57" s="2" t="inlineStr">
        <is>
          <t>Fällmossa</t>
        </is>
      </c>
      <c r="S57">
        <f>HYPERLINK("https://klasma.github.io/Logging_0884/artfynd/A 9638-2023 artfynd.xlsx", "A 9638-2023")</f>
        <v/>
      </c>
      <c r="T57">
        <f>HYPERLINK("https://klasma.github.io/Logging_0884/kartor/A 9638-2023 karta.png", "A 9638-2023")</f>
        <v/>
      </c>
      <c r="V57">
        <f>HYPERLINK("https://klasma.github.io/Logging_0884/klagomål/A 9638-2023 FSC-klagomål.docx", "A 9638-2023")</f>
        <v/>
      </c>
      <c r="W57">
        <f>HYPERLINK("https://klasma.github.io/Logging_0884/klagomålsmail/A 9638-2023 FSC-klagomål mail.docx", "A 9638-2023")</f>
        <v/>
      </c>
      <c r="X57">
        <f>HYPERLINK("https://klasma.github.io/Logging_0884/tillsyn/A 9638-2023 tillsynsbegäran.docx", "A 9638-2023")</f>
        <v/>
      </c>
      <c r="Y57">
        <f>HYPERLINK("https://klasma.github.io/Logging_0884/tillsynsmail/A 9638-2023 tillsynsbegäran mail.docx", "A 9638-2023")</f>
        <v/>
      </c>
    </row>
    <row r="58" ht="15" customHeight="1">
      <c r="A58" t="inlineStr">
        <is>
          <t>A 9642-2023</t>
        </is>
      </c>
      <c r="B58" s="1" t="n">
        <v>44984</v>
      </c>
      <c r="C58" s="1" t="n">
        <v>45510</v>
      </c>
      <c r="D58" t="inlineStr">
        <is>
          <t>KALMAR LÄN</t>
        </is>
      </c>
      <c r="E58" t="inlineStr">
        <is>
          <t>VIMMERBY</t>
        </is>
      </c>
      <c r="G58" t="n">
        <v>4</v>
      </c>
      <c r="H58" t="n">
        <v>1</v>
      </c>
      <c r="I58" t="n">
        <v>0</v>
      </c>
      <c r="J58" t="n">
        <v>1</v>
      </c>
      <c r="K58" t="n">
        <v>0</v>
      </c>
      <c r="L58" t="n">
        <v>0</v>
      </c>
      <c r="M58" t="n">
        <v>0</v>
      </c>
      <c r="N58" t="n">
        <v>0</v>
      </c>
      <c r="O58" t="n">
        <v>1</v>
      </c>
      <c r="P58" t="n">
        <v>0</v>
      </c>
      <c r="Q58" t="n">
        <v>1</v>
      </c>
      <c r="R58" s="2" t="inlineStr">
        <is>
          <t>Spillkråka</t>
        </is>
      </c>
      <c r="S58">
        <f>HYPERLINK("https://klasma.github.io/Logging_0884/artfynd/A 9642-2023 artfynd.xlsx", "A 9642-2023")</f>
        <v/>
      </c>
      <c r="T58">
        <f>HYPERLINK("https://klasma.github.io/Logging_0884/kartor/A 9642-2023 karta.png", "A 9642-2023")</f>
        <v/>
      </c>
      <c r="V58">
        <f>HYPERLINK("https://klasma.github.io/Logging_0884/klagomål/A 9642-2023 FSC-klagomål.docx", "A 9642-2023")</f>
        <v/>
      </c>
      <c r="W58">
        <f>HYPERLINK("https://klasma.github.io/Logging_0884/klagomålsmail/A 9642-2023 FSC-klagomål mail.docx", "A 9642-2023")</f>
        <v/>
      </c>
      <c r="X58">
        <f>HYPERLINK("https://klasma.github.io/Logging_0884/tillsyn/A 9642-2023 tillsynsbegäran.docx", "A 9642-2023")</f>
        <v/>
      </c>
      <c r="Y58">
        <f>HYPERLINK("https://klasma.github.io/Logging_0884/tillsynsmail/A 9642-2023 tillsynsbegäran mail.docx", "A 9642-2023")</f>
        <v/>
      </c>
      <c r="Z58">
        <f>HYPERLINK("https://klasma.github.io/Logging_0884/fåglar/A 9642-2023 prioriterade fågelarter.docx", "A 9642-2023")</f>
        <v/>
      </c>
    </row>
    <row r="59" ht="15" customHeight="1">
      <c r="A59" t="inlineStr">
        <is>
          <t>A 23602-2023</t>
        </is>
      </c>
      <c r="B59" s="1" t="n">
        <v>45077</v>
      </c>
      <c r="C59" s="1" t="n">
        <v>45510</v>
      </c>
      <c r="D59" t="inlineStr">
        <is>
          <t>KALMAR LÄN</t>
        </is>
      </c>
      <c r="E59" t="inlineStr">
        <is>
          <t>VIMMERBY</t>
        </is>
      </c>
      <c r="G59" t="n">
        <v>1.6</v>
      </c>
      <c r="H59" t="n">
        <v>0</v>
      </c>
      <c r="I59" t="n">
        <v>0</v>
      </c>
      <c r="J59" t="n">
        <v>1</v>
      </c>
      <c r="K59" t="n">
        <v>0</v>
      </c>
      <c r="L59" t="n">
        <v>0</v>
      </c>
      <c r="M59" t="n">
        <v>0</v>
      </c>
      <c r="N59" t="n">
        <v>0</v>
      </c>
      <c r="O59" t="n">
        <v>1</v>
      </c>
      <c r="P59" t="n">
        <v>0</v>
      </c>
      <c r="Q59" t="n">
        <v>1</v>
      </c>
      <c r="R59" s="2" t="inlineStr">
        <is>
          <t>Vedtrappmossa</t>
        </is>
      </c>
      <c r="S59">
        <f>HYPERLINK("https://klasma.github.io/Logging_0884/artfynd/A 23602-2023 artfynd.xlsx", "A 23602-2023")</f>
        <v/>
      </c>
      <c r="T59">
        <f>HYPERLINK("https://klasma.github.io/Logging_0884/kartor/A 23602-2023 karta.png", "A 23602-2023")</f>
        <v/>
      </c>
      <c r="V59">
        <f>HYPERLINK("https://klasma.github.io/Logging_0884/klagomål/A 23602-2023 FSC-klagomål.docx", "A 23602-2023")</f>
        <v/>
      </c>
      <c r="W59">
        <f>HYPERLINK("https://klasma.github.io/Logging_0884/klagomålsmail/A 23602-2023 FSC-klagomål mail.docx", "A 23602-2023")</f>
        <v/>
      </c>
      <c r="X59">
        <f>HYPERLINK("https://klasma.github.io/Logging_0884/tillsyn/A 23602-2023 tillsynsbegäran.docx", "A 23602-2023")</f>
        <v/>
      </c>
      <c r="Y59">
        <f>HYPERLINK("https://klasma.github.io/Logging_0884/tillsynsmail/A 23602-2023 tillsynsbegäran mail.docx", "A 23602-2023")</f>
        <v/>
      </c>
    </row>
    <row r="60" ht="15" customHeight="1">
      <c r="A60" t="inlineStr">
        <is>
          <t>A 28852-2023</t>
        </is>
      </c>
      <c r="B60" s="1" t="n">
        <v>45104</v>
      </c>
      <c r="C60" s="1" t="n">
        <v>45510</v>
      </c>
      <c r="D60" t="inlineStr">
        <is>
          <t>KALMAR LÄN</t>
        </is>
      </c>
      <c r="E60" t="inlineStr">
        <is>
          <t>VIMMERBY</t>
        </is>
      </c>
      <c r="G60" t="n">
        <v>0.7</v>
      </c>
      <c r="H60" t="n">
        <v>0</v>
      </c>
      <c r="I60" t="n">
        <v>1</v>
      </c>
      <c r="J60" t="n">
        <v>0</v>
      </c>
      <c r="K60" t="n">
        <v>0</v>
      </c>
      <c r="L60" t="n">
        <v>0</v>
      </c>
      <c r="M60" t="n">
        <v>0</v>
      </c>
      <c r="N60" t="n">
        <v>0</v>
      </c>
      <c r="O60" t="n">
        <v>0</v>
      </c>
      <c r="P60" t="n">
        <v>0</v>
      </c>
      <c r="Q60" t="n">
        <v>1</v>
      </c>
      <c r="R60" s="2" t="inlineStr">
        <is>
          <t>Tibast</t>
        </is>
      </c>
      <c r="S60">
        <f>HYPERLINK("https://klasma.github.io/Logging_0884/artfynd/A 28852-2023 artfynd.xlsx", "A 28852-2023")</f>
        <v/>
      </c>
      <c r="T60">
        <f>HYPERLINK("https://klasma.github.io/Logging_0884/kartor/A 28852-2023 karta.png", "A 28852-2023")</f>
        <v/>
      </c>
      <c r="V60">
        <f>HYPERLINK("https://klasma.github.io/Logging_0884/klagomål/A 28852-2023 FSC-klagomål.docx", "A 28852-2023")</f>
        <v/>
      </c>
      <c r="W60">
        <f>HYPERLINK("https://klasma.github.io/Logging_0884/klagomålsmail/A 28852-2023 FSC-klagomål mail.docx", "A 28852-2023")</f>
        <v/>
      </c>
      <c r="X60">
        <f>HYPERLINK("https://klasma.github.io/Logging_0884/tillsyn/A 28852-2023 tillsynsbegäran.docx", "A 28852-2023")</f>
        <v/>
      </c>
      <c r="Y60">
        <f>HYPERLINK("https://klasma.github.io/Logging_0884/tillsynsmail/A 28852-2023 tillsynsbegäran mail.docx", "A 28852-2023")</f>
        <v/>
      </c>
    </row>
    <row r="61" ht="15" customHeight="1">
      <c r="A61" t="inlineStr">
        <is>
          <t>A 32985-2023</t>
        </is>
      </c>
      <c r="B61" s="1" t="n">
        <v>45125</v>
      </c>
      <c r="C61" s="1" t="n">
        <v>45510</v>
      </c>
      <c r="D61" t="inlineStr">
        <is>
          <t>KALMAR LÄN</t>
        </is>
      </c>
      <c r="E61" t="inlineStr">
        <is>
          <t>VIMMERBY</t>
        </is>
      </c>
      <c r="G61" t="n">
        <v>1.9</v>
      </c>
      <c r="H61" t="n">
        <v>0</v>
      </c>
      <c r="I61" t="n">
        <v>0</v>
      </c>
      <c r="J61" t="n">
        <v>0</v>
      </c>
      <c r="K61" t="n">
        <v>0</v>
      </c>
      <c r="L61" t="n">
        <v>1</v>
      </c>
      <c r="M61" t="n">
        <v>0</v>
      </c>
      <c r="N61" t="n">
        <v>0</v>
      </c>
      <c r="O61" t="n">
        <v>1</v>
      </c>
      <c r="P61" t="n">
        <v>1</v>
      </c>
      <c r="Q61" t="n">
        <v>1</v>
      </c>
      <c r="R61" s="2" t="inlineStr">
        <is>
          <t>Ryl</t>
        </is>
      </c>
      <c r="S61">
        <f>HYPERLINK("https://klasma.github.io/Logging_0884/artfynd/A 32985-2023 artfynd.xlsx", "A 32985-2023")</f>
        <v/>
      </c>
      <c r="T61">
        <f>HYPERLINK("https://klasma.github.io/Logging_0884/kartor/A 32985-2023 karta.png", "A 32985-2023")</f>
        <v/>
      </c>
      <c r="V61">
        <f>HYPERLINK("https://klasma.github.io/Logging_0884/klagomål/A 32985-2023 FSC-klagomål.docx", "A 32985-2023")</f>
        <v/>
      </c>
      <c r="W61">
        <f>HYPERLINK("https://klasma.github.io/Logging_0884/klagomålsmail/A 32985-2023 FSC-klagomål mail.docx", "A 32985-2023")</f>
        <v/>
      </c>
      <c r="X61">
        <f>HYPERLINK("https://klasma.github.io/Logging_0884/tillsyn/A 32985-2023 tillsynsbegäran.docx", "A 32985-2023")</f>
        <v/>
      </c>
      <c r="Y61">
        <f>HYPERLINK("https://klasma.github.io/Logging_0884/tillsynsmail/A 32985-2023 tillsynsbegäran mail.docx", "A 32985-2023")</f>
        <v/>
      </c>
    </row>
    <row r="62" ht="15" customHeight="1">
      <c r="A62" t="inlineStr">
        <is>
          <t>A 44633-2023</t>
        </is>
      </c>
      <c r="B62" s="1" t="n">
        <v>45189</v>
      </c>
      <c r="C62" s="1" t="n">
        <v>45510</v>
      </c>
      <c r="D62" t="inlineStr">
        <is>
          <t>KALMAR LÄN</t>
        </is>
      </c>
      <c r="E62" t="inlineStr">
        <is>
          <t>VIMMERBY</t>
        </is>
      </c>
      <c r="G62" t="n">
        <v>2.4</v>
      </c>
      <c r="H62" t="n">
        <v>0</v>
      </c>
      <c r="I62" t="n">
        <v>1</v>
      </c>
      <c r="J62" t="n">
        <v>0</v>
      </c>
      <c r="K62" t="n">
        <v>0</v>
      </c>
      <c r="L62" t="n">
        <v>0</v>
      </c>
      <c r="M62" t="n">
        <v>0</v>
      </c>
      <c r="N62" t="n">
        <v>0</v>
      </c>
      <c r="O62" t="n">
        <v>0</v>
      </c>
      <c r="P62" t="n">
        <v>0</v>
      </c>
      <c r="Q62" t="n">
        <v>1</v>
      </c>
      <c r="R62" s="2" t="inlineStr">
        <is>
          <t>Sårläka</t>
        </is>
      </c>
      <c r="S62">
        <f>HYPERLINK("https://klasma.github.io/Logging_0884/artfynd/A 44633-2023 artfynd.xlsx", "A 44633-2023")</f>
        <v/>
      </c>
      <c r="T62">
        <f>HYPERLINK("https://klasma.github.io/Logging_0884/kartor/A 44633-2023 karta.png", "A 44633-2023")</f>
        <v/>
      </c>
      <c r="V62">
        <f>HYPERLINK("https://klasma.github.io/Logging_0884/klagomål/A 44633-2023 FSC-klagomål.docx", "A 44633-2023")</f>
        <v/>
      </c>
      <c r="W62">
        <f>HYPERLINK("https://klasma.github.io/Logging_0884/klagomålsmail/A 44633-2023 FSC-klagomål mail.docx", "A 44633-2023")</f>
        <v/>
      </c>
      <c r="X62">
        <f>HYPERLINK("https://klasma.github.io/Logging_0884/tillsyn/A 44633-2023 tillsynsbegäran.docx", "A 44633-2023")</f>
        <v/>
      </c>
      <c r="Y62">
        <f>HYPERLINK("https://klasma.github.io/Logging_0884/tillsynsmail/A 44633-2023 tillsynsbegäran mail.docx", "A 44633-2023")</f>
        <v/>
      </c>
    </row>
    <row r="63" ht="15" customHeight="1">
      <c r="A63" t="inlineStr">
        <is>
          <t>A 52301-2023</t>
        </is>
      </c>
      <c r="B63" s="1" t="n">
        <v>45224</v>
      </c>
      <c r="C63" s="1" t="n">
        <v>45510</v>
      </c>
      <c r="D63" t="inlineStr">
        <is>
          <t>KALMAR LÄN</t>
        </is>
      </c>
      <c r="E63" t="inlineStr">
        <is>
          <t>VIMMERBY</t>
        </is>
      </c>
      <c r="G63" t="n">
        <v>5.3</v>
      </c>
      <c r="H63" t="n">
        <v>0</v>
      </c>
      <c r="I63" t="n">
        <v>0</v>
      </c>
      <c r="J63" t="n">
        <v>0</v>
      </c>
      <c r="K63" t="n">
        <v>0</v>
      </c>
      <c r="L63" t="n">
        <v>1</v>
      </c>
      <c r="M63" t="n">
        <v>0</v>
      </c>
      <c r="N63" t="n">
        <v>0</v>
      </c>
      <c r="O63" t="n">
        <v>1</v>
      </c>
      <c r="P63" t="n">
        <v>1</v>
      </c>
      <c r="Q63" t="n">
        <v>1</v>
      </c>
      <c r="R63" s="2" t="inlineStr">
        <is>
          <t>Ask</t>
        </is>
      </c>
      <c r="S63">
        <f>HYPERLINK("https://klasma.github.io/Logging_0884/artfynd/A 52301-2023 artfynd.xlsx", "A 52301-2023")</f>
        <v/>
      </c>
      <c r="T63">
        <f>HYPERLINK("https://klasma.github.io/Logging_0884/kartor/A 52301-2023 karta.png", "A 52301-2023")</f>
        <v/>
      </c>
      <c r="V63">
        <f>HYPERLINK("https://klasma.github.io/Logging_0884/klagomål/A 52301-2023 FSC-klagomål.docx", "A 52301-2023")</f>
        <v/>
      </c>
      <c r="W63">
        <f>HYPERLINK("https://klasma.github.io/Logging_0884/klagomålsmail/A 52301-2023 FSC-klagomål mail.docx", "A 52301-2023")</f>
        <v/>
      </c>
      <c r="X63">
        <f>HYPERLINK("https://klasma.github.io/Logging_0884/tillsyn/A 52301-2023 tillsynsbegäran.docx", "A 52301-2023")</f>
        <v/>
      </c>
      <c r="Y63">
        <f>HYPERLINK("https://klasma.github.io/Logging_0884/tillsynsmail/A 52301-2023 tillsynsbegäran mail.docx", "A 52301-2023")</f>
        <v/>
      </c>
    </row>
    <row r="64" ht="15" customHeight="1">
      <c r="A64" t="inlineStr">
        <is>
          <t>A 57038-2023</t>
        </is>
      </c>
      <c r="B64" s="1" t="n">
        <v>45244</v>
      </c>
      <c r="C64" s="1" t="n">
        <v>45510</v>
      </c>
      <c r="D64" t="inlineStr">
        <is>
          <t>KALMAR LÄN</t>
        </is>
      </c>
      <c r="E64" t="inlineStr">
        <is>
          <t>VIMMERBY</t>
        </is>
      </c>
      <c r="G64" t="n">
        <v>4.6</v>
      </c>
      <c r="H64" t="n">
        <v>1</v>
      </c>
      <c r="I64" t="n">
        <v>0</v>
      </c>
      <c r="J64" t="n">
        <v>1</v>
      </c>
      <c r="K64" t="n">
        <v>0</v>
      </c>
      <c r="L64" t="n">
        <v>0</v>
      </c>
      <c r="M64" t="n">
        <v>0</v>
      </c>
      <c r="N64" t="n">
        <v>0</v>
      </c>
      <c r="O64" t="n">
        <v>1</v>
      </c>
      <c r="P64" t="n">
        <v>0</v>
      </c>
      <c r="Q64" t="n">
        <v>1</v>
      </c>
      <c r="R64" s="2" t="inlineStr">
        <is>
          <t>Talltita</t>
        </is>
      </c>
      <c r="S64">
        <f>HYPERLINK("https://klasma.github.io/Logging_0884/artfynd/A 57038-2023 artfynd.xlsx", "A 57038-2023")</f>
        <v/>
      </c>
      <c r="T64">
        <f>HYPERLINK("https://klasma.github.io/Logging_0884/kartor/A 57038-2023 karta.png", "A 57038-2023")</f>
        <v/>
      </c>
      <c r="V64">
        <f>HYPERLINK("https://klasma.github.io/Logging_0884/klagomål/A 57038-2023 FSC-klagomål.docx", "A 57038-2023")</f>
        <v/>
      </c>
      <c r="W64">
        <f>HYPERLINK("https://klasma.github.io/Logging_0884/klagomålsmail/A 57038-2023 FSC-klagomål mail.docx", "A 57038-2023")</f>
        <v/>
      </c>
      <c r="X64">
        <f>HYPERLINK("https://klasma.github.io/Logging_0884/tillsyn/A 57038-2023 tillsynsbegäran.docx", "A 57038-2023")</f>
        <v/>
      </c>
      <c r="Y64">
        <f>HYPERLINK("https://klasma.github.io/Logging_0884/tillsynsmail/A 57038-2023 tillsynsbegäran mail.docx", "A 57038-2023")</f>
        <v/>
      </c>
      <c r="Z64">
        <f>HYPERLINK("https://klasma.github.io/Logging_0884/fåglar/A 57038-2023 prioriterade fågelarter.docx", "A 57038-2023")</f>
        <v/>
      </c>
    </row>
    <row r="65" ht="15" customHeight="1">
      <c r="A65" t="inlineStr">
        <is>
          <t>A 10016-2024</t>
        </is>
      </c>
      <c r="B65" s="1" t="n">
        <v>45363</v>
      </c>
      <c r="C65" s="1" t="n">
        <v>45510</v>
      </c>
      <c r="D65" t="inlineStr">
        <is>
          <t>KALMAR LÄN</t>
        </is>
      </c>
      <c r="E65" t="inlineStr">
        <is>
          <t>VIMMERBY</t>
        </is>
      </c>
      <c r="G65" t="n">
        <v>1.5</v>
      </c>
      <c r="H65" t="n">
        <v>1</v>
      </c>
      <c r="I65" t="n">
        <v>0</v>
      </c>
      <c r="J65" t="n">
        <v>1</v>
      </c>
      <c r="K65" t="n">
        <v>0</v>
      </c>
      <c r="L65" t="n">
        <v>0</v>
      </c>
      <c r="M65" t="n">
        <v>0</v>
      </c>
      <c r="N65" t="n">
        <v>0</v>
      </c>
      <c r="O65" t="n">
        <v>1</v>
      </c>
      <c r="P65" t="n">
        <v>0</v>
      </c>
      <c r="Q65" t="n">
        <v>1</v>
      </c>
      <c r="R65" s="2" t="inlineStr">
        <is>
          <t>Röd skogslilja</t>
        </is>
      </c>
      <c r="S65">
        <f>HYPERLINK("https://klasma.github.io/Logging_0884/artfynd/A 10016-2024 artfynd.xlsx", "A 10016-2024")</f>
        <v/>
      </c>
      <c r="T65">
        <f>HYPERLINK("https://klasma.github.io/Logging_0884/kartor/A 10016-2024 karta.png", "A 10016-2024")</f>
        <v/>
      </c>
      <c r="V65">
        <f>HYPERLINK("https://klasma.github.io/Logging_0884/klagomål/A 10016-2024 FSC-klagomål.docx", "A 10016-2024")</f>
        <v/>
      </c>
      <c r="W65">
        <f>HYPERLINK("https://klasma.github.io/Logging_0884/klagomålsmail/A 10016-2024 FSC-klagomål mail.docx", "A 10016-2024")</f>
        <v/>
      </c>
      <c r="X65">
        <f>HYPERLINK("https://klasma.github.io/Logging_0884/tillsyn/A 10016-2024 tillsynsbegäran.docx", "A 10016-2024")</f>
        <v/>
      </c>
      <c r="Y65">
        <f>HYPERLINK("https://klasma.github.io/Logging_0884/tillsynsmail/A 10016-2024 tillsynsbegäran mail.docx", "A 10016-2024")</f>
        <v/>
      </c>
    </row>
    <row r="66" ht="15" customHeight="1">
      <c r="A66" t="inlineStr">
        <is>
          <t>A 15122-2024</t>
        </is>
      </c>
      <c r="B66" s="1" t="n">
        <v>45399</v>
      </c>
      <c r="C66" s="1" t="n">
        <v>45510</v>
      </c>
      <c r="D66" t="inlineStr">
        <is>
          <t>KALMAR LÄN</t>
        </is>
      </c>
      <c r="E66" t="inlineStr">
        <is>
          <t>VIMMERBY</t>
        </is>
      </c>
      <c r="G66" t="n">
        <v>1.7</v>
      </c>
      <c r="H66" t="n">
        <v>0</v>
      </c>
      <c r="I66" t="n">
        <v>0</v>
      </c>
      <c r="J66" t="n">
        <v>0</v>
      </c>
      <c r="K66" t="n">
        <v>1</v>
      </c>
      <c r="L66" t="n">
        <v>0</v>
      </c>
      <c r="M66" t="n">
        <v>0</v>
      </c>
      <c r="N66" t="n">
        <v>0</v>
      </c>
      <c r="O66" t="n">
        <v>1</v>
      </c>
      <c r="P66" t="n">
        <v>1</v>
      </c>
      <c r="Q66" t="n">
        <v>1</v>
      </c>
      <c r="R66" s="2" t="inlineStr">
        <is>
          <t>Sågfibbla</t>
        </is>
      </c>
      <c r="S66">
        <f>HYPERLINK("https://klasma.github.io/Logging_0884/artfynd/A 15122-2024 artfynd.xlsx", "A 15122-2024")</f>
        <v/>
      </c>
      <c r="T66">
        <f>HYPERLINK("https://klasma.github.io/Logging_0884/kartor/A 15122-2024 karta.png", "A 15122-2024")</f>
        <v/>
      </c>
      <c r="V66">
        <f>HYPERLINK("https://klasma.github.io/Logging_0884/klagomål/A 15122-2024 FSC-klagomål.docx", "A 15122-2024")</f>
        <v/>
      </c>
      <c r="W66">
        <f>HYPERLINK("https://klasma.github.io/Logging_0884/klagomålsmail/A 15122-2024 FSC-klagomål mail.docx", "A 15122-2024")</f>
        <v/>
      </c>
      <c r="X66">
        <f>HYPERLINK("https://klasma.github.io/Logging_0884/tillsyn/A 15122-2024 tillsynsbegäran.docx", "A 15122-2024")</f>
        <v/>
      </c>
      <c r="Y66">
        <f>HYPERLINK("https://klasma.github.io/Logging_0884/tillsynsmail/A 15122-2024 tillsynsbegäran mail.docx", "A 15122-2024")</f>
        <v/>
      </c>
    </row>
    <row r="67" ht="15" customHeight="1">
      <c r="A67" t="inlineStr">
        <is>
          <t>A 15627-2024</t>
        </is>
      </c>
      <c r="B67" s="1" t="n">
        <v>45402</v>
      </c>
      <c r="C67" s="1" t="n">
        <v>45510</v>
      </c>
      <c r="D67" t="inlineStr">
        <is>
          <t>KALMAR LÄN</t>
        </is>
      </c>
      <c r="E67" t="inlineStr">
        <is>
          <t>VIMMERBY</t>
        </is>
      </c>
      <c r="G67" t="n">
        <v>3.2</v>
      </c>
      <c r="H67" t="n">
        <v>1</v>
      </c>
      <c r="I67" t="n">
        <v>1</v>
      </c>
      <c r="J67" t="n">
        <v>0</v>
      </c>
      <c r="K67" t="n">
        <v>0</v>
      </c>
      <c r="L67" t="n">
        <v>0</v>
      </c>
      <c r="M67" t="n">
        <v>0</v>
      </c>
      <c r="N67" t="n">
        <v>0</v>
      </c>
      <c r="O67" t="n">
        <v>0</v>
      </c>
      <c r="P67" t="n">
        <v>0</v>
      </c>
      <c r="Q67" t="n">
        <v>1</v>
      </c>
      <c r="R67" s="2" t="inlineStr">
        <is>
          <t>Plattlummer</t>
        </is>
      </c>
      <c r="S67">
        <f>HYPERLINK("https://klasma.github.io/Logging_0884/artfynd/A 15627-2024 artfynd.xlsx", "A 15627-2024")</f>
        <v/>
      </c>
      <c r="T67">
        <f>HYPERLINK("https://klasma.github.io/Logging_0884/kartor/A 15627-2024 karta.png", "A 15627-2024")</f>
        <v/>
      </c>
      <c r="V67">
        <f>HYPERLINK("https://klasma.github.io/Logging_0884/klagomål/A 15627-2024 FSC-klagomål.docx", "A 15627-2024")</f>
        <v/>
      </c>
      <c r="W67">
        <f>HYPERLINK("https://klasma.github.io/Logging_0884/klagomålsmail/A 15627-2024 FSC-klagomål mail.docx", "A 15627-2024")</f>
        <v/>
      </c>
      <c r="X67">
        <f>HYPERLINK("https://klasma.github.io/Logging_0884/tillsyn/A 15627-2024 tillsynsbegäran.docx", "A 15627-2024")</f>
        <v/>
      </c>
      <c r="Y67">
        <f>HYPERLINK("https://klasma.github.io/Logging_0884/tillsynsmail/A 15627-2024 tillsynsbegäran mail.docx", "A 15627-2024")</f>
        <v/>
      </c>
    </row>
    <row r="68" ht="15" customHeight="1">
      <c r="A68" t="inlineStr">
        <is>
          <t>A 18658-2019</t>
        </is>
      </c>
      <c r="B68" s="1" t="n">
        <v>43559</v>
      </c>
      <c r="C68" s="1" t="n">
        <v>45510</v>
      </c>
      <c r="D68" t="inlineStr">
        <is>
          <t>KALMAR LÄN</t>
        </is>
      </c>
      <c r="E68" t="inlineStr">
        <is>
          <t>VIMMERBY</t>
        </is>
      </c>
      <c r="G68" t="n">
        <v>2.5</v>
      </c>
      <c r="H68" t="n">
        <v>0</v>
      </c>
      <c r="I68" t="n">
        <v>0</v>
      </c>
      <c r="J68" t="n">
        <v>0</v>
      </c>
      <c r="K68" t="n">
        <v>0</v>
      </c>
      <c r="L68" t="n">
        <v>0</v>
      </c>
      <c r="M68" t="n">
        <v>0</v>
      </c>
      <c r="N68" t="n">
        <v>0</v>
      </c>
      <c r="O68" t="n">
        <v>0</v>
      </c>
      <c r="P68" t="n">
        <v>0</v>
      </c>
      <c r="Q68" t="n">
        <v>0</v>
      </c>
      <c r="R68" s="2" t="inlineStr"/>
    </row>
    <row r="69" ht="15" customHeight="1">
      <c r="A69" t="inlineStr">
        <is>
          <t>A 18656-2019</t>
        </is>
      </c>
      <c r="B69" s="1" t="n">
        <v>43559</v>
      </c>
      <c r="C69" s="1" t="n">
        <v>45510</v>
      </c>
      <c r="D69" t="inlineStr">
        <is>
          <t>KALMAR LÄN</t>
        </is>
      </c>
      <c r="E69" t="inlineStr">
        <is>
          <t>VIMMERBY</t>
        </is>
      </c>
      <c r="G69" t="n">
        <v>2.1</v>
      </c>
      <c r="H69" t="n">
        <v>0</v>
      </c>
      <c r="I69" t="n">
        <v>0</v>
      </c>
      <c r="J69" t="n">
        <v>0</v>
      </c>
      <c r="K69" t="n">
        <v>0</v>
      </c>
      <c r="L69" t="n">
        <v>0</v>
      </c>
      <c r="M69" t="n">
        <v>0</v>
      </c>
      <c r="N69" t="n">
        <v>0</v>
      </c>
      <c r="O69" t="n">
        <v>0</v>
      </c>
      <c r="P69" t="n">
        <v>0</v>
      </c>
      <c r="Q69" t="n">
        <v>0</v>
      </c>
      <c r="R69" s="2" t="inlineStr"/>
    </row>
    <row r="70" ht="15" customHeight="1">
      <c r="A70" t="inlineStr">
        <is>
          <t>A 18755-2019</t>
        </is>
      </c>
      <c r="B70" s="1" t="n">
        <v>43560</v>
      </c>
      <c r="C70" s="1" t="n">
        <v>45510</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19057-2019</t>
        </is>
      </c>
      <c r="B71" s="1" t="n">
        <v>43563</v>
      </c>
      <c r="C71" s="1" t="n">
        <v>45510</v>
      </c>
      <c r="D71" t="inlineStr">
        <is>
          <t>KALMAR LÄN</t>
        </is>
      </c>
      <c r="E71" t="inlineStr">
        <is>
          <t>VIMMERBY</t>
        </is>
      </c>
      <c r="G71" t="n">
        <v>10.1</v>
      </c>
      <c r="H71" t="n">
        <v>0</v>
      </c>
      <c r="I71" t="n">
        <v>0</v>
      </c>
      <c r="J71" t="n">
        <v>0</v>
      </c>
      <c r="K71" t="n">
        <v>0</v>
      </c>
      <c r="L71" t="n">
        <v>0</v>
      </c>
      <c r="M71" t="n">
        <v>0</v>
      </c>
      <c r="N71" t="n">
        <v>0</v>
      </c>
      <c r="O71" t="n">
        <v>0</v>
      </c>
      <c r="P71" t="n">
        <v>0</v>
      </c>
      <c r="Q71" t="n">
        <v>0</v>
      </c>
      <c r="R71" s="2" t="inlineStr"/>
    </row>
    <row r="72" ht="15" customHeight="1">
      <c r="A72" t="inlineStr">
        <is>
          <t>A 19056-2019</t>
        </is>
      </c>
      <c r="B72" s="1" t="n">
        <v>43563</v>
      </c>
      <c r="C72" s="1" t="n">
        <v>45510</v>
      </c>
      <c r="D72" t="inlineStr">
        <is>
          <t>KALMAR LÄN</t>
        </is>
      </c>
      <c r="E72" t="inlineStr">
        <is>
          <t>VIMMERBY</t>
        </is>
      </c>
      <c r="G72" t="n">
        <v>3.2</v>
      </c>
      <c r="H72" t="n">
        <v>0</v>
      </c>
      <c r="I72" t="n">
        <v>0</v>
      </c>
      <c r="J72" t="n">
        <v>0</v>
      </c>
      <c r="K72" t="n">
        <v>0</v>
      </c>
      <c r="L72" t="n">
        <v>0</v>
      </c>
      <c r="M72" t="n">
        <v>0</v>
      </c>
      <c r="N72" t="n">
        <v>0</v>
      </c>
      <c r="O72" t="n">
        <v>0</v>
      </c>
      <c r="P72" t="n">
        <v>0</v>
      </c>
      <c r="Q72" t="n">
        <v>0</v>
      </c>
      <c r="R72" s="2" t="inlineStr"/>
    </row>
    <row r="73" ht="15" customHeight="1">
      <c r="A73" t="inlineStr">
        <is>
          <t>A 19054-2019</t>
        </is>
      </c>
      <c r="B73" s="1" t="n">
        <v>43563</v>
      </c>
      <c r="C73" s="1" t="n">
        <v>45510</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19616-2019</t>
        </is>
      </c>
      <c r="B74" s="1" t="n">
        <v>43566</v>
      </c>
      <c r="C74" s="1" t="n">
        <v>45510</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19632-2019</t>
        </is>
      </c>
      <c r="B75" s="1" t="n">
        <v>43566</v>
      </c>
      <c r="C75" s="1" t="n">
        <v>45510</v>
      </c>
      <c r="D75" t="inlineStr">
        <is>
          <t>KALMAR LÄN</t>
        </is>
      </c>
      <c r="E75" t="inlineStr">
        <is>
          <t>VIMMERBY</t>
        </is>
      </c>
      <c r="G75" t="n">
        <v>4.1</v>
      </c>
      <c r="H75" t="n">
        <v>0</v>
      </c>
      <c r="I75" t="n">
        <v>0</v>
      </c>
      <c r="J75" t="n">
        <v>0</v>
      </c>
      <c r="K75" t="n">
        <v>0</v>
      </c>
      <c r="L75" t="n">
        <v>0</v>
      </c>
      <c r="M75" t="n">
        <v>0</v>
      </c>
      <c r="N75" t="n">
        <v>0</v>
      </c>
      <c r="O75" t="n">
        <v>0</v>
      </c>
      <c r="P75" t="n">
        <v>0</v>
      </c>
      <c r="Q75" t="n">
        <v>0</v>
      </c>
      <c r="R75" s="2" t="inlineStr"/>
    </row>
    <row r="76" ht="15" customHeight="1">
      <c r="A76" t="inlineStr">
        <is>
          <t>A 19899-2019</t>
        </is>
      </c>
      <c r="B76" s="1" t="n">
        <v>43567</v>
      </c>
      <c r="C76" s="1" t="n">
        <v>45510</v>
      </c>
      <c r="D76" t="inlineStr">
        <is>
          <t>KALMAR LÄN</t>
        </is>
      </c>
      <c r="E76" t="inlineStr">
        <is>
          <t>VIMMERBY</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20035-2019</t>
        </is>
      </c>
      <c r="B77" s="1" t="n">
        <v>43570</v>
      </c>
      <c r="C77" s="1" t="n">
        <v>45510</v>
      </c>
      <c r="D77" t="inlineStr">
        <is>
          <t>KALMAR LÄN</t>
        </is>
      </c>
      <c r="E77" t="inlineStr">
        <is>
          <t>VIMMERBY</t>
        </is>
      </c>
      <c r="G77" t="n">
        <v>1.5</v>
      </c>
      <c r="H77" t="n">
        <v>0</v>
      </c>
      <c r="I77" t="n">
        <v>0</v>
      </c>
      <c r="J77" t="n">
        <v>0</v>
      </c>
      <c r="K77" t="n">
        <v>0</v>
      </c>
      <c r="L77" t="n">
        <v>0</v>
      </c>
      <c r="M77" t="n">
        <v>0</v>
      </c>
      <c r="N77" t="n">
        <v>0</v>
      </c>
      <c r="O77" t="n">
        <v>0</v>
      </c>
      <c r="P77" t="n">
        <v>0</v>
      </c>
      <c r="Q77" t="n">
        <v>0</v>
      </c>
      <c r="R77" s="2" t="inlineStr"/>
    </row>
    <row r="78" ht="15" customHeight="1">
      <c r="A78" t="inlineStr">
        <is>
          <t>A 19983-2019</t>
        </is>
      </c>
      <c r="B78" s="1" t="n">
        <v>43570</v>
      </c>
      <c r="C78" s="1" t="n">
        <v>45510</v>
      </c>
      <c r="D78" t="inlineStr">
        <is>
          <t>KALMAR LÄN</t>
        </is>
      </c>
      <c r="E78" t="inlineStr">
        <is>
          <t>VIMMERBY</t>
        </is>
      </c>
      <c r="G78" t="n">
        <v>0.8</v>
      </c>
      <c r="H78" t="n">
        <v>0</v>
      </c>
      <c r="I78" t="n">
        <v>0</v>
      </c>
      <c r="J78" t="n">
        <v>0</v>
      </c>
      <c r="K78" t="n">
        <v>0</v>
      </c>
      <c r="L78" t="n">
        <v>0</v>
      </c>
      <c r="M78" t="n">
        <v>0</v>
      </c>
      <c r="N78" t="n">
        <v>0</v>
      </c>
      <c r="O78" t="n">
        <v>0</v>
      </c>
      <c r="P78" t="n">
        <v>0</v>
      </c>
      <c r="Q78" t="n">
        <v>0</v>
      </c>
      <c r="R78" s="2" t="inlineStr"/>
    </row>
    <row r="79" ht="15" customHeight="1">
      <c r="A79" t="inlineStr">
        <is>
          <t>A 20080-2019</t>
        </is>
      </c>
      <c r="B79" s="1" t="n">
        <v>43570</v>
      </c>
      <c r="C79" s="1" t="n">
        <v>45510</v>
      </c>
      <c r="D79" t="inlineStr">
        <is>
          <t>KALMAR LÄN</t>
        </is>
      </c>
      <c r="E79" t="inlineStr">
        <is>
          <t>VIMMERBY</t>
        </is>
      </c>
      <c r="G79" t="n">
        <v>1.5</v>
      </c>
      <c r="H79" t="n">
        <v>0</v>
      </c>
      <c r="I79" t="n">
        <v>0</v>
      </c>
      <c r="J79" t="n">
        <v>0</v>
      </c>
      <c r="K79" t="n">
        <v>0</v>
      </c>
      <c r="L79" t="n">
        <v>0</v>
      </c>
      <c r="M79" t="n">
        <v>0</v>
      </c>
      <c r="N79" t="n">
        <v>0</v>
      </c>
      <c r="O79" t="n">
        <v>0</v>
      </c>
      <c r="P79" t="n">
        <v>0</v>
      </c>
      <c r="Q79" t="n">
        <v>0</v>
      </c>
      <c r="R79" s="2" t="inlineStr"/>
    </row>
    <row r="80" ht="15" customHeight="1">
      <c r="A80" t="inlineStr">
        <is>
          <t>A 20069-2019</t>
        </is>
      </c>
      <c r="B80" s="1" t="n">
        <v>43570</v>
      </c>
      <c r="C80" s="1" t="n">
        <v>45510</v>
      </c>
      <c r="D80" t="inlineStr">
        <is>
          <t>KALMAR LÄN</t>
        </is>
      </c>
      <c r="E80" t="inlineStr">
        <is>
          <t>VIMMERBY</t>
        </is>
      </c>
      <c r="G80" t="n">
        <v>4.9</v>
      </c>
      <c r="H80" t="n">
        <v>0</v>
      </c>
      <c r="I80" t="n">
        <v>0</v>
      </c>
      <c r="J80" t="n">
        <v>0</v>
      </c>
      <c r="K80" t="n">
        <v>0</v>
      </c>
      <c r="L80" t="n">
        <v>0</v>
      </c>
      <c r="M80" t="n">
        <v>0</v>
      </c>
      <c r="N80" t="n">
        <v>0</v>
      </c>
      <c r="O80" t="n">
        <v>0</v>
      </c>
      <c r="P80" t="n">
        <v>0</v>
      </c>
      <c r="Q80" t="n">
        <v>0</v>
      </c>
      <c r="R80" s="2" t="inlineStr"/>
    </row>
    <row r="81" ht="15" customHeight="1">
      <c r="A81" t="inlineStr">
        <is>
          <t>A 20314-2019</t>
        </is>
      </c>
      <c r="B81" s="1" t="n">
        <v>43571</v>
      </c>
      <c r="C81" s="1" t="n">
        <v>45510</v>
      </c>
      <c r="D81" t="inlineStr">
        <is>
          <t>KALMAR LÄN</t>
        </is>
      </c>
      <c r="E81" t="inlineStr">
        <is>
          <t>VIMMERBY</t>
        </is>
      </c>
      <c r="G81" t="n">
        <v>2.2</v>
      </c>
      <c r="H81" t="n">
        <v>0</v>
      </c>
      <c r="I81" t="n">
        <v>0</v>
      </c>
      <c r="J81" t="n">
        <v>0</v>
      </c>
      <c r="K81" t="n">
        <v>0</v>
      </c>
      <c r="L81" t="n">
        <v>0</v>
      </c>
      <c r="M81" t="n">
        <v>0</v>
      </c>
      <c r="N81" t="n">
        <v>0</v>
      </c>
      <c r="O81" t="n">
        <v>0</v>
      </c>
      <c r="P81" t="n">
        <v>0</v>
      </c>
      <c r="Q81" t="n">
        <v>0</v>
      </c>
      <c r="R81" s="2" t="inlineStr"/>
    </row>
    <row r="82" ht="15" customHeight="1">
      <c r="A82" t="inlineStr">
        <is>
          <t>A 20312-2019</t>
        </is>
      </c>
      <c r="B82" s="1" t="n">
        <v>43571</v>
      </c>
      <c r="C82" s="1" t="n">
        <v>45510</v>
      </c>
      <c r="D82" t="inlineStr">
        <is>
          <t>KALMAR LÄN</t>
        </is>
      </c>
      <c r="E82" t="inlineStr">
        <is>
          <t>VIMMERBY</t>
        </is>
      </c>
      <c r="G82" t="n">
        <v>4.2</v>
      </c>
      <c r="H82" t="n">
        <v>0</v>
      </c>
      <c r="I82" t="n">
        <v>0</v>
      </c>
      <c r="J82" t="n">
        <v>0</v>
      </c>
      <c r="K82" t="n">
        <v>0</v>
      </c>
      <c r="L82" t="n">
        <v>0</v>
      </c>
      <c r="M82" t="n">
        <v>0</v>
      </c>
      <c r="N82" t="n">
        <v>0</v>
      </c>
      <c r="O82" t="n">
        <v>0</v>
      </c>
      <c r="P82" t="n">
        <v>0</v>
      </c>
      <c r="Q82" t="n">
        <v>0</v>
      </c>
      <c r="R82" s="2" t="inlineStr"/>
    </row>
    <row r="83" ht="15" customHeight="1">
      <c r="A83" t="inlineStr">
        <is>
          <t>A 20565-2019</t>
        </is>
      </c>
      <c r="B83" s="1" t="n">
        <v>43572</v>
      </c>
      <c r="C83" s="1" t="n">
        <v>45510</v>
      </c>
      <c r="D83" t="inlineStr">
        <is>
          <t>KALMAR LÄN</t>
        </is>
      </c>
      <c r="E83" t="inlineStr">
        <is>
          <t>VIMMERBY</t>
        </is>
      </c>
      <c r="G83" t="n">
        <v>5.5</v>
      </c>
      <c r="H83" t="n">
        <v>0</v>
      </c>
      <c r="I83" t="n">
        <v>0</v>
      </c>
      <c r="J83" t="n">
        <v>0</v>
      </c>
      <c r="K83" t="n">
        <v>0</v>
      </c>
      <c r="L83" t="n">
        <v>0</v>
      </c>
      <c r="M83" t="n">
        <v>0</v>
      </c>
      <c r="N83" t="n">
        <v>0</v>
      </c>
      <c r="O83" t="n">
        <v>0</v>
      </c>
      <c r="P83" t="n">
        <v>0</v>
      </c>
      <c r="Q83" t="n">
        <v>0</v>
      </c>
      <c r="R83" s="2" t="inlineStr"/>
    </row>
    <row r="84" ht="15" customHeight="1">
      <c r="A84" t="inlineStr">
        <is>
          <t>A 20856-2019</t>
        </is>
      </c>
      <c r="B84" s="1" t="n">
        <v>43578</v>
      </c>
      <c r="C84" s="1" t="n">
        <v>45510</v>
      </c>
      <c r="D84" t="inlineStr">
        <is>
          <t>KALMAR LÄN</t>
        </is>
      </c>
      <c r="E84" t="inlineStr">
        <is>
          <t>VIMMERBY</t>
        </is>
      </c>
      <c r="G84" t="n">
        <v>0.8</v>
      </c>
      <c r="H84" t="n">
        <v>0</v>
      </c>
      <c r="I84" t="n">
        <v>0</v>
      </c>
      <c r="J84" t="n">
        <v>0</v>
      </c>
      <c r="K84" t="n">
        <v>0</v>
      </c>
      <c r="L84" t="n">
        <v>0</v>
      </c>
      <c r="M84" t="n">
        <v>0</v>
      </c>
      <c r="N84" t="n">
        <v>0</v>
      </c>
      <c r="O84" t="n">
        <v>0</v>
      </c>
      <c r="P84" t="n">
        <v>0</v>
      </c>
      <c r="Q84" t="n">
        <v>0</v>
      </c>
      <c r="R84" s="2" t="inlineStr"/>
    </row>
    <row r="85" ht="15" customHeight="1">
      <c r="A85" t="inlineStr">
        <is>
          <t>A 21557-2019</t>
        </is>
      </c>
      <c r="B85" s="1" t="n">
        <v>43580</v>
      </c>
      <c r="C85" s="1" t="n">
        <v>45510</v>
      </c>
      <c r="D85" t="inlineStr">
        <is>
          <t>KALMAR LÄN</t>
        </is>
      </c>
      <c r="E85" t="inlineStr">
        <is>
          <t>VIMMERBY</t>
        </is>
      </c>
      <c r="G85" t="n">
        <v>13.8</v>
      </c>
      <c r="H85" t="n">
        <v>0</v>
      </c>
      <c r="I85" t="n">
        <v>0</v>
      </c>
      <c r="J85" t="n">
        <v>0</v>
      </c>
      <c r="K85" t="n">
        <v>0</v>
      </c>
      <c r="L85" t="n">
        <v>0</v>
      </c>
      <c r="M85" t="n">
        <v>0</v>
      </c>
      <c r="N85" t="n">
        <v>0</v>
      </c>
      <c r="O85" t="n">
        <v>0</v>
      </c>
      <c r="P85" t="n">
        <v>0</v>
      </c>
      <c r="Q85" t="n">
        <v>0</v>
      </c>
      <c r="R85" s="2" t="inlineStr"/>
    </row>
    <row r="86" ht="15" customHeight="1">
      <c r="A86" t="inlineStr">
        <is>
          <t>A 21500-2019</t>
        </is>
      </c>
      <c r="B86" s="1" t="n">
        <v>43580</v>
      </c>
      <c r="C86" s="1" t="n">
        <v>45510</v>
      </c>
      <c r="D86" t="inlineStr">
        <is>
          <t>KALMAR LÄN</t>
        </is>
      </c>
      <c r="E86" t="inlineStr">
        <is>
          <t>VIMMERBY</t>
        </is>
      </c>
      <c r="G86" t="n">
        <v>0.7</v>
      </c>
      <c r="H86" t="n">
        <v>0</v>
      </c>
      <c r="I86" t="n">
        <v>0</v>
      </c>
      <c r="J86" t="n">
        <v>0</v>
      </c>
      <c r="K86" t="n">
        <v>0</v>
      </c>
      <c r="L86" t="n">
        <v>0</v>
      </c>
      <c r="M86" t="n">
        <v>0</v>
      </c>
      <c r="N86" t="n">
        <v>0</v>
      </c>
      <c r="O86" t="n">
        <v>0</v>
      </c>
      <c r="P86" t="n">
        <v>0</v>
      </c>
      <c r="Q86" t="n">
        <v>0</v>
      </c>
      <c r="R86" s="2" t="inlineStr"/>
    </row>
    <row r="87" ht="15" customHeight="1">
      <c r="A87" t="inlineStr">
        <is>
          <t>A 21688-2019</t>
        </is>
      </c>
      <c r="B87" s="1" t="n">
        <v>43581</v>
      </c>
      <c r="C87" s="1" t="n">
        <v>45510</v>
      </c>
      <c r="D87" t="inlineStr">
        <is>
          <t>KALMAR LÄN</t>
        </is>
      </c>
      <c r="E87" t="inlineStr">
        <is>
          <t>VIMMERBY</t>
        </is>
      </c>
      <c r="G87" t="n">
        <v>1.2</v>
      </c>
      <c r="H87" t="n">
        <v>0</v>
      </c>
      <c r="I87" t="n">
        <v>0</v>
      </c>
      <c r="J87" t="n">
        <v>0</v>
      </c>
      <c r="K87" t="n">
        <v>0</v>
      </c>
      <c r="L87" t="n">
        <v>0</v>
      </c>
      <c r="M87" t="n">
        <v>0</v>
      </c>
      <c r="N87" t="n">
        <v>0</v>
      </c>
      <c r="O87" t="n">
        <v>0</v>
      </c>
      <c r="P87" t="n">
        <v>0</v>
      </c>
      <c r="Q87" t="n">
        <v>0</v>
      </c>
      <c r="R87" s="2" t="inlineStr"/>
    </row>
    <row r="88" ht="15" customHeight="1">
      <c r="A88" t="inlineStr">
        <is>
          <t>A 22372-2019</t>
        </is>
      </c>
      <c r="B88" s="1" t="n">
        <v>43587</v>
      </c>
      <c r="C88" s="1" t="n">
        <v>45510</v>
      </c>
      <c r="D88" t="inlineStr">
        <is>
          <t>KALMAR LÄN</t>
        </is>
      </c>
      <c r="E88" t="inlineStr">
        <is>
          <t>VIMMERBY</t>
        </is>
      </c>
      <c r="G88" t="n">
        <v>0.3</v>
      </c>
      <c r="H88" t="n">
        <v>0</v>
      </c>
      <c r="I88" t="n">
        <v>0</v>
      </c>
      <c r="J88" t="n">
        <v>0</v>
      </c>
      <c r="K88" t="n">
        <v>0</v>
      </c>
      <c r="L88" t="n">
        <v>0</v>
      </c>
      <c r="M88" t="n">
        <v>0</v>
      </c>
      <c r="N88" t="n">
        <v>0</v>
      </c>
      <c r="O88" t="n">
        <v>0</v>
      </c>
      <c r="P88" t="n">
        <v>0</v>
      </c>
      <c r="Q88" t="n">
        <v>0</v>
      </c>
      <c r="R88" s="2" t="inlineStr"/>
    </row>
    <row r="89" ht="15" customHeight="1">
      <c r="A89" t="inlineStr">
        <is>
          <t>A 22659-2019</t>
        </is>
      </c>
      <c r="B89" s="1" t="n">
        <v>43588</v>
      </c>
      <c r="C89" s="1" t="n">
        <v>45510</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23498-2019</t>
        </is>
      </c>
      <c r="B90" s="1" t="n">
        <v>43593</v>
      </c>
      <c r="C90" s="1" t="n">
        <v>45510</v>
      </c>
      <c r="D90" t="inlineStr">
        <is>
          <t>KALMAR LÄN</t>
        </is>
      </c>
      <c r="E90" t="inlineStr">
        <is>
          <t>VIMMERBY</t>
        </is>
      </c>
      <c r="G90" t="n">
        <v>1.9</v>
      </c>
      <c r="H90" t="n">
        <v>0</v>
      </c>
      <c r="I90" t="n">
        <v>0</v>
      </c>
      <c r="J90" t="n">
        <v>0</v>
      </c>
      <c r="K90" t="n">
        <v>0</v>
      </c>
      <c r="L90" t="n">
        <v>0</v>
      </c>
      <c r="M90" t="n">
        <v>0</v>
      </c>
      <c r="N90" t="n">
        <v>0</v>
      </c>
      <c r="O90" t="n">
        <v>0</v>
      </c>
      <c r="P90" t="n">
        <v>0</v>
      </c>
      <c r="Q90" t="n">
        <v>0</v>
      </c>
      <c r="R90" s="2" t="inlineStr"/>
    </row>
    <row r="91" ht="15" customHeight="1">
      <c r="A91" t="inlineStr">
        <is>
          <t>A 24254-2019</t>
        </is>
      </c>
      <c r="B91" s="1" t="n">
        <v>43599</v>
      </c>
      <c r="C91" s="1" t="n">
        <v>45510</v>
      </c>
      <c r="D91" t="inlineStr">
        <is>
          <t>KALMAR LÄN</t>
        </is>
      </c>
      <c r="E91" t="inlineStr">
        <is>
          <t>VIMMERBY</t>
        </is>
      </c>
      <c r="G91" t="n">
        <v>1.7</v>
      </c>
      <c r="H91" t="n">
        <v>0</v>
      </c>
      <c r="I91" t="n">
        <v>0</v>
      </c>
      <c r="J91" t="n">
        <v>0</v>
      </c>
      <c r="K91" t="n">
        <v>0</v>
      </c>
      <c r="L91" t="n">
        <v>0</v>
      </c>
      <c r="M91" t="n">
        <v>0</v>
      </c>
      <c r="N91" t="n">
        <v>0</v>
      </c>
      <c r="O91" t="n">
        <v>0</v>
      </c>
      <c r="P91" t="n">
        <v>0</v>
      </c>
      <c r="Q91" t="n">
        <v>0</v>
      </c>
      <c r="R91" s="2" t="inlineStr"/>
    </row>
    <row r="92" ht="15" customHeight="1">
      <c r="A92" t="inlineStr">
        <is>
          <t>A 24937-2019</t>
        </is>
      </c>
      <c r="B92" s="1" t="n">
        <v>43602</v>
      </c>
      <c r="C92" s="1" t="n">
        <v>45510</v>
      </c>
      <c r="D92" t="inlineStr">
        <is>
          <t>KALMAR LÄN</t>
        </is>
      </c>
      <c r="E92" t="inlineStr">
        <is>
          <t>VIMMERBY</t>
        </is>
      </c>
      <c r="G92" t="n">
        <v>0.9</v>
      </c>
      <c r="H92" t="n">
        <v>0</v>
      </c>
      <c r="I92" t="n">
        <v>0</v>
      </c>
      <c r="J92" t="n">
        <v>0</v>
      </c>
      <c r="K92" t="n">
        <v>0</v>
      </c>
      <c r="L92" t="n">
        <v>0</v>
      </c>
      <c r="M92" t="n">
        <v>0</v>
      </c>
      <c r="N92" t="n">
        <v>0</v>
      </c>
      <c r="O92" t="n">
        <v>0</v>
      </c>
      <c r="P92" t="n">
        <v>0</v>
      </c>
      <c r="Q92" t="n">
        <v>0</v>
      </c>
      <c r="R92" s="2" t="inlineStr"/>
    </row>
    <row r="93" ht="15" customHeight="1">
      <c r="A93" t="inlineStr">
        <is>
          <t>A 26073-2019</t>
        </is>
      </c>
      <c r="B93" s="1" t="n">
        <v>43609</v>
      </c>
      <c r="C93" s="1" t="n">
        <v>45510</v>
      </c>
      <c r="D93" t="inlineStr">
        <is>
          <t>KALMAR LÄN</t>
        </is>
      </c>
      <c r="E93" t="inlineStr">
        <is>
          <t>VIMMERBY</t>
        </is>
      </c>
      <c r="G93" t="n">
        <v>0.4</v>
      </c>
      <c r="H93" t="n">
        <v>0</v>
      </c>
      <c r="I93" t="n">
        <v>0</v>
      </c>
      <c r="J93" t="n">
        <v>0</v>
      </c>
      <c r="K93" t="n">
        <v>0</v>
      </c>
      <c r="L93" t="n">
        <v>0</v>
      </c>
      <c r="M93" t="n">
        <v>0</v>
      </c>
      <c r="N93" t="n">
        <v>0</v>
      </c>
      <c r="O93" t="n">
        <v>0</v>
      </c>
      <c r="P93" t="n">
        <v>0</v>
      </c>
      <c r="Q93" t="n">
        <v>0</v>
      </c>
      <c r="R93" s="2" t="inlineStr"/>
    </row>
    <row r="94" ht="15" customHeight="1">
      <c r="A94" t="inlineStr">
        <is>
          <t>A 26660-2019</t>
        </is>
      </c>
      <c r="B94" s="1" t="n">
        <v>43613</v>
      </c>
      <c r="C94" s="1" t="n">
        <v>45510</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28013-2019</t>
        </is>
      </c>
      <c r="B95" s="1" t="n">
        <v>43621</v>
      </c>
      <c r="C95" s="1" t="n">
        <v>45510</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28348-2019</t>
        </is>
      </c>
      <c r="B96" s="1" t="n">
        <v>43624</v>
      </c>
      <c r="C96" s="1" t="n">
        <v>45510</v>
      </c>
      <c r="D96" t="inlineStr">
        <is>
          <t>KALMAR LÄN</t>
        </is>
      </c>
      <c r="E96" t="inlineStr">
        <is>
          <t>VIMMERBY</t>
        </is>
      </c>
      <c r="G96" t="n">
        <v>1</v>
      </c>
      <c r="H96" t="n">
        <v>0</v>
      </c>
      <c r="I96" t="n">
        <v>0</v>
      </c>
      <c r="J96" t="n">
        <v>0</v>
      </c>
      <c r="K96" t="n">
        <v>0</v>
      </c>
      <c r="L96" t="n">
        <v>0</v>
      </c>
      <c r="M96" t="n">
        <v>0</v>
      </c>
      <c r="N96" t="n">
        <v>0</v>
      </c>
      <c r="O96" t="n">
        <v>0</v>
      </c>
      <c r="P96" t="n">
        <v>0</v>
      </c>
      <c r="Q96" t="n">
        <v>0</v>
      </c>
      <c r="R96" s="2" t="inlineStr"/>
    </row>
    <row r="97" ht="15" customHeight="1">
      <c r="A97" t="inlineStr">
        <is>
          <t>A 28414-2019</t>
        </is>
      </c>
      <c r="B97" s="1" t="n">
        <v>43626</v>
      </c>
      <c r="C97" s="1" t="n">
        <v>45510</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29004-2019</t>
        </is>
      </c>
      <c r="B98" s="1" t="n">
        <v>43628</v>
      </c>
      <c r="C98" s="1" t="n">
        <v>45510</v>
      </c>
      <c r="D98" t="inlineStr">
        <is>
          <t>KALMAR LÄN</t>
        </is>
      </c>
      <c r="E98" t="inlineStr">
        <is>
          <t>VIMMERBY</t>
        </is>
      </c>
      <c r="G98" t="n">
        <v>1.1</v>
      </c>
      <c r="H98" t="n">
        <v>0</v>
      </c>
      <c r="I98" t="n">
        <v>0</v>
      </c>
      <c r="J98" t="n">
        <v>0</v>
      </c>
      <c r="K98" t="n">
        <v>0</v>
      </c>
      <c r="L98" t="n">
        <v>0</v>
      </c>
      <c r="M98" t="n">
        <v>0</v>
      </c>
      <c r="N98" t="n">
        <v>0</v>
      </c>
      <c r="O98" t="n">
        <v>0</v>
      </c>
      <c r="P98" t="n">
        <v>0</v>
      </c>
      <c r="Q98" t="n">
        <v>0</v>
      </c>
      <c r="R98" s="2" t="inlineStr"/>
    </row>
    <row r="99" ht="15" customHeight="1">
      <c r="A99" t="inlineStr">
        <is>
          <t>A 29228-2019</t>
        </is>
      </c>
      <c r="B99" s="1" t="n">
        <v>43629</v>
      </c>
      <c r="C99" s="1" t="n">
        <v>45510</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29408-2019</t>
        </is>
      </c>
      <c r="B100" s="1" t="n">
        <v>43629</v>
      </c>
      <c r="C100" s="1" t="n">
        <v>45510</v>
      </c>
      <c r="D100" t="inlineStr">
        <is>
          <t>KALMAR LÄN</t>
        </is>
      </c>
      <c r="E100" t="inlineStr">
        <is>
          <t>VIMMERBY</t>
        </is>
      </c>
      <c r="G100" t="n">
        <v>10.2</v>
      </c>
      <c r="H100" t="n">
        <v>0</v>
      </c>
      <c r="I100" t="n">
        <v>0</v>
      </c>
      <c r="J100" t="n">
        <v>0</v>
      </c>
      <c r="K100" t="n">
        <v>0</v>
      </c>
      <c r="L100" t="n">
        <v>0</v>
      </c>
      <c r="M100" t="n">
        <v>0</v>
      </c>
      <c r="N100" t="n">
        <v>0</v>
      </c>
      <c r="O100" t="n">
        <v>0</v>
      </c>
      <c r="P100" t="n">
        <v>0</v>
      </c>
      <c r="Q100" t="n">
        <v>0</v>
      </c>
      <c r="R100" s="2" t="inlineStr"/>
    </row>
    <row r="101" ht="15" customHeight="1">
      <c r="A101" t="inlineStr">
        <is>
          <t>A 29693-2019</t>
        </is>
      </c>
      <c r="B101" s="1" t="n">
        <v>43630</v>
      </c>
      <c r="C101" s="1" t="n">
        <v>45510</v>
      </c>
      <c r="D101" t="inlineStr">
        <is>
          <t>KALMAR LÄN</t>
        </is>
      </c>
      <c r="E101" t="inlineStr">
        <is>
          <t>VIMMERBY</t>
        </is>
      </c>
      <c r="G101" t="n">
        <v>2.1</v>
      </c>
      <c r="H101" t="n">
        <v>0</v>
      </c>
      <c r="I101" t="n">
        <v>0</v>
      </c>
      <c r="J101" t="n">
        <v>0</v>
      </c>
      <c r="K101" t="n">
        <v>0</v>
      </c>
      <c r="L101" t="n">
        <v>0</v>
      </c>
      <c r="M101" t="n">
        <v>0</v>
      </c>
      <c r="N101" t="n">
        <v>0</v>
      </c>
      <c r="O101" t="n">
        <v>0</v>
      </c>
      <c r="P101" t="n">
        <v>0</v>
      </c>
      <c r="Q101" t="n">
        <v>0</v>
      </c>
      <c r="R101" s="2" t="inlineStr"/>
    </row>
    <row r="102" ht="15" customHeight="1">
      <c r="A102" t="inlineStr">
        <is>
          <t>A 29675-2019</t>
        </is>
      </c>
      <c r="B102" s="1" t="n">
        <v>43630</v>
      </c>
      <c r="C102" s="1" t="n">
        <v>45510</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29775-2019</t>
        </is>
      </c>
      <c r="B103" s="1" t="n">
        <v>43632</v>
      </c>
      <c r="C103" s="1" t="n">
        <v>45510</v>
      </c>
      <c r="D103" t="inlineStr">
        <is>
          <t>KALMAR LÄN</t>
        </is>
      </c>
      <c r="E103" t="inlineStr">
        <is>
          <t>VIMMERBY</t>
        </is>
      </c>
      <c r="G103" t="n">
        <v>2</v>
      </c>
      <c r="H103" t="n">
        <v>0</v>
      </c>
      <c r="I103" t="n">
        <v>0</v>
      </c>
      <c r="J103" t="n">
        <v>0</v>
      </c>
      <c r="K103" t="n">
        <v>0</v>
      </c>
      <c r="L103" t="n">
        <v>0</v>
      </c>
      <c r="M103" t="n">
        <v>0</v>
      </c>
      <c r="N103" t="n">
        <v>0</v>
      </c>
      <c r="O103" t="n">
        <v>0</v>
      </c>
      <c r="P103" t="n">
        <v>0</v>
      </c>
      <c r="Q103" t="n">
        <v>0</v>
      </c>
      <c r="R103" s="2" t="inlineStr"/>
    </row>
    <row r="104" ht="15" customHeight="1">
      <c r="A104" t="inlineStr">
        <is>
          <t>A 29773-2019</t>
        </is>
      </c>
      <c r="B104" s="1" t="n">
        <v>43632</v>
      </c>
      <c r="C104" s="1" t="n">
        <v>45510</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31027-2019</t>
        </is>
      </c>
      <c r="B105" s="1" t="n">
        <v>43636</v>
      </c>
      <c r="C105" s="1" t="n">
        <v>45510</v>
      </c>
      <c r="D105" t="inlineStr">
        <is>
          <t>KALMAR LÄN</t>
        </is>
      </c>
      <c r="E105" t="inlineStr">
        <is>
          <t>VIMMERBY</t>
        </is>
      </c>
      <c r="F105" t="inlineStr">
        <is>
          <t>Övriga statliga verk och myndigheter</t>
        </is>
      </c>
      <c r="G105" t="n">
        <v>0.5</v>
      </c>
      <c r="H105" t="n">
        <v>0</v>
      </c>
      <c r="I105" t="n">
        <v>0</v>
      </c>
      <c r="J105" t="n">
        <v>0</v>
      </c>
      <c r="K105" t="n">
        <v>0</v>
      </c>
      <c r="L105" t="n">
        <v>0</v>
      </c>
      <c r="M105" t="n">
        <v>0</v>
      </c>
      <c r="N105" t="n">
        <v>0</v>
      </c>
      <c r="O105" t="n">
        <v>0</v>
      </c>
      <c r="P105" t="n">
        <v>0</v>
      </c>
      <c r="Q105" t="n">
        <v>0</v>
      </c>
      <c r="R105" s="2" t="inlineStr"/>
    </row>
    <row r="106" ht="15" customHeight="1">
      <c r="A106" t="inlineStr">
        <is>
          <t>A 30994-2019</t>
        </is>
      </c>
      <c r="B106" s="1" t="n">
        <v>43640</v>
      </c>
      <c r="C106" s="1" t="n">
        <v>45510</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31859-2019</t>
        </is>
      </c>
      <c r="B107" s="1" t="n">
        <v>43642</v>
      </c>
      <c r="C107" s="1" t="n">
        <v>45510</v>
      </c>
      <c r="D107" t="inlineStr">
        <is>
          <t>KALMAR LÄN</t>
        </is>
      </c>
      <c r="E107" t="inlineStr">
        <is>
          <t>VIMMERBY</t>
        </is>
      </c>
      <c r="G107" t="n">
        <v>2.1</v>
      </c>
      <c r="H107" t="n">
        <v>0</v>
      </c>
      <c r="I107" t="n">
        <v>0</v>
      </c>
      <c r="J107" t="n">
        <v>0</v>
      </c>
      <c r="K107" t="n">
        <v>0</v>
      </c>
      <c r="L107" t="n">
        <v>0</v>
      </c>
      <c r="M107" t="n">
        <v>0</v>
      </c>
      <c r="N107" t="n">
        <v>0</v>
      </c>
      <c r="O107" t="n">
        <v>0</v>
      </c>
      <c r="P107" t="n">
        <v>0</v>
      </c>
      <c r="Q107" t="n">
        <v>0</v>
      </c>
      <c r="R107" s="2" t="inlineStr"/>
    </row>
    <row r="108" ht="15" customHeight="1">
      <c r="A108" t="inlineStr">
        <is>
          <t>A 32911-2019</t>
        </is>
      </c>
      <c r="B108" s="1" t="n">
        <v>43648</v>
      </c>
      <c r="C108" s="1" t="n">
        <v>45510</v>
      </c>
      <c r="D108" t="inlineStr">
        <is>
          <t>KALMAR LÄN</t>
        </is>
      </c>
      <c r="E108" t="inlineStr">
        <is>
          <t>VIMMERBY</t>
        </is>
      </c>
      <c r="G108" t="n">
        <v>5</v>
      </c>
      <c r="H108" t="n">
        <v>0</v>
      </c>
      <c r="I108" t="n">
        <v>0</v>
      </c>
      <c r="J108" t="n">
        <v>0</v>
      </c>
      <c r="K108" t="n">
        <v>0</v>
      </c>
      <c r="L108" t="n">
        <v>0</v>
      </c>
      <c r="M108" t="n">
        <v>0</v>
      </c>
      <c r="N108" t="n">
        <v>0</v>
      </c>
      <c r="O108" t="n">
        <v>0</v>
      </c>
      <c r="P108" t="n">
        <v>0</v>
      </c>
      <c r="Q108" t="n">
        <v>0</v>
      </c>
      <c r="R108" s="2" t="inlineStr"/>
    </row>
    <row r="109" ht="15" customHeight="1">
      <c r="A109" t="inlineStr">
        <is>
          <t>A 32924-2019</t>
        </is>
      </c>
      <c r="B109" s="1" t="n">
        <v>43648</v>
      </c>
      <c r="C109" s="1" t="n">
        <v>45510</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32918-2019</t>
        </is>
      </c>
      <c r="B110" s="1" t="n">
        <v>43648</v>
      </c>
      <c r="C110" s="1" t="n">
        <v>45510</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32910-2019</t>
        </is>
      </c>
      <c r="B111" s="1" t="n">
        <v>43648</v>
      </c>
      <c r="C111" s="1" t="n">
        <v>45510</v>
      </c>
      <c r="D111" t="inlineStr">
        <is>
          <t>KALMAR LÄN</t>
        </is>
      </c>
      <c r="E111" t="inlineStr">
        <is>
          <t>VIMMERBY</t>
        </is>
      </c>
      <c r="G111" t="n">
        <v>6</v>
      </c>
      <c r="H111" t="n">
        <v>0</v>
      </c>
      <c r="I111" t="n">
        <v>0</v>
      </c>
      <c r="J111" t="n">
        <v>0</v>
      </c>
      <c r="K111" t="n">
        <v>0</v>
      </c>
      <c r="L111" t="n">
        <v>0</v>
      </c>
      <c r="M111" t="n">
        <v>0</v>
      </c>
      <c r="N111" t="n">
        <v>0</v>
      </c>
      <c r="O111" t="n">
        <v>0</v>
      </c>
      <c r="P111" t="n">
        <v>0</v>
      </c>
      <c r="Q111" t="n">
        <v>0</v>
      </c>
      <c r="R111" s="2" t="inlineStr"/>
    </row>
    <row r="112" ht="15" customHeight="1">
      <c r="A112" t="inlineStr">
        <is>
          <t>A 34765-2019</t>
        </is>
      </c>
      <c r="B112" s="1" t="n">
        <v>43649</v>
      </c>
      <c r="C112" s="1" t="n">
        <v>45510</v>
      </c>
      <c r="D112" t="inlineStr">
        <is>
          <t>KALMAR LÄN</t>
        </is>
      </c>
      <c r="E112" t="inlineStr">
        <is>
          <t>VIMMERBY</t>
        </is>
      </c>
      <c r="G112" t="n">
        <v>6.9</v>
      </c>
      <c r="H112" t="n">
        <v>0</v>
      </c>
      <c r="I112" t="n">
        <v>0</v>
      </c>
      <c r="J112" t="n">
        <v>0</v>
      </c>
      <c r="K112" t="n">
        <v>0</v>
      </c>
      <c r="L112" t="n">
        <v>0</v>
      </c>
      <c r="M112" t="n">
        <v>0</v>
      </c>
      <c r="N112" t="n">
        <v>0</v>
      </c>
      <c r="O112" t="n">
        <v>0</v>
      </c>
      <c r="P112" t="n">
        <v>0</v>
      </c>
      <c r="Q112" t="n">
        <v>0</v>
      </c>
      <c r="R112" s="2" t="inlineStr"/>
    </row>
    <row r="113" ht="15" customHeight="1">
      <c r="A113" t="inlineStr">
        <is>
          <t>A 33411-2019</t>
        </is>
      </c>
      <c r="B113" s="1" t="n">
        <v>43650</v>
      </c>
      <c r="C113" s="1" t="n">
        <v>45510</v>
      </c>
      <c r="D113" t="inlineStr">
        <is>
          <t>KALMAR LÄN</t>
        </is>
      </c>
      <c r="E113" t="inlineStr">
        <is>
          <t>VIMMERBY</t>
        </is>
      </c>
      <c r="G113" t="n">
        <v>1.6</v>
      </c>
      <c r="H113" t="n">
        <v>0</v>
      </c>
      <c r="I113" t="n">
        <v>0</v>
      </c>
      <c r="J113" t="n">
        <v>0</v>
      </c>
      <c r="K113" t="n">
        <v>0</v>
      </c>
      <c r="L113" t="n">
        <v>0</v>
      </c>
      <c r="M113" t="n">
        <v>0</v>
      </c>
      <c r="N113" t="n">
        <v>0</v>
      </c>
      <c r="O113" t="n">
        <v>0</v>
      </c>
      <c r="P113" t="n">
        <v>0</v>
      </c>
      <c r="Q113" t="n">
        <v>0</v>
      </c>
      <c r="R113" s="2" t="inlineStr"/>
    </row>
    <row r="114" ht="15" customHeight="1">
      <c r="A114" t="inlineStr">
        <is>
          <t>A 33410-2019</t>
        </is>
      </c>
      <c r="B114" s="1" t="n">
        <v>43650</v>
      </c>
      <c r="C114" s="1" t="n">
        <v>45510</v>
      </c>
      <c r="D114" t="inlineStr">
        <is>
          <t>KALMAR LÄN</t>
        </is>
      </c>
      <c r="E114" t="inlineStr">
        <is>
          <t>VIMMERBY</t>
        </is>
      </c>
      <c r="G114" t="n">
        <v>4.4</v>
      </c>
      <c r="H114" t="n">
        <v>0</v>
      </c>
      <c r="I114" t="n">
        <v>0</v>
      </c>
      <c r="J114" t="n">
        <v>0</v>
      </c>
      <c r="K114" t="n">
        <v>0</v>
      </c>
      <c r="L114" t="n">
        <v>0</v>
      </c>
      <c r="M114" t="n">
        <v>0</v>
      </c>
      <c r="N114" t="n">
        <v>0</v>
      </c>
      <c r="O114" t="n">
        <v>0</v>
      </c>
      <c r="P114" t="n">
        <v>0</v>
      </c>
      <c r="Q114" t="n">
        <v>0</v>
      </c>
      <c r="R114" s="2" t="inlineStr"/>
    </row>
    <row r="115" ht="15" customHeight="1">
      <c r="A115" t="inlineStr">
        <is>
          <t>A 35259-2019</t>
        </is>
      </c>
      <c r="B115" s="1" t="n">
        <v>43651</v>
      </c>
      <c r="C115" s="1" t="n">
        <v>45510</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33869-2019</t>
        </is>
      </c>
      <c r="B116" s="1" t="n">
        <v>43652</v>
      </c>
      <c r="C116" s="1" t="n">
        <v>45510</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34241-2019</t>
        </is>
      </c>
      <c r="B117" s="1" t="n">
        <v>43655</v>
      </c>
      <c r="C117" s="1" t="n">
        <v>45510</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34244-2019</t>
        </is>
      </c>
      <c r="B118" s="1" t="n">
        <v>43655</v>
      </c>
      <c r="C118" s="1" t="n">
        <v>45510</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34273-2019</t>
        </is>
      </c>
      <c r="B119" s="1" t="n">
        <v>43655</v>
      </c>
      <c r="C119" s="1" t="n">
        <v>45510</v>
      </c>
      <c r="D119" t="inlineStr">
        <is>
          <t>KALMAR LÄN</t>
        </is>
      </c>
      <c r="E119" t="inlineStr">
        <is>
          <t>VIMMERBY</t>
        </is>
      </c>
      <c r="G119" t="n">
        <v>3.1</v>
      </c>
      <c r="H119" t="n">
        <v>0</v>
      </c>
      <c r="I119" t="n">
        <v>0</v>
      </c>
      <c r="J119" t="n">
        <v>0</v>
      </c>
      <c r="K119" t="n">
        <v>0</v>
      </c>
      <c r="L119" t="n">
        <v>0</v>
      </c>
      <c r="M119" t="n">
        <v>0</v>
      </c>
      <c r="N119" t="n">
        <v>0</v>
      </c>
      <c r="O119" t="n">
        <v>0</v>
      </c>
      <c r="P119" t="n">
        <v>0</v>
      </c>
      <c r="Q119" t="n">
        <v>0</v>
      </c>
      <c r="R119" s="2" t="inlineStr"/>
    </row>
    <row r="120" ht="15" customHeight="1">
      <c r="A120" t="inlineStr">
        <is>
          <t>A 35701-2019</t>
        </is>
      </c>
      <c r="B120" s="1" t="n">
        <v>43655</v>
      </c>
      <c r="C120" s="1" t="n">
        <v>45510</v>
      </c>
      <c r="D120" t="inlineStr">
        <is>
          <t>KALMAR LÄN</t>
        </is>
      </c>
      <c r="E120" t="inlineStr">
        <is>
          <t>VIMMERBY</t>
        </is>
      </c>
      <c r="G120" t="n">
        <v>1.3</v>
      </c>
      <c r="H120" t="n">
        <v>0</v>
      </c>
      <c r="I120" t="n">
        <v>0</v>
      </c>
      <c r="J120" t="n">
        <v>0</v>
      </c>
      <c r="K120" t="n">
        <v>0</v>
      </c>
      <c r="L120" t="n">
        <v>0</v>
      </c>
      <c r="M120" t="n">
        <v>0</v>
      </c>
      <c r="N120" t="n">
        <v>0</v>
      </c>
      <c r="O120" t="n">
        <v>0</v>
      </c>
      <c r="P120" t="n">
        <v>0</v>
      </c>
      <c r="Q120" t="n">
        <v>0</v>
      </c>
      <c r="R120" s="2" t="inlineStr"/>
    </row>
    <row r="121" ht="15" customHeight="1">
      <c r="A121" t="inlineStr">
        <is>
          <t>A 34672-2019</t>
        </is>
      </c>
      <c r="B121" s="1" t="n">
        <v>43657</v>
      </c>
      <c r="C121" s="1" t="n">
        <v>45510</v>
      </c>
      <c r="D121" t="inlineStr">
        <is>
          <t>KALMAR LÄN</t>
        </is>
      </c>
      <c r="E121" t="inlineStr">
        <is>
          <t>VIMMERBY</t>
        </is>
      </c>
      <c r="G121" t="n">
        <v>1.8</v>
      </c>
      <c r="H121" t="n">
        <v>0</v>
      </c>
      <c r="I121" t="n">
        <v>0</v>
      </c>
      <c r="J121" t="n">
        <v>0</v>
      </c>
      <c r="K121" t="n">
        <v>0</v>
      </c>
      <c r="L121" t="n">
        <v>0</v>
      </c>
      <c r="M121" t="n">
        <v>0</v>
      </c>
      <c r="N121" t="n">
        <v>0</v>
      </c>
      <c r="O121" t="n">
        <v>0</v>
      </c>
      <c r="P121" t="n">
        <v>0</v>
      </c>
      <c r="Q121" t="n">
        <v>0</v>
      </c>
      <c r="R121" s="2" t="inlineStr"/>
    </row>
    <row r="122" ht="15" customHeight="1">
      <c r="A122" t="inlineStr">
        <is>
          <t>A 35780-2019</t>
        </is>
      </c>
      <c r="B122" s="1" t="n">
        <v>43665</v>
      </c>
      <c r="C122" s="1" t="n">
        <v>45510</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35834-2019</t>
        </is>
      </c>
      <c r="B123" s="1" t="n">
        <v>43665</v>
      </c>
      <c r="C123" s="1" t="n">
        <v>45510</v>
      </c>
      <c r="D123" t="inlineStr">
        <is>
          <t>KALMAR LÄN</t>
        </is>
      </c>
      <c r="E123" t="inlineStr">
        <is>
          <t>VIMMERBY</t>
        </is>
      </c>
      <c r="G123" t="n">
        <v>0.2</v>
      </c>
      <c r="H123" t="n">
        <v>0</v>
      </c>
      <c r="I123" t="n">
        <v>0</v>
      </c>
      <c r="J123" t="n">
        <v>0</v>
      </c>
      <c r="K123" t="n">
        <v>0</v>
      </c>
      <c r="L123" t="n">
        <v>0</v>
      </c>
      <c r="M123" t="n">
        <v>0</v>
      </c>
      <c r="N123" t="n">
        <v>0</v>
      </c>
      <c r="O123" t="n">
        <v>0</v>
      </c>
      <c r="P123" t="n">
        <v>0</v>
      </c>
      <c r="Q123" t="n">
        <v>0</v>
      </c>
      <c r="R123" s="2" t="inlineStr"/>
    </row>
    <row r="124" ht="15" customHeight="1">
      <c r="A124" t="inlineStr">
        <is>
          <t>A 35829-2019</t>
        </is>
      </c>
      <c r="B124" s="1" t="n">
        <v>43665</v>
      </c>
      <c r="C124" s="1" t="n">
        <v>45510</v>
      </c>
      <c r="D124" t="inlineStr">
        <is>
          <t>KALMAR LÄN</t>
        </is>
      </c>
      <c r="E124" t="inlineStr">
        <is>
          <t>VIMMERBY</t>
        </is>
      </c>
      <c r="G124" t="n">
        <v>1.2</v>
      </c>
      <c r="H124" t="n">
        <v>0</v>
      </c>
      <c r="I124" t="n">
        <v>0</v>
      </c>
      <c r="J124" t="n">
        <v>0</v>
      </c>
      <c r="K124" t="n">
        <v>0</v>
      </c>
      <c r="L124" t="n">
        <v>0</v>
      </c>
      <c r="M124" t="n">
        <v>0</v>
      </c>
      <c r="N124" t="n">
        <v>0</v>
      </c>
      <c r="O124" t="n">
        <v>0</v>
      </c>
      <c r="P124" t="n">
        <v>0</v>
      </c>
      <c r="Q124" t="n">
        <v>0</v>
      </c>
      <c r="R124" s="2" t="inlineStr"/>
    </row>
    <row r="125" ht="15" customHeight="1">
      <c r="A125" t="inlineStr">
        <is>
          <t>A 35919-2019</t>
        </is>
      </c>
      <c r="B125" s="1" t="n">
        <v>43665</v>
      </c>
      <c r="C125" s="1" t="n">
        <v>45510</v>
      </c>
      <c r="D125" t="inlineStr">
        <is>
          <t>KALMAR LÄN</t>
        </is>
      </c>
      <c r="E125" t="inlineStr">
        <is>
          <t>VIMMERBY</t>
        </is>
      </c>
      <c r="G125" t="n">
        <v>7.1</v>
      </c>
      <c r="H125" t="n">
        <v>0</v>
      </c>
      <c r="I125" t="n">
        <v>0</v>
      </c>
      <c r="J125" t="n">
        <v>0</v>
      </c>
      <c r="K125" t="n">
        <v>0</v>
      </c>
      <c r="L125" t="n">
        <v>0</v>
      </c>
      <c r="M125" t="n">
        <v>0</v>
      </c>
      <c r="N125" t="n">
        <v>0</v>
      </c>
      <c r="O125" t="n">
        <v>0</v>
      </c>
      <c r="P125" t="n">
        <v>0</v>
      </c>
      <c r="Q125" t="n">
        <v>0</v>
      </c>
      <c r="R125" s="2" t="inlineStr"/>
    </row>
    <row r="126" ht="15" customHeight="1">
      <c r="A126" t="inlineStr">
        <is>
          <t>A 36027-2019</t>
        </is>
      </c>
      <c r="B126" s="1" t="n">
        <v>43668</v>
      </c>
      <c r="C126" s="1" t="n">
        <v>45510</v>
      </c>
      <c r="D126" t="inlineStr">
        <is>
          <t>KALMAR LÄN</t>
        </is>
      </c>
      <c r="E126" t="inlineStr">
        <is>
          <t>VIMMERBY</t>
        </is>
      </c>
      <c r="G126" t="n">
        <v>0.8</v>
      </c>
      <c r="H126" t="n">
        <v>0</v>
      </c>
      <c r="I126" t="n">
        <v>0</v>
      </c>
      <c r="J126" t="n">
        <v>0</v>
      </c>
      <c r="K126" t="n">
        <v>0</v>
      </c>
      <c r="L126" t="n">
        <v>0</v>
      </c>
      <c r="M126" t="n">
        <v>0</v>
      </c>
      <c r="N126" t="n">
        <v>0</v>
      </c>
      <c r="O126" t="n">
        <v>0</v>
      </c>
      <c r="P126" t="n">
        <v>0</v>
      </c>
      <c r="Q126" t="n">
        <v>0</v>
      </c>
      <c r="R126" s="2" t="inlineStr"/>
    </row>
    <row r="127" ht="15" customHeight="1">
      <c r="A127" t="inlineStr">
        <is>
          <t>A 36024-2019</t>
        </is>
      </c>
      <c r="B127" s="1" t="n">
        <v>43668</v>
      </c>
      <c r="C127" s="1" t="n">
        <v>45510</v>
      </c>
      <c r="D127" t="inlineStr">
        <is>
          <t>KALMAR LÄN</t>
        </is>
      </c>
      <c r="E127" t="inlineStr">
        <is>
          <t>VIMMERBY</t>
        </is>
      </c>
      <c r="G127" t="n">
        <v>1</v>
      </c>
      <c r="H127" t="n">
        <v>0</v>
      </c>
      <c r="I127" t="n">
        <v>0</v>
      </c>
      <c r="J127" t="n">
        <v>0</v>
      </c>
      <c r="K127" t="n">
        <v>0</v>
      </c>
      <c r="L127" t="n">
        <v>0</v>
      </c>
      <c r="M127" t="n">
        <v>0</v>
      </c>
      <c r="N127" t="n">
        <v>0</v>
      </c>
      <c r="O127" t="n">
        <v>0</v>
      </c>
      <c r="P127" t="n">
        <v>0</v>
      </c>
      <c r="Q127" t="n">
        <v>0</v>
      </c>
      <c r="R127" s="2" t="inlineStr"/>
    </row>
    <row r="128" ht="15" customHeight="1">
      <c r="A128" t="inlineStr">
        <is>
          <t>A 36716-2019</t>
        </is>
      </c>
      <c r="B128" s="1" t="n">
        <v>43669</v>
      </c>
      <c r="C128" s="1" t="n">
        <v>45510</v>
      </c>
      <c r="D128" t="inlineStr">
        <is>
          <t>KALMAR LÄN</t>
        </is>
      </c>
      <c r="E128" t="inlineStr">
        <is>
          <t>VIMMERBY</t>
        </is>
      </c>
      <c r="G128" t="n">
        <v>3.6</v>
      </c>
      <c r="H128" t="n">
        <v>0</v>
      </c>
      <c r="I128" t="n">
        <v>0</v>
      </c>
      <c r="J128" t="n">
        <v>0</v>
      </c>
      <c r="K128" t="n">
        <v>0</v>
      </c>
      <c r="L128" t="n">
        <v>0</v>
      </c>
      <c r="M128" t="n">
        <v>0</v>
      </c>
      <c r="N128" t="n">
        <v>0</v>
      </c>
      <c r="O128" t="n">
        <v>0</v>
      </c>
      <c r="P128" t="n">
        <v>0</v>
      </c>
      <c r="Q128" t="n">
        <v>0</v>
      </c>
      <c r="R128" s="2" t="inlineStr"/>
    </row>
    <row r="129" ht="15" customHeight="1">
      <c r="A129" t="inlineStr">
        <is>
          <t>A 36454-2019</t>
        </is>
      </c>
      <c r="B129" s="1" t="n">
        <v>43670</v>
      </c>
      <c r="C129" s="1" t="n">
        <v>45510</v>
      </c>
      <c r="D129" t="inlineStr">
        <is>
          <t>KALMAR LÄN</t>
        </is>
      </c>
      <c r="E129" t="inlineStr">
        <is>
          <t>VIMMERBY</t>
        </is>
      </c>
      <c r="G129" t="n">
        <v>2.1</v>
      </c>
      <c r="H129" t="n">
        <v>0</v>
      </c>
      <c r="I129" t="n">
        <v>0</v>
      </c>
      <c r="J129" t="n">
        <v>0</v>
      </c>
      <c r="K129" t="n">
        <v>0</v>
      </c>
      <c r="L129" t="n">
        <v>0</v>
      </c>
      <c r="M129" t="n">
        <v>0</v>
      </c>
      <c r="N129" t="n">
        <v>0</v>
      </c>
      <c r="O129" t="n">
        <v>0</v>
      </c>
      <c r="P129" t="n">
        <v>0</v>
      </c>
      <c r="Q129" t="n">
        <v>0</v>
      </c>
      <c r="R129" s="2" t="inlineStr"/>
    </row>
    <row r="130" ht="15" customHeight="1">
      <c r="A130" t="inlineStr">
        <is>
          <t>A 37031-2019</t>
        </is>
      </c>
      <c r="B130" s="1" t="n">
        <v>43672</v>
      </c>
      <c r="C130" s="1" t="n">
        <v>45510</v>
      </c>
      <c r="D130" t="inlineStr">
        <is>
          <t>KALMAR LÄN</t>
        </is>
      </c>
      <c r="E130" t="inlineStr">
        <is>
          <t>VIMMERBY</t>
        </is>
      </c>
      <c r="G130" t="n">
        <v>16.8</v>
      </c>
      <c r="H130" t="n">
        <v>0</v>
      </c>
      <c r="I130" t="n">
        <v>0</v>
      </c>
      <c r="J130" t="n">
        <v>0</v>
      </c>
      <c r="K130" t="n">
        <v>0</v>
      </c>
      <c r="L130" t="n">
        <v>0</v>
      </c>
      <c r="M130" t="n">
        <v>0</v>
      </c>
      <c r="N130" t="n">
        <v>0</v>
      </c>
      <c r="O130" t="n">
        <v>0</v>
      </c>
      <c r="P130" t="n">
        <v>0</v>
      </c>
      <c r="Q130" t="n">
        <v>0</v>
      </c>
      <c r="R130" s="2" t="inlineStr"/>
    </row>
    <row r="131" ht="15" customHeight="1">
      <c r="A131" t="inlineStr">
        <is>
          <t>A 36830-2019</t>
        </is>
      </c>
      <c r="B131" s="1" t="n">
        <v>43674</v>
      </c>
      <c r="C131" s="1" t="n">
        <v>45510</v>
      </c>
      <c r="D131" t="inlineStr">
        <is>
          <t>KALMAR LÄN</t>
        </is>
      </c>
      <c r="E131" t="inlineStr">
        <is>
          <t>VIMMERBY</t>
        </is>
      </c>
      <c r="G131" t="n">
        <v>7.2</v>
      </c>
      <c r="H131" t="n">
        <v>0</v>
      </c>
      <c r="I131" t="n">
        <v>0</v>
      </c>
      <c r="J131" t="n">
        <v>0</v>
      </c>
      <c r="K131" t="n">
        <v>0</v>
      </c>
      <c r="L131" t="n">
        <v>0</v>
      </c>
      <c r="M131" t="n">
        <v>0</v>
      </c>
      <c r="N131" t="n">
        <v>0</v>
      </c>
      <c r="O131" t="n">
        <v>0</v>
      </c>
      <c r="P131" t="n">
        <v>0</v>
      </c>
      <c r="Q131" t="n">
        <v>0</v>
      </c>
      <c r="R131" s="2" t="inlineStr"/>
    </row>
    <row r="132" ht="15" customHeight="1">
      <c r="A132" t="inlineStr">
        <is>
          <t>A 36936-2019</t>
        </is>
      </c>
      <c r="B132" s="1" t="n">
        <v>43675</v>
      </c>
      <c r="C132" s="1" t="n">
        <v>45510</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37063-2019</t>
        </is>
      </c>
      <c r="B133" s="1" t="n">
        <v>43676</v>
      </c>
      <c r="C133" s="1" t="n">
        <v>45510</v>
      </c>
      <c r="D133" t="inlineStr">
        <is>
          <t>KALMAR LÄN</t>
        </is>
      </c>
      <c r="E133" t="inlineStr">
        <is>
          <t>VIMMERBY</t>
        </is>
      </c>
      <c r="G133" t="n">
        <v>2</v>
      </c>
      <c r="H133" t="n">
        <v>0</v>
      </c>
      <c r="I133" t="n">
        <v>0</v>
      </c>
      <c r="J133" t="n">
        <v>0</v>
      </c>
      <c r="K133" t="n">
        <v>0</v>
      </c>
      <c r="L133" t="n">
        <v>0</v>
      </c>
      <c r="M133" t="n">
        <v>0</v>
      </c>
      <c r="N133" t="n">
        <v>0</v>
      </c>
      <c r="O133" t="n">
        <v>0</v>
      </c>
      <c r="P133" t="n">
        <v>0</v>
      </c>
      <c r="Q133" t="n">
        <v>0</v>
      </c>
      <c r="R133" s="2" t="inlineStr"/>
    </row>
    <row r="134" ht="15" customHeight="1">
      <c r="A134" t="inlineStr">
        <is>
          <t>A 37209-2019</t>
        </is>
      </c>
      <c r="B134" s="1" t="n">
        <v>43677</v>
      </c>
      <c r="C134" s="1" t="n">
        <v>45510</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37412-2019</t>
        </is>
      </c>
      <c r="B135" s="1" t="n">
        <v>43678</v>
      </c>
      <c r="C135" s="1" t="n">
        <v>45510</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38602-2019</t>
        </is>
      </c>
      <c r="B136" s="1" t="n">
        <v>43684</v>
      </c>
      <c r="C136" s="1" t="n">
        <v>45510</v>
      </c>
      <c r="D136" t="inlineStr">
        <is>
          <t>KALMAR LÄN</t>
        </is>
      </c>
      <c r="E136" t="inlineStr">
        <is>
          <t>VIMMERBY</t>
        </is>
      </c>
      <c r="G136" t="n">
        <v>2.7</v>
      </c>
      <c r="H136" t="n">
        <v>0</v>
      </c>
      <c r="I136" t="n">
        <v>0</v>
      </c>
      <c r="J136" t="n">
        <v>0</v>
      </c>
      <c r="K136" t="n">
        <v>0</v>
      </c>
      <c r="L136" t="n">
        <v>0</v>
      </c>
      <c r="M136" t="n">
        <v>0</v>
      </c>
      <c r="N136" t="n">
        <v>0</v>
      </c>
      <c r="O136" t="n">
        <v>0</v>
      </c>
      <c r="P136" t="n">
        <v>0</v>
      </c>
      <c r="Q136" t="n">
        <v>0</v>
      </c>
      <c r="R136" s="2" t="inlineStr"/>
    </row>
    <row r="137" ht="15" customHeight="1">
      <c r="A137" t="inlineStr">
        <is>
          <t>A 38866-2019</t>
        </is>
      </c>
      <c r="B137" s="1" t="n">
        <v>43685</v>
      </c>
      <c r="C137" s="1" t="n">
        <v>45510</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38789-2019</t>
        </is>
      </c>
      <c r="B138" s="1" t="n">
        <v>43687</v>
      </c>
      <c r="C138" s="1" t="n">
        <v>45510</v>
      </c>
      <c r="D138" t="inlineStr">
        <is>
          <t>KALMAR LÄN</t>
        </is>
      </c>
      <c r="E138" t="inlineStr">
        <is>
          <t>VIMMERBY</t>
        </is>
      </c>
      <c r="G138" t="n">
        <v>0.3</v>
      </c>
      <c r="H138" t="n">
        <v>0</v>
      </c>
      <c r="I138" t="n">
        <v>0</v>
      </c>
      <c r="J138" t="n">
        <v>0</v>
      </c>
      <c r="K138" t="n">
        <v>0</v>
      </c>
      <c r="L138" t="n">
        <v>0</v>
      </c>
      <c r="M138" t="n">
        <v>0</v>
      </c>
      <c r="N138" t="n">
        <v>0</v>
      </c>
      <c r="O138" t="n">
        <v>0</v>
      </c>
      <c r="P138" t="n">
        <v>0</v>
      </c>
      <c r="Q138" t="n">
        <v>0</v>
      </c>
      <c r="R138" s="2" t="inlineStr"/>
    </row>
    <row r="139" ht="15" customHeight="1">
      <c r="A139" t="inlineStr">
        <is>
          <t>A 38835-2019</t>
        </is>
      </c>
      <c r="B139" s="1" t="n">
        <v>43689</v>
      </c>
      <c r="C139" s="1" t="n">
        <v>45510</v>
      </c>
      <c r="D139" t="inlineStr">
        <is>
          <t>KALMAR LÄN</t>
        </is>
      </c>
      <c r="E139" t="inlineStr">
        <is>
          <t>VIMMERBY</t>
        </is>
      </c>
      <c r="G139" t="n">
        <v>3.8</v>
      </c>
      <c r="H139" t="n">
        <v>0</v>
      </c>
      <c r="I139" t="n">
        <v>0</v>
      </c>
      <c r="J139" t="n">
        <v>0</v>
      </c>
      <c r="K139" t="n">
        <v>0</v>
      </c>
      <c r="L139" t="n">
        <v>0</v>
      </c>
      <c r="M139" t="n">
        <v>0</v>
      </c>
      <c r="N139" t="n">
        <v>0</v>
      </c>
      <c r="O139" t="n">
        <v>0</v>
      </c>
      <c r="P139" t="n">
        <v>0</v>
      </c>
      <c r="Q139" t="n">
        <v>0</v>
      </c>
      <c r="R139" s="2" t="inlineStr"/>
    </row>
    <row r="140" ht="15" customHeight="1">
      <c r="A140" t="inlineStr">
        <is>
          <t>A 38823-2019</t>
        </is>
      </c>
      <c r="B140" s="1" t="n">
        <v>43689</v>
      </c>
      <c r="C140" s="1" t="n">
        <v>45510</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38837-2019</t>
        </is>
      </c>
      <c r="B141" s="1" t="n">
        <v>43689</v>
      </c>
      <c r="C141" s="1" t="n">
        <v>45510</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38831-2019</t>
        </is>
      </c>
      <c r="B142" s="1" t="n">
        <v>43689</v>
      </c>
      <c r="C142" s="1" t="n">
        <v>45510</v>
      </c>
      <c r="D142" t="inlineStr">
        <is>
          <t>KALMAR LÄN</t>
        </is>
      </c>
      <c r="E142" t="inlineStr">
        <is>
          <t>VIMMERBY</t>
        </is>
      </c>
      <c r="G142" t="n">
        <v>3</v>
      </c>
      <c r="H142" t="n">
        <v>0</v>
      </c>
      <c r="I142" t="n">
        <v>0</v>
      </c>
      <c r="J142" t="n">
        <v>0</v>
      </c>
      <c r="K142" t="n">
        <v>0</v>
      </c>
      <c r="L142" t="n">
        <v>0</v>
      </c>
      <c r="M142" t="n">
        <v>0</v>
      </c>
      <c r="N142" t="n">
        <v>0</v>
      </c>
      <c r="O142" t="n">
        <v>0</v>
      </c>
      <c r="P142" t="n">
        <v>0</v>
      </c>
      <c r="Q142" t="n">
        <v>0</v>
      </c>
      <c r="R142" s="2" t="inlineStr"/>
    </row>
    <row r="143" ht="15" customHeight="1">
      <c r="A143" t="inlineStr">
        <is>
          <t>A 39442-2019</t>
        </is>
      </c>
      <c r="B143" s="1" t="n">
        <v>43691</v>
      </c>
      <c r="C143" s="1" t="n">
        <v>45510</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39575-2019</t>
        </is>
      </c>
      <c r="B144" s="1" t="n">
        <v>43691</v>
      </c>
      <c r="C144" s="1" t="n">
        <v>45510</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39568-2019</t>
        </is>
      </c>
      <c r="B145" s="1" t="n">
        <v>43691</v>
      </c>
      <c r="C145" s="1" t="n">
        <v>45510</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39564-2019</t>
        </is>
      </c>
      <c r="B146" s="1" t="n">
        <v>43691</v>
      </c>
      <c r="C146" s="1" t="n">
        <v>45510</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39577-2019</t>
        </is>
      </c>
      <c r="B147" s="1" t="n">
        <v>43691</v>
      </c>
      <c r="C147" s="1" t="n">
        <v>45510</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39856-2019</t>
        </is>
      </c>
      <c r="B148" s="1" t="n">
        <v>43692</v>
      </c>
      <c r="C148" s="1" t="n">
        <v>45510</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39901-2019</t>
        </is>
      </c>
      <c r="B149" s="1" t="n">
        <v>43692</v>
      </c>
      <c r="C149" s="1" t="n">
        <v>45510</v>
      </c>
      <c r="D149" t="inlineStr">
        <is>
          <t>KALMAR LÄN</t>
        </is>
      </c>
      <c r="E149" t="inlineStr">
        <is>
          <t>VIMMERBY</t>
        </is>
      </c>
      <c r="G149" t="n">
        <v>1.5</v>
      </c>
      <c r="H149" t="n">
        <v>0</v>
      </c>
      <c r="I149" t="n">
        <v>0</v>
      </c>
      <c r="J149" t="n">
        <v>0</v>
      </c>
      <c r="K149" t="n">
        <v>0</v>
      </c>
      <c r="L149" t="n">
        <v>0</v>
      </c>
      <c r="M149" t="n">
        <v>0</v>
      </c>
      <c r="N149" t="n">
        <v>0</v>
      </c>
      <c r="O149" t="n">
        <v>0</v>
      </c>
      <c r="P149" t="n">
        <v>0</v>
      </c>
      <c r="Q149" t="n">
        <v>0</v>
      </c>
      <c r="R149" s="2" t="inlineStr"/>
    </row>
    <row r="150" ht="15" customHeight="1">
      <c r="A150" t="inlineStr">
        <is>
          <t>A 39962-2019</t>
        </is>
      </c>
      <c r="B150" s="1" t="n">
        <v>43692</v>
      </c>
      <c r="C150" s="1" t="n">
        <v>45510</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39899-2019</t>
        </is>
      </c>
      <c r="B151" s="1" t="n">
        <v>43692</v>
      </c>
      <c r="C151" s="1" t="n">
        <v>45510</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39894-2019</t>
        </is>
      </c>
      <c r="B152" s="1" t="n">
        <v>43692</v>
      </c>
      <c r="C152" s="1" t="n">
        <v>45510</v>
      </c>
      <c r="D152" t="inlineStr">
        <is>
          <t>KALMAR LÄN</t>
        </is>
      </c>
      <c r="E152" t="inlineStr">
        <is>
          <t>VIMMERBY</t>
        </is>
      </c>
      <c r="G152" t="n">
        <v>3.3</v>
      </c>
      <c r="H152" t="n">
        <v>0</v>
      </c>
      <c r="I152" t="n">
        <v>0</v>
      </c>
      <c r="J152" t="n">
        <v>0</v>
      </c>
      <c r="K152" t="n">
        <v>0</v>
      </c>
      <c r="L152" t="n">
        <v>0</v>
      </c>
      <c r="M152" t="n">
        <v>0</v>
      </c>
      <c r="N152" t="n">
        <v>0</v>
      </c>
      <c r="O152" t="n">
        <v>0</v>
      </c>
      <c r="P152" t="n">
        <v>0</v>
      </c>
      <c r="Q152" t="n">
        <v>0</v>
      </c>
      <c r="R152" s="2" t="inlineStr"/>
    </row>
    <row r="153" ht="15" customHeight="1">
      <c r="A153" t="inlineStr">
        <is>
          <t>A 39920-2019</t>
        </is>
      </c>
      <c r="B153" s="1" t="n">
        <v>43692</v>
      </c>
      <c r="C153" s="1" t="n">
        <v>45510</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39897-2019</t>
        </is>
      </c>
      <c r="B154" s="1" t="n">
        <v>43692</v>
      </c>
      <c r="C154" s="1" t="n">
        <v>45510</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40140-2019</t>
        </is>
      </c>
      <c r="B155" s="1" t="n">
        <v>43693</v>
      </c>
      <c r="C155" s="1" t="n">
        <v>45510</v>
      </c>
      <c r="D155" t="inlineStr">
        <is>
          <t>KALMAR LÄN</t>
        </is>
      </c>
      <c r="E155" t="inlineStr">
        <is>
          <t>VIMMERBY</t>
        </is>
      </c>
      <c r="F155" t="inlineStr">
        <is>
          <t>Kommuner</t>
        </is>
      </c>
      <c r="G155" t="n">
        <v>1.3</v>
      </c>
      <c r="H155" t="n">
        <v>0</v>
      </c>
      <c r="I155" t="n">
        <v>0</v>
      </c>
      <c r="J155" t="n">
        <v>0</v>
      </c>
      <c r="K155" t="n">
        <v>0</v>
      </c>
      <c r="L155" t="n">
        <v>0</v>
      </c>
      <c r="M155" t="n">
        <v>0</v>
      </c>
      <c r="N155" t="n">
        <v>0</v>
      </c>
      <c r="O155" t="n">
        <v>0</v>
      </c>
      <c r="P155" t="n">
        <v>0</v>
      </c>
      <c r="Q155" t="n">
        <v>0</v>
      </c>
      <c r="R155" s="2" t="inlineStr"/>
    </row>
    <row r="156" ht="15" customHeight="1">
      <c r="A156" t="inlineStr">
        <is>
          <t>A 40691-2019</t>
        </is>
      </c>
      <c r="B156" s="1" t="n">
        <v>43696</v>
      </c>
      <c r="C156" s="1" t="n">
        <v>45510</v>
      </c>
      <c r="D156" t="inlineStr">
        <is>
          <t>KALMAR LÄN</t>
        </is>
      </c>
      <c r="E156" t="inlineStr">
        <is>
          <t>VIMMERBY</t>
        </is>
      </c>
      <c r="G156" t="n">
        <v>10.9</v>
      </c>
      <c r="H156" t="n">
        <v>0</v>
      </c>
      <c r="I156" t="n">
        <v>0</v>
      </c>
      <c r="J156" t="n">
        <v>0</v>
      </c>
      <c r="K156" t="n">
        <v>0</v>
      </c>
      <c r="L156" t="n">
        <v>0</v>
      </c>
      <c r="M156" t="n">
        <v>0</v>
      </c>
      <c r="N156" t="n">
        <v>0</v>
      </c>
      <c r="O156" t="n">
        <v>0</v>
      </c>
      <c r="P156" t="n">
        <v>0</v>
      </c>
      <c r="Q156" t="n">
        <v>0</v>
      </c>
      <c r="R156" s="2" t="inlineStr"/>
    </row>
    <row r="157" ht="15" customHeight="1">
      <c r="A157" t="inlineStr">
        <is>
          <t>A 40692-2019</t>
        </is>
      </c>
      <c r="B157" s="1" t="n">
        <v>43696</v>
      </c>
      <c r="C157" s="1" t="n">
        <v>45510</v>
      </c>
      <c r="D157" t="inlineStr">
        <is>
          <t>KALMAR LÄN</t>
        </is>
      </c>
      <c r="E157" t="inlineStr">
        <is>
          <t>VIMMERBY</t>
        </is>
      </c>
      <c r="G157" t="n">
        <v>1.4</v>
      </c>
      <c r="H157" t="n">
        <v>0</v>
      </c>
      <c r="I157" t="n">
        <v>0</v>
      </c>
      <c r="J157" t="n">
        <v>0</v>
      </c>
      <c r="K157" t="n">
        <v>0</v>
      </c>
      <c r="L157" t="n">
        <v>0</v>
      </c>
      <c r="M157" t="n">
        <v>0</v>
      </c>
      <c r="N157" t="n">
        <v>0</v>
      </c>
      <c r="O157" t="n">
        <v>0</v>
      </c>
      <c r="P157" t="n">
        <v>0</v>
      </c>
      <c r="Q157" t="n">
        <v>0</v>
      </c>
      <c r="R157" s="2" t="inlineStr"/>
    </row>
    <row r="158" ht="15" customHeight="1">
      <c r="A158" t="inlineStr">
        <is>
          <t>A 41347-2019</t>
        </is>
      </c>
      <c r="B158" s="1" t="n">
        <v>43698</v>
      </c>
      <c r="C158" s="1" t="n">
        <v>45510</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42142-2019</t>
        </is>
      </c>
      <c r="B159" s="1" t="n">
        <v>43703</v>
      </c>
      <c r="C159" s="1" t="n">
        <v>45510</v>
      </c>
      <c r="D159" t="inlineStr">
        <is>
          <t>KALMAR LÄN</t>
        </is>
      </c>
      <c r="E159" t="inlineStr">
        <is>
          <t>VIMMERBY</t>
        </is>
      </c>
      <c r="G159" t="n">
        <v>3.3</v>
      </c>
      <c r="H159" t="n">
        <v>0</v>
      </c>
      <c r="I159" t="n">
        <v>0</v>
      </c>
      <c r="J159" t="n">
        <v>0</v>
      </c>
      <c r="K159" t="n">
        <v>0</v>
      </c>
      <c r="L159" t="n">
        <v>0</v>
      </c>
      <c r="M159" t="n">
        <v>0</v>
      </c>
      <c r="N159" t="n">
        <v>0</v>
      </c>
      <c r="O159" t="n">
        <v>0</v>
      </c>
      <c r="P159" t="n">
        <v>0</v>
      </c>
      <c r="Q159" t="n">
        <v>0</v>
      </c>
      <c r="R159" s="2" t="inlineStr"/>
    </row>
    <row r="160" ht="15" customHeight="1">
      <c r="A160" t="inlineStr">
        <is>
          <t>A 42759-2019</t>
        </is>
      </c>
      <c r="B160" s="1" t="n">
        <v>43704</v>
      </c>
      <c r="C160" s="1" t="n">
        <v>45510</v>
      </c>
      <c r="D160" t="inlineStr">
        <is>
          <t>KALMAR LÄN</t>
        </is>
      </c>
      <c r="E160" t="inlineStr">
        <is>
          <t>VIMMERBY</t>
        </is>
      </c>
      <c r="G160" t="n">
        <v>4.6</v>
      </c>
      <c r="H160" t="n">
        <v>0</v>
      </c>
      <c r="I160" t="n">
        <v>0</v>
      </c>
      <c r="J160" t="n">
        <v>0</v>
      </c>
      <c r="K160" t="n">
        <v>0</v>
      </c>
      <c r="L160" t="n">
        <v>0</v>
      </c>
      <c r="M160" t="n">
        <v>0</v>
      </c>
      <c r="N160" t="n">
        <v>0</v>
      </c>
      <c r="O160" t="n">
        <v>0</v>
      </c>
      <c r="P160" t="n">
        <v>0</v>
      </c>
      <c r="Q160" t="n">
        <v>0</v>
      </c>
      <c r="R160" s="2" t="inlineStr"/>
    </row>
    <row r="161" ht="15" customHeight="1">
      <c r="A161" t="inlineStr">
        <is>
          <t>A 42758-2019</t>
        </is>
      </c>
      <c r="B161" s="1" t="n">
        <v>43704</v>
      </c>
      <c r="C161" s="1" t="n">
        <v>45510</v>
      </c>
      <c r="D161" t="inlineStr">
        <is>
          <t>KALMAR LÄN</t>
        </is>
      </c>
      <c r="E161" t="inlineStr">
        <is>
          <t>VIMMERBY</t>
        </is>
      </c>
      <c r="G161" t="n">
        <v>6.2</v>
      </c>
      <c r="H161" t="n">
        <v>0</v>
      </c>
      <c r="I161" t="n">
        <v>0</v>
      </c>
      <c r="J161" t="n">
        <v>0</v>
      </c>
      <c r="K161" t="n">
        <v>0</v>
      </c>
      <c r="L161" t="n">
        <v>0</v>
      </c>
      <c r="M161" t="n">
        <v>0</v>
      </c>
      <c r="N161" t="n">
        <v>0</v>
      </c>
      <c r="O161" t="n">
        <v>0</v>
      </c>
      <c r="P161" t="n">
        <v>0</v>
      </c>
      <c r="Q161" t="n">
        <v>0</v>
      </c>
      <c r="R161" s="2" t="inlineStr"/>
    </row>
    <row r="162" ht="15" customHeight="1">
      <c r="A162" t="inlineStr">
        <is>
          <t>A 42947-2019</t>
        </is>
      </c>
      <c r="B162" s="1" t="n">
        <v>43705</v>
      </c>
      <c r="C162" s="1" t="n">
        <v>45510</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42972-2019</t>
        </is>
      </c>
      <c r="B163" s="1" t="n">
        <v>43705</v>
      </c>
      <c r="C163" s="1" t="n">
        <v>45510</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44202-2019</t>
        </is>
      </c>
      <c r="B164" s="1" t="n">
        <v>43710</v>
      </c>
      <c r="C164" s="1" t="n">
        <v>45510</v>
      </c>
      <c r="D164" t="inlineStr">
        <is>
          <t>KALMAR LÄN</t>
        </is>
      </c>
      <c r="E164" t="inlineStr">
        <is>
          <t>VIMMERBY</t>
        </is>
      </c>
      <c r="G164" t="n">
        <v>1.3</v>
      </c>
      <c r="H164" t="n">
        <v>0</v>
      </c>
      <c r="I164" t="n">
        <v>0</v>
      </c>
      <c r="J164" t="n">
        <v>0</v>
      </c>
      <c r="K164" t="n">
        <v>0</v>
      </c>
      <c r="L164" t="n">
        <v>0</v>
      </c>
      <c r="M164" t="n">
        <v>0</v>
      </c>
      <c r="N164" t="n">
        <v>0</v>
      </c>
      <c r="O164" t="n">
        <v>0</v>
      </c>
      <c r="P164" t="n">
        <v>0</v>
      </c>
      <c r="Q164" t="n">
        <v>0</v>
      </c>
      <c r="R164" s="2" t="inlineStr"/>
    </row>
    <row r="165" ht="15" customHeight="1">
      <c r="A165" t="inlineStr">
        <is>
          <t>A 44630-2019</t>
        </is>
      </c>
      <c r="B165" s="1" t="n">
        <v>43712</v>
      </c>
      <c r="C165" s="1" t="n">
        <v>45510</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45446-2019</t>
        </is>
      </c>
      <c r="B166" s="1" t="n">
        <v>43714</v>
      </c>
      <c r="C166" s="1" t="n">
        <v>45510</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45413-2019</t>
        </is>
      </c>
      <c r="B167" s="1" t="n">
        <v>43714</v>
      </c>
      <c r="C167" s="1" t="n">
        <v>45510</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45515-2019</t>
        </is>
      </c>
      <c r="B168" s="1" t="n">
        <v>43714</v>
      </c>
      <c r="C168" s="1" t="n">
        <v>45510</v>
      </c>
      <c r="D168" t="inlineStr">
        <is>
          <t>KALMAR LÄN</t>
        </is>
      </c>
      <c r="E168" t="inlineStr">
        <is>
          <t>VIMMERBY</t>
        </is>
      </c>
      <c r="G168" t="n">
        <v>2.4</v>
      </c>
      <c r="H168" t="n">
        <v>0</v>
      </c>
      <c r="I168" t="n">
        <v>0</v>
      </c>
      <c r="J168" t="n">
        <v>0</v>
      </c>
      <c r="K168" t="n">
        <v>0</v>
      </c>
      <c r="L168" t="n">
        <v>0</v>
      </c>
      <c r="M168" t="n">
        <v>0</v>
      </c>
      <c r="N168" t="n">
        <v>0</v>
      </c>
      <c r="O168" t="n">
        <v>0</v>
      </c>
      <c r="P168" t="n">
        <v>0</v>
      </c>
      <c r="Q168" t="n">
        <v>0</v>
      </c>
      <c r="R168" s="2" t="inlineStr"/>
    </row>
    <row r="169" ht="15" customHeight="1">
      <c r="A169" t="inlineStr">
        <is>
          <t>A 46242-2019</t>
        </is>
      </c>
      <c r="B169" s="1" t="n">
        <v>43718</v>
      </c>
      <c r="C169" s="1" t="n">
        <v>45510</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46845-2019</t>
        </is>
      </c>
      <c r="B170" s="1" t="n">
        <v>43718</v>
      </c>
      <c r="C170" s="1" t="n">
        <v>45510</v>
      </c>
      <c r="D170" t="inlineStr">
        <is>
          <t>KALMAR LÄN</t>
        </is>
      </c>
      <c r="E170" t="inlineStr">
        <is>
          <t>VIMMERBY</t>
        </is>
      </c>
      <c r="G170" t="n">
        <v>2</v>
      </c>
      <c r="H170" t="n">
        <v>0</v>
      </c>
      <c r="I170" t="n">
        <v>0</v>
      </c>
      <c r="J170" t="n">
        <v>0</v>
      </c>
      <c r="K170" t="n">
        <v>0</v>
      </c>
      <c r="L170" t="n">
        <v>0</v>
      </c>
      <c r="M170" t="n">
        <v>0</v>
      </c>
      <c r="N170" t="n">
        <v>0</v>
      </c>
      <c r="O170" t="n">
        <v>0</v>
      </c>
      <c r="P170" t="n">
        <v>0</v>
      </c>
      <c r="Q170" t="n">
        <v>0</v>
      </c>
      <c r="R170" s="2" t="inlineStr"/>
    </row>
    <row r="171" ht="15" customHeight="1">
      <c r="A171" t="inlineStr">
        <is>
          <t>A 46291-2019</t>
        </is>
      </c>
      <c r="B171" s="1" t="n">
        <v>43718</v>
      </c>
      <c r="C171" s="1" t="n">
        <v>45510</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47187-2019</t>
        </is>
      </c>
      <c r="B172" s="1" t="n">
        <v>43719</v>
      </c>
      <c r="C172" s="1" t="n">
        <v>45510</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46619-2019</t>
        </is>
      </c>
      <c r="B173" s="1" t="n">
        <v>43719</v>
      </c>
      <c r="C173" s="1" t="n">
        <v>45510</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46988-2019</t>
        </is>
      </c>
      <c r="B174" s="1" t="n">
        <v>43720</v>
      </c>
      <c r="C174" s="1" t="n">
        <v>45510</v>
      </c>
      <c r="D174" t="inlineStr">
        <is>
          <t>KALMAR LÄN</t>
        </is>
      </c>
      <c r="E174" t="inlineStr">
        <is>
          <t>VIMMERBY</t>
        </is>
      </c>
      <c r="F174" t="inlineStr">
        <is>
          <t>Kommuner</t>
        </is>
      </c>
      <c r="G174" t="n">
        <v>0.5</v>
      </c>
      <c r="H174" t="n">
        <v>0</v>
      </c>
      <c r="I174" t="n">
        <v>0</v>
      </c>
      <c r="J174" t="n">
        <v>0</v>
      </c>
      <c r="K174" t="n">
        <v>0</v>
      </c>
      <c r="L174" t="n">
        <v>0</v>
      </c>
      <c r="M174" t="n">
        <v>0</v>
      </c>
      <c r="N174" t="n">
        <v>0</v>
      </c>
      <c r="O174" t="n">
        <v>0</v>
      </c>
      <c r="P174" t="n">
        <v>0</v>
      </c>
      <c r="Q174" t="n">
        <v>0</v>
      </c>
      <c r="R174" s="2" t="inlineStr"/>
    </row>
    <row r="175" ht="15" customHeight="1">
      <c r="A175" t="inlineStr">
        <is>
          <t>A 48029-2019</t>
        </is>
      </c>
      <c r="B175" s="1" t="n">
        <v>43725</v>
      </c>
      <c r="C175" s="1" t="n">
        <v>45510</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48051-2019</t>
        </is>
      </c>
      <c r="B176" s="1" t="n">
        <v>43725</v>
      </c>
      <c r="C176" s="1" t="n">
        <v>45510</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48164-2019</t>
        </is>
      </c>
      <c r="B177" s="1" t="n">
        <v>43726</v>
      </c>
      <c r="C177" s="1" t="n">
        <v>45510</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48381-2019</t>
        </is>
      </c>
      <c r="B178" s="1" t="n">
        <v>43726</v>
      </c>
      <c r="C178" s="1" t="n">
        <v>45510</v>
      </c>
      <c r="D178" t="inlineStr">
        <is>
          <t>KALMAR LÄN</t>
        </is>
      </c>
      <c r="E178" t="inlineStr">
        <is>
          <t>VIMMERBY</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48380-2019</t>
        </is>
      </c>
      <c r="B179" s="1" t="n">
        <v>43726</v>
      </c>
      <c r="C179" s="1" t="n">
        <v>45510</v>
      </c>
      <c r="D179" t="inlineStr">
        <is>
          <t>KALMAR LÄN</t>
        </is>
      </c>
      <c r="E179" t="inlineStr">
        <is>
          <t>VIMMERBY</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48834-2019</t>
        </is>
      </c>
      <c r="B180" s="1" t="n">
        <v>43728</v>
      </c>
      <c r="C180" s="1" t="n">
        <v>45510</v>
      </c>
      <c r="D180" t="inlineStr">
        <is>
          <t>KALMAR LÄN</t>
        </is>
      </c>
      <c r="E180" t="inlineStr">
        <is>
          <t>VIMMERBY</t>
        </is>
      </c>
      <c r="G180" t="n">
        <v>5.3</v>
      </c>
      <c r="H180" t="n">
        <v>0</v>
      </c>
      <c r="I180" t="n">
        <v>0</v>
      </c>
      <c r="J180" t="n">
        <v>0</v>
      </c>
      <c r="K180" t="n">
        <v>0</v>
      </c>
      <c r="L180" t="n">
        <v>0</v>
      </c>
      <c r="M180" t="n">
        <v>0</v>
      </c>
      <c r="N180" t="n">
        <v>0</v>
      </c>
      <c r="O180" t="n">
        <v>0</v>
      </c>
      <c r="P180" t="n">
        <v>0</v>
      </c>
      <c r="Q180" t="n">
        <v>0</v>
      </c>
      <c r="R180" s="2" t="inlineStr"/>
    </row>
    <row r="181" ht="15" customHeight="1">
      <c r="A181" t="inlineStr">
        <is>
          <t>A 48921-2019</t>
        </is>
      </c>
      <c r="B181" s="1" t="n">
        <v>43728</v>
      </c>
      <c r="C181" s="1" t="n">
        <v>45510</v>
      </c>
      <c r="D181" t="inlineStr">
        <is>
          <t>KALMAR LÄN</t>
        </is>
      </c>
      <c r="E181" t="inlineStr">
        <is>
          <t>VIMMERBY</t>
        </is>
      </c>
      <c r="G181" t="n">
        <v>1.7</v>
      </c>
      <c r="H181" t="n">
        <v>0</v>
      </c>
      <c r="I181" t="n">
        <v>0</v>
      </c>
      <c r="J181" t="n">
        <v>0</v>
      </c>
      <c r="K181" t="n">
        <v>0</v>
      </c>
      <c r="L181" t="n">
        <v>0</v>
      </c>
      <c r="M181" t="n">
        <v>0</v>
      </c>
      <c r="N181" t="n">
        <v>0</v>
      </c>
      <c r="O181" t="n">
        <v>0</v>
      </c>
      <c r="P181" t="n">
        <v>0</v>
      </c>
      <c r="Q181" t="n">
        <v>0</v>
      </c>
      <c r="R181" s="2" t="inlineStr"/>
    </row>
    <row r="182" ht="15" customHeight="1">
      <c r="A182" t="inlineStr">
        <is>
          <t>A 49212-2019</t>
        </is>
      </c>
      <c r="B182" s="1" t="n">
        <v>43731</v>
      </c>
      <c r="C182" s="1" t="n">
        <v>45510</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49208-2019</t>
        </is>
      </c>
      <c r="B183" s="1" t="n">
        <v>43731</v>
      </c>
      <c r="C183" s="1" t="n">
        <v>45510</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49206-2019</t>
        </is>
      </c>
      <c r="B184" s="1" t="n">
        <v>43731</v>
      </c>
      <c r="C184" s="1" t="n">
        <v>45510</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49741-2019</t>
        </is>
      </c>
      <c r="B185" s="1" t="n">
        <v>43733</v>
      </c>
      <c r="C185" s="1" t="n">
        <v>45510</v>
      </c>
      <c r="D185" t="inlineStr">
        <is>
          <t>KALMAR LÄN</t>
        </is>
      </c>
      <c r="E185" t="inlineStr">
        <is>
          <t>VIMMERBY</t>
        </is>
      </c>
      <c r="G185" t="n">
        <v>2.2</v>
      </c>
      <c r="H185" t="n">
        <v>0</v>
      </c>
      <c r="I185" t="n">
        <v>0</v>
      </c>
      <c r="J185" t="n">
        <v>0</v>
      </c>
      <c r="K185" t="n">
        <v>0</v>
      </c>
      <c r="L185" t="n">
        <v>0</v>
      </c>
      <c r="M185" t="n">
        <v>0</v>
      </c>
      <c r="N185" t="n">
        <v>0</v>
      </c>
      <c r="O185" t="n">
        <v>0</v>
      </c>
      <c r="P185" t="n">
        <v>0</v>
      </c>
      <c r="Q185" t="n">
        <v>0</v>
      </c>
      <c r="R185" s="2" t="inlineStr"/>
    </row>
    <row r="186" ht="15" customHeight="1">
      <c r="A186" t="inlineStr">
        <is>
          <t>A 49760-2019</t>
        </is>
      </c>
      <c r="B186" s="1" t="n">
        <v>43733</v>
      </c>
      <c r="C186" s="1" t="n">
        <v>45510</v>
      </c>
      <c r="D186" t="inlineStr">
        <is>
          <t>KALMAR LÄN</t>
        </is>
      </c>
      <c r="E186" t="inlineStr">
        <is>
          <t>VIMMERBY</t>
        </is>
      </c>
      <c r="G186" t="n">
        <v>2.3</v>
      </c>
      <c r="H186" t="n">
        <v>0</v>
      </c>
      <c r="I186" t="n">
        <v>0</v>
      </c>
      <c r="J186" t="n">
        <v>0</v>
      </c>
      <c r="K186" t="n">
        <v>0</v>
      </c>
      <c r="L186" t="n">
        <v>0</v>
      </c>
      <c r="M186" t="n">
        <v>0</v>
      </c>
      <c r="N186" t="n">
        <v>0</v>
      </c>
      <c r="O186" t="n">
        <v>0</v>
      </c>
      <c r="P186" t="n">
        <v>0</v>
      </c>
      <c r="Q186" t="n">
        <v>0</v>
      </c>
      <c r="R186" s="2" t="inlineStr"/>
    </row>
    <row r="187" ht="15" customHeight="1">
      <c r="A187" t="inlineStr">
        <is>
          <t>A 49747-2019</t>
        </is>
      </c>
      <c r="B187" s="1" t="n">
        <v>43733</v>
      </c>
      <c r="C187" s="1" t="n">
        <v>45510</v>
      </c>
      <c r="D187" t="inlineStr">
        <is>
          <t>KALMAR LÄN</t>
        </is>
      </c>
      <c r="E187" t="inlineStr">
        <is>
          <t>VIMMERBY</t>
        </is>
      </c>
      <c r="G187" t="n">
        <v>4.9</v>
      </c>
      <c r="H187" t="n">
        <v>0</v>
      </c>
      <c r="I187" t="n">
        <v>0</v>
      </c>
      <c r="J187" t="n">
        <v>0</v>
      </c>
      <c r="K187" t="n">
        <v>0</v>
      </c>
      <c r="L187" t="n">
        <v>0</v>
      </c>
      <c r="M187" t="n">
        <v>0</v>
      </c>
      <c r="N187" t="n">
        <v>0</v>
      </c>
      <c r="O187" t="n">
        <v>0</v>
      </c>
      <c r="P187" t="n">
        <v>0</v>
      </c>
      <c r="Q187" t="n">
        <v>0</v>
      </c>
      <c r="R187" s="2" t="inlineStr"/>
    </row>
    <row r="188" ht="15" customHeight="1">
      <c r="A188" t="inlineStr">
        <is>
          <t>A 49855-2019</t>
        </is>
      </c>
      <c r="B188" s="1" t="n">
        <v>43733</v>
      </c>
      <c r="C188" s="1" t="n">
        <v>45510</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49871-2019</t>
        </is>
      </c>
      <c r="B189" s="1" t="n">
        <v>43733</v>
      </c>
      <c r="C189" s="1" t="n">
        <v>45510</v>
      </c>
      <c r="D189" t="inlineStr">
        <is>
          <t>KALMAR LÄN</t>
        </is>
      </c>
      <c r="E189" t="inlineStr">
        <is>
          <t>VIMMERBY</t>
        </is>
      </c>
      <c r="F189" t="inlineStr">
        <is>
          <t>Sveaskog</t>
        </is>
      </c>
      <c r="G189" t="n">
        <v>5.9</v>
      </c>
      <c r="H189" t="n">
        <v>0</v>
      </c>
      <c r="I189" t="n">
        <v>0</v>
      </c>
      <c r="J189" t="n">
        <v>0</v>
      </c>
      <c r="K189" t="n">
        <v>0</v>
      </c>
      <c r="L189" t="n">
        <v>0</v>
      </c>
      <c r="M189" t="n">
        <v>0</v>
      </c>
      <c r="N189" t="n">
        <v>0</v>
      </c>
      <c r="O189" t="n">
        <v>0</v>
      </c>
      <c r="P189" t="n">
        <v>0</v>
      </c>
      <c r="Q189" t="n">
        <v>0</v>
      </c>
      <c r="R189" s="2" t="inlineStr"/>
    </row>
    <row r="190" ht="15" customHeight="1">
      <c r="A190" t="inlineStr">
        <is>
          <t>A 49880-2019</t>
        </is>
      </c>
      <c r="B190" s="1" t="n">
        <v>43733</v>
      </c>
      <c r="C190" s="1" t="n">
        <v>45510</v>
      </c>
      <c r="D190" t="inlineStr">
        <is>
          <t>KALMAR LÄN</t>
        </is>
      </c>
      <c r="E190" t="inlineStr">
        <is>
          <t>VIMMERBY</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49885-2019</t>
        </is>
      </c>
      <c r="B191" s="1" t="n">
        <v>43733</v>
      </c>
      <c r="C191" s="1" t="n">
        <v>45510</v>
      </c>
      <c r="D191" t="inlineStr">
        <is>
          <t>KALMAR LÄN</t>
        </is>
      </c>
      <c r="E191" t="inlineStr">
        <is>
          <t>VIMMERBY</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49901-2019</t>
        </is>
      </c>
      <c r="B192" s="1" t="n">
        <v>43733</v>
      </c>
      <c r="C192" s="1" t="n">
        <v>45510</v>
      </c>
      <c r="D192" t="inlineStr">
        <is>
          <t>KALMAR LÄN</t>
        </is>
      </c>
      <c r="E192" t="inlineStr">
        <is>
          <t>VIMMERBY</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49891-2019</t>
        </is>
      </c>
      <c r="B193" s="1" t="n">
        <v>43733</v>
      </c>
      <c r="C193" s="1" t="n">
        <v>45510</v>
      </c>
      <c r="D193" t="inlineStr">
        <is>
          <t>KALMAR LÄN</t>
        </is>
      </c>
      <c r="E193" t="inlineStr">
        <is>
          <t>VIMMERBY</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49695-2019</t>
        </is>
      </c>
      <c r="B194" s="1" t="n">
        <v>43733</v>
      </c>
      <c r="C194" s="1" t="n">
        <v>45510</v>
      </c>
      <c r="D194" t="inlineStr">
        <is>
          <t>KALMAR LÄN</t>
        </is>
      </c>
      <c r="E194" t="inlineStr">
        <is>
          <t>VIMMERBY</t>
        </is>
      </c>
      <c r="G194" t="n">
        <v>4.6</v>
      </c>
      <c r="H194" t="n">
        <v>0</v>
      </c>
      <c r="I194" t="n">
        <v>0</v>
      </c>
      <c r="J194" t="n">
        <v>0</v>
      </c>
      <c r="K194" t="n">
        <v>0</v>
      </c>
      <c r="L194" t="n">
        <v>0</v>
      </c>
      <c r="M194" t="n">
        <v>0</v>
      </c>
      <c r="N194" t="n">
        <v>0</v>
      </c>
      <c r="O194" t="n">
        <v>0</v>
      </c>
      <c r="P194" t="n">
        <v>0</v>
      </c>
      <c r="Q194" t="n">
        <v>0</v>
      </c>
      <c r="R194" s="2" t="inlineStr"/>
    </row>
    <row r="195" ht="15" customHeight="1">
      <c r="A195" t="inlineStr">
        <is>
          <t>A 50214-2019</t>
        </is>
      </c>
      <c r="B195" s="1" t="n">
        <v>43734</v>
      </c>
      <c r="C195" s="1" t="n">
        <v>45510</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50317-2019</t>
        </is>
      </c>
      <c r="B196" s="1" t="n">
        <v>43735</v>
      </c>
      <c r="C196" s="1" t="n">
        <v>45510</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50761-2019</t>
        </is>
      </c>
      <c r="B197" s="1" t="n">
        <v>43738</v>
      </c>
      <c r="C197" s="1" t="n">
        <v>45510</v>
      </c>
      <c r="D197" t="inlineStr">
        <is>
          <t>KALMAR LÄN</t>
        </is>
      </c>
      <c r="E197" t="inlineStr">
        <is>
          <t>VIMMERBY</t>
        </is>
      </c>
      <c r="G197" t="n">
        <v>3.9</v>
      </c>
      <c r="H197" t="n">
        <v>0</v>
      </c>
      <c r="I197" t="n">
        <v>0</v>
      </c>
      <c r="J197" t="n">
        <v>0</v>
      </c>
      <c r="K197" t="n">
        <v>0</v>
      </c>
      <c r="L197" t="n">
        <v>0</v>
      </c>
      <c r="M197" t="n">
        <v>0</v>
      </c>
      <c r="N197" t="n">
        <v>0</v>
      </c>
      <c r="O197" t="n">
        <v>0</v>
      </c>
      <c r="P197" t="n">
        <v>0</v>
      </c>
      <c r="Q197" t="n">
        <v>0</v>
      </c>
      <c r="R197" s="2" t="inlineStr"/>
    </row>
    <row r="198" ht="15" customHeight="1">
      <c r="A198" t="inlineStr">
        <is>
          <t>A 51273-2019</t>
        </is>
      </c>
      <c r="B198" s="1" t="n">
        <v>43739</v>
      </c>
      <c r="C198" s="1" t="n">
        <v>45510</v>
      </c>
      <c r="D198" t="inlineStr">
        <is>
          <t>KALMAR LÄN</t>
        </is>
      </c>
      <c r="E198" t="inlineStr">
        <is>
          <t>VIMMERBY</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51277-2019</t>
        </is>
      </c>
      <c r="B199" s="1" t="n">
        <v>43739</v>
      </c>
      <c r="C199" s="1" t="n">
        <v>45510</v>
      </c>
      <c r="D199" t="inlineStr">
        <is>
          <t>KALMAR LÄN</t>
        </is>
      </c>
      <c r="E199" t="inlineStr">
        <is>
          <t>VIMMERBY</t>
        </is>
      </c>
      <c r="F199" t="inlineStr">
        <is>
          <t>Sveaskog</t>
        </is>
      </c>
      <c r="G199" t="n">
        <v>7.9</v>
      </c>
      <c r="H199" t="n">
        <v>0</v>
      </c>
      <c r="I199" t="n">
        <v>0</v>
      </c>
      <c r="J199" t="n">
        <v>0</v>
      </c>
      <c r="K199" t="n">
        <v>0</v>
      </c>
      <c r="L199" t="n">
        <v>0</v>
      </c>
      <c r="M199" t="n">
        <v>0</v>
      </c>
      <c r="N199" t="n">
        <v>0</v>
      </c>
      <c r="O199" t="n">
        <v>0</v>
      </c>
      <c r="P199" t="n">
        <v>0</v>
      </c>
      <c r="Q199" t="n">
        <v>0</v>
      </c>
      <c r="R199" s="2" t="inlineStr"/>
    </row>
    <row r="200" ht="15" customHeight="1">
      <c r="A200" t="inlineStr">
        <is>
          <t>A 51362-2019</t>
        </is>
      </c>
      <c r="B200" s="1" t="n">
        <v>43740</v>
      </c>
      <c r="C200" s="1" t="n">
        <v>45510</v>
      </c>
      <c r="D200" t="inlineStr">
        <is>
          <t>KALMAR LÄN</t>
        </is>
      </c>
      <c r="E200" t="inlineStr">
        <is>
          <t>VIMMERBY</t>
        </is>
      </c>
      <c r="G200" t="n">
        <v>2.4</v>
      </c>
      <c r="H200" t="n">
        <v>0</v>
      </c>
      <c r="I200" t="n">
        <v>0</v>
      </c>
      <c r="J200" t="n">
        <v>0</v>
      </c>
      <c r="K200" t="n">
        <v>0</v>
      </c>
      <c r="L200" t="n">
        <v>0</v>
      </c>
      <c r="M200" t="n">
        <v>0</v>
      </c>
      <c r="N200" t="n">
        <v>0</v>
      </c>
      <c r="O200" t="n">
        <v>0</v>
      </c>
      <c r="P200" t="n">
        <v>0</v>
      </c>
      <c r="Q200" t="n">
        <v>0</v>
      </c>
      <c r="R200" s="2" t="inlineStr"/>
    </row>
    <row r="201" ht="15" customHeight="1">
      <c r="A201" t="inlineStr">
        <is>
          <t>A 51552-2019</t>
        </is>
      </c>
      <c r="B201" s="1" t="n">
        <v>43740</v>
      </c>
      <c r="C201" s="1" t="n">
        <v>45510</v>
      </c>
      <c r="D201" t="inlineStr">
        <is>
          <t>KALMAR LÄN</t>
        </is>
      </c>
      <c r="E201" t="inlineStr">
        <is>
          <t>VIMMERBY</t>
        </is>
      </c>
      <c r="G201" t="n">
        <v>1.2</v>
      </c>
      <c r="H201" t="n">
        <v>0</v>
      </c>
      <c r="I201" t="n">
        <v>0</v>
      </c>
      <c r="J201" t="n">
        <v>0</v>
      </c>
      <c r="K201" t="n">
        <v>0</v>
      </c>
      <c r="L201" t="n">
        <v>0</v>
      </c>
      <c r="M201" t="n">
        <v>0</v>
      </c>
      <c r="N201" t="n">
        <v>0</v>
      </c>
      <c r="O201" t="n">
        <v>0</v>
      </c>
      <c r="P201" t="n">
        <v>0</v>
      </c>
      <c r="Q201" t="n">
        <v>0</v>
      </c>
      <c r="R201" s="2" t="inlineStr"/>
    </row>
    <row r="202" ht="15" customHeight="1">
      <c r="A202" t="inlineStr">
        <is>
          <t>A 51719-2019</t>
        </is>
      </c>
      <c r="B202" s="1" t="n">
        <v>43741</v>
      </c>
      <c r="C202" s="1" t="n">
        <v>45510</v>
      </c>
      <c r="D202" t="inlineStr">
        <is>
          <t>KALMAR LÄN</t>
        </is>
      </c>
      <c r="E202" t="inlineStr">
        <is>
          <t>VIMMERBY</t>
        </is>
      </c>
      <c r="G202" t="n">
        <v>3</v>
      </c>
      <c r="H202" t="n">
        <v>0</v>
      </c>
      <c r="I202" t="n">
        <v>0</v>
      </c>
      <c r="J202" t="n">
        <v>0</v>
      </c>
      <c r="K202" t="n">
        <v>0</v>
      </c>
      <c r="L202" t="n">
        <v>0</v>
      </c>
      <c r="M202" t="n">
        <v>0</v>
      </c>
      <c r="N202" t="n">
        <v>0</v>
      </c>
      <c r="O202" t="n">
        <v>0</v>
      </c>
      <c r="P202" t="n">
        <v>0</v>
      </c>
      <c r="Q202" t="n">
        <v>0</v>
      </c>
      <c r="R202" s="2" t="inlineStr"/>
    </row>
    <row r="203" ht="15" customHeight="1">
      <c r="A203" t="inlineStr">
        <is>
          <t>A 52173-2019</t>
        </is>
      </c>
      <c r="B203" s="1" t="n">
        <v>43742</v>
      </c>
      <c r="C203" s="1" t="n">
        <v>45510</v>
      </c>
      <c r="D203" t="inlineStr">
        <is>
          <t>KALMAR LÄN</t>
        </is>
      </c>
      <c r="E203" t="inlineStr">
        <is>
          <t>VIMMERBY</t>
        </is>
      </c>
      <c r="G203" t="n">
        <v>3.9</v>
      </c>
      <c r="H203" t="n">
        <v>0</v>
      </c>
      <c r="I203" t="n">
        <v>0</v>
      </c>
      <c r="J203" t="n">
        <v>0</v>
      </c>
      <c r="K203" t="n">
        <v>0</v>
      </c>
      <c r="L203" t="n">
        <v>0</v>
      </c>
      <c r="M203" t="n">
        <v>0</v>
      </c>
      <c r="N203" t="n">
        <v>0</v>
      </c>
      <c r="O203" t="n">
        <v>0</v>
      </c>
      <c r="P203" t="n">
        <v>0</v>
      </c>
      <c r="Q203" t="n">
        <v>0</v>
      </c>
      <c r="R203" s="2" t="inlineStr"/>
    </row>
    <row r="204" ht="15" customHeight="1">
      <c r="A204" t="inlineStr">
        <is>
          <t>A 52356-2019</t>
        </is>
      </c>
      <c r="B204" s="1" t="n">
        <v>43745</v>
      </c>
      <c r="C204" s="1" t="n">
        <v>45510</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52909-2019</t>
        </is>
      </c>
      <c r="B205" s="1" t="n">
        <v>43746</v>
      </c>
      <c r="C205" s="1" t="n">
        <v>45510</v>
      </c>
      <c r="D205" t="inlineStr">
        <is>
          <t>KALMAR LÄN</t>
        </is>
      </c>
      <c r="E205" t="inlineStr">
        <is>
          <t>VIMMERBY</t>
        </is>
      </c>
      <c r="G205" t="n">
        <v>5.8</v>
      </c>
      <c r="H205" t="n">
        <v>0</v>
      </c>
      <c r="I205" t="n">
        <v>0</v>
      </c>
      <c r="J205" t="n">
        <v>0</v>
      </c>
      <c r="K205" t="n">
        <v>0</v>
      </c>
      <c r="L205" t="n">
        <v>0</v>
      </c>
      <c r="M205" t="n">
        <v>0</v>
      </c>
      <c r="N205" t="n">
        <v>0</v>
      </c>
      <c r="O205" t="n">
        <v>0</v>
      </c>
      <c r="P205" t="n">
        <v>0</v>
      </c>
      <c r="Q205" t="n">
        <v>0</v>
      </c>
      <c r="R205" s="2" t="inlineStr"/>
    </row>
    <row r="206" ht="15" customHeight="1">
      <c r="A206" t="inlineStr">
        <is>
          <t>A 52908-2019</t>
        </is>
      </c>
      <c r="B206" s="1" t="n">
        <v>43746</v>
      </c>
      <c r="C206" s="1" t="n">
        <v>45510</v>
      </c>
      <c r="D206" t="inlineStr">
        <is>
          <t>KALMAR LÄN</t>
        </is>
      </c>
      <c r="E206" t="inlineStr">
        <is>
          <t>VIMMERBY</t>
        </is>
      </c>
      <c r="G206" t="n">
        <v>5.8</v>
      </c>
      <c r="H206" t="n">
        <v>0</v>
      </c>
      <c r="I206" t="n">
        <v>0</v>
      </c>
      <c r="J206" t="n">
        <v>0</v>
      </c>
      <c r="K206" t="n">
        <v>0</v>
      </c>
      <c r="L206" t="n">
        <v>0</v>
      </c>
      <c r="M206" t="n">
        <v>0</v>
      </c>
      <c r="N206" t="n">
        <v>0</v>
      </c>
      <c r="O206" t="n">
        <v>0</v>
      </c>
      <c r="P206" t="n">
        <v>0</v>
      </c>
      <c r="Q206" t="n">
        <v>0</v>
      </c>
      <c r="R206" s="2" t="inlineStr"/>
    </row>
    <row r="207" ht="15" customHeight="1">
      <c r="A207" t="inlineStr">
        <is>
          <t>A 52780-2019</t>
        </is>
      </c>
      <c r="B207" s="1" t="n">
        <v>43746</v>
      </c>
      <c r="C207" s="1" t="n">
        <v>45510</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53691-2019</t>
        </is>
      </c>
      <c r="B208" s="1" t="n">
        <v>43749</v>
      </c>
      <c r="C208" s="1" t="n">
        <v>45510</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54593-2019</t>
        </is>
      </c>
      <c r="B209" s="1" t="n">
        <v>43754</v>
      </c>
      <c r="C209" s="1" t="n">
        <v>45510</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54794-2019</t>
        </is>
      </c>
      <c r="B210" s="1" t="n">
        <v>43755</v>
      </c>
      <c r="C210" s="1" t="n">
        <v>45510</v>
      </c>
      <c r="D210" t="inlineStr">
        <is>
          <t>KALMAR LÄN</t>
        </is>
      </c>
      <c r="E210" t="inlineStr">
        <is>
          <t>VIMMERBY</t>
        </is>
      </c>
      <c r="G210" t="n">
        <v>3.2</v>
      </c>
      <c r="H210" t="n">
        <v>0</v>
      </c>
      <c r="I210" t="n">
        <v>0</v>
      </c>
      <c r="J210" t="n">
        <v>0</v>
      </c>
      <c r="K210" t="n">
        <v>0</v>
      </c>
      <c r="L210" t="n">
        <v>0</v>
      </c>
      <c r="M210" t="n">
        <v>0</v>
      </c>
      <c r="N210" t="n">
        <v>0</v>
      </c>
      <c r="O210" t="n">
        <v>0</v>
      </c>
      <c r="P210" t="n">
        <v>0</v>
      </c>
      <c r="Q210" t="n">
        <v>0</v>
      </c>
      <c r="R210" s="2" t="inlineStr"/>
    </row>
    <row r="211" ht="15" customHeight="1">
      <c r="A211" t="inlineStr">
        <is>
          <t>A 55757-2019</t>
        </is>
      </c>
      <c r="B211" s="1" t="n">
        <v>43759</v>
      </c>
      <c r="C211" s="1" t="n">
        <v>45510</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57998-2019</t>
        </is>
      </c>
      <c r="B212" s="1" t="n">
        <v>43762</v>
      </c>
      <c r="C212" s="1" t="n">
        <v>45510</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57509-2019</t>
        </is>
      </c>
      <c r="B213" s="1" t="n">
        <v>43767</v>
      </c>
      <c r="C213" s="1" t="n">
        <v>45510</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57886-2019</t>
        </is>
      </c>
      <c r="B214" s="1" t="n">
        <v>43768</v>
      </c>
      <c r="C214" s="1" t="n">
        <v>45510</v>
      </c>
      <c r="D214" t="inlineStr">
        <is>
          <t>KALMAR LÄN</t>
        </is>
      </c>
      <c r="E214" t="inlineStr">
        <is>
          <t>VIMMERBY</t>
        </is>
      </c>
      <c r="G214" t="n">
        <v>1.3</v>
      </c>
      <c r="H214" t="n">
        <v>0</v>
      </c>
      <c r="I214" t="n">
        <v>0</v>
      </c>
      <c r="J214" t="n">
        <v>0</v>
      </c>
      <c r="K214" t="n">
        <v>0</v>
      </c>
      <c r="L214" t="n">
        <v>0</v>
      </c>
      <c r="M214" t="n">
        <v>0</v>
      </c>
      <c r="N214" t="n">
        <v>0</v>
      </c>
      <c r="O214" t="n">
        <v>0</v>
      </c>
      <c r="P214" t="n">
        <v>0</v>
      </c>
      <c r="Q214" t="n">
        <v>0</v>
      </c>
      <c r="R214" s="2" t="inlineStr"/>
    </row>
    <row r="215" ht="15" customHeight="1">
      <c r="A215" t="inlineStr">
        <is>
          <t>A 59256-2019</t>
        </is>
      </c>
      <c r="B215" s="1" t="n">
        <v>43773</v>
      </c>
      <c r="C215" s="1" t="n">
        <v>45510</v>
      </c>
      <c r="D215" t="inlineStr">
        <is>
          <t>KALMAR LÄN</t>
        </is>
      </c>
      <c r="E215" t="inlineStr">
        <is>
          <t>VIMMERBY</t>
        </is>
      </c>
      <c r="G215" t="n">
        <v>2.3</v>
      </c>
      <c r="H215" t="n">
        <v>0</v>
      </c>
      <c r="I215" t="n">
        <v>0</v>
      </c>
      <c r="J215" t="n">
        <v>0</v>
      </c>
      <c r="K215" t="n">
        <v>0</v>
      </c>
      <c r="L215" t="n">
        <v>0</v>
      </c>
      <c r="M215" t="n">
        <v>0</v>
      </c>
      <c r="N215" t="n">
        <v>0</v>
      </c>
      <c r="O215" t="n">
        <v>0</v>
      </c>
      <c r="P215" t="n">
        <v>0</v>
      </c>
      <c r="Q215" t="n">
        <v>0</v>
      </c>
      <c r="R215" s="2" t="inlineStr"/>
    </row>
    <row r="216" ht="15" customHeight="1">
      <c r="A216" t="inlineStr">
        <is>
          <t>A 58812-2019</t>
        </is>
      </c>
      <c r="B216" s="1" t="n">
        <v>43774</v>
      </c>
      <c r="C216" s="1" t="n">
        <v>45510</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60253-2019</t>
        </is>
      </c>
      <c r="B217" s="1" t="n">
        <v>43780</v>
      </c>
      <c r="C217" s="1" t="n">
        <v>45510</v>
      </c>
      <c r="D217" t="inlineStr">
        <is>
          <t>KALMAR LÄN</t>
        </is>
      </c>
      <c r="E217" t="inlineStr">
        <is>
          <t>VIMMERBY</t>
        </is>
      </c>
      <c r="G217" t="n">
        <v>4.4</v>
      </c>
      <c r="H217" t="n">
        <v>0</v>
      </c>
      <c r="I217" t="n">
        <v>0</v>
      </c>
      <c r="J217" t="n">
        <v>0</v>
      </c>
      <c r="K217" t="n">
        <v>0</v>
      </c>
      <c r="L217" t="n">
        <v>0</v>
      </c>
      <c r="M217" t="n">
        <v>0</v>
      </c>
      <c r="N217" t="n">
        <v>0</v>
      </c>
      <c r="O217" t="n">
        <v>0</v>
      </c>
      <c r="P217" t="n">
        <v>0</v>
      </c>
      <c r="Q217" t="n">
        <v>0</v>
      </c>
      <c r="R217" s="2" t="inlineStr"/>
    </row>
    <row r="218" ht="15" customHeight="1">
      <c r="A218" t="inlineStr">
        <is>
          <t>A 60673-2019</t>
        </is>
      </c>
      <c r="B218" s="1" t="n">
        <v>43781</v>
      </c>
      <c r="C218" s="1" t="n">
        <v>45510</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60802-2019</t>
        </is>
      </c>
      <c r="B219" s="1" t="n">
        <v>43781</v>
      </c>
      <c r="C219" s="1" t="n">
        <v>45510</v>
      </c>
      <c r="D219" t="inlineStr">
        <is>
          <t>KALMAR LÄN</t>
        </is>
      </c>
      <c r="E219" t="inlineStr">
        <is>
          <t>VIMMERBY</t>
        </is>
      </c>
      <c r="G219" t="n">
        <v>2.8</v>
      </c>
      <c r="H219" t="n">
        <v>0</v>
      </c>
      <c r="I219" t="n">
        <v>0</v>
      </c>
      <c r="J219" t="n">
        <v>0</v>
      </c>
      <c r="K219" t="n">
        <v>0</v>
      </c>
      <c r="L219" t="n">
        <v>0</v>
      </c>
      <c r="M219" t="n">
        <v>0</v>
      </c>
      <c r="N219" t="n">
        <v>0</v>
      </c>
      <c r="O219" t="n">
        <v>0</v>
      </c>
      <c r="P219" t="n">
        <v>0</v>
      </c>
      <c r="Q219" t="n">
        <v>0</v>
      </c>
      <c r="R219" s="2" t="inlineStr"/>
    </row>
    <row r="220" ht="15" customHeight="1">
      <c r="A220" t="inlineStr">
        <is>
          <t>A 61049-2019</t>
        </is>
      </c>
      <c r="B220" s="1" t="n">
        <v>43782</v>
      </c>
      <c r="C220" s="1" t="n">
        <v>45510</v>
      </c>
      <c r="D220" t="inlineStr">
        <is>
          <t>KALMAR LÄN</t>
        </is>
      </c>
      <c r="E220" t="inlineStr">
        <is>
          <t>VIMMERBY</t>
        </is>
      </c>
      <c r="G220" t="n">
        <v>4.1</v>
      </c>
      <c r="H220" t="n">
        <v>0</v>
      </c>
      <c r="I220" t="n">
        <v>0</v>
      </c>
      <c r="J220" t="n">
        <v>0</v>
      </c>
      <c r="K220" t="n">
        <v>0</v>
      </c>
      <c r="L220" t="n">
        <v>0</v>
      </c>
      <c r="M220" t="n">
        <v>0</v>
      </c>
      <c r="N220" t="n">
        <v>0</v>
      </c>
      <c r="O220" t="n">
        <v>0</v>
      </c>
      <c r="P220" t="n">
        <v>0</v>
      </c>
      <c r="Q220" t="n">
        <v>0</v>
      </c>
      <c r="R220" s="2" t="inlineStr"/>
    </row>
    <row r="221" ht="15" customHeight="1">
      <c r="A221" t="inlineStr">
        <is>
          <t>A 63362-2019</t>
        </is>
      </c>
      <c r="B221" s="1" t="n">
        <v>43787</v>
      </c>
      <c r="C221" s="1" t="n">
        <v>45510</v>
      </c>
      <c r="D221" t="inlineStr">
        <is>
          <t>KALMAR LÄN</t>
        </is>
      </c>
      <c r="E221" t="inlineStr">
        <is>
          <t>VIMMERBY</t>
        </is>
      </c>
      <c r="G221" t="n">
        <v>1.5</v>
      </c>
      <c r="H221" t="n">
        <v>0</v>
      </c>
      <c r="I221" t="n">
        <v>0</v>
      </c>
      <c r="J221" t="n">
        <v>0</v>
      </c>
      <c r="K221" t="n">
        <v>0</v>
      </c>
      <c r="L221" t="n">
        <v>0</v>
      </c>
      <c r="M221" t="n">
        <v>0</v>
      </c>
      <c r="N221" t="n">
        <v>0</v>
      </c>
      <c r="O221" t="n">
        <v>0</v>
      </c>
      <c r="P221" t="n">
        <v>0</v>
      </c>
      <c r="Q221" t="n">
        <v>0</v>
      </c>
      <c r="R221" s="2" t="inlineStr"/>
    </row>
    <row r="222" ht="15" customHeight="1">
      <c r="A222" t="inlineStr">
        <is>
          <t>A 62625-2019</t>
        </is>
      </c>
      <c r="B222" s="1" t="n">
        <v>43789</v>
      </c>
      <c r="C222" s="1" t="n">
        <v>45510</v>
      </c>
      <c r="D222" t="inlineStr">
        <is>
          <t>KALMAR LÄN</t>
        </is>
      </c>
      <c r="E222" t="inlineStr">
        <is>
          <t>VIMMERBY</t>
        </is>
      </c>
      <c r="F222" t="inlineStr">
        <is>
          <t>Övriga Aktiebolag</t>
        </is>
      </c>
      <c r="G222" t="n">
        <v>8.1</v>
      </c>
      <c r="H222" t="n">
        <v>0</v>
      </c>
      <c r="I222" t="n">
        <v>0</v>
      </c>
      <c r="J222" t="n">
        <v>0</v>
      </c>
      <c r="K222" t="n">
        <v>0</v>
      </c>
      <c r="L222" t="n">
        <v>0</v>
      </c>
      <c r="M222" t="n">
        <v>0</v>
      </c>
      <c r="N222" t="n">
        <v>0</v>
      </c>
      <c r="O222" t="n">
        <v>0</v>
      </c>
      <c r="P222" t="n">
        <v>0</v>
      </c>
      <c r="Q222" t="n">
        <v>0</v>
      </c>
      <c r="R222" s="2" t="inlineStr"/>
    </row>
    <row r="223" ht="15" customHeight="1">
      <c r="A223" t="inlineStr">
        <is>
          <t>A 63029-2019</t>
        </is>
      </c>
      <c r="B223" s="1" t="n">
        <v>43791</v>
      </c>
      <c r="C223" s="1" t="n">
        <v>45510</v>
      </c>
      <c r="D223" t="inlineStr">
        <is>
          <t>KALMAR LÄN</t>
        </is>
      </c>
      <c r="E223" t="inlineStr">
        <is>
          <t>VIMMERBY</t>
        </is>
      </c>
      <c r="F223" t="inlineStr">
        <is>
          <t>Kyrkan</t>
        </is>
      </c>
      <c r="G223" t="n">
        <v>3.1</v>
      </c>
      <c r="H223" t="n">
        <v>0</v>
      </c>
      <c r="I223" t="n">
        <v>0</v>
      </c>
      <c r="J223" t="n">
        <v>0</v>
      </c>
      <c r="K223" t="n">
        <v>0</v>
      </c>
      <c r="L223" t="n">
        <v>0</v>
      </c>
      <c r="M223" t="n">
        <v>0</v>
      </c>
      <c r="N223" t="n">
        <v>0</v>
      </c>
      <c r="O223" t="n">
        <v>0</v>
      </c>
      <c r="P223" t="n">
        <v>0</v>
      </c>
      <c r="Q223" t="n">
        <v>0</v>
      </c>
      <c r="R223" s="2" t="inlineStr"/>
    </row>
    <row r="224" ht="15" customHeight="1">
      <c r="A224" t="inlineStr">
        <is>
          <t>A 63746-2019</t>
        </is>
      </c>
      <c r="B224" s="1" t="n">
        <v>43795</v>
      </c>
      <c r="C224" s="1" t="n">
        <v>45510</v>
      </c>
      <c r="D224" t="inlineStr">
        <is>
          <t>KALMAR LÄN</t>
        </is>
      </c>
      <c r="E224" t="inlineStr">
        <is>
          <t>VIMMERBY</t>
        </is>
      </c>
      <c r="G224" t="n">
        <v>4.5</v>
      </c>
      <c r="H224" t="n">
        <v>0</v>
      </c>
      <c r="I224" t="n">
        <v>0</v>
      </c>
      <c r="J224" t="n">
        <v>0</v>
      </c>
      <c r="K224" t="n">
        <v>0</v>
      </c>
      <c r="L224" t="n">
        <v>0</v>
      </c>
      <c r="M224" t="n">
        <v>0</v>
      </c>
      <c r="N224" t="n">
        <v>0</v>
      </c>
      <c r="O224" t="n">
        <v>0</v>
      </c>
      <c r="P224" t="n">
        <v>0</v>
      </c>
      <c r="Q224" t="n">
        <v>0</v>
      </c>
      <c r="R224" s="2" t="inlineStr"/>
    </row>
    <row r="225" ht="15" customHeight="1">
      <c r="A225" t="inlineStr">
        <is>
          <t>A 64119-2019</t>
        </is>
      </c>
      <c r="B225" s="1" t="n">
        <v>43796</v>
      </c>
      <c r="C225" s="1" t="n">
        <v>45510</v>
      </c>
      <c r="D225" t="inlineStr">
        <is>
          <t>KALMAR LÄN</t>
        </is>
      </c>
      <c r="E225" t="inlineStr">
        <is>
          <t>VIMMERBY</t>
        </is>
      </c>
      <c r="G225" t="n">
        <v>4.6</v>
      </c>
      <c r="H225" t="n">
        <v>0</v>
      </c>
      <c r="I225" t="n">
        <v>0</v>
      </c>
      <c r="J225" t="n">
        <v>0</v>
      </c>
      <c r="K225" t="n">
        <v>0</v>
      </c>
      <c r="L225" t="n">
        <v>0</v>
      </c>
      <c r="M225" t="n">
        <v>0</v>
      </c>
      <c r="N225" t="n">
        <v>0</v>
      </c>
      <c r="O225" t="n">
        <v>0</v>
      </c>
      <c r="P225" t="n">
        <v>0</v>
      </c>
      <c r="Q225" t="n">
        <v>0</v>
      </c>
      <c r="R225" s="2" t="inlineStr"/>
    </row>
    <row r="226" ht="15" customHeight="1">
      <c r="A226" t="inlineStr">
        <is>
          <t>A 64345-2019</t>
        </is>
      </c>
      <c r="B226" s="1" t="n">
        <v>43797</v>
      </c>
      <c r="C226" s="1" t="n">
        <v>45510</v>
      </c>
      <c r="D226" t="inlineStr">
        <is>
          <t>KALMAR LÄN</t>
        </is>
      </c>
      <c r="E226" t="inlineStr">
        <is>
          <t>VIMMERBY</t>
        </is>
      </c>
      <c r="G226" t="n">
        <v>0.9</v>
      </c>
      <c r="H226" t="n">
        <v>0</v>
      </c>
      <c r="I226" t="n">
        <v>0</v>
      </c>
      <c r="J226" t="n">
        <v>0</v>
      </c>
      <c r="K226" t="n">
        <v>0</v>
      </c>
      <c r="L226" t="n">
        <v>0</v>
      </c>
      <c r="M226" t="n">
        <v>0</v>
      </c>
      <c r="N226" t="n">
        <v>0</v>
      </c>
      <c r="O226" t="n">
        <v>0</v>
      </c>
      <c r="P226" t="n">
        <v>0</v>
      </c>
      <c r="Q226" t="n">
        <v>0</v>
      </c>
      <c r="R226" s="2" t="inlineStr"/>
    </row>
    <row r="227" ht="15" customHeight="1">
      <c r="A227" t="inlineStr">
        <is>
          <t>A 64334-2019</t>
        </is>
      </c>
      <c r="B227" s="1" t="n">
        <v>43797</v>
      </c>
      <c r="C227" s="1" t="n">
        <v>45510</v>
      </c>
      <c r="D227" t="inlineStr">
        <is>
          <t>KALMAR LÄN</t>
        </is>
      </c>
      <c r="E227" t="inlineStr">
        <is>
          <t>VIMMERBY</t>
        </is>
      </c>
      <c r="G227" t="n">
        <v>2</v>
      </c>
      <c r="H227" t="n">
        <v>0</v>
      </c>
      <c r="I227" t="n">
        <v>0</v>
      </c>
      <c r="J227" t="n">
        <v>0</v>
      </c>
      <c r="K227" t="n">
        <v>0</v>
      </c>
      <c r="L227" t="n">
        <v>0</v>
      </c>
      <c r="M227" t="n">
        <v>0</v>
      </c>
      <c r="N227" t="n">
        <v>0</v>
      </c>
      <c r="O227" t="n">
        <v>0</v>
      </c>
      <c r="P227" t="n">
        <v>0</v>
      </c>
      <c r="Q227" t="n">
        <v>0</v>
      </c>
      <c r="R227" s="2" t="inlineStr"/>
    </row>
    <row r="228" ht="15" customHeight="1">
      <c r="A228" t="inlineStr">
        <is>
          <t>A 65267-2019</t>
        </is>
      </c>
      <c r="B228" s="1" t="n">
        <v>43802</v>
      </c>
      <c r="C228" s="1" t="n">
        <v>45510</v>
      </c>
      <c r="D228" t="inlineStr">
        <is>
          <t>KALMAR LÄN</t>
        </is>
      </c>
      <c r="E228" t="inlineStr">
        <is>
          <t>VIMMERBY</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66169-2019</t>
        </is>
      </c>
      <c r="B229" s="1" t="n">
        <v>43808</v>
      </c>
      <c r="C229" s="1" t="n">
        <v>45510</v>
      </c>
      <c r="D229" t="inlineStr">
        <is>
          <t>KALMAR LÄN</t>
        </is>
      </c>
      <c r="E229" t="inlineStr">
        <is>
          <t>VIMMERBY</t>
        </is>
      </c>
      <c r="G229" t="n">
        <v>1.9</v>
      </c>
      <c r="H229" t="n">
        <v>0</v>
      </c>
      <c r="I229" t="n">
        <v>0</v>
      </c>
      <c r="J229" t="n">
        <v>0</v>
      </c>
      <c r="K229" t="n">
        <v>0</v>
      </c>
      <c r="L229" t="n">
        <v>0</v>
      </c>
      <c r="M229" t="n">
        <v>0</v>
      </c>
      <c r="N229" t="n">
        <v>0</v>
      </c>
      <c r="O229" t="n">
        <v>0</v>
      </c>
      <c r="P229" t="n">
        <v>0</v>
      </c>
      <c r="Q229" t="n">
        <v>0</v>
      </c>
      <c r="R229" s="2" t="inlineStr"/>
    </row>
    <row r="230" ht="15" customHeight="1">
      <c r="A230" t="inlineStr">
        <is>
          <t>A 66172-2019</t>
        </is>
      </c>
      <c r="B230" s="1" t="n">
        <v>43808</v>
      </c>
      <c r="C230" s="1" t="n">
        <v>45510</v>
      </c>
      <c r="D230" t="inlineStr">
        <is>
          <t>KALMAR LÄN</t>
        </is>
      </c>
      <c r="E230" t="inlineStr">
        <is>
          <t>VIMMERBY</t>
        </is>
      </c>
      <c r="G230" t="n">
        <v>3.6</v>
      </c>
      <c r="H230" t="n">
        <v>0</v>
      </c>
      <c r="I230" t="n">
        <v>0</v>
      </c>
      <c r="J230" t="n">
        <v>0</v>
      </c>
      <c r="K230" t="n">
        <v>0</v>
      </c>
      <c r="L230" t="n">
        <v>0</v>
      </c>
      <c r="M230" t="n">
        <v>0</v>
      </c>
      <c r="N230" t="n">
        <v>0</v>
      </c>
      <c r="O230" t="n">
        <v>0</v>
      </c>
      <c r="P230" t="n">
        <v>0</v>
      </c>
      <c r="Q230" t="n">
        <v>0</v>
      </c>
      <c r="R230" s="2" t="inlineStr"/>
    </row>
    <row r="231" ht="15" customHeight="1">
      <c r="A231" t="inlineStr">
        <is>
          <t>A 66151-2019</t>
        </is>
      </c>
      <c r="B231" s="1" t="n">
        <v>43808</v>
      </c>
      <c r="C231" s="1" t="n">
        <v>45510</v>
      </c>
      <c r="D231" t="inlineStr">
        <is>
          <t>KALMAR LÄN</t>
        </is>
      </c>
      <c r="E231" t="inlineStr">
        <is>
          <t>VIMMERBY</t>
        </is>
      </c>
      <c r="F231" t="inlineStr">
        <is>
          <t>Sveaskog</t>
        </is>
      </c>
      <c r="G231" t="n">
        <v>0.8</v>
      </c>
      <c r="H231" t="n">
        <v>0</v>
      </c>
      <c r="I231" t="n">
        <v>0</v>
      </c>
      <c r="J231" t="n">
        <v>0</v>
      </c>
      <c r="K231" t="n">
        <v>0</v>
      </c>
      <c r="L231" t="n">
        <v>0</v>
      </c>
      <c r="M231" t="n">
        <v>0</v>
      </c>
      <c r="N231" t="n">
        <v>0</v>
      </c>
      <c r="O231" t="n">
        <v>0</v>
      </c>
      <c r="P231" t="n">
        <v>0</v>
      </c>
      <c r="Q231" t="n">
        <v>0</v>
      </c>
      <c r="R231" s="2" t="inlineStr"/>
    </row>
    <row r="232" ht="15" customHeight="1">
      <c r="A232" t="inlineStr">
        <is>
          <t>A 67293-2019</t>
        </is>
      </c>
      <c r="B232" s="1" t="n">
        <v>43812</v>
      </c>
      <c r="C232" s="1" t="n">
        <v>45510</v>
      </c>
      <c r="D232" t="inlineStr">
        <is>
          <t>KALMAR LÄN</t>
        </is>
      </c>
      <c r="E232" t="inlineStr">
        <is>
          <t>VIMMERBY</t>
        </is>
      </c>
      <c r="F232" t="inlineStr">
        <is>
          <t>Kommuner</t>
        </is>
      </c>
      <c r="G232" t="n">
        <v>1.2</v>
      </c>
      <c r="H232" t="n">
        <v>0</v>
      </c>
      <c r="I232" t="n">
        <v>0</v>
      </c>
      <c r="J232" t="n">
        <v>0</v>
      </c>
      <c r="K232" t="n">
        <v>0</v>
      </c>
      <c r="L232" t="n">
        <v>0</v>
      </c>
      <c r="M232" t="n">
        <v>0</v>
      </c>
      <c r="N232" t="n">
        <v>0</v>
      </c>
      <c r="O232" t="n">
        <v>0</v>
      </c>
      <c r="P232" t="n">
        <v>0</v>
      </c>
      <c r="Q232" t="n">
        <v>0</v>
      </c>
      <c r="R232" s="2" t="inlineStr"/>
    </row>
    <row r="233" ht="15" customHeight="1">
      <c r="A233" t="inlineStr">
        <is>
          <t>A 67359-2019</t>
        </is>
      </c>
      <c r="B233" s="1" t="n">
        <v>43812</v>
      </c>
      <c r="C233" s="1" t="n">
        <v>45510</v>
      </c>
      <c r="D233" t="inlineStr">
        <is>
          <t>KALMAR LÄN</t>
        </is>
      </c>
      <c r="E233" t="inlineStr">
        <is>
          <t>VIMMERBY</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67346-2019</t>
        </is>
      </c>
      <c r="B234" s="1" t="n">
        <v>43812</v>
      </c>
      <c r="C234" s="1" t="n">
        <v>45510</v>
      </c>
      <c r="D234" t="inlineStr">
        <is>
          <t>KALMAR LÄN</t>
        </is>
      </c>
      <c r="E234" t="inlineStr">
        <is>
          <t>VIMMERBY</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447-2020</t>
        </is>
      </c>
      <c r="B235" s="1" t="n">
        <v>43837</v>
      </c>
      <c r="C235" s="1" t="n">
        <v>45510</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306-2020</t>
        </is>
      </c>
      <c r="B236" s="1" t="n">
        <v>43837</v>
      </c>
      <c r="C236" s="1" t="n">
        <v>45510</v>
      </c>
      <c r="D236" t="inlineStr">
        <is>
          <t>KALMAR LÄN</t>
        </is>
      </c>
      <c r="E236" t="inlineStr">
        <is>
          <t>VIMMERBY</t>
        </is>
      </c>
      <c r="G236" t="n">
        <v>9.9</v>
      </c>
      <c r="H236" t="n">
        <v>0</v>
      </c>
      <c r="I236" t="n">
        <v>0</v>
      </c>
      <c r="J236" t="n">
        <v>0</v>
      </c>
      <c r="K236" t="n">
        <v>0</v>
      </c>
      <c r="L236" t="n">
        <v>0</v>
      </c>
      <c r="M236" t="n">
        <v>0</v>
      </c>
      <c r="N236" t="n">
        <v>0</v>
      </c>
      <c r="O236" t="n">
        <v>0</v>
      </c>
      <c r="P236" t="n">
        <v>0</v>
      </c>
      <c r="Q236" t="n">
        <v>0</v>
      </c>
      <c r="R236" s="2" t="inlineStr"/>
    </row>
    <row r="237" ht="15" customHeight="1">
      <c r="A237" t="inlineStr">
        <is>
          <t>A 593-2020</t>
        </is>
      </c>
      <c r="B237" s="1" t="n">
        <v>43838</v>
      </c>
      <c r="C237" s="1" t="n">
        <v>45510</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2473-2020</t>
        </is>
      </c>
      <c r="B238" s="1" t="n">
        <v>43840</v>
      </c>
      <c r="C238" s="1" t="n">
        <v>45510</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1967-2020</t>
        </is>
      </c>
      <c r="B239" s="1" t="n">
        <v>43845</v>
      </c>
      <c r="C239" s="1" t="n">
        <v>45510</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2070-2020</t>
        </is>
      </c>
      <c r="B240" s="1" t="n">
        <v>43845</v>
      </c>
      <c r="C240" s="1" t="n">
        <v>45510</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3434-2020</t>
        </is>
      </c>
      <c r="B241" s="1" t="n">
        <v>43845</v>
      </c>
      <c r="C241" s="1" t="n">
        <v>45510</v>
      </c>
      <c r="D241" t="inlineStr">
        <is>
          <t>KALMAR LÄN</t>
        </is>
      </c>
      <c r="E241" t="inlineStr">
        <is>
          <t>VIMMERBY</t>
        </is>
      </c>
      <c r="G241" t="n">
        <v>1.2</v>
      </c>
      <c r="H241" t="n">
        <v>0</v>
      </c>
      <c r="I241" t="n">
        <v>0</v>
      </c>
      <c r="J241" t="n">
        <v>0</v>
      </c>
      <c r="K241" t="n">
        <v>0</v>
      </c>
      <c r="L241" t="n">
        <v>0</v>
      </c>
      <c r="M241" t="n">
        <v>0</v>
      </c>
      <c r="N241" t="n">
        <v>0</v>
      </c>
      <c r="O241" t="n">
        <v>0</v>
      </c>
      <c r="P241" t="n">
        <v>0</v>
      </c>
      <c r="Q241" t="n">
        <v>0</v>
      </c>
      <c r="R241" s="2" t="inlineStr"/>
    </row>
    <row r="242" ht="15" customHeight="1">
      <c r="A242" t="inlineStr">
        <is>
          <t>A 2756-2020</t>
        </is>
      </c>
      <c r="B242" s="1" t="n">
        <v>43850</v>
      </c>
      <c r="C242" s="1" t="n">
        <v>45510</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2856-2020</t>
        </is>
      </c>
      <c r="B243" s="1" t="n">
        <v>43850</v>
      </c>
      <c r="C243" s="1" t="n">
        <v>45510</v>
      </c>
      <c r="D243" t="inlineStr">
        <is>
          <t>KALMAR LÄN</t>
        </is>
      </c>
      <c r="E243" t="inlineStr">
        <is>
          <t>VIMMERBY</t>
        </is>
      </c>
      <c r="G243" t="n">
        <v>3.2</v>
      </c>
      <c r="H243" t="n">
        <v>0</v>
      </c>
      <c r="I243" t="n">
        <v>0</v>
      </c>
      <c r="J243" t="n">
        <v>0</v>
      </c>
      <c r="K243" t="n">
        <v>0</v>
      </c>
      <c r="L243" t="n">
        <v>0</v>
      </c>
      <c r="M243" t="n">
        <v>0</v>
      </c>
      <c r="N243" t="n">
        <v>0</v>
      </c>
      <c r="O243" t="n">
        <v>0</v>
      </c>
      <c r="P243" t="n">
        <v>0</v>
      </c>
      <c r="Q243" t="n">
        <v>0</v>
      </c>
      <c r="R243" s="2" t="inlineStr"/>
    </row>
    <row r="244" ht="15" customHeight="1">
      <c r="A244" t="inlineStr">
        <is>
          <t>A 3211-2020</t>
        </is>
      </c>
      <c r="B244" s="1" t="n">
        <v>43851</v>
      </c>
      <c r="C244" s="1" t="n">
        <v>45510</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3414-2020</t>
        </is>
      </c>
      <c r="B245" s="1" t="n">
        <v>43852</v>
      </c>
      <c r="C245" s="1" t="n">
        <v>45510</v>
      </c>
      <c r="D245" t="inlineStr">
        <is>
          <t>KALMAR LÄN</t>
        </is>
      </c>
      <c r="E245" t="inlineStr">
        <is>
          <t>VIMMERBY</t>
        </is>
      </c>
      <c r="G245" t="n">
        <v>4</v>
      </c>
      <c r="H245" t="n">
        <v>0</v>
      </c>
      <c r="I245" t="n">
        <v>0</v>
      </c>
      <c r="J245" t="n">
        <v>0</v>
      </c>
      <c r="K245" t="n">
        <v>0</v>
      </c>
      <c r="L245" t="n">
        <v>0</v>
      </c>
      <c r="M245" t="n">
        <v>0</v>
      </c>
      <c r="N245" t="n">
        <v>0</v>
      </c>
      <c r="O245" t="n">
        <v>0</v>
      </c>
      <c r="P245" t="n">
        <v>0</v>
      </c>
      <c r="Q245" t="n">
        <v>0</v>
      </c>
      <c r="R245" s="2" t="inlineStr"/>
    </row>
    <row r="246" ht="15" customHeight="1">
      <c r="A246" t="inlineStr">
        <is>
          <t>A 3672-2020</t>
        </is>
      </c>
      <c r="B246" s="1" t="n">
        <v>43853</v>
      </c>
      <c r="C246" s="1" t="n">
        <v>45510</v>
      </c>
      <c r="D246" t="inlineStr">
        <is>
          <t>KALMAR LÄN</t>
        </is>
      </c>
      <c r="E246" t="inlineStr">
        <is>
          <t>VIMMERBY</t>
        </is>
      </c>
      <c r="G246" t="n">
        <v>3.7</v>
      </c>
      <c r="H246" t="n">
        <v>0</v>
      </c>
      <c r="I246" t="n">
        <v>0</v>
      </c>
      <c r="J246" t="n">
        <v>0</v>
      </c>
      <c r="K246" t="n">
        <v>0</v>
      </c>
      <c r="L246" t="n">
        <v>0</v>
      </c>
      <c r="M246" t="n">
        <v>0</v>
      </c>
      <c r="N246" t="n">
        <v>0</v>
      </c>
      <c r="O246" t="n">
        <v>0</v>
      </c>
      <c r="P246" t="n">
        <v>0</v>
      </c>
      <c r="Q246" t="n">
        <v>0</v>
      </c>
      <c r="R246" s="2" t="inlineStr"/>
    </row>
    <row r="247" ht="15" customHeight="1">
      <c r="A247" t="inlineStr">
        <is>
          <t>A 5047-2020</t>
        </is>
      </c>
      <c r="B247" s="1" t="n">
        <v>43853</v>
      </c>
      <c r="C247" s="1" t="n">
        <v>45510</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5043-2020</t>
        </is>
      </c>
      <c r="B248" s="1" t="n">
        <v>43853</v>
      </c>
      <c r="C248" s="1" t="n">
        <v>45510</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4194-2020</t>
        </is>
      </c>
      <c r="B249" s="1" t="n">
        <v>43857</v>
      </c>
      <c r="C249" s="1" t="n">
        <v>45510</v>
      </c>
      <c r="D249" t="inlineStr">
        <is>
          <t>KALMAR LÄN</t>
        </is>
      </c>
      <c r="E249" t="inlineStr">
        <is>
          <t>VIMMERBY</t>
        </is>
      </c>
      <c r="G249" t="n">
        <v>1.6</v>
      </c>
      <c r="H249" t="n">
        <v>0</v>
      </c>
      <c r="I249" t="n">
        <v>0</v>
      </c>
      <c r="J249" t="n">
        <v>0</v>
      </c>
      <c r="K249" t="n">
        <v>0</v>
      </c>
      <c r="L249" t="n">
        <v>0</v>
      </c>
      <c r="M249" t="n">
        <v>0</v>
      </c>
      <c r="N249" t="n">
        <v>0</v>
      </c>
      <c r="O249" t="n">
        <v>0</v>
      </c>
      <c r="P249" t="n">
        <v>0</v>
      </c>
      <c r="Q249" t="n">
        <v>0</v>
      </c>
      <c r="R249" s="2" t="inlineStr"/>
    </row>
    <row r="250" ht="15" customHeight="1">
      <c r="A250" t="inlineStr">
        <is>
          <t>A 5362-2020</t>
        </is>
      </c>
      <c r="B250" s="1" t="n">
        <v>43857</v>
      </c>
      <c r="C250" s="1" t="n">
        <v>45510</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4472-2020</t>
        </is>
      </c>
      <c r="B251" s="1" t="n">
        <v>43858</v>
      </c>
      <c r="C251" s="1" t="n">
        <v>45510</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5548-2020</t>
        </is>
      </c>
      <c r="B252" s="1" t="n">
        <v>43861</v>
      </c>
      <c r="C252" s="1" t="n">
        <v>45510</v>
      </c>
      <c r="D252" t="inlineStr">
        <is>
          <t>KALMAR LÄN</t>
        </is>
      </c>
      <c r="E252" t="inlineStr">
        <is>
          <t>VIMMERBY</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6042-2020</t>
        </is>
      </c>
      <c r="B253" s="1" t="n">
        <v>43865</v>
      </c>
      <c r="C253" s="1" t="n">
        <v>45510</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7870-2020</t>
        </is>
      </c>
      <c r="B254" s="1" t="n">
        <v>43873</v>
      </c>
      <c r="C254" s="1" t="n">
        <v>45510</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8691-2020</t>
        </is>
      </c>
      <c r="B255" s="1" t="n">
        <v>43878</v>
      </c>
      <c r="C255" s="1" t="n">
        <v>45510</v>
      </c>
      <c r="D255" t="inlineStr">
        <is>
          <t>KALMAR LÄN</t>
        </is>
      </c>
      <c r="E255" t="inlineStr">
        <is>
          <t>VIMMERBY</t>
        </is>
      </c>
      <c r="G255" t="n">
        <v>5.1</v>
      </c>
      <c r="H255" t="n">
        <v>0</v>
      </c>
      <c r="I255" t="n">
        <v>0</v>
      </c>
      <c r="J255" t="n">
        <v>0</v>
      </c>
      <c r="K255" t="n">
        <v>0</v>
      </c>
      <c r="L255" t="n">
        <v>0</v>
      </c>
      <c r="M255" t="n">
        <v>0</v>
      </c>
      <c r="N255" t="n">
        <v>0</v>
      </c>
      <c r="O255" t="n">
        <v>0</v>
      </c>
      <c r="P255" t="n">
        <v>0</v>
      </c>
      <c r="Q255" t="n">
        <v>0</v>
      </c>
      <c r="R255" s="2" t="inlineStr"/>
    </row>
    <row r="256" ht="15" customHeight="1">
      <c r="A256" t="inlineStr">
        <is>
          <t>A 9151-2020</t>
        </is>
      </c>
      <c r="B256" s="1" t="n">
        <v>43879</v>
      </c>
      <c r="C256" s="1" t="n">
        <v>45510</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9382-2020</t>
        </is>
      </c>
      <c r="B257" s="1" t="n">
        <v>43880</v>
      </c>
      <c r="C257" s="1" t="n">
        <v>45510</v>
      </c>
      <c r="D257" t="inlineStr">
        <is>
          <t>KALMAR LÄN</t>
        </is>
      </c>
      <c r="E257" t="inlineStr">
        <is>
          <t>VIMMERBY</t>
        </is>
      </c>
      <c r="G257" t="n">
        <v>2.5</v>
      </c>
      <c r="H257" t="n">
        <v>0</v>
      </c>
      <c r="I257" t="n">
        <v>0</v>
      </c>
      <c r="J257" t="n">
        <v>0</v>
      </c>
      <c r="K257" t="n">
        <v>0</v>
      </c>
      <c r="L257" t="n">
        <v>0</v>
      </c>
      <c r="M257" t="n">
        <v>0</v>
      </c>
      <c r="N257" t="n">
        <v>0</v>
      </c>
      <c r="O257" t="n">
        <v>0</v>
      </c>
      <c r="P257" t="n">
        <v>0</v>
      </c>
      <c r="Q257" t="n">
        <v>0</v>
      </c>
      <c r="R257" s="2" t="inlineStr"/>
    </row>
    <row r="258" ht="15" customHeight="1">
      <c r="A258" t="inlineStr">
        <is>
          <t>A 9718-2020</t>
        </is>
      </c>
      <c r="B258" s="1" t="n">
        <v>43881</v>
      </c>
      <c r="C258" s="1" t="n">
        <v>45510</v>
      </c>
      <c r="D258" t="inlineStr">
        <is>
          <t>KALMAR LÄN</t>
        </is>
      </c>
      <c r="E258" t="inlineStr">
        <is>
          <t>VIMMERBY</t>
        </is>
      </c>
      <c r="G258" t="n">
        <v>1.9</v>
      </c>
      <c r="H258" t="n">
        <v>0</v>
      </c>
      <c r="I258" t="n">
        <v>0</v>
      </c>
      <c r="J258" t="n">
        <v>0</v>
      </c>
      <c r="K258" t="n">
        <v>0</v>
      </c>
      <c r="L258" t="n">
        <v>0</v>
      </c>
      <c r="M258" t="n">
        <v>0</v>
      </c>
      <c r="N258" t="n">
        <v>0</v>
      </c>
      <c r="O258" t="n">
        <v>0</v>
      </c>
      <c r="P258" t="n">
        <v>0</v>
      </c>
      <c r="Q258" t="n">
        <v>0</v>
      </c>
      <c r="R258" s="2" t="inlineStr"/>
    </row>
    <row r="259" ht="15" customHeight="1">
      <c r="A259" t="inlineStr">
        <is>
          <t>A 10474-2020</t>
        </is>
      </c>
      <c r="B259" s="1" t="n">
        <v>43887</v>
      </c>
      <c r="C259" s="1" t="n">
        <v>45510</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10484-2020</t>
        </is>
      </c>
      <c r="B260" s="1" t="n">
        <v>43887</v>
      </c>
      <c r="C260" s="1" t="n">
        <v>45510</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10923-2020</t>
        </is>
      </c>
      <c r="B261" s="1" t="n">
        <v>43889</v>
      </c>
      <c r="C261" s="1" t="n">
        <v>45510</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11243-2020</t>
        </is>
      </c>
      <c r="B262" s="1" t="n">
        <v>43892</v>
      </c>
      <c r="C262" s="1" t="n">
        <v>45510</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12823-2020</t>
        </is>
      </c>
      <c r="B263" s="1" t="n">
        <v>43899</v>
      </c>
      <c r="C263" s="1" t="n">
        <v>45510</v>
      </c>
      <c r="D263" t="inlineStr">
        <is>
          <t>KALMAR LÄN</t>
        </is>
      </c>
      <c r="E263" t="inlineStr">
        <is>
          <t>VIMMERBY</t>
        </is>
      </c>
      <c r="G263" t="n">
        <v>3.3</v>
      </c>
      <c r="H263" t="n">
        <v>0</v>
      </c>
      <c r="I263" t="n">
        <v>0</v>
      </c>
      <c r="J263" t="n">
        <v>0</v>
      </c>
      <c r="K263" t="n">
        <v>0</v>
      </c>
      <c r="L263" t="n">
        <v>0</v>
      </c>
      <c r="M263" t="n">
        <v>0</v>
      </c>
      <c r="N263" t="n">
        <v>0</v>
      </c>
      <c r="O263" t="n">
        <v>0</v>
      </c>
      <c r="P263" t="n">
        <v>0</v>
      </c>
      <c r="Q263" t="n">
        <v>0</v>
      </c>
      <c r="R263" s="2" t="inlineStr"/>
    </row>
    <row r="264" ht="15" customHeight="1">
      <c r="A264" t="inlineStr">
        <is>
          <t>A 13496-2020</t>
        </is>
      </c>
      <c r="B264" s="1" t="n">
        <v>43900</v>
      </c>
      <c r="C264" s="1" t="n">
        <v>45510</v>
      </c>
      <c r="D264" t="inlineStr">
        <is>
          <t>KALMAR LÄN</t>
        </is>
      </c>
      <c r="E264" t="inlineStr">
        <is>
          <t>VIMMERBY</t>
        </is>
      </c>
      <c r="G264" t="n">
        <v>2.8</v>
      </c>
      <c r="H264" t="n">
        <v>0</v>
      </c>
      <c r="I264" t="n">
        <v>0</v>
      </c>
      <c r="J264" t="n">
        <v>0</v>
      </c>
      <c r="K264" t="n">
        <v>0</v>
      </c>
      <c r="L264" t="n">
        <v>0</v>
      </c>
      <c r="M264" t="n">
        <v>0</v>
      </c>
      <c r="N264" t="n">
        <v>0</v>
      </c>
      <c r="O264" t="n">
        <v>0</v>
      </c>
      <c r="P264" t="n">
        <v>0</v>
      </c>
      <c r="Q264" t="n">
        <v>0</v>
      </c>
      <c r="R264" s="2" t="inlineStr"/>
    </row>
    <row r="265" ht="15" customHeight="1">
      <c r="A265" t="inlineStr">
        <is>
          <t>A 14410-2020</t>
        </is>
      </c>
      <c r="B265" s="1" t="n">
        <v>43902</v>
      </c>
      <c r="C265" s="1" t="n">
        <v>45510</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13606-2020</t>
        </is>
      </c>
      <c r="B266" s="1" t="n">
        <v>43903</v>
      </c>
      <c r="C266" s="1" t="n">
        <v>45510</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14022-2020</t>
        </is>
      </c>
      <c r="B267" s="1" t="n">
        <v>43906</v>
      </c>
      <c r="C267" s="1" t="n">
        <v>45510</v>
      </c>
      <c r="D267" t="inlineStr">
        <is>
          <t>KALMAR LÄN</t>
        </is>
      </c>
      <c r="E267" t="inlineStr">
        <is>
          <t>VIMMERBY</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16222-2020</t>
        </is>
      </c>
      <c r="B268" s="1" t="n">
        <v>43917</v>
      </c>
      <c r="C268" s="1" t="n">
        <v>45510</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18676-2020</t>
        </is>
      </c>
      <c r="B269" s="1" t="n">
        <v>43930</v>
      </c>
      <c r="C269" s="1" t="n">
        <v>45510</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18855-2020</t>
        </is>
      </c>
      <c r="B270" s="1" t="n">
        <v>43930</v>
      </c>
      <c r="C270" s="1" t="n">
        <v>45510</v>
      </c>
      <c r="D270" t="inlineStr">
        <is>
          <t>KALMAR LÄN</t>
        </is>
      </c>
      <c r="E270" t="inlineStr">
        <is>
          <t>VIMMERBY</t>
        </is>
      </c>
      <c r="G270" t="n">
        <v>2.9</v>
      </c>
      <c r="H270" t="n">
        <v>0</v>
      </c>
      <c r="I270" t="n">
        <v>0</v>
      </c>
      <c r="J270" t="n">
        <v>0</v>
      </c>
      <c r="K270" t="n">
        <v>0</v>
      </c>
      <c r="L270" t="n">
        <v>0</v>
      </c>
      <c r="M270" t="n">
        <v>0</v>
      </c>
      <c r="N270" t="n">
        <v>0</v>
      </c>
      <c r="O270" t="n">
        <v>0</v>
      </c>
      <c r="P270" t="n">
        <v>0</v>
      </c>
      <c r="Q270" t="n">
        <v>0</v>
      </c>
      <c r="R270" s="2" t="inlineStr"/>
    </row>
    <row r="271" ht="15" customHeight="1">
      <c r="A271" t="inlineStr">
        <is>
          <t>A 18885-2020</t>
        </is>
      </c>
      <c r="B271" s="1" t="n">
        <v>43935</v>
      </c>
      <c r="C271" s="1" t="n">
        <v>45510</v>
      </c>
      <c r="D271" t="inlineStr">
        <is>
          <t>KALMAR LÄN</t>
        </is>
      </c>
      <c r="E271" t="inlineStr">
        <is>
          <t>VIMMERBY</t>
        </is>
      </c>
      <c r="G271" t="n">
        <v>1.5</v>
      </c>
      <c r="H271" t="n">
        <v>0</v>
      </c>
      <c r="I271" t="n">
        <v>0</v>
      </c>
      <c r="J271" t="n">
        <v>0</v>
      </c>
      <c r="K271" t="n">
        <v>0</v>
      </c>
      <c r="L271" t="n">
        <v>0</v>
      </c>
      <c r="M271" t="n">
        <v>0</v>
      </c>
      <c r="N271" t="n">
        <v>0</v>
      </c>
      <c r="O271" t="n">
        <v>0</v>
      </c>
      <c r="P271" t="n">
        <v>0</v>
      </c>
      <c r="Q271" t="n">
        <v>0</v>
      </c>
      <c r="R271" s="2" t="inlineStr"/>
    </row>
    <row r="272" ht="15" customHeight="1">
      <c r="A272" t="inlineStr">
        <is>
          <t>A 18909-2020</t>
        </is>
      </c>
      <c r="B272" s="1" t="n">
        <v>43935</v>
      </c>
      <c r="C272" s="1" t="n">
        <v>45510</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20291-2020</t>
        </is>
      </c>
      <c r="B273" s="1" t="n">
        <v>43945</v>
      </c>
      <c r="C273" s="1" t="n">
        <v>45510</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21408-2020</t>
        </is>
      </c>
      <c r="B274" s="1" t="n">
        <v>43955</v>
      </c>
      <c r="C274" s="1" t="n">
        <v>45510</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21581-2020</t>
        </is>
      </c>
      <c r="B275" s="1" t="n">
        <v>43956</v>
      </c>
      <c r="C275" s="1" t="n">
        <v>45510</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21891-2020</t>
        </is>
      </c>
      <c r="B276" s="1" t="n">
        <v>43958</v>
      </c>
      <c r="C276" s="1" t="n">
        <v>45510</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22267-2020</t>
        </is>
      </c>
      <c r="B277" s="1" t="n">
        <v>43962</v>
      </c>
      <c r="C277" s="1" t="n">
        <v>45510</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22574-2020</t>
        </is>
      </c>
      <c r="B278" s="1" t="n">
        <v>43963</v>
      </c>
      <c r="C278" s="1" t="n">
        <v>45510</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22637-2020</t>
        </is>
      </c>
      <c r="B279" s="1" t="n">
        <v>43963</v>
      </c>
      <c r="C279" s="1" t="n">
        <v>45510</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22828-2020</t>
        </is>
      </c>
      <c r="B280" s="1" t="n">
        <v>43964</v>
      </c>
      <c r="C280" s="1" t="n">
        <v>45510</v>
      </c>
      <c r="D280" t="inlineStr">
        <is>
          <t>KALMAR LÄN</t>
        </is>
      </c>
      <c r="E280" t="inlineStr">
        <is>
          <t>VIMMERBY</t>
        </is>
      </c>
      <c r="G280" t="n">
        <v>7.5</v>
      </c>
      <c r="H280" t="n">
        <v>0</v>
      </c>
      <c r="I280" t="n">
        <v>0</v>
      </c>
      <c r="J280" t="n">
        <v>0</v>
      </c>
      <c r="K280" t="n">
        <v>0</v>
      </c>
      <c r="L280" t="n">
        <v>0</v>
      </c>
      <c r="M280" t="n">
        <v>0</v>
      </c>
      <c r="N280" t="n">
        <v>0</v>
      </c>
      <c r="O280" t="n">
        <v>0</v>
      </c>
      <c r="P280" t="n">
        <v>0</v>
      </c>
      <c r="Q280" t="n">
        <v>0</v>
      </c>
      <c r="R280" s="2" t="inlineStr"/>
    </row>
    <row r="281" ht="15" customHeight="1">
      <c r="A281" t="inlineStr">
        <is>
          <t>A 23391-2020</t>
        </is>
      </c>
      <c r="B281" s="1" t="n">
        <v>43968</v>
      </c>
      <c r="C281" s="1" t="n">
        <v>45510</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23394-2020</t>
        </is>
      </c>
      <c r="B282" s="1" t="n">
        <v>43968</v>
      </c>
      <c r="C282" s="1" t="n">
        <v>45510</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23705-2020</t>
        </is>
      </c>
      <c r="B283" s="1" t="n">
        <v>43970</v>
      </c>
      <c r="C283" s="1" t="n">
        <v>45510</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23877-2020</t>
        </is>
      </c>
      <c r="B284" s="1" t="n">
        <v>43971</v>
      </c>
      <c r="C284" s="1" t="n">
        <v>45510</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24016-2020</t>
        </is>
      </c>
      <c r="B285" s="1" t="n">
        <v>43971</v>
      </c>
      <c r="C285" s="1" t="n">
        <v>45510</v>
      </c>
      <c r="D285" t="inlineStr">
        <is>
          <t>KALMAR LÄN</t>
        </is>
      </c>
      <c r="E285" t="inlineStr">
        <is>
          <t>VIMMERBY</t>
        </is>
      </c>
      <c r="G285" t="n">
        <v>4.5</v>
      </c>
      <c r="H285" t="n">
        <v>0</v>
      </c>
      <c r="I285" t="n">
        <v>0</v>
      </c>
      <c r="J285" t="n">
        <v>0</v>
      </c>
      <c r="K285" t="n">
        <v>0</v>
      </c>
      <c r="L285" t="n">
        <v>0</v>
      </c>
      <c r="M285" t="n">
        <v>0</v>
      </c>
      <c r="N285" t="n">
        <v>0</v>
      </c>
      <c r="O285" t="n">
        <v>0</v>
      </c>
      <c r="P285" t="n">
        <v>0</v>
      </c>
      <c r="Q285" t="n">
        <v>0</v>
      </c>
      <c r="R285" s="2" t="inlineStr"/>
    </row>
    <row r="286" ht="15" customHeight="1">
      <c r="A286" t="inlineStr">
        <is>
          <t>A 24770-2020</t>
        </is>
      </c>
      <c r="B286" s="1" t="n">
        <v>43978</v>
      </c>
      <c r="C286" s="1" t="n">
        <v>45510</v>
      </c>
      <c r="D286" t="inlineStr">
        <is>
          <t>KALMAR LÄN</t>
        </is>
      </c>
      <c r="E286" t="inlineStr">
        <is>
          <t>VIMMERBY</t>
        </is>
      </c>
      <c r="G286" t="n">
        <v>2</v>
      </c>
      <c r="H286" t="n">
        <v>0</v>
      </c>
      <c r="I286" t="n">
        <v>0</v>
      </c>
      <c r="J286" t="n">
        <v>0</v>
      </c>
      <c r="K286" t="n">
        <v>0</v>
      </c>
      <c r="L286" t="n">
        <v>0</v>
      </c>
      <c r="M286" t="n">
        <v>0</v>
      </c>
      <c r="N286" t="n">
        <v>0</v>
      </c>
      <c r="O286" t="n">
        <v>0</v>
      </c>
      <c r="P286" t="n">
        <v>0</v>
      </c>
      <c r="Q286" t="n">
        <v>0</v>
      </c>
      <c r="R286" s="2" t="inlineStr"/>
    </row>
    <row r="287" ht="15" customHeight="1">
      <c r="A287" t="inlineStr">
        <is>
          <t>A 24784-2020</t>
        </is>
      </c>
      <c r="B287" s="1" t="n">
        <v>43978</v>
      </c>
      <c r="C287" s="1" t="n">
        <v>45510</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24782-2020</t>
        </is>
      </c>
      <c r="B288" s="1" t="n">
        <v>43978</v>
      </c>
      <c r="C288" s="1" t="n">
        <v>45510</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25761-2020</t>
        </is>
      </c>
      <c r="B289" s="1" t="n">
        <v>43984</v>
      </c>
      <c r="C289" s="1" t="n">
        <v>45510</v>
      </c>
      <c r="D289" t="inlineStr">
        <is>
          <t>KALMAR LÄN</t>
        </is>
      </c>
      <c r="E289" t="inlineStr">
        <is>
          <t>VIMMERBY</t>
        </is>
      </c>
      <c r="G289" t="n">
        <v>2.3</v>
      </c>
      <c r="H289" t="n">
        <v>0</v>
      </c>
      <c r="I289" t="n">
        <v>0</v>
      </c>
      <c r="J289" t="n">
        <v>0</v>
      </c>
      <c r="K289" t="n">
        <v>0</v>
      </c>
      <c r="L289" t="n">
        <v>0</v>
      </c>
      <c r="M289" t="n">
        <v>0</v>
      </c>
      <c r="N289" t="n">
        <v>0</v>
      </c>
      <c r="O289" t="n">
        <v>0</v>
      </c>
      <c r="P289" t="n">
        <v>0</v>
      </c>
      <c r="Q289" t="n">
        <v>0</v>
      </c>
      <c r="R289" s="2" t="inlineStr"/>
    </row>
    <row r="290" ht="15" customHeight="1">
      <c r="A290" t="inlineStr">
        <is>
          <t>A 26723-2020</t>
        </is>
      </c>
      <c r="B290" s="1" t="n">
        <v>43990</v>
      </c>
      <c r="C290" s="1" t="n">
        <v>45510</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27104-2020</t>
        </is>
      </c>
      <c r="B291" s="1" t="n">
        <v>43991</v>
      </c>
      <c r="C291" s="1" t="n">
        <v>45510</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27212-2020</t>
        </is>
      </c>
      <c r="B292" s="1" t="n">
        <v>43992</v>
      </c>
      <c r="C292" s="1" t="n">
        <v>45510</v>
      </c>
      <c r="D292" t="inlineStr">
        <is>
          <t>KALMAR LÄN</t>
        </is>
      </c>
      <c r="E292" t="inlineStr">
        <is>
          <t>VIMMERBY</t>
        </is>
      </c>
      <c r="G292" t="n">
        <v>1.6</v>
      </c>
      <c r="H292" t="n">
        <v>0</v>
      </c>
      <c r="I292" t="n">
        <v>0</v>
      </c>
      <c r="J292" t="n">
        <v>0</v>
      </c>
      <c r="K292" t="n">
        <v>0</v>
      </c>
      <c r="L292" t="n">
        <v>0</v>
      </c>
      <c r="M292" t="n">
        <v>0</v>
      </c>
      <c r="N292" t="n">
        <v>0</v>
      </c>
      <c r="O292" t="n">
        <v>0</v>
      </c>
      <c r="P292" t="n">
        <v>0</v>
      </c>
      <c r="Q292" t="n">
        <v>0</v>
      </c>
      <c r="R292" s="2" t="inlineStr"/>
    </row>
    <row r="293" ht="15" customHeight="1">
      <c r="A293" t="inlineStr">
        <is>
          <t>A 27316-2020</t>
        </is>
      </c>
      <c r="B293" s="1" t="n">
        <v>43992</v>
      </c>
      <c r="C293" s="1" t="n">
        <v>45510</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27214-2020</t>
        </is>
      </c>
      <c r="B294" s="1" t="n">
        <v>43992</v>
      </c>
      <c r="C294" s="1" t="n">
        <v>45510</v>
      </c>
      <c r="D294" t="inlineStr">
        <is>
          <t>KALMAR LÄN</t>
        </is>
      </c>
      <c r="E294" t="inlineStr">
        <is>
          <t>VIMMERBY</t>
        </is>
      </c>
      <c r="G294" t="n">
        <v>2.6</v>
      </c>
      <c r="H294" t="n">
        <v>0</v>
      </c>
      <c r="I294" t="n">
        <v>0</v>
      </c>
      <c r="J294" t="n">
        <v>0</v>
      </c>
      <c r="K294" t="n">
        <v>0</v>
      </c>
      <c r="L294" t="n">
        <v>0</v>
      </c>
      <c r="M294" t="n">
        <v>0</v>
      </c>
      <c r="N294" t="n">
        <v>0</v>
      </c>
      <c r="O294" t="n">
        <v>0</v>
      </c>
      <c r="P294" t="n">
        <v>0</v>
      </c>
      <c r="Q294" t="n">
        <v>0</v>
      </c>
      <c r="R294" s="2" t="inlineStr"/>
    </row>
    <row r="295" ht="15" customHeight="1">
      <c r="A295" t="inlineStr">
        <is>
          <t>A 27213-2020</t>
        </is>
      </c>
      <c r="B295" s="1" t="n">
        <v>43992</v>
      </c>
      <c r="C295" s="1" t="n">
        <v>45510</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27236-2020</t>
        </is>
      </c>
      <c r="B296" s="1" t="n">
        <v>43992</v>
      </c>
      <c r="C296" s="1" t="n">
        <v>45510</v>
      </c>
      <c r="D296" t="inlineStr">
        <is>
          <t>KALMAR LÄN</t>
        </is>
      </c>
      <c r="E296" t="inlineStr">
        <is>
          <t>VIMMERBY</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28853-2020</t>
        </is>
      </c>
      <c r="B297" s="1" t="n">
        <v>44000</v>
      </c>
      <c r="C297" s="1" t="n">
        <v>45510</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28885-2020</t>
        </is>
      </c>
      <c r="B298" s="1" t="n">
        <v>44000</v>
      </c>
      <c r="C298" s="1" t="n">
        <v>45510</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28969-2020</t>
        </is>
      </c>
      <c r="B299" s="1" t="n">
        <v>44000</v>
      </c>
      <c r="C299" s="1" t="n">
        <v>45510</v>
      </c>
      <c r="D299" t="inlineStr">
        <is>
          <t>KALMAR LÄN</t>
        </is>
      </c>
      <c r="E299" t="inlineStr">
        <is>
          <t>VIMMERBY</t>
        </is>
      </c>
      <c r="G299" t="n">
        <v>1.2</v>
      </c>
      <c r="H299" t="n">
        <v>0</v>
      </c>
      <c r="I299" t="n">
        <v>0</v>
      </c>
      <c r="J299" t="n">
        <v>0</v>
      </c>
      <c r="K299" t="n">
        <v>0</v>
      </c>
      <c r="L299" t="n">
        <v>0</v>
      </c>
      <c r="M299" t="n">
        <v>0</v>
      </c>
      <c r="N299" t="n">
        <v>0</v>
      </c>
      <c r="O299" t="n">
        <v>0</v>
      </c>
      <c r="P299" t="n">
        <v>0</v>
      </c>
      <c r="Q299" t="n">
        <v>0</v>
      </c>
      <c r="R299" s="2" t="inlineStr"/>
    </row>
    <row r="300" ht="15" customHeight="1">
      <c r="A300" t="inlineStr">
        <is>
          <t>A 29235-2020</t>
        </is>
      </c>
      <c r="B300" s="1" t="n">
        <v>44004</v>
      </c>
      <c r="C300" s="1" t="n">
        <v>45510</v>
      </c>
      <c r="D300" t="inlineStr">
        <is>
          <t>KALMAR LÄN</t>
        </is>
      </c>
      <c r="E300" t="inlineStr">
        <is>
          <t>VIMMERBY</t>
        </is>
      </c>
      <c r="G300" t="n">
        <v>3</v>
      </c>
      <c r="H300" t="n">
        <v>0</v>
      </c>
      <c r="I300" t="n">
        <v>0</v>
      </c>
      <c r="J300" t="n">
        <v>0</v>
      </c>
      <c r="K300" t="n">
        <v>0</v>
      </c>
      <c r="L300" t="n">
        <v>0</v>
      </c>
      <c r="M300" t="n">
        <v>0</v>
      </c>
      <c r="N300" t="n">
        <v>0</v>
      </c>
      <c r="O300" t="n">
        <v>0</v>
      </c>
      <c r="P300" t="n">
        <v>0</v>
      </c>
      <c r="Q300" t="n">
        <v>0</v>
      </c>
      <c r="R300" s="2" t="inlineStr"/>
    </row>
    <row r="301" ht="15" customHeight="1">
      <c r="A301" t="inlineStr">
        <is>
          <t>A 29913-2020</t>
        </is>
      </c>
      <c r="B301" s="1" t="n">
        <v>44006</v>
      </c>
      <c r="C301" s="1" t="n">
        <v>45510</v>
      </c>
      <c r="D301" t="inlineStr">
        <is>
          <t>KALMAR LÄN</t>
        </is>
      </c>
      <c r="E301" t="inlineStr">
        <is>
          <t>VIMMERBY</t>
        </is>
      </c>
      <c r="F301" t="inlineStr">
        <is>
          <t>Kommuner</t>
        </is>
      </c>
      <c r="G301" t="n">
        <v>3.8</v>
      </c>
      <c r="H301" t="n">
        <v>0</v>
      </c>
      <c r="I301" t="n">
        <v>0</v>
      </c>
      <c r="J301" t="n">
        <v>0</v>
      </c>
      <c r="K301" t="n">
        <v>0</v>
      </c>
      <c r="L301" t="n">
        <v>0</v>
      </c>
      <c r="M301" t="n">
        <v>0</v>
      </c>
      <c r="N301" t="n">
        <v>0</v>
      </c>
      <c r="O301" t="n">
        <v>0</v>
      </c>
      <c r="P301" t="n">
        <v>0</v>
      </c>
      <c r="Q301" t="n">
        <v>0</v>
      </c>
      <c r="R301" s="2" t="inlineStr"/>
    </row>
    <row r="302" ht="15" customHeight="1">
      <c r="A302" t="inlineStr">
        <is>
          <t>A 29918-2020</t>
        </is>
      </c>
      <c r="B302" s="1" t="n">
        <v>44006</v>
      </c>
      <c r="C302" s="1" t="n">
        <v>45510</v>
      </c>
      <c r="D302" t="inlineStr">
        <is>
          <t>KALMAR LÄN</t>
        </is>
      </c>
      <c r="E302" t="inlineStr">
        <is>
          <t>VIMMERBY</t>
        </is>
      </c>
      <c r="F302" t="inlineStr">
        <is>
          <t>Kommuner</t>
        </is>
      </c>
      <c r="G302" t="n">
        <v>2.5</v>
      </c>
      <c r="H302" t="n">
        <v>0</v>
      </c>
      <c r="I302" t="n">
        <v>0</v>
      </c>
      <c r="J302" t="n">
        <v>0</v>
      </c>
      <c r="K302" t="n">
        <v>0</v>
      </c>
      <c r="L302" t="n">
        <v>0</v>
      </c>
      <c r="M302" t="n">
        <v>0</v>
      </c>
      <c r="N302" t="n">
        <v>0</v>
      </c>
      <c r="O302" t="n">
        <v>0</v>
      </c>
      <c r="P302" t="n">
        <v>0</v>
      </c>
      <c r="Q302" t="n">
        <v>0</v>
      </c>
      <c r="R302" s="2" t="inlineStr"/>
    </row>
    <row r="303" ht="15" customHeight="1">
      <c r="A303" t="inlineStr">
        <is>
          <t>A 29979-2020</t>
        </is>
      </c>
      <c r="B303" s="1" t="n">
        <v>44006</v>
      </c>
      <c r="C303" s="1" t="n">
        <v>45510</v>
      </c>
      <c r="D303" t="inlineStr">
        <is>
          <t>KALMAR LÄN</t>
        </is>
      </c>
      <c r="E303" t="inlineStr">
        <is>
          <t>VIMMERBY</t>
        </is>
      </c>
      <c r="F303" t="inlineStr">
        <is>
          <t>Kommuner</t>
        </is>
      </c>
      <c r="G303" t="n">
        <v>1.4</v>
      </c>
      <c r="H303" t="n">
        <v>0</v>
      </c>
      <c r="I303" t="n">
        <v>0</v>
      </c>
      <c r="J303" t="n">
        <v>0</v>
      </c>
      <c r="K303" t="n">
        <v>0</v>
      </c>
      <c r="L303" t="n">
        <v>0</v>
      </c>
      <c r="M303" t="n">
        <v>0</v>
      </c>
      <c r="N303" t="n">
        <v>0</v>
      </c>
      <c r="O303" t="n">
        <v>0</v>
      </c>
      <c r="P303" t="n">
        <v>0</v>
      </c>
      <c r="Q303" t="n">
        <v>0</v>
      </c>
      <c r="R303" s="2" t="inlineStr"/>
    </row>
    <row r="304" ht="15" customHeight="1">
      <c r="A304" t="inlineStr">
        <is>
          <t>A 29935-2020</t>
        </is>
      </c>
      <c r="B304" s="1" t="n">
        <v>44006</v>
      </c>
      <c r="C304" s="1" t="n">
        <v>45510</v>
      </c>
      <c r="D304" t="inlineStr">
        <is>
          <t>KALMAR LÄN</t>
        </is>
      </c>
      <c r="E304" t="inlineStr">
        <is>
          <t>VIMMERBY</t>
        </is>
      </c>
      <c r="F304" t="inlineStr">
        <is>
          <t>Kommuner</t>
        </is>
      </c>
      <c r="G304" t="n">
        <v>0.7</v>
      </c>
      <c r="H304" t="n">
        <v>0</v>
      </c>
      <c r="I304" t="n">
        <v>0</v>
      </c>
      <c r="J304" t="n">
        <v>0</v>
      </c>
      <c r="K304" t="n">
        <v>0</v>
      </c>
      <c r="L304" t="n">
        <v>0</v>
      </c>
      <c r="M304" t="n">
        <v>0</v>
      </c>
      <c r="N304" t="n">
        <v>0</v>
      </c>
      <c r="O304" t="n">
        <v>0</v>
      </c>
      <c r="P304" t="n">
        <v>0</v>
      </c>
      <c r="Q304" t="n">
        <v>0</v>
      </c>
      <c r="R304" s="2" t="inlineStr"/>
    </row>
    <row r="305" ht="15" customHeight="1">
      <c r="A305" t="inlineStr">
        <is>
          <t>A 30206-2020</t>
        </is>
      </c>
      <c r="B305" s="1" t="n">
        <v>44007</v>
      </c>
      <c r="C305" s="1" t="n">
        <v>45510</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31289-2020</t>
        </is>
      </c>
      <c r="B306" s="1" t="n">
        <v>44012</v>
      </c>
      <c r="C306" s="1" t="n">
        <v>45510</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33159-2020</t>
        </is>
      </c>
      <c r="B307" s="1" t="n">
        <v>44021</v>
      </c>
      <c r="C307" s="1" t="n">
        <v>45510</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33279-2020</t>
        </is>
      </c>
      <c r="B308" s="1" t="n">
        <v>44022</v>
      </c>
      <c r="C308" s="1" t="n">
        <v>45510</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33856-2020</t>
        </is>
      </c>
      <c r="B309" s="1" t="n">
        <v>44027</v>
      </c>
      <c r="C309" s="1" t="n">
        <v>45510</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34350-2020</t>
        </is>
      </c>
      <c r="B310" s="1" t="n">
        <v>44028</v>
      </c>
      <c r="C310" s="1" t="n">
        <v>45510</v>
      </c>
      <c r="D310" t="inlineStr">
        <is>
          <t>KALMAR LÄN</t>
        </is>
      </c>
      <c r="E310" t="inlineStr">
        <is>
          <t>VIMMERBY</t>
        </is>
      </c>
      <c r="G310" t="n">
        <v>4.3</v>
      </c>
      <c r="H310" t="n">
        <v>0</v>
      </c>
      <c r="I310" t="n">
        <v>0</v>
      </c>
      <c r="J310" t="n">
        <v>0</v>
      </c>
      <c r="K310" t="n">
        <v>0</v>
      </c>
      <c r="L310" t="n">
        <v>0</v>
      </c>
      <c r="M310" t="n">
        <v>0</v>
      </c>
      <c r="N310" t="n">
        <v>0</v>
      </c>
      <c r="O310" t="n">
        <v>0</v>
      </c>
      <c r="P310" t="n">
        <v>0</v>
      </c>
      <c r="Q310" t="n">
        <v>0</v>
      </c>
      <c r="R310" s="2" t="inlineStr"/>
    </row>
    <row r="311" ht="15" customHeight="1">
      <c r="A311" t="inlineStr">
        <is>
          <t>A 34345-2020</t>
        </is>
      </c>
      <c r="B311" s="1" t="n">
        <v>44028</v>
      </c>
      <c r="C311" s="1" t="n">
        <v>45510</v>
      </c>
      <c r="D311" t="inlineStr">
        <is>
          <t>KALMAR LÄN</t>
        </is>
      </c>
      <c r="E311" t="inlineStr">
        <is>
          <t>VIMMERBY</t>
        </is>
      </c>
      <c r="G311" t="n">
        <v>5.1</v>
      </c>
      <c r="H311" t="n">
        <v>0</v>
      </c>
      <c r="I311" t="n">
        <v>0</v>
      </c>
      <c r="J311" t="n">
        <v>0</v>
      </c>
      <c r="K311" t="n">
        <v>0</v>
      </c>
      <c r="L311" t="n">
        <v>0</v>
      </c>
      <c r="M311" t="n">
        <v>0</v>
      </c>
      <c r="N311" t="n">
        <v>0</v>
      </c>
      <c r="O311" t="n">
        <v>0</v>
      </c>
      <c r="P311" t="n">
        <v>0</v>
      </c>
      <c r="Q311" t="n">
        <v>0</v>
      </c>
      <c r="R311" s="2" t="inlineStr"/>
    </row>
    <row r="312" ht="15" customHeight="1">
      <c r="A312" t="inlineStr">
        <is>
          <t>A 34719-2020</t>
        </is>
      </c>
      <c r="B312" s="1" t="n">
        <v>44035</v>
      </c>
      <c r="C312" s="1" t="n">
        <v>45510</v>
      </c>
      <c r="D312" t="inlineStr">
        <is>
          <t>KALMAR LÄN</t>
        </is>
      </c>
      <c r="E312" t="inlineStr">
        <is>
          <t>VIMMERBY</t>
        </is>
      </c>
      <c r="G312" t="n">
        <v>3.5</v>
      </c>
      <c r="H312" t="n">
        <v>0</v>
      </c>
      <c r="I312" t="n">
        <v>0</v>
      </c>
      <c r="J312" t="n">
        <v>0</v>
      </c>
      <c r="K312" t="n">
        <v>0</v>
      </c>
      <c r="L312" t="n">
        <v>0</v>
      </c>
      <c r="M312" t="n">
        <v>0</v>
      </c>
      <c r="N312" t="n">
        <v>0</v>
      </c>
      <c r="O312" t="n">
        <v>0</v>
      </c>
      <c r="P312" t="n">
        <v>0</v>
      </c>
      <c r="Q312" t="n">
        <v>0</v>
      </c>
      <c r="R312" s="2" t="inlineStr"/>
    </row>
    <row r="313" ht="15" customHeight="1">
      <c r="A313" t="inlineStr">
        <is>
          <t>A 34907-2020</t>
        </is>
      </c>
      <c r="B313" s="1" t="n">
        <v>44036</v>
      </c>
      <c r="C313" s="1" t="n">
        <v>45510</v>
      </c>
      <c r="D313" t="inlineStr">
        <is>
          <t>KALMAR LÄN</t>
        </is>
      </c>
      <c r="E313" t="inlineStr">
        <is>
          <t>VIMMERBY</t>
        </is>
      </c>
      <c r="G313" t="n">
        <v>2.8</v>
      </c>
      <c r="H313" t="n">
        <v>0</v>
      </c>
      <c r="I313" t="n">
        <v>0</v>
      </c>
      <c r="J313" t="n">
        <v>0</v>
      </c>
      <c r="K313" t="n">
        <v>0</v>
      </c>
      <c r="L313" t="n">
        <v>0</v>
      </c>
      <c r="M313" t="n">
        <v>0</v>
      </c>
      <c r="N313" t="n">
        <v>0</v>
      </c>
      <c r="O313" t="n">
        <v>0</v>
      </c>
      <c r="P313" t="n">
        <v>0</v>
      </c>
      <c r="Q313" t="n">
        <v>0</v>
      </c>
      <c r="R313" s="2" t="inlineStr"/>
    </row>
    <row r="314" ht="15" customHeight="1">
      <c r="A314" t="inlineStr">
        <is>
          <t>A 35350-2020</t>
        </is>
      </c>
      <c r="B314" s="1" t="n">
        <v>44041</v>
      </c>
      <c r="C314" s="1" t="n">
        <v>45510</v>
      </c>
      <c r="D314" t="inlineStr">
        <is>
          <t>KALMAR LÄN</t>
        </is>
      </c>
      <c r="E314" t="inlineStr">
        <is>
          <t>VIMMERBY</t>
        </is>
      </c>
      <c r="G314" t="n">
        <v>1.4</v>
      </c>
      <c r="H314" t="n">
        <v>0</v>
      </c>
      <c r="I314" t="n">
        <v>0</v>
      </c>
      <c r="J314" t="n">
        <v>0</v>
      </c>
      <c r="K314" t="n">
        <v>0</v>
      </c>
      <c r="L314" t="n">
        <v>0</v>
      </c>
      <c r="M314" t="n">
        <v>0</v>
      </c>
      <c r="N314" t="n">
        <v>0</v>
      </c>
      <c r="O314" t="n">
        <v>0</v>
      </c>
      <c r="P314" t="n">
        <v>0</v>
      </c>
      <c r="Q314" t="n">
        <v>0</v>
      </c>
      <c r="R314" s="2" t="inlineStr"/>
    </row>
    <row r="315" ht="15" customHeight="1">
      <c r="A315" t="inlineStr">
        <is>
          <t>A 35886-2020</t>
        </is>
      </c>
      <c r="B315" s="1" t="n">
        <v>44047</v>
      </c>
      <c r="C315" s="1" t="n">
        <v>45510</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36085-2020</t>
        </is>
      </c>
      <c r="B316" s="1" t="n">
        <v>44048</v>
      </c>
      <c r="C316" s="1" t="n">
        <v>45510</v>
      </c>
      <c r="D316" t="inlineStr">
        <is>
          <t>KALMAR LÄN</t>
        </is>
      </c>
      <c r="E316" t="inlineStr">
        <is>
          <t>VIMMERBY</t>
        </is>
      </c>
      <c r="G316" t="n">
        <v>2.5</v>
      </c>
      <c r="H316" t="n">
        <v>0</v>
      </c>
      <c r="I316" t="n">
        <v>0</v>
      </c>
      <c r="J316" t="n">
        <v>0</v>
      </c>
      <c r="K316" t="n">
        <v>0</v>
      </c>
      <c r="L316" t="n">
        <v>0</v>
      </c>
      <c r="M316" t="n">
        <v>0</v>
      </c>
      <c r="N316" t="n">
        <v>0</v>
      </c>
      <c r="O316" t="n">
        <v>0</v>
      </c>
      <c r="P316" t="n">
        <v>0</v>
      </c>
      <c r="Q316" t="n">
        <v>0</v>
      </c>
      <c r="R316" s="2" t="inlineStr"/>
    </row>
    <row r="317" ht="15" customHeight="1">
      <c r="A317" t="inlineStr">
        <is>
          <t>A 36161-2020</t>
        </is>
      </c>
      <c r="B317" s="1" t="n">
        <v>44048</v>
      </c>
      <c r="C317" s="1" t="n">
        <v>45510</v>
      </c>
      <c r="D317" t="inlineStr">
        <is>
          <t>KALMAR LÄN</t>
        </is>
      </c>
      <c r="E317" t="inlineStr">
        <is>
          <t>VIMMERBY</t>
        </is>
      </c>
      <c r="G317" t="n">
        <v>12.5</v>
      </c>
      <c r="H317" t="n">
        <v>0</v>
      </c>
      <c r="I317" t="n">
        <v>0</v>
      </c>
      <c r="J317" t="n">
        <v>0</v>
      </c>
      <c r="K317" t="n">
        <v>0</v>
      </c>
      <c r="L317" t="n">
        <v>0</v>
      </c>
      <c r="M317" t="n">
        <v>0</v>
      </c>
      <c r="N317" t="n">
        <v>0</v>
      </c>
      <c r="O317" t="n">
        <v>0</v>
      </c>
      <c r="P317" t="n">
        <v>0</v>
      </c>
      <c r="Q317" t="n">
        <v>0</v>
      </c>
      <c r="R317" s="2" t="inlineStr"/>
    </row>
    <row r="318" ht="15" customHeight="1">
      <c r="A318" t="inlineStr">
        <is>
          <t>A 37104-2020</t>
        </is>
      </c>
      <c r="B318" s="1" t="n">
        <v>44054</v>
      </c>
      <c r="C318" s="1" t="n">
        <v>45510</v>
      </c>
      <c r="D318" t="inlineStr">
        <is>
          <t>KALMAR LÄN</t>
        </is>
      </c>
      <c r="E318" t="inlineStr">
        <is>
          <t>VIMMERBY</t>
        </is>
      </c>
      <c r="G318" t="n">
        <v>2.8</v>
      </c>
      <c r="H318" t="n">
        <v>0</v>
      </c>
      <c r="I318" t="n">
        <v>0</v>
      </c>
      <c r="J318" t="n">
        <v>0</v>
      </c>
      <c r="K318" t="n">
        <v>0</v>
      </c>
      <c r="L318" t="n">
        <v>0</v>
      </c>
      <c r="M318" t="n">
        <v>0</v>
      </c>
      <c r="N318" t="n">
        <v>0</v>
      </c>
      <c r="O318" t="n">
        <v>0</v>
      </c>
      <c r="P318" t="n">
        <v>0</v>
      </c>
      <c r="Q318" t="n">
        <v>0</v>
      </c>
      <c r="R318" s="2" t="inlineStr"/>
    </row>
    <row r="319" ht="15" customHeight="1">
      <c r="A319" t="inlineStr">
        <is>
          <t>A 37201-2020</t>
        </is>
      </c>
      <c r="B319" s="1" t="n">
        <v>44054</v>
      </c>
      <c r="C319" s="1" t="n">
        <v>45510</v>
      </c>
      <c r="D319" t="inlineStr">
        <is>
          <t>KALMAR LÄN</t>
        </is>
      </c>
      <c r="E319" t="inlineStr">
        <is>
          <t>VIMMERBY</t>
        </is>
      </c>
      <c r="G319" t="n">
        <v>3.6</v>
      </c>
      <c r="H319" t="n">
        <v>0</v>
      </c>
      <c r="I319" t="n">
        <v>0</v>
      </c>
      <c r="J319" t="n">
        <v>0</v>
      </c>
      <c r="K319" t="n">
        <v>0</v>
      </c>
      <c r="L319" t="n">
        <v>0</v>
      </c>
      <c r="M319" t="n">
        <v>0</v>
      </c>
      <c r="N319" t="n">
        <v>0</v>
      </c>
      <c r="O319" t="n">
        <v>0</v>
      </c>
      <c r="P319" t="n">
        <v>0</v>
      </c>
      <c r="Q319" t="n">
        <v>0</v>
      </c>
      <c r="R319" s="2" t="inlineStr"/>
    </row>
    <row r="320" ht="15" customHeight="1">
      <c r="A320" t="inlineStr">
        <is>
          <t>A 37078-2020</t>
        </is>
      </c>
      <c r="B320" s="1" t="n">
        <v>44054</v>
      </c>
      <c r="C320" s="1" t="n">
        <v>45510</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37362-2020</t>
        </is>
      </c>
      <c r="B321" s="1" t="n">
        <v>44055</v>
      </c>
      <c r="C321" s="1" t="n">
        <v>45510</v>
      </c>
      <c r="D321" t="inlineStr">
        <is>
          <t>KALMAR LÄN</t>
        </is>
      </c>
      <c r="E321" t="inlineStr">
        <is>
          <t>VIMMERBY</t>
        </is>
      </c>
      <c r="F321" t="inlineStr">
        <is>
          <t>Övriga Aktiebolag</t>
        </is>
      </c>
      <c r="G321" t="n">
        <v>3</v>
      </c>
      <c r="H321" t="n">
        <v>0</v>
      </c>
      <c r="I321" t="n">
        <v>0</v>
      </c>
      <c r="J321" t="n">
        <v>0</v>
      </c>
      <c r="K321" t="n">
        <v>0</v>
      </c>
      <c r="L321" t="n">
        <v>0</v>
      </c>
      <c r="M321" t="n">
        <v>0</v>
      </c>
      <c r="N321" t="n">
        <v>0</v>
      </c>
      <c r="O321" t="n">
        <v>0</v>
      </c>
      <c r="P321" t="n">
        <v>0</v>
      </c>
      <c r="Q321" t="n">
        <v>0</v>
      </c>
      <c r="R321" s="2" t="inlineStr"/>
    </row>
    <row r="322" ht="15" customHeight="1">
      <c r="A322" t="inlineStr">
        <is>
          <t>A 37813-2020</t>
        </is>
      </c>
      <c r="B322" s="1" t="n">
        <v>44057</v>
      </c>
      <c r="C322" s="1" t="n">
        <v>45510</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37973-2020</t>
        </is>
      </c>
      <c r="B323" s="1" t="n">
        <v>44057</v>
      </c>
      <c r="C323" s="1" t="n">
        <v>45510</v>
      </c>
      <c r="D323" t="inlineStr">
        <is>
          <t>KALMAR LÄN</t>
        </is>
      </c>
      <c r="E323" t="inlineStr">
        <is>
          <t>VIMMERBY</t>
        </is>
      </c>
      <c r="G323" t="n">
        <v>2.4</v>
      </c>
      <c r="H323" t="n">
        <v>0</v>
      </c>
      <c r="I323" t="n">
        <v>0</v>
      </c>
      <c r="J323" t="n">
        <v>0</v>
      </c>
      <c r="K323" t="n">
        <v>0</v>
      </c>
      <c r="L323" t="n">
        <v>0</v>
      </c>
      <c r="M323" t="n">
        <v>0</v>
      </c>
      <c r="N323" t="n">
        <v>0</v>
      </c>
      <c r="O323" t="n">
        <v>0</v>
      </c>
      <c r="P323" t="n">
        <v>0</v>
      </c>
      <c r="Q323" t="n">
        <v>0</v>
      </c>
      <c r="R323" s="2" t="inlineStr"/>
    </row>
    <row r="324" ht="15" customHeight="1">
      <c r="A324" t="inlineStr">
        <is>
          <t>A 38153-2020</t>
        </is>
      </c>
      <c r="B324" s="1" t="n">
        <v>44060</v>
      </c>
      <c r="C324" s="1" t="n">
        <v>45510</v>
      </c>
      <c r="D324" t="inlineStr">
        <is>
          <t>KALMAR LÄN</t>
        </is>
      </c>
      <c r="E324" t="inlineStr">
        <is>
          <t>VIMMERBY</t>
        </is>
      </c>
      <c r="G324" t="n">
        <v>6</v>
      </c>
      <c r="H324" t="n">
        <v>0</v>
      </c>
      <c r="I324" t="n">
        <v>0</v>
      </c>
      <c r="J324" t="n">
        <v>0</v>
      </c>
      <c r="K324" t="n">
        <v>0</v>
      </c>
      <c r="L324" t="n">
        <v>0</v>
      </c>
      <c r="M324" t="n">
        <v>0</v>
      </c>
      <c r="N324" t="n">
        <v>0</v>
      </c>
      <c r="O324" t="n">
        <v>0</v>
      </c>
      <c r="P324" t="n">
        <v>0</v>
      </c>
      <c r="Q324" t="n">
        <v>0</v>
      </c>
      <c r="R324" s="2" t="inlineStr"/>
    </row>
    <row r="325" ht="15" customHeight="1">
      <c r="A325" t="inlineStr">
        <is>
          <t>A 38397-2020</t>
        </is>
      </c>
      <c r="B325" s="1" t="n">
        <v>44060</v>
      </c>
      <c r="C325" s="1" t="n">
        <v>45510</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38530-2020</t>
        </is>
      </c>
      <c r="B326" s="1" t="n">
        <v>44061</v>
      </c>
      <c r="C326" s="1" t="n">
        <v>45510</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38710-2020</t>
        </is>
      </c>
      <c r="B327" s="1" t="n">
        <v>44061</v>
      </c>
      <c r="C327" s="1" t="n">
        <v>45510</v>
      </c>
      <c r="D327" t="inlineStr">
        <is>
          <t>KALMAR LÄN</t>
        </is>
      </c>
      <c r="E327" t="inlineStr">
        <is>
          <t>VIMMERBY</t>
        </is>
      </c>
      <c r="G327" t="n">
        <v>2.2</v>
      </c>
      <c r="H327" t="n">
        <v>0</v>
      </c>
      <c r="I327" t="n">
        <v>0</v>
      </c>
      <c r="J327" t="n">
        <v>0</v>
      </c>
      <c r="K327" t="n">
        <v>0</v>
      </c>
      <c r="L327" t="n">
        <v>0</v>
      </c>
      <c r="M327" t="n">
        <v>0</v>
      </c>
      <c r="N327" t="n">
        <v>0</v>
      </c>
      <c r="O327" t="n">
        <v>0</v>
      </c>
      <c r="P327" t="n">
        <v>0</v>
      </c>
      <c r="Q327" t="n">
        <v>0</v>
      </c>
      <c r="R327" s="2" t="inlineStr"/>
    </row>
    <row r="328" ht="15" customHeight="1">
      <c r="A328" t="inlineStr">
        <is>
          <t>A 38844-2020</t>
        </is>
      </c>
      <c r="B328" s="1" t="n">
        <v>44062</v>
      </c>
      <c r="C328" s="1" t="n">
        <v>45510</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39191-2020</t>
        </is>
      </c>
      <c r="B329" s="1" t="n">
        <v>44063</v>
      </c>
      <c r="C329" s="1" t="n">
        <v>45510</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39251-2020</t>
        </is>
      </c>
      <c r="B330" s="1" t="n">
        <v>44063</v>
      </c>
      <c r="C330" s="1" t="n">
        <v>45510</v>
      </c>
      <c r="D330" t="inlineStr">
        <is>
          <t>KALMAR LÄN</t>
        </is>
      </c>
      <c r="E330" t="inlineStr">
        <is>
          <t>VIMMERBY</t>
        </is>
      </c>
      <c r="G330" t="n">
        <v>6.1</v>
      </c>
      <c r="H330" t="n">
        <v>0</v>
      </c>
      <c r="I330" t="n">
        <v>0</v>
      </c>
      <c r="J330" t="n">
        <v>0</v>
      </c>
      <c r="K330" t="n">
        <v>0</v>
      </c>
      <c r="L330" t="n">
        <v>0</v>
      </c>
      <c r="M330" t="n">
        <v>0</v>
      </c>
      <c r="N330" t="n">
        <v>0</v>
      </c>
      <c r="O330" t="n">
        <v>0</v>
      </c>
      <c r="P330" t="n">
        <v>0</v>
      </c>
      <c r="Q330" t="n">
        <v>0</v>
      </c>
      <c r="R330" s="2" t="inlineStr"/>
    </row>
    <row r="331" ht="15" customHeight="1">
      <c r="A331" t="inlineStr">
        <is>
          <t>A 39125-2020</t>
        </is>
      </c>
      <c r="B331" s="1" t="n">
        <v>44063</v>
      </c>
      <c r="C331" s="1" t="n">
        <v>45510</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39300-2020</t>
        </is>
      </c>
      <c r="B332" s="1" t="n">
        <v>44063</v>
      </c>
      <c r="C332" s="1" t="n">
        <v>45510</v>
      </c>
      <c r="D332" t="inlineStr">
        <is>
          <t>KALMAR LÄN</t>
        </is>
      </c>
      <c r="E332" t="inlineStr">
        <is>
          <t>VIMMERBY</t>
        </is>
      </c>
      <c r="G332" t="n">
        <v>5.1</v>
      </c>
      <c r="H332" t="n">
        <v>0</v>
      </c>
      <c r="I332" t="n">
        <v>0</v>
      </c>
      <c r="J332" t="n">
        <v>0</v>
      </c>
      <c r="K332" t="n">
        <v>0</v>
      </c>
      <c r="L332" t="n">
        <v>0</v>
      </c>
      <c r="M332" t="n">
        <v>0</v>
      </c>
      <c r="N332" t="n">
        <v>0</v>
      </c>
      <c r="O332" t="n">
        <v>0</v>
      </c>
      <c r="P332" t="n">
        <v>0</v>
      </c>
      <c r="Q332" t="n">
        <v>0</v>
      </c>
      <c r="R332" s="2" t="inlineStr"/>
    </row>
    <row r="333" ht="15" customHeight="1">
      <c r="A333" t="inlineStr">
        <is>
          <t>A 39288-2020</t>
        </is>
      </c>
      <c r="B333" s="1" t="n">
        <v>44063</v>
      </c>
      <c r="C333" s="1" t="n">
        <v>45510</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39508-2020</t>
        </is>
      </c>
      <c r="B334" s="1" t="n">
        <v>44064</v>
      </c>
      <c r="C334" s="1" t="n">
        <v>45510</v>
      </c>
      <c r="D334" t="inlineStr">
        <is>
          <t>KALMAR LÄN</t>
        </is>
      </c>
      <c r="E334" t="inlineStr">
        <is>
          <t>VIMMERBY</t>
        </is>
      </c>
      <c r="G334" t="n">
        <v>4.7</v>
      </c>
      <c r="H334" t="n">
        <v>0</v>
      </c>
      <c r="I334" t="n">
        <v>0</v>
      </c>
      <c r="J334" t="n">
        <v>0</v>
      </c>
      <c r="K334" t="n">
        <v>0</v>
      </c>
      <c r="L334" t="n">
        <v>0</v>
      </c>
      <c r="M334" t="n">
        <v>0</v>
      </c>
      <c r="N334" t="n">
        <v>0</v>
      </c>
      <c r="O334" t="n">
        <v>0</v>
      </c>
      <c r="P334" t="n">
        <v>0</v>
      </c>
      <c r="Q334" t="n">
        <v>0</v>
      </c>
      <c r="R334" s="2" t="inlineStr"/>
    </row>
    <row r="335" ht="15" customHeight="1">
      <c r="A335" t="inlineStr">
        <is>
          <t>A 39769-2020</t>
        </is>
      </c>
      <c r="B335" s="1" t="n">
        <v>44064</v>
      </c>
      <c r="C335" s="1" t="n">
        <v>45510</v>
      </c>
      <c r="D335" t="inlineStr">
        <is>
          <t>KALMAR LÄN</t>
        </is>
      </c>
      <c r="E335" t="inlineStr">
        <is>
          <t>VIMMERBY</t>
        </is>
      </c>
      <c r="G335" t="n">
        <v>24.6</v>
      </c>
      <c r="H335" t="n">
        <v>0</v>
      </c>
      <c r="I335" t="n">
        <v>0</v>
      </c>
      <c r="J335" t="n">
        <v>0</v>
      </c>
      <c r="K335" t="n">
        <v>0</v>
      </c>
      <c r="L335" t="n">
        <v>0</v>
      </c>
      <c r="M335" t="n">
        <v>0</v>
      </c>
      <c r="N335" t="n">
        <v>0</v>
      </c>
      <c r="O335" t="n">
        <v>0</v>
      </c>
      <c r="P335" t="n">
        <v>0</v>
      </c>
      <c r="Q335" t="n">
        <v>0</v>
      </c>
      <c r="R335" s="2" t="inlineStr"/>
    </row>
    <row r="336" ht="15" customHeight="1">
      <c r="A336" t="inlineStr">
        <is>
          <t>A 40239-2020</t>
        </is>
      </c>
      <c r="B336" s="1" t="n">
        <v>44068</v>
      </c>
      <c r="C336" s="1" t="n">
        <v>45510</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40766-2020</t>
        </is>
      </c>
      <c r="B337" s="1" t="n">
        <v>44070</v>
      </c>
      <c r="C337" s="1" t="n">
        <v>45510</v>
      </c>
      <c r="D337" t="inlineStr">
        <is>
          <t>KALMAR LÄN</t>
        </is>
      </c>
      <c r="E337" t="inlineStr">
        <is>
          <t>VIMMERBY</t>
        </is>
      </c>
      <c r="G337" t="n">
        <v>4.2</v>
      </c>
      <c r="H337" t="n">
        <v>0</v>
      </c>
      <c r="I337" t="n">
        <v>0</v>
      </c>
      <c r="J337" t="n">
        <v>0</v>
      </c>
      <c r="K337" t="n">
        <v>0</v>
      </c>
      <c r="L337" t="n">
        <v>0</v>
      </c>
      <c r="M337" t="n">
        <v>0</v>
      </c>
      <c r="N337" t="n">
        <v>0</v>
      </c>
      <c r="O337" t="n">
        <v>0</v>
      </c>
      <c r="P337" t="n">
        <v>0</v>
      </c>
      <c r="Q337" t="n">
        <v>0</v>
      </c>
      <c r="R337" s="2" t="inlineStr"/>
    </row>
    <row r="338" ht="15" customHeight="1">
      <c r="A338" t="inlineStr">
        <is>
          <t>A 40890-2020</t>
        </is>
      </c>
      <c r="B338" s="1" t="n">
        <v>44070</v>
      </c>
      <c r="C338" s="1" t="n">
        <v>45510</v>
      </c>
      <c r="D338" t="inlineStr">
        <is>
          <t>KALMAR LÄN</t>
        </is>
      </c>
      <c r="E338" t="inlineStr">
        <is>
          <t>VIMMERBY</t>
        </is>
      </c>
      <c r="G338" t="n">
        <v>1.6</v>
      </c>
      <c r="H338" t="n">
        <v>0</v>
      </c>
      <c r="I338" t="n">
        <v>0</v>
      </c>
      <c r="J338" t="n">
        <v>0</v>
      </c>
      <c r="K338" t="n">
        <v>0</v>
      </c>
      <c r="L338" t="n">
        <v>0</v>
      </c>
      <c r="M338" t="n">
        <v>0</v>
      </c>
      <c r="N338" t="n">
        <v>0</v>
      </c>
      <c r="O338" t="n">
        <v>0</v>
      </c>
      <c r="P338" t="n">
        <v>0</v>
      </c>
      <c r="Q338" t="n">
        <v>0</v>
      </c>
      <c r="R338" s="2" t="inlineStr"/>
    </row>
    <row r="339" ht="15" customHeight="1">
      <c r="A339" t="inlineStr">
        <is>
          <t>A 40812-2020</t>
        </is>
      </c>
      <c r="B339" s="1" t="n">
        <v>44070</v>
      </c>
      <c r="C339" s="1" t="n">
        <v>45510</v>
      </c>
      <c r="D339" t="inlineStr">
        <is>
          <t>KALMAR LÄN</t>
        </is>
      </c>
      <c r="E339" t="inlineStr">
        <is>
          <t>VIMMERBY</t>
        </is>
      </c>
      <c r="G339" t="n">
        <v>4.9</v>
      </c>
      <c r="H339" t="n">
        <v>0</v>
      </c>
      <c r="I339" t="n">
        <v>0</v>
      </c>
      <c r="J339" t="n">
        <v>0</v>
      </c>
      <c r="K339" t="n">
        <v>0</v>
      </c>
      <c r="L339" t="n">
        <v>0</v>
      </c>
      <c r="M339" t="n">
        <v>0</v>
      </c>
      <c r="N339" t="n">
        <v>0</v>
      </c>
      <c r="O339" t="n">
        <v>0</v>
      </c>
      <c r="P339" t="n">
        <v>0</v>
      </c>
      <c r="Q339" t="n">
        <v>0</v>
      </c>
      <c r="R339" s="2" t="inlineStr"/>
    </row>
    <row r="340" ht="15" customHeight="1">
      <c r="A340" t="inlineStr">
        <is>
          <t>A 40889-2020</t>
        </is>
      </c>
      <c r="B340" s="1" t="n">
        <v>44070</v>
      </c>
      <c r="C340" s="1" t="n">
        <v>45510</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40818-2020</t>
        </is>
      </c>
      <c r="B341" s="1" t="n">
        <v>44070</v>
      </c>
      <c r="C341" s="1" t="n">
        <v>45510</v>
      </c>
      <c r="D341" t="inlineStr">
        <is>
          <t>KALMAR LÄN</t>
        </is>
      </c>
      <c r="E341" t="inlineStr">
        <is>
          <t>VIMMERBY</t>
        </is>
      </c>
      <c r="G341" t="n">
        <v>2.2</v>
      </c>
      <c r="H341" t="n">
        <v>0</v>
      </c>
      <c r="I341" t="n">
        <v>0</v>
      </c>
      <c r="J341" t="n">
        <v>0</v>
      </c>
      <c r="K341" t="n">
        <v>0</v>
      </c>
      <c r="L341" t="n">
        <v>0</v>
      </c>
      <c r="M341" t="n">
        <v>0</v>
      </c>
      <c r="N341" t="n">
        <v>0</v>
      </c>
      <c r="O341" t="n">
        <v>0</v>
      </c>
      <c r="P341" t="n">
        <v>0</v>
      </c>
      <c r="Q341" t="n">
        <v>0</v>
      </c>
      <c r="R341" s="2" t="inlineStr"/>
    </row>
    <row r="342" ht="15" customHeight="1">
      <c r="A342" t="inlineStr">
        <is>
          <t>A 40808-2020</t>
        </is>
      </c>
      <c r="B342" s="1" t="n">
        <v>44070</v>
      </c>
      <c r="C342" s="1" t="n">
        <v>45510</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42067-2020</t>
        </is>
      </c>
      <c r="B343" s="1" t="n">
        <v>44075</v>
      </c>
      <c r="C343" s="1" t="n">
        <v>45510</v>
      </c>
      <c r="D343" t="inlineStr">
        <is>
          <t>KALMAR LÄN</t>
        </is>
      </c>
      <c r="E343" t="inlineStr">
        <is>
          <t>VIMMERBY</t>
        </is>
      </c>
      <c r="G343" t="n">
        <v>1.9</v>
      </c>
      <c r="H343" t="n">
        <v>0</v>
      </c>
      <c r="I343" t="n">
        <v>0</v>
      </c>
      <c r="J343" t="n">
        <v>0</v>
      </c>
      <c r="K343" t="n">
        <v>0</v>
      </c>
      <c r="L343" t="n">
        <v>0</v>
      </c>
      <c r="M343" t="n">
        <v>0</v>
      </c>
      <c r="N343" t="n">
        <v>0</v>
      </c>
      <c r="O343" t="n">
        <v>0</v>
      </c>
      <c r="P343" t="n">
        <v>0</v>
      </c>
      <c r="Q343" t="n">
        <v>0</v>
      </c>
      <c r="R343" s="2" t="inlineStr"/>
    </row>
    <row r="344" ht="15" customHeight="1">
      <c r="A344" t="inlineStr">
        <is>
          <t>A 42494-2020</t>
        </is>
      </c>
      <c r="B344" s="1" t="n">
        <v>44077</v>
      </c>
      <c r="C344" s="1" t="n">
        <v>45510</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44000-2020</t>
        </is>
      </c>
      <c r="B345" s="1" t="n">
        <v>44083</v>
      </c>
      <c r="C345" s="1" t="n">
        <v>45510</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43998-2020</t>
        </is>
      </c>
      <c r="B346" s="1" t="n">
        <v>44083</v>
      </c>
      <c r="C346" s="1" t="n">
        <v>45510</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44605-2020</t>
        </is>
      </c>
      <c r="B347" s="1" t="n">
        <v>44085</v>
      </c>
      <c r="C347" s="1" t="n">
        <v>45510</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45050-2020</t>
        </is>
      </c>
      <c r="B348" s="1" t="n">
        <v>44088</v>
      </c>
      <c r="C348" s="1" t="n">
        <v>45510</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45054-2020</t>
        </is>
      </c>
      <c r="B349" s="1" t="n">
        <v>44088</v>
      </c>
      <c r="C349" s="1" t="n">
        <v>45510</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45528-2020</t>
        </is>
      </c>
      <c r="B350" s="1" t="n">
        <v>44089</v>
      </c>
      <c r="C350" s="1" t="n">
        <v>45510</v>
      </c>
      <c r="D350" t="inlineStr">
        <is>
          <t>KALMAR LÄN</t>
        </is>
      </c>
      <c r="E350" t="inlineStr">
        <is>
          <t>VIMMERBY</t>
        </is>
      </c>
      <c r="G350" t="n">
        <v>3.8</v>
      </c>
      <c r="H350" t="n">
        <v>0</v>
      </c>
      <c r="I350" t="n">
        <v>0</v>
      </c>
      <c r="J350" t="n">
        <v>0</v>
      </c>
      <c r="K350" t="n">
        <v>0</v>
      </c>
      <c r="L350" t="n">
        <v>0</v>
      </c>
      <c r="M350" t="n">
        <v>0</v>
      </c>
      <c r="N350" t="n">
        <v>0</v>
      </c>
      <c r="O350" t="n">
        <v>0</v>
      </c>
      <c r="P350" t="n">
        <v>0</v>
      </c>
      <c r="Q350" t="n">
        <v>0</v>
      </c>
      <c r="R350" s="2" t="inlineStr"/>
    </row>
    <row r="351" ht="15" customHeight="1">
      <c r="A351" t="inlineStr">
        <is>
          <t>A 45678-2020</t>
        </is>
      </c>
      <c r="B351" s="1" t="n">
        <v>44090</v>
      </c>
      <c r="C351" s="1" t="n">
        <v>45510</v>
      </c>
      <c r="D351" t="inlineStr">
        <is>
          <t>KALMAR LÄN</t>
        </is>
      </c>
      <c r="E351" t="inlineStr">
        <is>
          <t>VIMMERBY</t>
        </is>
      </c>
      <c r="G351" t="n">
        <v>4.3</v>
      </c>
      <c r="H351" t="n">
        <v>0</v>
      </c>
      <c r="I351" t="n">
        <v>0</v>
      </c>
      <c r="J351" t="n">
        <v>0</v>
      </c>
      <c r="K351" t="n">
        <v>0</v>
      </c>
      <c r="L351" t="n">
        <v>0</v>
      </c>
      <c r="M351" t="n">
        <v>0</v>
      </c>
      <c r="N351" t="n">
        <v>0</v>
      </c>
      <c r="O351" t="n">
        <v>0</v>
      </c>
      <c r="P351" t="n">
        <v>0</v>
      </c>
      <c r="Q351" t="n">
        <v>0</v>
      </c>
      <c r="R351" s="2" t="inlineStr"/>
    </row>
    <row r="352" ht="15" customHeight="1">
      <c r="A352" t="inlineStr">
        <is>
          <t>A 46085-2020</t>
        </is>
      </c>
      <c r="B352" s="1" t="n">
        <v>44091</v>
      </c>
      <c r="C352" s="1" t="n">
        <v>45510</v>
      </c>
      <c r="D352" t="inlineStr">
        <is>
          <t>KALMAR LÄN</t>
        </is>
      </c>
      <c r="E352" t="inlineStr">
        <is>
          <t>VIMMERBY</t>
        </is>
      </c>
      <c r="G352" t="n">
        <v>6.1</v>
      </c>
      <c r="H352" t="n">
        <v>0</v>
      </c>
      <c r="I352" t="n">
        <v>0</v>
      </c>
      <c r="J352" t="n">
        <v>0</v>
      </c>
      <c r="K352" t="n">
        <v>0</v>
      </c>
      <c r="L352" t="n">
        <v>0</v>
      </c>
      <c r="M352" t="n">
        <v>0</v>
      </c>
      <c r="N352" t="n">
        <v>0</v>
      </c>
      <c r="O352" t="n">
        <v>0</v>
      </c>
      <c r="P352" t="n">
        <v>0</v>
      </c>
      <c r="Q352" t="n">
        <v>0</v>
      </c>
      <c r="R352" s="2" t="inlineStr"/>
    </row>
    <row r="353" ht="15" customHeight="1">
      <c r="A353" t="inlineStr">
        <is>
          <t>A 46461-2020</t>
        </is>
      </c>
      <c r="B353" s="1" t="n">
        <v>44092</v>
      </c>
      <c r="C353" s="1" t="n">
        <v>45510</v>
      </c>
      <c r="D353" t="inlineStr">
        <is>
          <t>KALMAR LÄN</t>
        </is>
      </c>
      <c r="E353" t="inlineStr">
        <is>
          <t>VIMMERBY</t>
        </is>
      </c>
      <c r="G353" t="n">
        <v>2.4</v>
      </c>
      <c r="H353" t="n">
        <v>0</v>
      </c>
      <c r="I353" t="n">
        <v>0</v>
      </c>
      <c r="J353" t="n">
        <v>0</v>
      </c>
      <c r="K353" t="n">
        <v>0</v>
      </c>
      <c r="L353" t="n">
        <v>0</v>
      </c>
      <c r="M353" t="n">
        <v>0</v>
      </c>
      <c r="N353" t="n">
        <v>0</v>
      </c>
      <c r="O353" t="n">
        <v>0</v>
      </c>
      <c r="P353" t="n">
        <v>0</v>
      </c>
      <c r="Q353" t="n">
        <v>0</v>
      </c>
      <c r="R353" s="2" t="inlineStr"/>
    </row>
    <row r="354" ht="15" customHeight="1">
      <c r="A354" t="inlineStr">
        <is>
          <t>A 46527-2020</t>
        </is>
      </c>
      <c r="B354" s="1" t="n">
        <v>44095</v>
      </c>
      <c r="C354" s="1" t="n">
        <v>45510</v>
      </c>
      <c r="D354" t="inlineStr">
        <is>
          <t>KALMAR LÄN</t>
        </is>
      </c>
      <c r="E354" t="inlineStr">
        <is>
          <t>VIMMERBY</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47295-2020</t>
        </is>
      </c>
      <c r="B355" s="1" t="n">
        <v>44097</v>
      </c>
      <c r="C355" s="1" t="n">
        <v>45510</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49059-2020</t>
        </is>
      </c>
      <c r="B356" s="1" t="n">
        <v>44102</v>
      </c>
      <c r="C356" s="1" t="n">
        <v>45510</v>
      </c>
      <c r="D356" t="inlineStr">
        <is>
          <t>KALMAR LÄN</t>
        </is>
      </c>
      <c r="E356" t="inlineStr">
        <is>
          <t>VIMMERBY</t>
        </is>
      </c>
      <c r="G356" t="n">
        <v>5.8</v>
      </c>
      <c r="H356" t="n">
        <v>0</v>
      </c>
      <c r="I356" t="n">
        <v>0</v>
      </c>
      <c r="J356" t="n">
        <v>0</v>
      </c>
      <c r="K356" t="n">
        <v>0</v>
      </c>
      <c r="L356" t="n">
        <v>0</v>
      </c>
      <c r="M356" t="n">
        <v>0</v>
      </c>
      <c r="N356" t="n">
        <v>0</v>
      </c>
      <c r="O356" t="n">
        <v>0</v>
      </c>
      <c r="P356" t="n">
        <v>0</v>
      </c>
      <c r="Q356" t="n">
        <v>0</v>
      </c>
      <c r="R356" s="2" t="inlineStr"/>
    </row>
    <row r="357" ht="15" customHeight="1">
      <c r="A357" t="inlineStr">
        <is>
          <t>A 48949-2020</t>
        </is>
      </c>
      <c r="B357" s="1" t="n">
        <v>44102</v>
      </c>
      <c r="C357" s="1" t="n">
        <v>45510</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49186-2020</t>
        </is>
      </c>
      <c r="B358" s="1" t="n">
        <v>44105</v>
      </c>
      <c r="C358" s="1" t="n">
        <v>45510</v>
      </c>
      <c r="D358" t="inlineStr">
        <is>
          <t>KALMAR LÄN</t>
        </is>
      </c>
      <c r="E358" t="inlineStr">
        <is>
          <t>VIMMERBY</t>
        </is>
      </c>
      <c r="F358" t="inlineStr">
        <is>
          <t>Sveaskog</t>
        </is>
      </c>
      <c r="G358" t="n">
        <v>3.8</v>
      </c>
      <c r="H358" t="n">
        <v>0</v>
      </c>
      <c r="I358" t="n">
        <v>0</v>
      </c>
      <c r="J358" t="n">
        <v>0</v>
      </c>
      <c r="K358" t="n">
        <v>0</v>
      </c>
      <c r="L358" t="n">
        <v>0</v>
      </c>
      <c r="M358" t="n">
        <v>0</v>
      </c>
      <c r="N358" t="n">
        <v>0</v>
      </c>
      <c r="O358" t="n">
        <v>0</v>
      </c>
      <c r="P358" t="n">
        <v>0</v>
      </c>
      <c r="Q358" t="n">
        <v>0</v>
      </c>
      <c r="R358" s="2" t="inlineStr"/>
    </row>
    <row r="359" ht="15" customHeight="1">
      <c r="A359" t="inlineStr">
        <is>
          <t>A 51571-2020</t>
        </is>
      </c>
      <c r="B359" s="1" t="n">
        <v>44109</v>
      </c>
      <c r="C359" s="1" t="n">
        <v>45510</v>
      </c>
      <c r="D359" t="inlineStr">
        <is>
          <t>KALMAR LÄN</t>
        </is>
      </c>
      <c r="E359" t="inlineStr">
        <is>
          <t>VIMMERBY</t>
        </is>
      </c>
      <c r="G359" t="n">
        <v>6.1</v>
      </c>
      <c r="H359" t="n">
        <v>0</v>
      </c>
      <c r="I359" t="n">
        <v>0</v>
      </c>
      <c r="J359" t="n">
        <v>0</v>
      </c>
      <c r="K359" t="n">
        <v>0</v>
      </c>
      <c r="L359" t="n">
        <v>0</v>
      </c>
      <c r="M359" t="n">
        <v>0</v>
      </c>
      <c r="N359" t="n">
        <v>0</v>
      </c>
      <c r="O359" t="n">
        <v>0</v>
      </c>
      <c r="P359" t="n">
        <v>0</v>
      </c>
      <c r="Q359" t="n">
        <v>0</v>
      </c>
      <c r="R359" s="2" t="inlineStr"/>
    </row>
    <row r="360" ht="15" customHeight="1">
      <c r="A360" t="inlineStr">
        <is>
          <t>A 51569-2020</t>
        </is>
      </c>
      <c r="B360" s="1" t="n">
        <v>44109</v>
      </c>
      <c r="C360" s="1" t="n">
        <v>45510</v>
      </c>
      <c r="D360" t="inlineStr">
        <is>
          <t>KALMAR LÄN</t>
        </is>
      </c>
      <c r="E360" t="inlineStr">
        <is>
          <t>VIMMERBY</t>
        </is>
      </c>
      <c r="G360" t="n">
        <v>2.3</v>
      </c>
      <c r="H360" t="n">
        <v>0</v>
      </c>
      <c r="I360" t="n">
        <v>0</v>
      </c>
      <c r="J360" t="n">
        <v>0</v>
      </c>
      <c r="K360" t="n">
        <v>0</v>
      </c>
      <c r="L360" t="n">
        <v>0</v>
      </c>
      <c r="M360" t="n">
        <v>0</v>
      </c>
      <c r="N360" t="n">
        <v>0</v>
      </c>
      <c r="O360" t="n">
        <v>0</v>
      </c>
      <c r="P360" t="n">
        <v>0</v>
      </c>
      <c r="Q360" t="n">
        <v>0</v>
      </c>
      <c r="R360" s="2" t="inlineStr"/>
    </row>
    <row r="361" ht="15" customHeight="1">
      <c r="A361" t="inlineStr">
        <is>
          <t>A 50764-2020</t>
        </is>
      </c>
      <c r="B361" s="1" t="n">
        <v>44111</v>
      </c>
      <c r="C361" s="1" t="n">
        <v>45510</v>
      </c>
      <c r="D361" t="inlineStr">
        <is>
          <t>KALMAR LÄN</t>
        </is>
      </c>
      <c r="E361" t="inlineStr">
        <is>
          <t>VIMMERBY</t>
        </is>
      </c>
      <c r="G361" t="n">
        <v>2.3</v>
      </c>
      <c r="H361" t="n">
        <v>0</v>
      </c>
      <c r="I361" t="n">
        <v>0</v>
      </c>
      <c r="J361" t="n">
        <v>0</v>
      </c>
      <c r="K361" t="n">
        <v>0</v>
      </c>
      <c r="L361" t="n">
        <v>0</v>
      </c>
      <c r="M361" t="n">
        <v>0</v>
      </c>
      <c r="N361" t="n">
        <v>0</v>
      </c>
      <c r="O361" t="n">
        <v>0</v>
      </c>
      <c r="P361" t="n">
        <v>0</v>
      </c>
      <c r="Q361" t="n">
        <v>0</v>
      </c>
      <c r="R361" s="2" t="inlineStr"/>
    </row>
    <row r="362" ht="15" customHeight="1">
      <c r="A362" t="inlineStr">
        <is>
          <t>A 51977-2020</t>
        </is>
      </c>
      <c r="B362" s="1" t="n">
        <v>44116</v>
      </c>
      <c r="C362" s="1" t="n">
        <v>45510</v>
      </c>
      <c r="D362" t="inlineStr">
        <is>
          <t>KALMAR LÄN</t>
        </is>
      </c>
      <c r="E362" t="inlineStr">
        <is>
          <t>VIMMERBY</t>
        </is>
      </c>
      <c r="G362" t="n">
        <v>1.5</v>
      </c>
      <c r="H362" t="n">
        <v>0</v>
      </c>
      <c r="I362" t="n">
        <v>0</v>
      </c>
      <c r="J362" t="n">
        <v>0</v>
      </c>
      <c r="K362" t="n">
        <v>0</v>
      </c>
      <c r="L362" t="n">
        <v>0</v>
      </c>
      <c r="M362" t="n">
        <v>0</v>
      </c>
      <c r="N362" t="n">
        <v>0</v>
      </c>
      <c r="O362" t="n">
        <v>0</v>
      </c>
      <c r="P362" t="n">
        <v>0</v>
      </c>
      <c r="Q362" t="n">
        <v>0</v>
      </c>
      <c r="R362" s="2" t="inlineStr"/>
    </row>
    <row r="363" ht="15" customHeight="1">
      <c r="A363" t="inlineStr">
        <is>
          <t>A 52073-2020</t>
        </is>
      </c>
      <c r="B363" s="1" t="n">
        <v>44117</v>
      </c>
      <c r="C363" s="1" t="n">
        <v>45510</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53100-2020</t>
        </is>
      </c>
      <c r="B364" s="1" t="n">
        <v>44120</v>
      </c>
      <c r="C364" s="1" t="n">
        <v>45510</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53387-2020</t>
        </is>
      </c>
      <c r="B365" s="1" t="n">
        <v>44123</v>
      </c>
      <c r="C365" s="1" t="n">
        <v>45510</v>
      </c>
      <c r="D365" t="inlineStr">
        <is>
          <t>KALMAR LÄN</t>
        </is>
      </c>
      <c r="E365" t="inlineStr">
        <is>
          <t>VIMMERBY</t>
        </is>
      </c>
      <c r="G365" t="n">
        <v>7.2</v>
      </c>
      <c r="H365" t="n">
        <v>0</v>
      </c>
      <c r="I365" t="n">
        <v>0</v>
      </c>
      <c r="J365" t="n">
        <v>0</v>
      </c>
      <c r="K365" t="n">
        <v>0</v>
      </c>
      <c r="L365" t="n">
        <v>0</v>
      </c>
      <c r="M365" t="n">
        <v>0</v>
      </c>
      <c r="N365" t="n">
        <v>0</v>
      </c>
      <c r="O365" t="n">
        <v>0</v>
      </c>
      <c r="P365" t="n">
        <v>0</v>
      </c>
      <c r="Q365" t="n">
        <v>0</v>
      </c>
      <c r="R365" s="2" t="inlineStr"/>
    </row>
    <row r="366" ht="15" customHeight="1">
      <c r="A366" t="inlineStr">
        <is>
          <t>A 53711-2020</t>
        </is>
      </c>
      <c r="B366" s="1" t="n">
        <v>44124</v>
      </c>
      <c r="C366" s="1" t="n">
        <v>45510</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54917-2020</t>
        </is>
      </c>
      <c r="B367" s="1" t="n">
        <v>44127</v>
      </c>
      <c r="C367" s="1" t="n">
        <v>45510</v>
      </c>
      <c r="D367" t="inlineStr">
        <is>
          <t>KALMAR LÄN</t>
        </is>
      </c>
      <c r="E367" t="inlineStr">
        <is>
          <t>VIMMERBY</t>
        </is>
      </c>
      <c r="G367" t="n">
        <v>9.5</v>
      </c>
      <c r="H367" t="n">
        <v>0</v>
      </c>
      <c r="I367" t="n">
        <v>0</v>
      </c>
      <c r="J367" t="n">
        <v>0</v>
      </c>
      <c r="K367" t="n">
        <v>0</v>
      </c>
      <c r="L367" t="n">
        <v>0</v>
      </c>
      <c r="M367" t="n">
        <v>0</v>
      </c>
      <c r="N367" t="n">
        <v>0</v>
      </c>
      <c r="O367" t="n">
        <v>0</v>
      </c>
      <c r="P367" t="n">
        <v>0</v>
      </c>
      <c r="Q367" t="n">
        <v>0</v>
      </c>
      <c r="R367" s="2" t="inlineStr"/>
    </row>
    <row r="368" ht="15" customHeight="1">
      <c r="A368" t="inlineStr">
        <is>
          <t>A 55053-2020</t>
        </is>
      </c>
      <c r="B368" s="1" t="n">
        <v>44130</v>
      </c>
      <c r="C368" s="1" t="n">
        <v>45510</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57948-2020</t>
        </is>
      </c>
      <c r="B369" s="1" t="n">
        <v>44142</v>
      </c>
      <c r="C369" s="1" t="n">
        <v>45510</v>
      </c>
      <c r="D369" t="inlineStr">
        <is>
          <t>KALMAR LÄN</t>
        </is>
      </c>
      <c r="E369" t="inlineStr">
        <is>
          <t>VIMMERBY</t>
        </is>
      </c>
      <c r="G369" t="n">
        <v>7.1</v>
      </c>
      <c r="H369" t="n">
        <v>0</v>
      </c>
      <c r="I369" t="n">
        <v>0</v>
      </c>
      <c r="J369" t="n">
        <v>0</v>
      </c>
      <c r="K369" t="n">
        <v>0</v>
      </c>
      <c r="L369" t="n">
        <v>0</v>
      </c>
      <c r="M369" t="n">
        <v>0</v>
      </c>
      <c r="N369" t="n">
        <v>0</v>
      </c>
      <c r="O369" t="n">
        <v>0</v>
      </c>
      <c r="P369" t="n">
        <v>0</v>
      </c>
      <c r="Q369" t="n">
        <v>0</v>
      </c>
      <c r="R369" s="2" t="inlineStr"/>
    </row>
    <row r="370" ht="15" customHeight="1">
      <c r="A370" t="inlineStr">
        <is>
          <t>A 58026-2020</t>
        </is>
      </c>
      <c r="B370" s="1" t="n">
        <v>44144</v>
      </c>
      <c r="C370" s="1" t="n">
        <v>45510</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58145-2020</t>
        </is>
      </c>
      <c r="B371" s="1" t="n">
        <v>44144</v>
      </c>
      <c r="C371" s="1" t="n">
        <v>45510</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60810-2020</t>
        </is>
      </c>
      <c r="B372" s="1" t="n">
        <v>44154</v>
      </c>
      <c r="C372" s="1" t="n">
        <v>45510</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61878-2020</t>
        </is>
      </c>
      <c r="B373" s="1" t="n">
        <v>44159</v>
      </c>
      <c r="C373" s="1" t="n">
        <v>45510</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64707-2020</t>
        </is>
      </c>
      <c r="B374" s="1" t="n">
        <v>44169</v>
      </c>
      <c r="C374" s="1" t="n">
        <v>45510</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65049-2020</t>
        </is>
      </c>
      <c r="B375" s="1" t="n">
        <v>44172</v>
      </c>
      <c r="C375" s="1" t="n">
        <v>45510</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65564-2020</t>
        </is>
      </c>
      <c r="B376" s="1" t="n">
        <v>44172</v>
      </c>
      <c r="C376" s="1" t="n">
        <v>45510</v>
      </c>
      <c r="D376" t="inlineStr">
        <is>
          <t>KALMAR LÄN</t>
        </is>
      </c>
      <c r="E376" t="inlineStr">
        <is>
          <t>VIMMERBY</t>
        </is>
      </c>
      <c r="G376" t="n">
        <v>4.1</v>
      </c>
      <c r="H376" t="n">
        <v>0</v>
      </c>
      <c r="I376" t="n">
        <v>0</v>
      </c>
      <c r="J376" t="n">
        <v>0</v>
      </c>
      <c r="K376" t="n">
        <v>0</v>
      </c>
      <c r="L376" t="n">
        <v>0</v>
      </c>
      <c r="M376" t="n">
        <v>0</v>
      </c>
      <c r="N376" t="n">
        <v>0</v>
      </c>
      <c r="O376" t="n">
        <v>0</v>
      </c>
      <c r="P376" t="n">
        <v>0</v>
      </c>
      <c r="Q376" t="n">
        <v>0</v>
      </c>
      <c r="R376" s="2" t="inlineStr"/>
    </row>
    <row r="377" ht="15" customHeight="1">
      <c r="A377" t="inlineStr">
        <is>
          <t>A 65956-2020</t>
        </is>
      </c>
      <c r="B377" s="1" t="n">
        <v>44175</v>
      </c>
      <c r="C377" s="1" t="n">
        <v>45510</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65952-2020</t>
        </is>
      </c>
      <c r="B378" s="1" t="n">
        <v>44175</v>
      </c>
      <c r="C378" s="1" t="n">
        <v>45510</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65961-2020</t>
        </is>
      </c>
      <c r="B379" s="1" t="n">
        <v>44175</v>
      </c>
      <c r="C379" s="1" t="n">
        <v>45510</v>
      </c>
      <c r="D379" t="inlineStr">
        <is>
          <t>KALMAR LÄN</t>
        </is>
      </c>
      <c r="E379" t="inlineStr">
        <is>
          <t>VIMMERBY</t>
        </is>
      </c>
      <c r="G379" t="n">
        <v>2.6</v>
      </c>
      <c r="H379" t="n">
        <v>0</v>
      </c>
      <c r="I379" t="n">
        <v>0</v>
      </c>
      <c r="J379" t="n">
        <v>0</v>
      </c>
      <c r="K379" t="n">
        <v>0</v>
      </c>
      <c r="L379" t="n">
        <v>0</v>
      </c>
      <c r="M379" t="n">
        <v>0</v>
      </c>
      <c r="N379" t="n">
        <v>0</v>
      </c>
      <c r="O379" t="n">
        <v>0</v>
      </c>
      <c r="P379" t="n">
        <v>0</v>
      </c>
      <c r="Q379" t="n">
        <v>0</v>
      </c>
      <c r="R379" s="2" t="inlineStr"/>
    </row>
    <row r="380" ht="15" customHeight="1">
      <c r="A380" t="inlineStr">
        <is>
          <t>A 65973-2020</t>
        </is>
      </c>
      <c r="B380" s="1" t="n">
        <v>44175</v>
      </c>
      <c r="C380" s="1" t="n">
        <v>45510</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66913-2020</t>
        </is>
      </c>
      <c r="B381" s="1" t="n">
        <v>44175</v>
      </c>
      <c r="C381" s="1" t="n">
        <v>45510</v>
      </c>
      <c r="D381" t="inlineStr">
        <is>
          <t>KALMAR LÄN</t>
        </is>
      </c>
      <c r="E381" t="inlineStr">
        <is>
          <t>VIMMERBY</t>
        </is>
      </c>
      <c r="G381" t="n">
        <v>5.6</v>
      </c>
      <c r="H381" t="n">
        <v>0</v>
      </c>
      <c r="I381" t="n">
        <v>0</v>
      </c>
      <c r="J381" t="n">
        <v>0</v>
      </c>
      <c r="K381" t="n">
        <v>0</v>
      </c>
      <c r="L381" t="n">
        <v>0</v>
      </c>
      <c r="M381" t="n">
        <v>0</v>
      </c>
      <c r="N381" t="n">
        <v>0</v>
      </c>
      <c r="O381" t="n">
        <v>0</v>
      </c>
      <c r="P381" t="n">
        <v>0</v>
      </c>
      <c r="Q381" t="n">
        <v>0</v>
      </c>
      <c r="R381" s="2" t="inlineStr"/>
    </row>
    <row r="382" ht="15" customHeight="1">
      <c r="A382" t="inlineStr">
        <is>
          <t>A 66295-2020</t>
        </is>
      </c>
      <c r="B382" s="1" t="n">
        <v>44176</v>
      </c>
      <c r="C382" s="1" t="n">
        <v>45510</v>
      </c>
      <c r="D382" t="inlineStr">
        <is>
          <t>KALMAR LÄN</t>
        </is>
      </c>
      <c r="E382" t="inlineStr">
        <is>
          <t>VIMMERBY</t>
        </is>
      </c>
      <c r="G382" t="n">
        <v>4.1</v>
      </c>
      <c r="H382" t="n">
        <v>0</v>
      </c>
      <c r="I382" t="n">
        <v>0</v>
      </c>
      <c r="J382" t="n">
        <v>0</v>
      </c>
      <c r="K382" t="n">
        <v>0</v>
      </c>
      <c r="L382" t="n">
        <v>0</v>
      </c>
      <c r="M382" t="n">
        <v>0</v>
      </c>
      <c r="N382" t="n">
        <v>0</v>
      </c>
      <c r="O382" t="n">
        <v>0</v>
      </c>
      <c r="P382" t="n">
        <v>0</v>
      </c>
      <c r="Q382" t="n">
        <v>0</v>
      </c>
      <c r="R382" s="2" t="inlineStr"/>
    </row>
    <row r="383" ht="15" customHeight="1">
      <c r="A383" t="inlineStr">
        <is>
          <t>A 68744-2020</t>
        </is>
      </c>
      <c r="B383" s="1" t="n">
        <v>44186</v>
      </c>
      <c r="C383" s="1" t="n">
        <v>45510</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68785-2020</t>
        </is>
      </c>
      <c r="B384" s="1" t="n">
        <v>44186</v>
      </c>
      <c r="C384" s="1" t="n">
        <v>45510</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618-2021</t>
        </is>
      </c>
      <c r="B385" s="1" t="n">
        <v>44203</v>
      </c>
      <c r="C385" s="1" t="n">
        <v>45510</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1929-2021</t>
        </is>
      </c>
      <c r="B386" s="1" t="n">
        <v>44210</v>
      </c>
      <c r="C386" s="1" t="n">
        <v>45510</v>
      </c>
      <c r="D386" t="inlineStr">
        <is>
          <t>KALMAR LÄN</t>
        </is>
      </c>
      <c r="E386" t="inlineStr">
        <is>
          <t>VIMMERBY</t>
        </is>
      </c>
      <c r="G386" t="n">
        <v>1.6</v>
      </c>
      <c r="H386" t="n">
        <v>0</v>
      </c>
      <c r="I386" t="n">
        <v>0</v>
      </c>
      <c r="J386" t="n">
        <v>0</v>
      </c>
      <c r="K386" t="n">
        <v>0</v>
      </c>
      <c r="L386" t="n">
        <v>0</v>
      </c>
      <c r="M386" t="n">
        <v>0</v>
      </c>
      <c r="N386" t="n">
        <v>0</v>
      </c>
      <c r="O386" t="n">
        <v>0</v>
      </c>
      <c r="P386" t="n">
        <v>0</v>
      </c>
      <c r="Q386" t="n">
        <v>0</v>
      </c>
      <c r="R386" s="2" t="inlineStr"/>
    </row>
    <row r="387" ht="15" customHeight="1">
      <c r="A387" t="inlineStr">
        <is>
          <t>A 2555-2021</t>
        </is>
      </c>
      <c r="B387" s="1" t="n">
        <v>44214</v>
      </c>
      <c r="C387" s="1" t="n">
        <v>45510</v>
      </c>
      <c r="D387" t="inlineStr">
        <is>
          <t>KALMAR LÄN</t>
        </is>
      </c>
      <c r="E387" t="inlineStr">
        <is>
          <t>VIMMERBY</t>
        </is>
      </c>
      <c r="G387" t="n">
        <v>7.3</v>
      </c>
      <c r="H387" t="n">
        <v>0</v>
      </c>
      <c r="I387" t="n">
        <v>0</v>
      </c>
      <c r="J387" t="n">
        <v>0</v>
      </c>
      <c r="K387" t="n">
        <v>0</v>
      </c>
      <c r="L387" t="n">
        <v>0</v>
      </c>
      <c r="M387" t="n">
        <v>0</v>
      </c>
      <c r="N387" t="n">
        <v>0</v>
      </c>
      <c r="O387" t="n">
        <v>0</v>
      </c>
      <c r="P387" t="n">
        <v>0</v>
      </c>
      <c r="Q387" t="n">
        <v>0</v>
      </c>
      <c r="R387" s="2" t="inlineStr"/>
    </row>
    <row r="388" ht="15" customHeight="1">
      <c r="A388" t="inlineStr">
        <is>
          <t>A 2654-2021</t>
        </is>
      </c>
      <c r="B388" s="1" t="n">
        <v>44215</v>
      </c>
      <c r="C388" s="1" t="n">
        <v>45510</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3330-2021</t>
        </is>
      </c>
      <c r="B389" s="1" t="n">
        <v>44217</v>
      </c>
      <c r="C389" s="1" t="n">
        <v>45510</v>
      </c>
      <c r="D389" t="inlineStr">
        <is>
          <t>KALMAR LÄN</t>
        </is>
      </c>
      <c r="E389" t="inlineStr">
        <is>
          <t>VIMMERBY</t>
        </is>
      </c>
      <c r="G389" t="n">
        <v>11.1</v>
      </c>
      <c r="H389" t="n">
        <v>0</v>
      </c>
      <c r="I389" t="n">
        <v>0</v>
      </c>
      <c r="J389" t="n">
        <v>0</v>
      </c>
      <c r="K389" t="n">
        <v>0</v>
      </c>
      <c r="L389" t="n">
        <v>0</v>
      </c>
      <c r="M389" t="n">
        <v>0</v>
      </c>
      <c r="N389" t="n">
        <v>0</v>
      </c>
      <c r="O389" t="n">
        <v>0</v>
      </c>
      <c r="P389" t="n">
        <v>0</v>
      </c>
      <c r="Q389" t="n">
        <v>0</v>
      </c>
      <c r="R389" s="2" t="inlineStr"/>
    </row>
    <row r="390" ht="15" customHeight="1">
      <c r="A390" t="inlineStr">
        <is>
          <t>A 3184-2021</t>
        </is>
      </c>
      <c r="B390" s="1" t="n">
        <v>44217</v>
      </c>
      <c r="C390" s="1" t="n">
        <v>45510</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3621-2021</t>
        </is>
      </c>
      <c r="B391" s="1" t="n">
        <v>44221</v>
      </c>
      <c r="C391" s="1" t="n">
        <v>45510</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4762-2021</t>
        </is>
      </c>
      <c r="B392" s="1" t="n">
        <v>44225</v>
      </c>
      <c r="C392" s="1" t="n">
        <v>45510</v>
      </c>
      <c r="D392" t="inlineStr">
        <is>
          <t>KALMAR LÄN</t>
        </is>
      </c>
      <c r="E392" t="inlineStr">
        <is>
          <t>VIMMERBY</t>
        </is>
      </c>
      <c r="G392" t="n">
        <v>5.3</v>
      </c>
      <c r="H392" t="n">
        <v>0</v>
      </c>
      <c r="I392" t="n">
        <v>0</v>
      </c>
      <c r="J392" t="n">
        <v>0</v>
      </c>
      <c r="K392" t="n">
        <v>0</v>
      </c>
      <c r="L392" t="n">
        <v>0</v>
      </c>
      <c r="M392" t="n">
        <v>0</v>
      </c>
      <c r="N392" t="n">
        <v>0</v>
      </c>
      <c r="O392" t="n">
        <v>0</v>
      </c>
      <c r="P392" t="n">
        <v>0</v>
      </c>
      <c r="Q392" t="n">
        <v>0</v>
      </c>
      <c r="R392" s="2" t="inlineStr"/>
    </row>
    <row r="393" ht="15" customHeight="1">
      <c r="A393" t="inlineStr">
        <is>
          <t>A 5689-2021</t>
        </is>
      </c>
      <c r="B393" s="1" t="n">
        <v>44230</v>
      </c>
      <c r="C393" s="1" t="n">
        <v>45510</v>
      </c>
      <c r="D393" t="inlineStr">
        <is>
          <t>KALMAR LÄN</t>
        </is>
      </c>
      <c r="E393" t="inlineStr">
        <is>
          <t>VIMMERBY</t>
        </is>
      </c>
      <c r="G393" t="n">
        <v>1.1</v>
      </c>
      <c r="H393" t="n">
        <v>0</v>
      </c>
      <c r="I393" t="n">
        <v>0</v>
      </c>
      <c r="J393" t="n">
        <v>0</v>
      </c>
      <c r="K393" t="n">
        <v>0</v>
      </c>
      <c r="L393" t="n">
        <v>0</v>
      </c>
      <c r="M393" t="n">
        <v>0</v>
      </c>
      <c r="N393" t="n">
        <v>0</v>
      </c>
      <c r="O393" t="n">
        <v>0</v>
      </c>
      <c r="P393" t="n">
        <v>0</v>
      </c>
      <c r="Q393" t="n">
        <v>0</v>
      </c>
      <c r="R393" s="2" t="inlineStr"/>
    </row>
    <row r="394" ht="15" customHeight="1">
      <c r="A394" t="inlineStr">
        <is>
          <t>A 5654-2021</t>
        </is>
      </c>
      <c r="B394" s="1" t="n">
        <v>44230</v>
      </c>
      <c r="C394" s="1" t="n">
        <v>45510</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7072-2021</t>
        </is>
      </c>
      <c r="B395" s="1" t="n">
        <v>44237</v>
      </c>
      <c r="C395" s="1" t="n">
        <v>45510</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7075-2021</t>
        </is>
      </c>
      <c r="B396" s="1" t="n">
        <v>44237</v>
      </c>
      <c r="C396" s="1" t="n">
        <v>45510</v>
      </c>
      <c r="D396" t="inlineStr">
        <is>
          <t>KALMAR LÄN</t>
        </is>
      </c>
      <c r="E396" t="inlineStr">
        <is>
          <t>VIMMERBY</t>
        </is>
      </c>
      <c r="G396" t="n">
        <v>3.6</v>
      </c>
      <c r="H396" t="n">
        <v>0</v>
      </c>
      <c r="I396" t="n">
        <v>0</v>
      </c>
      <c r="J396" t="n">
        <v>0</v>
      </c>
      <c r="K396" t="n">
        <v>0</v>
      </c>
      <c r="L396" t="n">
        <v>0</v>
      </c>
      <c r="M396" t="n">
        <v>0</v>
      </c>
      <c r="N396" t="n">
        <v>0</v>
      </c>
      <c r="O396" t="n">
        <v>0</v>
      </c>
      <c r="P396" t="n">
        <v>0</v>
      </c>
      <c r="Q396" t="n">
        <v>0</v>
      </c>
      <c r="R396" s="2" t="inlineStr"/>
    </row>
    <row r="397" ht="15" customHeight="1">
      <c r="A397" t="inlineStr">
        <is>
          <t>A 7515-2021</t>
        </is>
      </c>
      <c r="B397" s="1" t="n">
        <v>44238</v>
      </c>
      <c r="C397" s="1" t="n">
        <v>45510</v>
      </c>
      <c r="D397" t="inlineStr">
        <is>
          <t>KALMAR LÄN</t>
        </is>
      </c>
      <c r="E397" t="inlineStr">
        <is>
          <t>VIMMERBY</t>
        </is>
      </c>
      <c r="G397" t="n">
        <v>20.9</v>
      </c>
      <c r="H397" t="n">
        <v>0</v>
      </c>
      <c r="I397" t="n">
        <v>0</v>
      </c>
      <c r="J397" t="n">
        <v>0</v>
      </c>
      <c r="K397" t="n">
        <v>0</v>
      </c>
      <c r="L397" t="n">
        <v>0</v>
      </c>
      <c r="M397" t="n">
        <v>0</v>
      </c>
      <c r="N397" t="n">
        <v>0</v>
      </c>
      <c r="O397" t="n">
        <v>0</v>
      </c>
      <c r="P397" t="n">
        <v>0</v>
      </c>
      <c r="Q397" t="n">
        <v>0</v>
      </c>
      <c r="R397" s="2" t="inlineStr"/>
    </row>
    <row r="398" ht="15" customHeight="1">
      <c r="A398" t="inlineStr">
        <is>
          <t>A 7828-2021</t>
        </is>
      </c>
      <c r="B398" s="1" t="n">
        <v>44242</v>
      </c>
      <c r="C398" s="1" t="n">
        <v>45510</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8121-2021</t>
        </is>
      </c>
      <c r="B399" s="1" t="n">
        <v>44243</v>
      </c>
      <c r="C399" s="1" t="n">
        <v>45510</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8086-2021</t>
        </is>
      </c>
      <c r="B400" s="1" t="n">
        <v>44243</v>
      </c>
      <c r="C400" s="1" t="n">
        <v>45510</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8415-2021</t>
        </is>
      </c>
      <c r="B401" s="1" t="n">
        <v>44245</v>
      </c>
      <c r="C401" s="1" t="n">
        <v>45510</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9836-2021</t>
        </is>
      </c>
      <c r="B402" s="1" t="n">
        <v>44253</v>
      </c>
      <c r="C402" s="1" t="n">
        <v>45510</v>
      </c>
      <c r="D402" t="inlineStr">
        <is>
          <t>KALMAR LÄN</t>
        </is>
      </c>
      <c r="E402" t="inlineStr">
        <is>
          <t>VIMMERBY</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10674-2021</t>
        </is>
      </c>
      <c r="B403" s="1" t="n">
        <v>44258</v>
      </c>
      <c r="C403" s="1" t="n">
        <v>45510</v>
      </c>
      <c r="D403" t="inlineStr">
        <is>
          <t>KALMAR LÄN</t>
        </is>
      </c>
      <c r="E403" t="inlineStr">
        <is>
          <t>VIMMERBY</t>
        </is>
      </c>
      <c r="G403" t="n">
        <v>8.4</v>
      </c>
      <c r="H403" t="n">
        <v>0</v>
      </c>
      <c r="I403" t="n">
        <v>0</v>
      </c>
      <c r="J403" t="n">
        <v>0</v>
      </c>
      <c r="K403" t="n">
        <v>0</v>
      </c>
      <c r="L403" t="n">
        <v>0</v>
      </c>
      <c r="M403" t="n">
        <v>0</v>
      </c>
      <c r="N403" t="n">
        <v>0</v>
      </c>
      <c r="O403" t="n">
        <v>0</v>
      </c>
      <c r="P403" t="n">
        <v>0</v>
      </c>
      <c r="Q403" t="n">
        <v>0</v>
      </c>
      <c r="R403" s="2" t="inlineStr"/>
    </row>
    <row r="404" ht="15" customHeight="1">
      <c r="A404" t="inlineStr">
        <is>
          <t>A 10518-2021</t>
        </is>
      </c>
      <c r="B404" s="1" t="n">
        <v>44258</v>
      </c>
      <c r="C404" s="1" t="n">
        <v>45510</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10744-2021</t>
        </is>
      </c>
      <c r="B405" s="1" t="n">
        <v>44259</v>
      </c>
      <c r="C405" s="1" t="n">
        <v>45510</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10928-2021</t>
        </is>
      </c>
      <c r="B406" s="1" t="n">
        <v>44259</v>
      </c>
      <c r="C406" s="1" t="n">
        <v>45510</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11011-2021</t>
        </is>
      </c>
      <c r="B407" s="1" t="n">
        <v>44260</v>
      </c>
      <c r="C407" s="1" t="n">
        <v>45510</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12241-2021</t>
        </is>
      </c>
      <c r="B408" s="1" t="n">
        <v>44266</v>
      </c>
      <c r="C408" s="1" t="n">
        <v>45510</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12465-2021</t>
        </is>
      </c>
      <c r="B409" s="1" t="n">
        <v>44267</v>
      </c>
      <c r="C409" s="1" t="n">
        <v>45510</v>
      </c>
      <c r="D409" t="inlineStr">
        <is>
          <t>KALMAR LÄN</t>
        </is>
      </c>
      <c r="E409" t="inlineStr">
        <is>
          <t>VIMMERBY</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12467-2021</t>
        </is>
      </c>
      <c r="B410" s="1" t="n">
        <v>44267</v>
      </c>
      <c r="C410" s="1" t="n">
        <v>45510</v>
      </c>
      <c r="D410" t="inlineStr">
        <is>
          <t>KALMAR LÄN</t>
        </is>
      </c>
      <c r="E410" t="inlineStr">
        <is>
          <t>VIMMERBY</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12586-2021</t>
        </is>
      </c>
      <c r="B411" s="1" t="n">
        <v>44270</v>
      </c>
      <c r="C411" s="1" t="n">
        <v>45510</v>
      </c>
      <c r="D411" t="inlineStr">
        <is>
          <t>KALMAR LÄN</t>
        </is>
      </c>
      <c r="E411" t="inlineStr">
        <is>
          <t>VIMMERBY</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12661-2021</t>
        </is>
      </c>
      <c r="B412" s="1" t="n">
        <v>44270</v>
      </c>
      <c r="C412" s="1" t="n">
        <v>45510</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12757-2021</t>
        </is>
      </c>
      <c r="B413" s="1" t="n">
        <v>44270</v>
      </c>
      <c r="C413" s="1" t="n">
        <v>45510</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12585-2021</t>
        </is>
      </c>
      <c r="B414" s="1" t="n">
        <v>44270</v>
      </c>
      <c r="C414" s="1" t="n">
        <v>45510</v>
      </c>
      <c r="D414" t="inlineStr">
        <is>
          <t>KALMAR LÄN</t>
        </is>
      </c>
      <c r="E414" t="inlineStr">
        <is>
          <t>VIMMERBY</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12597-2021</t>
        </is>
      </c>
      <c r="B415" s="1" t="n">
        <v>44270</v>
      </c>
      <c r="C415" s="1" t="n">
        <v>45510</v>
      </c>
      <c r="D415" t="inlineStr">
        <is>
          <t>KALMAR LÄN</t>
        </is>
      </c>
      <c r="E415" t="inlineStr">
        <is>
          <t>VIMMERBY</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12582-2021</t>
        </is>
      </c>
      <c r="B416" s="1" t="n">
        <v>44270</v>
      </c>
      <c r="C416" s="1" t="n">
        <v>45510</v>
      </c>
      <c r="D416" t="inlineStr">
        <is>
          <t>KALMAR LÄN</t>
        </is>
      </c>
      <c r="E416" t="inlineStr">
        <is>
          <t>VIMMERBY</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12596-2021</t>
        </is>
      </c>
      <c r="B417" s="1" t="n">
        <v>44270</v>
      </c>
      <c r="C417" s="1" t="n">
        <v>45510</v>
      </c>
      <c r="D417" t="inlineStr">
        <is>
          <t>KALMAR LÄN</t>
        </is>
      </c>
      <c r="E417" t="inlineStr">
        <is>
          <t>VIMMERBY</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12587-2021</t>
        </is>
      </c>
      <c r="B418" s="1" t="n">
        <v>44270</v>
      </c>
      <c r="C418" s="1" t="n">
        <v>45510</v>
      </c>
      <c r="D418" t="inlineStr">
        <is>
          <t>KALMAR LÄN</t>
        </is>
      </c>
      <c r="E418" t="inlineStr">
        <is>
          <t>VIMMERBY</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12595-2021</t>
        </is>
      </c>
      <c r="B419" s="1" t="n">
        <v>44270</v>
      </c>
      <c r="C419" s="1" t="n">
        <v>45510</v>
      </c>
      <c r="D419" t="inlineStr">
        <is>
          <t>KALMAR LÄN</t>
        </is>
      </c>
      <c r="E419" t="inlineStr">
        <is>
          <t>VIMMERBY</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12662-2021</t>
        </is>
      </c>
      <c r="B420" s="1" t="n">
        <v>44270</v>
      </c>
      <c r="C420" s="1" t="n">
        <v>45510</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12848-2021</t>
        </is>
      </c>
      <c r="B421" s="1" t="n">
        <v>44271</v>
      </c>
      <c r="C421" s="1" t="n">
        <v>45510</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13457-2021</t>
        </is>
      </c>
      <c r="B422" s="1" t="n">
        <v>44273</v>
      </c>
      <c r="C422" s="1" t="n">
        <v>45510</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13492-2021</t>
        </is>
      </c>
      <c r="B423" s="1" t="n">
        <v>44273</v>
      </c>
      <c r="C423" s="1" t="n">
        <v>45510</v>
      </c>
      <c r="D423" t="inlineStr">
        <is>
          <t>KALMAR LÄN</t>
        </is>
      </c>
      <c r="E423" t="inlineStr">
        <is>
          <t>VIMMERBY</t>
        </is>
      </c>
      <c r="G423" t="n">
        <v>3.1</v>
      </c>
      <c r="H423" t="n">
        <v>0</v>
      </c>
      <c r="I423" t="n">
        <v>0</v>
      </c>
      <c r="J423" t="n">
        <v>0</v>
      </c>
      <c r="K423" t="n">
        <v>0</v>
      </c>
      <c r="L423" t="n">
        <v>0</v>
      </c>
      <c r="M423" t="n">
        <v>0</v>
      </c>
      <c r="N423" t="n">
        <v>0</v>
      </c>
      <c r="O423" t="n">
        <v>0</v>
      </c>
      <c r="P423" t="n">
        <v>0</v>
      </c>
      <c r="Q423" t="n">
        <v>0</v>
      </c>
      <c r="R423" s="2" t="inlineStr"/>
    </row>
    <row r="424" ht="15" customHeight="1">
      <c r="A424" t="inlineStr">
        <is>
          <t>A 14220-2021</t>
        </is>
      </c>
      <c r="B424" s="1" t="n">
        <v>44278</v>
      </c>
      <c r="C424" s="1" t="n">
        <v>45510</v>
      </c>
      <c r="D424" t="inlineStr">
        <is>
          <t>KALMAR LÄN</t>
        </is>
      </c>
      <c r="E424" t="inlineStr">
        <is>
          <t>VIMMERBY</t>
        </is>
      </c>
      <c r="G424" t="n">
        <v>0.3</v>
      </c>
      <c r="H424" t="n">
        <v>0</v>
      </c>
      <c r="I424" t="n">
        <v>0</v>
      </c>
      <c r="J424" t="n">
        <v>0</v>
      </c>
      <c r="K424" t="n">
        <v>0</v>
      </c>
      <c r="L424" t="n">
        <v>0</v>
      </c>
      <c r="M424" t="n">
        <v>0</v>
      </c>
      <c r="N424" t="n">
        <v>0</v>
      </c>
      <c r="O424" t="n">
        <v>0</v>
      </c>
      <c r="P424" t="n">
        <v>0</v>
      </c>
      <c r="Q424" t="n">
        <v>0</v>
      </c>
      <c r="R424" s="2" t="inlineStr"/>
    </row>
    <row r="425" ht="15" customHeight="1">
      <c r="A425" t="inlineStr">
        <is>
          <t>A 14278-2021</t>
        </is>
      </c>
      <c r="B425" s="1" t="n">
        <v>44278</v>
      </c>
      <c r="C425" s="1" t="n">
        <v>45510</v>
      </c>
      <c r="D425" t="inlineStr">
        <is>
          <t>KALMAR LÄN</t>
        </is>
      </c>
      <c r="E425" t="inlineStr">
        <is>
          <t>VIMMERBY</t>
        </is>
      </c>
      <c r="F425" t="inlineStr">
        <is>
          <t>Övriga statliga verk och myndigheter</t>
        </is>
      </c>
      <c r="G425" t="n">
        <v>0.8</v>
      </c>
      <c r="H425" t="n">
        <v>0</v>
      </c>
      <c r="I425" t="n">
        <v>0</v>
      </c>
      <c r="J425" t="n">
        <v>0</v>
      </c>
      <c r="K425" t="n">
        <v>0</v>
      </c>
      <c r="L425" t="n">
        <v>0</v>
      </c>
      <c r="M425" t="n">
        <v>0</v>
      </c>
      <c r="N425" t="n">
        <v>0</v>
      </c>
      <c r="O425" t="n">
        <v>0</v>
      </c>
      <c r="P425" t="n">
        <v>0</v>
      </c>
      <c r="Q425" t="n">
        <v>0</v>
      </c>
      <c r="R425" s="2" t="inlineStr"/>
    </row>
    <row r="426" ht="15" customHeight="1">
      <c r="A426" t="inlineStr">
        <is>
          <t>A 14347-2021</t>
        </is>
      </c>
      <c r="B426" s="1" t="n">
        <v>44279</v>
      </c>
      <c r="C426" s="1" t="n">
        <v>45510</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14451-2021</t>
        </is>
      </c>
      <c r="B427" s="1" t="n">
        <v>44279</v>
      </c>
      <c r="C427" s="1" t="n">
        <v>45510</v>
      </c>
      <c r="D427" t="inlineStr">
        <is>
          <t>KALMAR LÄN</t>
        </is>
      </c>
      <c r="E427" t="inlineStr">
        <is>
          <t>VIMMERBY</t>
        </is>
      </c>
      <c r="F427" t="inlineStr">
        <is>
          <t>Sveaskog</t>
        </is>
      </c>
      <c r="G427" t="n">
        <v>9.4</v>
      </c>
      <c r="H427" t="n">
        <v>0</v>
      </c>
      <c r="I427" t="n">
        <v>0</v>
      </c>
      <c r="J427" t="n">
        <v>0</v>
      </c>
      <c r="K427" t="n">
        <v>0</v>
      </c>
      <c r="L427" t="n">
        <v>0</v>
      </c>
      <c r="M427" t="n">
        <v>0</v>
      </c>
      <c r="N427" t="n">
        <v>0</v>
      </c>
      <c r="O427" t="n">
        <v>0</v>
      </c>
      <c r="P427" t="n">
        <v>0</v>
      </c>
      <c r="Q427" t="n">
        <v>0</v>
      </c>
      <c r="R427" s="2" t="inlineStr"/>
    </row>
    <row r="428" ht="15" customHeight="1">
      <c r="A428" t="inlineStr">
        <is>
          <t>A 14521-2021</t>
        </is>
      </c>
      <c r="B428" s="1" t="n">
        <v>44279</v>
      </c>
      <c r="C428" s="1" t="n">
        <v>45510</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15092-2021</t>
        </is>
      </c>
      <c r="B429" s="1" t="n">
        <v>44281</v>
      </c>
      <c r="C429" s="1" t="n">
        <v>45510</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15188-2021</t>
        </is>
      </c>
      <c r="B430" s="1" t="n">
        <v>44284</v>
      </c>
      <c r="C430" s="1" t="n">
        <v>45510</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15191-2021</t>
        </is>
      </c>
      <c r="B431" s="1" t="n">
        <v>44284</v>
      </c>
      <c r="C431" s="1" t="n">
        <v>45510</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15200-2021</t>
        </is>
      </c>
      <c r="B432" s="1" t="n">
        <v>44284</v>
      </c>
      <c r="C432" s="1" t="n">
        <v>45510</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15903-2021</t>
        </is>
      </c>
      <c r="B433" s="1" t="n">
        <v>44287</v>
      </c>
      <c r="C433" s="1" t="n">
        <v>45510</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16288-2021</t>
        </is>
      </c>
      <c r="B434" s="1" t="n">
        <v>44292</v>
      </c>
      <c r="C434" s="1" t="n">
        <v>45510</v>
      </c>
      <c r="D434" t="inlineStr">
        <is>
          <t>KALMAR LÄN</t>
        </is>
      </c>
      <c r="E434" t="inlineStr">
        <is>
          <t>VIMMERBY</t>
        </is>
      </c>
      <c r="F434" t="inlineStr">
        <is>
          <t>Övriga Aktiebolag</t>
        </is>
      </c>
      <c r="G434" t="n">
        <v>27.6</v>
      </c>
      <c r="H434" t="n">
        <v>0</v>
      </c>
      <c r="I434" t="n">
        <v>0</v>
      </c>
      <c r="J434" t="n">
        <v>0</v>
      </c>
      <c r="K434" t="n">
        <v>0</v>
      </c>
      <c r="L434" t="n">
        <v>0</v>
      </c>
      <c r="M434" t="n">
        <v>0</v>
      </c>
      <c r="N434" t="n">
        <v>0</v>
      </c>
      <c r="O434" t="n">
        <v>0</v>
      </c>
      <c r="P434" t="n">
        <v>0</v>
      </c>
      <c r="Q434" t="n">
        <v>0</v>
      </c>
      <c r="R434" s="2" t="inlineStr"/>
    </row>
    <row r="435" ht="15" customHeight="1">
      <c r="A435" t="inlineStr">
        <is>
          <t>A 16602-2021</t>
        </is>
      </c>
      <c r="B435" s="1" t="n">
        <v>44294</v>
      </c>
      <c r="C435" s="1" t="n">
        <v>45510</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16607-2021</t>
        </is>
      </c>
      <c r="B436" s="1" t="n">
        <v>44294</v>
      </c>
      <c r="C436" s="1" t="n">
        <v>45510</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17869-2021</t>
        </is>
      </c>
      <c r="B437" s="1" t="n">
        <v>44301</v>
      </c>
      <c r="C437" s="1" t="n">
        <v>45510</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18411-2021</t>
        </is>
      </c>
      <c r="B438" s="1" t="n">
        <v>44302</v>
      </c>
      <c r="C438" s="1" t="n">
        <v>45510</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18276-2021</t>
        </is>
      </c>
      <c r="B439" s="1" t="n">
        <v>44305</v>
      </c>
      <c r="C439" s="1" t="n">
        <v>45510</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18356-2021</t>
        </is>
      </c>
      <c r="B440" s="1" t="n">
        <v>44305</v>
      </c>
      <c r="C440" s="1" t="n">
        <v>45510</v>
      </c>
      <c r="D440" t="inlineStr">
        <is>
          <t>KALMAR LÄN</t>
        </is>
      </c>
      <c r="E440" t="inlineStr">
        <is>
          <t>VIMMERBY</t>
        </is>
      </c>
      <c r="G440" t="n">
        <v>3.4</v>
      </c>
      <c r="H440" t="n">
        <v>0</v>
      </c>
      <c r="I440" t="n">
        <v>0</v>
      </c>
      <c r="J440" t="n">
        <v>0</v>
      </c>
      <c r="K440" t="n">
        <v>0</v>
      </c>
      <c r="L440" t="n">
        <v>0</v>
      </c>
      <c r="M440" t="n">
        <v>0</v>
      </c>
      <c r="N440" t="n">
        <v>0</v>
      </c>
      <c r="O440" t="n">
        <v>0</v>
      </c>
      <c r="P440" t="n">
        <v>0</v>
      </c>
      <c r="Q440" t="n">
        <v>0</v>
      </c>
      <c r="R440" s="2" t="inlineStr"/>
    </row>
    <row r="441" ht="15" customHeight="1">
      <c r="A441" t="inlineStr">
        <is>
          <t>A 18756-2021</t>
        </is>
      </c>
      <c r="B441" s="1" t="n">
        <v>44307</v>
      </c>
      <c r="C441" s="1" t="n">
        <v>45510</v>
      </c>
      <c r="D441" t="inlineStr">
        <is>
          <t>KALMAR LÄN</t>
        </is>
      </c>
      <c r="E441" t="inlineStr">
        <is>
          <t>VIMMERBY</t>
        </is>
      </c>
      <c r="G441" t="n">
        <v>7.4</v>
      </c>
      <c r="H441" t="n">
        <v>0</v>
      </c>
      <c r="I441" t="n">
        <v>0</v>
      </c>
      <c r="J441" t="n">
        <v>0</v>
      </c>
      <c r="K441" t="n">
        <v>0</v>
      </c>
      <c r="L441" t="n">
        <v>0</v>
      </c>
      <c r="M441" t="n">
        <v>0</v>
      </c>
      <c r="N441" t="n">
        <v>0</v>
      </c>
      <c r="O441" t="n">
        <v>0</v>
      </c>
      <c r="P441" t="n">
        <v>0</v>
      </c>
      <c r="Q441" t="n">
        <v>0</v>
      </c>
      <c r="R441" s="2" t="inlineStr"/>
    </row>
    <row r="442" ht="15" customHeight="1">
      <c r="A442" t="inlineStr">
        <is>
          <t>A 19445-2021</t>
        </is>
      </c>
      <c r="B442" s="1" t="n">
        <v>44310</v>
      </c>
      <c r="C442" s="1" t="n">
        <v>45510</v>
      </c>
      <c r="D442" t="inlineStr">
        <is>
          <t>KALMAR LÄN</t>
        </is>
      </c>
      <c r="E442" t="inlineStr">
        <is>
          <t>VIMMERBY</t>
        </is>
      </c>
      <c r="G442" t="n">
        <v>6.8</v>
      </c>
      <c r="H442" t="n">
        <v>0</v>
      </c>
      <c r="I442" t="n">
        <v>0</v>
      </c>
      <c r="J442" t="n">
        <v>0</v>
      </c>
      <c r="K442" t="n">
        <v>0</v>
      </c>
      <c r="L442" t="n">
        <v>0</v>
      </c>
      <c r="M442" t="n">
        <v>0</v>
      </c>
      <c r="N442" t="n">
        <v>0</v>
      </c>
      <c r="O442" t="n">
        <v>0</v>
      </c>
      <c r="P442" t="n">
        <v>0</v>
      </c>
      <c r="Q442" t="n">
        <v>0</v>
      </c>
      <c r="R442" s="2" t="inlineStr"/>
    </row>
    <row r="443" ht="15" customHeight="1">
      <c r="A443" t="inlineStr">
        <is>
          <t>A 19863-2021</t>
        </is>
      </c>
      <c r="B443" s="1" t="n">
        <v>44312</v>
      </c>
      <c r="C443" s="1" t="n">
        <v>45510</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19865-2021</t>
        </is>
      </c>
      <c r="B444" s="1" t="n">
        <v>44312</v>
      </c>
      <c r="C444" s="1" t="n">
        <v>45510</v>
      </c>
      <c r="D444" t="inlineStr">
        <is>
          <t>KALMAR LÄN</t>
        </is>
      </c>
      <c r="E444" t="inlineStr">
        <is>
          <t>VIMMERBY</t>
        </is>
      </c>
      <c r="G444" t="n">
        <v>8.6</v>
      </c>
      <c r="H444" t="n">
        <v>0</v>
      </c>
      <c r="I444" t="n">
        <v>0</v>
      </c>
      <c r="J444" t="n">
        <v>0</v>
      </c>
      <c r="K444" t="n">
        <v>0</v>
      </c>
      <c r="L444" t="n">
        <v>0</v>
      </c>
      <c r="M444" t="n">
        <v>0</v>
      </c>
      <c r="N444" t="n">
        <v>0</v>
      </c>
      <c r="O444" t="n">
        <v>0</v>
      </c>
      <c r="P444" t="n">
        <v>0</v>
      </c>
      <c r="Q444" t="n">
        <v>0</v>
      </c>
      <c r="R444" s="2" t="inlineStr"/>
    </row>
    <row r="445" ht="15" customHeight="1">
      <c r="A445" t="inlineStr">
        <is>
          <t>A 22637-2021</t>
        </is>
      </c>
      <c r="B445" s="1" t="n">
        <v>44327</v>
      </c>
      <c r="C445" s="1" t="n">
        <v>45510</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24369-2021</t>
        </is>
      </c>
      <c r="B446" s="1" t="n">
        <v>44337</v>
      </c>
      <c r="C446" s="1" t="n">
        <v>45510</v>
      </c>
      <c r="D446" t="inlineStr">
        <is>
          <t>KALMAR LÄN</t>
        </is>
      </c>
      <c r="E446" t="inlineStr">
        <is>
          <t>VIMMERBY</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24655-2021</t>
        </is>
      </c>
      <c r="B447" s="1" t="n">
        <v>44340</v>
      </c>
      <c r="C447" s="1" t="n">
        <v>45510</v>
      </c>
      <c r="D447" t="inlineStr">
        <is>
          <t>KALMAR LÄN</t>
        </is>
      </c>
      <c r="E447" t="inlineStr">
        <is>
          <t>VIMMERBY</t>
        </is>
      </c>
      <c r="G447" t="n">
        <v>14.9</v>
      </c>
      <c r="H447" t="n">
        <v>0</v>
      </c>
      <c r="I447" t="n">
        <v>0</v>
      </c>
      <c r="J447" t="n">
        <v>0</v>
      </c>
      <c r="K447" t="n">
        <v>0</v>
      </c>
      <c r="L447" t="n">
        <v>0</v>
      </c>
      <c r="M447" t="n">
        <v>0</v>
      </c>
      <c r="N447" t="n">
        <v>0</v>
      </c>
      <c r="O447" t="n">
        <v>0</v>
      </c>
      <c r="P447" t="n">
        <v>0</v>
      </c>
      <c r="Q447" t="n">
        <v>0</v>
      </c>
      <c r="R447" s="2" t="inlineStr"/>
    </row>
    <row r="448" ht="15" customHeight="1">
      <c r="A448" t="inlineStr">
        <is>
          <t>A 24752-2021</t>
        </is>
      </c>
      <c r="B448" s="1" t="n">
        <v>44340</v>
      </c>
      <c r="C448" s="1" t="n">
        <v>45510</v>
      </c>
      <c r="D448" t="inlineStr">
        <is>
          <t>KALMAR LÄN</t>
        </is>
      </c>
      <c r="E448" t="inlineStr">
        <is>
          <t>VIMMERBY</t>
        </is>
      </c>
      <c r="G448" t="n">
        <v>4.1</v>
      </c>
      <c r="H448" t="n">
        <v>0</v>
      </c>
      <c r="I448" t="n">
        <v>0</v>
      </c>
      <c r="J448" t="n">
        <v>0</v>
      </c>
      <c r="K448" t="n">
        <v>0</v>
      </c>
      <c r="L448" t="n">
        <v>0</v>
      </c>
      <c r="M448" t="n">
        <v>0</v>
      </c>
      <c r="N448" t="n">
        <v>0</v>
      </c>
      <c r="O448" t="n">
        <v>0</v>
      </c>
      <c r="P448" t="n">
        <v>0</v>
      </c>
      <c r="Q448" t="n">
        <v>0</v>
      </c>
      <c r="R448" s="2" t="inlineStr"/>
    </row>
    <row r="449" ht="15" customHeight="1">
      <c r="A449" t="inlineStr">
        <is>
          <t>A 24738-2021</t>
        </is>
      </c>
      <c r="B449" s="1" t="n">
        <v>44340</v>
      </c>
      <c r="C449" s="1" t="n">
        <v>45510</v>
      </c>
      <c r="D449" t="inlineStr">
        <is>
          <t>KALMAR LÄN</t>
        </is>
      </c>
      <c r="E449" t="inlineStr">
        <is>
          <t>VIMMERBY</t>
        </is>
      </c>
      <c r="G449" t="n">
        <v>3.5</v>
      </c>
      <c r="H449" t="n">
        <v>0</v>
      </c>
      <c r="I449" t="n">
        <v>0</v>
      </c>
      <c r="J449" t="n">
        <v>0</v>
      </c>
      <c r="K449" t="n">
        <v>0</v>
      </c>
      <c r="L449" t="n">
        <v>0</v>
      </c>
      <c r="M449" t="n">
        <v>0</v>
      </c>
      <c r="N449" t="n">
        <v>0</v>
      </c>
      <c r="O449" t="n">
        <v>0</v>
      </c>
      <c r="P449" t="n">
        <v>0</v>
      </c>
      <c r="Q449" t="n">
        <v>0</v>
      </c>
      <c r="R449" s="2" t="inlineStr"/>
    </row>
    <row r="450" ht="15" customHeight="1">
      <c r="A450" t="inlineStr">
        <is>
          <t>A 24723-2021</t>
        </is>
      </c>
      <c r="B450" s="1" t="n">
        <v>44340</v>
      </c>
      <c r="C450" s="1" t="n">
        <v>45510</v>
      </c>
      <c r="D450" t="inlineStr">
        <is>
          <t>KALMAR LÄN</t>
        </is>
      </c>
      <c r="E450" t="inlineStr">
        <is>
          <t>VIMMERBY</t>
        </is>
      </c>
      <c r="G450" t="n">
        <v>3.3</v>
      </c>
      <c r="H450" t="n">
        <v>0</v>
      </c>
      <c r="I450" t="n">
        <v>0</v>
      </c>
      <c r="J450" t="n">
        <v>0</v>
      </c>
      <c r="K450" t="n">
        <v>0</v>
      </c>
      <c r="L450" t="n">
        <v>0</v>
      </c>
      <c r="M450" t="n">
        <v>0</v>
      </c>
      <c r="N450" t="n">
        <v>0</v>
      </c>
      <c r="O450" t="n">
        <v>0</v>
      </c>
      <c r="P450" t="n">
        <v>0</v>
      </c>
      <c r="Q450" t="n">
        <v>0</v>
      </c>
      <c r="R450" s="2" t="inlineStr"/>
    </row>
    <row r="451" ht="15" customHeight="1">
      <c r="A451" t="inlineStr">
        <is>
          <t>A 24999-2021</t>
        </is>
      </c>
      <c r="B451" s="1" t="n">
        <v>44341</v>
      </c>
      <c r="C451" s="1" t="n">
        <v>45510</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27100-2021</t>
        </is>
      </c>
      <c r="B452" s="1" t="n">
        <v>44350</v>
      </c>
      <c r="C452" s="1" t="n">
        <v>45510</v>
      </c>
      <c r="D452" t="inlineStr">
        <is>
          <t>KALMAR LÄN</t>
        </is>
      </c>
      <c r="E452" t="inlineStr">
        <is>
          <t>VIMMERBY</t>
        </is>
      </c>
      <c r="G452" t="n">
        <v>9.6</v>
      </c>
      <c r="H452" t="n">
        <v>0</v>
      </c>
      <c r="I452" t="n">
        <v>0</v>
      </c>
      <c r="J452" t="n">
        <v>0</v>
      </c>
      <c r="K452" t="n">
        <v>0</v>
      </c>
      <c r="L452" t="n">
        <v>0</v>
      </c>
      <c r="M452" t="n">
        <v>0</v>
      </c>
      <c r="N452" t="n">
        <v>0</v>
      </c>
      <c r="O452" t="n">
        <v>0</v>
      </c>
      <c r="P452" t="n">
        <v>0</v>
      </c>
      <c r="Q452" t="n">
        <v>0</v>
      </c>
      <c r="R452" s="2" t="inlineStr"/>
    </row>
    <row r="453" ht="15" customHeight="1">
      <c r="A453" t="inlineStr">
        <is>
          <t>A 27086-2021</t>
        </is>
      </c>
      <c r="B453" s="1" t="n">
        <v>44350</v>
      </c>
      <c r="C453" s="1" t="n">
        <v>45510</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27759-2021</t>
        </is>
      </c>
      <c r="B454" s="1" t="n">
        <v>44354</v>
      </c>
      <c r="C454" s="1" t="n">
        <v>45510</v>
      </c>
      <c r="D454" t="inlineStr">
        <is>
          <t>KALMAR LÄN</t>
        </is>
      </c>
      <c r="E454" t="inlineStr">
        <is>
          <t>VIMMERBY</t>
        </is>
      </c>
      <c r="G454" t="n">
        <v>4.6</v>
      </c>
      <c r="H454" t="n">
        <v>0</v>
      </c>
      <c r="I454" t="n">
        <v>0</v>
      </c>
      <c r="J454" t="n">
        <v>0</v>
      </c>
      <c r="K454" t="n">
        <v>0</v>
      </c>
      <c r="L454" t="n">
        <v>0</v>
      </c>
      <c r="M454" t="n">
        <v>0</v>
      </c>
      <c r="N454" t="n">
        <v>0</v>
      </c>
      <c r="O454" t="n">
        <v>0</v>
      </c>
      <c r="P454" t="n">
        <v>0</v>
      </c>
      <c r="Q454" t="n">
        <v>0</v>
      </c>
      <c r="R454" s="2" t="inlineStr"/>
    </row>
    <row r="455" ht="15" customHeight="1">
      <c r="A455" t="inlineStr">
        <is>
          <t>A 27762-2021</t>
        </is>
      </c>
      <c r="B455" s="1" t="n">
        <v>44354</v>
      </c>
      <c r="C455" s="1" t="n">
        <v>45510</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30682-2021</t>
        </is>
      </c>
      <c r="B456" s="1" t="n">
        <v>44365</v>
      </c>
      <c r="C456" s="1" t="n">
        <v>45510</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31660-2021</t>
        </is>
      </c>
      <c r="B457" s="1" t="n">
        <v>44369</v>
      </c>
      <c r="C457" s="1" t="n">
        <v>45510</v>
      </c>
      <c r="D457" t="inlineStr">
        <is>
          <t>KALMAR LÄN</t>
        </is>
      </c>
      <c r="E457" t="inlineStr">
        <is>
          <t>VIMMERBY</t>
        </is>
      </c>
      <c r="G457" t="n">
        <v>4.2</v>
      </c>
      <c r="H457" t="n">
        <v>0</v>
      </c>
      <c r="I457" t="n">
        <v>0</v>
      </c>
      <c r="J457" t="n">
        <v>0</v>
      </c>
      <c r="K457" t="n">
        <v>0</v>
      </c>
      <c r="L457" t="n">
        <v>0</v>
      </c>
      <c r="M457" t="n">
        <v>0</v>
      </c>
      <c r="N457" t="n">
        <v>0</v>
      </c>
      <c r="O457" t="n">
        <v>0</v>
      </c>
      <c r="P457" t="n">
        <v>0</v>
      </c>
      <c r="Q457" t="n">
        <v>0</v>
      </c>
      <c r="R457" s="2" t="inlineStr"/>
    </row>
    <row r="458" ht="15" customHeight="1">
      <c r="A458" t="inlineStr">
        <is>
          <t>A 32386-2021</t>
        </is>
      </c>
      <c r="B458" s="1" t="n">
        <v>44371</v>
      </c>
      <c r="C458" s="1" t="n">
        <v>45510</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32607-2021</t>
        </is>
      </c>
      <c r="B459" s="1" t="n">
        <v>44375</v>
      </c>
      <c r="C459" s="1" t="n">
        <v>45510</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32603-2021</t>
        </is>
      </c>
      <c r="B460" s="1" t="n">
        <v>44375</v>
      </c>
      <c r="C460" s="1" t="n">
        <v>45510</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33359-2021</t>
        </is>
      </c>
      <c r="B461" s="1" t="n">
        <v>44377</v>
      </c>
      <c r="C461" s="1" t="n">
        <v>45510</v>
      </c>
      <c r="D461" t="inlineStr">
        <is>
          <t>KALMAR LÄN</t>
        </is>
      </c>
      <c r="E461" t="inlineStr">
        <is>
          <t>VIMMERBY</t>
        </is>
      </c>
      <c r="F461" t="inlineStr">
        <is>
          <t>Kommuner</t>
        </is>
      </c>
      <c r="G461" t="n">
        <v>8</v>
      </c>
      <c r="H461" t="n">
        <v>0</v>
      </c>
      <c r="I461" t="n">
        <v>0</v>
      </c>
      <c r="J461" t="n">
        <v>0</v>
      </c>
      <c r="K461" t="n">
        <v>0</v>
      </c>
      <c r="L461" t="n">
        <v>0</v>
      </c>
      <c r="M461" t="n">
        <v>0</v>
      </c>
      <c r="N461" t="n">
        <v>0</v>
      </c>
      <c r="O461" t="n">
        <v>0</v>
      </c>
      <c r="P461" t="n">
        <v>0</v>
      </c>
      <c r="Q461" t="n">
        <v>0</v>
      </c>
      <c r="R461" s="2" t="inlineStr"/>
    </row>
    <row r="462" ht="15" customHeight="1">
      <c r="A462" t="inlineStr">
        <is>
          <t>A 33374-2021</t>
        </is>
      </c>
      <c r="B462" s="1" t="n">
        <v>44377</v>
      </c>
      <c r="C462" s="1" t="n">
        <v>45510</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33446-2021</t>
        </is>
      </c>
      <c r="B463" s="1" t="n">
        <v>44377</v>
      </c>
      <c r="C463" s="1" t="n">
        <v>45510</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35198-2021</t>
        </is>
      </c>
      <c r="B464" s="1" t="n">
        <v>44377</v>
      </c>
      <c r="C464" s="1" t="n">
        <v>45510</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34040-2021</t>
        </is>
      </c>
      <c r="B465" s="1" t="n">
        <v>44379</v>
      </c>
      <c r="C465" s="1" t="n">
        <v>45510</v>
      </c>
      <c r="D465" t="inlineStr">
        <is>
          <t>KALMAR LÄN</t>
        </is>
      </c>
      <c r="E465" t="inlineStr">
        <is>
          <t>VIMMERBY</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34036-2021</t>
        </is>
      </c>
      <c r="B466" s="1" t="n">
        <v>44379</v>
      </c>
      <c r="C466" s="1" t="n">
        <v>45510</v>
      </c>
      <c r="D466" t="inlineStr">
        <is>
          <t>KALMAR LÄN</t>
        </is>
      </c>
      <c r="E466" t="inlineStr">
        <is>
          <t>VIMMERBY</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35001-2021</t>
        </is>
      </c>
      <c r="B467" s="1" t="n">
        <v>44383</v>
      </c>
      <c r="C467" s="1" t="n">
        <v>45510</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35316-2021</t>
        </is>
      </c>
      <c r="B468" s="1" t="n">
        <v>44384</v>
      </c>
      <c r="C468" s="1" t="n">
        <v>45510</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35531-2021</t>
        </is>
      </c>
      <c r="B469" s="1" t="n">
        <v>44385</v>
      </c>
      <c r="C469" s="1" t="n">
        <v>45510</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35633-2021</t>
        </is>
      </c>
      <c r="B470" s="1" t="n">
        <v>44386</v>
      </c>
      <c r="C470" s="1" t="n">
        <v>45510</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36077-2021</t>
        </is>
      </c>
      <c r="B471" s="1" t="n">
        <v>44386</v>
      </c>
      <c r="C471" s="1" t="n">
        <v>45510</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36117-2021</t>
        </is>
      </c>
      <c r="B472" s="1" t="n">
        <v>44386</v>
      </c>
      <c r="C472" s="1" t="n">
        <v>45510</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36121-2021</t>
        </is>
      </c>
      <c r="B473" s="1" t="n">
        <v>44386</v>
      </c>
      <c r="C473" s="1" t="n">
        <v>45510</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36802-2021</t>
        </is>
      </c>
      <c r="B474" s="1" t="n">
        <v>44392</v>
      </c>
      <c r="C474" s="1" t="n">
        <v>45510</v>
      </c>
      <c r="D474" t="inlineStr">
        <is>
          <t>KALMAR LÄN</t>
        </is>
      </c>
      <c r="E474" t="inlineStr">
        <is>
          <t>VIMMERBY</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38086-2021</t>
        </is>
      </c>
      <c r="B475" s="1" t="n">
        <v>44404</v>
      </c>
      <c r="C475" s="1" t="n">
        <v>45510</v>
      </c>
      <c r="D475" t="inlineStr">
        <is>
          <t>KALMAR LÄN</t>
        </is>
      </c>
      <c r="E475" t="inlineStr">
        <is>
          <t>VIMMERBY</t>
        </is>
      </c>
      <c r="G475" t="n">
        <v>4.4</v>
      </c>
      <c r="H475" t="n">
        <v>0</v>
      </c>
      <c r="I475" t="n">
        <v>0</v>
      </c>
      <c r="J475" t="n">
        <v>0</v>
      </c>
      <c r="K475" t="n">
        <v>0</v>
      </c>
      <c r="L475" t="n">
        <v>0</v>
      </c>
      <c r="M475" t="n">
        <v>0</v>
      </c>
      <c r="N475" t="n">
        <v>0</v>
      </c>
      <c r="O475" t="n">
        <v>0</v>
      </c>
      <c r="P475" t="n">
        <v>0</v>
      </c>
      <c r="Q475" t="n">
        <v>0</v>
      </c>
      <c r="R475" s="2" t="inlineStr"/>
    </row>
    <row r="476" ht="15" customHeight="1">
      <c r="A476" t="inlineStr">
        <is>
          <t>A 38348-2021</t>
        </is>
      </c>
      <c r="B476" s="1" t="n">
        <v>44406</v>
      </c>
      <c r="C476" s="1" t="n">
        <v>45510</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38780-2021</t>
        </is>
      </c>
      <c r="B477" s="1" t="n">
        <v>44410</v>
      </c>
      <c r="C477" s="1" t="n">
        <v>45510</v>
      </c>
      <c r="D477" t="inlineStr">
        <is>
          <t>KALMAR LÄN</t>
        </is>
      </c>
      <c r="E477" t="inlineStr">
        <is>
          <t>VIMMERBY</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38789-2021</t>
        </is>
      </c>
      <c r="B478" s="1" t="n">
        <v>44410</v>
      </c>
      <c r="C478" s="1" t="n">
        <v>45510</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40073-2021</t>
        </is>
      </c>
      <c r="B479" s="1" t="n">
        <v>44418</v>
      </c>
      <c r="C479" s="1" t="n">
        <v>45510</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40076-2021</t>
        </is>
      </c>
      <c r="B480" s="1" t="n">
        <v>44418</v>
      </c>
      <c r="C480" s="1" t="n">
        <v>45510</v>
      </c>
      <c r="D480" t="inlineStr">
        <is>
          <t>KALMAR LÄN</t>
        </is>
      </c>
      <c r="E480" t="inlineStr">
        <is>
          <t>VIMMERBY</t>
        </is>
      </c>
      <c r="G480" t="n">
        <v>2</v>
      </c>
      <c r="H480" t="n">
        <v>0</v>
      </c>
      <c r="I480" t="n">
        <v>0</v>
      </c>
      <c r="J480" t="n">
        <v>0</v>
      </c>
      <c r="K480" t="n">
        <v>0</v>
      </c>
      <c r="L480" t="n">
        <v>0</v>
      </c>
      <c r="M480" t="n">
        <v>0</v>
      </c>
      <c r="N480" t="n">
        <v>0</v>
      </c>
      <c r="O480" t="n">
        <v>0</v>
      </c>
      <c r="P480" t="n">
        <v>0</v>
      </c>
      <c r="Q480" t="n">
        <v>0</v>
      </c>
      <c r="R480" s="2" t="inlineStr"/>
    </row>
    <row r="481" ht="15" customHeight="1">
      <c r="A481" t="inlineStr">
        <is>
          <t>A 40071-2021</t>
        </is>
      </c>
      <c r="B481" s="1" t="n">
        <v>44418</v>
      </c>
      <c r="C481" s="1" t="n">
        <v>45510</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40077-2021</t>
        </is>
      </c>
      <c r="B482" s="1" t="n">
        <v>44418</v>
      </c>
      <c r="C482" s="1" t="n">
        <v>45510</v>
      </c>
      <c r="D482" t="inlineStr">
        <is>
          <t>KALMAR LÄN</t>
        </is>
      </c>
      <c r="E482" t="inlineStr">
        <is>
          <t>VIMMERBY</t>
        </is>
      </c>
      <c r="G482" t="n">
        <v>2.9</v>
      </c>
      <c r="H482" t="n">
        <v>0</v>
      </c>
      <c r="I482" t="n">
        <v>0</v>
      </c>
      <c r="J482" t="n">
        <v>0</v>
      </c>
      <c r="K482" t="n">
        <v>0</v>
      </c>
      <c r="L482" t="n">
        <v>0</v>
      </c>
      <c r="M482" t="n">
        <v>0</v>
      </c>
      <c r="N482" t="n">
        <v>0</v>
      </c>
      <c r="O482" t="n">
        <v>0</v>
      </c>
      <c r="P482" t="n">
        <v>0</v>
      </c>
      <c r="Q482" t="n">
        <v>0</v>
      </c>
      <c r="R482" s="2" t="inlineStr"/>
    </row>
    <row r="483" ht="15" customHeight="1">
      <c r="A483" t="inlineStr">
        <is>
          <t>A 40971-2021</t>
        </is>
      </c>
      <c r="B483" s="1" t="n">
        <v>44421</v>
      </c>
      <c r="C483" s="1" t="n">
        <v>45510</v>
      </c>
      <c r="D483" t="inlineStr">
        <is>
          <t>KALMAR LÄN</t>
        </is>
      </c>
      <c r="E483" t="inlineStr">
        <is>
          <t>VIMMERBY</t>
        </is>
      </c>
      <c r="G483" t="n">
        <v>1.1</v>
      </c>
      <c r="H483" t="n">
        <v>0</v>
      </c>
      <c r="I483" t="n">
        <v>0</v>
      </c>
      <c r="J483" t="n">
        <v>0</v>
      </c>
      <c r="K483" t="n">
        <v>0</v>
      </c>
      <c r="L483" t="n">
        <v>0</v>
      </c>
      <c r="M483" t="n">
        <v>0</v>
      </c>
      <c r="N483" t="n">
        <v>0</v>
      </c>
      <c r="O483" t="n">
        <v>0</v>
      </c>
      <c r="P483" t="n">
        <v>0</v>
      </c>
      <c r="Q483" t="n">
        <v>0</v>
      </c>
      <c r="R483" s="2" t="inlineStr"/>
    </row>
    <row r="484" ht="15" customHeight="1">
      <c r="A484" t="inlineStr">
        <is>
          <t>A 42521-2021</t>
        </is>
      </c>
      <c r="B484" s="1" t="n">
        <v>44427</v>
      </c>
      <c r="C484" s="1" t="n">
        <v>45510</v>
      </c>
      <c r="D484" t="inlineStr">
        <is>
          <t>KALMAR LÄN</t>
        </is>
      </c>
      <c r="E484" t="inlineStr">
        <is>
          <t>VIMMERBY</t>
        </is>
      </c>
      <c r="G484" t="n">
        <v>5.4</v>
      </c>
      <c r="H484" t="n">
        <v>0</v>
      </c>
      <c r="I484" t="n">
        <v>0</v>
      </c>
      <c r="J484" t="n">
        <v>0</v>
      </c>
      <c r="K484" t="n">
        <v>0</v>
      </c>
      <c r="L484" t="n">
        <v>0</v>
      </c>
      <c r="M484" t="n">
        <v>0</v>
      </c>
      <c r="N484" t="n">
        <v>0</v>
      </c>
      <c r="O484" t="n">
        <v>0</v>
      </c>
      <c r="P484" t="n">
        <v>0</v>
      </c>
      <c r="Q484" t="n">
        <v>0</v>
      </c>
      <c r="R484" s="2" t="inlineStr"/>
    </row>
    <row r="485" ht="15" customHeight="1">
      <c r="A485" t="inlineStr">
        <is>
          <t>A 42918-2021</t>
        </is>
      </c>
      <c r="B485" s="1" t="n">
        <v>44431</v>
      </c>
      <c r="C485" s="1" t="n">
        <v>45510</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43186-2021</t>
        </is>
      </c>
      <c r="B486" s="1" t="n">
        <v>44431</v>
      </c>
      <c r="C486" s="1" t="n">
        <v>45510</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45528-2021</t>
        </is>
      </c>
      <c r="B487" s="1" t="n">
        <v>44440</v>
      </c>
      <c r="C487" s="1" t="n">
        <v>45510</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45390-2021</t>
        </is>
      </c>
      <c r="B488" s="1" t="n">
        <v>44440</v>
      </c>
      <c r="C488" s="1" t="n">
        <v>45510</v>
      </c>
      <c r="D488" t="inlineStr">
        <is>
          <t>KALMAR LÄN</t>
        </is>
      </c>
      <c r="E488" t="inlineStr">
        <is>
          <t>VIMMERBY</t>
        </is>
      </c>
      <c r="G488" t="n">
        <v>3.9</v>
      </c>
      <c r="H488" t="n">
        <v>0</v>
      </c>
      <c r="I488" t="n">
        <v>0</v>
      </c>
      <c r="J488" t="n">
        <v>0</v>
      </c>
      <c r="K488" t="n">
        <v>0</v>
      </c>
      <c r="L488" t="n">
        <v>0</v>
      </c>
      <c r="M488" t="n">
        <v>0</v>
      </c>
      <c r="N488" t="n">
        <v>0</v>
      </c>
      <c r="O488" t="n">
        <v>0</v>
      </c>
      <c r="P488" t="n">
        <v>0</v>
      </c>
      <c r="Q488" t="n">
        <v>0</v>
      </c>
      <c r="R488" s="2" t="inlineStr"/>
    </row>
    <row r="489" ht="15" customHeight="1">
      <c r="A489" t="inlineStr">
        <is>
          <t>A 45560-2021</t>
        </is>
      </c>
      <c r="B489" s="1" t="n">
        <v>44440</v>
      </c>
      <c r="C489" s="1" t="n">
        <v>45510</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47208-2021</t>
        </is>
      </c>
      <c r="B490" s="1" t="n">
        <v>44447</v>
      </c>
      <c r="C490" s="1" t="n">
        <v>45510</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47205-2021</t>
        </is>
      </c>
      <c r="B491" s="1" t="n">
        <v>44447</v>
      </c>
      <c r="C491" s="1" t="n">
        <v>45510</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47473-2021</t>
        </is>
      </c>
      <c r="B492" s="1" t="n">
        <v>44447</v>
      </c>
      <c r="C492" s="1" t="n">
        <v>45510</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48377-2021</t>
        </is>
      </c>
      <c r="B493" s="1" t="n">
        <v>44451</v>
      </c>
      <c r="C493" s="1" t="n">
        <v>45510</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48373-2021</t>
        </is>
      </c>
      <c r="B494" s="1" t="n">
        <v>44451</v>
      </c>
      <c r="C494" s="1" t="n">
        <v>45510</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48673-2021</t>
        </is>
      </c>
      <c r="B495" s="1" t="n">
        <v>44452</v>
      </c>
      <c r="C495" s="1" t="n">
        <v>45510</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49039-2021</t>
        </is>
      </c>
      <c r="B496" s="1" t="n">
        <v>44453</v>
      </c>
      <c r="C496" s="1" t="n">
        <v>45510</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51972-2021</t>
        </is>
      </c>
      <c r="B497" s="1" t="n">
        <v>44463</v>
      </c>
      <c r="C497" s="1" t="n">
        <v>45510</v>
      </c>
      <c r="D497" t="inlineStr">
        <is>
          <t>KALMAR LÄN</t>
        </is>
      </c>
      <c r="E497" t="inlineStr">
        <is>
          <t>VIMMERBY</t>
        </is>
      </c>
      <c r="G497" t="n">
        <v>4.5</v>
      </c>
      <c r="H497" t="n">
        <v>0</v>
      </c>
      <c r="I497" t="n">
        <v>0</v>
      </c>
      <c r="J497" t="n">
        <v>0</v>
      </c>
      <c r="K497" t="n">
        <v>0</v>
      </c>
      <c r="L497" t="n">
        <v>0</v>
      </c>
      <c r="M497" t="n">
        <v>0</v>
      </c>
      <c r="N497" t="n">
        <v>0</v>
      </c>
      <c r="O497" t="n">
        <v>0</v>
      </c>
      <c r="P497" t="n">
        <v>0</v>
      </c>
      <c r="Q497" t="n">
        <v>0</v>
      </c>
      <c r="R497" s="2" t="inlineStr"/>
    </row>
    <row r="498" ht="15" customHeight="1">
      <c r="A498" t="inlineStr">
        <is>
          <t>A 52433-2021</t>
        </is>
      </c>
      <c r="B498" s="1" t="n">
        <v>44466</v>
      </c>
      <c r="C498" s="1" t="n">
        <v>45510</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52435-2021</t>
        </is>
      </c>
      <c r="B499" s="1" t="n">
        <v>44466</v>
      </c>
      <c r="C499" s="1" t="n">
        <v>45510</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53083-2021</t>
        </is>
      </c>
      <c r="B500" s="1" t="n">
        <v>44467</v>
      </c>
      <c r="C500" s="1" t="n">
        <v>45510</v>
      </c>
      <c r="D500" t="inlineStr">
        <is>
          <t>KALMAR LÄN</t>
        </is>
      </c>
      <c r="E500" t="inlineStr">
        <is>
          <t>VIMMERBY</t>
        </is>
      </c>
      <c r="G500" t="n">
        <v>6.8</v>
      </c>
      <c r="H500" t="n">
        <v>0</v>
      </c>
      <c r="I500" t="n">
        <v>0</v>
      </c>
      <c r="J500" t="n">
        <v>0</v>
      </c>
      <c r="K500" t="n">
        <v>0</v>
      </c>
      <c r="L500" t="n">
        <v>0</v>
      </c>
      <c r="M500" t="n">
        <v>0</v>
      </c>
      <c r="N500" t="n">
        <v>0</v>
      </c>
      <c r="O500" t="n">
        <v>0</v>
      </c>
      <c r="P500" t="n">
        <v>0</v>
      </c>
      <c r="Q500" t="n">
        <v>0</v>
      </c>
      <c r="R500" s="2" t="inlineStr"/>
    </row>
    <row r="501" ht="15" customHeight="1">
      <c r="A501" t="inlineStr">
        <is>
          <t>A 53080-2021</t>
        </is>
      </c>
      <c r="B501" s="1" t="n">
        <v>44467</v>
      </c>
      <c r="C501" s="1" t="n">
        <v>45510</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54065-2021</t>
        </is>
      </c>
      <c r="B502" s="1" t="n">
        <v>44470</v>
      </c>
      <c r="C502" s="1" t="n">
        <v>45510</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55300-2021</t>
        </is>
      </c>
      <c r="B503" s="1" t="n">
        <v>44475</v>
      </c>
      <c r="C503" s="1" t="n">
        <v>45510</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55297-2021</t>
        </is>
      </c>
      <c r="B504" s="1" t="n">
        <v>44475</v>
      </c>
      <c r="C504" s="1" t="n">
        <v>45510</v>
      </c>
      <c r="D504" t="inlineStr">
        <is>
          <t>KALMAR LÄN</t>
        </is>
      </c>
      <c r="E504" t="inlineStr">
        <is>
          <t>VIMMERBY</t>
        </is>
      </c>
      <c r="G504" t="n">
        <v>4.1</v>
      </c>
      <c r="H504" t="n">
        <v>0</v>
      </c>
      <c r="I504" t="n">
        <v>0</v>
      </c>
      <c r="J504" t="n">
        <v>0</v>
      </c>
      <c r="K504" t="n">
        <v>0</v>
      </c>
      <c r="L504" t="n">
        <v>0</v>
      </c>
      <c r="M504" t="n">
        <v>0</v>
      </c>
      <c r="N504" t="n">
        <v>0</v>
      </c>
      <c r="O504" t="n">
        <v>0</v>
      </c>
      <c r="P504" t="n">
        <v>0</v>
      </c>
      <c r="Q504" t="n">
        <v>0</v>
      </c>
      <c r="R504" s="2" t="inlineStr"/>
    </row>
    <row r="505" ht="15" customHeight="1">
      <c r="A505" t="inlineStr">
        <is>
          <t>A 55674-2021</t>
        </is>
      </c>
      <c r="B505" s="1" t="n">
        <v>44476</v>
      </c>
      <c r="C505" s="1" t="n">
        <v>45510</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56029-2021</t>
        </is>
      </c>
      <c r="B506" s="1" t="n">
        <v>44477</v>
      </c>
      <c r="C506" s="1" t="n">
        <v>45510</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56343-2021</t>
        </is>
      </c>
      <c r="B507" s="1" t="n">
        <v>44480</v>
      </c>
      <c r="C507" s="1" t="n">
        <v>45510</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56385-2021</t>
        </is>
      </c>
      <c r="B508" s="1" t="n">
        <v>44480</v>
      </c>
      <c r="C508" s="1" t="n">
        <v>45510</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56347-2021</t>
        </is>
      </c>
      <c r="B509" s="1" t="n">
        <v>44480</v>
      </c>
      <c r="C509" s="1" t="n">
        <v>45510</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56378-2021</t>
        </is>
      </c>
      <c r="B510" s="1" t="n">
        <v>44480</v>
      </c>
      <c r="C510" s="1" t="n">
        <v>45510</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56398-2021</t>
        </is>
      </c>
      <c r="B511" s="1" t="n">
        <v>44480</v>
      </c>
      <c r="C511" s="1" t="n">
        <v>45510</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56389-2021</t>
        </is>
      </c>
      <c r="B512" s="1" t="n">
        <v>44480</v>
      </c>
      <c r="C512" s="1" t="n">
        <v>45510</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56754-2021</t>
        </is>
      </c>
      <c r="B513" s="1" t="n">
        <v>44481</v>
      </c>
      <c r="C513" s="1" t="n">
        <v>45510</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57416-2021</t>
        </is>
      </c>
      <c r="B514" s="1" t="n">
        <v>44483</v>
      </c>
      <c r="C514" s="1" t="n">
        <v>45510</v>
      </c>
      <c r="D514" t="inlineStr">
        <is>
          <t>KALMAR LÄN</t>
        </is>
      </c>
      <c r="E514" t="inlineStr">
        <is>
          <t>VIMMERBY</t>
        </is>
      </c>
      <c r="G514" t="n">
        <v>2.9</v>
      </c>
      <c r="H514" t="n">
        <v>0</v>
      </c>
      <c r="I514" t="n">
        <v>0</v>
      </c>
      <c r="J514" t="n">
        <v>0</v>
      </c>
      <c r="K514" t="n">
        <v>0</v>
      </c>
      <c r="L514" t="n">
        <v>0</v>
      </c>
      <c r="M514" t="n">
        <v>0</v>
      </c>
      <c r="N514" t="n">
        <v>0</v>
      </c>
      <c r="O514" t="n">
        <v>0</v>
      </c>
      <c r="P514" t="n">
        <v>0</v>
      </c>
      <c r="Q514" t="n">
        <v>0</v>
      </c>
      <c r="R514" s="2" t="inlineStr"/>
    </row>
    <row r="515" ht="15" customHeight="1">
      <c r="A515" t="inlineStr">
        <is>
          <t>A 57605-2021</t>
        </is>
      </c>
      <c r="B515" s="1" t="n">
        <v>44483</v>
      </c>
      <c r="C515" s="1" t="n">
        <v>45510</v>
      </c>
      <c r="D515" t="inlineStr">
        <is>
          <t>KALMAR LÄN</t>
        </is>
      </c>
      <c r="E515" t="inlineStr">
        <is>
          <t>VIMMERBY</t>
        </is>
      </c>
      <c r="G515" t="n">
        <v>13.1</v>
      </c>
      <c r="H515" t="n">
        <v>0</v>
      </c>
      <c r="I515" t="n">
        <v>0</v>
      </c>
      <c r="J515" t="n">
        <v>0</v>
      </c>
      <c r="K515" t="n">
        <v>0</v>
      </c>
      <c r="L515" t="n">
        <v>0</v>
      </c>
      <c r="M515" t="n">
        <v>0</v>
      </c>
      <c r="N515" t="n">
        <v>0</v>
      </c>
      <c r="O515" t="n">
        <v>0</v>
      </c>
      <c r="P515" t="n">
        <v>0</v>
      </c>
      <c r="Q515" t="n">
        <v>0</v>
      </c>
      <c r="R515" s="2" t="inlineStr"/>
    </row>
    <row r="516" ht="15" customHeight="1">
      <c r="A516" t="inlineStr">
        <is>
          <t>A 58318-2021</t>
        </is>
      </c>
      <c r="B516" s="1" t="n">
        <v>44488</v>
      </c>
      <c r="C516" s="1" t="n">
        <v>45510</v>
      </c>
      <c r="D516" t="inlineStr">
        <is>
          <t>KALMAR LÄN</t>
        </is>
      </c>
      <c r="E516" t="inlineStr">
        <is>
          <t>VIMMERBY</t>
        </is>
      </c>
      <c r="G516" t="n">
        <v>4</v>
      </c>
      <c r="H516" t="n">
        <v>0</v>
      </c>
      <c r="I516" t="n">
        <v>0</v>
      </c>
      <c r="J516" t="n">
        <v>0</v>
      </c>
      <c r="K516" t="n">
        <v>0</v>
      </c>
      <c r="L516" t="n">
        <v>0</v>
      </c>
      <c r="M516" t="n">
        <v>0</v>
      </c>
      <c r="N516" t="n">
        <v>0</v>
      </c>
      <c r="O516" t="n">
        <v>0</v>
      </c>
      <c r="P516" t="n">
        <v>0</v>
      </c>
      <c r="Q516" t="n">
        <v>0</v>
      </c>
      <c r="R516" s="2" t="inlineStr"/>
    </row>
    <row r="517" ht="15" customHeight="1">
      <c r="A517" t="inlineStr">
        <is>
          <t>A 59070-2021</t>
        </is>
      </c>
      <c r="B517" s="1" t="n">
        <v>44490</v>
      </c>
      <c r="C517" s="1" t="n">
        <v>45510</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59781-2021</t>
        </is>
      </c>
      <c r="B518" s="1" t="n">
        <v>44494</v>
      </c>
      <c r="C518" s="1" t="n">
        <v>45510</v>
      </c>
      <c r="D518" t="inlineStr">
        <is>
          <t>KALMAR LÄN</t>
        </is>
      </c>
      <c r="E518" t="inlineStr">
        <is>
          <t>VIMMERBY</t>
        </is>
      </c>
      <c r="G518" t="n">
        <v>5.6</v>
      </c>
      <c r="H518" t="n">
        <v>0</v>
      </c>
      <c r="I518" t="n">
        <v>0</v>
      </c>
      <c r="J518" t="n">
        <v>0</v>
      </c>
      <c r="K518" t="n">
        <v>0</v>
      </c>
      <c r="L518" t="n">
        <v>0</v>
      </c>
      <c r="M518" t="n">
        <v>0</v>
      </c>
      <c r="N518" t="n">
        <v>0</v>
      </c>
      <c r="O518" t="n">
        <v>0</v>
      </c>
      <c r="P518" t="n">
        <v>0</v>
      </c>
      <c r="Q518" t="n">
        <v>0</v>
      </c>
      <c r="R518" s="2" t="inlineStr"/>
    </row>
    <row r="519" ht="15" customHeight="1">
      <c r="A519" t="inlineStr">
        <is>
          <t>A 59791-2021</t>
        </is>
      </c>
      <c r="B519" s="1" t="n">
        <v>44494</v>
      </c>
      <c r="C519" s="1" t="n">
        <v>45510</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60228-2021</t>
        </is>
      </c>
      <c r="B520" s="1" t="n">
        <v>44495</v>
      </c>
      <c r="C520" s="1" t="n">
        <v>45510</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60225-2021</t>
        </is>
      </c>
      <c r="B521" s="1" t="n">
        <v>44495</v>
      </c>
      <c r="C521" s="1" t="n">
        <v>45510</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60994-2021</t>
        </is>
      </c>
      <c r="B522" s="1" t="n">
        <v>44497</v>
      </c>
      <c r="C522" s="1" t="n">
        <v>45510</v>
      </c>
      <c r="D522" t="inlineStr">
        <is>
          <t>KALMAR LÄN</t>
        </is>
      </c>
      <c r="E522" t="inlineStr">
        <is>
          <t>VIMMERBY</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61939-2021</t>
        </is>
      </c>
      <c r="B523" s="1" t="n">
        <v>44502</v>
      </c>
      <c r="C523" s="1" t="n">
        <v>45510</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63244-2021</t>
        </is>
      </c>
      <c r="B524" s="1" t="n">
        <v>44508</v>
      </c>
      <c r="C524" s="1" t="n">
        <v>45510</v>
      </c>
      <c r="D524" t="inlineStr">
        <is>
          <t>KALMAR LÄN</t>
        </is>
      </c>
      <c r="E524" t="inlineStr">
        <is>
          <t>VIMMERBY</t>
        </is>
      </c>
      <c r="F524" t="inlineStr">
        <is>
          <t>Övriga statliga verk och myndigheter</t>
        </is>
      </c>
      <c r="G524" t="n">
        <v>0.6</v>
      </c>
      <c r="H524" t="n">
        <v>0</v>
      </c>
      <c r="I524" t="n">
        <v>0</v>
      </c>
      <c r="J524" t="n">
        <v>0</v>
      </c>
      <c r="K524" t="n">
        <v>0</v>
      </c>
      <c r="L524" t="n">
        <v>0</v>
      </c>
      <c r="M524" t="n">
        <v>0</v>
      </c>
      <c r="N524" t="n">
        <v>0</v>
      </c>
      <c r="O524" t="n">
        <v>0</v>
      </c>
      <c r="P524" t="n">
        <v>0</v>
      </c>
      <c r="Q524" t="n">
        <v>0</v>
      </c>
      <c r="R524" s="2" t="inlineStr"/>
    </row>
    <row r="525" ht="15" customHeight="1">
      <c r="A525" t="inlineStr">
        <is>
          <t>A 63926-2021</t>
        </is>
      </c>
      <c r="B525" s="1" t="n">
        <v>44509</v>
      </c>
      <c r="C525" s="1" t="n">
        <v>45510</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64143-2021</t>
        </is>
      </c>
      <c r="B526" s="1" t="n">
        <v>44510</v>
      </c>
      <c r="C526" s="1" t="n">
        <v>45510</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64203-2021</t>
        </is>
      </c>
      <c r="B527" s="1" t="n">
        <v>44510</v>
      </c>
      <c r="C527" s="1" t="n">
        <v>45510</v>
      </c>
      <c r="D527" t="inlineStr">
        <is>
          <t>KALMAR LÄN</t>
        </is>
      </c>
      <c r="E527" t="inlineStr">
        <is>
          <t>VIMMERBY</t>
        </is>
      </c>
      <c r="F527" t="inlineStr">
        <is>
          <t>Övriga Aktiebolag</t>
        </is>
      </c>
      <c r="G527" t="n">
        <v>5.4</v>
      </c>
      <c r="H527" t="n">
        <v>0</v>
      </c>
      <c r="I527" t="n">
        <v>0</v>
      </c>
      <c r="J527" t="n">
        <v>0</v>
      </c>
      <c r="K527" t="n">
        <v>0</v>
      </c>
      <c r="L527" t="n">
        <v>0</v>
      </c>
      <c r="M527" t="n">
        <v>0</v>
      </c>
      <c r="N527" t="n">
        <v>0</v>
      </c>
      <c r="O527" t="n">
        <v>0</v>
      </c>
      <c r="P527" t="n">
        <v>0</v>
      </c>
      <c r="Q527" t="n">
        <v>0</v>
      </c>
      <c r="R527" s="2" t="inlineStr"/>
    </row>
    <row r="528" ht="15" customHeight="1">
      <c r="A528" t="inlineStr">
        <is>
          <t>A 64923-2021</t>
        </is>
      </c>
      <c r="B528" s="1" t="n">
        <v>44512</v>
      </c>
      <c r="C528" s="1" t="n">
        <v>45510</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65670-2021</t>
        </is>
      </c>
      <c r="B529" s="1" t="n">
        <v>44516</v>
      </c>
      <c r="C529" s="1" t="n">
        <v>45510</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65864-2021</t>
        </is>
      </c>
      <c r="B530" s="1" t="n">
        <v>44517</v>
      </c>
      <c r="C530" s="1" t="n">
        <v>45510</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65887-2021</t>
        </is>
      </c>
      <c r="B531" s="1" t="n">
        <v>44517</v>
      </c>
      <c r="C531" s="1" t="n">
        <v>45510</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66022-2021</t>
        </is>
      </c>
      <c r="B532" s="1" t="n">
        <v>44517</v>
      </c>
      <c r="C532" s="1" t="n">
        <v>45510</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67952-2021</t>
        </is>
      </c>
      <c r="B533" s="1" t="n">
        <v>44525</v>
      </c>
      <c r="C533" s="1" t="n">
        <v>45510</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67983-2021</t>
        </is>
      </c>
      <c r="B534" s="1" t="n">
        <v>44525</v>
      </c>
      <c r="C534" s="1" t="n">
        <v>45510</v>
      </c>
      <c r="D534" t="inlineStr">
        <is>
          <t>KALMAR LÄN</t>
        </is>
      </c>
      <c r="E534" t="inlineStr">
        <is>
          <t>VIMMERBY</t>
        </is>
      </c>
      <c r="G534" t="n">
        <v>6.1</v>
      </c>
      <c r="H534" t="n">
        <v>0</v>
      </c>
      <c r="I534" t="n">
        <v>0</v>
      </c>
      <c r="J534" t="n">
        <v>0</v>
      </c>
      <c r="K534" t="n">
        <v>0</v>
      </c>
      <c r="L534" t="n">
        <v>0</v>
      </c>
      <c r="M534" t="n">
        <v>0</v>
      </c>
      <c r="N534" t="n">
        <v>0</v>
      </c>
      <c r="O534" t="n">
        <v>0</v>
      </c>
      <c r="P534" t="n">
        <v>0</v>
      </c>
      <c r="Q534" t="n">
        <v>0</v>
      </c>
      <c r="R534" s="2" t="inlineStr"/>
    </row>
    <row r="535" ht="15" customHeight="1">
      <c r="A535" t="inlineStr">
        <is>
          <t>A 68426-2021</t>
        </is>
      </c>
      <c r="B535" s="1" t="n">
        <v>44529</v>
      </c>
      <c r="C535" s="1" t="n">
        <v>45510</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68840-2021</t>
        </is>
      </c>
      <c r="B536" s="1" t="n">
        <v>44530</v>
      </c>
      <c r="C536" s="1" t="n">
        <v>45510</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71775-2021</t>
        </is>
      </c>
      <c r="B537" s="1" t="n">
        <v>44539</v>
      </c>
      <c r="C537" s="1" t="n">
        <v>45510</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71793-2021</t>
        </is>
      </c>
      <c r="B538" s="1" t="n">
        <v>44539</v>
      </c>
      <c r="C538" s="1" t="n">
        <v>45510</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72067-2021</t>
        </is>
      </c>
      <c r="B539" s="1" t="n">
        <v>44540</v>
      </c>
      <c r="C539" s="1" t="n">
        <v>45510</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71631-2021</t>
        </is>
      </c>
      <c r="B540" s="1" t="n">
        <v>44542</v>
      </c>
      <c r="C540" s="1" t="n">
        <v>45510</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71626-2021</t>
        </is>
      </c>
      <c r="B541" s="1" t="n">
        <v>44542</v>
      </c>
      <c r="C541" s="1" t="n">
        <v>45510</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72701-2021</t>
        </is>
      </c>
      <c r="B542" s="1" t="n">
        <v>44546</v>
      </c>
      <c r="C542" s="1" t="n">
        <v>45510</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73938-2021</t>
        </is>
      </c>
      <c r="B543" s="1" t="n">
        <v>44553</v>
      </c>
      <c r="C543" s="1" t="n">
        <v>45510</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172-2022</t>
        </is>
      </c>
      <c r="B544" s="1" t="n">
        <v>44564</v>
      </c>
      <c r="C544" s="1" t="n">
        <v>45510</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165-2022</t>
        </is>
      </c>
      <c r="B545" s="1" t="n">
        <v>44564</v>
      </c>
      <c r="C545" s="1" t="n">
        <v>45510</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529-2022</t>
        </is>
      </c>
      <c r="B546" s="1" t="n">
        <v>44566</v>
      </c>
      <c r="C546" s="1" t="n">
        <v>45510</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1627-2022</t>
        </is>
      </c>
      <c r="B547" s="1" t="n">
        <v>44573</v>
      </c>
      <c r="C547" s="1" t="n">
        <v>45510</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1838-2022</t>
        </is>
      </c>
      <c r="B548" s="1" t="n">
        <v>44574</v>
      </c>
      <c r="C548" s="1" t="n">
        <v>45510</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2069-2022</t>
        </is>
      </c>
      <c r="B549" s="1" t="n">
        <v>44575</v>
      </c>
      <c r="C549" s="1" t="n">
        <v>45510</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2121-2022</t>
        </is>
      </c>
      <c r="B550" s="1" t="n">
        <v>44578</v>
      </c>
      <c r="C550" s="1" t="n">
        <v>45510</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2196-2022</t>
        </is>
      </c>
      <c r="B551" s="1" t="n">
        <v>44578</v>
      </c>
      <c r="C551" s="1" t="n">
        <v>45510</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2183-2022</t>
        </is>
      </c>
      <c r="B552" s="1" t="n">
        <v>44578</v>
      </c>
      <c r="C552" s="1" t="n">
        <v>45510</v>
      </c>
      <c r="D552" t="inlineStr">
        <is>
          <t>KALMAR LÄN</t>
        </is>
      </c>
      <c r="E552" t="inlineStr">
        <is>
          <t>VIMMERBY</t>
        </is>
      </c>
      <c r="G552" t="n">
        <v>4.8</v>
      </c>
      <c r="H552" t="n">
        <v>0</v>
      </c>
      <c r="I552" t="n">
        <v>0</v>
      </c>
      <c r="J552" t="n">
        <v>0</v>
      </c>
      <c r="K552" t="n">
        <v>0</v>
      </c>
      <c r="L552" t="n">
        <v>0</v>
      </c>
      <c r="M552" t="n">
        <v>0</v>
      </c>
      <c r="N552" t="n">
        <v>0</v>
      </c>
      <c r="O552" t="n">
        <v>0</v>
      </c>
      <c r="P552" t="n">
        <v>0</v>
      </c>
      <c r="Q552" t="n">
        <v>0</v>
      </c>
      <c r="R552" s="2" t="inlineStr"/>
    </row>
    <row r="553" ht="15" customHeight="1">
      <c r="A553" t="inlineStr">
        <is>
          <t>A 2260-2022</t>
        </is>
      </c>
      <c r="B553" s="1" t="n">
        <v>44578</v>
      </c>
      <c r="C553" s="1" t="n">
        <v>45510</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2411-2022</t>
        </is>
      </c>
      <c r="B554" s="1" t="n">
        <v>44579</v>
      </c>
      <c r="C554" s="1" t="n">
        <v>45510</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v>
      </c>
      <c r="C555" s="1" t="n">
        <v>45510</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3425-2022</t>
        </is>
      </c>
      <c r="B556" s="1" t="n">
        <v>44585</v>
      </c>
      <c r="C556" s="1" t="n">
        <v>45510</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3423-2022</t>
        </is>
      </c>
      <c r="B557" s="1" t="n">
        <v>44585</v>
      </c>
      <c r="C557" s="1" t="n">
        <v>45510</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3426-2022</t>
        </is>
      </c>
      <c r="B558" s="1" t="n">
        <v>44585</v>
      </c>
      <c r="C558" s="1" t="n">
        <v>45510</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3816-2022</t>
        </is>
      </c>
      <c r="B559" s="1" t="n">
        <v>44587</v>
      </c>
      <c r="C559" s="1" t="n">
        <v>45510</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3902-2022</t>
        </is>
      </c>
      <c r="B560" s="1" t="n">
        <v>44587</v>
      </c>
      <c r="C560" s="1" t="n">
        <v>45510</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4046-2022</t>
        </is>
      </c>
      <c r="B561" s="1" t="n">
        <v>44588</v>
      </c>
      <c r="C561" s="1" t="n">
        <v>45510</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4054-2022</t>
        </is>
      </c>
      <c r="B562" s="1" t="n">
        <v>44588</v>
      </c>
      <c r="C562" s="1" t="n">
        <v>45510</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4118-2022</t>
        </is>
      </c>
      <c r="B563" s="1" t="n">
        <v>44588</v>
      </c>
      <c r="C563" s="1" t="n">
        <v>45510</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4126-2022</t>
        </is>
      </c>
      <c r="B564" s="1" t="n">
        <v>44588</v>
      </c>
      <c r="C564" s="1" t="n">
        <v>45510</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4042-2022</t>
        </is>
      </c>
      <c r="B565" s="1" t="n">
        <v>44588</v>
      </c>
      <c r="C565" s="1" t="n">
        <v>45510</v>
      </c>
      <c r="D565" t="inlineStr">
        <is>
          <t>KALMAR LÄN</t>
        </is>
      </c>
      <c r="E565" t="inlineStr">
        <is>
          <t>VIMMERBY</t>
        </is>
      </c>
      <c r="G565" t="n">
        <v>4.7</v>
      </c>
      <c r="H565" t="n">
        <v>0</v>
      </c>
      <c r="I565" t="n">
        <v>0</v>
      </c>
      <c r="J565" t="n">
        <v>0</v>
      </c>
      <c r="K565" t="n">
        <v>0</v>
      </c>
      <c r="L565" t="n">
        <v>0</v>
      </c>
      <c r="M565" t="n">
        <v>0</v>
      </c>
      <c r="N565" t="n">
        <v>0</v>
      </c>
      <c r="O565" t="n">
        <v>0</v>
      </c>
      <c r="P565" t="n">
        <v>0</v>
      </c>
      <c r="Q565" t="n">
        <v>0</v>
      </c>
      <c r="R565" s="2" t="inlineStr"/>
    </row>
    <row r="566" ht="15" customHeight="1">
      <c r="A566" t="inlineStr">
        <is>
          <t>A 4076-2022</t>
        </is>
      </c>
      <c r="B566" s="1" t="n">
        <v>44588</v>
      </c>
      <c r="C566" s="1" t="n">
        <v>45510</v>
      </c>
      <c r="D566" t="inlineStr">
        <is>
          <t>KALMAR LÄN</t>
        </is>
      </c>
      <c r="E566" t="inlineStr">
        <is>
          <t>VIMMERBY</t>
        </is>
      </c>
      <c r="G566" t="n">
        <v>3</v>
      </c>
      <c r="H566" t="n">
        <v>0</v>
      </c>
      <c r="I566" t="n">
        <v>0</v>
      </c>
      <c r="J566" t="n">
        <v>0</v>
      </c>
      <c r="K566" t="n">
        <v>0</v>
      </c>
      <c r="L566" t="n">
        <v>0</v>
      </c>
      <c r="M566" t="n">
        <v>0</v>
      </c>
      <c r="N566" t="n">
        <v>0</v>
      </c>
      <c r="O566" t="n">
        <v>0</v>
      </c>
      <c r="P566" t="n">
        <v>0</v>
      </c>
      <c r="Q566" t="n">
        <v>0</v>
      </c>
      <c r="R566" s="2" t="inlineStr"/>
    </row>
    <row r="567" ht="15" customHeight="1">
      <c r="A567" t="inlineStr">
        <is>
          <t>A 4122-2022</t>
        </is>
      </c>
      <c r="B567" s="1" t="n">
        <v>44588</v>
      </c>
      <c r="C567" s="1" t="n">
        <v>45510</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4297-2022</t>
        </is>
      </c>
      <c r="B568" s="1" t="n">
        <v>44588</v>
      </c>
      <c r="C568" s="1" t="n">
        <v>45510</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4296-2022</t>
        </is>
      </c>
      <c r="B569" s="1" t="n">
        <v>44588</v>
      </c>
      <c r="C569" s="1" t="n">
        <v>45510</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4532-2022</t>
        </is>
      </c>
      <c r="B570" s="1" t="n">
        <v>44590</v>
      </c>
      <c r="C570" s="1" t="n">
        <v>45510</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v>
      </c>
      <c r="C571" s="1" t="n">
        <v>45510</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5545-2022</t>
        </is>
      </c>
      <c r="B572" s="1" t="n">
        <v>44595</v>
      </c>
      <c r="C572" s="1" t="n">
        <v>45510</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5618-2022</t>
        </is>
      </c>
      <c r="B573" s="1" t="n">
        <v>44595</v>
      </c>
      <c r="C573" s="1" t="n">
        <v>45510</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5864-2022</t>
        </is>
      </c>
      <c r="B574" s="1" t="n">
        <v>44596</v>
      </c>
      <c r="C574" s="1" t="n">
        <v>45510</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v>
      </c>
      <c r="C575" s="1" t="n">
        <v>45510</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5938-2022</t>
        </is>
      </c>
      <c r="B576" s="1" t="n">
        <v>44598</v>
      </c>
      <c r="C576" s="1" t="n">
        <v>45510</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6083-2022</t>
        </is>
      </c>
      <c r="B577" s="1" t="n">
        <v>44599</v>
      </c>
      <c r="C577" s="1" t="n">
        <v>45510</v>
      </c>
      <c r="D577" t="inlineStr">
        <is>
          <t>KALMAR LÄN</t>
        </is>
      </c>
      <c r="E577" t="inlineStr">
        <is>
          <t>VIMMERBY</t>
        </is>
      </c>
      <c r="G577" t="n">
        <v>6.6</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45510</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45510</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6355-2022</t>
        </is>
      </c>
      <c r="B580" s="1" t="n">
        <v>44600</v>
      </c>
      <c r="C580" s="1" t="n">
        <v>45510</v>
      </c>
      <c r="D580" t="inlineStr">
        <is>
          <t>KALMAR LÄN</t>
        </is>
      </c>
      <c r="E580" t="inlineStr">
        <is>
          <t>VIMMERBY</t>
        </is>
      </c>
      <c r="G580" t="n">
        <v>4.9</v>
      </c>
      <c r="H580" t="n">
        <v>0</v>
      </c>
      <c r="I580" t="n">
        <v>0</v>
      </c>
      <c r="J580" t="n">
        <v>0</v>
      </c>
      <c r="K580" t="n">
        <v>0</v>
      </c>
      <c r="L580" t="n">
        <v>0</v>
      </c>
      <c r="M580" t="n">
        <v>0</v>
      </c>
      <c r="N580" t="n">
        <v>0</v>
      </c>
      <c r="O580" t="n">
        <v>0</v>
      </c>
      <c r="P580" t="n">
        <v>0</v>
      </c>
      <c r="Q580" t="n">
        <v>0</v>
      </c>
      <c r="R580" s="2" t="inlineStr"/>
    </row>
    <row r="581" ht="15" customHeight="1">
      <c r="A581" t="inlineStr">
        <is>
          <t>A 7047-2022</t>
        </is>
      </c>
      <c r="B581" s="1" t="n">
        <v>44603</v>
      </c>
      <c r="C581" s="1" t="n">
        <v>45510</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7049-2022</t>
        </is>
      </c>
      <c r="B582" s="1" t="n">
        <v>44603</v>
      </c>
      <c r="C582" s="1" t="n">
        <v>45510</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7167-2022</t>
        </is>
      </c>
      <c r="B583" s="1" t="n">
        <v>44604</v>
      </c>
      <c r="C583" s="1" t="n">
        <v>45510</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7643-2022</t>
        </is>
      </c>
      <c r="B584" s="1" t="n">
        <v>44607</v>
      </c>
      <c r="C584" s="1" t="n">
        <v>45510</v>
      </c>
      <c r="D584" t="inlineStr">
        <is>
          <t>KALMAR LÄN</t>
        </is>
      </c>
      <c r="E584" t="inlineStr">
        <is>
          <t>VIMMERBY</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7804-2022</t>
        </is>
      </c>
      <c r="B585" s="1" t="n">
        <v>44608</v>
      </c>
      <c r="C585" s="1" t="n">
        <v>45510</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7917-2022</t>
        </is>
      </c>
      <c r="B586" s="1" t="n">
        <v>44608</v>
      </c>
      <c r="C586" s="1" t="n">
        <v>45510</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8194-2022</t>
        </is>
      </c>
      <c r="B587" s="1" t="n">
        <v>44609</v>
      </c>
      <c r="C587" s="1" t="n">
        <v>45510</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8454-2022</t>
        </is>
      </c>
      <c r="B588" s="1" t="n">
        <v>44612</v>
      </c>
      <c r="C588" s="1" t="n">
        <v>45510</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8453-2022</t>
        </is>
      </c>
      <c r="B589" s="1" t="n">
        <v>44612</v>
      </c>
      <c r="C589" s="1" t="n">
        <v>45510</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8462-2022</t>
        </is>
      </c>
      <c r="B590" s="1" t="n">
        <v>44612</v>
      </c>
      <c r="C590" s="1" t="n">
        <v>45510</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8650-2022</t>
        </is>
      </c>
      <c r="B591" s="1" t="n">
        <v>44613</v>
      </c>
      <c r="C591" s="1" t="n">
        <v>45510</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8908-2022</t>
        </is>
      </c>
      <c r="B592" s="1" t="n">
        <v>44614</v>
      </c>
      <c r="C592" s="1" t="n">
        <v>45510</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9311-2022</t>
        </is>
      </c>
      <c r="B593" s="1" t="n">
        <v>44616</v>
      </c>
      <c r="C593" s="1" t="n">
        <v>45510</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9918-2022</t>
        </is>
      </c>
      <c r="B594" s="1" t="n">
        <v>44620</v>
      </c>
      <c r="C594" s="1" t="n">
        <v>45510</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10086-2022</t>
        </is>
      </c>
      <c r="B595" s="1" t="n">
        <v>44621</v>
      </c>
      <c r="C595" s="1" t="n">
        <v>45510</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10487-2022</t>
        </is>
      </c>
      <c r="B596" s="1" t="n">
        <v>44623</v>
      </c>
      <c r="C596" s="1" t="n">
        <v>45510</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11429-2022</t>
        </is>
      </c>
      <c r="B597" s="1" t="n">
        <v>44630</v>
      </c>
      <c r="C597" s="1" t="n">
        <v>45510</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11733-2022</t>
        </is>
      </c>
      <c r="B598" s="1" t="n">
        <v>44634</v>
      </c>
      <c r="C598" s="1" t="n">
        <v>45510</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11814-2022</t>
        </is>
      </c>
      <c r="B599" s="1" t="n">
        <v>44634</v>
      </c>
      <c r="C599" s="1" t="n">
        <v>45510</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11928-2022</t>
        </is>
      </c>
      <c r="B600" s="1" t="n">
        <v>44635</v>
      </c>
      <c r="C600" s="1" t="n">
        <v>45510</v>
      </c>
      <c r="D600" t="inlineStr">
        <is>
          <t>KALMAR LÄN</t>
        </is>
      </c>
      <c r="E600" t="inlineStr">
        <is>
          <t>VIMMERBY</t>
        </is>
      </c>
      <c r="G600" t="n">
        <v>2.8</v>
      </c>
      <c r="H600" t="n">
        <v>0</v>
      </c>
      <c r="I600" t="n">
        <v>0</v>
      </c>
      <c r="J600" t="n">
        <v>0</v>
      </c>
      <c r="K600" t="n">
        <v>0</v>
      </c>
      <c r="L600" t="n">
        <v>0</v>
      </c>
      <c r="M600" t="n">
        <v>0</v>
      </c>
      <c r="N600" t="n">
        <v>0</v>
      </c>
      <c r="O600" t="n">
        <v>0</v>
      </c>
      <c r="P600" t="n">
        <v>0</v>
      </c>
      <c r="Q600" t="n">
        <v>0</v>
      </c>
      <c r="R600" s="2" t="inlineStr"/>
    </row>
    <row r="601" ht="15" customHeight="1">
      <c r="A601" t="inlineStr">
        <is>
          <t>A 11930-2022</t>
        </is>
      </c>
      <c r="B601" s="1" t="n">
        <v>44635</v>
      </c>
      <c r="C601" s="1" t="n">
        <v>45510</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12107-2022</t>
        </is>
      </c>
      <c r="B602" s="1" t="n">
        <v>44636</v>
      </c>
      <c r="C602" s="1" t="n">
        <v>45510</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12510-2022</t>
        </is>
      </c>
      <c r="B603" s="1" t="n">
        <v>44638</v>
      </c>
      <c r="C603" s="1" t="n">
        <v>45510</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13015-2022</t>
        </is>
      </c>
      <c r="B604" s="1" t="n">
        <v>44643</v>
      </c>
      <c r="C604" s="1" t="n">
        <v>45510</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13180-2022</t>
        </is>
      </c>
      <c r="B605" s="1" t="n">
        <v>44644</v>
      </c>
      <c r="C605" s="1" t="n">
        <v>45510</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14347-2022</t>
        </is>
      </c>
      <c r="B606" s="1" t="n">
        <v>44652</v>
      </c>
      <c r="C606" s="1" t="n">
        <v>45510</v>
      </c>
      <c r="D606" t="inlineStr">
        <is>
          <t>KALMAR LÄN</t>
        </is>
      </c>
      <c r="E606" t="inlineStr">
        <is>
          <t>VIMMERBY</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15146-2022</t>
        </is>
      </c>
      <c r="B607" s="1" t="n">
        <v>44658</v>
      </c>
      <c r="C607" s="1" t="n">
        <v>45510</v>
      </c>
      <c r="D607" t="inlineStr">
        <is>
          <t>KALMAR LÄN</t>
        </is>
      </c>
      <c r="E607" t="inlineStr">
        <is>
          <t>VIMMERBY</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15438-2022</t>
        </is>
      </c>
      <c r="B608" s="1" t="n">
        <v>44659</v>
      </c>
      <c r="C608" s="1" t="n">
        <v>45510</v>
      </c>
      <c r="D608" t="inlineStr">
        <is>
          <t>KALMAR LÄN</t>
        </is>
      </c>
      <c r="E608" t="inlineStr">
        <is>
          <t>VIMMERBY</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15533-2022</t>
        </is>
      </c>
      <c r="B609" s="1" t="n">
        <v>44662</v>
      </c>
      <c r="C609" s="1" t="n">
        <v>45510</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15535-2022</t>
        </is>
      </c>
      <c r="B610" s="1" t="n">
        <v>44662</v>
      </c>
      <c r="C610" s="1" t="n">
        <v>45510</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16156-2022</t>
        </is>
      </c>
      <c r="B611" s="1" t="n">
        <v>44666</v>
      </c>
      <c r="C611" s="1" t="n">
        <v>45510</v>
      </c>
      <c r="D611" t="inlineStr">
        <is>
          <t>KALMAR LÄN</t>
        </is>
      </c>
      <c r="E611" t="inlineStr">
        <is>
          <t>VIMMERBY</t>
        </is>
      </c>
      <c r="G611" t="n">
        <v>3.4</v>
      </c>
      <c r="H611" t="n">
        <v>0</v>
      </c>
      <c r="I611" t="n">
        <v>0</v>
      </c>
      <c r="J611" t="n">
        <v>0</v>
      </c>
      <c r="K611" t="n">
        <v>0</v>
      </c>
      <c r="L611" t="n">
        <v>0</v>
      </c>
      <c r="M611" t="n">
        <v>0</v>
      </c>
      <c r="N611" t="n">
        <v>0</v>
      </c>
      <c r="O611" t="n">
        <v>0</v>
      </c>
      <c r="P611" t="n">
        <v>0</v>
      </c>
      <c r="Q611" t="n">
        <v>0</v>
      </c>
      <c r="R611" s="2" t="inlineStr"/>
    </row>
    <row r="612" ht="15" customHeight="1">
      <c r="A612" t="inlineStr">
        <is>
          <t>A 16288-2022</t>
        </is>
      </c>
      <c r="B612" s="1" t="n">
        <v>44670</v>
      </c>
      <c r="C612" s="1" t="n">
        <v>45510</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16283-2022</t>
        </is>
      </c>
      <c r="B613" s="1" t="n">
        <v>44670</v>
      </c>
      <c r="C613" s="1" t="n">
        <v>45510</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16290-2022</t>
        </is>
      </c>
      <c r="B614" s="1" t="n">
        <v>44670</v>
      </c>
      <c r="C614" s="1" t="n">
        <v>45510</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17029-2022</t>
        </is>
      </c>
      <c r="B615" s="1" t="n">
        <v>44676</v>
      </c>
      <c r="C615" s="1" t="n">
        <v>45510</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17253-2022</t>
        </is>
      </c>
      <c r="B616" s="1" t="n">
        <v>44678</v>
      </c>
      <c r="C616" s="1" t="n">
        <v>45510</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19535-2022</t>
        </is>
      </c>
      <c r="B617" s="1" t="n">
        <v>44693</v>
      </c>
      <c r="C617" s="1" t="n">
        <v>45510</v>
      </c>
      <c r="D617" t="inlineStr">
        <is>
          <t>KALMAR LÄN</t>
        </is>
      </c>
      <c r="E617" t="inlineStr">
        <is>
          <t>VIMMERBY</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19537-2022</t>
        </is>
      </c>
      <c r="B618" s="1" t="n">
        <v>44693</v>
      </c>
      <c r="C618" s="1" t="n">
        <v>45510</v>
      </c>
      <c r="D618" t="inlineStr">
        <is>
          <t>KALMAR LÄN</t>
        </is>
      </c>
      <c r="E618" t="inlineStr">
        <is>
          <t>VIMMERBY</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23341-2022</t>
        </is>
      </c>
      <c r="B619" s="1" t="n">
        <v>44720</v>
      </c>
      <c r="C619" s="1" t="n">
        <v>45510</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23825-2022</t>
        </is>
      </c>
      <c r="B620" s="1" t="n">
        <v>44722</v>
      </c>
      <c r="C620" s="1" t="n">
        <v>45510</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25049-2022</t>
        </is>
      </c>
      <c r="B621" s="1" t="n">
        <v>44729</v>
      </c>
      <c r="C621" s="1" t="n">
        <v>45510</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25370-2022</t>
        </is>
      </c>
      <c r="B622" s="1" t="n">
        <v>44732</v>
      </c>
      <c r="C622" s="1" t="n">
        <v>45510</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25738-2022</t>
        </is>
      </c>
      <c r="B623" s="1" t="n">
        <v>44733</v>
      </c>
      <c r="C623" s="1" t="n">
        <v>45510</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25859-2022</t>
        </is>
      </c>
      <c r="B624" s="1" t="n">
        <v>44733</v>
      </c>
      <c r="C624" s="1" t="n">
        <v>45510</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25868-2022</t>
        </is>
      </c>
      <c r="B625" s="1" t="n">
        <v>44733</v>
      </c>
      <c r="C625" s="1" t="n">
        <v>45510</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27455-2022</t>
        </is>
      </c>
      <c r="B626" s="1" t="n">
        <v>44742</v>
      </c>
      <c r="C626" s="1" t="n">
        <v>45510</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27993-2022</t>
        </is>
      </c>
      <c r="B627" s="1" t="n">
        <v>44745</v>
      </c>
      <c r="C627" s="1" t="n">
        <v>45510</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28034-2022</t>
        </is>
      </c>
      <c r="B628" s="1" t="n">
        <v>44746</v>
      </c>
      <c r="C628" s="1" t="n">
        <v>45510</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28406-2022</t>
        </is>
      </c>
      <c r="B629" s="1" t="n">
        <v>44747</v>
      </c>
      <c r="C629" s="1" t="n">
        <v>45510</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28646-2022</t>
        </is>
      </c>
      <c r="B630" s="1" t="n">
        <v>44748</v>
      </c>
      <c r="C630" s="1" t="n">
        <v>45510</v>
      </c>
      <c r="D630" t="inlineStr">
        <is>
          <t>KALMAR LÄN</t>
        </is>
      </c>
      <c r="E630" t="inlineStr">
        <is>
          <t>VIMMERBY</t>
        </is>
      </c>
      <c r="G630" t="n">
        <v>4.4</v>
      </c>
      <c r="H630" t="n">
        <v>0</v>
      </c>
      <c r="I630" t="n">
        <v>0</v>
      </c>
      <c r="J630" t="n">
        <v>0</v>
      </c>
      <c r="K630" t="n">
        <v>0</v>
      </c>
      <c r="L630" t="n">
        <v>0</v>
      </c>
      <c r="M630" t="n">
        <v>0</v>
      </c>
      <c r="N630" t="n">
        <v>0</v>
      </c>
      <c r="O630" t="n">
        <v>0</v>
      </c>
      <c r="P630" t="n">
        <v>0</v>
      </c>
      <c r="Q630" t="n">
        <v>0</v>
      </c>
      <c r="R630" s="2" t="inlineStr"/>
    </row>
    <row r="631" ht="15" customHeight="1">
      <c r="A631" t="inlineStr">
        <is>
          <t>A 29616-2022</t>
        </is>
      </c>
      <c r="B631" s="1" t="n">
        <v>44754</v>
      </c>
      <c r="C631" s="1" t="n">
        <v>45510</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29910-2022</t>
        </is>
      </c>
      <c r="B632" s="1" t="n">
        <v>44756</v>
      </c>
      <c r="C632" s="1" t="n">
        <v>45510</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31053-2022</t>
        </is>
      </c>
      <c r="B633" s="1" t="n">
        <v>44769</v>
      </c>
      <c r="C633" s="1" t="n">
        <v>45510</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31056-2022</t>
        </is>
      </c>
      <c r="B634" s="1" t="n">
        <v>44769</v>
      </c>
      <c r="C634" s="1" t="n">
        <v>45510</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31533-2022</t>
        </is>
      </c>
      <c r="B635" s="1" t="n">
        <v>44774</v>
      </c>
      <c r="C635" s="1" t="n">
        <v>45510</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31824-2022</t>
        </is>
      </c>
      <c r="B636" s="1" t="n">
        <v>44776</v>
      </c>
      <c r="C636" s="1" t="n">
        <v>45510</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32835-2022</t>
        </is>
      </c>
      <c r="B637" s="1" t="n">
        <v>44784</v>
      </c>
      <c r="C637" s="1" t="n">
        <v>45510</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32919-2022</t>
        </is>
      </c>
      <c r="B638" s="1" t="n">
        <v>44784</v>
      </c>
      <c r="C638" s="1" t="n">
        <v>45510</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33051-2022</t>
        </is>
      </c>
      <c r="B639" s="1" t="n">
        <v>44785</v>
      </c>
      <c r="C639" s="1" t="n">
        <v>45510</v>
      </c>
      <c r="D639" t="inlineStr">
        <is>
          <t>KALMAR LÄN</t>
        </is>
      </c>
      <c r="E639" t="inlineStr">
        <is>
          <t>VIMMERBY</t>
        </is>
      </c>
      <c r="G639" t="n">
        <v>0.3</v>
      </c>
      <c r="H639" t="n">
        <v>0</v>
      </c>
      <c r="I639" t="n">
        <v>0</v>
      </c>
      <c r="J639" t="n">
        <v>0</v>
      </c>
      <c r="K639" t="n">
        <v>0</v>
      </c>
      <c r="L639" t="n">
        <v>0</v>
      </c>
      <c r="M639" t="n">
        <v>0</v>
      </c>
      <c r="N639" t="n">
        <v>0</v>
      </c>
      <c r="O639" t="n">
        <v>0</v>
      </c>
      <c r="P639" t="n">
        <v>0</v>
      </c>
      <c r="Q639" t="n">
        <v>0</v>
      </c>
      <c r="R639" s="2" t="inlineStr"/>
    </row>
    <row r="640" ht="15" customHeight="1">
      <c r="A640" t="inlineStr">
        <is>
          <t>A 33352-2022</t>
        </is>
      </c>
      <c r="B640" s="1" t="n">
        <v>44788</v>
      </c>
      <c r="C640" s="1" t="n">
        <v>45510</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33681-2022</t>
        </is>
      </c>
      <c r="B641" s="1" t="n">
        <v>44789</v>
      </c>
      <c r="C641" s="1" t="n">
        <v>45510</v>
      </c>
      <c r="D641" t="inlineStr">
        <is>
          <t>KALMAR LÄN</t>
        </is>
      </c>
      <c r="E641" t="inlineStr">
        <is>
          <t>VIMMERBY</t>
        </is>
      </c>
      <c r="G641" t="n">
        <v>3.2</v>
      </c>
      <c r="H641" t="n">
        <v>0</v>
      </c>
      <c r="I641" t="n">
        <v>0</v>
      </c>
      <c r="J641" t="n">
        <v>0</v>
      </c>
      <c r="K641" t="n">
        <v>0</v>
      </c>
      <c r="L641" t="n">
        <v>0</v>
      </c>
      <c r="M641" t="n">
        <v>0</v>
      </c>
      <c r="N641" t="n">
        <v>0</v>
      </c>
      <c r="O641" t="n">
        <v>0</v>
      </c>
      <c r="P641" t="n">
        <v>0</v>
      </c>
      <c r="Q641" t="n">
        <v>0</v>
      </c>
      <c r="R641" s="2" t="inlineStr"/>
    </row>
    <row r="642" ht="15" customHeight="1">
      <c r="A642" t="inlineStr">
        <is>
          <t>A 33690-2022</t>
        </is>
      </c>
      <c r="B642" s="1" t="n">
        <v>44789</v>
      </c>
      <c r="C642" s="1" t="n">
        <v>45510</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33815-2022</t>
        </is>
      </c>
      <c r="B643" s="1" t="n">
        <v>44790</v>
      </c>
      <c r="C643" s="1" t="n">
        <v>45510</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33829-2022</t>
        </is>
      </c>
      <c r="B644" s="1" t="n">
        <v>44790</v>
      </c>
      <c r="C644" s="1" t="n">
        <v>45510</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33838-2022</t>
        </is>
      </c>
      <c r="B645" s="1" t="n">
        <v>44790</v>
      </c>
      <c r="C645" s="1" t="n">
        <v>45510</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33820-2022</t>
        </is>
      </c>
      <c r="B646" s="1" t="n">
        <v>44790</v>
      </c>
      <c r="C646" s="1" t="n">
        <v>45510</v>
      </c>
      <c r="D646" t="inlineStr">
        <is>
          <t>KALMAR LÄN</t>
        </is>
      </c>
      <c r="E646" t="inlineStr">
        <is>
          <t>VIMMERBY</t>
        </is>
      </c>
      <c r="G646" t="n">
        <v>3</v>
      </c>
      <c r="H646" t="n">
        <v>0</v>
      </c>
      <c r="I646" t="n">
        <v>0</v>
      </c>
      <c r="J646" t="n">
        <v>0</v>
      </c>
      <c r="K646" t="n">
        <v>0</v>
      </c>
      <c r="L646" t="n">
        <v>0</v>
      </c>
      <c r="M646" t="n">
        <v>0</v>
      </c>
      <c r="N646" t="n">
        <v>0</v>
      </c>
      <c r="O646" t="n">
        <v>0</v>
      </c>
      <c r="P646" t="n">
        <v>0</v>
      </c>
      <c r="Q646" t="n">
        <v>0</v>
      </c>
      <c r="R646" s="2" t="inlineStr"/>
    </row>
    <row r="647" ht="15" customHeight="1">
      <c r="A647" t="inlineStr">
        <is>
          <t>A 33831-2022</t>
        </is>
      </c>
      <c r="B647" s="1" t="n">
        <v>44790</v>
      </c>
      <c r="C647" s="1" t="n">
        <v>45510</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33842-2022</t>
        </is>
      </c>
      <c r="B648" s="1" t="n">
        <v>44790</v>
      </c>
      <c r="C648" s="1" t="n">
        <v>45510</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33824-2022</t>
        </is>
      </c>
      <c r="B649" s="1" t="n">
        <v>44790</v>
      </c>
      <c r="C649" s="1" t="n">
        <v>45510</v>
      </c>
      <c r="D649" t="inlineStr">
        <is>
          <t>KALMAR LÄN</t>
        </is>
      </c>
      <c r="E649" t="inlineStr">
        <is>
          <t>VIMMERBY</t>
        </is>
      </c>
      <c r="G649" t="n">
        <v>2.3</v>
      </c>
      <c r="H649" t="n">
        <v>0</v>
      </c>
      <c r="I649" t="n">
        <v>0</v>
      </c>
      <c r="J649" t="n">
        <v>0</v>
      </c>
      <c r="K649" t="n">
        <v>0</v>
      </c>
      <c r="L649" t="n">
        <v>0</v>
      </c>
      <c r="M649" t="n">
        <v>0</v>
      </c>
      <c r="N649" t="n">
        <v>0</v>
      </c>
      <c r="O649" t="n">
        <v>0</v>
      </c>
      <c r="P649" t="n">
        <v>0</v>
      </c>
      <c r="Q649" t="n">
        <v>0</v>
      </c>
      <c r="R649" s="2" t="inlineStr"/>
    </row>
    <row r="650" ht="15" customHeight="1">
      <c r="A650" t="inlineStr">
        <is>
          <t>A 33840-2022</t>
        </is>
      </c>
      <c r="B650" s="1" t="n">
        <v>44790</v>
      </c>
      <c r="C650" s="1" t="n">
        <v>45510</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34376-2022</t>
        </is>
      </c>
      <c r="B651" s="1" t="n">
        <v>44792</v>
      </c>
      <c r="C651" s="1" t="n">
        <v>45510</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34329-2022</t>
        </is>
      </c>
      <c r="B652" s="1" t="n">
        <v>44792</v>
      </c>
      <c r="C652" s="1" t="n">
        <v>45510</v>
      </c>
      <c r="D652" t="inlineStr">
        <is>
          <t>KALMAR LÄN</t>
        </is>
      </c>
      <c r="E652" t="inlineStr">
        <is>
          <t>VIMMERBY</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34597-2022</t>
        </is>
      </c>
      <c r="B653" s="1" t="n">
        <v>44795</v>
      </c>
      <c r="C653" s="1" t="n">
        <v>45510</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35429-2022</t>
        </is>
      </c>
      <c r="B654" s="1" t="n">
        <v>44798</v>
      </c>
      <c r="C654" s="1" t="n">
        <v>45510</v>
      </c>
      <c r="D654" t="inlineStr">
        <is>
          <t>KALMAR LÄN</t>
        </is>
      </c>
      <c r="E654" t="inlineStr">
        <is>
          <t>VIMMERBY</t>
        </is>
      </c>
      <c r="G654" t="n">
        <v>4.9</v>
      </c>
      <c r="H654" t="n">
        <v>0</v>
      </c>
      <c r="I654" t="n">
        <v>0</v>
      </c>
      <c r="J654" t="n">
        <v>0</v>
      </c>
      <c r="K654" t="n">
        <v>0</v>
      </c>
      <c r="L654" t="n">
        <v>0</v>
      </c>
      <c r="M654" t="n">
        <v>0</v>
      </c>
      <c r="N654" t="n">
        <v>0</v>
      </c>
      <c r="O654" t="n">
        <v>0</v>
      </c>
      <c r="P654" t="n">
        <v>0</v>
      </c>
      <c r="Q654" t="n">
        <v>0</v>
      </c>
      <c r="R654" s="2" t="inlineStr"/>
    </row>
    <row r="655" ht="15" customHeight="1">
      <c r="A655" t="inlineStr">
        <is>
          <t>A 35615-2022</t>
        </is>
      </c>
      <c r="B655" s="1" t="n">
        <v>44799</v>
      </c>
      <c r="C655" s="1" t="n">
        <v>45510</v>
      </c>
      <c r="D655" t="inlineStr">
        <is>
          <t>KALMAR LÄN</t>
        </is>
      </c>
      <c r="E655" t="inlineStr">
        <is>
          <t>VIMMERBY</t>
        </is>
      </c>
      <c r="G655" t="n">
        <v>3.8</v>
      </c>
      <c r="H655" t="n">
        <v>0</v>
      </c>
      <c r="I655" t="n">
        <v>0</v>
      </c>
      <c r="J655" t="n">
        <v>0</v>
      </c>
      <c r="K655" t="n">
        <v>0</v>
      </c>
      <c r="L655" t="n">
        <v>0</v>
      </c>
      <c r="M655" t="n">
        <v>0</v>
      </c>
      <c r="N655" t="n">
        <v>0</v>
      </c>
      <c r="O655" t="n">
        <v>0</v>
      </c>
      <c r="P655" t="n">
        <v>0</v>
      </c>
      <c r="Q655" t="n">
        <v>0</v>
      </c>
      <c r="R655" s="2" t="inlineStr"/>
    </row>
    <row r="656" ht="15" customHeight="1">
      <c r="A656" t="inlineStr">
        <is>
          <t>A 36259-2022</t>
        </is>
      </c>
      <c r="B656" s="1" t="n">
        <v>44803</v>
      </c>
      <c r="C656" s="1" t="n">
        <v>45510</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36268-2022</t>
        </is>
      </c>
      <c r="B657" s="1" t="n">
        <v>44803</v>
      </c>
      <c r="C657" s="1" t="n">
        <v>45510</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36320-2022</t>
        </is>
      </c>
      <c r="B658" s="1" t="n">
        <v>44803</v>
      </c>
      <c r="C658" s="1" t="n">
        <v>45510</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39225-2022</t>
        </is>
      </c>
      <c r="B659" s="1" t="n">
        <v>44817</v>
      </c>
      <c r="C659" s="1" t="n">
        <v>45510</v>
      </c>
      <c r="D659" t="inlineStr">
        <is>
          <t>KALMAR LÄN</t>
        </is>
      </c>
      <c r="E659" t="inlineStr">
        <is>
          <t>VIMMERBY</t>
        </is>
      </c>
      <c r="G659" t="n">
        <v>2.2</v>
      </c>
      <c r="H659" t="n">
        <v>0</v>
      </c>
      <c r="I659" t="n">
        <v>0</v>
      </c>
      <c r="J659" t="n">
        <v>0</v>
      </c>
      <c r="K659" t="n">
        <v>0</v>
      </c>
      <c r="L659" t="n">
        <v>0</v>
      </c>
      <c r="M659" t="n">
        <v>0</v>
      </c>
      <c r="N659" t="n">
        <v>0</v>
      </c>
      <c r="O659" t="n">
        <v>0</v>
      </c>
      <c r="P659" t="n">
        <v>0</v>
      </c>
      <c r="Q659" t="n">
        <v>0</v>
      </c>
      <c r="R659" s="2" t="inlineStr"/>
    </row>
    <row r="660" ht="15" customHeight="1">
      <c r="A660" t="inlineStr">
        <is>
          <t>A 39042-2022</t>
        </is>
      </c>
      <c r="B660" s="1" t="n">
        <v>44817</v>
      </c>
      <c r="C660" s="1" t="n">
        <v>45510</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39959-2022</t>
        </is>
      </c>
      <c r="B661" s="1" t="n">
        <v>44819</v>
      </c>
      <c r="C661" s="1" t="n">
        <v>45510</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40095-2022</t>
        </is>
      </c>
      <c r="B662" s="1" t="n">
        <v>44820</v>
      </c>
      <c r="C662" s="1" t="n">
        <v>45510</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40026-2022</t>
        </is>
      </c>
      <c r="B663" s="1" t="n">
        <v>44820</v>
      </c>
      <c r="C663" s="1" t="n">
        <v>45510</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40916-2022</t>
        </is>
      </c>
      <c r="B664" s="1" t="n">
        <v>44820</v>
      </c>
      <c r="C664" s="1" t="n">
        <v>45510</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40472-2022</t>
        </is>
      </c>
      <c r="B665" s="1" t="n">
        <v>44823</v>
      </c>
      <c r="C665" s="1" t="n">
        <v>45510</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40728-2022</t>
        </is>
      </c>
      <c r="B666" s="1" t="n">
        <v>44824</v>
      </c>
      <c r="C666" s="1" t="n">
        <v>45510</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41056-2022</t>
        </is>
      </c>
      <c r="B667" s="1" t="n">
        <v>44824</v>
      </c>
      <c r="C667" s="1" t="n">
        <v>45510</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40929-2022</t>
        </is>
      </c>
      <c r="B668" s="1" t="n">
        <v>44825</v>
      </c>
      <c r="C668" s="1" t="n">
        <v>45510</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40927-2022</t>
        </is>
      </c>
      <c r="B669" s="1" t="n">
        <v>44825</v>
      </c>
      <c r="C669" s="1" t="n">
        <v>45510</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41424-2022</t>
        </is>
      </c>
      <c r="B670" s="1" t="n">
        <v>44826</v>
      </c>
      <c r="C670" s="1" t="n">
        <v>45510</v>
      </c>
      <c r="D670" t="inlineStr">
        <is>
          <t>KALMAR LÄN</t>
        </is>
      </c>
      <c r="E670" t="inlineStr">
        <is>
          <t>VIMMERBY</t>
        </is>
      </c>
      <c r="G670" t="n">
        <v>4.8</v>
      </c>
      <c r="H670" t="n">
        <v>0</v>
      </c>
      <c r="I670" t="n">
        <v>0</v>
      </c>
      <c r="J670" t="n">
        <v>0</v>
      </c>
      <c r="K670" t="n">
        <v>0</v>
      </c>
      <c r="L670" t="n">
        <v>0</v>
      </c>
      <c r="M670" t="n">
        <v>0</v>
      </c>
      <c r="N670" t="n">
        <v>0</v>
      </c>
      <c r="O670" t="n">
        <v>0</v>
      </c>
      <c r="P670" t="n">
        <v>0</v>
      </c>
      <c r="Q670" t="n">
        <v>0</v>
      </c>
      <c r="R670" s="2" t="inlineStr"/>
    </row>
    <row r="671" ht="15" customHeight="1">
      <c r="A671" t="inlineStr">
        <is>
          <t>A 41438-2022</t>
        </is>
      </c>
      <c r="B671" s="1" t="n">
        <v>44826</v>
      </c>
      <c r="C671" s="1" t="n">
        <v>45510</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42850-2022</t>
        </is>
      </c>
      <c r="B672" s="1" t="n">
        <v>44832</v>
      </c>
      <c r="C672" s="1" t="n">
        <v>45510</v>
      </c>
      <c r="D672" t="inlineStr">
        <is>
          <t>KALMAR LÄN</t>
        </is>
      </c>
      <c r="E672" t="inlineStr">
        <is>
          <t>VIMMERBY</t>
        </is>
      </c>
      <c r="G672" t="n">
        <v>5.9</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v>
      </c>
      <c r="C673" s="1" t="n">
        <v>45510</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43272-2022</t>
        </is>
      </c>
      <c r="B674" s="1" t="n">
        <v>44834</v>
      </c>
      <c r="C674" s="1" t="n">
        <v>45510</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43553-2022</t>
        </is>
      </c>
      <c r="B675" s="1" t="n">
        <v>44837</v>
      </c>
      <c r="C675" s="1" t="n">
        <v>45510</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44179-2022</t>
        </is>
      </c>
      <c r="B676" s="1" t="n">
        <v>44839</v>
      </c>
      <c r="C676" s="1" t="n">
        <v>45510</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44654-2022</t>
        </is>
      </c>
      <c r="B677" s="1" t="n">
        <v>44840</v>
      </c>
      <c r="C677" s="1" t="n">
        <v>45510</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44651-2022</t>
        </is>
      </c>
      <c r="B678" s="1" t="n">
        <v>44840</v>
      </c>
      <c r="C678" s="1" t="n">
        <v>45510</v>
      </c>
      <c r="D678" t="inlineStr">
        <is>
          <t>KALMAR LÄN</t>
        </is>
      </c>
      <c r="E678" t="inlineStr">
        <is>
          <t>VIMMERBY</t>
        </is>
      </c>
      <c r="G678" t="n">
        <v>5.3</v>
      </c>
      <c r="H678" t="n">
        <v>0</v>
      </c>
      <c r="I678" t="n">
        <v>0</v>
      </c>
      <c r="J678" t="n">
        <v>0</v>
      </c>
      <c r="K678" t="n">
        <v>0</v>
      </c>
      <c r="L678" t="n">
        <v>0</v>
      </c>
      <c r="M678" t="n">
        <v>0</v>
      </c>
      <c r="N678" t="n">
        <v>0</v>
      </c>
      <c r="O678" t="n">
        <v>0</v>
      </c>
      <c r="P678" t="n">
        <v>0</v>
      </c>
      <c r="Q678" t="n">
        <v>0</v>
      </c>
      <c r="R678" s="2" t="inlineStr"/>
    </row>
    <row r="679" ht="15" customHeight="1">
      <c r="A679" t="inlineStr">
        <is>
          <t>A 44656-2022</t>
        </is>
      </c>
      <c r="B679" s="1" t="n">
        <v>44840</v>
      </c>
      <c r="C679" s="1" t="n">
        <v>45510</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45861-2022</t>
        </is>
      </c>
      <c r="B680" s="1" t="n">
        <v>44846</v>
      </c>
      <c r="C680" s="1" t="n">
        <v>45510</v>
      </c>
      <c r="D680" t="inlineStr">
        <is>
          <t>KALMAR LÄN</t>
        </is>
      </c>
      <c r="E680" t="inlineStr">
        <is>
          <t>VIMMERBY</t>
        </is>
      </c>
      <c r="G680" t="n">
        <v>3.5</v>
      </c>
      <c r="H680" t="n">
        <v>0</v>
      </c>
      <c r="I680" t="n">
        <v>0</v>
      </c>
      <c r="J680" t="n">
        <v>0</v>
      </c>
      <c r="K680" t="n">
        <v>0</v>
      </c>
      <c r="L680" t="n">
        <v>0</v>
      </c>
      <c r="M680" t="n">
        <v>0</v>
      </c>
      <c r="N680" t="n">
        <v>0</v>
      </c>
      <c r="O680" t="n">
        <v>0</v>
      </c>
      <c r="P680" t="n">
        <v>0</v>
      </c>
      <c r="Q680" t="n">
        <v>0</v>
      </c>
      <c r="R680" s="2" t="inlineStr"/>
    </row>
    <row r="681" ht="15" customHeight="1">
      <c r="A681" t="inlineStr">
        <is>
          <t>A 45858-2022</t>
        </is>
      </c>
      <c r="B681" s="1" t="n">
        <v>44846</v>
      </c>
      <c r="C681" s="1" t="n">
        <v>45510</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46522-2022</t>
        </is>
      </c>
      <c r="B682" s="1" t="n">
        <v>44848</v>
      </c>
      <c r="C682" s="1" t="n">
        <v>45510</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46964-2022</t>
        </is>
      </c>
      <c r="B683" s="1" t="n">
        <v>44852</v>
      </c>
      <c r="C683" s="1" t="n">
        <v>45510</v>
      </c>
      <c r="D683" t="inlineStr">
        <is>
          <t>KALMAR LÄN</t>
        </is>
      </c>
      <c r="E683" t="inlineStr">
        <is>
          <t>VIMMERBY</t>
        </is>
      </c>
      <c r="G683" t="n">
        <v>0.2</v>
      </c>
      <c r="H683" t="n">
        <v>0</v>
      </c>
      <c r="I683" t="n">
        <v>0</v>
      </c>
      <c r="J683" t="n">
        <v>0</v>
      </c>
      <c r="K683" t="n">
        <v>0</v>
      </c>
      <c r="L683" t="n">
        <v>0</v>
      </c>
      <c r="M683" t="n">
        <v>0</v>
      </c>
      <c r="N683" t="n">
        <v>0</v>
      </c>
      <c r="O683" t="n">
        <v>0</v>
      </c>
      <c r="P683" t="n">
        <v>0</v>
      </c>
      <c r="Q683" t="n">
        <v>0</v>
      </c>
      <c r="R683" s="2" t="inlineStr"/>
    </row>
    <row r="684" ht="15" customHeight="1">
      <c r="A684" t="inlineStr">
        <is>
          <t>A 47214-2022</t>
        </is>
      </c>
      <c r="B684" s="1" t="n">
        <v>44852</v>
      </c>
      <c r="C684" s="1" t="n">
        <v>45510</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47063-2022</t>
        </is>
      </c>
      <c r="B685" s="1" t="n">
        <v>44852</v>
      </c>
      <c r="C685" s="1" t="n">
        <v>45510</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47708-2022</t>
        </is>
      </c>
      <c r="B686" s="1" t="n">
        <v>44854</v>
      </c>
      <c r="C686" s="1" t="n">
        <v>45510</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47769-2022</t>
        </is>
      </c>
      <c r="B687" s="1" t="n">
        <v>44854</v>
      </c>
      <c r="C687" s="1" t="n">
        <v>45510</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48120-2022</t>
        </is>
      </c>
      <c r="B688" s="1" t="n">
        <v>44857</v>
      </c>
      <c r="C688" s="1" t="n">
        <v>45510</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49313-2022</t>
        </is>
      </c>
      <c r="B689" s="1" t="n">
        <v>44861</v>
      </c>
      <c r="C689" s="1" t="n">
        <v>45510</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45510</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50809-2022</t>
        </is>
      </c>
      <c r="B691" s="1" t="n">
        <v>44862</v>
      </c>
      <c r="C691" s="1" t="n">
        <v>45510</v>
      </c>
      <c r="D691" t="inlineStr">
        <is>
          <t>KALMAR LÄN</t>
        </is>
      </c>
      <c r="E691" t="inlineStr">
        <is>
          <t>VIMMERBY</t>
        </is>
      </c>
      <c r="G691" t="n">
        <v>3.7</v>
      </c>
      <c r="H691" t="n">
        <v>0</v>
      </c>
      <c r="I691" t="n">
        <v>0</v>
      </c>
      <c r="J691" t="n">
        <v>0</v>
      </c>
      <c r="K691" t="n">
        <v>0</v>
      </c>
      <c r="L691" t="n">
        <v>0</v>
      </c>
      <c r="M691" t="n">
        <v>0</v>
      </c>
      <c r="N691" t="n">
        <v>0</v>
      </c>
      <c r="O691" t="n">
        <v>0</v>
      </c>
      <c r="P691" t="n">
        <v>0</v>
      </c>
      <c r="Q691" t="n">
        <v>0</v>
      </c>
      <c r="R691" s="2" t="inlineStr"/>
    </row>
    <row r="692" ht="15" customHeight="1">
      <c r="A692" t="inlineStr">
        <is>
          <t>A 50804-2022</t>
        </is>
      </c>
      <c r="B692" s="1" t="n">
        <v>44862</v>
      </c>
      <c r="C692" s="1" t="n">
        <v>45510</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50535-2022</t>
        </is>
      </c>
      <c r="B693" s="1" t="n">
        <v>44866</v>
      </c>
      <c r="C693" s="1" t="n">
        <v>45510</v>
      </c>
      <c r="D693" t="inlineStr">
        <is>
          <t>KALMAR LÄN</t>
        </is>
      </c>
      <c r="E693" t="inlineStr">
        <is>
          <t>VIMMERBY</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50621-2022</t>
        </is>
      </c>
      <c r="B694" s="1" t="n">
        <v>44866</v>
      </c>
      <c r="C694" s="1" t="n">
        <v>45510</v>
      </c>
      <c r="D694" t="inlineStr">
        <is>
          <t>KALMAR LÄN</t>
        </is>
      </c>
      <c r="E694" t="inlineStr">
        <is>
          <t>VIMMERBY</t>
        </is>
      </c>
      <c r="F694" t="inlineStr">
        <is>
          <t>Övriga Aktiebolag</t>
        </is>
      </c>
      <c r="G694" t="n">
        <v>5.1</v>
      </c>
      <c r="H694" t="n">
        <v>0</v>
      </c>
      <c r="I694" t="n">
        <v>0</v>
      </c>
      <c r="J694" t="n">
        <v>0</v>
      </c>
      <c r="K694" t="n">
        <v>0</v>
      </c>
      <c r="L694" t="n">
        <v>0</v>
      </c>
      <c r="M694" t="n">
        <v>0</v>
      </c>
      <c r="N694" t="n">
        <v>0</v>
      </c>
      <c r="O694" t="n">
        <v>0</v>
      </c>
      <c r="P694" t="n">
        <v>0</v>
      </c>
      <c r="Q694" t="n">
        <v>0</v>
      </c>
      <c r="R694" s="2" t="inlineStr"/>
    </row>
    <row r="695" ht="15" customHeight="1">
      <c r="A695" t="inlineStr">
        <is>
          <t>A 50860-2022</t>
        </is>
      </c>
      <c r="B695" s="1" t="n">
        <v>44867</v>
      </c>
      <c r="C695" s="1" t="n">
        <v>45510</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50995-2022</t>
        </is>
      </c>
      <c r="B696" s="1" t="n">
        <v>44867</v>
      </c>
      <c r="C696" s="1" t="n">
        <v>45510</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50993-2022</t>
        </is>
      </c>
      <c r="B697" s="1" t="n">
        <v>44867</v>
      </c>
      <c r="C697" s="1" t="n">
        <v>45510</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52753-2022</t>
        </is>
      </c>
      <c r="B698" s="1" t="n">
        <v>44875</v>
      </c>
      <c r="C698" s="1" t="n">
        <v>45510</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52755-2022</t>
        </is>
      </c>
      <c r="B699" s="1" t="n">
        <v>44875</v>
      </c>
      <c r="C699" s="1" t="n">
        <v>45510</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53145-2022</t>
        </is>
      </c>
      <c r="B700" s="1" t="n">
        <v>44876</v>
      </c>
      <c r="C700" s="1" t="n">
        <v>45510</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53247-2022</t>
        </is>
      </c>
      <c r="B701" s="1" t="n">
        <v>44876</v>
      </c>
      <c r="C701" s="1" t="n">
        <v>45510</v>
      </c>
      <c r="D701" t="inlineStr">
        <is>
          <t>KALMAR LÄN</t>
        </is>
      </c>
      <c r="E701" t="inlineStr">
        <is>
          <t>VIMMERBY</t>
        </is>
      </c>
      <c r="G701" t="n">
        <v>3.3</v>
      </c>
      <c r="H701" t="n">
        <v>0</v>
      </c>
      <c r="I701" t="n">
        <v>0</v>
      </c>
      <c r="J701" t="n">
        <v>0</v>
      </c>
      <c r="K701" t="n">
        <v>0</v>
      </c>
      <c r="L701" t="n">
        <v>0</v>
      </c>
      <c r="M701" t="n">
        <v>0</v>
      </c>
      <c r="N701" t="n">
        <v>0</v>
      </c>
      <c r="O701" t="n">
        <v>0</v>
      </c>
      <c r="P701" t="n">
        <v>0</v>
      </c>
      <c r="Q701" t="n">
        <v>0</v>
      </c>
      <c r="R701" s="2" t="inlineStr"/>
    </row>
    <row r="702" ht="15" customHeight="1">
      <c r="A702" t="inlineStr">
        <is>
          <t>A 53482-2022</t>
        </is>
      </c>
      <c r="B702" s="1" t="n">
        <v>44879</v>
      </c>
      <c r="C702" s="1" t="n">
        <v>45510</v>
      </c>
      <c r="D702" t="inlineStr">
        <is>
          <t>KALMAR LÄN</t>
        </is>
      </c>
      <c r="E702" t="inlineStr">
        <is>
          <t>VIMMERBY</t>
        </is>
      </c>
      <c r="G702" t="n">
        <v>10.1</v>
      </c>
      <c r="H702" t="n">
        <v>0</v>
      </c>
      <c r="I702" t="n">
        <v>0</v>
      </c>
      <c r="J702" t="n">
        <v>0</v>
      </c>
      <c r="K702" t="n">
        <v>0</v>
      </c>
      <c r="L702" t="n">
        <v>0</v>
      </c>
      <c r="M702" t="n">
        <v>0</v>
      </c>
      <c r="N702" t="n">
        <v>0</v>
      </c>
      <c r="O702" t="n">
        <v>0</v>
      </c>
      <c r="P702" t="n">
        <v>0</v>
      </c>
      <c r="Q702" t="n">
        <v>0</v>
      </c>
      <c r="R702" s="2" t="inlineStr"/>
    </row>
    <row r="703" ht="15" customHeight="1">
      <c r="A703" t="inlineStr">
        <is>
          <t>A 53542-2022</t>
        </is>
      </c>
      <c r="B703" s="1" t="n">
        <v>44879</v>
      </c>
      <c r="C703" s="1" t="n">
        <v>45510</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53483-2022</t>
        </is>
      </c>
      <c r="B704" s="1" t="n">
        <v>44879</v>
      </c>
      <c r="C704" s="1" t="n">
        <v>45510</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54020-2022</t>
        </is>
      </c>
      <c r="B705" s="1" t="n">
        <v>44881</v>
      </c>
      <c r="C705" s="1" t="n">
        <v>45510</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54749-2022</t>
        </is>
      </c>
      <c r="B706" s="1" t="n">
        <v>44883</v>
      </c>
      <c r="C706" s="1" t="n">
        <v>45510</v>
      </c>
      <c r="D706" t="inlineStr">
        <is>
          <t>KALMAR LÄN</t>
        </is>
      </c>
      <c r="E706" t="inlineStr">
        <is>
          <t>VIMMERBY</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54745-2022</t>
        </is>
      </c>
      <c r="B707" s="1" t="n">
        <v>44883</v>
      </c>
      <c r="C707" s="1" t="n">
        <v>45510</v>
      </c>
      <c r="D707" t="inlineStr">
        <is>
          <t>KALMAR LÄN</t>
        </is>
      </c>
      <c r="E707" t="inlineStr">
        <is>
          <t>VIMMERBY</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54877-2022</t>
        </is>
      </c>
      <c r="B708" s="1" t="n">
        <v>44886</v>
      </c>
      <c r="C708" s="1" t="n">
        <v>45510</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55333-2022</t>
        </is>
      </c>
      <c r="B709" s="1" t="n">
        <v>44887</v>
      </c>
      <c r="C709" s="1" t="n">
        <v>45510</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57682-2022</t>
        </is>
      </c>
      <c r="B710" s="1" t="n">
        <v>44890</v>
      </c>
      <c r="C710" s="1" t="n">
        <v>45510</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56582-2022</t>
        </is>
      </c>
      <c r="B711" s="1" t="n">
        <v>44893</v>
      </c>
      <c r="C711" s="1" t="n">
        <v>45510</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45510</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56853-2022</t>
        </is>
      </c>
      <c r="B713" s="1" t="n">
        <v>44894</v>
      </c>
      <c r="C713" s="1" t="n">
        <v>45510</v>
      </c>
      <c r="D713" t="inlineStr">
        <is>
          <t>KALMAR LÄN</t>
        </is>
      </c>
      <c r="E713" t="inlineStr">
        <is>
          <t>VIMMERBY</t>
        </is>
      </c>
      <c r="G713" t="n">
        <v>4.3</v>
      </c>
      <c r="H713" t="n">
        <v>0</v>
      </c>
      <c r="I713" t="n">
        <v>0</v>
      </c>
      <c r="J713" t="n">
        <v>0</v>
      </c>
      <c r="K713" t="n">
        <v>0</v>
      </c>
      <c r="L713" t="n">
        <v>0</v>
      </c>
      <c r="M713" t="n">
        <v>0</v>
      </c>
      <c r="N713" t="n">
        <v>0</v>
      </c>
      <c r="O713" t="n">
        <v>0</v>
      </c>
      <c r="P713" t="n">
        <v>0</v>
      </c>
      <c r="Q713" t="n">
        <v>0</v>
      </c>
      <c r="R713" s="2" t="inlineStr"/>
    </row>
    <row r="714" ht="15" customHeight="1">
      <c r="A714" t="inlineStr">
        <is>
          <t>A 57091-2022</t>
        </is>
      </c>
      <c r="B714" s="1" t="n">
        <v>44895</v>
      </c>
      <c r="C714" s="1" t="n">
        <v>45510</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57189-2022</t>
        </is>
      </c>
      <c r="B715" s="1" t="n">
        <v>44895</v>
      </c>
      <c r="C715" s="1" t="n">
        <v>45510</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57190-2022</t>
        </is>
      </c>
      <c r="B716" s="1" t="n">
        <v>44895</v>
      </c>
      <c r="C716" s="1" t="n">
        <v>45510</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58967-2022</t>
        </is>
      </c>
      <c r="B717" s="1" t="n">
        <v>44896</v>
      </c>
      <c r="C717" s="1" t="n">
        <v>45510</v>
      </c>
      <c r="D717" t="inlineStr">
        <is>
          <t>KALMAR LÄN</t>
        </is>
      </c>
      <c r="E717" t="inlineStr">
        <is>
          <t>VIMMERBY</t>
        </is>
      </c>
      <c r="G717" t="n">
        <v>5</v>
      </c>
      <c r="H717" t="n">
        <v>0</v>
      </c>
      <c r="I717" t="n">
        <v>0</v>
      </c>
      <c r="J717" t="n">
        <v>0</v>
      </c>
      <c r="K717" t="n">
        <v>0</v>
      </c>
      <c r="L717" t="n">
        <v>0</v>
      </c>
      <c r="M717" t="n">
        <v>0</v>
      </c>
      <c r="N717" t="n">
        <v>0</v>
      </c>
      <c r="O717" t="n">
        <v>0</v>
      </c>
      <c r="P717" t="n">
        <v>0</v>
      </c>
      <c r="Q717" t="n">
        <v>0</v>
      </c>
      <c r="R717" s="2" t="inlineStr"/>
    </row>
    <row r="718" ht="15" customHeight="1">
      <c r="A718" t="inlineStr">
        <is>
          <t>A 57799-2022</t>
        </is>
      </c>
      <c r="B718" s="1" t="n">
        <v>44897</v>
      </c>
      <c r="C718" s="1" t="n">
        <v>45510</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58046-2022</t>
        </is>
      </c>
      <c r="B719" s="1" t="n">
        <v>44900</v>
      </c>
      <c r="C719" s="1" t="n">
        <v>45510</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58750-2022</t>
        </is>
      </c>
      <c r="B720" s="1" t="n">
        <v>44903</v>
      </c>
      <c r="C720" s="1" t="n">
        <v>45510</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58962-2022</t>
        </is>
      </c>
      <c r="B721" s="1" t="n">
        <v>44903</v>
      </c>
      <c r="C721" s="1" t="n">
        <v>45510</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60110-2022</t>
        </is>
      </c>
      <c r="B722" s="1" t="n">
        <v>44909</v>
      </c>
      <c r="C722" s="1" t="n">
        <v>45510</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60230-2022</t>
        </is>
      </c>
      <c r="B723" s="1" t="n">
        <v>44910</v>
      </c>
      <c r="C723" s="1" t="n">
        <v>45510</v>
      </c>
      <c r="D723" t="inlineStr">
        <is>
          <t>KALMAR LÄN</t>
        </is>
      </c>
      <c r="E723" t="inlineStr">
        <is>
          <t>VIMMERBY</t>
        </is>
      </c>
      <c r="G723" t="n">
        <v>11.3</v>
      </c>
      <c r="H723" t="n">
        <v>0</v>
      </c>
      <c r="I723" t="n">
        <v>0</v>
      </c>
      <c r="J723" t="n">
        <v>0</v>
      </c>
      <c r="K723" t="n">
        <v>0</v>
      </c>
      <c r="L723" t="n">
        <v>0</v>
      </c>
      <c r="M723" t="n">
        <v>0</v>
      </c>
      <c r="N723" t="n">
        <v>0</v>
      </c>
      <c r="O723" t="n">
        <v>0</v>
      </c>
      <c r="P723" t="n">
        <v>0</v>
      </c>
      <c r="Q723" t="n">
        <v>0</v>
      </c>
      <c r="R723" s="2" t="inlineStr"/>
    </row>
    <row r="724" ht="15" customHeight="1">
      <c r="A724" t="inlineStr">
        <is>
          <t>A 60215-2022</t>
        </is>
      </c>
      <c r="B724" s="1" t="n">
        <v>44910</v>
      </c>
      <c r="C724" s="1" t="n">
        <v>45510</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60292-2022</t>
        </is>
      </c>
      <c r="B725" s="1" t="n">
        <v>44910</v>
      </c>
      <c r="C725" s="1" t="n">
        <v>45510</v>
      </c>
      <c r="D725" t="inlineStr">
        <is>
          <t>KALMAR LÄN</t>
        </is>
      </c>
      <c r="E725" t="inlineStr">
        <is>
          <t>VIMMERBY</t>
        </is>
      </c>
      <c r="G725" t="n">
        <v>4.4</v>
      </c>
      <c r="H725" t="n">
        <v>0</v>
      </c>
      <c r="I725" t="n">
        <v>0</v>
      </c>
      <c r="J725" t="n">
        <v>0</v>
      </c>
      <c r="K725" t="n">
        <v>0</v>
      </c>
      <c r="L725" t="n">
        <v>0</v>
      </c>
      <c r="M725" t="n">
        <v>0</v>
      </c>
      <c r="N725" t="n">
        <v>0</v>
      </c>
      <c r="O725" t="n">
        <v>0</v>
      </c>
      <c r="P725" t="n">
        <v>0</v>
      </c>
      <c r="Q725" t="n">
        <v>0</v>
      </c>
      <c r="R725" s="2" t="inlineStr"/>
    </row>
    <row r="726" ht="15" customHeight="1">
      <c r="A726" t="inlineStr">
        <is>
          <t>A 60339-2022</t>
        </is>
      </c>
      <c r="B726" s="1" t="n">
        <v>44910</v>
      </c>
      <c r="C726" s="1" t="n">
        <v>45510</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61538-2022</t>
        </is>
      </c>
      <c r="B727" s="1" t="n">
        <v>44916</v>
      </c>
      <c r="C727" s="1" t="n">
        <v>45510</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62075-2022</t>
        </is>
      </c>
      <c r="B728" s="1" t="n">
        <v>44918</v>
      </c>
      <c r="C728" s="1" t="n">
        <v>45510</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62023-2022</t>
        </is>
      </c>
      <c r="B729" s="1" t="n">
        <v>44918</v>
      </c>
      <c r="C729" s="1" t="n">
        <v>45510</v>
      </c>
      <c r="D729" t="inlineStr">
        <is>
          <t>KALMAR LÄN</t>
        </is>
      </c>
      <c r="E729" t="inlineStr">
        <is>
          <t>VIMMERBY</t>
        </is>
      </c>
      <c r="G729" t="n">
        <v>0.3</v>
      </c>
      <c r="H729" t="n">
        <v>0</v>
      </c>
      <c r="I729" t="n">
        <v>0</v>
      </c>
      <c r="J729" t="n">
        <v>0</v>
      </c>
      <c r="K729" t="n">
        <v>0</v>
      </c>
      <c r="L729" t="n">
        <v>0</v>
      </c>
      <c r="M729" t="n">
        <v>0</v>
      </c>
      <c r="N729" t="n">
        <v>0</v>
      </c>
      <c r="O729" t="n">
        <v>0</v>
      </c>
      <c r="P729" t="n">
        <v>0</v>
      </c>
      <c r="Q729" t="n">
        <v>0</v>
      </c>
      <c r="R729" s="2" t="inlineStr"/>
    </row>
    <row r="730" ht="15" customHeight="1">
      <c r="A730" t="inlineStr">
        <is>
          <t>A 89-2023</t>
        </is>
      </c>
      <c r="B730" s="1" t="n">
        <v>44918</v>
      </c>
      <c r="C730" s="1" t="n">
        <v>45510</v>
      </c>
      <c r="D730" t="inlineStr">
        <is>
          <t>KALMAR LÄN</t>
        </is>
      </c>
      <c r="E730" t="inlineStr">
        <is>
          <t>VIMMERBY</t>
        </is>
      </c>
      <c r="G730" t="n">
        <v>16.1</v>
      </c>
      <c r="H730" t="n">
        <v>0</v>
      </c>
      <c r="I730" t="n">
        <v>0</v>
      </c>
      <c r="J730" t="n">
        <v>0</v>
      </c>
      <c r="K730" t="n">
        <v>0</v>
      </c>
      <c r="L730" t="n">
        <v>0</v>
      </c>
      <c r="M730" t="n">
        <v>0</v>
      </c>
      <c r="N730" t="n">
        <v>0</v>
      </c>
      <c r="O730" t="n">
        <v>0</v>
      </c>
      <c r="P730" t="n">
        <v>0</v>
      </c>
      <c r="Q730" t="n">
        <v>0</v>
      </c>
      <c r="R730" s="2" t="inlineStr"/>
    </row>
    <row r="731" ht="15" customHeight="1">
      <c r="A731" t="inlineStr">
        <is>
          <t>A 346-2023</t>
        </is>
      </c>
      <c r="B731" s="1" t="n">
        <v>44929</v>
      </c>
      <c r="C731" s="1" t="n">
        <v>45510</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343-2023</t>
        </is>
      </c>
      <c r="B732" s="1" t="n">
        <v>44929</v>
      </c>
      <c r="C732" s="1" t="n">
        <v>45510</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502-2023</t>
        </is>
      </c>
      <c r="B733" s="1" t="n">
        <v>44930</v>
      </c>
      <c r="C733" s="1" t="n">
        <v>45510</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508-2023</t>
        </is>
      </c>
      <c r="B734" s="1" t="n">
        <v>44930</v>
      </c>
      <c r="C734" s="1" t="n">
        <v>45510</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845-2023</t>
        </is>
      </c>
      <c r="B735" s="1" t="n">
        <v>44931</v>
      </c>
      <c r="C735" s="1" t="n">
        <v>45510</v>
      </c>
      <c r="D735" t="inlineStr">
        <is>
          <t>KALMAR LÄN</t>
        </is>
      </c>
      <c r="E735" t="inlineStr">
        <is>
          <t>VIMMERBY</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1086-2023</t>
        </is>
      </c>
      <c r="B736" s="1" t="n">
        <v>44935</v>
      </c>
      <c r="C736" s="1" t="n">
        <v>45510</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1081-2023</t>
        </is>
      </c>
      <c r="B737" s="1" t="n">
        <v>44935</v>
      </c>
      <c r="C737" s="1" t="n">
        <v>45510</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1687-2023</t>
        </is>
      </c>
      <c r="B738" s="1" t="n">
        <v>44938</v>
      </c>
      <c r="C738" s="1" t="n">
        <v>45510</v>
      </c>
      <c r="D738" t="inlineStr">
        <is>
          <t>KALMAR LÄN</t>
        </is>
      </c>
      <c r="E738" t="inlineStr">
        <is>
          <t>VIMMERBY</t>
        </is>
      </c>
      <c r="F738" t="inlineStr">
        <is>
          <t>Kommuner</t>
        </is>
      </c>
      <c r="G738" t="n">
        <v>2.5</v>
      </c>
      <c r="H738" t="n">
        <v>0</v>
      </c>
      <c r="I738" t="n">
        <v>0</v>
      </c>
      <c r="J738" t="n">
        <v>0</v>
      </c>
      <c r="K738" t="n">
        <v>0</v>
      </c>
      <c r="L738" t="n">
        <v>0</v>
      </c>
      <c r="M738" t="n">
        <v>0</v>
      </c>
      <c r="N738" t="n">
        <v>0</v>
      </c>
      <c r="O738" t="n">
        <v>0</v>
      </c>
      <c r="P738" t="n">
        <v>0</v>
      </c>
      <c r="Q738" t="n">
        <v>0</v>
      </c>
      <c r="R738" s="2" t="inlineStr"/>
    </row>
    <row r="739" ht="15" customHeight="1">
      <c r="A739" t="inlineStr">
        <is>
          <t>A 1667-2023</t>
        </is>
      </c>
      <c r="B739" s="1" t="n">
        <v>44938</v>
      </c>
      <c r="C739" s="1" t="n">
        <v>45510</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1955-2023</t>
        </is>
      </c>
      <c r="B740" s="1" t="n">
        <v>44939</v>
      </c>
      <c r="C740" s="1" t="n">
        <v>45510</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2510-2023</t>
        </is>
      </c>
      <c r="B741" s="1" t="n">
        <v>44943</v>
      </c>
      <c r="C741" s="1" t="n">
        <v>45510</v>
      </c>
      <c r="D741" t="inlineStr">
        <is>
          <t>KALMAR LÄN</t>
        </is>
      </c>
      <c r="E741" t="inlineStr">
        <is>
          <t>VIMMERBY</t>
        </is>
      </c>
      <c r="G741" t="n">
        <v>8.6</v>
      </c>
      <c r="H741" t="n">
        <v>0</v>
      </c>
      <c r="I741" t="n">
        <v>0</v>
      </c>
      <c r="J741" t="n">
        <v>0</v>
      </c>
      <c r="K741" t="n">
        <v>0</v>
      </c>
      <c r="L741" t="n">
        <v>0</v>
      </c>
      <c r="M741" t="n">
        <v>0</v>
      </c>
      <c r="N741" t="n">
        <v>0</v>
      </c>
      <c r="O741" t="n">
        <v>0</v>
      </c>
      <c r="P741" t="n">
        <v>0</v>
      </c>
      <c r="Q741" t="n">
        <v>0</v>
      </c>
      <c r="R741" s="2" t="inlineStr"/>
    </row>
    <row r="742" ht="15" customHeight="1">
      <c r="A742" t="inlineStr">
        <is>
          <t>A 2536-2023</t>
        </is>
      </c>
      <c r="B742" s="1" t="n">
        <v>44943</v>
      </c>
      <c r="C742" s="1" t="n">
        <v>45510</v>
      </c>
      <c r="D742" t="inlineStr">
        <is>
          <t>KALMAR LÄN</t>
        </is>
      </c>
      <c r="E742" t="inlineStr">
        <is>
          <t>VIMMERBY</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2799-2023</t>
        </is>
      </c>
      <c r="B743" s="1" t="n">
        <v>44944</v>
      </c>
      <c r="C743" s="1" t="n">
        <v>45510</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2797-2023</t>
        </is>
      </c>
      <c r="B744" s="1" t="n">
        <v>44944</v>
      </c>
      <c r="C744" s="1" t="n">
        <v>45510</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2801-2023</t>
        </is>
      </c>
      <c r="B745" s="1" t="n">
        <v>44944</v>
      </c>
      <c r="C745" s="1" t="n">
        <v>45510</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3331-2023</t>
        </is>
      </c>
      <c r="B746" s="1" t="n">
        <v>44949</v>
      </c>
      <c r="C746" s="1" t="n">
        <v>45510</v>
      </c>
      <c r="D746" t="inlineStr">
        <is>
          <t>KALMAR LÄN</t>
        </is>
      </c>
      <c r="E746" t="inlineStr">
        <is>
          <t>VIMMERBY</t>
        </is>
      </c>
      <c r="G746" t="n">
        <v>6.2</v>
      </c>
      <c r="H746" t="n">
        <v>0</v>
      </c>
      <c r="I746" t="n">
        <v>0</v>
      </c>
      <c r="J746" t="n">
        <v>0</v>
      </c>
      <c r="K746" t="n">
        <v>0</v>
      </c>
      <c r="L746" t="n">
        <v>0</v>
      </c>
      <c r="M746" t="n">
        <v>0</v>
      </c>
      <c r="N746" t="n">
        <v>0</v>
      </c>
      <c r="O746" t="n">
        <v>0</v>
      </c>
      <c r="P746" t="n">
        <v>0</v>
      </c>
      <c r="Q746" t="n">
        <v>0</v>
      </c>
      <c r="R746" s="2" t="inlineStr"/>
    </row>
    <row r="747" ht="15" customHeight="1">
      <c r="A747" t="inlineStr">
        <is>
          <t>A 3494-2023</t>
        </is>
      </c>
      <c r="B747" s="1" t="n">
        <v>44949</v>
      </c>
      <c r="C747" s="1" t="n">
        <v>45510</v>
      </c>
      <c r="D747" t="inlineStr">
        <is>
          <t>KALMAR LÄN</t>
        </is>
      </c>
      <c r="E747" t="inlineStr">
        <is>
          <t>VIMMERBY</t>
        </is>
      </c>
      <c r="F747" t="inlineStr">
        <is>
          <t>Kyrkan</t>
        </is>
      </c>
      <c r="G747" t="n">
        <v>0.8</v>
      </c>
      <c r="H747" t="n">
        <v>0</v>
      </c>
      <c r="I747" t="n">
        <v>0</v>
      </c>
      <c r="J747" t="n">
        <v>0</v>
      </c>
      <c r="K747" t="n">
        <v>0</v>
      </c>
      <c r="L747" t="n">
        <v>0</v>
      </c>
      <c r="M747" t="n">
        <v>0</v>
      </c>
      <c r="N747" t="n">
        <v>0</v>
      </c>
      <c r="O747" t="n">
        <v>0</v>
      </c>
      <c r="P747" t="n">
        <v>0</v>
      </c>
      <c r="Q747" t="n">
        <v>0</v>
      </c>
      <c r="R747" s="2" t="inlineStr"/>
    </row>
    <row r="748" ht="15" customHeight="1">
      <c r="A748" t="inlineStr">
        <is>
          <t>A 3587-2023</t>
        </is>
      </c>
      <c r="B748" s="1" t="n">
        <v>44950</v>
      </c>
      <c r="C748" s="1" t="n">
        <v>45510</v>
      </c>
      <c r="D748" t="inlineStr">
        <is>
          <t>KALMAR LÄN</t>
        </is>
      </c>
      <c r="E748" t="inlineStr">
        <is>
          <t>VIMMERBY</t>
        </is>
      </c>
      <c r="G748" t="n">
        <v>6.9</v>
      </c>
      <c r="H748" t="n">
        <v>0</v>
      </c>
      <c r="I748" t="n">
        <v>0</v>
      </c>
      <c r="J748" t="n">
        <v>0</v>
      </c>
      <c r="K748" t="n">
        <v>0</v>
      </c>
      <c r="L748" t="n">
        <v>0</v>
      </c>
      <c r="M748" t="n">
        <v>0</v>
      </c>
      <c r="N748" t="n">
        <v>0</v>
      </c>
      <c r="O748" t="n">
        <v>0</v>
      </c>
      <c r="P748" t="n">
        <v>0</v>
      </c>
      <c r="Q748" t="n">
        <v>0</v>
      </c>
      <c r="R748" s="2" t="inlineStr"/>
    </row>
    <row r="749" ht="15" customHeight="1">
      <c r="A749" t="inlineStr">
        <is>
          <t>A 3938-2023</t>
        </is>
      </c>
      <c r="B749" s="1" t="n">
        <v>44952</v>
      </c>
      <c r="C749" s="1" t="n">
        <v>45510</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3924-2023</t>
        </is>
      </c>
      <c r="B750" s="1" t="n">
        <v>44952</v>
      </c>
      <c r="C750" s="1" t="n">
        <v>45510</v>
      </c>
      <c r="D750" t="inlineStr">
        <is>
          <t>KALMAR LÄN</t>
        </is>
      </c>
      <c r="E750" t="inlineStr">
        <is>
          <t>VIMMERBY</t>
        </is>
      </c>
      <c r="G750" t="n">
        <v>4.7</v>
      </c>
      <c r="H750" t="n">
        <v>0</v>
      </c>
      <c r="I750" t="n">
        <v>0</v>
      </c>
      <c r="J750" t="n">
        <v>0</v>
      </c>
      <c r="K750" t="n">
        <v>0</v>
      </c>
      <c r="L750" t="n">
        <v>0</v>
      </c>
      <c r="M750" t="n">
        <v>0</v>
      </c>
      <c r="N750" t="n">
        <v>0</v>
      </c>
      <c r="O750" t="n">
        <v>0</v>
      </c>
      <c r="P750" t="n">
        <v>0</v>
      </c>
      <c r="Q750" t="n">
        <v>0</v>
      </c>
      <c r="R750" s="2" t="inlineStr"/>
    </row>
    <row r="751" ht="15" customHeight="1">
      <c r="A751" t="inlineStr">
        <is>
          <t>A 4527-2023</t>
        </is>
      </c>
      <c r="B751" s="1" t="n">
        <v>44956</v>
      </c>
      <c r="C751" s="1" t="n">
        <v>45510</v>
      </c>
      <c r="D751" t="inlineStr">
        <is>
          <t>KALMAR LÄN</t>
        </is>
      </c>
      <c r="E751" t="inlineStr">
        <is>
          <t>VIMMERBY</t>
        </is>
      </c>
      <c r="F751" t="inlineStr">
        <is>
          <t>Kommuner</t>
        </is>
      </c>
      <c r="G751" t="n">
        <v>8.5</v>
      </c>
      <c r="H751" t="n">
        <v>0</v>
      </c>
      <c r="I751" t="n">
        <v>0</v>
      </c>
      <c r="J751" t="n">
        <v>0</v>
      </c>
      <c r="K751" t="n">
        <v>0</v>
      </c>
      <c r="L751" t="n">
        <v>0</v>
      </c>
      <c r="M751" t="n">
        <v>0</v>
      </c>
      <c r="N751" t="n">
        <v>0</v>
      </c>
      <c r="O751" t="n">
        <v>0</v>
      </c>
      <c r="P751" t="n">
        <v>0</v>
      </c>
      <c r="Q751" t="n">
        <v>0</v>
      </c>
      <c r="R751" s="2" t="inlineStr"/>
    </row>
    <row r="752" ht="15" customHeight="1">
      <c r="A752" t="inlineStr">
        <is>
          <t>A 5074-2023</t>
        </is>
      </c>
      <c r="B752" s="1" t="n">
        <v>44958</v>
      </c>
      <c r="C752" s="1" t="n">
        <v>45510</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5342-2023</t>
        </is>
      </c>
      <c r="B753" s="1" t="n">
        <v>44959</v>
      </c>
      <c r="C753" s="1" t="n">
        <v>45510</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v>
      </c>
      <c r="C754" s="1" t="n">
        <v>45510</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5720-2023</t>
        </is>
      </c>
      <c r="B755" s="1" t="n">
        <v>44961</v>
      </c>
      <c r="C755" s="1" t="n">
        <v>45510</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5792-2023</t>
        </is>
      </c>
      <c r="B756" s="1" t="n">
        <v>44963</v>
      </c>
      <c r="C756" s="1" t="n">
        <v>45510</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6028-2023</t>
        </is>
      </c>
      <c r="B757" s="1" t="n">
        <v>44964</v>
      </c>
      <c r="C757" s="1" t="n">
        <v>45510</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6066-2023</t>
        </is>
      </c>
      <c r="B758" s="1" t="n">
        <v>44964</v>
      </c>
      <c r="C758" s="1" t="n">
        <v>45510</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6017-2023</t>
        </is>
      </c>
      <c r="B759" s="1" t="n">
        <v>44964</v>
      </c>
      <c r="C759" s="1" t="n">
        <v>45510</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6368-2023</t>
        </is>
      </c>
      <c r="B760" s="1" t="n">
        <v>44965</v>
      </c>
      <c r="C760" s="1" t="n">
        <v>45510</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6321-2023</t>
        </is>
      </c>
      <c r="B761" s="1" t="n">
        <v>44965</v>
      </c>
      <c r="C761" s="1" t="n">
        <v>45510</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6660-2023</t>
        </is>
      </c>
      <c r="B762" s="1" t="n">
        <v>44966</v>
      </c>
      <c r="C762" s="1" t="n">
        <v>45510</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6574-2023</t>
        </is>
      </c>
      <c r="B763" s="1" t="n">
        <v>44966</v>
      </c>
      <c r="C763" s="1" t="n">
        <v>45510</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6662-2023</t>
        </is>
      </c>
      <c r="B764" s="1" t="n">
        <v>44966</v>
      </c>
      <c r="C764" s="1" t="n">
        <v>45510</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6668-2023</t>
        </is>
      </c>
      <c r="B765" s="1" t="n">
        <v>44966</v>
      </c>
      <c r="C765" s="1" t="n">
        <v>45510</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6538-2023</t>
        </is>
      </c>
      <c r="B766" s="1" t="n">
        <v>44966</v>
      </c>
      <c r="C766" s="1" t="n">
        <v>45510</v>
      </c>
      <c r="D766" t="inlineStr">
        <is>
          <t>KALMAR LÄN</t>
        </is>
      </c>
      <c r="E766" t="inlineStr">
        <is>
          <t>VIMMERBY</t>
        </is>
      </c>
      <c r="G766" t="n">
        <v>4.5</v>
      </c>
      <c r="H766" t="n">
        <v>0</v>
      </c>
      <c r="I766" t="n">
        <v>0</v>
      </c>
      <c r="J766" t="n">
        <v>0</v>
      </c>
      <c r="K766" t="n">
        <v>0</v>
      </c>
      <c r="L766" t="n">
        <v>0</v>
      </c>
      <c r="M766" t="n">
        <v>0</v>
      </c>
      <c r="N766" t="n">
        <v>0</v>
      </c>
      <c r="O766" t="n">
        <v>0</v>
      </c>
      <c r="P766" t="n">
        <v>0</v>
      </c>
      <c r="Q766" t="n">
        <v>0</v>
      </c>
      <c r="R766" s="2" t="inlineStr"/>
    </row>
    <row r="767" ht="15" customHeight="1">
      <c r="A767" t="inlineStr">
        <is>
          <t>A 6857-2023</t>
        </is>
      </c>
      <c r="B767" s="1" t="n">
        <v>44967</v>
      </c>
      <c r="C767" s="1" t="n">
        <v>45510</v>
      </c>
      <c r="D767" t="inlineStr">
        <is>
          <t>KALMAR LÄN</t>
        </is>
      </c>
      <c r="E767" t="inlineStr">
        <is>
          <t>VIMMERBY</t>
        </is>
      </c>
      <c r="G767" t="n">
        <v>2.1</v>
      </c>
      <c r="H767" t="n">
        <v>0</v>
      </c>
      <c r="I767" t="n">
        <v>0</v>
      </c>
      <c r="J767" t="n">
        <v>0</v>
      </c>
      <c r="K767" t="n">
        <v>0</v>
      </c>
      <c r="L767" t="n">
        <v>0</v>
      </c>
      <c r="M767" t="n">
        <v>0</v>
      </c>
      <c r="N767" t="n">
        <v>0</v>
      </c>
      <c r="O767" t="n">
        <v>0</v>
      </c>
      <c r="P767" t="n">
        <v>0</v>
      </c>
      <c r="Q767" t="n">
        <v>0</v>
      </c>
      <c r="R767" s="2" t="inlineStr"/>
    </row>
    <row r="768" ht="15" customHeight="1">
      <c r="A768" t="inlineStr">
        <is>
          <t>A 6850-2023</t>
        </is>
      </c>
      <c r="B768" s="1" t="n">
        <v>44967</v>
      </c>
      <c r="C768" s="1" t="n">
        <v>45510</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7454-2023</t>
        </is>
      </c>
      <c r="B769" s="1" t="n">
        <v>44971</v>
      </c>
      <c r="C769" s="1" t="n">
        <v>45510</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7557-2023</t>
        </is>
      </c>
      <c r="B770" s="1" t="n">
        <v>44972</v>
      </c>
      <c r="C770" s="1" t="n">
        <v>45510</v>
      </c>
      <c r="D770" t="inlineStr">
        <is>
          <t>KALMAR LÄN</t>
        </is>
      </c>
      <c r="E770" t="inlineStr">
        <is>
          <t>VIMMERBY</t>
        </is>
      </c>
      <c r="G770" t="n">
        <v>4.6</v>
      </c>
      <c r="H770" t="n">
        <v>0</v>
      </c>
      <c r="I770" t="n">
        <v>0</v>
      </c>
      <c r="J770" t="n">
        <v>0</v>
      </c>
      <c r="K770" t="n">
        <v>0</v>
      </c>
      <c r="L770" t="n">
        <v>0</v>
      </c>
      <c r="M770" t="n">
        <v>0</v>
      </c>
      <c r="N770" t="n">
        <v>0</v>
      </c>
      <c r="O770" t="n">
        <v>0</v>
      </c>
      <c r="P770" t="n">
        <v>0</v>
      </c>
      <c r="Q770" t="n">
        <v>0</v>
      </c>
      <c r="R770" s="2" t="inlineStr"/>
    </row>
    <row r="771" ht="15" customHeight="1">
      <c r="A771" t="inlineStr">
        <is>
          <t>A 7594-2023</t>
        </is>
      </c>
      <c r="B771" s="1" t="n">
        <v>44972</v>
      </c>
      <c r="C771" s="1" t="n">
        <v>45510</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7797-2023</t>
        </is>
      </c>
      <c r="B772" s="1" t="n">
        <v>44973</v>
      </c>
      <c r="C772" s="1" t="n">
        <v>45510</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7883-2023</t>
        </is>
      </c>
      <c r="B773" s="1" t="n">
        <v>44973</v>
      </c>
      <c r="C773" s="1" t="n">
        <v>45510</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7885-2023</t>
        </is>
      </c>
      <c r="B774" s="1" t="n">
        <v>44973</v>
      </c>
      <c r="C774" s="1" t="n">
        <v>45510</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8219-2023</t>
        </is>
      </c>
      <c r="B775" s="1" t="n">
        <v>44974</v>
      </c>
      <c r="C775" s="1" t="n">
        <v>45510</v>
      </c>
      <c r="D775" t="inlineStr">
        <is>
          <t>KALMAR LÄN</t>
        </is>
      </c>
      <c r="E775" t="inlineStr">
        <is>
          <t>VIMMERBY</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8410-2023</t>
        </is>
      </c>
      <c r="B776" s="1" t="n">
        <v>44977</v>
      </c>
      <c r="C776" s="1" t="n">
        <v>45510</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9024-2023</t>
        </is>
      </c>
      <c r="B777" s="1" t="n">
        <v>44979</v>
      </c>
      <c r="C777" s="1" t="n">
        <v>45510</v>
      </c>
      <c r="D777" t="inlineStr">
        <is>
          <t>KALMAR LÄN</t>
        </is>
      </c>
      <c r="E777" t="inlineStr">
        <is>
          <t>VIMMERBY</t>
        </is>
      </c>
      <c r="G777" t="n">
        <v>5.2</v>
      </c>
      <c r="H777" t="n">
        <v>0</v>
      </c>
      <c r="I777" t="n">
        <v>0</v>
      </c>
      <c r="J777" t="n">
        <v>0</v>
      </c>
      <c r="K777" t="n">
        <v>0</v>
      </c>
      <c r="L777" t="n">
        <v>0</v>
      </c>
      <c r="M777" t="n">
        <v>0</v>
      </c>
      <c r="N777" t="n">
        <v>0</v>
      </c>
      <c r="O777" t="n">
        <v>0</v>
      </c>
      <c r="P777" t="n">
        <v>0</v>
      </c>
      <c r="Q777" t="n">
        <v>0</v>
      </c>
      <c r="R777" s="2" t="inlineStr"/>
    </row>
    <row r="778" ht="15" customHeight="1">
      <c r="A778" t="inlineStr">
        <is>
          <t>A 9113-2023</t>
        </is>
      </c>
      <c r="B778" s="1" t="n">
        <v>44979</v>
      </c>
      <c r="C778" s="1" t="n">
        <v>45510</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9475-2023</t>
        </is>
      </c>
      <c r="B779" s="1" t="n">
        <v>44981</v>
      </c>
      <c r="C779" s="1" t="n">
        <v>45510</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9511-2023</t>
        </is>
      </c>
      <c r="B780" s="1" t="n">
        <v>44981</v>
      </c>
      <c r="C780" s="1" t="n">
        <v>45510</v>
      </c>
      <c r="D780" t="inlineStr">
        <is>
          <t>KALMAR LÄN</t>
        </is>
      </c>
      <c r="E780" t="inlineStr">
        <is>
          <t>VIMMERBY</t>
        </is>
      </c>
      <c r="G780" t="n">
        <v>3.5</v>
      </c>
      <c r="H780" t="n">
        <v>0</v>
      </c>
      <c r="I780" t="n">
        <v>0</v>
      </c>
      <c r="J780" t="n">
        <v>0</v>
      </c>
      <c r="K780" t="n">
        <v>0</v>
      </c>
      <c r="L780" t="n">
        <v>0</v>
      </c>
      <c r="M780" t="n">
        <v>0</v>
      </c>
      <c r="N780" t="n">
        <v>0</v>
      </c>
      <c r="O780" t="n">
        <v>0</v>
      </c>
      <c r="P780" t="n">
        <v>0</v>
      </c>
      <c r="Q780" t="n">
        <v>0</v>
      </c>
      <c r="R780" s="2" t="inlineStr"/>
    </row>
    <row r="781" ht="15" customHeight="1">
      <c r="A781" t="inlineStr">
        <is>
          <t>A 9644-2023</t>
        </is>
      </c>
      <c r="B781" s="1" t="n">
        <v>44984</v>
      </c>
      <c r="C781" s="1" t="n">
        <v>45510</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9694-2023</t>
        </is>
      </c>
      <c r="B782" s="1" t="n">
        <v>44984</v>
      </c>
      <c r="C782" s="1" t="n">
        <v>45510</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9710-2023</t>
        </is>
      </c>
      <c r="B783" s="1" t="n">
        <v>44984</v>
      </c>
      <c r="C783" s="1" t="n">
        <v>45510</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9720-2023</t>
        </is>
      </c>
      <c r="B784" s="1" t="n">
        <v>44984</v>
      </c>
      <c r="C784" s="1" t="n">
        <v>45510</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9643-2023</t>
        </is>
      </c>
      <c r="B785" s="1" t="n">
        <v>44984</v>
      </c>
      <c r="C785" s="1" t="n">
        <v>45510</v>
      </c>
      <c r="D785" t="inlineStr">
        <is>
          <t>KALMAR LÄN</t>
        </is>
      </c>
      <c r="E785" t="inlineStr">
        <is>
          <t>VIMMERBY</t>
        </is>
      </c>
      <c r="G785" t="n">
        <v>2</v>
      </c>
      <c r="H785" t="n">
        <v>0</v>
      </c>
      <c r="I785" t="n">
        <v>0</v>
      </c>
      <c r="J785" t="n">
        <v>0</v>
      </c>
      <c r="K785" t="n">
        <v>0</v>
      </c>
      <c r="L785" t="n">
        <v>0</v>
      </c>
      <c r="M785" t="n">
        <v>0</v>
      </c>
      <c r="N785" t="n">
        <v>0</v>
      </c>
      <c r="O785" t="n">
        <v>0</v>
      </c>
      <c r="P785" t="n">
        <v>0</v>
      </c>
      <c r="Q785" t="n">
        <v>0</v>
      </c>
      <c r="R785" s="2" t="inlineStr"/>
    </row>
    <row r="786" ht="15" customHeight="1">
      <c r="A786" t="inlineStr">
        <is>
          <t>A 10444-2023</t>
        </is>
      </c>
      <c r="B786" s="1" t="n">
        <v>44987</v>
      </c>
      <c r="C786" s="1" t="n">
        <v>45510</v>
      </c>
      <c r="D786" t="inlineStr">
        <is>
          <t>KALMAR LÄN</t>
        </is>
      </c>
      <c r="E786" t="inlineStr">
        <is>
          <t>VIMMERBY</t>
        </is>
      </c>
      <c r="G786" t="n">
        <v>7.4</v>
      </c>
      <c r="H786" t="n">
        <v>0</v>
      </c>
      <c r="I786" t="n">
        <v>0</v>
      </c>
      <c r="J786" t="n">
        <v>0</v>
      </c>
      <c r="K786" t="n">
        <v>0</v>
      </c>
      <c r="L786" t="n">
        <v>0</v>
      </c>
      <c r="M786" t="n">
        <v>0</v>
      </c>
      <c r="N786" t="n">
        <v>0</v>
      </c>
      <c r="O786" t="n">
        <v>0</v>
      </c>
      <c r="P786" t="n">
        <v>0</v>
      </c>
      <c r="Q786" t="n">
        <v>0</v>
      </c>
      <c r="R786" s="2" t="inlineStr"/>
    </row>
    <row r="787" ht="15" customHeight="1">
      <c r="A787" t="inlineStr">
        <is>
          <t>A 10424-2023</t>
        </is>
      </c>
      <c r="B787" s="1" t="n">
        <v>44987</v>
      </c>
      <c r="C787" s="1" t="n">
        <v>45510</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10439-2023</t>
        </is>
      </c>
      <c r="B788" s="1" t="n">
        <v>44987</v>
      </c>
      <c r="C788" s="1" t="n">
        <v>45510</v>
      </c>
      <c r="D788" t="inlineStr">
        <is>
          <t>KALMAR LÄN</t>
        </is>
      </c>
      <c r="E788" t="inlineStr">
        <is>
          <t>VIMMERBY</t>
        </is>
      </c>
      <c r="G788" t="n">
        <v>2.9</v>
      </c>
      <c r="H788" t="n">
        <v>0</v>
      </c>
      <c r="I788" t="n">
        <v>0</v>
      </c>
      <c r="J788" t="n">
        <v>0</v>
      </c>
      <c r="K788" t="n">
        <v>0</v>
      </c>
      <c r="L788" t="n">
        <v>0</v>
      </c>
      <c r="M788" t="n">
        <v>0</v>
      </c>
      <c r="N788" t="n">
        <v>0</v>
      </c>
      <c r="O788" t="n">
        <v>0</v>
      </c>
      <c r="P788" t="n">
        <v>0</v>
      </c>
      <c r="Q788" t="n">
        <v>0</v>
      </c>
      <c r="R788" s="2" t="inlineStr"/>
    </row>
    <row r="789" ht="15" customHeight="1">
      <c r="A789" t="inlineStr">
        <is>
          <t>A 10759-2023</t>
        </is>
      </c>
      <c r="B789" s="1" t="n">
        <v>44988</v>
      </c>
      <c r="C789" s="1" t="n">
        <v>45510</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10800-2023</t>
        </is>
      </c>
      <c r="B790" s="1" t="n">
        <v>44989</v>
      </c>
      <c r="C790" s="1" t="n">
        <v>45510</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10821-2023</t>
        </is>
      </c>
      <c r="B791" s="1" t="n">
        <v>44990</v>
      </c>
      <c r="C791" s="1" t="n">
        <v>45510</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10837-2023</t>
        </is>
      </c>
      <c r="B792" s="1" t="n">
        <v>44991</v>
      </c>
      <c r="C792" s="1" t="n">
        <v>45510</v>
      </c>
      <c r="D792" t="inlineStr">
        <is>
          <t>KALMAR LÄN</t>
        </is>
      </c>
      <c r="E792" t="inlineStr">
        <is>
          <t>VIMMERBY</t>
        </is>
      </c>
      <c r="G792" t="n">
        <v>7.3</v>
      </c>
      <c r="H792" t="n">
        <v>0</v>
      </c>
      <c r="I792" t="n">
        <v>0</v>
      </c>
      <c r="J792" t="n">
        <v>0</v>
      </c>
      <c r="K792" t="n">
        <v>0</v>
      </c>
      <c r="L792" t="n">
        <v>0</v>
      </c>
      <c r="M792" t="n">
        <v>0</v>
      </c>
      <c r="N792" t="n">
        <v>0</v>
      </c>
      <c r="O792" t="n">
        <v>0</v>
      </c>
      <c r="P792" t="n">
        <v>0</v>
      </c>
      <c r="Q792" t="n">
        <v>0</v>
      </c>
      <c r="R792" s="2" t="inlineStr"/>
    </row>
    <row r="793" ht="15" customHeight="1">
      <c r="A793" t="inlineStr">
        <is>
          <t>A 10835-2023</t>
        </is>
      </c>
      <c r="B793" s="1" t="n">
        <v>44991</v>
      </c>
      <c r="C793" s="1" t="n">
        <v>45510</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10838-2023</t>
        </is>
      </c>
      <c r="B794" s="1" t="n">
        <v>44991</v>
      </c>
      <c r="C794" s="1" t="n">
        <v>45510</v>
      </c>
      <c r="D794" t="inlineStr">
        <is>
          <t>KALMAR LÄN</t>
        </is>
      </c>
      <c r="E794" t="inlineStr">
        <is>
          <t>VIMMERBY</t>
        </is>
      </c>
      <c r="G794" t="n">
        <v>5.1</v>
      </c>
      <c r="H794" t="n">
        <v>0</v>
      </c>
      <c r="I794" t="n">
        <v>0</v>
      </c>
      <c r="J794" t="n">
        <v>0</v>
      </c>
      <c r="K794" t="n">
        <v>0</v>
      </c>
      <c r="L794" t="n">
        <v>0</v>
      </c>
      <c r="M794" t="n">
        <v>0</v>
      </c>
      <c r="N794" t="n">
        <v>0</v>
      </c>
      <c r="O794" t="n">
        <v>0</v>
      </c>
      <c r="P794" t="n">
        <v>0</v>
      </c>
      <c r="Q794" t="n">
        <v>0</v>
      </c>
      <c r="R794" s="2" t="inlineStr"/>
    </row>
    <row r="795" ht="15" customHeight="1">
      <c r="A795" t="inlineStr">
        <is>
          <t>A 11027-2023</t>
        </is>
      </c>
      <c r="B795" s="1" t="n">
        <v>44991</v>
      </c>
      <c r="C795" s="1" t="n">
        <v>45510</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11076-2023</t>
        </is>
      </c>
      <c r="B796" s="1" t="n">
        <v>44992</v>
      </c>
      <c r="C796" s="1" t="n">
        <v>45510</v>
      </c>
      <c r="D796" t="inlineStr">
        <is>
          <t>KALMAR LÄN</t>
        </is>
      </c>
      <c r="E796" t="inlineStr">
        <is>
          <t>VIMMERBY</t>
        </is>
      </c>
      <c r="G796" t="n">
        <v>6.1</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45510</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11147-2023</t>
        </is>
      </c>
      <c r="B798" s="1" t="n">
        <v>44992</v>
      </c>
      <c r="C798" s="1" t="n">
        <v>45510</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11111-2023</t>
        </is>
      </c>
      <c r="B799" s="1" t="n">
        <v>44992</v>
      </c>
      <c r="C799" s="1" t="n">
        <v>45510</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11152-2023</t>
        </is>
      </c>
      <c r="B800" s="1" t="n">
        <v>44992</v>
      </c>
      <c r="C800" s="1" t="n">
        <v>45510</v>
      </c>
      <c r="D800" t="inlineStr">
        <is>
          <t>KALMAR LÄN</t>
        </is>
      </c>
      <c r="E800" t="inlineStr">
        <is>
          <t>VIMMERBY</t>
        </is>
      </c>
      <c r="G800" t="n">
        <v>10.6</v>
      </c>
      <c r="H800" t="n">
        <v>0</v>
      </c>
      <c r="I800" t="n">
        <v>0</v>
      </c>
      <c r="J800" t="n">
        <v>0</v>
      </c>
      <c r="K800" t="n">
        <v>0</v>
      </c>
      <c r="L800" t="n">
        <v>0</v>
      </c>
      <c r="M800" t="n">
        <v>0</v>
      </c>
      <c r="N800" t="n">
        <v>0</v>
      </c>
      <c r="O800" t="n">
        <v>0</v>
      </c>
      <c r="P800" t="n">
        <v>0</v>
      </c>
      <c r="Q800" t="n">
        <v>0</v>
      </c>
      <c r="R800" s="2" t="inlineStr"/>
    </row>
    <row r="801" ht="15" customHeight="1">
      <c r="A801" t="inlineStr">
        <is>
          <t>A 11074-2023</t>
        </is>
      </c>
      <c r="B801" s="1" t="n">
        <v>44992</v>
      </c>
      <c r="C801" s="1" t="n">
        <v>45510</v>
      </c>
      <c r="D801" t="inlineStr">
        <is>
          <t>KALMAR LÄN</t>
        </is>
      </c>
      <c r="E801" t="inlineStr">
        <is>
          <t>VIMMERBY</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11219-2023</t>
        </is>
      </c>
      <c r="B802" s="1" t="n">
        <v>44992</v>
      </c>
      <c r="C802" s="1" t="n">
        <v>45510</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11416-2023</t>
        </is>
      </c>
      <c r="B803" s="1" t="n">
        <v>44993</v>
      </c>
      <c r="C803" s="1" t="n">
        <v>45510</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11619-2023</t>
        </is>
      </c>
      <c r="B804" s="1" t="n">
        <v>44994</v>
      </c>
      <c r="C804" s="1" t="n">
        <v>45510</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11609-2023</t>
        </is>
      </c>
      <c r="B805" s="1" t="n">
        <v>44994</v>
      </c>
      <c r="C805" s="1" t="n">
        <v>45510</v>
      </c>
      <c r="D805" t="inlineStr">
        <is>
          <t>KALMAR LÄN</t>
        </is>
      </c>
      <c r="E805" t="inlineStr">
        <is>
          <t>VIMMERBY</t>
        </is>
      </c>
      <c r="G805" t="n">
        <v>4.9</v>
      </c>
      <c r="H805" t="n">
        <v>0</v>
      </c>
      <c r="I805" t="n">
        <v>0</v>
      </c>
      <c r="J805" t="n">
        <v>0</v>
      </c>
      <c r="K805" t="n">
        <v>0</v>
      </c>
      <c r="L805" t="n">
        <v>0</v>
      </c>
      <c r="M805" t="n">
        <v>0</v>
      </c>
      <c r="N805" t="n">
        <v>0</v>
      </c>
      <c r="O805" t="n">
        <v>0</v>
      </c>
      <c r="P805" t="n">
        <v>0</v>
      </c>
      <c r="Q805" t="n">
        <v>0</v>
      </c>
      <c r="R805" s="2" t="inlineStr"/>
    </row>
    <row r="806" ht="15" customHeight="1">
      <c r="A806" t="inlineStr">
        <is>
          <t>A 11661-2023</t>
        </is>
      </c>
      <c r="B806" s="1" t="n">
        <v>44994</v>
      </c>
      <c r="C806" s="1" t="n">
        <v>45510</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12008-2023</t>
        </is>
      </c>
      <c r="B807" s="1" t="n">
        <v>44995</v>
      </c>
      <c r="C807" s="1" t="n">
        <v>45510</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11999-2023</t>
        </is>
      </c>
      <c r="B808" s="1" t="n">
        <v>44995</v>
      </c>
      <c r="C808" s="1" t="n">
        <v>45510</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ht="15" customHeight="1">
      <c r="A809" t="inlineStr">
        <is>
          <t>A 12012-2023</t>
        </is>
      </c>
      <c r="B809" s="1" t="n">
        <v>44995</v>
      </c>
      <c r="C809" s="1" t="n">
        <v>45510</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12010-2023</t>
        </is>
      </c>
      <c r="B810" s="1" t="n">
        <v>44995</v>
      </c>
      <c r="C810" s="1" t="n">
        <v>45510</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12325-2023</t>
        </is>
      </c>
      <c r="B811" s="1" t="n">
        <v>44999</v>
      </c>
      <c r="C811" s="1" t="n">
        <v>45510</v>
      </c>
      <c r="D811" t="inlineStr">
        <is>
          <t>KALMAR LÄN</t>
        </is>
      </c>
      <c r="E811" t="inlineStr">
        <is>
          <t>VIMMERBY</t>
        </is>
      </c>
      <c r="G811" t="n">
        <v>3.4</v>
      </c>
      <c r="H811" t="n">
        <v>0</v>
      </c>
      <c r="I811" t="n">
        <v>0</v>
      </c>
      <c r="J811" t="n">
        <v>0</v>
      </c>
      <c r="K811" t="n">
        <v>0</v>
      </c>
      <c r="L811" t="n">
        <v>0</v>
      </c>
      <c r="M811" t="n">
        <v>0</v>
      </c>
      <c r="N811" t="n">
        <v>0</v>
      </c>
      <c r="O811" t="n">
        <v>0</v>
      </c>
      <c r="P811" t="n">
        <v>0</v>
      </c>
      <c r="Q811" t="n">
        <v>0</v>
      </c>
      <c r="R811" s="2" t="inlineStr"/>
    </row>
    <row r="812" ht="15" customHeight="1">
      <c r="A812" t="inlineStr">
        <is>
          <t>A 12327-2023</t>
        </is>
      </c>
      <c r="B812" s="1" t="n">
        <v>44999</v>
      </c>
      <c r="C812" s="1" t="n">
        <v>45510</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12499-2023</t>
        </is>
      </c>
      <c r="B813" s="1" t="n">
        <v>44999</v>
      </c>
      <c r="C813" s="1" t="n">
        <v>45510</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12500-2023</t>
        </is>
      </c>
      <c r="B814" s="1" t="n">
        <v>44999</v>
      </c>
      <c r="C814" s="1" t="n">
        <v>45510</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12630-2023</t>
        </is>
      </c>
      <c r="B815" s="1" t="n">
        <v>45000</v>
      </c>
      <c r="C815" s="1" t="n">
        <v>45510</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12692-2023</t>
        </is>
      </c>
      <c r="B816" s="1" t="n">
        <v>45000</v>
      </c>
      <c r="C816" s="1" t="n">
        <v>45510</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12810-2023</t>
        </is>
      </c>
      <c r="B817" s="1" t="n">
        <v>45001</v>
      </c>
      <c r="C817" s="1" t="n">
        <v>45510</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12890-2023</t>
        </is>
      </c>
      <c r="B818" s="1" t="n">
        <v>45001</v>
      </c>
      <c r="C818" s="1" t="n">
        <v>45510</v>
      </c>
      <c r="D818" t="inlineStr">
        <is>
          <t>KALMAR LÄN</t>
        </is>
      </c>
      <c r="E818" t="inlineStr">
        <is>
          <t>VIMMERBY</t>
        </is>
      </c>
      <c r="G818" t="n">
        <v>2.8</v>
      </c>
      <c r="H818" t="n">
        <v>0</v>
      </c>
      <c r="I818" t="n">
        <v>0</v>
      </c>
      <c r="J818" t="n">
        <v>0</v>
      </c>
      <c r="K818" t="n">
        <v>0</v>
      </c>
      <c r="L818" t="n">
        <v>0</v>
      </c>
      <c r="M818" t="n">
        <v>0</v>
      </c>
      <c r="N818" t="n">
        <v>0</v>
      </c>
      <c r="O818" t="n">
        <v>0</v>
      </c>
      <c r="P818" t="n">
        <v>0</v>
      </c>
      <c r="Q818" t="n">
        <v>0</v>
      </c>
      <c r="R818" s="2" t="inlineStr"/>
    </row>
    <row r="819" ht="15" customHeight="1">
      <c r="A819" t="inlineStr">
        <is>
          <t>A 13015-2023</t>
        </is>
      </c>
      <c r="B819" s="1" t="n">
        <v>45002</v>
      </c>
      <c r="C819" s="1" t="n">
        <v>45510</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13462-2023</t>
        </is>
      </c>
      <c r="B820" s="1" t="n">
        <v>45005</v>
      </c>
      <c r="C820" s="1" t="n">
        <v>45510</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13797-2023</t>
        </is>
      </c>
      <c r="B821" s="1" t="n">
        <v>45007</v>
      </c>
      <c r="C821" s="1" t="n">
        <v>45510</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14025-2023</t>
        </is>
      </c>
      <c r="B822" s="1" t="n">
        <v>45008</v>
      </c>
      <c r="C822" s="1" t="n">
        <v>45510</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14132-2023</t>
        </is>
      </c>
      <c r="B823" s="1" t="n">
        <v>45009</v>
      </c>
      <c r="C823" s="1" t="n">
        <v>45510</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14137-2023</t>
        </is>
      </c>
      <c r="B824" s="1" t="n">
        <v>45009</v>
      </c>
      <c r="C824" s="1" t="n">
        <v>45510</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14142-2023</t>
        </is>
      </c>
      <c r="B825" s="1" t="n">
        <v>45009</v>
      </c>
      <c r="C825" s="1" t="n">
        <v>45510</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14248-2023</t>
        </is>
      </c>
      <c r="B826" s="1" t="n">
        <v>45009</v>
      </c>
      <c r="C826" s="1" t="n">
        <v>45510</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14440-2023</t>
        </is>
      </c>
      <c r="B827" s="1" t="n">
        <v>45012</v>
      </c>
      <c r="C827" s="1" t="n">
        <v>45510</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14438-2023</t>
        </is>
      </c>
      <c r="B828" s="1" t="n">
        <v>45012</v>
      </c>
      <c r="C828" s="1" t="n">
        <v>45510</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14996-2023</t>
        </is>
      </c>
      <c r="B829" s="1" t="n">
        <v>45014</v>
      </c>
      <c r="C829" s="1" t="n">
        <v>45510</v>
      </c>
      <c r="D829" t="inlineStr">
        <is>
          <t>KALMAR LÄN</t>
        </is>
      </c>
      <c r="E829" t="inlineStr">
        <is>
          <t>VIMMERBY</t>
        </is>
      </c>
      <c r="G829" t="n">
        <v>6.9</v>
      </c>
      <c r="H829" t="n">
        <v>0</v>
      </c>
      <c r="I829" t="n">
        <v>0</v>
      </c>
      <c r="J829" t="n">
        <v>0</v>
      </c>
      <c r="K829" t="n">
        <v>0</v>
      </c>
      <c r="L829" t="n">
        <v>0</v>
      </c>
      <c r="M829" t="n">
        <v>0</v>
      </c>
      <c r="N829" t="n">
        <v>0</v>
      </c>
      <c r="O829" t="n">
        <v>0</v>
      </c>
      <c r="P829" t="n">
        <v>0</v>
      </c>
      <c r="Q829" t="n">
        <v>0</v>
      </c>
      <c r="R829" s="2" t="inlineStr"/>
    </row>
    <row r="830" ht="15" customHeight="1">
      <c r="A830" t="inlineStr">
        <is>
          <t>A 15493-2023</t>
        </is>
      </c>
      <c r="B830" s="1" t="n">
        <v>45018</v>
      </c>
      <c r="C830" s="1" t="n">
        <v>45510</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15550-2023</t>
        </is>
      </c>
      <c r="B831" s="1" t="n">
        <v>45020</v>
      </c>
      <c r="C831" s="1" t="n">
        <v>45510</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15449-2023</t>
        </is>
      </c>
      <c r="B832" s="1" t="n">
        <v>45020</v>
      </c>
      <c r="C832" s="1" t="n">
        <v>45510</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15486-2023</t>
        </is>
      </c>
      <c r="B833" s="1" t="n">
        <v>45020</v>
      </c>
      <c r="C833" s="1" t="n">
        <v>45510</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15490-2023</t>
        </is>
      </c>
      <c r="B834" s="1" t="n">
        <v>45020</v>
      </c>
      <c r="C834" s="1" t="n">
        <v>45510</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15740-2023</t>
        </is>
      </c>
      <c r="B835" s="1" t="n">
        <v>45021</v>
      </c>
      <c r="C835" s="1" t="n">
        <v>45510</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15993-2023</t>
        </is>
      </c>
      <c r="B836" s="1" t="n">
        <v>45023</v>
      </c>
      <c r="C836" s="1" t="n">
        <v>45510</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16020-2023</t>
        </is>
      </c>
      <c r="B837" s="1" t="n">
        <v>45026</v>
      </c>
      <c r="C837" s="1" t="n">
        <v>45510</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16119-2023</t>
        </is>
      </c>
      <c r="B838" s="1" t="n">
        <v>45027</v>
      </c>
      <c r="C838" s="1" t="n">
        <v>45510</v>
      </c>
      <c r="D838" t="inlineStr">
        <is>
          <t>KALMAR LÄN</t>
        </is>
      </c>
      <c r="E838" t="inlineStr">
        <is>
          <t>VIMMERBY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16676-2023</t>
        </is>
      </c>
      <c r="B839" s="1" t="n">
        <v>45028</v>
      </c>
      <c r="C839" s="1" t="n">
        <v>45510</v>
      </c>
      <c r="D839" t="inlineStr">
        <is>
          <t>KALMAR LÄN</t>
        </is>
      </c>
      <c r="E839" t="inlineStr">
        <is>
          <t>VIMMERBY</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16516-2023</t>
        </is>
      </c>
      <c r="B840" s="1" t="n">
        <v>45029</v>
      </c>
      <c r="C840" s="1" t="n">
        <v>45510</v>
      </c>
      <c r="D840" t="inlineStr">
        <is>
          <t>KALMAR LÄN</t>
        </is>
      </c>
      <c r="E840" t="inlineStr">
        <is>
          <t>VIMMERBY</t>
        </is>
      </c>
      <c r="G840" t="n">
        <v>4.3</v>
      </c>
      <c r="H840" t="n">
        <v>0</v>
      </c>
      <c r="I840" t="n">
        <v>0</v>
      </c>
      <c r="J840" t="n">
        <v>0</v>
      </c>
      <c r="K840" t="n">
        <v>0</v>
      </c>
      <c r="L840" t="n">
        <v>0</v>
      </c>
      <c r="M840" t="n">
        <v>0</v>
      </c>
      <c r="N840" t="n">
        <v>0</v>
      </c>
      <c r="O840" t="n">
        <v>0</v>
      </c>
      <c r="P840" t="n">
        <v>0</v>
      </c>
      <c r="Q840" t="n">
        <v>0</v>
      </c>
      <c r="R840" s="2" t="inlineStr"/>
    </row>
    <row r="841" ht="15" customHeight="1">
      <c r="A841" t="inlineStr">
        <is>
          <t>A 16734-2023</t>
        </is>
      </c>
      <c r="B841" s="1" t="n">
        <v>45030</v>
      </c>
      <c r="C841" s="1" t="n">
        <v>45510</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16750-2023</t>
        </is>
      </c>
      <c r="B842" s="1" t="n">
        <v>45030</v>
      </c>
      <c r="C842" s="1" t="n">
        <v>45510</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16927-2023</t>
        </is>
      </c>
      <c r="B843" s="1" t="n">
        <v>45033</v>
      </c>
      <c r="C843" s="1" t="n">
        <v>45510</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16983-2023</t>
        </is>
      </c>
      <c r="B844" s="1" t="n">
        <v>45033</v>
      </c>
      <c r="C844" s="1" t="n">
        <v>45510</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17758-2023</t>
        </is>
      </c>
      <c r="B845" s="1" t="n">
        <v>45037</v>
      </c>
      <c r="C845" s="1" t="n">
        <v>45510</v>
      </c>
      <c r="D845" t="inlineStr">
        <is>
          <t>KALMAR LÄN</t>
        </is>
      </c>
      <c r="E845" t="inlineStr">
        <is>
          <t>VIMMERBY</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17964-2023</t>
        </is>
      </c>
      <c r="B846" s="1" t="n">
        <v>45040</v>
      </c>
      <c r="C846" s="1" t="n">
        <v>45510</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18209-2023</t>
        </is>
      </c>
      <c r="B847" s="1" t="n">
        <v>45041</v>
      </c>
      <c r="C847" s="1" t="n">
        <v>45510</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18330-2023</t>
        </is>
      </c>
      <c r="B848" s="1" t="n">
        <v>45041</v>
      </c>
      <c r="C848" s="1" t="n">
        <v>45510</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18329-2023</t>
        </is>
      </c>
      <c r="B849" s="1" t="n">
        <v>45041</v>
      </c>
      <c r="C849" s="1" t="n">
        <v>45510</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18328-2023</t>
        </is>
      </c>
      <c r="B850" s="1" t="n">
        <v>45041</v>
      </c>
      <c r="C850" s="1" t="n">
        <v>45510</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18609-2023</t>
        </is>
      </c>
      <c r="B851" s="1" t="n">
        <v>45041</v>
      </c>
      <c r="C851" s="1" t="n">
        <v>45510</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18731-2023</t>
        </is>
      </c>
      <c r="B852" s="1" t="n">
        <v>45043</v>
      </c>
      <c r="C852" s="1" t="n">
        <v>45510</v>
      </c>
      <c r="D852" t="inlineStr">
        <is>
          <t>KALMAR LÄN</t>
        </is>
      </c>
      <c r="E852" t="inlineStr">
        <is>
          <t>VIMMERBY</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19013-2023</t>
        </is>
      </c>
      <c r="B853" s="1" t="n">
        <v>45045</v>
      </c>
      <c r="C853" s="1" t="n">
        <v>45510</v>
      </c>
      <c r="D853" t="inlineStr">
        <is>
          <t>KALMAR LÄN</t>
        </is>
      </c>
      <c r="E853" t="inlineStr">
        <is>
          <t>VIMMERBY</t>
        </is>
      </c>
      <c r="G853" t="n">
        <v>2.5</v>
      </c>
      <c r="H853" t="n">
        <v>0</v>
      </c>
      <c r="I853" t="n">
        <v>0</v>
      </c>
      <c r="J853" t="n">
        <v>0</v>
      </c>
      <c r="K853" t="n">
        <v>0</v>
      </c>
      <c r="L853" t="n">
        <v>0</v>
      </c>
      <c r="M853" t="n">
        <v>0</v>
      </c>
      <c r="N853" t="n">
        <v>0</v>
      </c>
      <c r="O853" t="n">
        <v>0</v>
      </c>
      <c r="P853" t="n">
        <v>0</v>
      </c>
      <c r="Q853" t="n">
        <v>0</v>
      </c>
      <c r="R853" s="2" t="inlineStr"/>
    </row>
    <row r="854" ht="15" customHeight="1">
      <c r="A854" t="inlineStr">
        <is>
          <t>A 19162-2023</t>
        </is>
      </c>
      <c r="B854" s="1" t="n">
        <v>45048</v>
      </c>
      <c r="C854" s="1" t="n">
        <v>45510</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19833-2023</t>
        </is>
      </c>
      <c r="B855" s="1" t="n">
        <v>45052</v>
      </c>
      <c r="C855" s="1" t="n">
        <v>45510</v>
      </c>
      <c r="D855" t="inlineStr">
        <is>
          <t>KALMAR LÄN</t>
        </is>
      </c>
      <c r="E855" t="inlineStr">
        <is>
          <t>VIMMERBY</t>
        </is>
      </c>
      <c r="G855" t="n">
        <v>6.7</v>
      </c>
      <c r="H855" t="n">
        <v>0</v>
      </c>
      <c r="I855" t="n">
        <v>0</v>
      </c>
      <c r="J855" t="n">
        <v>0</v>
      </c>
      <c r="K855" t="n">
        <v>0</v>
      </c>
      <c r="L855" t="n">
        <v>0</v>
      </c>
      <c r="M855" t="n">
        <v>0</v>
      </c>
      <c r="N855" t="n">
        <v>0</v>
      </c>
      <c r="O855" t="n">
        <v>0</v>
      </c>
      <c r="P855" t="n">
        <v>0</v>
      </c>
      <c r="Q855" t="n">
        <v>0</v>
      </c>
      <c r="R855" s="2" t="inlineStr"/>
    </row>
    <row r="856" ht="15" customHeight="1">
      <c r="A856" t="inlineStr">
        <is>
          <t>A 20054-2023</t>
        </is>
      </c>
      <c r="B856" s="1" t="n">
        <v>45054</v>
      </c>
      <c r="C856" s="1" t="n">
        <v>45510</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20218-2023</t>
        </is>
      </c>
      <c r="B857" s="1" t="n">
        <v>45055</v>
      </c>
      <c r="C857" s="1" t="n">
        <v>45510</v>
      </c>
      <c r="D857" t="inlineStr">
        <is>
          <t>KALMAR LÄN</t>
        </is>
      </c>
      <c r="E857" t="inlineStr">
        <is>
          <t>VIMMERBY</t>
        </is>
      </c>
      <c r="G857" t="n">
        <v>4.9</v>
      </c>
      <c r="H857" t="n">
        <v>0</v>
      </c>
      <c r="I857" t="n">
        <v>0</v>
      </c>
      <c r="J857" t="n">
        <v>0</v>
      </c>
      <c r="K857" t="n">
        <v>0</v>
      </c>
      <c r="L857" t="n">
        <v>0</v>
      </c>
      <c r="M857" t="n">
        <v>0</v>
      </c>
      <c r="N857" t="n">
        <v>0</v>
      </c>
      <c r="O857" t="n">
        <v>0</v>
      </c>
      <c r="P857" t="n">
        <v>0</v>
      </c>
      <c r="Q857" t="n">
        <v>0</v>
      </c>
      <c r="R857" s="2" t="inlineStr"/>
    </row>
    <row r="858" ht="15" customHeight="1">
      <c r="A858" t="inlineStr">
        <is>
          <t>A 20117-2023</t>
        </is>
      </c>
      <c r="B858" s="1" t="n">
        <v>45055</v>
      </c>
      <c r="C858" s="1" t="n">
        <v>45510</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20215-2023</t>
        </is>
      </c>
      <c r="B859" s="1" t="n">
        <v>45055</v>
      </c>
      <c r="C859" s="1" t="n">
        <v>45510</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20216-2023</t>
        </is>
      </c>
      <c r="B860" s="1" t="n">
        <v>45055</v>
      </c>
      <c r="C860" s="1" t="n">
        <v>45510</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20421-2023</t>
        </is>
      </c>
      <c r="B861" s="1" t="n">
        <v>45056</v>
      </c>
      <c r="C861" s="1" t="n">
        <v>45510</v>
      </c>
      <c r="D861" t="inlineStr">
        <is>
          <t>KALMAR LÄN</t>
        </is>
      </c>
      <c r="E861" t="inlineStr">
        <is>
          <t>VIMMERBY</t>
        </is>
      </c>
      <c r="G861" t="n">
        <v>5.2</v>
      </c>
      <c r="H861" t="n">
        <v>0</v>
      </c>
      <c r="I861" t="n">
        <v>0</v>
      </c>
      <c r="J861" t="n">
        <v>0</v>
      </c>
      <c r="K861" t="n">
        <v>0</v>
      </c>
      <c r="L861" t="n">
        <v>0</v>
      </c>
      <c r="M861" t="n">
        <v>0</v>
      </c>
      <c r="N861" t="n">
        <v>0</v>
      </c>
      <c r="O861" t="n">
        <v>0</v>
      </c>
      <c r="P861" t="n">
        <v>0</v>
      </c>
      <c r="Q861" t="n">
        <v>0</v>
      </c>
      <c r="R861" s="2" t="inlineStr"/>
    </row>
    <row r="862" ht="15" customHeight="1">
      <c r="A862" t="inlineStr">
        <is>
          <t>A 20542-2023</t>
        </is>
      </c>
      <c r="B862" s="1" t="n">
        <v>45057</v>
      </c>
      <c r="C862" s="1" t="n">
        <v>45510</v>
      </c>
      <c r="D862" t="inlineStr">
        <is>
          <t>KALMAR LÄN</t>
        </is>
      </c>
      <c r="E862" t="inlineStr">
        <is>
          <t>VIMMERBY</t>
        </is>
      </c>
      <c r="G862" t="n">
        <v>4.4</v>
      </c>
      <c r="H862" t="n">
        <v>0</v>
      </c>
      <c r="I862" t="n">
        <v>0</v>
      </c>
      <c r="J862" t="n">
        <v>0</v>
      </c>
      <c r="K862" t="n">
        <v>0</v>
      </c>
      <c r="L862" t="n">
        <v>0</v>
      </c>
      <c r="M862" t="n">
        <v>0</v>
      </c>
      <c r="N862" t="n">
        <v>0</v>
      </c>
      <c r="O862" t="n">
        <v>0</v>
      </c>
      <c r="P862" t="n">
        <v>0</v>
      </c>
      <c r="Q862" t="n">
        <v>0</v>
      </c>
      <c r="R862" s="2" t="inlineStr"/>
    </row>
    <row r="863" ht="15" customHeight="1">
      <c r="A863" t="inlineStr">
        <is>
          <t>A 20699-2023</t>
        </is>
      </c>
      <c r="B863" s="1" t="n">
        <v>45058</v>
      </c>
      <c r="C863" s="1" t="n">
        <v>45510</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20736-2023</t>
        </is>
      </c>
      <c r="B864" s="1" t="n">
        <v>45058</v>
      </c>
      <c r="C864" s="1" t="n">
        <v>45510</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21025-2023</t>
        </is>
      </c>
      <c r="B865" s="1" t="n">
        <v>45061</v>
      </c>
      <c r="C865" s="1" t="n">
        <v>45510</v>
      </c>
      <c r="D865" t="inlineStr">
        <is>
          <t>KALMAR LÄN</t>
        </is>
      </c>
      <c r="E865" t="inlineStr">
        <is>
          <t>VIMMERBY</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21028-2023</t>
        </is>
      </c>
      <c r="B866" s="1" t="n">
        <v>45061</v>
      </c>
      <c r="C866" s="1" t="n">
        <v>45510</v>
      </c>
      <c r="D866" t="inlineStr">
        <is>
          <t>KALMAR LÄN</t>
        </is>
      </c>
      <c r="E866" t="inlineStr">
        <is>
          <t>VIMMERBY</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21496-2023</t>
        </is>
      </c>
      <c r="B867" s="1" t="n">
        <v>45063</v>
      </c>
      <c r="C867" s="1" t="n">
        <v>45510</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21507-2023</t>
        </is>
      </c>
      <c r="B868" s="1" t="n">
        <v>45063</v>
      </c>
      <c r="C868" s="1" t="n">
        <v>45510</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21911-2023</t>
        </is>
      </c>
      <c r="B869" s="1" t="n">
        <v>45068</v>
      </c>
      <c r="C869" s="1" t="n">
        <v>45510</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22415-2023</t>
        </is>
      </c>
      <c r="B870" s="1" t="n">
        <v>45070</v>
      </c>
      <c r="C870" s="1" t="n">
        <v>45510</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v>
      </c>
      <c r="C871" s="1" t="n">
        <v>45510</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22421-2023</t>
        </is>
      </c>
      <c r="B872" s="1" t="n">
        <v>45070</v>
      </c>
      <c r="C872" s="1" t="n">
        <v>45510</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45510</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22418-2023</t>
        </is>
      </c>
      <c r="B874" s="1" t="n">
        <v>45070</v>
      </c>
      <c r="C874" s="1" t="n">
        <v>45510</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22426-2023</t>
        </is>
      </c>
      <c r="B875" s="1" t="n">
        <v>45070</v>
      </c>
      <c r="C875" s="1" t="n">
        <v>45510</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22423-2023</t>
        </is>
      </c>
      <c r="B876" s="1" t="n">
        <v>45070</v>
      </c>
      <c r="C876" s="1" t="n">
        <v>45510</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c r="U876">
        <f>HYPERLINK("https://klasma.github.io/Logging_0884/knärot/A 22423-2023 karta knärot.png", "A 22423-2023")</f>
        <v/>
      </c>
      <c r="V876">
        <f>HYPERLINK("https://klasma.github.io/Logging_0884/klagomål/A 22423-2023 FSC-klagomål.docx", "A 22423-2023")</f>
        <v/>
      </c>
      <c r="W876">
        <f>HYPERLINK("https://klasma.github.io/Logging_0884/klagomålsmail/A 22423-2023 FSC-klagomål mail.docx", "A 22423-2023")</f>
        <v/>
      </c>
      <c r="X876">
        <f>HYPERLINK("https://klasma.github.io/Logging_0884/tillsyn/A 22423-2023 tillsynsbegäran.docx", "A 22423-2023")</f>
        <v/>
      </c>
      <c r="Y876">
        <f>HYPERLINK("https://klasma.github.io/Logging_0884/tillsynsmail/A 22423-2023 tillsynsbegäran mail.docx", "A 22423-2023")</f>
        <v/>
      </c>
    </row>
    <row r="877" ht="15" customHeight="1">
      <c r="A877" t="inlineStr">
        <is>
          <t>A 22643-2023</t>
        </is>
      </c>
      <c r="B877" s="1" t="n">
        <v>45071</v>
      </c>
      <c r="C877" s="1" t="n">
        <v>45510</v>
      </c>
      <c r="D877" t="inlineStr">
        <is>
          <t>KALMAR LÄN</t>
        </is>
      </c>
      <c r="E877" t="inlineStr">
        <is>
          <t>VIMMERBY</t>
        </is>
      </c>
      <c r="G877" t="n">
        <v>3.9</v>
      </c>
      <c r="H877" t="n">
        <v>0</v>
      </c>
      <c r="I877" t="n">
        <v>0</v>
      </c>
      <c r="J877" t="n">
        <v>0</v>
      </c>
      <c r="K877" t="n">
        <v>0</v>
      </c>
      <c r="L877" t="n">
        <v>0</v>
      </c>
      <c r="M877" t="n">
        <v>0</v>
      </c>
      <c r="N877" t="n">
        <v>0</v>
      </c>
      <c r="O877" t="n">
        <v>0</v>
      </c>
      <c r="P877" t="n">
        <v>0</v>
      </c>
      <c r="Q877" t="n">
        <v>0</v>
      </c>
      <c r="R877" s="2" t="inlineStr"/>
    </row>
    <row r="878" ht="15" customHeight="1">
      <c r="A878" t="inlineStr">
        <is>
          <t>A 22760-2023</t>
        </is>
      </c>
      <c r="B878" s="1" t="n">
        <v>45072</v>
      </c>
      <c r="C878" s="1" t="n">
        <v>45510</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23032-2023</t>
        </is>
      </c>
      <c r="B879" s="1" t="n">
        <v>45074</v>
      </c>
      <c r="C879" s="1" t="n">
        <v>45510</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23095-2023</t>
        </is>
      </c>
      <c r="B880" s="1" t="n">
        <v>45075</v>
      </c>
      <c r="C880" s="1" t="n">
        <v>45510</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23425-2023</t>
        </is>
      </c>
      <c r="B881" s="1" t="n">
        <v>45076</v>
      </c>
      <c r="C881" s="1" t="n">
        <v>45510</v>
      </c>
      <c r="D881" t="inlineStr">
        <is>
          <t>KALMAR LÄN</t>
        </is>
      </c>
      <c r="E881" t="inlineStr">
        <is>
          <t>VIMMERBY</t>
        </is>
      </c>
      <c r="G881" t="n">
        <v>4.8</v>
      </c>
      <c r="H881" t="n">
        <v>0</v>
      </c>
      <c r="I881" t="n">
        <v>0</v>
      </c>
      <c r="J881" t="n">
        <v>0</v>
      </c>
      <c r="K881" t="n">
        <v>0</v>
      </c>
      <c r="L881" t="n">
        <v>0</v>
      </c>
      <c r="M881" t="n">
        <v>0</v>
      </c>
      <c r="N881" t="n">
        <v>0</v>
      </c>
      <c r="O881" t="n">
        <v>0</v>
      </c>
      <c r="P881" t="n">
        <v>0</v>
      </c>
      <c r="Q881" t="n">
        <v>0</v>
      </c>
      <c r="R881" s="2" t="inlineStr"/>
    </row>
    <row r="882" ht="15" customHeight="1">
      <c r="A882" t="inlineStr">
        <is>
          <t>A 23539-2023</t>
        </is>
      </c>
      <c r="B882" s="1" t="n">
        <v>45077</v>
      </c>
      <c r="C882" s="1" t="n">
        <v>45510</v>
      </c>
      <c r="D882" t="inlineStr">
        <is>
          <t>KALMAR LÄN</t>
        </is>
      </c>
      <c r="E882" t="inlineStr">
        <is>
          <t>VIMMERBY</t>
        </is>
      </c>
      <c r="G882" t="n">
        <v>6.9</v>
      </c>
      <c r="H882" t="n">
        <v>0</v>
      </c>
      <c r="I882" t="n">
        <v>0</v>
      </c>
      <c r="J882" t="n">
        <v>0</v>
      </c>
      <c r="K882" t="n">
        <v>0</v>
      </c>
      <c r="L882" t="n">
        <v>0</v>
      </c>
      <c r="M882" t="n">
        <v>0</v>
      </c>
      <c r="N882" t="n">
        <v>0</v>
      </c>
      <c r="O882" t="n">
        <v>0</v>
      </c>
      <c r="P882" t="n">
        <v>0</v>
      </c>
      <c r="Q882" t="n">
        <v>0</v>
      </c>
      <c r="R882" s="2" t="inlineStr"/>
    </row>
    <row r="883" ht="15" customHeight="1">
      <c r="A883" t="inlineStr">
        <is>
          <t>A 23695-2023</t>
        </is>
      </c>
      <c r="B883" s="1" t="n">
        <v>45077</v>
      </c>
      <c r="C883" s="1" t="n">
        <v>45510</v>
      </c>
      <c r="D883" t="inlineStr">
        <is>
          <t>KALMAR LÄN</t>
        </is>
      </c>
      <c r="E883" t="inlineStr">
        <is>
          <t>VIMMERBY</t>
        </is>
      </c>
      <c r="G883" t="n">
        <v>7.6</v>
      </c>
      <c r="H883" t="n">
        <v>0</v>
      </c>
      <c r="I883" t="n">
        <v>0</v>
      </c>
      <c r="J883" t="n">
        <v>0</v>
      </c>
      <c r="K883" t="n">
        <v>0</v>
      </c>
      <c r="L883" t="n">
        <v>0</v>
      </c>
      <c r="M883" t="n">
        <v>0</v>
      </c>
      <c r="N883" t="n">
        <v>0</v>
      </c>
      <c r="O883" t="n">
        <v>0</v>
      </c>
      <c r="P883" t="n">
        <v>0</v>
      </c>
      <c r="Q883" t="n">
        <v>0</v>
      </c>
      <c r="R883" s="2" t="inlineStr"/>
    </row>
    <row r="884" ht="15" customHeight="1">
      <c r="A884" t="inlineStr">
        <is>
          <t>A 24283-2023</t>
        </is>
      </c>
      <c r="B884" s="1" t="n">
        <v>45079</v>
      </c>
      <c r="C884" s="1" t="n">
        <v>45510</v>
      </c>
      <c r="D884" t="inlineStr">
        <is>
          <t>KALMAR LÄN</t>
        </is>
      </c>
      <c r="E884" t="inlineStr">
        <is>
          <t>VIMMERBY</t>
        </is>
      </c>
      <c r="G884" t="n">
        <v>2</v>
      </c>
      <c r="H884" t="n">
        <v>0</v>
      </c>
      <c r="I884" t="n">
        <v>0</v>
      </c>
      <c r="J884" t="n">
        <v>0</v>
      </c>
      <c r="K884" t="n">
        <v>0</v>
      </c>
      <c r="L884" t="n">
        <v>0</v>
      </c>
      <c r="M884" t="n">
        <v>0</v>
      </c>
      <c r="N884" t="n">
        <v>0</v>
      </c>
      <c r="O884" t="n">
        <v>0</v>
      </c>
      <c r="P884" t="n">
        <v>0</v>
      </c>
      <c r="Q884" t="n">
        <v>0</v>
      </c>
      <c r="R884" s="2" t="inlineStr"/>
    </row>
    <row r="885" ht="15" customHeight="1">
      <c r="A885" t="inlineStr">
        <is>
          <t>A 24285-2023</t>
        </is>
      </c>
      <c r="B885" s="1" t="n">
        <v>45079</v>
      </c>
      <c r="C885" s="1" t="n">
        <v>45510</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24288-2023</t>
        </is>
      </c>
      <c r="B886" s="1" t="n">
        <v>45080</v>
      </c>
      <c r="C886" s="1" t="n">
        <v>45510</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25109-2023</t>
        </is>
      </c>
      <c r="B887" s="1" t="n">
        <v>45086</v>
      </c>
      <c r="C887" s="1" t="n">
        <v>45510</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25236-2023</t>
        </is>
      </c>
      <c r="B888" s="1" t="n">
        <v>45086</v>
      </c>
      <c r="C888" s="1" t="n">
        <v>45510</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25244-2023</t>
        </is>
      </c>
      <c r="B889" s="1" t="n">
        <v>45086</v>
      </c>
      <c r="C889" s="1" t="n">
        <v>45510</v>
      </c>
      <c r="D889" t="inlineStr">
        <is>
          <t>KALMAR LÄN</t>
        </is>
      </c>
      <c r="E889" t="inlineStr">
        <is>
          <t>VIMMERBY</t>
        </is>
      </c>
      <c r="G889" t="n">
        <v>4.7</v>
      </c>
      <c r="H889" t="n">
        <v>0</v>
      </c>
      <c r="I889" t="n">
        <v>0</v>
      </c>
      <c r="J889" t="n">
        <v>0</v>
      </c>
      <c r="K889" t="n">
        <v>0</v>
      </c>
      <c r="L889" t="n">
        <v>0</v>
      </c>
      <c r="M889" t="n">
        <v>0</v>
      </c>
      <c r="N889" t="n">
        <v>0</v>
      </c>
      <c r="O889" t="n">
        <v>0</v>
      </c>
      <c r="P889" t="n">
        <v>0</v>
      </c>
      <c r="Q889" t="n">
        <v>0</v>
      </c>
      <c r="R889" s="2" t="inlineStr"/>
    </row>
    <row r="890" ht="15" customHeight="1">
      <c r="A890" t="inlineStr">
        <is>
          <t>A 25234-2023</t>
        </is>
      </c>
      <c r="B890" s="1" t="n">
        <v>45086</v>
      </c>
      <c r="C890" s="1" t="n">
        <v>45510</v>
      </c>
      <c r="D890" t="inlineStr">
        <is>
          <t>KALMAR LÄN</t>
        </is>
      </c>
      <c r="E890" t="inlineStr">
        <is>
          <t>VIMMERBY</t>
        </is>
      </c>
      <c r="G890" t="n">
        <v>2.1</v>
      </c>
      <c r="H890" t="n">
        <v>0</v>
      </c>
      <c r="I890" t="n">
        <v>0</v>
      </c>
      <c r="J890" t="n">
        <v>0</v>
      </c>
      <c r="K890" t="n">
        <v>0</v>
      </c>
      <c r="L890" t="n">
        <v>0</v>
      </c>
      <c r="M890" t="n">
        <v>0</v>
      </c>
      <c r="N890" t="n">
        <v>0</v>
      </c>
      <c r="O890" t="n">
        <v>0</v>
      </c>
      <c r="P890" t="n">
        <v>0</v>
      </c>
      <c r="Q890" t="n">
        <v>0</v>
      </c>
      <c r="R890" s="2" t="inlineStr"/>
    </row>
    <row r="891" ht="15" customHeight="1">
      <c r="A891" t="inlineStr">
        <is>
          <t>A 25885-2023</t>
        </is>
      </c>
      <c r="B891" s="1" t="n">
        <v>45090</v>
      </c>
      <c r="C891" s="1" t="n">
        <v>45510</v>
      </c>
      <c r="D891" t="inlineStr">
        <is>
          <t>KALMAR LÄN</t>
        </is>
      </c>
      <c r="E891" t="inlineStr">
        <is>
          <t>VIMMERBY</t>
        </is>
      </c>
      <c r="G891" t="n">
        <v>4.6</v>
      </c>
      <c r="H891" t="n">
        <v>0</v>
      </c>
      <c r="I891" t="n">
        <v>0</v>
      </c>
      <c r="J891" t="n">
        <v>0</v>
      </c>
      <c r="K891" t="n">
        <v>0</v>
      </c>
      <c r="L891" t="n">
        <v>0</v>
      </c>
      <c r="M891" t="n">
        <v>0</v>
      </c>
      <c r="N891" t="n">
        <v>0</v>
      </c>
      <c r="O891" t="n">
        <v>0</v>
      </c>
      <c r="P891" t="n">
        <v>0</v>
      </c>
      <c r="Q891" t="n">
        <v>0</v>
      </c>
      <c r="R891" s="2" t="inlineStr"/>
    </row>
    <row r="892" ht="15" customHeight="1">
      <c r="A892" t="inlineStr">
        <is>
          <t>A 25799-2023</t>
        </is>
      </c>
      <c r="B892" s="1" t="n">
        <v>45090</v>
      </c>
      <c r="C892" s="1" t="n">
        <v>45510</v>
      </c>
      <c r="D892" t="inlineStr">
        <is>
          <t>KALMAR LÄN</t>
        </is>
      </c>
      <c r="E892" t="inlineStr">
        <is>
          <t>VIMMERBY</t>
        </is>
      </c>
      <c r="G892" t="n">
        <v>7.7</v>
      </c>
      <c r="H892" t="n">
        <v>0</v>
      </c>
      <c r="I892" t="n">
        <v>0</v>
      </c>
      <c r="J892" t="n">
        <v>0</v>
      </c>
      <c r="K892" t="n">
        <v>0</v>
      </c>
      <c r="L892" t="n">
        <v>0</v>
      </c>
      <c r="M892" t="n">
        <v>0</v>
      </c>
      <c r="N892" t="n">
        <v>0</v>
      </c>
      <c r="O892" t="n">
        <v>0</v>
      </c>
      <c r="P892" t="n">
        <v>0</v>
      </c>
      <c r="Q892" t="n">
        <v>0</v>
      </c>
      <c r="R892" s="2" t="inlineStr"/>
    </row>
    <row r="893" ht="15" customHeight="1">
      <c r="A893" t="inlineStr">
        <is>
          <t>A 25979-2023</t>
        </is>
      </c>
      <c r="B893" s="1" t="n">
        <v>45090</v>
      </c>
      <c r="C893" s="1" t="n">
        <v>45510</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25976-2023</t>
        </is>
      </c>
      <c r="B894" s="1" t="n">
        <v>45090</v>
      </c>
      <c r="C894" s="1" t="n">
        <v>45510</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25980-2023</t>
        </is>
      </c>
      <c r="B895" s="1" t="n">
        <v>45090</v>
      </c>
      <c r="C895" s="1" t="n">
        <v>45510</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25977-2023</t>
        </is>
      </c>
      <c r="B896" s="1" t="n">
        <v>45090</v>
      </c>
      <c r="C896" s="1" t="n">
        <v>45510</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26318-2023</t>
        </is>
      </c>
      <c r="B897" s="1" t="n">
        <v>45091</v>
      </c>
      <c r="C897" s="1" t="n">
        <v>45510</v>
      </c>
      <c r="D897" t="inlineStr">
        <is>
          <t>KALMAR LÄN</t>
        </is>
      </c>
      <c r="E897" t="inlineStr">
        <is>
          <t>VIMMERBY</t>
        </is>
      </c>
      <c r="G897" t="n">
        <v>3.8</v>
      </c>
      <c r="H897" t="n">
        <v>0</v>
      </c>
      <c r="I897" t="n">
        <v>0</v>
      </c>
      <c r="J897" t="n">
        <v>0</v>
      </c>
      <c r="K897" t="n">
        <v>0</v>
      </c>
      <c r="L897" t="n">
        <v>0</v>
      </c>
      <c r="M897" t="n">
        <v>0</v>
      </c>
      <c r="N897" t="n">
        <v>0</v>
      </c>
      <c r="O897" t="n">
        <v>0</v>
      </c>
      <c r="P897" t="n">
        <v>0</v>
      </c>
      <c r="Q897" t="n">
        <v>0</v>
      </c>
      <c r="R897" s="2" t="inlineStr"/>
    </row>
    <row r="898" ht="15" customHeight="1">
      <c r="A898" t="inlineStr">
        <is>
          <t>A 26626-2023</t>
        </is>
      </c>
      <c r="B898" s="1" t="n">
        <v>45092</v>
      </c>
      <c r="C898" s="1" t="n">
        <v>45510</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26937-2023</t>
        </is>
      </c>
      <c r="B899" s="1" t="n">
        <v>45093</v>
      </c>
      <c r="C899" s="1" t="n">
        <v>45510</v>
      </c>
      <c r="D899" t="inlineStr">
        <is>
          <t>KALMAR LÄN</t>
        </is>
      </c>
      <c r="E899" t="inlineStr">
        <is>
          <t>VIMMERBY</t>
        </is>
      </c>
      <c r="F899" t="inlineStr">
        <is>
          <t>Sveaskog</t>
        </is>
      </c>
      <c r="G899" t="n">
        <v>14.5</v>
      </c>
      <c r="H899" t="n">
        <v>0</v>
      </c>
      <c r="I899" t="n">
        <v>0</v>
      </c>
      <c r="J899" t="n">
        <v>0</v>
      </c>
      <c r="K899" t="n">
        <v>0</v>
      </c>
      <c r="L899" t="n">
        <v>0</v>
      </c>
      <c r="M899" t="n">
        <v>0</v>
      </c>
      <c r="N899" t="n">
        <v>0</v>
      </c>
      <c r="O899" t="n">
        <v>0</v>
      </c>
      <c r="P899" t="n">
        <v>0</v>
      </c>
      <c r="Q899" t="n">
        <v>0</v>
      </c>
      <c r="R899" s="2" t="inlineStr"/>
    </row>
    <row r="900" ht="15" customHeight="1">
      <c r="A900" t="inlineStr">
        <is>
          <t>A 27122-2023</t>
        </is>
      </c>
      <c r="B900" s="1" t="n">
        <v>45096</v>
      </c>
      <c r="C900" s="1" t="n">
        <v>45510</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27138-2023</t>
        </is>
      </c>
      <c r="B901" s="1" t="n">
        <v>45096</v>
      </c>
      <c r="C901" s="1" t="n">
        <v>45510</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28988-2023</t>
        </is>
      </c>
      <c r="B902" s="1" t="n">
        <v>45096</v>
      </c>
      <c r="C902" s="1" t="n">
        <v>45510</v>
      </c>
      <c r="D902" t="inlineStr">
        <is>
          <t>KALMAR LÄN</t>
        </is>
      </c>
      <c r="E902" t="inlineStr">
        <is>
          <t>VIMMERBY</t>
        </is>
      </c>
      <c r="G902" t="n">
        <v>6</v>
      </c>
      <c r="H902" t="n">
        <v>0</v>
      </c>
      <c r="I902" t="n">
        <v>0</v>
      </c>
      <c r="J902" t="n">
        <v>0</v>
      </c>
      <c r="K902" t="n">
        <v>0</v>
      </c>
      <c r="L902" t="n">
        <v>0</v>
      </c>
      <c r="M902" t="n">
        <v>0</v>
      </c>
      <c r="N902" t="n">
        <v>0</v>
      </c>
      <c r="O902" t="n">
        <v>0</v>
      </c>
      <c r="P902" t="n">
        <v>0</v>
      </c>
      <c r="Q902" t="n">
        <v>0</v>
      </c>
      <c r="R902" s="2" t="inlineStr"/>
    </row>
    <row r="903" ht="15" customHeight="1">
      <c r="A903" t="inlineStr">
        <is>
          <t>A 27443-2023</t>
        </is>
      </c>
      <c r="B903" s="1" t="n">
        <v>45097</v>
      </c>
      <c r="C903" s="1" t="n">
        <v>45510</v>
      </c>
      <c r="D903" t="inlineStr">
        <is>
          <t>KALMAR LÄN</t>
        </is>
      </c>
      <c r="E903" t="inlineStr">
        <is>
          <t>VIMMERBY</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27705-2023</t>
        </is>
      </c>
      <c r="B904" s="1" t="n">
        <v>45098</v>
      </c>
      <c r="C904" s="1" t="n">
        <v>45510</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28123-2023</t>
        </is>
      </c>
      <c r="B905" s="1" t="n">
        <v>45099</v>
      </c>
      <c r="C905" s="1" t="n">
        <v>45510</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28129-2023</t>
        </is>
      </c>
      <c r="B906" s="1" t="n">
        <v>45099</v>
      </c>
      <c r="C906" s="1" t="n">
        <v>45510</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28395-2023</t>
        </is>
      </c>
      <c r="B907" s="1" t="n">
        <v>45100</v>
      </c>
      <c r="C907" s="1" t="n">
        <v>45510</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row r="908" ht="15" customHeight="1">
      <c r="A908" t="inlineStr">
        <is>
          <t>A 28403-2023</t>
        </is>
      </c>
      <c r="B908" s="1" t="n">
        <v>45100</v>
      </c>
      <c r="C908" s="1" t="n">
        <v>45510</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29093-2023</t>
        </is>
      </c>
      <c r="B909" s="1" t="n">
        <v>45105</v>
      </c>
      <c r="C909" s="1" t="n">
        <v>45510</v>
      </c>
      <c r="D909" t="inlineStr">
        <is>
          <t>KALMAR LÄN</t>
        </is>
      </c>
      <c r="E909" t="inlineStr">
        <is>
          <t>VIMMERBY</t>
        </is>
      </c>
      <c r="G909" t="n">
        <v>2.9</v>
      </c>
      <c r="H909" t="n">
        <v>0</v>
      </c>
      <c r="I909" t="n">
        <v>0</v>
      </c>
      <c r="J909" t="n">
        <v>0</v>
      </c>
      <c r="K909" t="n">
        <v>0</v>
      </c>
      <c r="L909" t="n">
        <v>0</v>
      </c>
      <c r="M909" t="n">
        <v>0</v>
      </c>
      <c r="N909" t="n">
        <v>0</v>
      </c>
      <c r="O909" t="n">
        <v>0</v>
      </c>
      <c r="P909" t="n">
        <v>0</v>
      </c>
      <c r="Q909" t="n">
        <v>0</v>
      </c>
      <c r="R909" s="2" t="inlineStr"/>
    </row>
    <row r="910" ht="15" customHeight="1">
      <c r="A910" t="inlineStr">
        <is>
          <t>A 29196-2023</t>
        </is>
      </c>
      <c r="B910" s="1" t="n">
        <v>45105</v>
      </c>
      <c r="C910" s="1" t="n">
        <v>45510</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29351-2023</t>
        </is>
      </c>
      <c r="B911" s="1" t="n">
        <v>45106</v>
      </c>
      <c r="C911" s="1" t="n">
        <v>45510</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29350-2023</t>
        </is>
      </c>
      <c r="B912" s="1" t="n">
        <v>45106</v>
      </c>
      <c r="C912" s="1" t="n">
        <v>45510</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29348-2023</t>
        </is>
      </c>
      <c r="B913" s="1" t="n">
        <v>45106</v>
      </c>
      <c r="C913" s="1" t="n">
        <v>45510</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29349-2023</t>
        </is>
      </c>
      <c r="B914" s="1" t="n">
        <v>45106</v>
      </c>
      <c r="C914" s="1" t="n">
        <v>45510</v>
      </c>
      <c r="D914" t="inlineStr">
        <is>
          <t>KALMAR LÄN</t>
        </is>
      </c>
      <c r="E914" t="inlineStr">
        <is>
          <t>VIMMERBY</t>
        </is>
      </c>
      <c r="G914" t="n">
        <v>2.7</v>
      </c>
      <c r="H914" t="n">
        <v>0</v>
      </c>
      <c r="I914" t="n">
        <v>0</v>
      </c>
      <c r="J914" t="n">
        <v>0</v>
      </c>
      <c r="K914" t="n">
        <v>0</v>
      </c>
      <c r="L914" t="n">
        <v>0</v>
      </c>
      <c r="M914" t="n">
        <v>0</v>
      </c>
      <c r="N914" t="n">
        <v>0</v>
      </c>
      <c r="O914" t="n">
        <v>0</v>
      </c>
      <c r="P914" t="n">
        <v>0</v>
      </c>
      <c r="Q914" t="n">
        <v>0</v>
      </c>
      <c r="R914" s="2" t="inlineStr"/>
    </row>
    <row r="915" ht="15" customHeight="1">
      <c r="A915" t="inlineStr">
        <is>
          <t>A 29973-2023</t>
        </is>
      </c>
      <c r="B915" s="1" t="n">
        <v>45108</v>
      </c>
      <c r="C915" s="1" t="n">
        <v>45510</v>
      </c>
      <c r="D915" t="inlineStr">
        <is>
          <t>KALMAR LÄN</t>
        </is>
      </c>
      <c r="E915" t="inlineStr">
        <is>
          <t>VIMMERBY</t>
        </is>
      </c>
      <c r="G915" t="n">
        <v>4</v>
      </c>
      <c r="H915" t="n">
        <v>0</v>
      </c>
      <c r="I915" t="n">
        <v>0</v>
      </c>
      <c r="J915" t="n">
        <v>0</v>
      </c>
      <c r="K915" t="n">
        <v>0</v>
      </c>
      <c r="L915" t="n">
        <v>0</v>
      </c>
      <c r="M915" t="n">
        <v>0</v>
      </c>
      <c r="N915" t="n">
        <v>0</v>
      </c>
      <c r="O915" t="n">
        <v>0</v>
      </c>
      <c r="P915" t="n">
        <v>0</v>
      </c>
      <c r="Q915" t="n">
        <v>0</v>
      </c>
      <c r="R915" s="2" t="inlineStr"/>
    </row>
    <row r="916" ht="15" customHeight="1">
      <c r="A916" t="inlineStr">
        <is>
          <t>A 30070-2023</t>
        </is>
      </c>
      <c r="B916" s="1" t="n">
        <v>45110</v>
      </c>
      <c r="C916" s="1" t="n">
        <v>45510</v>
      </c>
      <c r="D916" t="inlineStr">
        <is>
          <t>KALMAR LÄN</t>
        </is>
      </c>
      <c r="E916" t="inlineStr">
        <is>
          <t>VIMMERBY</t>
        </is>
      </c>
      <c r="G916" t="n">
        <v>1.6</v>
      </c>
      <c r="H916" t="n">
        <v>0</v>
      </c>
      <c r="I916" t="n">
        <v>0</v>
      </c>
      <c r="J916" t="n">
        <v>0</v>
      </c>
      <c r="K916" t="n">
        <v>0</v>
      </c>
      <c r="L916" t="n">
        <v>0</v>
      </c>
      <c r="M916" t="n">
        <v>0</v>
      </c>
      <c r="N916" t="n">
        <v>0</v>
      </c>
      <c r="O916" t="n">
        <v>0</v>
      </c>
      <c r="P916" t="n">
        <v>0</v>
      </c>
      <c r="Q916" t="n">
        <v>0</v>
      </c>
      <c r="R916" s="2" t="inlineStr"/>
    </row>
    <row r="917" ht="15" customHeight="1">
      <c r="A917" t="inlineStr">
        <is>
          <t>A 30063-2023</t>
        </is>
      </c>
      <c r="B917" s="1" t="n">
        <v>45110</v>
      </c>
      <c r="C917" s="1" t="n">
        <v>45510</v>
      </c>
      <c r="D917" t="inlineStr">
        <is>
          <t>KALMAR LÄN</t>
        </is>
      </c>
      <c r="E917" t="inlineStr">
        <is>
          <t>VIMMERBY</t>
        </is>
      </c>
      <c r="G917" t="n">
        <v>1.2</v>
      </c>
      <c r="H917" t="n">
        <v>0</v>
      </c>
      <c r="I917" t="n">
        <v>0</v>
      </c>
      <c r="J917" t="n">
        <v>0</v>
      </c>
      <c r="K917" t="n">
        <v>0</v>
      </c>
      <c r="L917" t="n">
        <v>0</v>
      </c>
      <c r="M917" t="n">
        <v>0</v>
      </c>
      <c r="N917" t="n">
        <v>0</v>
      </c>
      <c r="O917" t="n">
        <v>0</v>
      </c>
      <c r="P917" t="n">
        <v>0</v>
      </c>
      <c r="Q917" t="n">
        <v>0</v>
      </c>
      <c r="R917" s="2" t="inlineStr"/>
    </row>
    <row r="918" ht="15" customHeight="1">
      <c r="A918" t="inlineStr">
        <is>
          <t>A 30090-2023</t>
        </is>
      </c>
      <c r="B918" s="1" t="n">
        <v>45110</v>
      </c>
      <c r="C918" s="1" t="n">
        <v>45510</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30503-2023</t>
        </is>
      </c>
      <c r="B919" s="1" t="n">
        <v>45111</v>
      </c>
      <c r="C919" s="1" t="n">
        <v>45510</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30380-2023</t>
        </is>
      </c>
      <c r="B920" s="1" t="n">
        <v>45111</v>
      </c>
      <c r="C920" s="1" t="n">
        <v>45510</v>
      </c>
      <c r="D920" t="inlineStr">
        <is>
          <t>KALMAR LÄN</t>
        </is>
      </c>
      <c r="E920" t="inlineStr">
        <is>
          <t>VIMMERBY</t>
        </is>
      </c>
      <c r="G920" t="n">
        <v>1.6</v>
      </c>
      <c r="H920" t="n">
        <v>0</v>
      </c>
      <c r="I920" t="n">
        <v>0</v>
      </c>
      <c r="J920" t="n">
        <v>0</v>
      </c>
      <c r="K920" t="n">
        <v>0</v>
      </c>
      <c r="L920" t="n">
        <v>0</v>
      </c>
      <c r="M920" t="n">
        <v>0</v>
      </c>
      <c r="N920" t="n">
        <v>0</v>
      </c>
      <c r="O920" t="n">
        <v>0</v>
      </c>
      <c r="P920" t="n">
        <v>0</v>
      </c>
      <c r="Q920" t="n">
        <v>0</v>
      </c>
      <c r="R920" s="2" t="inlineStr"/>
    </row>
    <row r="921" ht="15" customHeight="1">
      <c r="A921" t="inlineStr">
        <is>
          <t>A 30400-2023</t>
        </is>
      </c>
      <c r="B921" s="1" t="n">
        <v>45111</v>
      </c>
      <c r="C921" s="1" t="n">
        <v>45510</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30318-2023</t>
        </is>
      </c>
      <c r="B922" s="1" t="n">
        <v>45111</v>
      </c>
      <c r="C922" s="1" t="n">
        <v>45510</v>
      </c>
      <c r="D922" t="inlineStr">
        <is>
          <t>KALMAR LÄN</t>
        </is>
      </c>
      <c r="E922" t="inlineStr">
        <is>
          <t>VIMMERBY</t>
        </is>
      </c>
      <c r="G922" t="n">
        <v>2.6</v>
      </c>
      <c r="H922" t="n">
        <v>0</v>
      </c>
      <c r="I922" t="n">
        <v>0</v>
      </c>
      <c r="J922" t="n">
        <v>0</v>
      </c>
      <c r="K922" t="n">
        <v>0</v>
      </c>
      <c r="L922" t="n">
        <v>0</v>
      </c>
      <c r="M922" t="n">
        <v>0</v>
      </c>
      <c r="N922" t="n">
        <v>0</v>
      </c>
      <c r="O922" t="n">
        <v>0</v>
      </c>
      <c r="P922" t="n">
        <v>0</v>
      </c>
      <c r="Q922" t="n">
        <v>0</v>
      </c>
      <c r="R922" s="2" t="inlineStr"/>
    </row>
    <row r="923" ht="15" customHeight="1">
      <c r="A923" t="inlineStr">
        <is>
          <t>A 30402-2023</t>
        </is>
      </c>
      <c r="B923" s="1" t="n">
        <v>45111</v>
      </c>
      <c r="C923" s="1" t="n">
        <v>45510</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v>
      </c>
      <c r="C924" s="1" t="n">
        <v>45510</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30404-2023</t>
        </is>
      </c>
      <c r="B925" s="1" t="n">
        <v>45111</v>
      </c>
      <c r="C925" s="1" t="n">
        <v>45510</v>
      </c>
      <c r="D925" t="inlineStr">
        <is>
          <t>KALMAR LÄN</t>
        </is>
      </c>
      <c r="E925" t="inlineStr">
        <is>
          <t>VIMMERBY</t>
        </is>
      </c>
      <c r="G925" t="n">
        <v>0.6</v>
      </c>
      <c r="H925" t="n">
        <v>0</v>
      </c>
      <c r="I925" t="n">
        <v>0</v>
      </c>
      <c r="J925" t="n">
        <v>0</v>
      </c>
      <c r="K925" t="n">
        <v>0</v>
      </c>
      <c r="L925" t="n">
        <v>0</v>
      </c>
      <c r="M925" t="n">
        <v>0</v>
      </c>
      <c r="N925" t="n">
        <v>0</v>
      </c>
      <c r="O925" t="n">
        <v>0</v>
      </c>
      <c r="P925" t="n">
        <v>0</v>
      </c>
      <c r="Q925" t="n">
        <v>0</v>
      </c>
      <c r="R925" s="2" t="inlineStr"/>
    </row>
    <row r="926" ht="15" customHeight="1">
      <c r="A926" t="inlineStr">
        <is>
          <t>A 30408-2023</t>
        </is>
      </c>
      <c r="B926" s="1" t="n">
        <v>45111</v>
      </c>
      <c r="C926" s="1" t="n">
        <v>45510</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30586-2023</t>
        </is>
      </c>
      <c r="B927" s="1" t="n">
        <v>45112</v>
      </c>
      <c r="C927" s="1" t="n">
        <v>45510</v>
      </c>
      <c r="D927" t="inlineStr">
        <is>
          <t>KALMAR LÄN</t>
        </is>
      </c>
      <c r="E927" t="inlineStr">
        <is>
          <t>VIMMERBY</t>
        </is>
      </c>
      <c r="G927" t="n">
        <v>3.6</v>
      </c>
      <c r="H927" t="n">
        <v>0</v>
      </c>
      <c r="I927" t="n">
        <v>0</v>
      </c>
      <c r="J927" t="n">
        <v>0</v>
      </c>
      <c r="K927" t="n">
        <v>0</v>
      </c>
      <c r="L927" t="n">
        <v>0</v>
      </c>
      <c r="M927" t="n">
        <v>0</v>
      </c>
      <c r="N927" t="n">
        <v>0</v>
      </c>
      <c r="O927" t="n">
        <v>0</v>
      </c>
      <c r="P927" t="n">
        <v>0</v>
      </c>
      <c r="Q927" t="n">
        <v>0</v>
      </c>
      <c r="R927" s="2" t="inlineStr"/>
    </row>
    <row r="928" ht="15" customHeight="1">
      <c r="A928" t="inlineStr">
        <is>
          <t>A 30588-2023</t>
        </is>
      </c>
      <c r="B928" s="1" t="n">
        <v>45112</v>
      </c>
      <c r="C928" s="1" t="n">
        <v>45510</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30896-2023</t>
        </is>
      </c>
      <c r="B929" s="1" t="n">
        <v>45113</v>
      </c>
      <c r="C929" s="1" t="n">
        <v>45510</v>
      </c>
      <c r="D929" t="inlineStr">
        <is>
          <t>KALMAR LÄN</t>
        </is>
      </c>
      <c r="E929" t="inlineStr">
        <is>
          <t>VIMMERBY</t>
        </is>
      </c>
      <c r="G929" t="n">
        <v>3.2</v>
      </c>
      <c r="H929" t="n">
        <v>0</v>
      </c>
      <c r="I929" t="n">
        <v>0</v>
      </c>
      <c r="J929" t="n">
        <v>0</v>
      </c>
      <c r="K929" t="n">
        <v>0</v>
      </c>
      <c r="L929" t="n">
        <v>0</v>
      </c>
      <c r="M929" t="n">
        <v>0</v>
      </c>
      <c r="N929" t="n">
        <v>0</v>
      </c>
      <c r="O929" t="n">
        <v>0</v>
      </c>
      <c r="P929" t="n">
        <v>0</v>
      </c>
      <c r="Q929" t="n">
        <v>0</v>
      </c>
      <c r="R929" s="2" t="inlineStr"/>
    </row>
    <row r="930" ht="15" customHeight="1">
      <c r="A930" t="inlineStr">
        <is>
          <t>A 30899-2023</t>
        </is>
      </c>
      <c r="B930" s="1" t="n">
        <v>45113</v>
      </c>
      <c r="C930" s="1" t="n">
        <v>45510</v>
      </c>
      <c r="D930" t="inlineStr">
        <is>
          <t>KALMAR LÄN</t>
        </is>
      </c>
      <c r="E930" t="inlineStr">
        <is>
          <t>VIMMERBY</t>
        </is>
      </c>
      <c r="G930" t="n">
        <v>0.9</v>
      </c>
      <c r="H930" t="n">
        <v>0</v>
      </c>
      <c r="I930" t="n">
        <v>0</v>
      </c>
      <c r="J930" t="n">
        <v>0</v>
      </c>
      <c r="K930" t="n">
        <v>0</v>
      </c>
      <c r="L930" t="n">
        <v>0</v>
      </c>
      <c r="M930" t="n">
        <v>0</v>
      </c>
      <c r="N930" t="n">
        <v>0</v>
      </c>
      <c r="O930" t="n">
        <v>0</v>
      </c>
      <c r="P930" t="n">
        <v>0</v>
      </c>
      <c r="Q930" t="n">
        <v>0</v>
      </c>
      <c r="R930" s="2" t="inlineStr"/>
    </row>
    <row r="931" ht="15" customHeight="1">
      <c r="A931" t="inlineStr">
        <is>
          <t>A 30912-2023</t>
        </is>
      </c>
      <c r="B931" s="1" t="n">
        <v>45113</v>
      </c>
      <c r="C931" s="1" t="n">
        <v>45510</v>
      </c>
      <c r="D931" t="inlineStr">
        <is>
          <t>KALMAR LÄN</t>
        </is>
      </c>
      <c r="E931" t="inlineStr">
        <is>
          <t>VIMMERBY</t>
        </is>
      </c>
      <c r="G931" t="n">
        <v>5</v>
      </c>
      <c r="H931" t="n">
        <v>0</v>
      </c>
      <c r="I931" t="n">
        <v>0</v>
      </c>
      <c r="J931" t="n">
        <v>0</v>
      </c>
      <c r="K931" t="n">
        <v>0</v>
      </c>
      <c r="L931" t="n">
        <v>0</v>
      </c>
      <c r="M931" t="n">
        <v>0</v>
      </c>
      <c r="N931" t="n">
        <v>0</v>
      </c>
      <c r="O931" t="n">
        <v>0</v>
      </c>
      <c r="P931" t="n">
        <v>0</v>
      </c>
      <c r="Q931" t="n">
        <v>0</v>
      </c>
      <c r="R931" s="2" t="inlineStr"/>
    </row>
    <row r="932" ht="15" customHeight="1">
      <c r="A932" t="inlineStr">
        <is>
          <t>A 30920-2023</t>
        </is>
      </c>
      <c r="B932" s="1" t="n">
        <v>45113</v>
      </c>
      <c r="C932" s="1" t="n">
        <v>45510</v>
      </c>
      <c r="D932" t="inlineStr">
        <is>
          <t>KALMAR LÄN</t>
        </is>
      </c>
      <c r="E932" t="inlineStr">
        <is>
          <t>VIMMERBY</t>
        </is>
      </c>
      <c r="G932" t="n">
        <v>3.1</v>
      </c>
      <c r="H932" t="n">
        <v>0</v>
      </c>
      <c r="I932" t="n">
        <v>0</v>
      </c>
      <c r="J932" t="n">
        <v>0</v>
      </c>
      <c r="K932" t="n">
        <v>0</v>
      </c>
      <c r="L932" t="n">
        <v>0</v>
      </c>
      <c r="M932" t="n">
        <v>0</v>
      </c>
      <c r="N932" t="n">
        <v>0</v>
      </c>
      <c r="O932" t="n">
        <v>0</v>
      </c>
      <c r="P932" t="n">
        <v>0</v>
      </c>
      <c r="Q932" t="n">
        <v>0</v>
      </c>
      <c r="R932" s="2" t="inlineStr"/>
    </row>
    <row r="933" ht="15" customHeight="1">
      <c r="A933" t="inlineStr">
        <is>
          <t>A 30894-2023</t>
        </is>
      </c>
      <c r="B933" s="1" t="n">
        <v>45113</v>
      </c>
      <c r="C933" s="1" t="n">
        <v>45510</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30898-2023</t>
        </is>
      </c>
      <c r="B934" s="1" t="n">
        <v>45113</v>
      </c>
      <c r="C934" s="1" t="n">
        <v>45510</v>
      </c>
      <c r="D934" t="inlineStr">
        <is>
          <t>KALMAR LÄN</t>
        </is>
      </c>
      <c r="E934" t="inlineStr">
        <is>
          <t>VIMMERBY</t>
        </is>
      </c>
      <c r="G934" t="n">
        <v>1</v>
      </c>
      <c r="H934" t="n">
        <v>0</v>
      </c>
      <c r="I934" t="n">
        <v>0</v>
      </c>
      <c r="J934" t="n">
        <v>0</v>
      </c>
      <c r="K934" t="n">
        <v>0</v>
      </c>
      <c r="L934" t="n">
        <v>0</v>
      </c>
      <c r="M934" t="n">
        <v>0</v>
      </c>
      <c r="N934" t="n">
        <v>0</v>
      </c>
      <c r="O934" t="n">
        <v>0</v>
      </c>
      <c r="P934" t="n">
        <v>0</v>
      </c>
      <c r="Q934" t="n">
        <v>0</v>
      </c>
      <c r="R934" s="2" t="inlineStr"/>
    </row>
    <row r="935" ht="15" customHeight="1">
      <c r="A935" t="inlineStr">
        <is>
          <t>A 31013-2023</t>
        </is>
      </c>
      <c r="B935" s="1" t="n">
        <v>45113</v>
      </c>
      <c r="C935" s="1" t="n">
        <v>45510</v>
      </c>
      <c r="D935" t="inlineStr">
        <is>
          <t>KALMAR LÄN</t>
        </is>
      </c>
      <c r="E935" t="inlineStr">
        <is>
          <t>VIMMERBY</t>
        </is>
      </c>
      <c r="G935" t="n">
        <v>1</v>
      </c>
      <c r="H935" t="n">
        <v>0</v>
      </c>
      <c r="I935" t="n">
        <v>0</v>
      </c>
      <c r="J935" t="n">
        <v>0</v>
      </c>
      <c r="K935" t="n">
        <v>0</v>
      </c>
      <c r="L935" t="n">
        <v>0</v>
      </c>
      <c r="M935" t="n">
        <v>0</v>
      </c>
      <c r="N935" t="n">
        <v>0</v>
      </c>
      <c r="O935" t="n">
        <v>0</v>
      </c>
      <c r="P935" t="n">
        <v>0</v>
      </c>
      <c r="Q935" t="n">
        <v>0</v>
      </c>
      <c r="R935" s="2" t="inlineStr"/>
    </row>
    <row r="936" ht="15" customHeight="1">
      <c r="A936" t="inlineStr">
        <is>
          <t>A 31017-2023</t>
        </is>
      </c>
      <c r="B936" s="1" t="n">
        <v>45113</v>
      </c>
      <c r="C936" s="1" t="n">
        <v>45510</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31340-2023</t>
        </is>
      </c>
      <c r="B937" s="1" t="n">
        <v>45114</v>
      </c>
      <c r="C937" s="1" t="n">
        <v>45510</v>
      </c>
      <c r="D937" t="inlineStr">
        <is>
          <t>KALMAR LÄN</t>
        </is>
      </c>
      <c r="E937" t="inlineStr">
        <is>
          <t>VIMMERBY</t>
        </is>
      </c>
      <c r="G937" t="n">
        <v>1.8</v>
      </c>
      <c r="H937" t="n">
        <v>0</v>
      </c>
      <c r="I937" t="n">
        <v>0</v>
      </c>
      <c r="J937" t="n">
        <v>0</v>
      </c>
      <c r="K937" t="n">
        <v>0</v>
      </c>
      <c r="L937" t="n">
        <v>0</v>
      </c>
      <c r="M937" t="n">
        <v>0</v>
      </c>
      <c r="N937" t="n">
        <v>0</v>
      </c>
      <c r="O937" t="n">
        <v>0</v>
      </c>
      <c r="P937" t="n">
        <v>0</v>
      </c>
      <c r="Q937" t="n">
        <v>0</v>
      </c>
      <c r="R937" s="2" t="inlineStr"/>
    </row>
    <row r="938" ht="15" customHeight="1">
      <c r="A938" t="inlineStr">
        <is>
          <t>A 31369-2023</t>
        </is>
      </c>
      <c r="B938" s="1" t="n">
        <v>45114</v>
      </c>
      <c r="C938" s="1" t="n">
        <v>45510</v>
      </c>
      <c r="D938" t="inlineStr">
        <is>
          <t>KALMAR LÄN</t>
        </is>
      </c>
      <c r="E938" t="inlineStr">
        <is>
          <t>VIMMERBY</t>
        </is>
      </c>
      <c r="G938" t="n">
        <v>2.3</v>
      </c>
      <c r="H938" t="n">
        <v>0</v>
      </c>
      <c r="I938" t="n">
        <v>0</v>
      </c>
      <c r="J938" t="n">
        <v>0</v>
      </c>
      <c r="K938" t="n">
        <v>0</v>
      </c>
      <c r="L938" t="n">
        <v>0</v>
      </c>
      <c r="M938" t="n">
        <v>0</v>
      </c>
      <c r="N938" t="n">
        <v>0</v>
      </c>
      <c r="O938" t="n">
        <v>0</v>
      </c>
      <c r="P938" t="n">
        <v>0</v>
      </c>
      <c r="Q938" t="n">
        <v>0</v>
      </c>
      <c r="R938" s="2" t="inlineStr"/>
    </row>
    <row r="939" ht="15" customHeight="1">
      <c r="A939" t="inlineStr">
        <is>
          <t>A 31377-2023</t>
        </is>
      </c>
      <c r="B939" s="1" t="n">
        <v>45114</v>
      </c>
      <c r="C939" s="1" t="n">
        <v>45510</v>
      </c>
      <c r="D939" t="inlineStr">
        <is>
          <t>KALMAR LÄN</t>
        </is>
      </c>
      <c r="E939" t="inlineStr">
        <is>
          <t>VIMMERBY</t>
        </is>
      </c>
      <c r="G939" t="n">
        <v>2</v>
      </c>
      <c r="H939" t="n">
        <v>0</v>
      </c>
      <c r="I939" t="n">
        <v>0</v>
      </c>
      <c r="J939" t="n">
        <v>0</v>
      </c>
      <c r="K939" t="n">
        <v>0</v>
      </c>
      <c r="L939" t="n">
        <v>0</v>
      </c>
      <c r="M939" t="n">
        <v>0</v>
      </c>
      <c r="N939" t="n">
        <v>0</v>
      </c>
      <c r="O939" t="n">
        <v>0</v>
      </c>
      <c r="P939" t="n">
        <v>0</v>
      </c>
      <c r="Q939" t="n">
        <v>0</v>
      </c>
      <c r="R939" s="2" t="inlineStr"/>
    </row>
    <row r="940" ht="15" customHeight="1">
      <c r="A940" t="inlineStr">
        <is>
          <t>A 31382-2023</t>
        </is>
      </c>
      <c r="B940" s="1" t="n">
        <v>45114</v>
      </c>
      <c r="C940" s="1" t="n">
        <v>45510</v>
      </c>
      <c r="D940" t="inlineStr">
        <is>
          <t>KALMAR LÄN</t>
        </is>
      </c>
      <c r="E940" t="inlineStr">
        <is>
          <t>VIMMERBY</t>
        </is>
      </c>
      <c r="G940" t="n">
        <v>3.7</v>
      </c>
      <c r="H940" t="n">
        <v>0</v>
      </c>
      <c r="I940" t="n">
        <v>0</v>
      </c>
      <c r="J940" t="n">
        <v>0</v>
      </c>
      <c r="K940" t="n">
        <v>0</v>
      </c>
      <c r="L940" t="n">
        <v>0</v>
      </c>
      <c r="M940" t="n">
        <v>0</v>
      </c>
      <c r="N940" t="n">
        <v>0</v>
      </c>
      <c r="O940" t="n">
        <v>0</v>
      </c>
      <c r="P940" t="n">
        <v>0</v>
      </c>
      <c r="Q940" t="n">
        <v>0</v>
      </c>
      <c r="R940" s="2" t="inlineStr"/>
    </row>
    <row r="941" ht="15" customHeight="1">
      <c r="A941" t="inlineStr">
        <is>
          <t>A 31405-2023</t>
        </is>
      </c>
      <c r="B941" s="1" t="n">
        <v>45114</v>
      </c>
      <c r="C941" s="1" t="n">
        <v>45510</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31336-2023</t>
        </is>
      </c>
      <c r="B942" s="1" t="n">
        <v>45114</v>
      </c>
      <c r="C942" s="1" t="n">
        <v>45510</v>
      </c>
      <c r="D942" t="inlineStr">
        <is>
          <t>KALMAR LÄN</t>
        </is>
      </c>
      <c r="E942" t="inlineStr">
        <is>
          <t>VIMMERBY</t>
        </is>
      </c>
      <c r="G942" t="n">
        <v>1.3</v>
      </c>
      <c r="H942" t="n">
        <v>0</v>
      </c>
      <c r="I942" t="n">
        <v>0</v>
      </c>
      <c r="J942" t="n">
        <v>0</v>
      </c>
      <c r="K942" t="n">
        <v>0</v>
      </c>
      <c r="L942" t="n">
        <v>0</v>
      </c>
      <c r="M942" t="n">
        <v>0</v>
      </c>
      <c r="N942" t="n">
        <v>0</v>
      </c>
      <c r="O942" t="n">
        <v>0</v>
      </c>
      <c r="P942" t="n">
        <v>0</v>
      </c>
      <c r="Q942" t="n">
        <v>0</v>
      </c>
      <c r="R942" s="2" t="inlineStr"/>
    </row>
    <row r="943" ht="15" customHeight="1">
      <c r="A943" t="inlineStr">
        <is>
          <t>A 31355-2023</t>
        </is>
      </c>
      <c r="B943" s="1" t="n">
        <v>45114</v>
      </c>
      <c r="C943" s="1" t="n">
        <v>45510</v>
      </c>
      <c r="D943" t="inlineStr">
        <is>
          <t>KALMAR LÄN</t>
        </is>
      </c>
      <c r="E943" t="inlineStr">
        <is>
          <t>VIMMERBY</t>
        </is>
      </c>
      <c r="G943" t="n">
        <v>1.3</v>
      </c>
      <c r="H943" t="n">
        <v>0</v>
      </c>
      <c r="I943" t="n">
        <v>0</v>
      </c>
      <c r="J943" t="n">
        <v>0</v>
      </c>
      <c r="K943" t="n">
        <v>0</v>
      </c>
      <c r="L943" t="n">
        <v>0</v>
      </c>
      <c r="M943" t="n">
        <v>0</v>
      </c>
      <c r="N943" t="n">
        <v>0</v>
      </c>
      <c r="O943" t="n">
        <v>0</v>
      </c>
      <c r="P943" t="n">
        <v>0</v>
      </c>
      <c r="Q943" t="n">
        <v>0</v>
      </c>
      <c r="R943" s="2" t="inlineStr"/>
    </row>
    <row r="944" ht="15" customHeight="1">
      <c r="A944" t="inlineStr">
        <is>
          <t>A 31390-2023</t>
        </is>
      </c>
      <c r="B944" s="1" t="n">
        <v>45114</v>
      </c>
      <c r="C944" s="1" t="n">
        <v>45510</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31408-2023</t>
        </is>
      </c>
      <c r="B945" s="1" t="n">
        <v>45114</v>
      </c>
      <c r="C945" s="1" t="n">
        <v>45510</v>
      </c>
      <c r="D945" t="inlineStr">
        <is>
          <t>KALMAR LÄN</t>
        </is>
      </c>
      <c r="E945" t="inlineStr">
        <is>
          <t>VIMMERBY</t>
        </is>
      </c>
      <c r="G945" t="n">
        <v>4.4</v>
      </c>
      <c r="H945" t="n">
        <v>0</v>
      </c>
      <c r="I945" t="n">
        <v>0</v>
      </c>
      <c r="J945" t="n">
        <v>0</v>
      </c>
      <c r="K945" t="n">
        <v>0</v>
      </c>
      <c r="L945" t="n">
        <v>0</v>
      </c>
      <c r="M945" t="n">
        <v>0</v>
      </c>
      <c r="N945" t="n">
        <v>0</v>
      </c>
      <c r="O945" t="n">
        <v>0</v>
      </c>
      <c r="P945" t="n">
        <v>0</v>
      </c>
      <c r="Q945" t="n">
        <v>0</v>
      </c>
      <c r="R945" s="2" t="inlineStr"/>
    </row>
    <row r="946" ht="15" customHeight="1">
      <c r="A946" t="inlineStr">
        <is>
          <t>A 31682-2023</t>
        </is>
      </c>
      <c r="B946" s="1" t="n">
        <v>45117</v>
      </c>
      <c r="C946" s="1" t="n">
        <v>45510</v>
      </c>
      <c r="D946" t="inlineStr">
        <is>
          <t>KALMAR LÄN</t>
        </is>
      </c>
      <c r="E946" t="inlineStr">
        <is>
          <t>VIMMERBY</t>
        </is>
      </c>
      <c r="G946" t="n">
        <v>2.2</v>
      </c>
      <c r="H946" t="n">
        <v>0</v>
      </c>
      <c r="I946" t="n">
        <v>0</v>
      </c>
      <c r="J946" t="n">
        <v>0</v>
      </c>
      <c r="K946" t="n">
        <v>0</v>
      </c>
      <c r="L946" t="n">
        <v>0</v>
      </c>
      <c r="M946" t="n">
        <v>0</v>
      </c>
      <c r="N946" t="n">
        <v>0</v>
      </c>
      <c r="O946" t="n">
        <v>0</v>
      </c>
      <c r="P946" t="n">
        <v>0</v>
      </c>
      <c r="Q946" t="n">
        <v>0</v>
      </c>
      <c r="R946" s="2" t="inlineStr"/>
    </row>
    <row r="947" ht="15" customHeight="1">
      <c r="A947" t="inlineStr">
        <is>
          <t>A 32633-2023</t>
        </is>
      </c>
      <c r="B947" s="1" t="n">
        <v>45121</v>
      </c>
      <c r="C947" s="1" t="n">
        <v>45510</v>
      </c>
      <c r="D947" t="inlineStr">
        <is>
          <t>KALMAR LÄN</t>
        </is>
      </c>
      <c r="E947" t="inlineStr">
        <is>
          <t>VIMMERBY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32651-2023</t>
        </is>
      </c>
      <c r="B948" s="1" t="n">
        <v>45121</v>
      </c>
      <c r="C948" s="1" t="n">
        <v>45510</v>
      </c>
      <c r="D948" t="inlineStr">
        <is>
          <t>KALMAR LÄN</t>
        </is>
      </c>
      <c r="E948" t="inlineStr">
        <is>
          <t>VIMMERBY</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32655-2023</t>
        </is>
      </c>
      <c r="B949" s="1" t="n">
        <v>45121</v>
      </c>
      <c r="C949" s="1" t="n">
        <v>45510</v>
      </c>
      <c r="D949" t="inlineStr">
        <is>
          <t>KALMAR LÄN</t>
        </is>
      </c>
      <c r="E949" t="inlineStr">
        <is>
          <t>VIMMERBY</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32669-2023</t>
        </is>
      </c>
      <c r="B950" s="1" t="n">
        <v>45121</v>
      </c>
      <c r="C950" s="1" t="n">
        <v>45510</v>
      </c>
      <c r="D950" t="inlineStr">
        <is>
          <t>KALMAR LÄN</t>
        </is>
      </c>
      <c r="E950" t="inlineStr">
        <is>
          <t>VIMMERBY</t>
        </is>
      </c>
      <c r="G950" t="n">
        <v>1.8</v>
      </c>
      <c r="H950" t="n">
        <v>0</v>
      </c>
      <c r="I950" t="n">
        <v>0</v>
      </c>
      <c r="J950" t="n">
        <v>0</v>
      </c>
      <c r="K950" t="n">
        <v>0</v>
      </c>
      <c r="L950" t="n">
        <v>0</v>
      </c>
      <c r="M950" t="n">
        <v>0</v>
      </c>
      <c r="N950" t="n">
        <v>0</v>
      </c>
      <c r="O950" t="n">
        <v>0</v>
      </c>
      <c r="P950" t="n">
        <v>0</v>
      </c>
      <c r="Q950" t="n">
        <v>0</v>
      </c>
      <c r="R950" s="2" t="inlineStr"/>
    </row>
    <row r="951" ht="15" customHeight="1">
      <c r="A951" t="inlineStr">
        <is>
          <t>A 32614-2023</t>
        </is>
      </c>
      <c r="B951" s="1" t="n">
        <v>45121</v>
      </c>
      <c r="C951" s="1" t="n">
        <v>45510</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32642-2023</t>
        </is>
      </c>
      <c r="B952" s="1" t="n">
        <v>45121</v>
      </c>
      <c r="C952" s="1" t="n">
        <v>45510</v>
      </c>
      <c r="D952" t="inlineStr">
        <is>
          <t>KALMAR LÄN</t>
        </is>
      </c>
      <c r="E952" t="inlineStr">
        <is>
          <t>VIMMERBY</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32639-2023</t>
        </is>
      </c>
      <c r="B953" s="1" t="n">
        <v>45121</v>
      </c>
      <c r="C953" s="1" t="n">
        <v>45510</v>
      </c>
      <c r="D953" t="inlineStr">
        <is>
          <t>KALMAR LÄN</t>
        </is>
      </c>
      <c r="E953" t="inlineStr">
        <is>
          <t>VIMMERBY</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32865-2023</t>
        </is>
      </c>
      <c r="B954" s="1" t="n">
        <v>45124</v>
      </c>
      <c r="C954" s="1" t="n">
        <v>45510</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32984-2023</t>
        </is>
      </c>
      <c r="B955" s="1" t="n">
        <v>45125</v>
      </c>
      <c r="C955" s="1" t="n">
        <v>45510</v>
      </c>
      <c r="D955" t="inlineStr">
        <is>
          <t>KALMAR LÄN</t>
        </is>
      </c>
      <c r="E955" t="inlineStr">
        <is>
          <t>VIMMERBY</t>
        </is>
      </c>
      <c r="G955" t="n">
        <v>1.7</v>
      </c>
      <c r="H955" t="n">
        <v>0</v>
      </c>
      <c r="I955" t="n">
        <v>0</v>
      </c>
      <c r="J955" t="n">
        <v>0</v>
      </c>
      <c r="K955" t="n">
        <v>0</v>
      </c>
      <c r="L955" t="n">
        <v>0</v>
      </c>
      <c r="M955" t="n">
        <v>0</v>
      </c>
      <c r="N955" t="n">
        <v>0</v>
      </c>
      <c r="O955" t="n">
        <v>0</v>
      </c>
      <c r="P955" t="n">
        <v>0</v>
      </c>
      <c r="Q955" t="n">
        <v>0</v>
      </c>
      <c r="R955" s="2" t="inlineStr"/>
    </row>
    <row r="956" ht="15" customHeight="1">
      <c r="A956" t="inlineStr">
        <is>
          <t>A 33236-2023</t>
        </is>
      </c>
      <c r="B956" s="1" t="n">
        <v>45127</v>
      </c>
      <c r="C956" s="1" t="n">
        <v>45510</v>
      </c>
      <c r="D956" t="inlineStr">
        <is>
          <t>KALMAR LÄN</t>
        </is>
      </c>
      <c r="E956" t="inlineStr">
        <is>
          <t>VIMMERBY</t>
        </is>
      </c>
      <c r="G956" t="n">
        <v>2.5</v>
      </c>
      <c r="H956" t="n">
        <v>0</v>
      </c>
      <c r="I956" t="n">
        <v>0</v>
      </c>
      <c r="J956" t="n">
        <v>0</v>
      </c>
      <c r="K956" t="n">
        <v>0</v>
      </c>
      <c r="L956" t="n">
        <v>0</v>
      </c>
      <c r="M956" t="n">
        <v>0</v>
      </c>
      <c r="N956" t="n">
        <v>0</v>
      </c>
      <c r="O956" t="n">
        <v>0</v>
      </c>
      <c r="P956" t="n">
        <v>0</v>
      </c>
      <c r="Q956" t="n">
        <v>0</v>
      </c>
      <c r="R956" s="2" t="inlineStr"/>
    </row>
    <row r="957" ht="15" customHeight="1">
      <c r="A957" t="inlineStr">
        <is>
          <t>A 33340-2023</t>
        </is>
      </c>
      <c r="B957" s="1" t="n">
        <v>45128</v>
      </c>
      <c r="C957" s="1" t="n">
        <v>45510</v>
      </c>
      <c r="D957" t="inlineStr">
        <is>
          <t>KALMAR LÄN</t>
        </is>
      </c>
      <c r="E957" t="inlineStr">
        <is>
          <t>VIMMERBY</t>
        </is>
      </c>
      <c r="G957" t="n">
        <v>1.5</v>
      </c>
      <c r="H957" t="n">
        <v>0</v>
      </c>
      <c r="I957" t="n">
        <v>0</v>
      </c>
      <c r="J957" t="n">
        <v>0</v>
      </c>
      <c r="K957" t="n">
        <v>0</v>
      </c>
      <c r="L957" t="n">
        <v>0</v>
      </c>
      <c r="M957" t="n">
        <v>0</v>
      </c>
      <c r="N957" t="n">
        <v>0</v>
      </c>
      <c r="O957" t="n">
        <v>0</v>
      </c>
      <c r="P957" t="n">
        <v>0</v>
      </c>
      <c r="Q957" t="n">
        <v>0</v>
      </c>
      <c r="R957" s="2" t="inlineStr"/>
    </row>
    <row r="958" ht="15" customHeight="1">
      <c r="A958" t="inlineStr">
        <is>
          <t>A 33383-2023</t>
        </is>
      </c>
      <c r="B958" s="1" t="n">
        <v>45128</v>
      </c>
      <c r="C958" s="1" t="n">
        <v>45510</v>
      </c>
      <c r="D958" t="inlineStr">
        <is>
          <t>KALMAR LÄN</t>
        </is>
      </c>
      <c r="E958" t="inlineStr">
        <is>
          <t>VIMMERBY</t>
        </is>
      </c>
      <c r="G958" t="n">
        <v>2.3</v>
      </c>
      <c r="H958" t="n">
        <v>0</v>
      </c>
      <c r="I958" t="n">
        <v>0</v>
      </c>
      <c r="J958" t="n">
        <v>0</v>
      </c>
      <c r="K958" t="n">
        <v>0</v>
      </c>
      <c r="L958" t="n">
        <v>0</v>
      </c>
      <c r="M958" t="n">
        <v>0</v>
      </c>
      <c r="N958" t="n">
        <v>0</v>
      </c>
      <c r="O958" t="n">
        <v>0</v>
      </c>
      <c r="P958" t="n">
        <v>0</v>
      </c>
      <c r="Q958" t="n">
        <v>0</v>
      </c>
      <c r="R958" s="2" t="inlineStr"/>
    </row>
    <row r="959" ht="15" customHeight="1">
      <c r="A959" t="inlineStr">
        <is>
          <t>A 33380-2023</t>
        </is>
      </c>
      <c r="B959" s="1" t="n">
        <v>45128</v>
      </c>
      <c r="C959" s="1" t="n">
        <v>45510</v>
      </c>
      <c r="D959" t="inlineStr">
        <is>
          <t>KALMAR LÄN</t>
        </is>
      </c>
      <c r="E959" t="inlineStr">
        <is>
          <t>VIMMERBY</t>
        </is>
      </c>
      <c r="G959" t="n">
        <v>5.2</v>
      </c>
      <c r="H959" t="n">
        <v>0</v>
      </c>
      <c r="I959" t="n">
        <v>0</v>
      </c>
      <c r="J959" t="n">
        <v>0</v>
      </c>
      <c r="K959" t="n">
        <v>0</v>
      </c>
      <c r="L959" t="n">
        <v>0</v>
      </c>
      <c r="M959" t="n">
        <v>0</v>
      </c>
      <c r="N959" t="n">
        <v>0</v>
      </c>
      <c r="O959" t="n">
        <v>0</v>
      </c>
      <c r="P959" t="n">
        <v>0</v>
      </c>
      <c r="Q959" t="n">
        <v>0</v>
      </c>
      <c r="R959" s="2" t="inlineStr"/>
    </row>
    <row r="960" ht="15" customHeight="1">
      <c r="A960" t="inlineStr">
        <is>
          <t>A 33417-2023</t>
        </is>
      </c>
      <c r="B960" s="1" t="n">
        <v>45128</v>
      </c>
      <c r="C960" s="1" t="n">
        <v>45510</v>
      </c>
      <c r="D960" t="inlineStr">
        <is>
          <t>KALMAR LÄN</t>
        </is>
      </c>
      <c r="E960" t="inlineStr">
        <is>
          <t>VIMMERBY</t>
        </is>
      </c>
      <c r="G960" t="n">
        <v>4.8</v>
      </c>
      <c r="H960" t="n">
        <v>0</v>
      </c>
      <c r="I960" t="n">
        <v>0</v>
      </c>
      <c r="J960" t="n">
        <v>0</v>
      </c>
      <c r="K960" t="n">
        <v>0</v>
      </c>
      <c r="L960" t="n">
        <v>0</v>
      </c>
      <c r="M960" t="n">
        <v>0</v>
      </c>
      <c r="N960" t="n">
        <v>0</v>
      </c>
      <c r="O960" t="n">
        <v>0</v>
      </c>
      <c r="P960" t="n">
        <v>0</v>
      </c>
      <c r="Q960" t="n">
        <v>0</v>
      </c>
      <c r="R960" s="2" t="inlineStr"/>
    </row>
    <row r="961" ht="15" customHeight="1">
      <c r="A961" t="inlineStr">
        <is>
          <t>A 33425-2023</t>
        </is>
      </c>
      <c r="B961" s="1" t="n">
        <v>45129</v>
      </c>
      <c r="C961" s="1" t="n">
        <v>45510</v>
      </c>
      <c r="D961" t="inlineStr">
        <is>
          <t>KALMAR LÄN</t>
        </is>
      </c>
      <c r="E961" t="inlineStr">
        <is>
          <t>VIMMERBY</t>
        </is>
      </c>
      <c r="G961" t="n">
        <v>1.4</v>
      </c>
      <c r="H961" t="n">
        <v>0</v>
      </c>
      <c r="I961" t="n">
        <v>0</v>
      </c>
      <c r="J961" t="n">
        <v>0</v>
      </c>
      <c r="K961" t="n">
        <v>0</v>
      </c>
      <c r="L961" t="n">
        <v>0</v>
      </c>
      <c r="M961" t="n">
        <v>0</v>
      </c>
      <c r="N961" t="n">
        <v>0</v>
      </c>
      <c r="O961" t="n">
        <v>0</v>
      </c>
      <c r="P961" t="n">
        <v>0</v>
      </c>
      <c r="Q961" t="n">
        <v>0</v>
      </c>
      <c r="R961" s="2" t="inlineStr"/>
    </row>
    <row r="962" ht="15" customHeight="1">
      <c r="A962" t="inlineStr">
        <is>
          <t>A 33424-2023</t>
        </is>
      </c>
      <c r="B962" s="1" t="n">
        <v>45129</v>
      </c>
      <c r="C962" s="1" t="n">
        <v>45510</v>
      </c>
      <c r="D962" t="inlineStr">
        <is>
          <t>KALMAR LÄN</t>
        </is>
      </c>
      <c r="E962" t="inlineStr">
        <is>
          <t>VIMMERBY</t>
        </is>
      </c>
      <c r="G962" t="n">
        <v>2.4</v>
      </c>
      <c r="H962" t="n">
        <v>0</v>
      </c>
      <c r="I962" t="n">
        <v>0</v>
      </c>
      <c r="J962" t="n">
        <v>0</v>
      </c>
      <c r="K962" t="n">
        <v>0</v>
      </c>
      <c r="L962" t="n">
        <v>0</v>
      </c>
      <c r="M962" t="n">
        <v>0</v>
      </c>
      <c r="N962" t="n">
        <v>0</v>
      </c>
      <c r="O962" t="n">
        <v>0</v>
      </c>
      <c r="P962" t="n">
        <v>0</v>
      </c>
      <c r="Q962" t="n">
        <v>0</v>
      </c>
      <c r="R962" s="2" t="inlineStr"/>
    </row>
    <row r="963" ht="15" customHeight="1">
      <c r="A963" t="inlineStr">
        <is>
          <t>A 33649-2023</t>
        </is>
      </c>
      <c r="B963" s="1" t="n">
        <v>45132</v>
      </c>
      <c r="C963" s="1" t="n">
        <v>45510</v>
      </c>
      <c r="D963" t="inlineStr">
        <is>
          <t>KALMAR LÄN</t>
        </is>
      </c>
      <c r="E963" t="inlineStr">
        <is>
          <t>VIMMERBY</t>
        </is>
      </c>
      <c r="G963" t="n">
        <v>4.9</v>
      </c>
      <c r="H963" t="n">
        <v>0</v>
      </c>
      <c r="I963" t="n">
        <v>0</v>
      </c>
      <c r="J963" t="n">
        <v>0</v>
      </c>
      <c r="K963" t="n">
        <v>0</v>
      </c>
      <c r="L963" t="n">
        <v>0</v>
      </c>
      <c r="M963" t="n">
        <v>0</v>
      </c>
      <c r="N963" t="n">
        <v>0</v>
      </c>
      <c r="O963" t="n">
        <v>0</v>
      </c>
      <c r="P963" t="n">
        <v>0</v>
      </c>
      <c r="Q963" t="n">
        <v>0</v>
      </c>
      <c r="R963" s="2" t="inlineStr"/>
    </row>
    <row r="964" ht="15" customHeight="1">
      <c r="A964" t="inlineStr">
        <is>
          <t>A 34205-2023</t>
        </is>
      </c>
      <c r="B964" s="1" t="n">
        <v>45138</v>
      </c>
      <c r="C964" s="1" t="n">
        <v>45510</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34300-2023</t>
        </is>
      </c>
      <c r="B965" s="1" t="n">
        <v>45138</v>
      </c>
      <c r="C965" s="1" t="n">
        <v>45510</v>
      </c>
      <c r="D965" t="inlineStr">
        <is>
          <t>KALMAR LÄN</t>
        </is>
      </c>
      <c r="E965" t="inlineStr">
        <is>
          <t>VIMMERBY</t>
        </is>
      </c>
      <c r="G965" t="n">
        <v>0.9</v>
      </c>
      <c r="H965" t="n">
        <v>0</v>
      </c>
      <c r="I965" t="n">
        <v>0</v>
      </c>
      <c r="J965" t="n">
        <v>0</v>
      </c>
      <c r="K965" t="n">
        <v>0</v>
      </c>
      <c r="L965" t="n">
        <v>0</v>
      </c>
      <c r="M965" t="n">
        <v>0</v>
      </c>
      <c r="N965" t="n">
        <v>0</v>
      </c>
      <c r="O965" t="n">
        <v>0</v>
      </c>
      <c r="P965" t="n">
        <v>0</v>
      </c>
      <c r="Q965" t="n">
        <v>0</v>
      </c>
      <c r="R965" s="2" t="inlineStr"/>
    </row>
    <row r="966" ht="15" customHeight="1">
      <c r="A966" t="inlineStr">
        <is>
          <t>A 34956-2023</t>
        </is>
      </c>
      <c r="B966" s="1" t="n">
        <v>45142</v>
      </c>
      <c r="C966" s="1" t="n">
        <v>45510</v>
      </c>
      <c r="D966" t="inlineStr">
        <is>
          <t>KALMAR LÄN</t>
        </is>
      </c>
      <c r="E966" t="inlineStr">
        <is>
          <t>VIMMERBY</t>
        </is>
      </c>
      <c r="G966" t="n">
        <v>1</v>
      </c>
      <c r="H966" t="n">
        <v>0</v>
      </c>
      <c r="I966" t="n">
        <v>0</v>
      </c>
      <c r="J966" t="n">
        <v>0</v>
      </c>
      <c r="K966" t="n">
        <v>0</v>
      </c>
      <c r="L966" t="n">
        <v>0</v>
      </c>
      <c r="M966" t="n">
        <v>0</v>
      </c>
      <c r="N966" t="n">
        <v>0</v>
      </c>
      <c r="O966" t="n">
        <v>0</v>
      </c>
      <c r="P966" t="n">
        <v>0</v>
      </c>
      <c r="Q966" t="n">
        <v>0</v>
      </c>
      <c r="R966" s="2" t="inlineStr"/>
    </row>
    <row r="967" ht="15" customHeight="1">
      <c r="A967" t="inlineStr">
        <is>
          <t>A 35190-2023</t>
        </is>
      </c>
      <c r="B967" s="1" t="n">
        <v>45145</v>
      </c>
      <c r="C967" s="1" t="n">
        <v>45510</v>
      </c>
      <c r="D967" t="inlineStr">
        <is>
          <t>KALMAR LÄN</t>
        </is>
      </c>
      <c r="E967" t="inlineStr">
        <is>
          <t>VIMMERBY</t>
        </is>
      </c>
      <c r="G967" t="n">
        <v>3.5</v>
      </c>
      <c r="H967" t="n">
        <v>0</v>
      </c>
      <c r="I967" t="n">
        <v>0</v>
      </c>
      <c r="J967" t="n">
        <v>0</v>
      </c>
      <c r="K967" t="n">
        <v>0</v>
      </c>
      <c r="L967" t="n">
        <v>0</v>
      </c>
      <c r="M967" t="n">
        <v>0</v>
      </c>
      <c r="N967" t="n">
        <v>0</v>
      </c>
      <c r="O967" t="n">
        <v>0</v>
      </c>
      <c r="P967" t="n">
        <v>0</v>
      </c>
      <c r="Q967" t="n">
        <v>0</v>
      </c>
      <c r="R967" s="2" t="inlineStr"/>
    </row>
    <row r="968" ht="15" customHeight="1">
      <c r="A968" t="inlineStr">
        <is>
          <t>A 35198-2023</t>
        </is>
      </c>
      <c r="B968" s="1" t="n">
        <v>45145</v>
      </c>
      <c r="C968" s="1" t="n">
        <v>45510</v>
      </c>
      <c r="D968" t="inlineStr">
        <is>
          <t>KALMAR LÄN</t>
        </is>
      </c>
      <c r="E968" t="inlineStr">
        <is>
          <t>VIMMERBY</t>
        </is>
      </c>
      <c r="G968" t="n">
        <v>1.6</v>
      </c>
      <c r="H968" t="n">
        <v>0</v>
      </c>
      <c r="I968" t="n">
        <v>0</v>
      </c>
      <c r="J968" t="n">
        <v>0</v>
      </c>
      <c r="K968" t="n">
        <v>0</v>
      </c>
      <c r="L968" t="n">
        <v>0</v>
      </c>
      <c r="M968" t="n">
        <v>0</v>
      </c>
      <c r="N968" t="n">
        <v>0</v>
      </c>
      <c r="O968" t="n">
        <v>0</v>
      </c>
      <c r="P968" t="n">
        <v>0</v>
      </c>
      <c r="Q968" t="n">
        <v>0</v>
      </c>
      <c r="R968" s="2" t="inlineStr"/>
    </row>
    <row r="969" ht="15" customHeight="1">
      <c r="A969" t="inlineStr">
        <is>
          <t>A 35372-2023</t>
        </is>
      </c>
      <c r="B969" s="1" t="n">
        <v>45146</v>
      </c>
      <c r="C969" s="1" t="n">
        <v>45510</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35670-2023</t>
        </is>
      </c>
      <c r="B970" s="1" t="n">
        <v>45147</v>
      </c>
      <c r="C970" s="1" t="n">
        <v>45510</v>
      </c>
      <c r="D970" t="inlineStr">
        <is>
          <t>KALMAR LÄN</t>
        </is>
      </c>
      <c r="E970" t="inlineStr">
        <is>
          <t>VIMMERBY</t>
        </is>
      </c>
      <c r="G970" t="n">
        <v>6.4</v>
      </c>
      <c r="H970" t="n">
        <v>0</v>
      </c>
      <c r="I970" t="n">
        <v>0</v>
      </c>
      <c r="J970" t="n">
        <v>0</v>
      </c>
      <c r="K970" t="n">
        <v>0</v>
      </c>
      <c r="L970" t="n">
        <v>0</v>
      </c>
      <c r="M970" t="n">
        <v>0</v>
      </c>
      <c r="N970" t="n">
        <v>0</v>
      </c>
      <c r="O970" t="n">
        <v>0</v>
      </c>
      <c r="P970" t="n">
        <v>0</v>
      </c>
      <c r="Q970" t="n">
        <v>0</v>
      </c>
      <c r="R970" s="2" t="inlineStr"/>
    </row>
    <row r="971" ht="15" customHeight="1">
      <c r="A971" t="inlineStr">
        <is>
          <t>A 35678-2023</t>
        </is>
      </c>
      <c r="B971" s="1" t="n">
        <v>45147</v>
      </c>
      <c r="C971" s="1" t="n">
        <v>45510</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35710-2023</t>
        </is>
      </c>
      <c r="B972" s="1" t="n">
        <v>45147</v>
      </c>
      <c r="C972" s="1" t="n">
        <v>45510</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35671-2023</t>
        </is>
      </c>
      <c r="B973" s="1" t="n">
        <v>45147</v>
      </c>
      <c r="C973" s="1" t="n">
        <v>45510</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35711-2023</t>
        </is>
      </c>
      <c r="B974" s="1" t="n">
        <v>45147</v>
      </c>
      <c r="C974" s="1" t="n">
        <v>45510</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35672-2023</t>
        </is>
      </c>
      <c r="B975" s="1" t="n">
        <v>45147</v>
      </c>
      <c r="C975" s="1" t="n">
        <v>45510</v>
      </c>
      <c r="D975" t="inlineStr">
        <is>
          <t>KALMAR LÄN</t>
        </is>
      </c>
      <c r="E975" t="inlineStr">
        <is>
          <t>VIMMERBY</t>
        </is>
      </c>
      <c r="G975" t="n">
        <v>1.1</v>
      </c>
      <c r="H975" t="n">
        <v>0</v>
      </c>
      <c r="I975" t="n">
        <v>0</v>
      </c>
      <c r="J975" t="n">
        <v>0</v>
      </c>
      <c r="K975" t="n">
        <v>0</v>
      </c>
      <c r="L975" t="n">
        <v>0</v>
      </c>
      <c r="M975" t="n">
        <v>0</v>
      </c>
      <c r="N975" t="n">
        <v>0</v>
      </c>
      <c r="O975" t="n">
        <v>0</v>
      </c>
      <c r="P975" t="n">
        <v>0</v>
      </c>
      <c r="Q975" t="n">
        <v>0</v>
      </c>
      <c r="R975" s="2" t="inlineStr"/>
    </row>
    <row r="976" ht="15" customHeight="1">
      <c r="A976" t="inlineStr">
        <is>
          <t>A 35713-2023</t>
        </is>
      </c>
      <c r="B976" s="1" t="n">
        <v>45147</v>
      </c>
      <c r="C976" s="1" t="n">
        <v>45510</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35839-2023</t>
        </is>
      </c>
      <c r="B977" s="1" t="n">
        <v>45148</v>
      </c>
      <c r="C977" s="1" t="n">
        <v>45510</v>
      </c>
      <c r="D977" t="inlineStr">
        <is>
          <t>KALMAR LÄN</t>
        </is>
      </c>
      <c r="E977" t="inlineStr">
        <is>
          <t>VIMMERBY</t>
        </is>
      </c>
      <c r="G977" t="n">
        <v>1.5</v>
      </c>
      <c r="H977" t="n">
        <v>0</v>
      </c>
      <c r="I977" t="n">
        <v>0</v>
      </c>
      <c r="J977" t="n">
        <v>0</v>
      </c>
      <c r="K977" t="n">
        <v>0</v>
      </c>
      <c r="L977" t="n">
        <v>0</v>
      </c>
      <c r="M977" t="n">
        <v>0</v>
      </c>
      <c r="N977" t="n">
        <v>0</v>
      </c>
      <c r="O977" t="n">
        <v>0</v>
      </c>
      <c r="P977" t="n">
        <v>0</v>
      </c>
      <c r="Q977" t="n">
        <v>0</v>
      </c>
      <c r="R977" s="2" t="inlineStr"/>
    </row>
    <row r="978" ht="15" customHeight="1">
      <c r="A978" t="inlineStr">
        <is>
          <t>A 35846-2023</t>
        </is>
      </c>
      <c r="B978" s="1" t="n">
        <v>45148</v>
      </c>
      <c r="C978" s="1" t="n">
        <v>45510</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35913-2023</t>
        </is>
      </c>
      <c r="B979" s="1" t="n">
        <v>45148</v>
      </c>
      <c r="C979" s="1" t="n">
        <v>45510</v>
      </c>
      <c r="D979" t="inlineStr">
        <is>
          <t>KALMAR LÄN</t>
        </is>
      </c>
      <c r="E979" t="inlineStr">
        <is>
          <t>VIMMERBY</t>
        </is>
      </c>
      <c r="G979" t="n">
        <v>6.9</v>
      </c>
      <c r="H979" t="n">
        <v>0</v>
      </c>
      <c r="I979" t="n">
        <v>0</v>
      </c>
      <c r="J979" t="n">
        <v>0</v>
      </c>
      <c r="K979" t="n">
        <v>0</v>
      </c>
      <c r="L979" t="n">
        <v>0</v>
      </c>
      <c r="M979" t="n">
        <v>0</v>
      </c>
      <c r="N979" t="n">
        <v>0</v>
      </c>
      <c r="O979" t="n">
        <v>0</v>
      </c>
      <c r="P979" t="n">
        <v>0</v>
      </c>
      <c r="Q979" t="n">
        <v>0</v>
      </c>
      <c r="R979" s="2" t="inlineStr"/>
    </row>
    <row r="980" ht="15" customHeight="1">
      <c r="A980" t="inlineStr">
        <is>
          <t>A 36155-2023</t>
        </is>
      </c>
      <c r="B980" s="1" t="n">
        <v>45149</v>
      </c>
      <c r="C980" s="1" t="n">
        <v>45510</v>
      </c>
      <c r="D980" t="inlineStr">
        <is>
          <t>KALMAR LÄN</t>
        </is>
      </c>
      <c r="E980" t="inlineStr">
        <is>
          <t>VIMMERBY</t>
        </is>
      </c>
      <c r="G980" t="n">
        <v>5</v>
      </c>
      <c r="H980" t="n">
        <v>0</v>
      </c>
      <c r="I980" t="n">
        <v>0</v>
      </c>
      <c r="J980" t="n">
        <v>0</v>
      </c>
      <c r="K980" t="n">
        <v>0</v>
      </c>
      <c r="L980" t="n">
        <v>0</v>
      </c>
      <c r="M980" t="n">
        <v>0</v>
      </c>
      <c r="N980" t="n">
        <v>0</v>
      </c>
      <c r="O980" t="n">
        <v>0</v>
      </c>
      <c r="P980" t="n">
        <v>0</v>
      </c>
      <c r="Q980" t="n">
        <v>0</v>
      </c>
      <c r="R980" s="2" t="inlineStr"/>
    </row>
    <row r="981" ht="15" customHeight="1">
      <c r="A981" t="inlineStr">
        <is>
          <t>A 36385-2023</t>
        </is>
      </c>
      <c r="B981" s="1" t="n">
        <v>45152</v>
      </c>
      <c r="C981" s="1" t="n">
        <v>45510</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36526-2023</t>
        </is>
      </c>
      <c r="B982" s="1" t="n">
        <v>45153</v>
      </c>
      <c r="C982" s="1" t="n">
        <v>45510</v>
      </c>
      <c r="D982" t="inlineStr">
        <is>
          <t>KALMAR LÄN</t>
        </is>
      </c>
      <c r="E982" t="inlineStr">
        <is>
          <t>VIMMERBY</t>
        </is>
      </c>
      <c r="G982" t="n">
        <v>2.7</v>
      </c>
      <c r="H982" t="n">
        <v>0</v>
      </c>
      <c r="I982" t="n">
        <v>0</v>
      </c>
      <c r="J982" t="n">
        <v>0</v>
      </c>
      <c r="K982" t="n">
        <v>0</v>
      </c>
      <c r="L982" t="n">
        <v>0</v>
      </c>
      <c r="M982" t="n">
        <v>0</v>
      </c>
      <c r="N982" t="n">
        <v>0</v>
      </c>
      <c r="O982" t="n">
        <v>0</v>
      </c>
      <c r="P982" t="n">
        <v>0</v>
      </c>
      <c r="Q982" t="n">
        <v>0</v>
      </c>
      <c r="R982" s="2" t="inlineStr"/>
    </row>
    <row r="983" ht="15" customHeight="1">
      <c r="A983" t="inlineStr">
        <is>
          <t>A 36843-2023</t>
        </is>
      </c>
      <c r="B983" s="1" t="n">
        <v>45154</v>
      </c>
      <c r="C983" s="1" t="n">
        <v>45510</v>
      </c>
      <c r="D983" t="inlineStr">
        <is>
          <t>KALMAR LÄN</t>
        </is>
      </c>
      <c r="E983" t="inlineStr">
        <is>
          <t>VIMMERBY</t>
        </is>
      </c>
      <c r="G983" t="n">
        <v>2</v>
      </c>
      <c r="H983" t="n">
        <v>0</v>
      </c>
      <c r="I983" t="n">
        <v>0</v>
      </c>
      <c r="J983" t="n">
        <v>0</v>
      </c>
      <c r="K983" t="n">
        <v>0</v>
      </c>
      <c r="L983" t="n">
        <v>0</v>
      </c>
      <c r="M983" t="n">
        <v>0</v>
      </c>
      <c r="N983" t="n">
        <v>0</v>
      </c>
      <c r="O983" t="n">
        <v>0</v>
      </c>
      <c r="P983" t="n">
        <v>0</v>
      </c>
      <c r="Q983" t="n">
        <v>0</v>
      </c>
      <c r="R983" s="2" t="inlineStr"/>
    </row>
    <row r="984" ht="15" customHeight="1">
      <c r="A984" t="inlineStr">
        <is>
          <t>A 37373-2023</t>
        </is>
      </c>
      <c r="B984" s="1" t="n">
        <v>45156</v>
      </c>
      <c r="C984" s="1" t="n">
        <v>45510</v>
      </c>
      <c r="D984" t="inlineStr">
        <is>
          <t>KALMAR LÄN</t>
        </is>
      </c>
      <c r="E984" t="inlineStr">
        <is>
          <t>VIMMERBY</t>
        </is>
      </c>
      <c r="F984" t="inlineStr">
        <is>
          <t>Övriga Aktiebolag</t>
        </is>
      </c>
      <c r="G984" t="n">
        <v>4.7</v>
      </c>
      <c r="H984" t="n">
        <v>0</v>
      </c>
      <c r="I984" t="n">
        <v>0</v>
      </c>
      <c r="J984" t="n">
        <v>0</v>
      </c>
      <c r="K984" t="n">
        <v>0</v>
      </c>
      <c r="L984" t="n">
        <v>0</v>
      </c>
      <c r="M984" t="n">
        <v>0</v>
      </c>
      <c r="N984" t="n">
        <v>0</v>
      </c>
      <c r="O984" t="n">
        <v>0</v>
      </c>
      <c r="P984" t="n">
        <v>0</v>
      </c>
      <c r="Q984" t="n">
        <v>0</v>
      </c>
      <c r="R984" s="2" t="inlineStr"/>
    </row>
    <row r="985" ht="15" customHeight="1">
      <c r="A985" t="inlineStr">
        <is>
          <t>A 38254-2023</t>
        </is>
      </c>
      <c r="B985" s="1" t="n">
        <v>45160</v>
      </c>
      <c r="C985" s="1" t="n">
        <v>45510</v>
      </c>
      <c r="D985" t="inlineStr">
        <is>
          <t>KALMAR LÄN</t>
        </is>
      </c>
      <c r="E985" t="inlineStr">
        <is>
          <t>VIMMERBY</t>
        </is>
      </c>
      <c r="G985" t="n">
        <v>0.9</v>
      </c>
      <c r="H985" t="n">
        <v>0</v>
      </c>
      <c r="I985" t="n">
        <v>0</v>
      </c>
      <c r="J985" t="n">
        <v>0</v>
      </c>
      <c r="K985" t="n">
        <v>0</v>
      </c>
      <c r="L985" t="n">
        <v>0</v>
      </c>
      <c r="M985" t="n">
        <v>0</v>
      </c>
      <c r="N985" t="n">
        <v>0</v>
      </c>
      <c r="O985" t="n">
        <v>0</v>
      </c>
      <c r="P985" t="n">
        <v>0</v>
      </c>
      <c r="Q985" t="n">
        <v>0</v>
      </c>
      <c r="R985" s="2" t="inlineStr"/>
    </row>
    <row r="986" ht="15" customHeight="1">
      <c r="A986" t="inlineStr">
        <is>
          <t>A 38261-2023</t>
        </is>
      </c>
      <c r="B986" s="1" t="n">
        <v>45160</v>
      </c>
      <c r="C986" s="1" t="n">
        <v>45510</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38274-2023</t>
        </is>
      </c>
      <c r="B987" s="1" t="n">
        <v>45161</v>
      </c>
      <c r="C987" s="1" t="n">
        <v>45510</v>
      </c>
      <c r="D987" t="inlineStr">
        <is>
          <t>KALMAR LÄN</t>
        </is>
      </c>
      <c r="E987" t="inlineStr">
        <is>
          <t>VIMMERBY</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38969-2023</t>
        </is>
      </c>
      <c r="B988" s="1" t="n">
        <v>45163</v>
      </c>
      <c r="C988" s="1" t="n">
        <v>45510</v>
      </c>
      <c r="D988" t="inlineStr">
        <is>
          <t>KALMAR LÄN</t>
        </is>
      </c>
      <c r="E988" t="inlineStr">
        <is>
          <t>VIMMERBY</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38993-2023</t>
        </is>
      </c>
      <c r="B989" s="1" t="n">
        <v>45163</v>
      </c>
      <c r="C989" s="1" t="n">
        <v>45510</v>
      </c>
      <c r="D989" t="inlineStr">
        <is>
          <t>KALMAR LÄN</t>
        </is>
      </c>
      <c r="E989" t="inlineStr">
        <is>
          <t>VIMMERBY</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38851-2023</t>
        </is>
      </c>
      <c r="B990" s="1" t="n">
        <v>45163</v>
      </c>
      <c r="C990" s="1" t="n">
        <v>45510</v>
      </c>
      <c r="D990" t="inlineStr">
        <is>
          <t>KALMAR LÄN</t>
        </is>
      </c>
      <c r="E990" t="inlineStr">
        <is>
          <t>VIMMERBY</t>
        </is>
      </c>
      <c r="G990" t="n">
        <v>4.3</v>
      </c>
      <c r="H990" t="n">
        <v>0</v>
      </c>
      <c r="I990" t="n">
        <v>0</v>
      </c>
      <c r="J990" t="n">
        <v>0</v>
      </c>
      <c r="K990" t="n">
        <v>0</v>
      </c>
      <c r="L990" t="n">
        <v>0</v>
      </c>
      <c r="M990" t="n">
        <v>0</v>
      </c>
      <c r="N990" t="n">
        <v>0</v>
      </c>
      <c r="O990" t="n">
        <v>0</v>
      </c>
      <c r="P990" t="n">
        <v>0</v>
      </c>
      <c r="Q990" t="n">
        <v>0</v>
      </c>
      <c r="R990" s="2" t="inlineStr"/>
    </row>
    <row r="991" ht="15" customHeight="1">
      <c r="A991" t="inlineStr">
        <is>
          <t>A 38995-2023</t>
        </is>
      </c>
      <c r="B991" s="1" t="n">
        <v>45163</v>
      </c>
      <c r="C991" s="1" t="n">
        <v>45510</v>
      </c>
      <c r="D991" t="inlineStr">
        <is>
          <t>KALMAR LÄN</t>
        </is>
      </c>
      <c r="E991" t="inlineStr">
        <is>
          <t>VIMMERBY</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38779-2023</t>
        </is>
      </c>
      <c r="B992" s="1" t="n">
        <v>45163</v>
      </c>
      <c r="C992" s="1" t="n">
        <v>45510</v>
      </c>
      <c r="D992" t="inlineStr">
        <is>
          <t>KALMAR LÄN</t>
        </is>
      </c>
      <c r="E992" t="inlineStr">
        <is>
          <t>VIMMERBY</t>
        </is>
      </c>
      <c r="G992" t="n">
        <v>1.9</v>
      </c>
      <c r="H992" t="n">
        <v>0</v>
      </c>
      <c r="I992" t="n">
        <v>0</v>
      </c>
      <c r="J992" t="n">
        <v>0</v>
      </c>
      <c r="K992" t="n">
        <v>0</v>
      </c>
      <c r="L992" t="n">
        <v>0</v>
      </c>
      <c r="M992" t="n">
        <v>0</v>
      </c>
      <c r="N992" t="n">
        <v>0</v>
      </c>
      <c r="O992" t="n">
        <v>0</v>
      </c>
      <c r="P992" t="n">
        <v>0</v>
      </c>
      <c r="Q992" t="n">
        <v>0</v>
      </c>
      <c r="R992" s="2" t="inlineStr"/>
    </row>
    <row r="993" ht="15" customHeight="1">
      <c r="A993" t="inlineStr">
        <is>
          <t>A 38757-2023</t>
        </is>
      </c>
      <c r="B993" s="1" t="n">
        <v>45163</v>
      </c>
      <c r="C993" s="1" t="n">
        <v>45510</v>
      </c>
      <c r="D993" t="inlineStr">
        <is>
          <t>KALMAR LÄN</t>
        </is>
      </c>
      <c r="E993" t="inlineStr">
        <is>
          <t>VIMMERBY</t>
        </is>
      </c>
      <c r="G993" t="n">
        <v>2.5</v>
      </c>
      <c r="H993" t="n">
        <v>0</v>
      </c>
      <c r="I993" t="n">
        <v>0</v>
      </c>
      <c r="J993" t="n">
        <v>0</v>
      </c>
      <c r="K993" t="n">
        <v>0</v>
      </c>
      <c r="L993" t="n">
        <v>0</v>
      </c>
      <c r="M993" t="n">
        <v>0</v>
      </c>
      <c r="N993" t="n">
        <v>0</v>
      </c>
      <c r="O993" t="n">
        <v>0</v>
      </c>
      <c r="P993" t="n">
        <v>0</v>
      </c>
      <c r="Q993" t="n">
        <v>0</v>
      </c>
      <c r="R993" s="2" t="inlineStr"/>
    </row>
    <row r="994" ht="15" customHeight="1">
      <c r="A994" t="inlineStr">
        <is>
          <t>A 38799-2023</t>
        </is>
      </c>
      <c r="B994" s="1" t="n">
        <v>45163</v>
      </c>
      <c r="C994" s="1" t="n">
        <v>45510</v>
      </c>
      <c r="D994" t="inlineStr">
        <is>
          <t>KALMAR LÄN</t>
        </is>
      </c>
      <c r="E994" t="inlineStr">
        <is>
          <t>VIMMERBY</t>
        </is>
      </c>
      <c r="G994" t="n">
        <v>4.9</v>
      </c>
      <c r="H994" t="n">
        <v>0</v>
      </c>
      <c r="I994" t="n">
        <v>0</v>
      </c>
      <c r="J994" t="n">
        <v>0</v>
      </c>
      <c r="K994" t="n">
        <v>0</v>
      </c>
      <c r="L994" t="n">
        <v>0</v>
      </c>
      <c r="M994" t="n">
        <v>0</v>
      </c>
      <c r="N994" t="n">
        <v>0</v>
      </c>
      <c r="O994" t="n">
        <v>0</v>
      </c>
      <c r="P994" t="n">
        <v>0</v>
      </c>
      <c r="Q994" t="n">
        <v>0</v>
      </c>
      <c r="R994" s="2" t="inlineStr"/>
    </row>
    <row r="995" ht="15" customHeight="1">
      <c r="A995" t="inlineStr">
        <is>
          <t>A 38803-2023</t>
        </is>
      </c>
      <c r="B995" s="1" t="n">
        <v>45163</v>
      </c>
      <c r="C995" s="1" t="n">
        <v>45510</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39129-2023</t>
        </is>
      </c>
      <c r="B996" s="1" t="n">
        <v>45165</v>
      </c>
      <c r="C996" s="1" t="n">
        <v>45510</v>
      </c>
      <c r="D996" t="inlineStr">
        <is>
          <t>KALMAR LÄN</t>
        </is>
      </c>
      <c r="E996" t="inlineStr">
        <is>
          <t>VIMMERBY</t>
        </is>
      </c>
      <c r="G996" t="n">
        <v>1.7</v>
      </c>
      <c r="H996" t="n">
        <v>0</v>
      </c>
      <c r="I996" t="n">
        <v>0</v>
      </c>
      <c r="J996" t="n">
        <v>0</v>
      </c>
      <c r="K996" t="n">
        <v>0</v>
      </c>
      <c r="L996" t="n">
        <v>0</v>
      </c>
      <c r="M996" t="n">
        <v>0</v>
      </c>
      <c r="N996" t="n">
        <v>0</v>
      </c>
      <c r="O996" t="n">
        <v>0</v>
      </c>
      <c r="P996" t="n">
        <v>0</v>
      </c>
      <c r="Q996" t="n">
        <v>0</v>
      </c>
      <c r="R996" s="2" t="inlineStr"/>
    </row>
    <row r="997" ht="15" customHeight="1">
      <c r="A997" t="inlineStr">
        <is>
          <t>A 39401-2023</t>
        </is>
      </c>
      <c r="B997" s="1" t="n">
        <v>45166</v>
      </c>
      <c r="C997" s="1" t="n">
        <v>45510</v>
      </c>
      <c r="D997" t="inlineStr">
        <is>
          <t>KALMAR LÄN</t>
        </is>
      </c>
      <c r="E997" t="inlineStr">
        <is>
          <t>VIMMERBY</t>
        </is>
      </c>
      <c r="G997" t="n">
        <v>0.8</v>
      </c>
      <c r="H997" t="n">
        <v>0</v>
      </c>
      <c r="I997" t="n">
        <v>0</v>
      </c>
      <c r="J997" t="n">
        <v>0</v>
      </c>
      <c r="K997" t="n">
        <v>0</v>
      </c>
      <c r="L997" t="n">
        <v>0</v>
      </c>
      <c r="M997" t="n">
        <v>0</v>
      </c>
      <c r="N997" t="n">
        <v>0</v>
      </c>
      <c r="O997" t="n">
        <v>0</v>
      </c>
      <c r="P997" t="n">
        <v>0</v>
      </c>
      <c r="Q997" t="n">
        <v>0</v>
      </c>
      <c r="R997" s="2" t="inlineStr"/>
    </row>
    <row r="998" ht="15" customHeight="1">
      <c r="A998" t="inlineStr">
        <is>
          <t>A 40079-2023</t>
        </is>
      </c>
      <c r="B998" s="1" t="n">
        <v>45168</v>
      </c>
      <c r="C998" s="1" t="n">
        <v>45510</v>
      </c>
      <c r="D998" t="inlineStr">
        <is>
          <t>KALMAR LÄN</t>
        </is>
      </c>
      <c r="E998" t="inlineStr">
        <is>
          <t>VIMMERBY</t>
        </is>
      </c>
      <c r="G998" t="n">
        <v>1.2</v>
      </c>
      <c r="H998" t="n">
        <v>0</v>
      </c>
      <c r="I998" t="n">
        <v>0</v>
      </c>
      <c r="J998" t="n">
        <v>0</v>
      </c>
      <c r="K998" t="n">
        <v>0</v>
      </c>
      <c r="L998" t="n">
        <v>0</v>
      </c>
      <c r="M998" t="n">
        <v>0</v>
      </c>
      <c r="N998" t="n">
        <v>0</v>
      </c>
      <c r="O998" t="n">
        <v>0</v>
      </c>
      <c r="P998" t="n">
        <v>0</v>
      </c>
      <c r="Q998" t="n">
        <v>0</v>
      </c>
      <c r="R998" s="2" t="inlineStr"/>
    </row>
    <row r="999" ht="15" customHeight="1">
      <c r="A999" t="inlineStr">
        <is>
          <t>A 40083-2023</t>
        </is>
      </c>
      <c r="B999" s="1" t="n">
        <v>45168</v>
      </c>
      <c r="C999" s="1" t="n">
        <v>45510</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39912-2023</t>
        </is>
      </c>
      <c r="B1000" s="1" t="n">
        <v>45168</v>
      </c>
      <c r="C1000" s="1" t="n">
        <v>45510</v>
      </c>
      <c r="D1000" t="inlineStr">
        <is>
          <t>KALMAR LÄN</t>
        </is>
      </c>
      <c r="E1000" t="inlineStr">
        <is>
          <t>VIMMERBY</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40084-2023</t>
        </is>
      </c>
      <c r="B1001" s="1" t="n">
        <v>45168</v>
      </c>
      <c r="C1001" s="1" t="n">
        <v>45510</v>
      </c>
      <c r="D1001" t="inlineStr">
        <is>
          <t>KALMAR LÄN</t>
        </is>
      </c>
      <c r="E1001" t="inlineStr">
        <is>
          <t>VIMMERBY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40147-2023</t>
        </is>
      </c>
      <c r="B1002" s="1" t="n">
        <v>45169</v>
      </c>
      <c r="C1002" s="1" t="n">
        <v>45510</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40151-2023</t>
        </is>
      </c>
      <c r="B1003" s="1" t="n">
        <v>45169</v>
      </c>
      <c r="C1003" s="1" t="n">
        <v>45510</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40380-2023</t>
        </is>
      </c>
      <c r="B1004" s="1" t="n">
        <v>45169</v>
      </c>
      <c r="C1004" s="1" t="n">
        <v>45510</v>
      </c>
      <c r="D1004" t="inlineStr">
        <is>
          <t>KALMAR LÄN</t>
        </is>
      </c>
      <c r="E1004" t="inlineStr">
        <is>
          <t>VIMMERBY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40472-2023</t>
        </is>
      </c>
      <c r="B1005" s="1" t="n">
        <v>45170</v>
      </c>
      <c r="C1005" s="1" t="n">
        <v>45510</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40477-2023</t>
        </is>
      </c>
      <c r="B1006" s="1" t="n">
        <v>45170</v>
      </c>
      <c r="C1006" s="1" t="n">
        <v>45510</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40665-2023</t>
        </is>
      </c>
      <c r="B1007" s="1" t="n">
        <v>45170</v>
      </c>
      <c r="C1007" s="1" t="n">
        <v>45510</v>
      </c>
      <c r="D1007" t="inlineStr">
        <is>
          <t>KALMAR LÄN</t>
        </is>
      </c>
      <c r="E1007" t="inlineStr">
        <is>
          <t>VIMMERBY</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40828-2023</t>
        </is>
      </c>
      <c r="B1008" s="1" t="n">
        <v>45172</v>
      </c>
      <c r="C1008" s="1" t="n">
        <v>45510</v>
      </c>
      <c r="D1008" t="inlineStr">
        <is>
          <t>KALMAR LÄN</t>
        </is>
      </c>
      <c r="E1008" t="inlineStr">
        <is>
          <t>VIMMERBY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40823-2023</t>
        </is>
      </c>
      <c r="B1009" s="1" t="n">
        <v>45171</v>
      </c>
      <c r="C1009" s="1" t="n">
        <v>45510</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41084-2023</t>
        </is>
      </c>
      <c r="B1010" s="1" t="n">
        <v>45173</v>
      </c>
      <c r="C1010" s="1" t="n">
        <v>45510</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41088-2023</t>
        </is>
      </c>
      <c r="B1011" s="1" t="n">
        <v>45173</v>
      </c>
      <c r="C1011" s="1" t="n">
        <v>45510</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41199-2023</t>
        </is>
      </c>
      <c r="B1012" s="1" t="n">
        <v>45174</v>
      </c>
      <c r="C1012" s="1" t="n">
        <v>45510</v>
      </c>
      <c r="D1012" t="inlineStr">
        <is>
          <t>KALMAR LÄN</t>
        </is>
      </c>
      <c r="E1012" t="inlineStr">
        <is>
          <t>VIMMERBY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41311-2023</t>
        </is>
      </c>
      <c r="B1013" s="1" t="n">
        <v>45174</v>
      </c>
      <c r="C1013" s="1" t="n">
        <v>45510</v>
      </c>
      <c r="D1013" t="inlineStr">
        <is>
          <t>KALMAR LÄN</t>
        </is>
      </c>
      <c r="E1013" t="inlineStr">
        <is>
          <t>VIMMERBY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41158-2023</t>
        </is>
      </c>
      <c r="B1014" s="1" t="n">
        <v>45174</v>
      </c>
      <c r="C1014" s="1" t="n">
        <v>45510</v>
      </c>
      <c r="D1014" t="inlineStr">
        <is>
          <t>KALMAR LÄN</t>
        </is>
      </c>
      <c r="E1014" t="inlineStr">
        <is>
          <t>VIMMERBY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41202-2023</t>
        </is>
      </c>
      <c r="B1015" s="1" t="n">
        <v>45174</v>
      </c>
      <c r="C1015" s="1" t="n">
        <v>45510</v>
      </c>
      <c r="D1015" t="inlineStr">
        <is>
          <t>KALMAR LÄN</t>
        </is>
      </c>
      <c r="E1015" t="inlineStr">
        <is>
          <t>VIMMERBY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41894-2023</t>
        </is>
      </c>
      <c r="B1016" s="1" t="n">
        <v>45176</v>
      </c>
      <c r="C1016" s="1" t="n">
        <v>45510</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41896-2023</t>
        </is>
      </c>
      <c r="B1017" s="1" t="n">
        <v>45176</v>
      </c>
      <c r="C1017" s="1" t="n">
        <v>45510</v>
      </c>
      <c r="D1017" t="inlineStr">
        <is>
          <t>KALMAR LÄN</t>
        </is>
      </c>
      <c r="E1017" t="inlineStr">
        <is>
          <t>VIMMERBY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42241-2023</t>
        </is>
      </c>
      <c r="B1018" s="1" t="n">
        <v>45180</v>
      </c>
      <c r="C1018" s="1" t="n">
        <v>45510</v>
      </c>
      <c r="D1018" t="inlineStr">
        <is>
          <t>KALMAR LÄN</t>
        </is>
      </c>
      <c r="E1018" t="inlineStr">
        <is>
          <t>VIMMERBY</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42689-2023</t>
        </is>
      </c>
      <c r="B1019" s="1" t="n">
        <v>45181</v>
      </c>
      <c r="C1019" s="1" t="n">
        <v>45510</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42644-2023</t>
        </is>
      </c>
      <c r="B1020" s="1" t="n">
        <v>45181</v>
      </c>
      <c r="C1020" s="1" t="n">
        <v>45510</v>
      </c>
      <c r="D1020" t="inlineStr">
        <is>
          <t>KALMAR LÄN</t>
        </is>
      </c>
      <c r="E1020" t="inlineStr">
        <is>
          <t>VIMMERBY</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43068-2023</t>
        </is>
      </c>
      <c r="B1021" s="1" t="n">
        <v>45182</v>
      </c>
      <c r="C1021" s="1" t="n">
        <v>45510</v>
      </c>
      <c r="D1021" t="inlineStr">
        <is>
          <t>KALMAR LÄN</t>
        </is>
      </c>
      <c r="E1021" t="inlineStr">
        <is>
          <t>VIMMERBY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43705-2023</t>
        </is>
      </c>
      <c r="B1022" s="1" t="n">
        <v>45187</v>
      </c>
      <c r="C1022" s="1" t="n">
        <v>45510</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43853-2023</t>
        </is>
      </c>
      <c r="B1023" s="1" t="n">
        <v>45187</v>
      </c>
      <c r="C1023" s="1" t="n">
        <v>45510</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43706-2023</t>
        </is>
      </c>
      <c r="B1024" s="1" t="n">
        <v>45187</v>
      </c>
      <c r="C1024" s="1" t="n">
        <v>45510</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43774-2023</t>
        </is>
      </c>
      <c r="B1025" s="1" t="n">
        <v>45187</v>
      </c>
      <c r="C1025" s="1" t="n">
        <v>45510</v>
      </c>
      <c r="D1025" t="inlineStr">
        <is>
          <t>KALMAR LÄN</t>
        </is>
      </c>
      <c r="E1025" t="inlineStr">
        <is>
          <t>VIMMERBY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44660-2023</t>
        </is>
      </c>
      <c r="B1026" s="1" t="n">
        <v>45189</v>
      </c>
      <c r="C1026" s="1" t="n">
        <v>45510</v>
      </c>
      <c r="D1026" t="inlineStr">
        <is>
          <t>KALMAR LÄN</t>
        </is>
      </c>
      <c r="E1026" t="inlineStr">
        <is>
          <t>VIMMERBY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44423-2023</t>
        </is>
      </c>
      <c r="B1027" s="1" t="n">
        <v>45189</v>
      </c>
      <c r="C1027" s="1" t="n">
        <v>45510</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44833-2023</t>
        </is>
      </c>
      <c r="B1028" s="1" t="n">
        <v>45190</v>
      </c>
      <c r="C1028" s="1" t="n">
        <v>45510</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44962-2023</t>
        </is>
      </c>
      <c r="B1029" s="1" t="n">
        <v>45190</v>
      </c>
      <c r="C1029" s="1" t="n">
        <v>45510</v>
      </c>
      <c r="D1029" t="inlineStr">
        <is>
          <t>KALMAR LÄN</t>
        </is>
      </c>
      <c r="E1029" t="inlineStr">
        <is>
          <t>VIMMERBY</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44887-2023</t>
        </is>
      </c>
      <c r="B1030" s="1" t="n">
        <v>45190</v>
      </c>
      <c r="C1030" s="1" t="n">
        <v>45510</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44884-2023</t>
        </is>
      </c>
      <c r="B1031" s="1" t="n">
        <v>45190</v>
      </c>
      <c r="C1031" s="1" t="n">
        <v>45510</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45838-2023</t>
        </is>
      </c>
      <c r="B1032" s="1" t="n">
        <v>45195</v>
      </c>
      <c r="C1032" s="1" t="n">
        <v>45510</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45846-2023</t>
        </is>
      </c>
      <c r="B1033" s="1" t="n">
        <v>45195</v>
      </c>
      <c r="C1033" s="1" t="n">
        <v>45510</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45731-2023</t>
        </is>
      </c>
      <c r="B1034" s="1" t="n">
        <v>45195</v>
      </c>
      <c r="C1034" s="1" t="n">
        <v>45510</v>
      </c>
      <c r="D1034" t="inlineStr">
        <is>
          <t>KALMAR LÄN</t>
        </is>
      </c>
      <c r="E1034" t="inlineStr">
        <is>
          <t>VIMMERBY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45808-2023</t>
        </is>
      </c>
      <c r="B1035" s="1" t="n">
        <v>45195</v>
      </c>
      <c r="C1035" s="1" t="n">
        <v>45510</v>
      </c>
      <c r="D1035" t="inlineStr">
        <is>
          <t>KALMAR LÄN</t>
        </is>
      </c>
      <c r="E1035" t="inlineStr">
        <is>
          <t>VIMMERBY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45839-2023</t>
        </is>
      </c>
      <c r="B1036" s="1" t="n">
        <v>45195</v>
      </c>
      <c r="C1036" s="1" t="n">
        <v>45510</v>
      </c>
      <c r="D1036" t="inlineStr">
        <is>
          <t>KALMAR LÄN</t>
        </is>
      </c>
      <c r="E1036" t="inlineStr">
        <is>
          <t>VIMMERBY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46116-2023</t>
        </is>
      </c>
      <c r="B1037" s="1" t="n">
        <v>45196</v>
      </c>
      <c r="C1037" s="1" t="n">
        <v>45510</v>
      </c>
      <c r="D1037" t="inlineStr">
        <is>
          <t>KALMAR LÄN</t>
        </is>
      </c>
      <c r="E1037" t="inlineStr">
        <is>
          <t>VIMMERBY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46078-2023</t>
        </is>
      </c>
      <c r="B1038" s="1" t="n">
        <v>45196</v>
      </c>
      <c r="C1038" s="1" t="n">
        <v>45510</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46144-2023</t>
        </is>
      </c>
      <c r="B1039" s="1" t="n">
        <v>45196</v>
      </c>
      <c r="C1039" s="1" t="n">
        <v>45510</v>
      </c>
      <c r="D1039" t="inlineStr">
        <is>
          <t>KALMAR LÄN</t>
        </is>
      </c>
      <c r="E1039" t="inlineStr">
        <is>
          <t>VIMMERBY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46697-2023</t>
        </is>
      </c>
      <c r="B1040" s="1" t="n">
        <v>45198</v>
      </c>
      <c r="C1040" s="1" t="n">
        <v>45510</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46695-2023</t>
        </is>
      </c>
      <c r="B1041" s="1" t="n">
        <v>45198</v>
      </c>
      <c r="C1041" s="1" t="n">
        <v>45510</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46916-2023</t>
        </is>
      </c>
      <c r="B1042" s="1" t="n">
        <v>45201</v>
      </c>
      <c r="C1042" s="1" t="n">
        <v>45510</v>
      </c>
      <c r="D1042" t="inlineStr">
        <is>
          <t>KALMAR LÄN</t>
        </is>
      </c>
      <c r="E1042" t="inlineStr">
        <is>
          <t>VIMMERBY</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46921-2023</t>
        </is>
      </c>
      <c r="B1043" s="1" t="n">
        <v>45201</v>
      </c>
      <c r="C1043" s="1" t="n">
        <v>45510</v>
      </c>
      <c r="D1043" t="inlineStr">
        <is>
          <t>KALMAR LÄN</t>
        </is>
      </c>
      <c r="E1043" t="inlineStr">
        <is>
          <t>VIMMERBY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46941-2023</t>
        </is>
      </c>
      <c r="B1044" s="1" t="n">
        <v>45201</v>
      </c>
      <c r="C1044" s="1" t="n">
        <v>45510</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46979-2023</t>
        </is>
      </c>
      <c r="B1045" s="1" t="n">
        <v>45201</v>
      </c>
      <c r="C1045" s="1" t="n">
        <v>45510</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47084-2023</t>
        </is>
      </c>
      <c r="B1046" s="1" t="n">
        <v>45201</v>
      </c>
      <c r="C1046" s="1" t="n">
        <v>45510</v>
      </c>
      <c r="D1046" t="inlineStr">
        <is>
          <t>KALMAR LÄN</t>
        </is>
      </c>
      <c r="E1046" t="inlineStr">
        <is>
          <t>VIMMERBY</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47247-2023</t>
        </is>
      </c>
      <c r="B1047" s="1" t="n">
        <v>45202</v>
      </c>
      <c r="C1047" s="1" t="n">
        <v>45510</v>
      </c>
      <c r="D1047" t="inlineStr">
        <is>
          <t>KALMAR LÄN</t>
        </is>
      </c>
      <c r="E1047" t="inlineStr">
        <is>
          <t>VIMMERBY</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47256-2023</t>
        </is>
      </c>
      <c r="B1048" s="1" t="n">
        <v>45202</v>
      </c>
      <c r="C1048" s="1" t="n">
        <v>45510</v>
      </c>
      <c r="D1048" t="inlineStr">
        <is>
          <t>KALMAR LÄN</t>
        </is>
      </c>
      <c r="E1048" t="inlineStr">
        <is>
          <t>VIMMERBY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47263-2023</t>
        </is>
      </c>
      <c r="B1049" s="1" t="n">
        <v>45202</v>
      </c>
      <c r="C1049" s="1" t="n">
        <v>45510</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47524-2023</t>
        </is>
      </c>
      <c r="B1050" s="1" t="n">
        <v>45203</v>
      </c>
      <c r="C1050" s="1" t="n">
        <v>45510</v>
      </c>
      <c r="D1050" t="inlineStr">
        <is>
          <t>KALMAR LÄN</t>
        </is>
      </c>
      <c r="E1050" t="inlineStr">
        <is>
          <t>VIMMERBY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47515-2023</t>
        </is>
      </c>
      <c r="B1051" s="1" t="n">
        <v>45203</v>
      </c>
      <c r="C1051" s="1" t="n">
        <v>45510</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47517-2023</t>
        </is>
      </c>
      <c r="B1052" s="1" t="n">
        <v>45203</v>
      </c>
      <c r="C1052" s="1" t="n">
        <v>45510</v>
      </c>
      <c r="D1052" t="inlineStr">
        <is>
          <t>KALMAR LÄN</t>
        </is>
      </c>
      <c r="E1052" t="inlineStr">
        <is>
          <t>VIMMERBY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47521-2023</t>
        </is>
      </c>
      <c r="B1053" s="1" t="n">
        <v>45203</v>
      </c>
      <c r="C1053" s="1" t="n">
        <v>45510</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48346-2023</t>
        </is>
      </c>
      <c r="B1054" s="1" t="n">
        <v>45205</v>
      </c>
      <c r="C1054" s="1" t="n">
        <v>45510</v>
      </c>
      <c r="D1054" t="inlineStr">
        <is>
          <t>KALMAR LÄN</t>
        </is>
      </c>
      <c r="E1054" t="inlineStr">
        <is>
          <t>VIMMERBY</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49382-2023</t>
        </is>
      </c>
      <c r="B1055" s="1" t="n">
        <v>45208</v>
      </c>
      <c r="C1055" s="1" t="n">
        <v>45510</v>
      </c>
      <c r="D1055" t="inlineStr">
        <is>
          <t>KALMAR LÄN</t>
        </is>
      </c>
      <c r="E1055" t="inlineStr">
        <is>
          <t>VIMMERBY</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49261-2023</t>
        </is>
      </c>
      <c r="B1056" s="1" t="n">
        <v>45210</v>
      </c>
      <c r="C1056" s="1" t="n">
        <v>45510</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49254-2023</t>
        </is>
      </c>
      <c r="B1057" s="1" t="n">
        <v>45210</v>
      </c>
      <c r="C1057" s="1" t="n">
        <v>45510</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49246-2023</t>
        </is>
      </c>
      <c r="B1058" s="1" t="n">
        <v>45210</v>
      </c>
      <c r="C1058" s="1" t="n">
        <v>45510</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49408-2023</t>
        </is>
      </c>
      <c r="B1059" s="1" t="n">
        <v>45211</v>
      </c>
      <c r="C1059" s="1" t="n">
        <v>45510</v>
      </c>
      <c r="D1059" t="inlineStr">
        <is>
          <t>KALMAR LÄN</t>
        </is>
      </c>
      <c r="E1059" t="inlineStr">
        <is>
          <t>VIMMERBY</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49458-2023</t>
        </is>
      </c>
      <c r="B1060" s="1" t="n">
        <v>45211</v>
      </c>
      <c r="C1060" s="1" t="n">
        <v>45510</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49461-2023</t>
        </is>
      </c>
      <c r="B1061" s="1" t="n">
        <v>45211</v>
      </c>
      <c r="C1061" s="1" t="n">
        <v>45510</v>
      </c>
      <c r="D1061" t="inlineStr">
        <is>
          <t>KALMAR LÄN</t>
        </is>
      </c>
      <c r="E1061" t="inlineStr">
        <is>
          <t>VIMMERBY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49474-2023</t>
        </is>
      </c>
      <c r="B1062" s="1" t="n">
        <v>45211</v>
      </c>
      <c r="C1062" s="1" t="n">
        <v>45510</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49488-2023</t>
        </is>
      </c>
      <c r="B1063" s="1" t="n">
        <v>45211</v>
      </c>
      <c r="C1063" s="1" t="n">
        <v>45510</v>
      </c>
      <c r="D1063" t="inlineStr">
        <is>
          <t>KALMAR LÄN</t>
        </is>
      </c>
      <c r="E1063" t="inlineStr">
        <is>
          <t>VIMMERBY</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49756-2023</t>
        </is>
      </c>
      <c r="B1064" s="1" t="n">
        <v>45212</v>
      </c>
      <c r="C1064" s="1" t="n">
        <v>45510</v>
      </c>
      <c r="D1064" t="inlineStr">
        <is>
          <t>KALMAR LÄN</t>
        </is>
      </c>
      <c r="E1064" t="inlineStr">
        <is>
          <t>VIMMERBY</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50087-2023</t>
        </is>
      </c>
      <c r="B1065" s="1" t="n">
        <v>45215</v>
      </c>
      <c r="C1065" s="1" t="n">
        <v>45510</v>
      </c>
      <c r="D1065" t="inlineStr">
        <is>
          <t>KALMAR LÄN</t>
        </is>
      </c>
      <c r="E1065" t="inlineStr">
        <is>
          <t>VIMMERBY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50088-2023</t>
        </is>
      </c>
      <c r="B1066" s="1" t="n">
        <v>45215</v>
      </c>
      <c r="C1066" s="1" t="n">
        <v>45510</v>
      </c>
      <c r="D1066" t="inlineStr">
        <is>
          <t>KALMAR LÄN</t>
        </is>
      </c>
      <c r="E1066" t="inlineStr">
        <is>
          <t>VIMMERBY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50093-2023</t>
        </is>
      </c>
      <c r="B1067" s="1" t="n">
        <v>45215</v>
      </c>
      <c r="C1067" s="1" t="n">
        <v>45510</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50091-2023</t>
        </is>
      </c>
      <c r="B1068" s="1" t="n">
        <v>45215</v>
      </c>
      <c r="C1068" s="1" t="n">
        <v>45510</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50085-2023</t>
        </is>
      </c>
      <c r="B1069" s="1" t="n">
        <v>45215</v>
      </c>
      <c r="C1069" s="1" t="n">
        <v>45510</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50648-2023</t>
        </is>
      </c>
      <c r="B1070" s="1" t="n">
        <v>45217</v>
      </c>
      <c r="C1070" s="1" t="n">
        <v>45510</v>
      </c>
      <c r="D1070" t="inlineStr">
        <is>
          <t>KALMAR LÄN</t>
        </is>
      </c>
      <c r="E1070" t="inlineStr">
        <is>
          <t>VIMMERBY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52257-2023</t>
        </is>
      </c>
      <c r="B1071" s="1" t="n">
        <v>45217</v>
      </c>
      <c r="C1071" s="1" t="n">
        <v>45510</v>
      </c>
      <c r="D1071" t="inlineStr">
        <is>
          <t>KALMAR LÄN</t>
        </is>
      </c>
      <c r="E1071" t="inlineStr">
        <is>
          <t>VIMMERBY</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50934-2023</t>
        </is>
      </c>
      <c r="B1072" s="1" t="n">
        <v>45218</v>
      </c>
      <c r="C1072" s="1" t="n">
        <v>45510</v>
      </c>
      <c r="D1072" t="inlineStr">
        <is>
          <t>KALMAR LÄN</t>
        </is>
      </c>
      <c r="E1072" t="inlineStr">
        <is>
          <t>VIMMERBY</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51408-2023</t>
        </is>
      </c>
      <c r="B1073" s="1" t="n">
        <v>45219</v>
      </c>
      <c r="C1073" s="1" t="n">
        <v>45510</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51187-2023</t>
        </is>
      </c>
      <c r="B1074" s="1" t="n">
        <v>45219</v>
      </c>
      <c r="C1074" s="1" t="n">
        <v>45510</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51775-2023</t>
        </is>
      </c>
      <c r="B1075" s="1" t="n">
        <v>45222</v>
      </c>
      <c r="C1075" s="1" t="n">
        <v>45510</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51552-2023</t>
        </is>
      </c>
      <c r="B1076" s="1" t="n">
        <v>45222</v>
      </c>
      <c r="C1076" s="1" t="n">
        <v>45510</v>
      </c>
      <c r="D1076" t="inlineStr">
        <is>
          <t>KALMAR LÄN</t>
        </is>
      </c>
      <c r="E1076" t="inlineStr">
        <is>
          <t>VIMMERBY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52279-2023</t>
        </is>
      </c>
      <c r="B1077" s="1" t="n">
        <v>45224</v>
      </c>
      <c r="C1077" s="1" t="n">
        <v>45510</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52294-2023</t>
        </is>
      </c>
      <c r="B1078" s="1" t="n">
        <v>45224</v>
      </c>
      <c r="C1078" s="1" t="n">
        <v>45510</v>
      </c>
      <c r="D1078" t="inlineStr">
        <is>
          <t>KALMAR LÄN</t>
        </is>
      </c>
      <c r="E1078" t="inlineStr">
        <is>
          <t>VIMMERBY</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52327-2023</t>
        </is>
      </c>
      <c r="B1079" s="1" t="n">
        <v>45224</v>
      </c>
      <c r="C1079" s="1" t="n">
        <v>45510</v>
      </c>
      <c r="D1079" t="inlineStr">
        <is>
          <t>KALMAR LÄN</t>
        </is>
      </c>
      <c r="E1079" t="inlineStr">
        <is>
          <t>VIMMERBY</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52208-2023</t>
        </is>
      </c>
      <c r="B1080" s="1" t="n">
        <v>45224</v>
      </c>
      <c r="C1080" s="1" t="n">
        <v>45510</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52324-2023</t>
        </is>
      </c>
      <c r="B1081" s="1" t="n">
        <v>45224</v>
      </c>
      <c r="C1081" s="1" t="n">
        <v>45510</v>
      </c>
      <c r="D1081" t="inlineStr">
        <is>
          <t>KALMAR LÄN</t>
        </is>
      </c>
      <c r="E1081" t="inlineStr">
        <is>
          <t>VIMMERBY</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52411-2023</t>
        </is>
      </c>
      <c r="B1082" s="1" t="n">
        <v>45225</v>
      </c>
      <c r="C1082" s="1" t="n">
        <v>45510</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52588-2023</t>
        </is>
      </c>
      <c r="B1083" s="1" t="n">
        <v>45225</v>
      </c>
      <c r="C1083" s="1" t="n">
        <v>45510</v>
      </c>
      <c r="D1083" t="inlineStr">
        <is>
          <t>KALMAR LÄN</t>
        </is>
      </c>
      <c r="E1083" t="inlineStr">
        <is>
          <t>VIMMERBY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52616-2023</t>
        </is>
      </c>
      <c r="B1084" s="1" t="n">
        <v>45225</v>
      </c>
      <c r="C1084" s="1" t="n">
        <v>45510</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52623-2023</t>
        </is>
      </c>
      <c r="B1085" s="1" t="n">
        <v>45225</v>
      </c>
      <c r="C1085" s="1" t="n">
        <v>45510</v>
      </c>
      <c r="D1085" t="inlineStr">
        <is>
          <t>KALMAR LÄN</t>
        </is>
      </c>
      <c r="E1085" t="inlineStr">
        <is>
          <t>VIMMERBY</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52703-2023</t>
        </is>
      </c>
      <c r="B1086" s="1" t="n">
        <v>45225</v>
      </c>
      <c r="C1086" s="1" t="n">
        <v>45510</v>
      </c>
      <c r="D1086" t="inlineStr">
        <is>
          <t>KALMAR LÄN</t>
        </is>
      </c>
      <c r="E1086" t="inlineStr">
        <is>
          <t>VIMMERBY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53220-2023</t>
        </is>
      </c>
      <c r="B1087" s="1" t="n">
        <v>45229</v>
      </c>
      <c r="C1087" s="1" t="n">
        <v>45510</v>
      </c>
      <c r="D1087" t="inlineStr">
        <is>
          <t>KALMAR LÄN</t>
        </is>
      </c>
      <c r="E1087" t="inlineStr">
        <is>
          <t>VIMMERBY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54084-2023</t>
        </is>
      </c>
      <c r="B1088" s="1" t="n">
        <v>45232</v>
      </c>
      <c r="C1088" s="1" t="n">
        <v>45510</v>
      </c>
      <c r="D1088" t="inlineStr">
        <is>
          <t>KALMAR LÄN</t>
        </is>
      </c>
      <c r="E1088" t="inlineStr">
        <is>
          <t>VIMMERBY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54086-2023</t>
        </is>
      </c>
      <c r="B1089" s="1" t="n">
        <v>45232</v>
      </c>
      <c r="C1089" s="1" t="n">
        <v>45510</v>
      </c>
      <c r="D1089" t="inlineStr">
        <is>
          <t>KALMAR LÄN</t>
        </is>
      </c>
      <c r="E1089" t="inlineStr">
        <is>
          <t>VIMMERBY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55716-2023</t>
        </is>
      </c>
      <c r="B1090" s="1" t="n">
        <v>45232</v>
      </c>
      <c r="C1090" s="1" t="n">
        <v>45510</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54785-2023</t>
        </is>
      </c>
      <c r="B1091" s="1" t="n">
        <v>45236</v>
      </c>
      <c r="C1091" s="1" t="n">
        <v>45510</v>
      </c>
      <c r="D1091" t="inlineStr">
        <is>
          <t>KALMAR LÄN</t>
        </is>
      </c>
      <c r="E1091" t="inlineStr">
        <is>
          <t>VIMMERBY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54787-2023</t>
        </is>
      </c>
      <c r="B1092" s="1" t="n">
        <v>45236</v>
      </c>
      <c r="C1092" s="1" t="n">
        <v>45510</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55236-2023</t>
        </is>
      </c>
      <c r="B1093" s="1" t="n">
        <v>45237</v>
      </c>
      <c r="C1093" s="1" t="n">
        <v>45510</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55245-2023</t>
        </is>
      </c>
      <c r="B1094" s="1" t="n">
        <v>45237</v>
      </c>
      <c r="C1094" s="1" t="n">
        <v>45510</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55279-2023</t>
        </is>
      </c>
      <c r="B1095" s="1" t="n">
        <v>45237</v>
      </c>
      <c r="C1095" s="1" t="n">
        <v>45510</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55457-2023</t>
        </is>
      </c>
      <c r="B1096" s="1" t="n">
        <v>45238</v>
      </c>
      <c r="C1096" s="1" t="n">
        <v>45510</v>
      </c>
      <c r="D1096" t="inlineStr">
        <is>
          <t>KALMAR LÄN</t>
        </is>
      </c>
      <c r="E1096" t="inlineStr">
        <is>
          <t>VIMMERBY</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55470-2023</t>
        </is>
      </c>
      <c r="B1097" s="1" t="n">
        <v>45238</v>
      </c>
      <c r="C1097" s="1" t="n">
        <v>45510</v>
      </c>
      <c r="D1097" t="inlineStr">
        <is>
          <t>KALMAR LÄN</t>
        </is>
      </c>
      <c r="E1097" t="inlineStr">
        <is>
          <t>VIMMERBY</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55436-2023</t>
        </is>
      </c>
      <c r="B1098" s="1" t="n">
        <v>45238</v>
      </c>
      <c r="C1098" s="1" t="n">
        <v>45510</v>
      </c>
      <c r="D1098" t="inlineStr">
        <is>
          <t>KALMAR LÄN</t>
        </is>
      </c>
      <c r="E1098" t="inlineStr">
        <is>
          <t>VIMMERBY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55510-2023</t>
        </is>
      </c>
      <c r="B1099" s="1" t="n">
        <v>45238</v>
      </c>
      <c r="C1099" s="1" t="n">
        <v>45510</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55442-2023</t>
        </is>
      </c>
      <c r="B1100" s="1" t="n">
        <v>45238</v>
      </c>
      <c r="C1100" s="1" t="n">
        <v>45510</v>
      </c>
      <c r="D1100" t="inlineStr">
        <is>
          <t>KALMAR LÄN</t>
        </is>
      </c>
      <c r="E1100" t="inlineStr">
        <is>
          <t>VIMMERBY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56657-2023</t>
        </is>
      </c>
      <c r="B1101" s="1" t="n">
        <v>45243</v>
      </c>
      <c r="C1101" s="1" t="n">
        <v>45510</v>
      </c>
      <c r="D1101" t="inlineStr">
        <is>
          <t>KALMAR LÄN</t>
        </is>
      </c>
      <c r="E1101" t="inlineStr">
        <is>
          <t>VIMMERBY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56659-2023</t>
        </is>
      </c>
      <c r="B1102" s="1" t="n">
        <v>45243</v>
      </c>
      <c r="C1102" s="1" t="n">
        <v>45510</v>
      </c>
      <c r="D1102" t="inlineStr">
        <is>
          <t>KALMAR LÄN</t>
        </is>
      </c>
      <c r="E1102" t="inlineStr">
        <is>
          <t>VIMMERBY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57036-2023</t>
        </is>
      </c>
      <c r="B1103" s="1" t="n">
        <v>45244</v>
      </c>
      <c r="C1103" s="1" t="n">
        <v>45510</v>
      </c>
      <c r="D1103" t="inlineStr">
        <is>
          <t>KALMAR LÄN</t>
        </is>
      </c>
      <c r="E1103" t="inlineStr">
        <is>
          <t>VIMMERBY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57040-2023</t>
        </is>
      </c>
      <c r="B1104" s="1" t="n">
        <v>45244</v>
      </c>
      <c r="C1104" s="1" t="n">
        <v>45510</v>
      </c>
      <c r="D1104" t="inlineStr">
        <is>
          <t>KALMAR LÄN</t>
        </is>
      </c>
      <c r="E1104" t="inlineStr">
        <is>
          <t>VIMMERBY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57254-2023</t>
        </is>
      </c>
      <c r="B1105" s="1" t="n">
        <v>45245</v>
      </c>
      <c r="C1105" s="1" t="n">
        <v>45510</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57114-2023</t>
        </is>
      </c>
      <c r="B1106" s="1" t="n">
        <v>45245</v>
      </c>
      <c r="C1106" s="1" t="n">
        <v>45510</v>
      </c>
      <c r="D1106" t="inlineStr">
        <is>
          <t>KALMAR LÄN</t>
        </is>
      </c>
      <c r="E1106" t="inlineStr">
        <is>
          <t>VIMMERBY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57264-2023</t>
        </is>
      </c>
      <c r="B1107" s="1" t="n">
        <v>45245</v>
      </c>
      <c r="C1107" s="1" t="n">
        <v>45510</v>
      </c>
      <c r="D1107" t="inlineStr">
        <is>
          <t>KALMAR LÄN</t>
        </is>
      </c>
      <c r="E1107" t="inlineStr">
        <is>
          <t>VIMMERBY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57311-2023</t>
        </is>
      </c>
      <c r="B1108" s="1" t="n">
        <v>45245</v>
      </c>
      <c r="C1108" s="1" t="n">
        <v>45510</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57256-2023</t>
        </is>
      </c>
      <c r="B1109" s="1" t="n">
        <v>45245</v>
      </c>
      <c r="C1109" s="1" t="n">
        <v>45510</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57269-2023</t>
        </is>
      </c>
      <c r="B1110" s="1" t="n">
        <v>45245</v>
      </c>
      <c r="C1110" s="1" t="n">
        <v>45510</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57317-2023</t>
        </is>
      </c>
      <c r="B1111" s="1" t="n">
        <v>45245</v>
      </c>
      <c r="C1111" s="1" t="n">
        <v>45510</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57329-2023</t>
        </is>
      </c>
      <c r="B1112" s="1" t="n">
        <v>45245</v>
      </c>
      <c r="C1112" s="1" t="n">
        <v>45510</v>
      </c>
      <c r="D1112" t="inlineStr">
        <is>
          <t>KALMAR LÄN</t>
        </is>
      </c>
      <c r="E1112" t="inlineStr">
        <is>
          <t>VIMMERBY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58278-2023</t>
        </is>
      </c>
      <c r="B1113" s="1" t="n">
        <v>45250</v>
      </c>
      <c r="C1113" s="1" t="n">
        <v>45510</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59598-2023</t>
        </is>
      </c>
      <c r="B1114" s="1" t="n">
        <v>45254</v>
      </c>
      <c r="C1114" s="1" t="n">
        <v>45510</v>
      </c>
      <c r="D1114" t="inlineStr">
        <is>
          <t>KALMAR LÄN</t>
        </is>
      </c>
      <c r="E1114" t="inlineStr">
        <is>
          <t>VIMMERBY</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59943-2023</t>
        </is>
      </c>
      <c r="B1115" s="1" t="n">
        <v>45257</v>
      </c>
      <c r="C1115" s="1" t="n">
        <v>45510</v>
      </c>
      <c r="D1115" t="inlineStr">
        <is>
          <t>KALMAR LÄN</t>
        </is>
      </c>
      <c r="E1115" t="inlineStr">
        <is>
          <t>VIMMERBY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59955-2023</t>
        </is>
      </c>
      <c r="B1116" s="1" t="n">
        <v>45257</v>
      </c>
      <c r="C1116" s="1" t="n">
        <v>45510</v>
      </c>
      <c r="D1116" t="inlineStr">
        <is>
          <t>KALMAR LÄN</t>
        </is>
      </c>
      <c r="E1116" t="inlineStr">
        <is>
          <t>VIMMERBY</t>
        </is>
      </c>
      <c r="G1116" t="n">
        <v>13.8</v>
      </c>
      <c r="H1116" t="n">
        <v>0</v>
      </c>
      <c r="I1116" t="n">
        <v>0</v>
      </c>
      <c r="J1116" t="n">
        <v>0</v>
      </c>
      <c r="K1116" t="n">
        <v>0</v>
      </c>
      <c r="L1116" t="n">
        <v>0</v>
      </c>
      <c r="M1116" t="n">
        <v>0</v>
      </c>
      <c r="N1116" t="n">
        <v>0</v>
      </c>
      <c r="O1116" t="n">
        <v>0</v>
      </c>
      <c r="P1116" t="n">
        <v>0</v>
      </c>
      <c r="Q1116" t="n">
        <v>0</v>
      </c>
      <c r="R1116" s="2" t="inlineStr"/>
    </row>
    <row r="1117" ht="15" customHeight="1">
      <c r="A1117" t="inlineStr">
        <is>
          <t>A 60438-2023</t>
        </is>
      </c>
      <c r="B1117" s="1" t="n">
        <v>45259</v>
      </c>
      <c r="C1117" s="1" t="n">
        <v>45510</v>
      </c>
      <c r="D1117" t="inlineStr">
        <is>
          <t>KALMAR LÄN</t>
        </is>
      </c>
      <c r="E1117" t="inlineStr">
        <is>
          <t>VIMMERBY</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60437-2023</t>
        </is>
      </c>
      <c r="B1118" s="1" t="n">
        <v>45259</v>
      </c>
      <c r="C1118" s="1" t="n">
        <v>45510</v>
      </c>
      <c r="D1118" t="inlineStr">
        <is>
          <t>KALMAR LÄN</t>
        </is>
      </c>
      <c r="E1118" t="inlineStr">
        <is>
          <t>VIMMERBY</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60675-2023</t>
        </is>
      </c>
      <c r="B1119" s="1" t="n">
        <v>45260</v>
      </c>
      <c r="C1119" s="1" t="n">
        <v>45510</v>
      </c>
      <c r="D1119" t="inlineStr">
        <is>
          <t>KALMAR LÄN</t>
        </is>
      </c>
      <c r="E1119" t="inlineStr">
        <is>
          <t>VIMMERBY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60951-2023</t>
        </is>
      </c>
      <c r="B1120" s="1" t="n">
        <v>45261</v>
      </c>
      <c r="C1120" s="1" t="n">
        <v>45510</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61189-2023</t>
        </is>
      </c>
      <c r="B1121" s="1" t="n">
        <v>45264</v>
      </c>
      <c r="C1121" s="1" t="n">
        <v>45510</v>
      </c>
      <c r="D1121" t="inlineStr">
        <is>
          <t>KALMAR LÄN</t>
        </is>
      </c>
      <c r="E1121" t="inlineStr">
        <is>
          <t>VIMMERBY</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61227-2023</t>
        </is>
      </c>
      <c r="B1122" s="1" t="n">
        <v>45264</v>
      </c>
      <c r="C1122" s="1" t="n">
        <v>45510</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61224-2023</t>
        </is>
      </c>
      <c r="B1123" s="1" t="n">
        <v>45264</v>
      </c>
      <c r="C1123" s="1" t="n">
        <v>45510</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61221-2023</t>
        </is>
      </c>
      <c r="B1124" s="1" t="n">
        <v>45264</v>
      </c>
      <c r="C1124" s="1" t="n">
        <v>45510</v>
      </c>
      <c r="D1124" t="inlineStr">
        <is>
          <t>KALMAR LÄN</t>
        </is>
      </c>
      <c r="E1124" t="inlineStr">
        <is>
          <t>VIMMERBY</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61817-2023</t>
        </is>
      </c>
      <c r="B1125" s="1" t="n">
        <v>45266</v>
      </c>
      <c r="C1125" s="1" t="n">
        <v>45510</v>
      </c>
      <c r="D1125" t="inlineStr">
        <is>
          <t>KALMAR LÄN</t>
        </is>
      </c>
      <c r="E1125" t="inlineStr">
        <is>
          <t>VIMMERBY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61825-2023</t>
        </is>
      </c>
      <c r="B1126" s="1" t="n">
        <v>45266</v>
      </c>
      <c r="C1126" s="1" t="n">
        <v>45510</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61820-2023</t>
        </is>
      </c>
      <c r="B1127" s="1" t="n">
        <v>45266</v>
      </c>
      <c r="C1127" s="1" t="n">
        <v>45510</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62615-2023</t>
        </is>
      </c>
      <c r="B1128" s="1" t="n">
        <v>45271</v>
      </c>
      <c r="C1128" s="1" t="n">
        <v>45510</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62779-2023</t>
        </is>
      </c>
      <c r="B1129" s="1" t="n">
        <v>45271</v>
      </c>
      <c r="C1129" s="1" t="n">
        <v>45510</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62852-2023</t>
        </is>
      </c>
      <c r="B1130" s="1" t="n">
        <v>45272</v>
      </c>
      <c r="C1130" s="1" t="n">
        <v>45510</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62997-2023</t>
        </is>
      </c>
      <c r="B1131" s="1" t="n">
        <v>45272</v>
      </c>
      <c r="C1131" s="1" t="n">
        <v>45510</v>
      </c>
      <c r="D1131" t="inlineStr">
        <is>
          <t>KALMAR LÄN</t>
        </is>
      </c>
      <c r="E1131" t="inlineStr">
        <is>
          <t>VIMMERBY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63284-2023</t>
        </is>
      </c>
      <c r="B1132" s="1" t="n">
        <v>45273</v>
      </c>
      <c r="C1132" s="1" t="n">
        <v>45510</v>
      </c>
      <c r="D1132" t="inlineStr">
        <is>
          <t>KALMAR LÄN</t>
        </is>
      </c>
      <c r="E1132" t="inlineStr">
        <is>
          <t>VIMMERBY</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63541-2023</t>
        </is>
      </c>
      <c r="B1133" s="1" t="n">
        <v>45275</v>
      </c>
      <c r="C1133" s="1" t="n">
        <v>45510</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63583-2023</t>
        </is>
      </c>
      <c r="B1134" s="1" t="n">
        <v>45275</v>
      </c>
      <c r="C1134" s="1" t="n">
        <v>45510</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63969-2023</t>
        </is>
      </c>
      <c r="B1135" s="1" t="n">
        <v>45278</v>
      </c>
      <c r="C1135" s="1" t="n">
        <v>45510</v>
      </c>
      <c r="D1135" t="inlineStr">
        <is>
          <t>KALMAR LÄN</t>
        </is>
      </c>
      <c r="E1135" t="inlineStr">
        <is>
          <t>VIMMERBY</t>
        </is>
      </c>
      <c r="F1135" t="inlineStr">
        <is>
          <t>Kyrkan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63950-2023</t>
        </is>
      </c>
      <c r="B1136" s="1" t="n">
        <v>45278</v>
      </c>
      <c r="C1136" s="1" t="n">
        <v>45510</v>
      </c>
      <c r="D1136" t="inlineStr">
        <is>
          <t>KALMAR LÄN</t>
        </is>
      </c>
      <c r="E1136" t="inlineStr">
        <is>
          <t>VIMMERBY</t>
        </is>
      </c>
      <c r="F1136" t="inlineStr">
        <is>
          <t>Kyrkan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64428-2023</t>
        </is>
      </c>
      <c r="B1137" s="1" t="n">
        <v>45280</v>
      </c>
      <c r="C1137" s="1" t="n">
        <v>45510</v>
      </c>
      <c r="D1137" t="inlineStr">
        <is>
          <t>KALMAR LÄN</t>
        </is>
      </c>
      <c r="E1137" t="inlineStr">
        <is>
          <t>VIMMERBY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65237-2023</t>
        </is>
      </c>
      <c r="B1138" s="1" t="n">
        <v>45289</v>
      </c>
      <c r="C1138" s="1" t="n">
        <v>45510</v>
      </c>
      <c r="D1138" t="inlineStr">
        <is>
          <t>KALMAR LÄN</t>
        </is>
      </c>
      <c r="E1138" t="inlineStr">
        <is>
          <t>VIMMERBY</t>
        </is>
      </c>
      <c r="F1138" t="inlineStr">
        <is>
          <t>Kyrkan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65238-2023</t>
        </is>
      </c>
      <c r="B1139" s="1" t="n">
        <v>45289</v>
      </c>
      <c r="C1139" s="1" t="n">
        <v>45510</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205-2024</t>
        </is>
      </c>
      <c r="B1140" s="1" t="n">
        <v>45294</v>
      </c>
      <c r="C1140" s="1" t="n">
        <v>45510</v>
      </c>
      <c r="D1140" t="inlineStr">
        <is>
          <t>KALMAR LÄN</t>
        </is>
      </c>
      <c r="E1140" t="inlineStr">
        <is>
          <t>VIMMERBY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526-2024</t>
        </is>
      </c>
      <c r="B1141" s="1" t="n">
        <v>45299</v>
      </c>
      <c r="C1141" s="1" t="n">
        <v>45510</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627-2024</t>
        </is>
      </c>
      <c r="B1142" s="1" t="n">
        <v>45299</v>
      </c>
      <c r="C1142" s="1" t="n">
        <v>45510</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529-2024</t>
        </is>
      </c>
      <c r="B1143" s="1" t="n">
        <v>45299</v>
      </c>
      <c r="C1143" s="1" t="n">
        <v>45510</v>
      </c>
      <c r="D1143" t="inlineStr">
        <is>
          <t>KALMAR LÄN</t>
        </is>
      </c>
      <c r="E1143" t="inlineStr">
        <is>
          <t>VIMMERBY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527-2024</t>
        </is>
      </c>
      <c r="B1144" s="1" t="n">
        <v>45299</v>
      </c>
      <c r="C1144" s="1" t="n">
        <v>45510</v>
      </c>
      <c r="D1144" t="inlineStr">
        <is>
          <t>KALMAR LÄN</t>
        </is>
      </c>
      <c r="E1144" t="inlineStr">
        <is>
          <t>VIMMERBY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585-2024</t>
        </is>
      </c>
      <c r="B1145" s="1" t="n">
        <v>45299</v>
      </c>
      <c r="C1145" s="1" t="n">
        <v>45510</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690-2024</t>
        </is>
      </c>
      <c r="B1146" s="1" t="n">
        <v>45300</v>
      </c>
      <c r="C1146" s="1" t="n">
        <v>45510</v>
      </c>
      <c r="D1146" t="inlineStr">
        <is>
          <t>KALMAR LÄN</t>
        </is>
      </c>
      <c r="E1146" t="inlineStr">
        <is>
          <t>VIMMERBY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694-2024</t>
        </is>
      </c>
      <c r="B1147" s="1" t="n">
        <v>45300</v>
      </c>
      <c r="C1147" s="1" t="n">
        <v>45510</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1017-2024</t>
        </is>
      </c>
      <c r="B1148" s="1" t="n">
        <v>45301</v>
      </c>
      <c r="C1148" s="1" t="n">
        <v>45510</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1021-2024</t>
        </is>
      </c>
      <c r="B1149" s="1" t="n">
        <v>45301</v>
      </c>
      <c r="C1149" s="1" t="n">
        <v>45510</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1015-2024</t>
        </is>
      </c>
      <c r="B1150" s="1" t="n">
        <v>45301</v>
      </c>
      <c r="C1150" s="1" t="n">
        <v>45510</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1018-2024</t>
        </is>
      </c>
      <c r="B1151" s="1" t="n">
        <v>45301</v>
      </c>
      <c r="C1151" s="1" t="n">
        <v>45510</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1023-2024</t>
        </is>
      </c>
      <c r="B1152" s="1" t="n">
        <v>45301</v>
      </c>
      <c r="C1152" s="1" t="n">
        <v>45510</v>
      </c>
      <c r="D1152" t="inlineStr">
        <is>
          <t>KALMAR LÄN</t>
        </is>
      </c>
      <c r="E1152" t="inlineStr">
        <is>
          <t>VIMMERBY</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1016-2024</t>
        </is>
      </c>
      <c r="B1153" s="1" t="n">
        <v>45301</v>
      </c>
      <c r="C1153" s="1" t="n">
        <v>45510</v>
      </c>
      <c r="D1153" t="inlineStr">
        <is>
          <t>KALMAR LÄN</t>
        </is>
      </c>
      <c r="E1153" t="inlineStr">
        <is>
          <t>VIMMERBY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1024-2024</t>
        </is>
      </c>
      <c r="B1154" s="1" t="n">
        <v>45301</v>
      </c>
      <c r="C1154" s="1" t="n">
        <v>45510</v>
      </c>
      <c r="D1154" t="inlineStr">
        <is>
          <t>KALMAR LÄN</t>
        </is>
      </c>
      <c r="E1154" t="inlineStr">
        <is>
          <t>VIMMERBY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1225-2024</t>
        </is>
      </c>
      <c r="B1155" s="1" t="n">
        <v>45302</v>
      </c>
      <c r="C1155" s="1" t="n">
        <v>45510</v>
      </c>
      <c r="D1155" t="inlineStr">
        <is>
          <t>KALMAR LÄN</t>
        </is>
      </c>
      <c r="E1155" t="inlineStr">
        <is>
          <t>VIMMERBY</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1417-2024</t>
        </is>
      </c>
      <c r="B1156" s="1" t="n">
        <v>45303</v>
      </c>
      <c r="C1156" s="1" t="n">
        <v>45510</v>
      </c>
      <c r="D1156" t="inlineStr">
        <is>
          <t>KALMAR LÄN</t>
        </is>
      </c>
      <c r="E1156" t="inlineStr">
        <is>
          <t>VIMMERBY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1626-2024</t>
        </is>
      </c>
      <c r="B1157" s="1" t="n">
        <v>45306</v>
      </c>
      <c r="C1157" s="1" t="n">
        <v>45510</v>
      </c>
      <c r="D1157" t="inlineStr">
        <is>
          <t>KALMAR LÄN</t>
        </is>
      </c>
      <c r="E1157" t="inlineStr">
        <is>
          <t>VIMMERBY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1628-2024</t>
        </is>
      </c>
      <c r="B1158" s="1" t="n">
        <v>45306</v>
      </c>
      <c r="C1158" s="1" t="n">
        <v>45510</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1985-2024</t>
        </is>
      </c>
      <c r="B1159" s="1" t="n">
        <v>45308</v>
      </c>
      <c r="C1159" s="1" t="n">
        <v>45510</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1978-2024</t>
        </is>
      </c>
      <c r="B1160" s="1" t="n">
        <v>45308</v>
      </c>
      <c r="C1160" s="1" t="n">
        <v>45510</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1986-2024</t>
        </is>
      </c>
      <c r="B1161" s="1" t="n">
        <v>45308</v>
      </c>
      <c r="C1161" s="1" t="n">
        <v>45510</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1987-2024</t>
        </is>
      </c>
      <c r="B1162" s="1" t="n">
        <v>45308</v>
      </c>
      <c r="C1162" s="1" t="n">
        <v>45510</v>
      </c>
      <c r="D1162" t="inlineStr">
        <is>
          <t>KALMAR LÄN</t>
        </is>
      </c>
      <c r="E1162" t="inlineStr">
        <is>
          <t>VIMMERBY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2157-2024</t>
        </is>
      </c>
      <c r="B1163" s="1" t="n">
        <v>45309</v>
      </c>
      <c r="C1163" s="1" t="n">
        <v>45510</v>
      </c>
      <c r="D1163" t="inlineStr">
        <is>
          <t>KALMAR LÄN</t>
        </is>
      </c>
      <c r="E1163" t="inlineStr">
        <is>
          <t>VIMMERBY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2213-2024</t>
        </is>
      </c>
      <c r="B1164" s="1" t="n">
        <v>45309</v>
      </c>
      <c r="C1164" s="1" t="n">
        <v>45510</v>
      </c>
      <c r="D1164" t="inlineStr">
        <is>
          <t>KALMAR LÄN</t>
        </is>
      </c>
      <c r="E1164" t="inlineStr">
        <is>
          <t>VIMMERBY</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2331-2024</t>
        </is>
      </c>
      <c r="B1165" s="1" t="n">
        <v>45310</v>
      </c>
      <c r="C1165" s="1" t="n">
        <v>45510</v>
      </c>
      <c r="D1165" t="inlineStr">
        <is>
          <t>KALMAR LÄN</t>
        </is>
      </c>
      <c r="E1165" t="inlineStr">
        <is>
          <t>VIMMERBY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2330-2024</t>
        </is>
      </c>
      <c r="B1166" s="1" t="n">
        <v>45310</v>
      </c>
      <c r="C1166" s="1" t="n">
        <v>45510</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3031-2024</t>
        </is>
      </c>
      <c r="B1167" s="1" t="n">
        <v>45316</v>
      </c>
      <c r="C1167" s="1" t="n">
        <v>45510</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3029-2024</t>
        </is>
      </c>
      <c r="B1168" s="1" t="n">
        <v>45316</v>
      </c>
      <c r="C1168" s="1" t="n">
        <v>45510</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3028-2024</t>
        </is>
      </c>
      <c r="B1169" s="1" t="n">
        <v>45316</v>
      </c>
      <c r="C1169" s="1" t="n">
        <v>45510</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3156-2024</t>
        </is>
      </c>
      <c r="B1170" s="1" t="n">
        <v>45316</v>
      </c>
      <c r="C1170" s="1" t="n">
        <v>45510</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3269-2024</t>
        </is>
      </c>
      <c r="B1171" s="1" t="n">
        <v>45317</v>
      </c>
      <c r="C1171" s="1" t="n">
        <v>45510</v>
      </c>
      <c r="D1171" t="inlineStr">
        <is>
          <t>KALMAR LÄN</t>
        </is>
      </c>
      <c r="E1171" t="inlineStr">
        <is>
          <t>VIMMERBY</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3268-2024</t>
        </is>
      </c>
      <c r="B1172" s="1" t="n">
        <v>45317</v>
      </c>
      <c r="C1172" s="1" t="n">
        <v>45510</v>
      </c>
      <c r="D1172" t="inlineStr">
        <is>
          <t>KALMAR LÄN</t>
        </is>
      </c>
      <c r="E1172" t="inlineStr">
        <is>
          <t>VIMMERBY</t>
        </is>
      </c>
      <c r="F1172" t="inlineStr">
        <is>
          <t>Övriga Aktiebolag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3373-2024</t>
        </is>
      </c>
      <c r="B1173" s="1" t="n">
        <v>45317</v>
      </c>
      <c r="C1173" s="1" t="n">
        <v>45510</v>
      </c>
      <c r="D1173" t="inlineStr">
        <is>
          <t>KALMAR LÄN</t>
        </is>
      </c>
      <c r="E1173" t="inlineStr">
        <is>
          <t>VIMMERBY</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3609-2024</t>
        </is>
      </c>
      <c r="B1174" s="1" t="n">
        <v>45320</v>
      </c>
      <c r="C1174" s="1" t="n">
        <v>45510</v>
      </c>
      <c r="D1174" t="inlineStr">
        <is>
          <t>KALMAR LÄN</t>
        </is>
      </c>
      <c r="E1174" t="inlineStr">
        <is>
          <t>VIMMERBY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4058-2024</t>
        </is>
      </c>
      <c r="B1175" s="1" t="n">
        <v>45323</v>
      </c>
      <c r="C1175" s="1" t="n">
        <v>45510</v>
      </c>
      <c r="D1175" t="inlineStr">
        <is>
          <t>KALMAR LÄN</t>
        </is>
      </c>
      <c r="E1175" t="inlineStr">
        <is>
          <t>VIMMERBY</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4359-2024</t>
        </is>
      </c>
      <c r="B1176" s="1" t="n">
        <v>45325</v>
      </c>
      <c r="C1176" s="1" t="n">
        <v>45510</v>
      </c>
      <c r="D1176" t="inlineStr">
        <is>
          <t>KALMAR LÄN</t>
        </is>
      </c>
      <c r="E1176" t="inlineStr">
        <is>
          <t>VIMMERBY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4624-2024</t>
        </is>
      </c>
      <c r="B1177" s="1" t="n">
        <v>45328</v>
      </c>
      <c r="C1177" s="1" t="n">
        <v>45510</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4622-2024</t>
        </is>
      </c>
      <c r="B1178" s="1" t="n">
        <v>45328</v>
      </c>
      <c r="C1178" s="1" t="n">
        <v>45510</v>
      </c>
      <c r="D1178" t="inlineStr">
        <is>
          <t>KALMAR LÄN</t>
        </is>
      </c>
      <c r="E1178" t="inlineStr">
        <is>
          <t>VIMMERBY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4861-2024</t>
        </is>
      </c>
      <c r="B1179" s="1" t="n">
        <v>45329</v>
      </c>
      <c r="C1179" s="1" t="n">
        <v>45510</v>
      </c>
      <c r="D1179" t="inlineStr">
        <is>
          <t>KALMAR LÄN</t>
        </is>
      </c>
      <c r="E1179" t="inlineStr">
        <is>
          <t>VIMMERBY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4867-2024</t>
        </is>
      </c>
      <c r="B1180" s="1" t="n">
        <v>45329</v>
      </c>
      <c r="C1180" s="1" t="n">
        <v>45510</v>
      </c>
      <c r="D1180" t="inlineStr">
        <is>
          <t>KALMAR LÄN</t>
        </is>
      </c>
      <c r="E1180" t="inlineStr">
        <is>
          <t>VIMMERBY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4899-2024</t>
        </is>
      </c>
      <c r="B1181" s="1" t="n">
        <v>45329</v>
      </c>
      <c r="C1181" s="1" t="n">
        <v>45510</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5206-2024</t>
        </is>
      </c>
      <c r="B1182" s="1" t="n">
        <v>45330</v>
      </c>
      <c r="C1182" s="1" t="n">
        <v>45510</v>
      </c>
      <c r="D1182" t="inlineStr">
        <is>
          <t>KALMAR LÄN</t>
        </is>
      </c>
      <c r="E1182" t="inlineStr">
        <is>
          <t>VIMMERBY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5146-2024</t>
        </is>
      </c>
      <c r="B1183" s="1" t="n">
        <v>45330</v>
      </c>
      <c r="C1183" s="1" t="n">
        <v>45510</v>
      </c>
      <c r="D1183" t="inlineStr">
        <is>
          <t>KALMAR LÄN</t>
        </is>
      </c>
      <c r="E1183" t="inlineStr">
        <is>
          <t>VIMMERBY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5200-2024</t>
        </is>
      </c>
      <c r="B1184" s="1" t="n">
        <v>45330</v>
      </c>
      <c r="C1184" s="1" t="n">
        <v>45510</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5148-2024</t>
        </is>
      </c>
      <c r="B1185" s="1" t="n">
        <v>45330</v>
      </c>
      <c r="C1185" s="1" t="n">
        <v>45510</v>
      </c>
      <c r="D1185" t="inlineStr">
        <is>
          <t>KALMAR LÄN</t>
        </is>
      </c>
      <c r="E1185" t="inlineStr">
        <is>
          <t>VIMMERBY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5703-2024</t>
        </is>
      </c>
      <c r="B1186" s="1" t="n">
        <v>45334</v>
      </c>
      <c r="C1186" s="1" t="n">
        <v>45510</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5701-2024</t>
        </is>
      </c>
      <c r="B1187" s="1" t="n">
        <v>45334</v>
      </c>
      <c r="C1187" s="1" t="n">
        <v>45510</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5704-2024</t>
        </is>
      </c>
      <c r="B1188" s="1" t="n">
        <v>45334</v>
      </c>
      <c r="C1188" s="1" t="n">
        <v>45510</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5708-2024</t>
        </is>
      </c>
      <c r="B1189" s="1" t="n">
        <v>45334</v>
      </c>
      <c r="C1189" s="1" t="n">
        <v>45510</v>
      </c>
      <c r="D1189" t="inlineStr">
        <is>
          <t>KALMAR LÄN</t>
        </is>
      </c>
      <c r="E1189" t="inlineStr">
        <is>
          <t>VIMMERBY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6212-2024</t>
        </is>
      </c>
      <c r="B1190" s="1" t="n">
        <v>45337</v>
      </c>
      <c r="C1190" s="1" t="n">
        <v>45510</v>
      </c>
      <c r="D1190" t="inlineStr">
        <is>
          <t>KALMAR LÄN</t>
        </is>
      </c>
      <c r="E1190" t="inlineStr">
        <is>
          <t>VIMMERBY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6373-2024</t>
        </is>
      </c>
      <c r="B1191" s="1" t="n">
        <v>45338</v>
      </c>
      <c r="C1191" s="1" t="n">
        <v>45510</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6491-2024</t>
        </is>
      </c>
      <c r="B1192" s="1" t="n">
        <v>45339</v>
      </c>
      <c r="C1192" s="1" t="n">
        <v>45510</v>
      </c>
      <c r="D1192" t="inlineStr">
        <is>
          <t>KALMAR LÄN</t>
        </is>
      </c>
      <c r="E1192" t="inlineStr">
        <is>
          <t>VIMMERBY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6508-2024</t>
        </is>
      </c>
      <c r="B1193" s="1" t="n">
        <v>45340</v>
      </c>
      <c r="C1193" s="1" t="n">
        <v>45510</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7068-2024</t>
        </is>
      </c>
      <c r="B1194" s="1" t="n">
        <v>45343</v>
      </c>
      <c r="C1194" s="1" t="n">
        <v>45510</v>
      </c>
      <c r="D1194" t="inlineStr">
        <is>
          <t>KALMAR LÄN</t>
        </is>
      </c>
      <c r="E1194" t="inlineStr">
        <is>
          <t>VIMMERBY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7070-2024</t>
        </is>
      </c>
      <c r="B1195" s="1" t="n">
        <v>45343</v>
      </c>
      <c r="C1195" s="1" t="n">
        <v>45510</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7456-2024</t>
        </is>
      </c>
      <c r="B1196" s="1" t="n">
        <v>45345</v>
      </c>
      <c r="C1196" s="1" t="n">
        <v>45510</v>
      </c>
      <c r="D1196" t="inlineStr">
        <is>
          <t>KALMAR LÄN</t>
        </is>
      </c>
      <c r="E1196" t="inlineStr">
        <is>
          <t>VIMMERBY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7485-2024</t>
        </is>
      </c>
      <c r="B1197" s="1" t="n">
        <v>45346</v>
      </c>
      <c r="C1197" s="1" t="n">
        <v>45510</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7758-2024</t>
        </is>
      </c>
      <c r="B1198" s="1" t="n">
        <v>45349</v>
      </c>
      <c r="C1198" s="1" t="n">
        <v>45510</v>
      </c>
      <c r="D1198" t="inlineStr">
        <is>
          <t>KALMAR LÄN</t>
        </is>
      </c>
      <c r="E1198" t="inlineStr">
        <is>
          <t>VIMMERBY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7759-2024</t>
        </is>
      </c>
      <c r="B1199" s="1" t="n">
        <v>45349</v>
      </c>
      <c r="C1199" s="1" t="n">
        <v>45510</v>
      </c>
      <c r="D1199" t="inlineStr">
        <is>
          <t>KALMAR LÄN</t>
        </is>
      </c>
      <c r="E1199" t="inlineStr">
        <is>
          <t>VIMMERBY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7829-2024</t>
        </is>
      </c>
      <c r="B1200" s="1" t="n">
        <v>45349</v>
      </c>
      <c r="C1200" s="1" t="n">
        <v>45510</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7830-2024</t>
        </is>
      </c>
      <c r="B1201" s="1" t="n">
        <v>45349</v>
      </c>
      <c r="C1201" s="1" t="n">
        <v>45510</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7944-2024</t>
        </is>
      </c>
      <c r="B1202" s="1" t="n">
        <v>45350</v>
      </c>
      <c r="C1202" s="1" t="n">
        <v>45510</v>
      </c>
      <c r="D1202" t="inlineStr">
        <is>
          <t>KALMAR LÄN</t>
        </is>
      </c>
      <c r="E1202" t="inlineStr">
        <is>
          <t>VIMMERBY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8043-2024</t>
        </is>
      </c>
      <c r="B1203" s="1" t="n">
        <v>45351</v>
      </c>
      <c r="C1203" s="1" t="n">
        <v>45510</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8214-2024</t>
        </is>
      </c>
      <c r="B1204" s="1" t="n">
        <v>45351</v>
      </c>
      <c r="C1204" s="1" t="n">
        <v>45510</v>
      </c>
      <c r="D1204" t="inlineStr">
        <is>
          <t>KALMAR LÄN</t>
        </is>
      </c>
      <c r="E1204" t="inlineStr">
        <is>
          <t>VIMMERBY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8167-2024</t>
        </is>
      </c>
      <c r="B1205" s="1" t="n">
        <v>45351</v>
      </c>
      <c r="C1205" s="1" t="n">
        <v>45510</v>
      </c>
      <c r="D1205" t="inlineStr">
        <is>
          <t>KALMAR LÄN</t>
        </is>
      </c>
      <c r="E1205" t="inlineStr">
        <is>
          <t>VIMMERBY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8213-2024</t>
        </is>
      </c>
      <c r="B1206" s="1" t="n">
        <v>45351</v>
      </c>
      <c r="C1206" s="1" t="n">
        <v>45510</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8540-2024</t>
        </is>
      </c>
      <c r="B1207" s="1" t="n">
        <v>45355</v>
      </c>
      <c r="C1207" s="1" t="n">
        <v>45510</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8770-2024</t>
        </is>
      </c>
      <c r="B1208" s="1" t="n">
        <v>45356</v>
      </c>
      <c r="C1208" s="1" t="n">
        <v>45510</v>
      </c>
      <c r="D1208" t="inlineStr">
        <is>
          <t>KALMAR LÄN</t>
        </is>
      </c>
      <c r="E1208" t="inlineStr">
        <is>
          <t>VIMMERBY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9418-2024</t>
        </is>
      </c>
      <c r="B1209" s="1" t="n">
        <v>45359</v>
      </c>
      <c r="C1209" s="1" t="n">
        <v>45510</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9416-2024</t>
        </is>
      </c>
      <c r="B1210" s="1" t="n">
        <v>45359</v>
      </c>
      <c r="C1210" s="1" t="n">
        <v>45510</v>
      </c>
      <c r="D1210" t="inlineStr">
        <is>
          <t>KALMAR LÄN</t>
        </is>
      </c>
      <c r="E1210" t="inlineStr">
        <is>
          <t>VIMMERBY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9624-2024</t>
        </is>
      </c>
      <c r="B1211" s="1" t="n">
        <v>45361</v>
      </c>
      <c r="C1211" s="1" t="n">
        <v>45510</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9623-2024</t>
        </is>
      </c>
      <c r="B1212" s="1" t="n">
        <v>45361</v>
      </c>
      <c r="C1212" s="1" t="n">
        <v>45510</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9657-2024</t>
        </is>
      </c>
      <c r="B1213" s="1" t="n">
        <v>45362</v>
      </c>
      <c r="C1213" s="1" t="n">
        <v>45510</v>
      </c>
      <c r="D1213" t="inlineStr">
        <is>
          <t>KALMAR LÄN</t>
        </is>
      </c>
      <c r="E1213" t="inlineStr">
        <is>
          <t>VIMMERBY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10807-2024</t>
        </is>
      </c>
      <c r="B1214" s="1" t="n">
        <v>45369</v>
      </c>
      <c r="C1214" s="1" t="n">
        <v>45510</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10884-2024</t>
        </is>
      </c>
      <c r="B1215" s="1" t="n">
        <v>45370</v>
      </c>
      <c r="C1215" s="1" t="n">
        <v>45510</v>
      </c>
      <c r="D1215" t="inlineStr">
        <is>
          <t>KALMAR LÄN</t>
        </is>
      </c>
      <c r="E1215" t="inlineStr">
        <is>
          <t>VIMMERBY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10935-2024</t>
        </is>
      </c>
      <c r="B1216" s="1" t="n">
        <v>45370</v>
      </c>
      <c r="C1216" s="1" t="n">
        <v>45510</v>
      </c>
      <c r="D1216" t="inlineStr">
        <is>
          <t>KALMAR LÄN</t>
        </is>
      </c>
      <c r="E1216" t="inlineStr">
        <is>
          <t>VIMMERBY</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11141-2024</t>
        </is>
      </c>
      <c r="B1217" s="1" t="n">
        <v>45371</v>
      </c>
      <c r="C1217" s="1" t="n">
        <v>45510</v>
      </c>
      <c r="D1217" t="inlineStr">
        <is>
          <t>KALMAR LÄN</t>
        </is>
      </c>
      <c r="E1217" t="inlineStr">
        <is>
          <t>VIMMERBY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11111-2024</t>
        </is>
      </c>
      <c r="B1218" s="1" t="n">
        <v>45371</v>
      </c>
      <c r="C1218" s="1" t="n">
        <v>45510</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11400-2024</t>
        </is>
      </c>
      <c r="B1219" s="1" t="n">
        <v>45372</v>
      </c>
      <c r="C1219" s="1" t="n">
        <v>45510</v>
      </c>
      <c r="D1219" t="inlineStr">
        <is>
          <t>KALMAR LÄN</t>
        </is>
      </c>
      <c r="E1219" t="inlineStr">
        <is>
          <t>VIMMERBY</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11484-2024</t>
        </is>
      </c>
      <c r="B1220" s="1" t="n">
        <v>45372</v>
      </c>
      <c r="C1220" s="1" t="n">
        <v>45510</v>
      </c>
      <c r="D1220" t="inlineStr">
        <is>
          <t>KALMAR LÄN</t>
        </is>
      </c>
      <c r="E1220" t="inlineStr">
        <is>
          <t>VIMMERBY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12136-2024</t>
        </is>
      </c>
      <c r="B1221" s="1" t="n">
        <v>45377</v>
      </c>
      <c r="C1221" s="1" t="n">
        <v>45510</v>
      </c>
      <c r="D1221" t="inlineStr">
        <is>
          <t>KALMAR LÄN</t>
        </is>
      </c>
      <c r="E1221" t="inlineStr">
        <is>
          <t>VIMMERBY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12075-2024</t>
        </is>
      </c>
      <c r="B1222" s="1" t="n">
        <v>45377</v>
      </c>
      <c r="C1222" s="1" t="n">
        <v>45510</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12033-2024</t>
        </is>
      </c>
      <c r="B1223" s="1" t="n">
        <v>45377</v>
      </c>
      <c r="C1223" s="1" t="n">
        <v>45510</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12142-2024</t>
        </is>
      </c>
      <c r="B1224" s="1" t="n">
        <v>45377</v>
      </c>
      <c r="C1224" s="1" t="n">
        <v>45510</v>
      </c>
      <c r="D1224" t="inlineStr">
        <is>
          <t>KALMAR LÄN</t>
        </is>
      </c>
      <c r="E1224" t="inlineStr">
        <is>
          <t>VIMMERBY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12215-2024</t>
        </is>
      </c>
      <c r="B1225" s="1" t="n">
        <v>45378</v>
      </c>
      <c r="C1225" s="1" t="n">
        <v>45510</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12480-2024</t>
        </is>
      </c>
      <c r="B1226" s="1" t="n">
        <v>45379</v>
      </c>
      <c r="C1226" s="1" t="n">
        <v>45510</v>
      </c>
      <c r="D1226" t="inlineStr">
        <is>
          <t>KALMAR LÄN</t>
        </is>
      </c>
      <c r="E1226" t="inlineStr">
        <is>
          <t>VIMMERBY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12819-2024</t>
        </is>
      </c>
      <c r="B1227" s="1" t="n">
        <v>45384</v>
      </c>
      <c r="C1227" s="1" t="n">
        <v>45510</v>
      </c>
      <c r="D1227" t="inlineStr">
        <is>
          <t>KALMAR LÄN</t>
        </is>
      </c>
      <c r="E1227" t="inlineStr">
        <is>
          <t>VIMMERBY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13123-2024</t>
        </is>
      </c>
      <c r="B1228" s="1" t="n">
        <v>45385</v>
      </c>
      <c r="C1228" s="1" t="n">
        <v>45510</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13809-2024</t>
        </is>
      </c>
      <c r="B1229" s="1" t="n">
        <v>45391</v>
      </c>
      <c r="C1229" s="1" t="n">
        <v>45510</v>
      </c>
      <c r="D1229" t="inlineStr">
        <is>
          <t>KALMAR LÄN</t>
        </is>
      </c>
      <c r="E1229" t="inlineStr">
        <is>
          <t>VIMMERBY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13857-2024</t>
        </is>
      </c>
      <c r="B1230" s="1" t="n">
        <v>45391</v>
      </c>
      <c r="C1230" s="1" t="n">
        <v>45510</v>
      </c>
      <c r="D1230" t="inlineStr">
        <is>
          <t>KALMAR LÄN</t>
        </is>
      </c>
      <c r="E1230" t="inlineStr">
        <is>
          <t>VIMMERBY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13909-2024</t>
        </is>
      </c>
      <c r="B1231" s="1" t="n">
        <v>45391</v>
      </c>
      <c r="C1231" s="1" t="n">
        <v>45510</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13817-2024</t>
        </is>
      </c>
      <c r="B1232" s="1" t="n">
        <v>45391</v>
      </c>
      <c r="C1232" s="1" t="n">
        <v>45510</v>
      </c>
      <c r="D1232" t="inlineStr">
        <is>
          <t>KALMAR LÄN</t>
        </is>
      </c>
      <c r="E1232" t="inlineStr">
        <is>
          <t>VIMMERBY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13813-2024</t>
        </is>
      </c>
      <c r="B1233" s="1" t="n">
        <v>45391</v>
      </c>
      <c r="C1233" s="1" t="n">
        <v>45510</v>
      </c>
      <c r="D1233" t="inlineStr">
        <is>
          <t>KALMAR LÄN</t>
        </is>
      </c>
      <c r="E1233" t="inlineStr">
        <is>
          <t>VIMMERBY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13908-2024</t>
        </is>
      </c>
      <c r="B1234" s="1" t="n">
        <v>45391</v>
      </c>
      <c r="C1234" s="1" t="n">
        <v>45510</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14021-2024</t>
        </is>
      </c>
      <c r="B1235" s="1" t="n">
        <v>45392</v>
      </c>
      <c r="C1235" s="1" t="n">
        <v>45510</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14144-2024</t>
        </is>
      </c>
      <c r="B1236" s="1" t="n">
        <v>45392</v>
      </c>
      <c r="C1236" s="1" t="n">
        <v>45510</v>
      </c>
      <c r="D1236" t="inlineStr">
        <is>
          <t>KALMAR LÄN</t>
        </is>
      </c>
      <c r="E1236" t="inlineStr">
        <is>
          <t>VIMMERBY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14182-2024</t>
        </is>
      </c>
      <c r="B1237" s="1" t="n">
        <v>45393</v>
      </c>
      <c r="C1237" s="1" t="n">
        <v>45510</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14558-2024</t>
        </is>
      </c>
      <c r="B1238" s="1" t="n">
        <v>45394</v>
      </c>
      <c r="C1238" s="1" t="n">
        <v>45510</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14548-2024</t>
        </is>
      </c>
      <c r="B1239" s="1" t="n">
        <v>45394</v>
      </c>
      <c r="C1239" s="1" t="n">
        <v>45510</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14557-2024</t>
        </is>
      </c>
      <c r="B1240" s="1" t="n">
        <v>45394</v>
      </c>
      <c r="C1240" s="1" t="n">
        <v>45510</v>
      </c>
      <c r="D1240" t="inlineStr">
        <is>
          <t>KALMAR LÄN</t>
        </is>
      </c>
      <c r="E1240" t="inlineStr">
        <is>
          <t>VIMMERBY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14451-2024</t>
        </is>
      </c>
      <c r="B1241" s="1" t="n">
        <v>45394</v>
      </c>
      <c r="C1241" s="1" t="n">
        <v>45510</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15123-2024</t>
        </is>
      </c>
      <c r="B1242" s="1" t="n">
        <v>45399</v>
      </c>
      <c r="C1242" s="1" t="n">
        <v>45510</v>
      </c>
      <c r="D1242" t="inlineStr">
        <is>
          <t>KALMAR LÄN</t>
        </is>
      </c>
      <c r="E1242" t="inlineStr">
        <is>
          <t>VIMMERBY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15494-2024</t>
        </is>
      </c>
      <c r="B1243" s="1" t="n">
        <v>45401</v>
      </c>
      <c r="C1243" s="1" t="n">
        <v>45510</v>
      </c>
      <c r="D1243" t="inlineStr">
        <is>
          <t>KALMAR LÄN</t>
        </is>
      </c>
      <c r="E1243" t="inlineStr">
        <is>
          <t>VIMMERBY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15672-2024</t>
        </is>
      </c>
      <c r="B1244" s="1" t="n">
        <v>45404</v>
      </c>
      <c r="C1244" s="1" t="n">
        <v>45510</v>
      </c>
      <c r="D1244" t="inlineStr">
        <is>
          <t>KALMAR LÄN</t>
        </is>
      </c>
      <c r="E1244" t="inlineStr">
        <is>
          <t>VIMMERBY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16740-2024</t>
        </is>
      </c>
      <c r="B1245" s="1" t="n">
        <v>45411</v>
      </c>
      <c r="C1245" s="1" t="n">
        <v>45510</v>
      </c>
      <c r="D1245" t="inlineStr">
        <is>
          <t>KALMAR LÄN</t>
        </is>
      </c>
      <c r="E1245" t="inlineStr">
        <is>
          <t>VIMMERBY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16825-2024</t>
        </is>
      </c>
      <c r="B1246" s="1" t="n">
        <v>45411</v>
      </c>
      <c r="C1246" s="1" t="n">
        <v>45510</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17219-2024</t>
        </is>
      </c>
      <c r="B1247" s="1" t="n">
        <v>45414</v>
      </c>
      <c r="C1247" s="1" t="n">
        <v>45510</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17367-2024</t>
        </is>
      </c>
      <c r="B1248" s="1" t="n">
        <v>45414</v>
      </c>
      <c r="C1248" s="1" t="n">
        <v>45510</v>
      </c>
      <c r="D1248" t="inlineStr">
        <is>
          <t>KALMAR LÄN</t>
        </is>
      </c>
      <c r="E1248" t="inlineStr">
        <is>
          <t>VIMMERBY</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17483-2024</t>
        </is>
      </c>
      <c r="B1249" s="1" t="n">
        <v>45415</v>
      </c>
      <c r="C1249" s="1" t="n">
        <v>45510</v>
      </c>
      <c r="D1249" t="inlineStr">
        <is>
          <t>KALMAR LÄN</t>
        </is>
      </c>
      <c r="E1249" t="inlineStr">
        <is>
          <t>VIMMERBY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17511-2024</t>
        </is>
      </c>
      <c r="B1250" s="1" t="n">
        <v>45415</v>
      </c>
      <c r="C1250" s="1" t="n">
        <v>45510</v>
      </c>
      <c r="D1250" t="inlineStr">
        <is>
          <t>KALMAR LÄN</t>
        </is>
      </c>
      <c r="E1250" t="inlineStr">
        <is>
          <t>VIMMERBY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17482-2024</t>
        </is>
      </c>
      <c r="B1251" s="1" t="n">
        <v>45415</v>
      </c>
      <c r="C1251" s="1" t="n">
        <v>45510</v>
      </c>
      <c r="D1251" t="inlineStr">
        <is>
          <t>KALMAR LÄN</t>
        </is>
      </c>
      <c r="E1251" t="inlineStr">
        <is>
          <t>VIMMERBY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17486-2024</t>
        </is>
      </c>
      <c r="B1252" s="1" t="n">
        <v>45415</v>
      </c>
      <c r="C1252" s="1" t="n">
        <v>45510</v>
      </c>
      <c r="D1252" t="inlineStr">
        <is>
          <t>KALMAR LÄN</t>
        </is>
      </c>
      <c r="E1252" t="inlineStr">
        <is>
          <t>VIMMERBY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18501-2024</t>
        </is>
      </c>
      <c r="B1253" s="1" t="n">
        <v>45425</v>
      </c>
      <c r="C1253" s="1" t="n">
        <v>45510</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18445-2024</t>
        </is>
      </c>
      <c r="B1254" s="1" t="n">
        <v>45425</v>
      </c>
      <c r="C1254" s="1" t="n">
        <v>45510</v>
      </c>
      <c r="D1254" t="inlineStr">
        <is>
          <t>KALMAR LÄN</t>
        </is>
      </c>
      <c r="E1254" t="inlineStr">
        <is>
          <t>VIMMERBY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18662-2024</t>
        </is>
      </c>
      <c r="B1255" s="1" t="n">
        <v>45426</v>
      </c>
      <c r="C1255" s="1" t="n">
        <v>45510</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18720-2024</t>
        </is>
      </c>
      <c r="B1256" s="1" t="n">
        <v>45426</v>
      </c>
      <c r="C1256" s="1" t="n">
        <v>45510</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18754-2024</t>
        </is>
      </c>
      <c r="B1257" s="1" t="n">
        <v>45426</v>
      </c>
      <c r="C1257" s="1" t="n">
        <v>45510</v>
      </c>
      <c r="D1257" t="inlineStr">
        <is>
          <t>KALMAR LÄN</t>
        </is>
      </c>
      <c r="E1257" t="inlineStr">
        <is>
          <t>VIMMERBY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18757-2024</t>
        </is>
      </c>
      <c r="B1258" s="1" t="n">
        <v>45426</v>
      </c>
      <c r="C1258" s="1" t="n">
        <v>45510</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19599-2024</t>
        </is>
      </c>
      <c r="B1259" s="1" t="n">
        <v>45431</v>
      </c>
      <c r="C1259" s="1" t="n">
        <v>45510</v>
      </c>
      <c r="D1259" t="inlineStr">
        <is>
          <t>KALMAR LÄN</t>
        </is>
      </c>
      <c r="E1259" t="inlineStr">
        <is>
          <t>VIMMERBY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20136-2024</t>
        </is>
      </c>
      <c r="B1260" s="1" t="n">
        <v>45434</v>
      </c>
      <c r="C1260" s="1" t="n">
        <v>45510</v>
      </c>
      <c r="D1260" t="inlineStr">
        <is>
          <t>KALMAR LÄN</t>
        </is>
      </c>
      <c r="E1260" t="inlineStr">
        <is>
          <t>VIMMERBY</t>
        </is>
      </c>
      <c r="F1260" t="inlineStr">
        <is>
          <t>Sveaskog</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20126-2024</t>
        </is>
      </c>
      <c r="B1261" s="1" t="n">
        <v>45434</v>
      </c>
      <c r="C1261" s="1" t="n">
        <v>45510</v>
      </c>
      <c r="D1261" t="inlineStr">
        <is>
          <t>KALMAR LÄN</t>
        </is>
      </c>
      <c r="E1261" t="inlineStr">
        <is>
          <t>VIMMERBY</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20129-2024</t>
        </is>
      </c>
      <c r="B1262" s="1" t="n">
        <v>45434</v>
      </c>
      <c r="C1262" s="1" t="n">
        <v>45510</v>
      </c>
      <c r="D1262" t="inlineStr">
        <is>
          <t>KALMAR LÄN</t>
        </is>
      </c>
      <c r="E1262" t="inlineStr">
        <is>
          <t>VIMMERBY</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20137-2024</t>
        </is>
      </c>
      <c r="B1263" s="1" t="n">
        <v>45434</v>
      </c>
      <c r="C1263" s="1" t="n">
        <v>45510</v>
      </c>
      <c r="D1263" t="inlineStr">
        <is>
          <t>KALMAR LÄN</t>
        </is>
      </c>
      <c r="E1263" t="inlineStr">
        <is>
          <t>VIMMERBY</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20329-2024</t>
        </is>
      </c>
      <c r="B1264" s="1" t="n">
        <v>45435</v>
      </c>
      <c r="C1264" s="1" t="n">
        <v>45510</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20695-2024</t>
        </is>
      </c>
      <c r="B1265" s="1" t="n">
        <v>45436</v>
      </c>
      <c r="C1265" s="1" t="n">
        <v>45510</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21110-2024</t>
        </is>
      </c>
      <c r="B1266" s="1" t="n">
        <v>45440</v>
      </c>
      <c r="C1266" s="1" t="n">
        <v>45510</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21109-2024</t>
        </is>
      </c>
      <c r="B1267" s="1" t="n">
        <v>45440</v>
      </c>
      <c r="C1267" s="1" t="n">
        <v>45510</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21896-2024</t>
        </is>
      </c>
      <c r="B1268" s="1" t="n">
        <v>45443</v>
      </c>
      <c r="C1268" s="1" t="n">
        <v>45510</v>
      </c>
      <c r="D1268" t="inlineStr">
        <is>
          <t>KALMAR LÄN</t>
        </is>
      </c>
      <c r="E1268" t="inlineStr">
        <is>
          <t>VIMMERBY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21919-2024</t>
        </is>
      </c>
      <c r="B1269" s="1" t="n">
        <v>45443</v>
      </c>
      <c r="C1269" s="1" t="n">
        <v>45510</v>
      </c>
      <c r="D1269" t="inlineStr">
        <is>
          <t>KALMAR LÄN</t>
        </is>
      </c>
      <c r="E1269" t="inlineStr">
        <is>
          <t>VIMMERBY</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22194-2024</t>
        </is>
      </c>
      <c r="B1270" s="1" t="n">
        <v>45446</v>
      </c>
      <c r="C1270" s="1" t="n">
        <v>45510</v>
      </c>
      <c r="D1270" t="inlineStr">
        <is>
          <t>KALMAR LÄN</t>
        </is>
      </c>
      <c r="E1270" t="inlineStr">
        <is>
          <t>VIMMERBY</t>
        </is>
      </c>
      <c r="F1270" t="inlineStr">
        <is>
          <t>Sveaskog</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22198-2024</t>
        </is>
      </c>
      <c r="B1271" s="1" t="n">
        <v>45446</v>
      </c>
      <c r="C1271" s="1" t="n">
        <v>45510</v>
      </c>
      <c r="D1271" t="inlineStr">
        <is>
          <t>KALMAR LÄN</t>
        </is>
      </c>
      <c r="E1271" t="inlineStr">
        <is>
          <t>VIMMERBY</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22197-2024</t>
        </is>
      </c>
      <c r="B1272" s="1" t="n">
        <v>45446</v>
      </c>
      <c r="C1272" s="1" t="n">
        <v>45510</v>
      </c>
      <c r="D1272" t="inlineStr">
        <is>
          <t>KALMAR LÄN</t>
        </is>
      </c>
      <c r="E1272" t="inlineStr">
        <is>
          <t>VIMMERBY</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23088-2024</t>
        </is>
      </c>
      <c r="B1273" s="1" t="n">
        <v>45450</v>
      </c>
      <c r="C1273" s="1" t="n">
        <v>45510</v>
      </c>
      <c r="D1273" t="inlineStr">
        <is>
          <t>KALMAR LÄN</t>
        </is>
      </c>
      <c r="E1273" t="inlineStr">
        <is>
          <t>VIMMERBY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23095-2024</t>
        </is>
      </c>
      <c r="B1274" s="1" t="n">
        <v>45450</v>
      </c>
      <c r="C1274" s="1" t="n">
        <v>45510</v>
      </c>
      <c r="D1274" t="inlineStr">
        <is>
          <t>KALMAR LÄN</t>
        </is>
      </c>
      <c r="E1274" t="inlineStr">
        <is>
          <t>VIMMERBY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23263-2024</t>
        </is>
      </c>
      <c r="B1275" s="1" t="n">
        <v>45453</v>
      </c>
      <c r="C1275" s="1" t="n">
        <v>45510</v>
      </c>
      <c r="D1275" t="inlineStr">
        <is>
          <t>KALMAR LÄN</t>
        </is>
      </c>
      <c r="E1275" t="inlineStr">
        <is>
          <t>VIMMERBY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23422-2024</t>
        </is>
      </c>
      <c r="B1276" s="1" t="n">
        <v>45453</v>
      </c>
      <c r="C1276" s="1" t="n">
        <v>45510</v>
      </c>
      <c r="D1276" t="inlineStr">
        <is>
          <t>KALMAR LÄN</t>
        </is>
      </c>
      <c r="E1276" t="inlineStr">
        <is>
          <t>VIMMERBY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23254-2024</t>
        </is>
      </c>
      <c r="B1277" s="1" t="n">
        <v>45453</v>
      </c>
      <c r="C1277" s="1" t="n">
        <v>45510</v>
      </c>
      <c r="D1277" t="inlineStr">
        <is>
          <t>KALMAR LÄN</t>
        </is>
      </c>
      <c r="E1277" t="inlineStr">
        <is>
          <t>VIMMERBY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23252-2024</t>
        </is>
      </c>
      <c r="B1278" s="1" t="n">
        <v>45453</v>
      </c>
      <c r="C1278" s="1" t="n">
        <v>45510</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24096-2024</t>
        </is>
      </c>
      <c r="B1279" s="1" t="n">
        <v>45456</v>
      </c>
      <c r="C1279" s="1" t="n">
        <v>45510</v>
      </c>
      <c r="D1279" t="inlineStr">
        <is>
          <t>KALMAR LÄN</t>
        </is>
      </c>
      <c r="E1279" t="inlineStr">
        <is>
          <t>VIMMERBY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24699-2024</t>
        </is>
      </c>
      <c r="B1280" s="1" t="n">
        <v>45460</v>
      </c>
      <c r="C1280" s="1" t="n">
        <v>45510</v>
      </c>
      <c r="D1280" t="inlineStr">
        <is>
          <t>KALMAR LÄN</t>
        </is>
      </c>
      <c r="E1280" t="inlineStr">
        <is>
          <t>VIMMERBY</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24707-2024</t>
        </is>
      </c>
      <c r="B1281" s="1" t="n">
        <v>45460</v>
      </c>
      <c r="C1281" s="1" t="n">
        <v>45510</v>
      </c>
      <c r="D1281" t="inlineStr">
        <is>
          <t>KALMAR LÄN</t>
        </is>
      </c>
      <c r="E1281" t="inlineStr">
        <is>
          <t>VIMMERBY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24745-2024</t>
        </is>
      </c>
      <c r="B1282" s="1" t="n">
        <v>45460</v>
      </c>
      <c r="C1282" s="1" t="n">
        <v>45510</v>
      </c>
      <c r="D1282" t="inlineStr">
        <is>
          <t>KALMAR LÄN</t>
        </is>
      </c>
      <c r="E1282" t="inlineStr">
        <is>
          <t>VIMMERBY</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24525-2024</t>
        </is>
      </c>
      <c r="B1283" s="1" t="n">
        <v>45460</v>
      </c>
      <c r="C1283" s="1" t="n">
        <v>45510</v>
      </c>
      <c r="D1283" t="inlineStr">
        <is>
          <t>KALMAR LÄN</t>
        </is>
      </c>
      <c r="E1283" t="inlineStr">
        <is>
          <t>VIMMERBY</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25304-2024</t>
        </is>
      </c>
      <c r="B1284" s="1" t="n">
        <v>45462</v>
      </c>
      <c r="C1284" s="1" t="n">
        <v>45510</v>
      </c>
      <c r="D1284" t="inlineStr">
        <is>
          <t>KALMAR LÄN</t>
        </is>
      </c>
      <c r="E1284" t="inlineStr">
        <is>
          <t>VIMMERBY</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25143-2024</t>
        </is>
      </c>
      <c r="B1285" s="1" t="n">
        <v>45462</v>
      </c>
      <c r="C1285" s="1" t="n">
        <v>45510</v>
      </c>
      <c r="D1285" t="inlineStr">
        <is>
          <t>KALMAR LÄN</t>
        </is>
      </c>
      <c r="E1285" t="inlineStr">
        <is>
          <t>VIMMERBY</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25582-2024</t>
        </is>
      </c>
      <c r="B1286" s="1" t="n">
        <v>45463</v>
      </c>
      <c r="C1286" s="1" t="n">
        <v>45510</v>
      </c>
      <c r="D1286" t="inlineStr">
        <is>
          <t>KALMAR LÄN</t>
        </is>
      </c>
      <c r="E1286" t="inlineStr">
        <is>
          <t>VIMMERBY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25415-2024</t>
        </is>
      </c>
      <c r="B1287" s="1" t="n">
        <v>45463</v>
      </c>
      <c r="C1287" s="1" t="n">
        <v>45510</v>
      </c>
      <c r="D1287" t="inlineStr">
        <is>
          <t>KALMAR LÄN</t>
        </is>
      </c>
      <c r="E1287" t="inlineStr">
        <is>
          <t>VIMMERBY</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25987-2024</t>
        </is>
      </c>
      <c r="B1288" s="1" t="n">
        <v>45467</v>
      </c>
      <c r="C1288" s="1" t="n">
        <v>45510</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26445-2024</t>
        </is>
      </c>
      <c r="B1289" s="1" t="n">
        <v>45468</v>
      </c>
      <c r="C1289" s="1" t="n">
        <v>45510</v>
      </c>
      <c r="D1289" t="inlineStr">
        <is>
          <t>KALMAR LÄN</t>
        </is>
      </c>
      <c r="E1289" t="inlineStr">
        <is>
          <t>VIMMERBY</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27048-2024</t>
        </is>
      </c>
      <c r="B1290" s="1" t="n">
        <v>45471</v>
      </c>
      <c r="C1290" s="1" t="n">
        <v>45510</v>
      </c>
      <c r="D1290" t="inlineStr">
        <is>
          <t>KALMAR LÄN</t>
        </is>
      </c>
      <c r="E1290" t="inlineStr">
        <is>
          <t>VIMMERBY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27063-2024</t>
        </is>
      </c>
      <c r="B1291" s="1" t="n">
        <v>45471</v>
      </c>
      <c r="C1291" s="1" t="n">
        <v>45510</v>
      </c>
      <c r="D1291" t="inlineStr">
        <is>
          <t>KALMAR LÄN</t>
        </is>
      </c>
      <c r="E1291" t="inlineStr">
        <is>
          <t>VIMMERBY</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27028-2024</t>
        </is>
      </c>
      <c r="B1292" s="1" t="n">
        <v>45471</v>
      </c>
      <c r="C1292" s="1" t="n">
        <v>45510</v>
      </c>
      <c r="D1292" t="inlineStr">
        <is>
          <t>KALMAR LÄN</t>
        </is>
      </c>
      <c r="E1292" t="inlineStr">
        <is>
          <t>VIMMERBY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27030-2024</t>
        </is>
      </c>
      <c r="B1293" s="1" t="n">
        <v>45471</v>
      </c>
      <c r="C1293" s="1" t="n">
        <v>45510</v>
      </c>
      <c r="D1293" t="inlineStr">
        <is>
          <t>KALMAR LÄN</t>
        </is>
      </c>
      <c r="E1293" t="inlineStr">
        <is>
          <t>VIMMERBY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27758-2024</t>
        </is>
      </c>
      <c r="B1294" s="1" t="n">
        <v>45475</v>
      </c>
      <c r="C1294" s="1" t="n">
        <v>45510</v>
      </c>
      <c r="D1294" t="inlineStr">
        <is>
          <t>KALMAR LÄN</t>
        </is>
      </c>
      <c r="E1294" t="inlineStr">
        <is>
          <t>VIMMERBY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27761-2024</t>
        </is>
      </c>
      <c r="B1295" s="1" t="n">
        <v>45475</v>
      </c>
      <c r="C1295" s="1" t="n">
        <v>45510</v>
      </c>
      <c r="D1295" t="inlineStr">
        <is>
          <t>KALMAR LÄN</t>
        </is>
      </c>
      <c r="E1295" t="inlineStr">
        <is>
          <t>VIMMERBY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27759-2024</t>
        </is>
      </c>
      <c r="B1296" s="1" t="n">
        <v>45475</v>
      </c>
      <c r="C1296" s="1" t="n">
        <v>45510</v>
      </c>
      <c r="D1296" t="inlineStr">
        <is>
          <t>KALMAR LÄN</t>
        </is>
      </c>
      <c r="E1296" t="inlineStr">
        <is>
          <t>VIMMERBY</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28066-2024</t>
        </is>
      </c>
      <c r="B1297" s="1" t="n">
        <v>45476</v>
      </c>
      <c r="C1297" s="1" t="n">
        <v>45510</v>
      </c>
      <c r="D1297" t="inlineStr">
        <is>
          <t>KALMAR LÄN</t>
        </is>
      </c>
      <c r="E1297" t="inlineStr">
        <is>
          <t>VIMMERBY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27992-2024</t>
        </is>
      </c>
      <c r="B1298" s="1" t="n">
        <v>45476</v>
      </c>
      <c r="C1298" s="1" t="n">
        <v>45510</v>
      </c>
      <c r="D1298" t="inlineStr">
        <is>
          <t>KALMAR LÄN</t>
        </is>
      </c>
      <c r="E1298" t="inlineStr">
        <is>
          <t>VIMMERBY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28177-2024</t>
        </is>
      </c>
      <c r="B1299" s="1" t="n">
        <v>45477</v>
      </c>
      <c r="C1299" s="1" t="n">
        <v>45510</v>
      </c>
      <c r="D1299" t="inlineStr">
        <is>
          <t>KALMAR LÄN</t>
        </is>
      </c>
      <c r="E1299" t="inlineStr">
        <is>
          <t>VIMMERBY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29013-2024</t>
        </is>
      </c>
      <c r="B1300" s="1" t="n">
        <v>45481</v>
      </c>
      <c r="C1300" s="1" t="n">
        <v>45510</v>
      </c>
      <c r="D1300" t="inlineStr">
        <is>
          <t>KALMAR LÄN</t>
        </is>
      </c>
      <c r="E1300" t="inlineStr">
        <is>
          <t>VIMMERBY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29017-2024</t>
        </is>
      </c>
      <c r="B1301" s="1" t="n">
        <v>45481</v>
      </c>
      <c r="C1301" s="1" t="n">
        <v>45510</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29018-2024</t>
        </is>
      </c>
      <c r="B1302" s="1" t="n">
        <v>45481</v>
      </c>
      <c r="C1302" s="1" t="n">
        <v>45510</v>
      </c>
      <c r="D1302" t="inlineStr">
        <is>
          <t>KALMAR LÄN</t>
        </is>
      </c>
      <c r="E1302" t="inlineStr">
        <is>
          <t>VIMMERBY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29015-2024</t>
        </is>
      </c>
      <c r="B1303" s="1" t="n">
        <v>45481</v>
      </c>
      <c r="C1303" s="1" t="n">
        <v>45510</v>
      </c>
      <c r="D1303" t="inlineStr">
        <is>
          <t>KALMAR LÄN</t>
        </is>
      </c>
      <c r="E1303" t="inlineStr">
        <is>
          <t>VIMMERBY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29020-2024</t>
        </is>
      </c>
      <c r="B1304" s="1" t="n">
        <v>45481</v>
      </c>
      <c r="C1304" s="1" t="n">
        <v>45510</v>
      </c>
      <c r="D1304" t="inlineStr">
        <is>
          <t>KALMAR LÄN</t>
        </is>
      </c>
      <c r="E1304" t="inlineStr">
        <is>
          <t>VIMMERBY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29166-2024</t>
        </is>
      </c>
      <c r="B1305" s="1" t="n">
        <v>45482</v>
      </c>
      <c r="C1305" s="1" t="n">
        <v>45510</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29183-2024</t>
        </is>
      </c>
      <c r="B1306" s="1" t="n">
        <v>45482</v>
      </c>
      <c r="C1306" s="1" t="n">
        <v>45510</v>
      </c>
      <c r="D1306" t="inlineStr">
        <is>
          <t>KALMAR LÄN</t>
        </is>
      </c>
      <c r="E1306" t="inlineStr">
        <is>
          <t>VIMMERBY</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29165-2024</t>
        </is>
      </c>
      <c r="B1307" s="1" t="n">
        <v>45482</v>
      </c>
      <c r="C1307" s="1" t="n">
        <v>45510</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29180-2024</t>
        </is>
      </c>
      <c r="B1308" s="1" t="n">
        <v>45482</v>
      </c>
      <c r="C1308" s="1" t="n">
        <v>45510</v>
      </c>
      <c r="D1308" t="inlineStr">
        <is>
          <t>KALMAR LÄN</t>
        </is>
      </c>
      <c r="E1308" t="inlineStr">
        <is>
          <t>VIMMERBY</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29168-2024</t>
        </is>
      </c>
      <c r="B1309" s="1" t="n">
        <v>45482</v>
      </c>
      <c r="C1309" s="1" t="n">
        <v>45510</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29173-2024</t>
        </is>
      </c>
      <c r="B1310" s="1" t="n">
        <v>45482</v>
      </c>
      <c r="C1310" s="1" t="n">
        <v>45510</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29186-2024</t>
        </is>
      </c>
      <c r="B1311" s="1" t="n">
        <v>45482</v>
      </c>
      <c r="C1311" s="1" t="n">
        <v>45510</v>
      </c>
      <c r="D1311" t="inlineStr">
        <is>
          <t>KALMAR LÄN</t>
        </is>
      </c>
      <c r="E1311" t="inlineStr">
        <is>
          <t>VIMMERBY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29441-2024</t>
        </is>
      </c>
      <c r="B1312" s="1" t="n">
        <v>45483</v>
      </c>
      <c r="C1312" s="1" t="n">
        <v>45510</v>
      </c>
      <c r="D1312" t="inlineStr">
        <is>
          <t>KALMAR LÄN</t>
        </is>
      </c>
      <c r="E1312" t="inlineStr">
        <is>
          <t>VIMMERBY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29440-2024</t>
        </is>
      </c>
      <c r="B1313" s="1" t="n">
        <v>45483</v>
      </c>
      <c r="C1313" s="1" t="n">
        <v>45510</v>
      </c>
      <c r="D1313" t="inlineStr">
        <is>
          <t>KALMAR LÄN</t>
        </is>
      </c>
      <c r="E1313" t="inlineStr">
        <is>
          <t>VIMMERBY</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29778-2024</t>
        </is>
      </c>
      <c r="B1314" s="1" t="n">
        <v>45485</v>
      </c>
      <c r="C1314" s="1" t="n">
        <v>45510</v>
      </c>
      <c r="D1314" t="inlineStr">
        <is>
          <t>KALMAR LÄN</t>
        </is>
      </c>
      <c r="E1314" t="inlineStr">
        <is>
          <t>VIMMERBY</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29779-2024</t>
        </is>
      </c>
      <c r="B1315" s="1" t="n">
        <v>45485</v>
      </c>
      <c r="C1315" s="1" t="n">
        <v>45510</v>
      </c>
      <c r="D1315" t="inlineStr">
        <is>
          <t>KALMAR LÄN</t>
        </is>
      </c>
      <c r="E1315" t="inlineStr">
        <is>
          <t>VIMMERBY</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29783-2024</t>
        </is>
      </c>
      <c r="B1316" s="1" t="n">
        <v>45485</v>
      </c>
      <c r="C1316" s="1" t="n">
        <v>45510</v>
      </c>
      <c r="D1316" t="inlineStr">
        <is>
          <t>KALMAR LÄN</t>
        </is>
      </c>
      <c r="E1316" t="inlineStr">
        <is>
          <t>VIMMERBY</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29787-2024</t>
        </is>
      </c>
      <c r="B1317" s="1" t="n">
        <v>45485</v>
      </c>
      <c r="C1317" s="1" t="n">
        <v>45510</v>
      </c>
      <c r="D1317" t="inlineStr">
        <is>
          <t>KALMAR LÄN</t>
        </is>
      </c>
      <c r="E1317" t="inlineStr">
        <is>
          <t>VIMMERBY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29790-2024</t>
        </is>
      </c>
      <c r="B1318" s="1" t="n">
        <v>45485</v>
      </c>
      <c r="C1318" s="1" t="n">
        <v>45510</v>
      </c>
      <c r="D1318" t="inlineStr">
        <is>
          <t>KALMAR LÄN</t>
        </is>
      </c>
      <c r="E1318" t="inlineStr">
        <is>
          <t>VIMMERBY</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30120-2024</t>
        </is>
      </c>
      <c r="B1319" s="1" t="n">
        <v>45489</v>
      </c>
      <c r="C1319" s="1" t="n">
        <v>45510</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30633-2024</t>
        </is>
      </c>
      <c r="B1320" s="1" t="n">
        <v>45495</v>
      </c>
      <c r="C1320" s="1" t="n">
        <v>45510</v>
      </c>
      <c r="D1320" t="inlineStr">
        <is>
          <t>KALMAR LÄN</t>
        </is>
      </c>
      <c r="E1320" t="inlineStr">
        <is>
          <t>VIMMERBY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30634-2024</t>
        </is>
      </c>
      <c r="B1321" s="1" t="n">
        <v>45495</v>
      </c>
      <c r="C1321" s="1" t="n">
        <v>45510</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30632-2024</t>
        </is>
      </c>
      <c r="B1322" s="1" t="n">
        <v>45495</v>
      </c>
      <c r="C1322" s="1" t="n">
        <v>45510</v>
      </c>
      <c r="D1322" t="inlineStr">
        <is>
          <t>KALMAR LÄN</t>
        </is>
      </c>
      <c r="E1322" t="inlineStr">
        <is>
          <t>VIMMERBY</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30861-2024</t>
        </is>
      </c>
      <c r="B1323" s="1" t="n">
        <v>45497</v>
      </c>
      <c r="C1323" s="1" t="n">
        <v>45510</v>
      </c>
      <c r="D1323" t="inlineStr">
        <is>
          <t>KALMAR LÄN</t>
        </is>
      </c>
      <c r="E1323" t="inlineStr">
        <is>
          <t>VIMMERBY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30920-2024</t>
        </is>
      </c>
      <c r="B1324" s="1" t="n">
        <v>45498</v>
      </c>
      <c r="C1324" s="1" t="n">
        <v>45510</v>
      </c>
      <c r="D1324" t="inlineStr">
        <is>
          <t>KALMAR LÄN</t>
        </is>
      </c>
      <c r="E1324" t="inlineStr">
        <is>
          <t>VIMMERBY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30921-2024</t>
        </is>
      </c>
      <c r="B1325" s="1" t="n">
        <v>45498</v>
      </c>
      <c r="C1325" s="1" t="n">
        <v>45510</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31136-2024</t>
        </is>
      </c>
      <c r="B1326" s="1" t="n">
        <v>45502</v>
      </c>
      <c r="C1326" s="1" t="n">
        <v>45510</v>
      </c>
      <c r="D1326" t="inlineStr">
        <is>
          <t>KALMAR LÄN</t>
        </is>
      </c>
      <c r="E1326" t="inlineStr">
        <is>
          <t>VIMMERBY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31139-2024</t>
        </is>
      </c>
      <c r="B1327" s="1" t="n">
        <v>45502</v>
      </c>
      <c r="C1327" s="1" t="n">
        <v>45510</v>
      </c>
      <c r="D1327" t="inlineStr">
        <is>
          <t>KALMAR LÄN</t>
        </is>
      </c>
      <c r="E1327" t="inlineStr">
        <is>
          <t>VIMMERBY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31209-2024</t>
        </is>
      </c>
      <c r="B1328" s="1" t="n">
        <v>45503</v>
      </c>
      <c r="C1328" s="1" t="n">
        <v>45510</v>
      </c>
      <c r="D1328" t="inlineStr">
        <is>
          <t>KALMAR LÄN</t>
        </is>
      </c>
      <c r="E1328" t="inlineStr">
        <is>
          <t>VIMMERBY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31250-2024</t>
        </is>
      </c>
      <c r="B1329" s="1" t="n">
        <v>45503</v>
      </c>
      <c r="C1329" s="1" t="n">
        <v>45510</v>
      </c>
      <c r="D1329" t="inlineStr">
        <is>
          <t>KALMAR LÄN</t>
        </is>
      </c>
      <c r="E1329" t="inlineStr">
        <is>
          <t>VIMMERBY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31244-2024</t>
        </is>
      </c>
      <c r="B1330" s="1" t="n">
        <v>45503</v>
      </c>
      <c r="C1330" s="1" t="n">
        <v>45510</v>
      </c>
      <c r="D1330" t="inlineStr">
        <is>
          <t>KALMAR LÄN</t>
        </is>
      </c>
      <c r="E1330" t="inlineStr">
        <is>
          <t>VIMMERBY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31248-2024</t>
        </is>
      </c>
      <c r="B1331" s="1" t="n">
        <v>45503</v>
      </c>
      <c r="C1331" s="1" t="n">
        <v>45510</v>
      </c>
      <c r="D1331" t="inlineStr">
        <is>
          <t>KALMAR LÄN</t>
        </is>
      </c>
      <c r="E1331" t="inlineStr">
        <is>
          <t>VIMMERBY</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31238-2024</t>
        </is>
      </c>
      <c r="B1332" s="1" t="n">
        <v>45503</v>
      </c>
      <c r="C1332" s="1" t="n">
        <v>45510</v>
      </c>
      <c r="D1332" t="inlineStr">
        <is>
          <t>KALMAR LÄN</t>
        </is>
      </c>
      <c r="E1332" t="inlineStr">
        <is>
          <t>VIMMERBY</t>
        </is>
      </c>
      <c r="G1332" t="n">
        <v>1.8</v>
      </c>
      <c r="H1332" t="n">
        <v>0</v>
      </c>
      <c r="I1332" t="n">
        <v>0</v>
      </c>
      <c r="J1332" t="n">
        <v>0</v>
      </c>
      <c r="K1332" t="n">
        <v>0</v>
      </c>
      <c r="L1332" t="n">
        <v>0</v>
      </c>
      <c r="M1332" t="n">
        <v>0</v>
      </c>
      <c r="N1332" t="n">
        <v>0</v>
      </c>
      <c r="O1332" t="n">
        <v>0</v>
      </c>
      <c r="P1332" t="n">
        <v>0</v>
      </c>
      <c r="Q1332" t="n">
        <v>0</v>
      </c>
      <c r="R1332" s="2" t="inlineStr"/>
    </row>
    <row r="1333">
      <c r="A1333" t="inlineStr">
        <is>
          <t>A 31210-2024</t>
        </is>
      </c>
      <c r="B1333" s="1" t="n">
        <v>45503</v>
      </c>
      <c r="C1333" s="1" t="n">
        <v>45510</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2024-08-06T11:04:03Z</dcterms:created>
  <dcterms:modified xmlns:dcterms="http://purl.org/dc/terms/" xmlns:xsi="http://www.w3.org/2001/XMLSchema-instance" xsi:type="dcterms:W3CDTF">2024-08-06T11:04:04Z</dcterms:modified>
</cp:coreProperties>
</file>