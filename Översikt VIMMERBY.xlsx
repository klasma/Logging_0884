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45912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45912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45912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45912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45912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45912</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45912</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45912</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45912</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45912</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45912</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45912</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45912</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45912</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45912</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45912</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41398-2021</t>
        </is>
      </c>
      <c r="B19" s="1" t="n">
        <v>44424</v>
      </c>
      <c r="C19" s="1" t="n">
        <v>45912</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45912</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45912</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2518-2023</t>
        </is>
      </c>
      <c r="B22" s="1" t="n">
        <v>44943</v>
      </c>
      <c r="C22" s="1" t="n">
        <v>45912</v>
      </c>
      <c r="D22" t="inlineStr">
        <is>
          <t>KALMAR LÄN</t>
        </is>
      </c>
      <c r="E22" t="inlineStr">
        <is>
          <t>VIMMERBY</t>
        </is>
      </c>
      <c r="G22" t="n">
        <v>6.1</v>
      </c>
      <c r="H22" t="n">
        <v>1</v>
      </c>
      <c r="I22" t="n">
        <v>1</v>
      </c>
      <c r="J22" t="n">
        <v>0</v>
      </c>
      <c r="K22" t="n">
        <v>1</v>
      </c>
      <c r="L22" t="n">
        <v>0</v>
      </c>
      <c r="M22" t="n">
        <v>0</v>
      </c>
      <c r="N22" t="n">
        <v>0</v>
      </c>
      <c r="O22" t="n">
        <v>1</v>
      </c>
      <c r="P22" t="n">
        <v>1</v>
      </c>
      <c r="Q22" t="n">
        <v>2</v>
      </c>
      <c r="R22" s="2" t="inlineStr">
        <is>
          <t>Knärot
Grönpyrola</t>
        </is>
      </c>
      <c r="S22">
        <f>HYPERLINK("https://klasma.github.io/Logging_0884/artfynd/A 2518-2023 artfynd.xlsx", "A 2518-2023")</f>
        <v/>
      </c>
      <c r="T22">
        <f>HYPERLINK("https://klasma.github.io/Logging_0884/kartor/A 2518-2023 karta.png", "A 2518-2023")</f>
        <v/>
      </c>
      <c r="U22">
        <f>HYPERLINK("https://klasma.github.io/Logging_0884/knärot/A 2518-2023 karta knärot.png", "A 2518-2023")</f>
        <v/>
      </c>
      <c r="V22">
        <f>HYPERLINK("https://klasma.github.io/Logging_0884/klagomål/A 2518-2023 FSC-klagomål.docx", "A 2518-2023")</f>
        <v/>
      </c>
      <c r="W22">
        <f>HYPERLINK("https://klasma.github.io/Logging_0884/klagomålsmail/A 2518-2023 FSC-klagomål mail.docx", "A 2518-2023")</f>
        <v/>
      </c>
      <c r="X22">
        <f>HYPERLINK("https://klasma.github.io/Logging_0884/tillsyn/A 2518-2023 tillsynsbegäran.docx", "A 2518-2023")</f>
        <v/>
      </c>
      <c r="Y22">
        <f>HYPERLINK("https://klasma.github.io/Logging_0884/tillsynsmail/A 2518-2023 tillsynsbegäran mail.docx", "A 2518-2023")</f>
        <v/>
      </c>
    </row>
    <row r="23" ht="15" customHeight="1">
      <c r="A23" t="inlineStr">
        <is>
          <t>A 22396-2025</t>
        </is>
      </c>
      <c r="B23" s="1" t="n">
        <v>45786.52827546297</v>
      </c>
      <c r="C23" s="1" t="n">
        <v>45912</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22825-2023</t>
        </is>
      </c>
      <c r="B24" s="1" t="n">
        <v>45072</v>
      </c>
      <c r="C24" s="1" t="n">
        <v>45912</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37667-2025</t>
        </is>
      </c>
      <c r="B25" s="1" t="n">
        <v>45880.51413194444</v>
      </c>
      <c r="C25" s="1" t="n">
        <v>45912</v>
      </c>
      <c r="D25" t="inlineStr">
        <is>
          <t>KALMAR LÄN</t>
        </is>
      </c>
      <c r="E25" t="inlineStr">
        <is>
          <t>VIMMERBY</t>
        </is>
      </c>
      <c r="F25" t="inlineStr">
        <is>
          <t>Sveaskog</t>
        </is>
      </c>
      <c r="G25" t="n">
        <v>2.1</v>
      </c>
      <c r="H25" t="n">
        <v>2</v>
      </c>
      <c r="I25" t="n">
        <v>0</v>
      </c>
      <c r="J25" t="n">
        <v>0</v>
      </c>
      <c r="K25" t="n">
        <v>1</v>
      </c>
      <c r="L25" t="n">
        <v>0</v>
      </c>
      <c r="M25" t="n">
        <v>0</v>
      </c>
      <c r="N25" t="n">
        <v>0</v>
      </c>
      <c r="O25" t="n">
        <v>1</v>
      </c>
      <c r="P25" t="n">
        <v>1</v>
      </c>
      <c r="Q25" t="n">
        <v>2</v>
      </c>
      <c r="R25" s="2" t="inlineStr">
        <is>
          <t>Knärot
Blåsippa</t>
        </is>
      </c>
      <c r="S25">
        <f>HYPERLINK("https://klasma.github.io/Logging_0884/artfynd/A 37667-2025 artfynd.xlsx", "A 37667-2025")</f>
        <v/>
      </c>
      <c r="T25">
        <f>HYPERLINK("https://klasma.github.io/Logging_0884/kartor/A 37667-2025 karta.png", "A 37667-2025")</f>
        <v/>
      </c>
      <c r="U25">
        <f>HYPERLINK("https://klasma.github.io/Logging_0884/knärot/A 37667-2025 karta knärot.png", "A 37667-2025")</f>
        <v/>
      </c>
      <c r="V25">
        <f>HYPERLINK("https://klasma.github.io/Logging_0884/klagomål/A 37667-2025 FSC-klagomål.docx", "A 37667-2025")</f>
        <v/>
      </c>
      <c r="W25">
        <f>HYPERLINK("https://klasma.github.io/Logging_0884/klagomålsmail/A 37667-2025 FSC-klagomål mail.docx", "A 37667-2025")</f>
        <v/>
      </c>
      <c r="X25">
        <f>HYPERLINK("https://klasma.github.io/Logging_0884/tillsyn/A 37667-2025 tillsynsbegäran.docx", "A 37667-2025")</f>
        <v/>
      </c>
      <c r="Y25">
        <f>HYPERLINK("https://klasma.github.io/Logging_0884/tillsynsmail/A 37667-2025 tillsynsbegäran mail.docx", "A 37667-2025")</f>
        <v/>
      </c>
    </row>
    <row r="26" ht="15" customHeight="1">
      <c r="A26" t="inlineStr">
        <is>
          <t>A 40684-2025</t>
        </is>
      </c>
      <c r="B26" s="1" t="n">
        <v>45896.86820601852</v>
      </c>
      <c r="C26" s="1" t="n">
        <v>45912</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14024-2023</t>
        </is>
      </c>
      <c r="B27" s="1" t="n">
        <v>45008.60878472222</v>
      </c>
      <c r="C27" s="1" t="n">
        <v>45912</v>
      </c>
      <c r="D27" t="inlineStr">
        <is>
          <t>KALMAR LÄN</t>
        </is>
      </c>
      <c r="E27" t="inlineStr">
        <is>
          <t>VIMMERBY</t>
        </is>
      </c>
      <c r="G27" t="n">
        <v>3.2</v>
      </c>
      <c r="H27" t="n">
        <v>1</v>
      </c>
      <c r="I27" t="n">
        <v>1</v>
      </c>
      <c r="J27" t="n">
        <v>0</v>
      </c>
      <c r="K27" t="n">
        <v>0</v>
      </c>
      <c r="L27" t="n">
        <v>1</v>
      </c>
      <c r="M27" t="n">
        <v>0</v>
      </c>
      <c r="N27" t="n">
        <v>0</v>
      </c>
      <c r="O27" t="n">
        <v>1</v>
      </c>
      <c r="P27" t="n">
        <v>1</v>
      </c>
      <c r="Q27" t="n">
        <v>2</v>
      </c>
      <c r="R27" s="2" t="inlineStr">
        <is>
          <t>Ryl
Purpurknipprot</t>
        </is>
      </c>
      <c r="S27">
        <f>HYPERLINK("https://klasma.github.io/Logging_0884/artfynd/A 14024-2023 artfynd.xlsx", "A 14024-2023")</f>
        <v/>
      </c>
      <c r="T27">
        <f>HYPERLINK("https://klasma.github.io/Logging_0884/kartor/A 14024-2023 karta.png", "A 14024-2023")</f>
        <v/>
      </c>
      <c r="V27">
        <f>HYPERLINK("https://klasma.github.io/Logging_0884/klagomål/A 14024-2023 FSC-klagomål.docx", "A 14024-2023")</f>
        <v/>
      </c>
      <c r="W27">
        <f>HYPERLINK("https://klasma.github.io/Logging_0884/klagomålsmail/A 14024-2023 FSC-klagomål mail.docx", "A 14024-2023")</f>
        <v/>
      </c>
      <c r="X27">
        <f>HYPERLINK("https://klasma.github.io/Logging_0884/tillsyn/A 14024-2023 tillsynsbegäran.docx", "A 14024-2023")</f>
        <v/>
      </c>
      <c r="Y27">
        <f>HYPERLINK("https://klasma.github.io/Logging_0884/tillsynsmail/A 14024-2023 tillsynsbegäran mail.docx", "A 14024-2023")</f>
        <v/>
      </c>
    </row>
    <row r="28" ht="15" customHeight="1">
      <c r="A28" t="inlineStr">
        <is>
          <t>A 42802-2025</t>
        </is>
      </c>
      <c r="B28" s="1" t="n">
        <v>45908</v>
      </c>
      <c r="C28" s="1" t="n">
        <v>45912</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17935-2025</t>
        </is>
      </c>
      <c r="B29" s="1" t="n">
        <v>45760.34877314815</v>
      </c>
      <c r="C29" s="1" t="n">
        <v>45912</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19158-2023</t>
        </is>
      </c>
      <c r="B30" s="1" t="n">
        <v>45048</v>
      </c>
      <c r="C30" s="1" t="n">
        <v>45912</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32396-2021</t>
        </is>
      </c>
      <c r="B31" s="1" t="n">
        <v>44371</v>
      </c>
      <c r="C31" s="1" t="n">
        <v>45912</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45912</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28852-2023</t>
        </is>
      </c>
      <c r="B33" s="1" t="n">
        <v>45104</v>
      </c>
      <c r="C33" s="1" t="n">
        <v>45912</v>
      </c>
      <c r="D33" t="inlineStr">
        <is>
          <t>KALMAR LÄN</t>
        </is>
      </c>
      <c r="E33" t="inlineStr">
        <is>
          <t>VIMMERBY</t>
        </is>
      </c>
      <c r="G33" t="n">
        <v>0.7</v>
      </c>
      <c r="H33" t="n">
        <v>0</v>
      </c>
      <c r="I33" t="n">
        <v>1</v>
      </c>
      <c r="J33" t="n">
        <v>0</v>
      </c>
      <c r="K33" t="n">
        <v>0</v>
      </c>
      <c r="L33" t="n">
        <v>0</v>
      </c>
      <c r="M33" t="n">
        <v>0</v>
      </c>
      <c r="N33" t="n">
        <v>0</v>
      </c>
      <c r="O33" t="n">
        <v>0</v>
      </c>
      <c r="P33" t="n">
        <v>0</v>
      </c>
      <c r="Q33" t="n">
        <v>1</v>
      </c>
      <c r="R33" s="2" t="inlineStr">
        <is>
          <t>Tibast</t>
        </is>
      </c>
      <c r="S33">
        <f>HYPERLINK("https://klasma.github.io/Logging_0884/artfynd/A 28852-2023 artfynd.xlsx", "A 28852-2023")</f>
        <v/>
      </c>
      <c r="T33">
        <f>HYPERLINK("https://klasma.github.io/Logging_0884/kartor/A 28852-2023 karta.png", "A 28852-2023")</f>
        <v/>
      </c>
      <c r="V33">
        <f>HYPERLINK("https://klasma.github.io/Logging_0884/klagomål/A 28852-2023 FSC-klagomål.docx", "A 28852-2023")</f>
        <v/>
      </c>
      <c r="W33">
        <f>HYPERLINK("https://klasma.github.io/Logging_0884/klagomålsmail/A 28852-2023 FSC-klagomål mail.docx", "A 28852-2023")</f>
        <v/>
      </c>
      <c r="X33">
        <f>HYPERLINK("https://klasma.github.io/Logging_0884/tillsyn/A 28852-2023 tillsynsbegäran.docx", "A 28852-2023")</f>
        <v/>
      </c>
      <c r="Y33">
        <f>HYPERLINK("https://klasma.github.io/Logging_0884/tillsynsmail/A 28852-2023 tillsynsbegäran mail.docx", "A 28852-2023")</f>
        <v/>
      </c>
    </row>
    <row r="34" ht="15" customHeight="1">
      <c r="A34" t="inlineStr">
        <is>
          <t>A 52301-2023</t>
        </is>
      </c>
      <c r="B34" s="1" t="n">
        <v>45224</v>
      </c>
      <c r="C34" s="1" t="n">
        <v>45912</v>
      </c>
      <c r="D34" t="inlineStr">
        <is>
          <t>KALMAR LÄN</t>
        </is>
      </c>
      <c r="E34" t="inlineStr">
        <is>
          <t>VIMMERBY</t>
        </is>
      </c>
      <c r="G34" t="n">
        <v>5.3</v>
      </c>
      <c r="H34" t="n">
        <v>0</v>
      </c>
      <c r="I34" t="n">
        <v>0</v>
      </c>
      <c r="J34" t="n">
        <v>0</v>
      </c>
      <c r="K34" t="n">
        <v>0</v>
      </c>
      <c r="L34" t="n">
        <v>1</v>
      </c>
      <c r="M34" t="n">
        <v>0</v>
      </c>
      <c r="N34" t="n">
        <v>0</v>
      </c>
      <c r="O34" t="n">
        <v>1</v>
      </c>
      <c r="P34" t="n">
        <v>1</v>
      </c>
      <c r="Q34" t="n">
        <v>1</v>
      </c>
      <c r="R34" s="2" t="inlineStr">
        <is>
          <t>Ask</t>
        </is>
      </c>
      <c r="S34">
        <f>HYPERLINK("https://klasma.github.io/Logging_0884/artfynd/A 52301-2023 artfynd.xlsx", "A 52301-2023")</f>
        <v/>
      </c>
      <c r="T34">
        <f>HYPERLINK("https://klasma.github.io/Logging_0884/kartor/A 52301-2023 karta.png", "A 52301-2023")</f>
        <v/>
      </c>
      <c r="V34">
        <f>HYPERLINK("https://klasma.github.io/Logging_0884/klagomål/A 52301-2023 FSC-klagomål.docx", "A 52301-2023")</f>
        <v/>
      </c>
      <c r="W34">
        <f>HYPERLINK("https://klasma.github.io/Logging_0884/klagomålsmail/A 52301-2023 FSC-klagomål mail.docx", "A 52301-2023")</f>
        <v/>
      </c>
      <c r="X34">
        <f>HYPERLINK("https://klasma.github.io/Logging_0884/tillsyn/A 52301-2023 tillsynsbegäran.docx", "A 52301-2023")</f>
        <v/>
      </c>
      <c r="Y34">
        <f>HYPERLINK("https://klasma.github.io/Logging_0884/tillsynsmail/A 52301-2023 tillsynsbegäran mail.docx", "A 52301-2023")</f>
        <v/>
      </c>
    </row>
    <row r="35" ht="15" customHeight="1">
      <c r="A35" t="inlineStr">
        <is>
          <t>A 1201-2025</t>
        </is>
      </c>
      <c r="B35" s="1" t="n">
        <v>45667</v>
      </c>
      <c r="C35" s="1" t="n">
        <v>45912</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40083-2023</t>
        </is>
      </c>
      <c r="B36" s="1" t="n">
        <v>45168</v>
      </c>
      <c r="C36" s="1" t="n">
        <v>45912</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45912</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37930-2021</t>
        </is>
      </c>
      <c r="B38" s="1" t="n">
        <v>44403</v>
      </c>
      <c r="C38" s="1" t="n">
        <v>45912</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29183-2025</t>
        </is>
      </c>
      <c r="B39" s="1" t="n">
        <v>45821</v>
      </c>
      <c r="C39" s="1" t="n">
        <v>45912</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61860-2024</t>
        </is>
      </c>
      <c r="B40" s="1" t="n">
        <v>45649</v>
      </c>
      <c r="C40" s="1" t="n">
        <v>45912</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33436-2021</t>
        </is>
      </c>
      <c r="B41" s="1" t="n">
        <v>44377.61104166666</v>
      </c>
      <c r="C41" s="1" t="n">
        <v>45912</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38602-2025</t>
        </is>
      </c>
      <c r="B42" s="1" t="n">
        <v>45884.50331018519</v>
      </c>
      <c r="C42" s="1" t="n">
        <v>45912</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38602-2025 artfynd.xlsx", "A 38602-2025")</f>
        <v/>
      </c>
      <c r="T42">
        <f>HYPERLINK("https://klasma.github.io/Logging_0884/kartor/A 38602-2025 karta.png", "A 38602-2025")</f>
        <v/>
      </c>
      <c r="U42">
        <f>HYPERLINK("https://klasma.github.io/Logging_0884/knärot/A 38602-2025 karta knärot.png", "A 38602-2025")</f>
        <v/>
      </c>
      <c r="V42">
        <f>HYPERLINK("https://klasma.github.io/Logging_0884/klagomål/A 38602-2025 FSC-klagomål.docx", "A 38602-2025")</f>
        <v/>
      </c>
      <c r="W42">
        <f>HYPERLINK("https://klasma.github.io/Logging_0884/klagomålsmail/A 38602-2025 FSC-klagomål mail.docx", "A 38602-2025")</f>
        <v/>
      </c>
      <c r="X42">
        <f>HYPERLINK("https://klasma.github.io/Logging_0884/tillsyn/A 38602-2025 tillsynsbegäran.docx", "A 38602-2025")</f>
        <v/>
      </c>
      <c r="Y42">
        <f>HYPERLINK("https://klasma.github.io/Logging_0884/tillsynsmail/A 38602-2025 tillsynsbegäran mail.docx", "A 38602-2025")</f>
        <v/>
      </c>
    </row>
    <row r="43" ht="15" customHeight="1">
      <c r="A43" t="inlineStr">
        <is>
          <t>A 23602-2023</t>
        </is>
      </c>
      <c r="B43" s="1" t="n">
        <v>45077</v>
      </c>
      <c r="C43" s="1" t="n">
        <v>45912</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44515-2024</t>
        </is>
      </c>
      <c r="B44" s="1" t="n">
        <v>45574.42767361111</v>
      </c>
      <c r="C44" s="1" t="n">
        <v>45912</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32985-2023</t>
        </is>
      </c>
      <c r="B45" s="1" t="n">
        <v>45125</v>
      </c>
      <c r="C45" s="1" t="n">
        <v>45912</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6841-2021</t>
        </is>
      </c>
      <c r="B46" s="1" t="n">
        <v>44236</v>
      </c>
      <c r="C46" s="1" t="n">
        <v>45912</v>
      </c>
      <c r="D46" t="inlineStr">
        <is>
          <t>KALMAR LÄN</t>
        </is>
      </c>
      <c r="E46" t="inlineStr">
        <is>
          <t>VIMMERBY</t>
        </is>
      </c>
      <c r="G46" t="n">
        <v>25</v>
      </c>
      <c r="H46" t="n">
        <v>0</v>
      </c>
      <c r="I46" t="n">
        <v>0</v>
      </c>
      <c r="J46" t="n">
        <v>1</v>
      </c>
      <c r="K46" t="n">
        <v>0</v>
      </c>
      <c r="L46" t="n">
        <v>0</v>
      </c>
      <c r="M46" t="n">
        <v>0</v>
      </c>
      <c r="N46" t="n">
        <v>0</v>
      </c>
      <c r="O46" t="n">
        <v>1</v>
      </c>
      <c r="P46" t="n">
        <v>0</v>
      </c>
      <c r="Q46" t="n">
        <v>1</v>
      </c>
      <c r="R46" s="2" t="inlineStr">
        <is>
          <t>Bredbrämad bastardsvärmare</t>
        </is>
      </c>
      <c r="S46">
        <f>HYPERLINK("https://klasma.github.io/Logging_0884/artfynd/A 6841-2021 artfynd.xlsx", "A 6841-2021")</f>
        <v/>
      </c>
      <c r="T46">
        <f>HYPERLINK("https://klasma.github.io/Logging_0884/kartor/A 6841-2021 karta.png", "A 6841-2021")</f>
        <v/>
      </c>
      <c r="V46">
        <f>HYPERLINK("https://klasma.github.io/Logging_0884/klagomål/A 6841-2021 FSC-klagomål.docx", "A 6841-2021")</f>
        <v/>
      </c>
      <c r="W46">
        <f>HYPERLINK("https://klasma.github.io/Logging_0884/klagomålsmail/A 6841-2021 FSC-klagomål mail.docx", "A 6841-2021")</f>
        <v/>
      </c>
      <c r="X46">
        <f>HYPERLINK("https://klasma.github.io/Logging_0884/tillsyn/A 6841-2021 tillsynsbegäran.docx", "A 6841-2021")</f>
        <v/>
      </c>
      <c r="Y46">
        <f>HYPERLINK("https://klasma.github.io/Logging_0884/tillsynsmail/A 6841-2021 tillsynsbegäran mail.docx", "A 6841-2021")</f>
        <v/>
      </c>
    </row>
    <row r="47" ht="15" customHeight="1">
      <c r="A47" t="inlineStr">
        <is>
          <t>A 15122-2024</t>
        </is>
      </c>
      <c r="B47" s="1" t="n">
        <v>45399.71412037037</v>
      </c>
      <c r="C47" s="1" t="n">
        <v>45912</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49059-2020</t>
        </is>
      </c>
      <c r="B48" s="1" t="n">
        <v>44102</v>
      </c>
      <c r="C48" s="1" t="n">
        <v>45912</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45912</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45912</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1929-2021</t>
        </is>
      </c>
      <c r="B51" s="1" t="n">
        <v>44210</v>
      </c>
      <c r="C51" s="1" t="n">
        <v>45912</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15092-2021</t>
        </is>
      </c>
      <c r="B52" s="1" t="n">
        <v>44281.79269675926</v>
      </c>
      <c r="C52" s="1" t="n">
        <v>45912</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45912</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45912</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45912</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45912</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45912</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45912</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45912</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45912</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45912</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45912</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45912</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45912</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45912</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45912</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45912</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45912</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45912</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45912</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45912</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45912</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45912</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45912</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45912</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45912</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45912</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45912</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45912</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45912</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45912</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41438-2022</t>
        </is>
      </c>
      <c r="B82" s="1" t="n">
        <v>44826.68010416667</v>
      </c>
      <c r="C82" s="1" t="n">
        <v>45912</v>
      </c>
      <c r="D82" t="inlineStr">
        <is>
          <t>KALMAR LÄN</t>
        </is>
      </c>
      <c r="E82" t="inlineStr">
        <is>
          <t>VIMMERBY</t>
        </is>
      </c>
      <c r="G82" t="n">
        <v>3.1</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45912</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45912</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45912</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45912</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45912</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45912</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45912</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45912</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45678-2020</t>
        </is>
      </c>
      <c r="B91" s="1" t="n">
        <v>44090</v>
      </c>
      <c r="C91" s="1" t="n">
        <v>45912</v>
      </c>
      <c r="D91" t="inlineStr">
        <is>
          <t>KALMAR LÄN</t>
        </is>
      </c>
      <c r="E91" t="inlineStr">
        <is>
          <t>VIMMERBY</t>
        </is>
      </c>
      <c r="G91" t="n">
        <v>4.3</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45912</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45912</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45912</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45912</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45912</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45912</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45912</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45912</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45912</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45912</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45912</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45912</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45912</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45912</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45912</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66913-2020</t>
        </is>
      </c>
      <c r="B107" s="1" t="n">
        <v>44175</v>
      </c>
      <c r="C107" s="1" t="n">
        <v>45912</v>
      </c>
      <c r="D107" t="inlineStr">
        <is>
          <t>KALMAR LÄN</t>
        </is>
      </c>
      <c r="E107" t="inlineStr">
        <is>
          <t>VIMMERBY</t>
        </is>
      </c>
      <c r="G107" t="n">
        <v>5.6</v>
      </c>
      <c r="H107" t="n">
        <v>0</v>
      </c>
      <c r="I107" t="n">
        <v>0</v>
      </c>
      <c r="J107" t="n">
        <v>0</v>
      </c>
      <c r="K107" t="n">
        <v>0</v>
      </c>
      <c r="L107" t="n">
        <v>0</v>
      </c>
      <c r="M107" t="n">
        <v>0</v>
      </c>
      <c r="N107" t="n">
        <v>0</v>
      </c>
      <c r="O107" t="n">
        <v>0</v>
      </c>
      <c r="P107" t="n">
        <v>0</v>
      </c>
      <c r="Q107" t="n">
        <v>0</v>
      </c>
      <c r="R107" s="2" t="inlineStr"/>
    </row>
    <row r="108" ht="15" customHeight="1">
      <c r="A108" t="inlineStr">
        <is>
          <t>A 16290-2022</t>
        </is>
      </c>
      <c r="B108" s="1" t="n">
        <v>44670</v>
      </c>
      <c r="C108" s="1" t="n">
        <v>45912</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30682-2021</t>
        </is>
      </c>
      <c r="B109" s="1" t="n">
        <v>44365</v>
      </c>
      <c r="C109" s="1" t="n">
        <v>45912</v>
      </c>
      <c r="D109" t="inlineStr">
        <is>
          <t>KALMAR LÄN</t>
        </is>
      </c>
      <c r="E109" t="inlineStr">
        <is>
          <t>VIMMERBY</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64707-2020</t>
        </is>
      </c>
      <c r="B110" s="1" t="n">
        <v>44169</v>
      </c>
      <c r="C110" s="1" t="n">
        <v>45912</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45912</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17869-2021</t>
        </is>
      </c>
      <c r="B112" s="1" t="n">
        <v>44301.36048611111</v>
      </c>
      <c r="C112" s="1" t="n">
        <v>45912</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45912</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45912</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24723-2021</t>
        </is>
      </c>
      <c r="B115" s="1" t="n">
        <v>44340.54472222222</v>
      </c>
      <c r="C115" s="1" t="n">
        <v>45912</v>
      </c>
      <c r="D115" t="inlineStr">
        <is>
          <t>KALMAR LÄN</t>
        </is>
      </c>
      <c r="E115" t="inlineStr">
        <is>
          <t>VIMMERBY</t>
        </is>
      </c>
      <c r="G115" t="n">
        <v>3.3</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45912</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31533-2022</t>
        </is>
      </c>
      <c r="B117" s="1" t="n">
        <v>44774</v>
      </c>
      <c r="C117" s="1" t="n">
        <v>45912</v>
      </c>
      <c r="D117" t="inlineStr">
        <is>
          <t>KALMAR LÄN</t>
        </is>
      </c>
      <c r="E117" t="inlineStr">
        <is>
          <t>VIMMERBY</t>
        </is>
      </c>
      <c r="G117" t="n">
        <v>2.5</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45912</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45912</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60810-2020</t>
        </is>
      </c>
      <c r="B120" s="1" t="n">
        <v>44154</v>
      </c>
      <c r="C120" s="1" t="n">
        <v>45912</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32386-2021</t>
        </is>
      </c>
      <c r="B121" s="1" t="n">
        <v>44371.62743055556</v>
      </c>
      <c r="C121" s="1" t="n">
        <v>45912</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35633-2021</t>
        </is>
      </c>
      <c r="B122" s="1" t="n">
        <v>44386.40783564815</v>
      </c>
      <c r="C122" s="1" t="n">
        <v>45912</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56343-2021</t>
        </is>
      </c>
      <c r="B123" s="1" t="n">
        <v>44480</v>
      </c>
      <c r="C123" s="1" t="n">
        <v>45912</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8415-2021</t>
        </is>
      </c>
      <c r="B124" s="1" t="n">
        <v>44245</v>
      </c>
      <c r="C124" s="1" t="n">
        <v>45912</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24369-2021</t>
        </is>
      </c>
      <c r="B125" s="1" t="n">
        <v>44337</v>
      </c>
      <c r="C125" s="1" t="n">
        <v>45912</v>
      </c>
      <c r="D125" t="inlineStr">
        <is>
          <t>KALMAR LÄN</t>
        </is>
      </c>
      <c r="E125" t="inlineStr">
        <is>
          <t>VIMMERBY</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48949-2020</t>
        </is>
      </c>
      <c r="B126" s="1" t="n">
        <v>44102</v>
      </c>
      <c r="C126" s="1" t="n">
        <v>45912</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45912</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4042-2022</t>
        </is>
      </c>
      <c r="B128" s="1" t="n">
        <v>44588</v>
      </c>
      <c r="C128" s="1" t="n">
        <v>45912</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33690-2022</t>
        </is>
      </c>
      <c r="B129" s="1" t="n">
        <v>44789</v>
      </c>
      <c r="C129" s="1" t="n">
        <v>45912</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52073-2020</t>
        </is>
      </c>
      <c r="B130" s="1" t="n">
        <v>44117</v>
      </c>
      <c r="C130" s="1" t="n">
        <v>45912</v>
      </c>
      <c r="D130" t="inlineStr">
        <is>
          <t>KALMAR LÄN</t>
        </is>
      </c>
      <c r="E130" t="inlineStr">
        <is>
          <t>VIMMERBY</t>
        </is>
      </c>
      <c r="G130" t="n">
        <v>2.3</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45912</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45912</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45912</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46085-2020</t>
        </is>
      </c>
      <c r="B134" s="1" t="n">
        <v>44091</v>
      </c>
      <c r="C134" s="1" t="n">
        <v>45912</v>
      </c>
      <c r="D134" t="inlineStr">
        <is>
          <t>KALMAR LÄN</t>
        </is>
      </c>
      <c r="E134" t="inlineStr">
        <is>
          <t>VIMMERBY</t>
        </is>
      </c>
      <c r="G134" t="n">
        <v>6.1</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45912</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56385-2021</t>
        </is>
      </c>
      <c r="B136" s="1" t="n">
        <v>44480</v>
      </c>
      <c r="C136" s="1" t="n">
        <v>45912</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31053-2022</t>
        </is>
      </c>
      <c r="B137" s="1" t="n">
        <v>44769.45422453704</v>
      </c>
      <c r="C137" s="1" t="n">
        <v>45912</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24738-2021</t>
        </is>
      </c>
      <c r="B138" s="1" t="n">
        <v>44340.58002314815</v>
      </c>
      <c r="C138" s="1" t="n">
        <v>45912</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57948-2020</t>
        </is>
      </c>
      <c r="B139" s="1" t="n">
        <v>44142</v>
      </c>
      <c r="C139" s="1" t="n">
        <v>45912</v>
      </c>
      <c r="D139" t="inlineStr">
        <is>
          <t>KALMAR LÄN</t>
        </is>
      </c>
      <c r="E139" t="inlineStr">
        <is>
          <t>VIMMERBY</t>
        </is>
      </c>
      <c r="G139" t="n">
        <v>7.1</v>
      </c>
      <c r="H139" t="n">
        <v>0</v>
      </c>
      <c r="I139" t="n">
        <v>0</v>
      </c>
      <c r="J139" t="n">
        <v>0</v>
      </c>
      <c r="K139" t="n">
        <v>0</v>
      </c>
      <c r="L139" t="n">
        <v>0</v>
      </c>
      <c r="M139" t="n">
        <v>0</v>
      </c>
      <c r="N139" t="n">
        <v>0</v>
      </c>
      <c r="O139" t="n">
        <v>0</v>
      </c>
      <c r="P139" t="n">
        <v>0</v>
      </c>
      <c r="Q139" t="n">
        <v>0</v>
      </c>
      <c r="R139" s="2" t="inlineStr"/>
    </row>
    <row r="140" ht="15" customHeight="1">
      <c r="A140" t="inlineStr">
        <is>
          <t>A 35001-2021</t>
        </is>
      </c>
      <c r="B140" s="1" t="n">
        <v>44383</v>
      </c>
      <c r="C140" s="1" t="n">
        <v>45912</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55674-2021</t>
        </is>
      </c>
      <c r="B141" s="1" t="n">
        <v>44476</v>
      </c>
      <c r="C141" s="1" t="n">
        <v>45912</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46461-2020</t>
        </is>
      </c>
      <c r="B142" s="1" t="n">
        <v>44092</v>
      </c>
      <c r="C142" s="1" t="n">
        <v>45912</v>
      </c>
      <c r="D142" t="inlineStr">
        <is>
          <t>KALMAR LÄN</t>
        </is>
      </c>
      <c r="E142" t="inlineStr">
        <is>
          <t>VIMMERBY</t>
        </is>
      </c>
      <c r="G142" t="n">
        <v>2.4</v>
      </c>
      <c r="H142" t="n">
        <v>0</v>
      </c>
      <c r="I142" t="n">
        <v>0</v>
      </c>
      <c r="J142" t="n">
        <v>0</v>
      </c>
      <c r="K142" t="n">
        <v>0</v>
      </c>
      <c r="L142" t="n">
        <v>0</v>
      </c>
      <c r="M142" t="n">
        <v>0</v>
      </c>
      <c r="N142" t="n">
        <v>0</v>
      </c>
      <c r="O142" t="n">
        <v>0</v>
      </c>
      <c r="P142" t="n">
        <v>0</v>
      </c>
      <c r="Q142" t="n">
        <v>0</v>
      </c>
      <c r="R142" s="2" t="inlineStr"/>
    </row>
    <row r="143" ht="15" customHeight="1">
      <c r="A143" t="inlineStr">
        <is>
          <t>A 8454-2022</t>
        </is>
      </c>
      <c r="B143" s="1" t="n">
        <v>44612.86762731482</v>
      </c>
      <c r="C143" s="1" t="n">
        <v>45912</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18276-2021</t>
        </is>
      </c>
      <c r="B144" s="1" t="n">
        <v>44305.40046296296</v>
      </c>
      <c r="C144" s="1" t="n">
        <v>45912</v>
      </c>
      <c r="D144" t="inlineStr">
        <is>
          <t>KALMAR LÄN</t>
        </is>
      </c>
      <c r="E144" t="inlineStr">
        <is>
          <t>VIMMERBY</t>
        </is>
      </c>
      <c r="G144" t="n">
        <v>0.9</v>
      </c>
      <c r="H144" t="n">
        <v>0</v>
      </c>
      <c r="I144" t="n">
        <v>0</v>
      </c>
      <c r="J144" t="n">
        <v>0</v>
      </c>
      <c r="K144" t="n">
        <v>0</v>
      </c>
      <c r="L144" t="n">
        <v>0</v>
      </c>
      <c r="M144" t="n">
        <v>0</v>
      </c>
      <c r="N144" t="n">
        <v>0</v>
      </c>
      <c r="O144" t="n">
        <v>0</v>
      </c>
      <c r="P144" t="n">
        <v>0</v>
      </c>
      <c r="Q144" t="n">
        <v>0</v>
      </c>
      <c r="R144" s="2" t="inlineStr"/>
    </row>
    <row r="145" ht="15" customHeight="1">
      <c r="A145" t="inlineStr">
        <is>
          <t>A 47473-2021</t>
        </is>
      </c>
      <c r="B145" s="1" t="n">
        <v>44447</v>
      </c>
      <c r="C145" s="1" t="n">
        <v>45912</v>
      </c>
      <c r="D145" t="inlineStr">
        <is>
          <t>KALMAR LÄN</t>
        </is>
      </c>
      <c r="E145" t="inlineStr">
        <is>
          <t>VIMMERBY</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40077-2021</t>
        </is>
      </c>
      <c r="B146" s="1" t="n">
        <v>44418</v>
      </c>
      <c r="C146" s="1" t="n">
        <v>45912</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47769-2022</t>
        </is>
      </c>
      <c r="B147" s="1" t="n">
        <v>44854</v>
      </c>
      <c r="C147" s="1" t="n">
        <v>45912</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65887-2021</t>
        </is>
      </c>
      <c r="B148" s="1" t="n">
        <v>44517</v>
      </c>
      <c r="C148" s="1" t="n">
        <v>45912</v>
      </c>
      <c r="D148" t="inlineStr">
        <is>
          <t>KALMAR LÄN</t>
        </is>
      </c>
      <c r="E148" t="inlineStr">
        <is>
          <t>VIMMERBY</t>
        </is>
      </c>
      <c r="G148" t="n">
        <v>1.4</v>
      </c>
      <c r="H148" t="n">
        <v>0</v>
      </c>
      <c r="I148" t="n">
        <v>0</v>
      </c>
      <c r="J148" t="n">
        <v>0</v>
      </c>
      <c r="K148" t="n">
        <v>0</v>
      </c>
      <c r="L148" t="n">
        <v>0</v>
      </c>
      <c r="M148" t="n">
        <v>0</v>
      </c>
      <c r="N148" t="n">
        <v>0</v>
      </c>
      <c r="O148" t="n">
        <v>0</v>
      </c>
      <c r="P148" t="n">
        <v>0</v>
      </c>
      <c r="Q148" t="n">
        <v>0</v>
      </c>
      <c r="R148" s="2" t="inlineStr"/>
    </row>
    <row r="149" ht="15" customHeight="1">
      <c r="A149" t="inlineStr">
        <is>
          <t>A 41056-2022</t>
        </is>
      </c>
      <c r="B149" s="1" t="n">
        <v>44824</v>
      </c>
      <c r="C149" s="1" t="n">
        <v>45912</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31660-2021</t>
        </is>
      </c>
      <c r="B150" s="1" t="n">
        <v>44369</v>
      </c>
      <c r="C150" s="1" t="n">
        <v>45912</v>
      </c>
      <c r="D150" t="inlineStr">
        <is>
          <t>KALMAR LÄN</t>
        </is>
      </c>
      <c r="E150" t="inlineStr">
        <is>
          <t>VIMMERBY</t>
        </is>
      </c>
      <c r="G150" t="n">
        <v>4.2</v>
      </c>
      <c r="H150" t="n">
        <v>0</v>
      </c>
      <c r="I150" t="n">
        <v>0</v>
      </c>
      <c r="J150" t="n">
        <v>0</v>
      </c>
      <c r="K150" t="n">
        <v>0</v>
      </c>
      <c r="L150" t="n">
        <v>0</v>
      </c>
      <c r="M150" t="n">
        <v>0</v>
      </c>
      <c r="N150" t="n">
        <v>0</v>
      </c>
      <c r="O150" t="n">
        <v>0</v>
      </c>
      <c r="P150" t="n">
        <v>0</v>
      </c>
      <c r="Q150" t="n">
        <v>0</v>
      </c>
      <c r="R150" s="2" t="inlineStr"/>
    </row>
    <row r="151" ht="15" customHeight="1">
      <c r="A151" t="inlineStr">
        <is>
          <t>A 27455-2022</t>
        </is>
      </c>
      <c r="B151" s="1" t="n">
        <v>44742</v>
      </c>
      <c r="C151" s="1" t="n">
        <v>45912</v>
      </c>
      <c r="D151" t="inlineStr">
        <is>
          <t>KALMAR LÄN</t>
        </is>
      </c>
      <c r="E151" t="inlineStr">
        <is>
          <t>VIMMERBY</t>
        </is>
      </c>
      <c r="G151" t="n">
        <v>1.6</v>
      </c>
      <c r="H151" t="n">
        <v>0</v>
      </c>
      <c r="I151" t="n">
        <v>0</v>
      </c>
      <c r="J151" t="n">
        <v>0</v>
      </c>
      <c r="K151" t="n">
        <v>0</v>
      </c>
      <c r="L151" t="n">
        <v>0</v>
      </c>
      <c r="M151" t="n">
        <v>0</v>
      </c>
      <c r="N151" t="n">
        <v>0</v>
      </c>
      <c r="O151" t="n">
        <v>0</v>
      </c>
      <c r="P151" t="n">
        <v>0</v>
      </c>
      <c r="Q151" t="n">
        <v>0</v>
      </c>
      <c r="R151" s="2" t="inlineStr"/>
    </row>
    <row r="152" ht="15" customHeight="1">
      <c r="A152" t="inlineStr">
        <is>
          <t>A 42850-2022</t>
        </is>
      </c>
      <c r="B152" s="1" t="n">
        <v>44832.67608796297</v>
      </c>
      <c r="C152" s="1" t="n">
        <v>45912</v>
      </c>
      <c r="D152" t="inlineStr">
        <is>
          <t>KALMAR LÄN</t>
        </is>
      </c>
      <c r="E152" t="inlineStr">
        <is>
          <t>VIMMERBY</t>
        </is>
      </c>
      <c r="G152" t="n">
        <v>5.9</v>
      </c>
      <c r="H152" t="n">
        <v>0</v>
      </c>
      <c r="I152" t="n">
        <v>0</v>
      </c>
      <c r="J152" t="n">
        <v>0</v>
      </c>
      <c r="K152" t="n">
        <v>0</v>
      </c>
      <c r="L152" t="n">
        <v>0</v>
      </c>
      <c r="M152" t="n">
        <v>0</v>
      </c>
      <c r="N152" t="n">
        <v>0</v>
      </c>
      <c r="O152" t="n">
        <v>0</v>
      </c>
      <c r="P152" t="n">
        <v>0</v>
      </c>
      <c r="Q152" t="n">
        <v>0</v>
      </c>
      <c r="R152" s="2" t="inlineStr"/>
    </row>
    <row r="153" ht="15" customHeight="1">
      <c r="A153" t="inlineStr">
        <is>
          <t>A 39959-2022</t>
        </is>
      </c>
      <c r="B153" s="1" t="n">
        <v>44819</v>
      </c>
      <c r="C153" s="1" t="n">
        <v>45912</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45912</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45912</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10086-2022</t>
        </is>
      </c>
      <c r="B156" s="1" t="n">
        <v>44621</v>
      </c>
      <c r="C156" s="1" t="n">
        <v>45912</v>
      </c>
      <c r="D156" t="inlineStr">
        <is>
          <t>KALMAR LÄN</t>
        </is>
      </c>
      <c r="E156" t="inlineStr">
        <is>
          <t>VIMMERBY</t>
        </is>
      </c>
      <c r="G156" t="n">
        <v>1.2</v>
      </c>
      <c r="H156" t="n">
        <v>0</v>
      </c>
      <c r="I156" t="n">
        <v>0</v>
      </c>
      <c r="J156" t="n">
        <v>0</v>
      </c>
      <c r="K156" t="n">
        <v>0</v>
      </c>
      <c r="L156" t="n">
        <v>0</v>
      </c>
      <c r="M156" t="n">
        <v>0</v>
      </c>
      <c r="N156" t="n">
        <v>0</v>
      </c>
      <c r="O156" t="n">
        <v>0</v>
      </c>
      <c r="P156" t="n">
        <v>0</v>
      </c>
      <c r="Q156" t="n">
        <v>0</v>
      </c>
      <c r="R156" s="2" t="inlineStr"/>
    </row>
    <row r="157" ht="15" customHeight="1">
      <c r="A157" t="inlineStr">
        <is>
          <t>A 3330-2021</t>
        </is>
      </c>
      <c r="B157" s="1" t="n">
        <v>44217.79856481482</v>
      </c>
      <c r="C157" s="1" t="n">
        <v>45912</v>
      </c>
      <c r="D157" t="inlineStr">
        <is>
          <t>KALMAR LÄN</t>
        </is>
      </c>
      <c r="E157" t="inlineStr">
        <is>
          <t>VIMMERBY</t>
        </is>
      </c>
      <c r="G157" t="n">
        <v>11.1</v>
      </c>
      <c r="H157" t="n">
        <v>0</v>
      </c>
      <c r="I157" t="n">
        <v>0</v>
      </c>
      <c r="J157" t="n">
        <v>0</v>
      </c>
      <c r="K157" t="n">
        <v>0</v>
      </c>
      <c r="L157" t="n">
        <v>0</v>
      </c>
      <c r="M157" t="n">
        <v>0</v>
      </c>
      <c r="N157" t="n">
        <v>0</v>
      </c>
      <c r="O157" t="n">
        <v>0</v>
      </c>
      <c r="P157" t="n">
        <v>0</v>
      </c>
      <c r="Q157" t="n">
        <v>0</v>
      </c>
      <c r="R157" s="2" t="inlineStr"/>
    </row>
    <row r="158" ht="15" customHeight="1">
      <c r="A158" t="inlineStr">
        <is>
          <t>A 65564-2020</t>
        </is>
      </c>
      <c r="B158" s="1" t="n">
        <v>44172</v>
      </c>
      <c r="C158" s="1" t="n">
        <v>45912</v>
      </c>
      <c r="D158" t="inlineStr">
        <is>
          <t>KALMAR LÄN</t>
        </is>
      </c>
      <c r="E158" t="inlineStr">
        <is>
          <t>VIMMERBY</t>
        </is>
      </c>
      <c r="G158" t="n">
        <v>4.1</v>
      </c>
      <c r="H158" t="n">
        <v>0</v>
      </c>
      <c r="I158" t="n">
        <v>0</v>
      </c>
      <c r="J158" t="n">
        <v>0</v>
      </c>
      <c r="K158" t="n">
        <v>0</v>
      </c>
      <c r="L158" t="n">
        <v>0</v>
      </c>
      <c r="M158" t="n">
        <v>0</v>
      </c>
      <c r="N158" t="n">
        <v>0</v>
      </c>
      <c r="O158" t="n">
        <v>0</v>
      </c>
      <c r="P158" t="n">
        <v>0</v>
      </c>
      <c r="Q158" t="n">
        <v>0</v>
      </c>
      <c r="R158" s="2" t="inlineStr"/>
    </row>
    <row r="159" ht="15" customHeight="1">
      <c r="A159" t="inlineStr">
        <is>
          <t>A 35316-2021</t>
        </is>
      </c>
      <c r="B159" s="1" t="n">
        <v>44384</v>
      </c>
      <c r="C159" s="1" t="n">
        <v>45912</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12661-2021</t>
        </is>
      </c>
      <c r="B160" s="1" t="n">
        <v>44270</v>
      </c>
      <c r="C160" s="1" t="n">
        <v>45912</v>
      </c>
      <c r="D160" t="inlineStr">
        <is>
          <t>KALMAR LÄN</t>
        </is>
      </c>
      <c r="E160" t="inlineStr">
        <is>
          <t>VIMMERBY</t>
        </is>
      </c>
      <c r="G160" t="n">
        <v>1.8</v>
      </c>
      <c r="H160" t="n">
        <v>0</v>
      </c>
      <c r="I160" t="n">
        <v>0</v>
      </c>
      <c r="J160" t="n">
        <v>0</v>
      </c>
      <c r="K160" t="n">
        <v>0</v>
      </c>
      <c r="L160" t="n">
        <v>0</v>
      </c>
      <c r="M160" t="n">
        <v>0</v>
      </c>
      <c r="N160" t="n">
        <v>0</v>
      </c>
      <c r="O160" t="n">
        <v>0</v>
      </c>
      <c r="P160" t="n">
        <v>0</v>
      </c>
      <c r="Q160" t="n">
        <v>0</v>
      </c>
      <c r="R160" s="2" t="inlineStr"/>
    </row>
    <row r="161" ht="15" customHeight="1">
      <c r="A161" t="inlineStr">
        <is>
          <t>A 33831-2022</t>
        </is>
      </c>
      <c r="B161" s="1" t="n">
        <v>44790.48503472222</v>
      </c>
      <c r="C161" s="1" t="n">
        <v>45912</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24999-2021</t>
        </is>
      </c>
      <c r="B162" s="1" t="n">
        <v>44341</v>
      </c>
      <c r="C162" s="1" t="n">
        <v>45912</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45912</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7917-2022</t>
        </is>
      </c>
      <c r="B164" s="1" t="n">
        <v>44608</v>
      </c>
      <c r="C164" s="1" t="n">
        <v>45912</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47208-2021</t>
        </is>
      </c>
      <c r="B165" s="1" t="n">
        <v>44447.34237268518</v>
      </c>
      <c r="C165" s="1" t="n">
        <v>45912</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16705-2021</t>
        </is>
      </c>
      <c r="B166" s="1" t="n">
        <v>44294</v>
      </c>
      <c r="C166" s="1" t="n">
        <v>45912</v>
      </c>
      <c r="D166" t="inlineStr">
        <is>
          <t>KALMAR LÄN</t>
        </is>
      </c>
      <c r="E166" t="inlineStr">
        <is>
          <t>VIMMERBY</t>
        </is>
      </c>
      <c r="G166" t="n">
        <v>2.6</v>
      </c>
      <c r="H166" t="n">
        <v>0</v>
      </c>
      <c r="I166" t="n">
        <v>0</v>
      </c>
      <c r="J166" t="n">
        <v>0</v>
      </c>
      <c r="K166" t="n">
        <v>0</v>
      </c>
      <c r="L166" t="n">
        <v>0</v>
      </c>
      <c r="M166" t="n">
        <v>0</v>
      </c>
      <c r="N166" t="n">
        <v>0</v>
      </c>
      <c r="O166" t="n">
        <v>0</v>
      </c>
      <c r="P166" t="n">
        <v>0</v>
      </c>
      <c r="Q166" t="n">
        <v>0</v>
      </c>
      <c r="R166" s="2" t="inlineStr"/>
    </row>
    <row r="167" ht="15" customHeight="1">
      <c r="A167" t="inlineStr">
        <is>
          <t>A 51977-2020</t>
        </is>
      </c>
      <c r="B167" s="1" t="n">
        <v>44116</v>
      </c>
      <c r="C167" s="1" t="n">
        <v>45912</v>
      </c>
      <c r="D167" t="inlineStr">
        <is>
          <t>KALMAR LÄN</t>
        </is>
      </c>
      <c r="E167" t="inlineStr">
        <is>
          <t>VIMMERBY</t>
        </is>
      </c>
      <c r="G167" t="n">
        <v>1.5</v>
      </c>
      <c r="H167" t="n">
        <v>0</v>
      </c>
      <c r="I167" t="n">
        <v>0</v>
      </c>
      <c r="J167" t="n">
        <v>0</v>
      </c>
      <c r="K167" t="n">
        <v>0</v>
      </c>
      <c r="L167" t="n">
        <v>0</v>
      </c>
      <c r="M167" t="n">
        <v>0</v>
      </c>
      <c r="N167" t="n">
        <v>0</v>
      </c>
      <c r="O167" t="n">
        <v>0</v>
      </c>
      <c r="P167" t="n">
        <v>0</v>
      </c>
      <c r="Q167" t="n">
        <v>0</v>
      </c>
      <c r="R167" s="2" t="inlineStr"/>
    </row>
    <row r="168" ht="15" customHeight="1">
      <c r="A168" t="inlineStr">
        <is>
          <t>A 9918-2022</t>
        </is>
      </c>
      <c r="B168" s="1" t="n">
        <v>44620</v>
      </c>
      <c r="C168" s="1" t="n">
        <v>45912</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56389-2021</t>
        </is>
      </c>
      <c r="B169" s="1" t="n">
        <v>44480</v>
      </c>
      <c r="C169" s="1" t="n">
        <v>45912</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45912</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45912</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45528-2020</t>
        </is>
      </c>
      <c r="B172" s="1" t="n">
        <v>44089.78633101852</v>
      </c>
      <c r="C172" s="1" t="n">
        <v>45912</v>
      </c>
      <c r="D172" t="inlineStr">
        <is>
          <t>KALMAR LÄN</t>
        </is>
      </c>
      <c r="E172" t="inlineStr">
        <is>
          <t>VIMMERBY</t>
        </is>
      </c>
      <c r="G172" t="n">
        <v>3.8</v>
      </c>
      <c r="H172" t="n">
        <v>0</v>
      </c>
      <c r="I172" t="n">
        <v>0</v>
      </c>
      <c r="J172" t="n">
        <v>0</v>
      </c>
      <c r="K172" t="n">
        <v>0</v>
      </c>
      <c r="L172" t="n">
        <v>0</v>
      </c>
      <c r="M172" t="n">
        <v>0</v>
      </c>
      <c r="N172" t="n">
        <v>0</v>
      </c>
      <c r="O172" t="n">
        <v>0</v>
      </c>
      <c r="P172" t="n">
        <v>0</v>
      </c>
      <c r="Q172" t="n">
        <v>0</v>
      </c>
      <c r="R172" s="2" t="inlineStr"/>
    </row>
    <row r="173" ht="15" customHeight="1">
      <c r="A173" t="inlineStr">
        <is>
          <t>A 618-2021</t>
        </is>
      </c>
      <c r="B173" s="1" t="n">
        <v>44203</v>
      </c>
      <c r="C173" s="1" t="n">
        <v>45912</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67952-2021</t>
        </is>
      </c>
      <c r="B174" s="1" t="n">
        <v>44525.63913194444</v>
      </c>
      <c r="C174" s="1" t="n">
        <v>45912</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14521-2021</t>
        </is>
      </c>
      <c r="B175" s="1" t="n">
        <v>44279.64934027778</v>
      </c>
      <c r="C175" s="1" t="n">
        <v>45912</v>
      </c>
      <c r="D175" t="inlineStr">
        <is>
          <t>KALMAR LÄN</t>
        </is>
      </c>
      <c r="E175" t="inlineStr">
        <is>
          <t>VIMMERBY</t>
        </is>
      </c>
      <c r="F175" t="inlineStr">
        <is>
          <t>Sveaskog</t>
        </is>
      </c>
      <c r="G175" t="n">
        <v>1.8</v>
      </c>
      <c r="H175" t="n">
        <v>0</v>
      </c>
      <c r="I175" t="n">
        <v>0</v>
      </c>
      <c r="J175" t="n">
        <v>0</v>
      </c>
      <c r="K175" t="n">
        <v>0</v>
      </c>
      <c r="L175" t="n">
        <v>0</v>
      </c>
      <c r="M175" t="n">
        <v>0</v>
      </c>
      <c r="N175" t="n">
        <v>0</v>
      </c>
      <c r="O175" t="n">
        <v>0</v>
      </c>
      <c r="P175" t="n">
        <v>0</v>
      </c>
      <c r="Q175" t="n">
        <v>0</v>
      </c>
      <c r="R175" s="2" t="inlineStr"/>
    </row>
    <row r="176" ht="15" customHeight="1">
      <c r="A176" t="inlineStr">
        <is>
          <t>A 8194-2022</t>
        </is>
      </c>
      <c r="B176" s="1" t="n">
        <v>44609</v>
      </c>
      <c r="C176" s="1" t="n">
        <v>45912</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15533-2022</t>
        </is>
      </c>
      <c r="B177" s="1" t="n">
        <v>44662</v>
      </c>
      <c r="C177" s="1" t="n">
        <v>45912</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46527-2020</t>
        </is>
      </c>
      <c r="B178" s="1" t="n">
        <v>44095</v>
      </c>
      <c r="C178" s="1" t="n">
        <v>45912</v>
      </c>
      <c r="D178" t="inlineStr">
        <is>
          <t>KALMAR LÄN</t>
        </is>
      </c>
      <c r="E178" t="inlineStr">
        <is>
          <t>VIMMERBY</t>
        </is>
      </c>
      <c r="F178" t="inlineStr">
        <is>
          <t>Sveaskog</t>
        </is>
      </c>
      <c r="G178" t="n">
        <v>2.7</v>
      </c>
      <c r="H178" t="n">
        <v>0</v>
      </c>
      <c r="I178" t="n">
        <v>0</v>
      </c>
      <c r="J178" t="n">
        <v>0</v>
      </c>
      <c r="K178" t="n">
        <v>0</v>
      </c>
      <c r="L178" t="n">
        <v>0</v>
      </c>
      <c r="M178" t="n">
        <v>0</v>
      </c>
      <c r="N178" t="n">
        <v>0</v>
      </c>
      <c r="O178" t="n">
        <v>0</v>
      </c>
      <c r="P178" t="n">
        <v>0</v>
      </c>
      <c r="Q178" t="n">
        <v>0</v>
      </c>
      <c r="R178" s="2" t="inlineStr"/>
    </row>
    <row r="179" ht="15" customHeight="1">
      <c r="A179" t="inlineStr">
        <is>
          <t>A 15191-2021</t>
        </is>
      </c>
      <c r="B179" s="1" t="n">
        <v>44284.42348379629</v>
      </c>
      <c r="C179" s="1" t="n">
        <v>45912</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45050-2020</t>
        </is>
      </c>
      <c r="B180" s="1" t="n">
        <v>44088</v>
      </c>
      <c r="C180" s="1" t="n">
        <v>45912</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12241-2021</t>
        </is>
      </c>
      <c r="B181" s="1" t="n">
        <v>44266.7240625</v>
      </c>
      <c r="C181" s="1" t="n">
        <v>45912</v>
      </c>
      <c r="D181" t="inlineStr">
        <is>
          <t>KALMAR LÄN</t>
        </is>
      </c>
      <c r="E181" t="inlineStr">
        <is>
          <t>VIMMERBY</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32603-2021</t>
        </is>
      </c>
      <c r="B182" s="1" t="n">
        <v>44375.38789351852</v>
      </c>
      <c r="C182" s="1" t="n">
        <v>45912</v>
      </c>
      <c r="D182" t="inlineStr">
        <is>
          <t>KALMAR LÄN</t>
        </is>
      </c>
      <c r="E182" t="inlineStr">
        <is>
          <t>VIMMERBY</t>
        </is>
      </c>
      <c r="G182" t="n">
        <v>0.8</v>
      </c>
      <c r="H182" t="n">
        <v>0</v>
      </c>
      <c r="I182" t="n">
        <v>0</v>
      </c>
      <c r="J182" t="n">
        <v>0</v>
      </c>
      <c r="K182" t="n">
        <v>0</v>
      </c>
      <c r="L182" t="n">
        <v>0</v>
      </c>
      <c r="M182" t="n">
        <v>0</v>
      </c>
      <c r="N182" t="n">
        <v>0</v>
      </c>
      <c r="O182" t="n">
        <v>0</v>
      </c>
      <c r="P182" t="n">
        <v>0</v>
      </c>
      <c r="Q182" t="n">
        <v>0</v>
      </c>
      <c r="R182" s="2" t="inlineStr"/>
    </row>
    <row r="183" ht="15" customHeight="1">
      <c r="A183" t="inlineStr">
        <is>
          <t>A 45054-2020</t>
        </is>
      </c>
      <c r="B183" s="1" t="n">
        <v>44088</v>
      </c>
      <c r="C183" s="1" t="n">
        <v>45912</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40971-2021</t>
        </is>
      </c>
      <c r="B184" s="1" t="n">
        <v>44421</v>
      </c>
      <c r="C184" s="1" t="n">
        <v>45912</v>
      </c>
      <c r="D184" t="inlineStr">
        <is>
          <t>KALMAR LÄN</t>
        </is>
      </c>
      <c r="E184" t="inlineStr">
        <is>
          <t>VIMMERBY</t>
        </is>
      </c>
      <c r="G184" t="n">
        <v>1.1</v>
      </c>
      <c r="H184" t="n">
        <v>0</v>
      </c>
      <c r="I184" t="n">
        <v>0</v>
      </c>
      <c r="J184" t="n">
        <v>0</v>
      </c>
      <c r="K184" t="n">
        <v>0</v>
      </c>
      <c r="L184" t="n">
        <v>0</v>
      </c>
      <c r="M184" t="n">
        <v>0</v>
      </c>
      <c r="N184" t="n">
        <v>0</v>
      </c>
      <c r="O184" t="n">
        <v>0</v>
      </c>
      <c r="P184" t="n">
        <v>0</v>
      </c>
      <c r="Q184" t="n">
        <v>0</v>
      </c>
      <c r="R184" s="2" t="inlineStr"/>
    </row>
    <row r="185" ht="15" customHeight="1">
      <c r="A185" t="inlineStr">
        <is>
          <t>A 68744-2020</t>
        </is>
      </c>
      <c r="B185" s="1" t="n">
        <v>44186</v>
      </c>
      <c r="C185" s="1" t="n">
        <v>45912</v>
      </c>
      <c r="D185" t="inlineStr">
        <is>
          <t>KALMAR LÄN</t>
        </is>
      </c>
      <c r="E185" t="inlineStr">
        <is>
          <t>VIMMERBY</t>
        </is>
      </c>
      <c r="G185" t="n">
        <v>2.5</v>
      </c>
      <c r="H185" t="n">
        <v>0</v>
      </c>
      <c r="I185" t="n">
        <v>0</v>
      </c>
      <c r="J185" t="n">
        <v>0</v>
      </c>
      <c r="K185" t="n">
        <v>0</v>
      </c>
      <c r="L185" t="n">
        <v>0</v>
      </c>
      <c r="M185" t="n">
        <v>0</v>
      </c>
      <c r="N185" t="n">
        <v>0</v>
      </c>
      <c r="O185" t="n">
        <v>0</v>
      </c>
      <c r="P185" t="n">
        <v>0</v>
      </c>
      <c r="Q185" t="n">
        <v>0</v>
      </c>
      <c r="R185" s="2" t="inlineStr"/>
    </row>
    <row r="186" ht="15" customHeight="1">
      <c r="A186" t="inlineStr">
        <is>
          <t>A 12662-2021</t>
        </is>
      </c>
      <c r="B186" s="1" t="n">
        <v>44270.49743055556</v>
      </c>
      <c r="C186" s="1" t="n">
        <v>45912</v>
      </c>
      <c r="D186" t="inlineStr">
        <is>
          <t>KALMAR LÄN</t>
        </is>
      </c>
      <c r="E186" t="inlineStr">
        <is>
          <t>VIMMERBY</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45912</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165-2022</t>
        </is>
      </c>
      <c r="B188" s="1" t="n">
        <v>44564</v>
      </c>
      <c r="C188" s="1" t="n">
        <v>45912</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36117-2021</t>
        </is>
      </c>
      <c r="B189" s="1" t="n">
        <v>44386</v>
      </c>
      <c r="C189" s="1" t="n">
        <v>45912</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42521-2021</t>
        </is>
      </c>
      <c r="B190" s="1" t="n">
        <v>44427</v>
      </c>
      <c r="C190" s="1" t="n">
        <v>45912</v>
      </c>
      <c r="D190" t="inlineStr">
        <is>
          <t>KALMAR LÄN</t>
        </is>
      </c>
      <c r="E190" t="inlineStr">
        <is>
          <t>VIMMERBY</t>
        </is>
      </c>
      <c r="G190" t="n">
        <v>5.4</v>
      </c>
      <c r="H190" t="n">
        <v>0</v>
      </c>
      <c r="I190" t="n">
        <v>0</v>
      </c>
      <c r="J190" t="n">
        <v>0</v>
      </c>
      <c r="K190" t="n">
        <v>0</v>
      </c>
      <c r="L190" t="n">
        <v>0</v>
      </c>
      <c r="M190" t="n">
        <v>0</v>
      </c>
      <c r="N190" t="n">
        <v>0</v>
      </c>
      <c r="O190" t="n">
        <v>0</v>
      </c>
      <c r="P190" t="n">
        <v>0</v>
      </c>
      <c r="Q190" t="n">
        <v>0</v>
      </c>
      <c r="R190" s="2" t="inlineStr"/>
    </row>
    <row r="191" ht="15" customHeight="1">
      <c r="A191" t="inlineStr">
        <is>
          <t>A 14278-2021</t>
        </is>
      </c>
      <c r="B191" s="1" t="n">
        <v>44278.63479166666</v>
      </c>
      <c r="C191" s="1" t="n">
        <v>45912</v>
      </c>
      <c r="D191" t="inlineStr">
        <is>
          <t>KALMAR LÄN</t>
        </is>
      </c>
      <c r="E191" t="inlineStr">
        <is>
          <t>VIMMERBY</t>
        </is>
      </c>
      <c r="F191" t="inlineStr">
        <is>
          <t>Övriga statliga verk och myndigheter</t>
        </is>
      </c>
      <c r="G191" t="n">
        <v>0.8</v>
      </c>
      <c r="H191" t="n">
        <v>0</v>
      </c>
      <c r="I191" t="n">
        <v>0</v>
      </c>
      <c r="J191" t="n">
        <v>0</v>
      </c>
      <c r="K191" t="n">
        <v>0</v>
      </c>
      <c r="L191" t="n">
        <v>0</v>
      </c>
      <c r="M191" t="n">
        <v>0</v>
      </c>
      <c r="N191" t="n">
        <v>0</v>
      </c>
      <c r="O191" t="n">
        <v>0</v>
      </c>
      <c r="P191" t="n">
        <v>0</v>
      </c>
      <c r="Q191" t="n">
        <v>0</v>
      </c>
      <c r="R191" s="2" t="inlineStr"/>
    </row>
    <row r="192" ht="15" customHeight="1">
      <c r="A192" t="inlineStr">
        <is>
          <t>A 23825-2022</t>
        </is>
      </c>
      <c r="B192" s="1" t="n">
        <v>44722.48768518519</v>
      </c>
      <c r="C192" s="1" t="n">
        <v>45912</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8453-2022</t>
        </is>
      </c>
      <c r="B193" s="1" t="n">
        <v>44612.86554398148</v>
      </c>
      <c r="C193" s="1" t="n">
        <v>45912</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34040-2021</t>
        </is>
      </c>
      <c r="B194" s="1" t="n">
        <v>44379</v>
      </c>
      <c r="C194" s="1" t="n">
        <v>45912</v>
      </c>
      <c r="D194" t="inlineStr">
        <is>
          <t>KALMAR LÄN</t>
        </is>
      </c>
      <c r="E194" t="inlineStr">
        <is>
          <t>VIMMERBY</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52433-2021</t>
        </is>
      </c>
      <c r="B195" s="1" t="n">
        <v>44466.34726851852</v>
      </c>
      <c r="C195" s="1" t="n">
        <v>45912</v>
      </c>
      <c r="D195" t="inlineStr">
        <is>
          <t>KALMAR LÄN</t>
        </is>
      </c>
      <c r="E195" t="inlineStr">
        <is>
          <t>VIMMERBY</t>
        </is>
      </c>
      <c r="G195" t="n">
        <v>3.5</v>
      </c>
      <c r="H195" t="n">
        <v>0</v>
      </c>
      <c r="I195" t="n">
        <v>0</v>
      </c>
      <c r="J195" t="n">
        <v>0</v>
      </c>
      <c r="K195" t="n">
        <v>0</v>
      </c>
      <c r="L195" t="n">
        <v>0</v>
      </c>
      <c r="M195" t="n">
        <v>0</v>
      </c>
      <c r="N195" t="n">
        <v>0</v>
      </c>
      <c r="O195" t="n">
        <v>0</v>
      </c>
      <c r="P195" t="n">
        <v>0</v>
      </c>
      <c r="Q195" t="n">
        <v>0</v>
      </c>
      <c r="R195" s="2" t="inlineStr"/>
    </row>
    <row r="196" ht="15" customHeight="1">
      <c r="A196" t="inlineStr">
        <is>
          <t>A 15200-2021</t>
        </is>
      </c>
      <c r="B196" s="1" t="n">
        <v>44284.44574074074</v>
      </c>
      <c r="C196" s="1" t="n">
        <v>45912</v>
      </c>
      <c r="D196" t="inlineStr">
        <is>
          <t>KALMAR LÄN</t>
        </is>
      </c>
      <c r="E196" t="inlineStr">
        <is>
          <t>VIMMERBY</t>
        </is>
      </c>
      <c r="G196" t="n">
        <v>1.2</v>
      </c>
      <c r="H196" t="n">
        <v>0</v>
      </c>
      <c r="I196" t="n">
        <v>0</v>
      </c>
      <c r="J196" t="n">
        <v>0</v>
      </c>
      <c r="K196" t="n">
        <v>0</v>
      </c>
      <c r="L196" t="n">
        <v>0</v>
      </c>
      <c r="M196" t="n">
        <v>0</v>
      </c>
      <c r="N196" t="n">
        <v>0</v>
      </c>
      <c r="O196" t="n">
        <v>0</v>
      </c>
      <c r="P196" t="n">
        <v>0</v>
      </c>
      <c r="Q196" t="n">
        <v>0</v>
      </c>
      <c r="R196" s="2" t="inlineStr"/>
    </row>
    <row r="197" ht="15" customHeight="1">
      <c r="A197" t="inlineStr">
        <is>
          <t>A 50621-2022</t>
        </is>
      </c>
      <c r="B197" s="1" t="n">
        <v>44866.81100694444</v>
      </c>
      <c r="C197" s="1" t="n">
        <v>45912</v>
      </c>
      <c r="D197" t="inlineStr">
        <is>
          <t>KALMAR LÄN</t>
        </is>
      </c>
      <c r="E197" t="inlineStr">
        <is>
          <t>VIMMERBY</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54065-2021</t>
        </is>
      </c>
      <c r="B198" s="1" t="n">
        <v>44470.44232638889</v>
      </c>
      <c r="C198" s="1" t="n">
        <v>45912</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31824-2022</t>
        </is>
      </c>
      <c r="B199" s="1" t="n">
        <v>44776</v>
      </c>
      <c r="C199" s="1" t="n">
        <v>45912</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11733-2022</t>
        </is>
      </c>
      <c r="B200" s="1" t="n">
        <v>44634</v>
      </c>
      <c r="C200" s="1" t="n">
        <v>45912</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46964-2022</t>
        </is>
      </c>
      <c r="B201" s="1" t="n">
        <v>44851.95016203704</v>
      </c>
      <c r="C201" s="1" t="n">
        <v>45912</v>
      </c>
      <c r="D201" t="inlineStr">
        <is>
          <t>KALMAR LÄN</t>
        </is>
      </c>
      <c r="E201" t="inlineStr">
        <is>
          <t>VIMMERBY</t>
        </is>
      </c>
      <c r="G201" t="n">
        <v>0.2</v>
      </c>
      <c r="H201" t="n">
        <v>0</v>
      </c>
      <c r="I201" t="n">
        <v>0</v>
      </c>
      <c r="J201" t="n">
        <v>0</v>
      </c>
      <c r="K201" t="n">
        <v>0</v>
      </c>
      <c r="L201" t="n">
        <v>0</v>
      </c>
      <c r="M201" t="n">
        <v>0</v>
      </c>
      <c r="N201" t="n">
        <v>0</v>
      </c>
      <c r="O201" t="n">
        <v>0</v>
      </c>
      <c r="P201" t="n">
        <v>0</v>
      </c>
      <c r="Q201" t="n">
        <v>0</v>
      </c>
      <c r="R201" s="2" t="inlineStr"/>
    </row>
    <row r="202" ht="15" customHeight="1">
      <c r="A202" t="inlineStr">
        <is>
          <t>A 12107-2022</t>
        </is>
      </c>
      <c r="B202" s="1" t="n">
        <v>44636</v>
      </c>
      <c r="C202" s="1" t="n">
        <v>45912</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39225-2022</t>
        </is>
      </c>
      <c r="B203" s="1" t="n">
        <v>44817.57988425926</v>
      </c>
      <c r="C203" s="1" t="n">
        <v>45912</v>
      </c>
      <c r="D203" t="inlineStr">
        <is>
          <t>KALMAR LÄN</t>
        </is>
      </c>
      <c r="E203" t="inlineStr">
        <is>
          <t>VIMMERBY</t>
        </is>
      </c>
      <c r="G203" t="n">
        <v>2.2</v>
      </c>
      <c r="H203" t="n">
        <v>0</v>
      </c>
      <c r="I203" t="n">
        <v>0</v>
      </c>
      <c r="J203" t="n">
        <v>0</v>
      </c>
      <c r="K203" t="n">
        <v>0</v>
      </c>
      <c r="L203" t="n">
        <v>0</v>
      </c>
      <c r="M203" t="n">
        <v>0</v>
      </c>
      <c r="N203" t="n">
        <v>0</v>
      </c>
      <c r="O203" t="n">
        <v>0</v>
      </c>
      <c r="P203" t="n">
        <v>0</v>
      </c>
      <c r="Q203" t="n">
        <v>0</v>
      </c>
      <c r="R203" s="2" t="inlineStr"/>
    </row>
    <row r="204" ht="15" customHeight="1">
      <c r="A204" t="inlineStr">
        <is>
          <t>A 7804-2022</t>
        </is>
      </c>
      <c r="B204" s="1" t="n">
        <v>44608.50458333334</v>
      </c>
      <c r="C204" s="1" t="n">
        <v>45912</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39042-2022</t>
        </is>
      </c>
      <c r="B205" s="1" t="n">
        <v>44817</v>
      </c>
      <c r="C205" s="1" t="n">
        <v>45912</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16602-2021</t>
        </is>
      </c>
      <c r="B206" s="1" t="n">
        <v>44294</v>
      </c>
      <c r="C206" s="1" t="n">
        <v>45912</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16607-2021</t>
        </is>
      </c>
      <c r="B207" s="1" t="n">
        <v>44294</v>
      </c>
      <c r="C207" s="1" t="n">
        <v>45912</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13180-2022</t>
        </is>
      </c>
      <c r="B208" s="1" t="n">
        <v>44644</v>
      </c>
      <c r="C208" s="1" t="n">
        <v>45912</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17029-2022</t>
        </is>
      </c>
      <c r="B209" s="1" t="n">
        <v>44676.85248842592</v>
      </c>
      <c r="C209" s="1" t="n">
        <v>45912</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58962-2022</t>
        </is>
      </c>
      <c r="B210" s="1" t="n">
        <v>44903</v>
      </c>
      <c r="C210" s="1" t="n">
        <v>45912</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7167-2022</t>
        </is>
      </c>
      <c r="B211" s="1" t="n">
        <v>44604</v>
      </c>
      <c r="C211" s="1" t="n">
        <v>45912</v>
      </c>
      <c r="D211" t="inlineStr">
        <is>
          <t>KALMAR LÄN</t>
        </is>
      </c>
      <c r="E211" t="inlineStr">
        <is>
          <t>VIMMERBY</t>
        </is>
      </c>
      <c r="G211" t="n">
        <v>1.7</v>
      </c>
      <c r="H211" t="n">
        <v>0</v>
      </c>
      <c r="I211" t="n">
        <v>0</v>
      </c>
      <c r="J211" t="n">
        <v>0</v>
      </c>
      <c r="K211" t="n">
        <v>0</v>
      </c>
      <c r="L211" t="n">
        <v>0</v>
      </c>
      <c r="M211" t="n">
        <v>0</v>
      </c>
      <c r="N211" t="n">
        <v>0</v>
      </c>
      <c r="O211" t="n">
        <v>0</v>
      </c>
      <c r="P211" t="n">
        <v>0</v>
      </c>
      <c r="Q211" t="n">
        <v>0</v>
      </c>
      <c r="R211" s="2" t="inlineStr"/>
    </row>
    <row r="212" ht="15" customHeight="1">
      <c r="A212" t="inlineStr">
        <is>
          <t>A 16288-2021</t>
        </is>
      </c>
      <c r="B212" s="1" t="n">
        <v>44292</v>
      </c>
      <c r="C212" s="1" t="n">
        <v>45912</v>
      </c>
      <c r="D212" t="inlineStr">
        <is>
          <t>KALMAR LÄN</t>
        </is>
      </c>
      <c r="E212" t="inlineStr">
        <is>
          <t>VIMMERBY</t>
        </is>
      </c>
      <c r="F212" t="inlineStr">
        <is>
          <t>Övriga Aktiebolag</t>
        </is>
      </c>
      <c r="G212" t="n">
        <v>27.6</v>
      </c>
      <c r="H212" t="n">
        <v>0</v>
      </c>
      <c r="I212" t="n">
        <v>0</v>
      </c>
      <c r="J212" t="n">
        <v>0</v>
      </c>
      <c r="K212" t="n">
        <v>0</v>
      </c>
      <c r="L212" t="n">
        <v>0</v>
      </c>
      <c r="M212" t="n">
        <v>0</v>
      </c>
      <c r="N212" t="n">
        <v>0</v>
      </c>
      <c r="O212" t="n">
        <v>0</v>
      </c>
      <c r="P212" t="n">
        <v>0</v>
      </c>
      <c r="Q212" t="n">
        <v>0</v>
      </c>
      <c r="R212" s="2" t="inlineStr"/>
    </row>
    <row r="213" ht="15" customHeight="1">
      <c r="A213" t="inlineStr">
        <is>
          <t>A 10837-2023</t>
        </is>
      </c>
      <c r="B213" s="1" t="n">
        <v>44991.30547453704</v>
      </c>
      <c r="C213" s="1" t="n">
        <v>45912</v>
      </c>
      <c r="D213" t="inlineStr">
        <is>
          <t>KALMAR LÄN</t>
        </is>
      </c>
      <c r="E213" t="inlineStr">
        <is>
          <t>VIMMERBY</t>
        </is>
      </c>
      <c r="G213" t="n">
        <v>7.3</v>
      </c>
      <c r="H213" t="n">
        <v>0</v>
      </c>
      <c r="I213" t="n">
        <v>0</v>
      </c>
      <c r="J213" t="n">
        <v>0</v>
      </c>
      <c r="K213" t="n">
        <v>0</v>
      </c>
      <c r="L213" t="n">
        <v>0</v>
      </c>
      <c r="M213" t="n">
        <v>0</v>
      </c>
      <c r="N213" t="n">
        <v>0</v>
      </c>
      <c r="O213" t="n">
        <v>0</v>
      </c>
      <c r="P213" t="n">
        <v>0</v>
      </c>
      <c r="Q213" t="n">
        <v>0</v>
      </c>
      <c r="R213" s="2" t="inlineStr"/>
    </row>
    <row r="214" ht="15" customHeight="1">
      <c r="A214" t="inlineStr">
        <is>
          <t>A 10838-2023</t>
        </is>
      </c>
      <c r="B214" s="1" t="n">
        <v>44991</v>
      </c>
      <c r="C214" s="1" t="n">
        <v>45912</v>
      </c>
      <c r="D214" t="inlineStr">
        <is>
          <t>KALMAR LÄN</t>
        </is>
      </c>
      <c r="E214" t="inlineStr">
        <is>
          <t>VIMMERBY</t>
        </is>
      </c>
      <c r="G214" t="n">
        <v>5.1</v>
      </c>
      <c r="H214" t="n">
        <v>0</v>
      </c>
      <c r="I214" t="n">
        <v>0</v>
      </c>
      <c r="J214" t="n">
        <v>0</v>
      </c>
      <c r="K214" t="n">
        <v>0</v>
      </c>
      <c r="L214" t="n">
        <v>0</v>
      </c>
      <c r="M214" t="n">
        <v>0</v>
      </c>
      <c r="N214" t="n">
        <v>0</v>
      </c>
      <c r="O214" t="n">
        <v>0</v>
      </c>
      <c r="P214" t="n">
        <v>0</v>
      </c>
      <c r="Q214" t="n">
        <v>0</v>
      </c>
      <c r="R214" s="2" t="inlineStr"/>
    </row>
    <row r="215" ht="15" customHeight="1">
      <c r="A215" t="inlineStr">
        <is>
          <t>A 4076-2022</t>
        </is>
      </c>
      <c r="B215" s="1" t="n">
        <v>44588.37998842593</v>
      </c>
      <c r="C215" s="1" t="n">
        <v>45912</v>
      </c>
      <c r="D215" t="inlineStr">
        <is>
          <t>KALMAR LÄN</t>
        </is>
      </c>
      <c r="E215" t="inlineStr">
        <is>
          <t>VIMMERBY</t>
        </is>
      </c>
      <c r="G215" t="n">
        <v>3</v>
      </c>
      <c r="H215" t="n">
        <v>0</v>
      </c>
      <c r="I215" t="n">
        <v>0</v>
      </c>
      <c r="J215" t="n">
        <v>0</v>
      </c>
      <c r="K215" t="n">
        <v>0</v>
      </c>
      <c r="L215" t="n">
        <v>0</v>
      </c>
      <c r="M215" t="n">
        <v>0</v>
      </c>
      <c r="N215" t="n">
        <v>0</v>
      </c>
      <c r="O215" t="n">
        <v>0</v>
      </c>
      <c r="P215" t="n">
        <v>0</v>
      </c>
      <c r="Q215" t="n">
        <v>0</v>
      </c>
      <c r="R215" s="2" t="inlineStr"/>
    </row>
    <row r="216" ht="15" customHeight="1">
      <c r="A216" t="inlineStr">
        <is>
          <t>A 4122-2022</t>
        </is>
      </c>
      <c r="B216" s="1" t="n">
        <v>44588</v>
      </c>
      <c r="C216" s="1" t="n">
        <v>45912</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18356-2021</t>
        </is>
      </c>
      <c r="B217" s="1" t="n">
        <v>44305</v>
      </c>
      <c r="C217" s="1" t="n">
        <v>45912</v>
      </c>
      <c r="D217" t="inlineStr">
        <is>
          <t>KALMAR LÄN</t>
        </is>
      </c>
      <c r="E217" t="inlineStr">
        <is>
          <t>VIMMERBY</t>
        </is>
      </c>
      <c r="G217" t="n">
        <v>3.4</v>
      </c>
      <c r="H217" t="n">
        <v>0</v>
      </c>
      <c r="I217" t="n">
        <v>0</v>
      </c>
      <c r="J217" t="n">
        <v>0</v>
      </c>
      <c r="K217" t="n">
        <v>0</v>
      </c>
      <c r="L217" t="n">
        <v>0</v>
      </c>
      <c r="M217" t="n">
        <v>0</v>
      </c>
      <c r="N217" t="n">
        <v>0</v>
      </c>
      <c r="O217" t="n">
        <v>0</v>
      </c>
      <c r="P217" t="n">
        <v>0</v>
      </c>
      <c r="Q217" t="n">
        <v>0</v>
      </c>
      <c r="R217" s="2" t="inlineStr"/>
    </row>
    <row r="218" ht="15" customHeight="1">
      <c r="A218" t="inlineStr">
        <is>
          <t>A 58374-2024</t>
        </is>
      </c>
      <c r="B218" s="1" t="n">
        <v>45632.72635416667</v>
      </c>
      <c r="C218" s="1" t="n">
        <v>45912</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59300-2024</t>
        </is>
      </c>
      <c r="B219" s="1" t="n">
        <v>45637.66542824074</v>
      </c>
      <c r="C219" s="1" t="n">
        <v>45912</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59768-2024</t>
        </is>
      </c>
      <c r="B220" s="1" t="n">
        <v>45639.56185185185</v>
      </c>
      <c r="C220" s="1" t="n">
        <v>45912</v>
      </c>
      <c r="D220" t="inlineStr">
        <is>
          <t>KALMAR LÄN</t>
        </is>
      </c>
      <c r="E220" t="inlineStr">
        <is>
          <t>VIMMERBY</t>
        </is>
      </c>
      <c r="G220" t="n">
        <v>5.9</v>
      </c>
      <c r="H220" t="n">
        <v>0</v>
      </c>
      <c r="I220" t="n">
        <v>0</v>
      </c>
      <c r="J220" t="n">
        <v>0</v>
      </c>
      <c r="K220" t="n">
        <v>0</v>
      </c>
      <c r="L220" t="n">
        <v>0</v>
      </c>
      <c r="M220" t="n">
        <v>0</v>
      </c>
      <c r="N220" t="n">
        <v>0</v>
      </c>
      <c r="O220" t="n">
        <v>0</v>
      </c>
      <c r="P220" t="n">
        <v>0</v>
      </c>
      <c r="Q220" t="n">
        <v>0</v>
      </c>
      <c r="R220" s="2" t="inlineStr"/>
    </row>
    <row r="221" ht="15" customHeight="1">
      <c r="A221" t="inlineStr">
        <is>
          <t>A 36526-2023</t>
        </is>
      </c>
      <c r="B221" s="1" t="n">
        <v>45153.32778935185</v>
      </c>
      <c r="C221" s="1" t="n">
        <v>45912</v>
      </c>
      <c r="D221" t="inlineStr">
        <is>
          <t>KALMAR LÄN</t>
        </is>
      </c>
      <c r="E221" t="inlineStr">
        <is>
          <t>VIMMERBY</t>
        </is>
      </c>
      <c r="G221" t="n">
        <v>2.7</v>
      </c>
      <c r="H221" t="n">
        <v>0</v>
      </c>
      <c r="I221" t="n">
        <v>0</v>
      </c>
      <c r="J221" t="n">
        <v>0</v>
      </c>
      <c r="K221" t="n">
        <v>0</v>
      </c>
      <c r="L221" t="n">
        <v>0</v>
      </c>
      <c r="M221" t="n">
        <v>0</v>
      </c>
      <c r="N221" t="n">
        <v>0</v>
      </c>
      <c r="O221" t="n">
        <v>0</v>
      </c>
      <c r="P221" t="n">
        <v>0</v>
      </c>
      <c r="Q221" t="n">
        <v>0</v>
      </c>
      <c r="R221" s="2" t="inlineStr"/>
    </row>
    <row r="222" ht="15" customHeight="1">
      <c r="A222" t="inlineStr">
        <is>
          <t>A 30402-2023</t>
        </is>
      </c>
      <c r="B222" s="1" t="n">
        <v>45111.48395833333</v>
      </c>
      <c r="C222" s="1" t="n">
        <v>45912</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13290-2025</t>
        </is>
      </c>
      <c r="B223" s="1" t="n">
        <v>45735.56751157407</v>
      </c>
      <c r="C223" s="1" t="n">
        <v>45912</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19162-2023</t>
        </is>
      </c>
      <c r="B224" s="1" t="n">
        <v>45048.59699074074</v>
      </c>
      <c r="C224" s="1" t="n">
        <v>45912</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42918-2021</t>
        </is>
      </c>
      <c r="B225" s="1" t="n">
        <v>44431</v>
      </c>
      <c r="C225" s="1" t="n">
        <v>45912</v>
      </c>
      <c r="D225" t="inlineStr">
        <is>
          <t>KALMAR LÄN</t>
        </is>
      </c>
      <c r="E225" t="inlineStr">
        <is>
          <t>VIMMERBY</t>
        </is>
      </c>
      <c r="G225" t="n">
        <v>1.6</v>
      </c>
      <c r="H225" t="n">
        <v>0</v>
      </c>
      <c r="I225" t="n">
        <v>0</v>
      </c>
      <c r="J225" t="n">
        <v>0</v>
      </c>
      <c r="K225" t="n">
        <v>0</v>
      </c>
      <c r="L225" t="n">
        <v>0</v>
      </c>
      <c r="M225" t="n">
        <v>0</v>
      </c>
      <c r="N225" t="n">
        <v>0</v>
      </c>
      <c r="O225" t="n">
        <v>0</v>
      </c>
      <c r="P225" t="n">
        <v>0</v>
      </c>
      <c r="Q225" t="n">
        <v>0</v>
      </c>
      <c r="R225" s="2" t="inlineStr"/>
    </row>
    <row r="226" ht="15" customHeight="1">
      <c r="A226" t="inlineStr">
        <is>
          <t>A 58728-2024</t>
        </is>
      </c>
      <c r="B226" s="1" t="n">
        <v>45635.66695601852</v>
      </c>
      <c r="C226" s="1" t="n">
        <v>45912</v>
      </c>
      <c r="D226" t="inlineStr">
        <is>
          <t>KALMAR LÄN</t>
        </is>
      </c>
      <c r="E226" t="inlineStr">
        <is>
          <t>VIMMERBY</t>
        </is>
      </c>
      <c r="G226" t="n">
        <v>0.4</v>
      </c>
      <c r="H226" t="n">
        <v>0</v>
      </c>
      <c r="I226" t="n">
        <v>0</v>
      </c>
      <c r="J226" t="n">
        <v>0</v>
      </c>
      <c r="K226" t="n">
        <v>0</v>
      </c>
      <c r="L226" t="n">
        <v>0</v>
      </c>
      <c r="M226" t="n">
        <v>0</v>
      </c>
      <c r="N226" t="n">
        <v>0</v>
      </c>
      <c r="O226" t="n">
        <v>0</v>
      </c>
      <c r="P226" t="n">
        <v>0</v>
      </c>
      <c r="Q226" t="n">
        <v>0</v>
      </c>
      <c r="R226" s="2" t="inlineStr"/>
    </row>
    <row r="227" ht="15" customHeight="1">
      <c r="A227" t="inlineStr">
        <is>
          <t>A 9475-2023</t>
        </is>
      </c>
      <c r="B227" s="1" t="n">
        <v>44981.58834490741</v>
      </c>
      <c r="C227" s="1" t="n">
        <v>45912</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49474-2023</t>
        </is>
      </c>
      <c r="B228" s="1" t="n">
        <v>45211.541875</v>
      </c>
      <c r="C228" s="1" t="n">
        <v>45912</v>
      </c>
      <c r="D228" t="inlineStr">
        <is>
          <t>KALMAR LÄN</t>
        </is>
      </c>
      <c r="E228" t="inlineStr">
        <is>
          <t>VIMMERBY</t>
        </is>
      </c>
      <c r="G228" t="n">
        <v>3.6</v>
      </c>
      <c r="H228" t="n">
        <v>0</v>
      </c>
      <c r="I228" t="n">
        <v>0</v>
      </c>
      <c r="J228" t="n">
        <v>0</v>
      </c>
      <c r="K228" t="n">
        <v>0</v>
      </c>
      <c r="L228" t="n">
        <v>0</v>
      </c>
      <c r="M228" t="n">
        <v>0</v>
      </c>
      <c r="N228" t="n">
        <v>0</v>
      </c>
      <c r="O228" t="n">
        <v>0</v>
      </c>
      <c r="P228" t="n">
        <v>0</v>
      </c>
      <c r="Q228" t="n">
        <v>0</v>
      </c>
      <c r="R228" s="2" t="inlineStr"/>
    </row>
    <row r="229" ht="15" customHeight="1">
      <c r="A229" t="inlineStr">
        <is>
          <t>A 57682-2022</t>
        </is>
      </c>
      <c r="B229" s="1" t="n">
        <v>44890</v>
      </c>
      <c r="C229" s="1" t="n">
        <v>45912</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14220-2021</t>
        </is>
      </c>
      <c r="B230" s="1" t="n">
        <v>44278.54855324074</v>
      </c>
      <c r="C230" s="1" t="n">
        <v>45912</v>
      </c>
      <c r="D230" t="inlineStr">
        <is>
          <t>KALMAR LÄN</t>
        </is>
      </c>
      <c r="E230" t="inlineStr">
        <is>
          <t>VIMMERBY</t>
        </is>
      </c>
      <c r="G230" t="n">
        <v>0.3</v>
      </c>
      <c r="H230" t="n">
        <v>0</v>
      </c>
      <c r="I230" t="n">
        <v>0</v>
      </c>
      <c r="J230" t="n">
        <v>0</v>
      </c>
      <c r="K230" t="n">
        <v>0</v>
      </c>
      <c r="L230" t="n">
        <v>0</v>
      </c>
      <c r="M230" t="n">
        <v>0</v>
      </c>
      <c r="N230" t="n">
        <v>0</v>
      </c>
      <c r="O230" t="n">
        <v>0</v>
      </c>
      <c r="P230" t="n">
        <v>0</v>
      </c>
      <c r="Q230" t="n">
        <v>0</v>
      </c>
      <c r="R230" s="2" t="inlineStr"/>
    </row>
    <row r="231" ht="15" customHeight="1">
      <c r="A231" t="inlineStr">
        <is>
          <t>A 11946-2025</t>
        </is>
      </c>
      <c r="B231" s="1" t="n">
        <v>45728.54832175926</v>
      </c>
      <c r="C231" s="1" t="n">
        <v>45912</v>
      </c>
      <c r="D231" t="inlineStr">
        <is>
          <t>KALMAR LÄN</t>
        </is>
      </c>
      <c r="E231" t="inlineStr">
        <is>
          <t>VIMMERBY</t>
        </is>
      </c>
      <c r="G231" t="n">
        <v>0.4</v>
      </c>
      <c r="H231" t="n">
        <v>0</v>
      </c>
      <c r="I231" t="n">
        <v>0</v>
      </c>
      <c r="J231" t="n">
        <v>0</v>
      </c>
      <c r="K231" t="n">
        <v>0</v>
      </c>
      <c r="L231" t="n">
        <v>0</v>
      </c>
      <c r="M231" t="n">
        <v>0</v>
      </c>
      <c r="N231" t="n">
        <v>0</v>
      </c>
      <c r="O231" t="n">
        <v>0</v>
      </c>
      <c r="P231" t="n">
        <v>0</v>
      </c>
      <c r="Q231" t="n">
        <v>0</v>
      </c>
      <c r="R231" s="2" t="inlineStr"/>
    </row>
    <row r="232" ht="15" customHeight="1">
      <c r="A232" t="inlineStr">
        <is>
          <t>A 19537-2022</t>
        </is>
      </c>
      <c r="B232" s="1" t="n">
        <v>44693.62822916666</v>
      </c>
      <c r="C232" s="1" t="n">
        <v>45912</v>
      </c>
      <c r="D232" t="inlineStr">
        <is>
          <t>KALMAR LÄN</t>
        </is>
      </c>
      <c r="E232" t="inlineStr">
        <is>
          <t>VIMMERBY</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22643-2023</t>
        </is>
      </c>
      <c r="B233" s="1" t="n">
        <v>45071</v>
      </c>
      <c r="C233" s="1" t="n">
        <v>45912</v>
      </c>
      <c r="D233" t="inlineStr">
        <is>
          <t>KALMAR LÄN</t>
        </is>
      </c>
      <c r="E233" t="inlineStr">
        <is>
          <t>VIMMERBY</t>
        </is>
      </c>
      <c r="G233" t="n">
        <v>3.9</v>
      </c>
      <c r="H233" t="n">
        <v>0</v>
      </c>
      <c r="I233" t="n">
        <v>0</v>
      </c>
      <c r="J233" t="n">
        <v>0</v>
      </c>
      <c r="K233" t="n">
        <v>0</v>
      </c>
      <c r="L233" t="n">
        <v>0</v>
      </c>
      <c r="M233" t="n">
        <v>0</v>
      </c>
      <c r="N233" t="n">
        <v>0</v>
      </c>
      <c r="O233" t="n">
        <v>0</v>
      </c>
      <c r="P233" t="n">
        <v>0</v>
      </c>
      <c r="Q233" t="n">
        <v>0</v>
      </c>
      <c r="R233" s="2" t="inlineStr"/>
    </row>
    <row r="234" ht="15" customHeight="1">
      <c r="A234" t="inlineStr">
        <is>
          <t>A 18669-2025</t>
        </is>
      </c>
      <c r="B234" s="1" t="n">
        <v>45763.59436342592</v>
      </c>
      <c r="C234" s="1" t="n">
        <v>45912</v>
      </c>
      <c r="D234" t="inlineStr">
        <is>
          <t>KALMAR LÄN</t>
        </is>
      </c>
      <c r="E234" t="inlineStr">
        <is>
          <t>VIMMERBY</t>
        </is>
      </c>
      <c r="G234" t="n">
        <v>2.7</v>
      </c>
      <c r="H234" t="n">
        <v>0</v>
      </c>
      <c r="I234" t="n">
        <v>0</v>
      </c>
      <c r="J234" t="n">
        <v>0</v>
      </c>
      <c r="K234" t="n">
        <v>0</v>
      </c>
      <c r="L234" t="n">
        <v>0</v>
      </c>
      <c r="M234" t="n">
        <v>0</v>
      </c>
      <c r="N234" t="n">
        <v>0</v>
      </c>
      <c r="O234" t="n">
        <v>0</v>
      </c>
      <c r="P234" t="n">
        <v>0</v>
      </c>
      <c r="Q234" t="n">
        <v>0</v>
      </c>
      <c r="R234" s="2" t="inlineStr"/>
    </row>
    <row r="235" ht="15" customHeight="1">
      <c r="A235" t="inlineStr">
        <is>
          <t>A 63950-2023</t>
        </is>
      </c>
      <c r="B235" s="1" t="n">
        <v>45278</v>
      </c>
      <c r="C235" s="1" t="n">
        <v>45912</v>
      </c>
      <c r="D235" t="inlineStr">
        <is>
          <t>KALMAR LÄN</t>
        </is>
      </c>
      <c r="E235" t="inlineStr">
        <is>
          <t>VIMMERBY</t>
        </is>
      </c>
      <c r="F235" t="inlineStr">
        <is>
          <t>Kyrkan</t>
        </is>
      </c>
      <c r="G235" t="n">
        <v>2.7</v>
      </c>
      <c r="H235" t="n">
        <v>0</v>
      </c>
      <c r="I235" t="n">
        <v>0</v>
      </c>
      <c r="J235" t="n">
        <v>0</v>
      </c>
      <c r="K235" t="n">
        <v>0</v>
      </c>
      <c r="L235" t="n">
        <v>0</v>
      </c>
      <c r="M235" t="n">
        <v>0</v>
      </c>
      <c r="N235" t="n">
        <v>0</v>
      </c>
      <c r="O235" t="n">
        <v>0</v>
      </c>
      <c r="P235" t="n">
        <v>0</v>
      </c>
      <c r="Q235" t="n">
        <v>0</v>
      </c>
      <c r="R235" s="2" t="inlineStr"/>
    </row>
    <row r="236" ht="15" customHeight="1">
      <c r="A236" t="inlineStr">
        <is>
          <t>A 38780-2021</t>
        </is>
      </c>
      <c r="B236" s="1" t="n">
        <v>44410</v>
      </c>
      <c r="C236" s="1" t="n">
        <v>45912</v>
      </c>
      <c r="D236" t="inlineStr">
        <is>
          <t>KALMAR LÄN</t>
        </is>
      </c>
      <c r="E236" t="inlineStr">
        <is>
          <t>VIMMERBY</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11609-2023</t>
        </is>
      </c>
      <c r="B237" s="1" t="n">
        <v>44994.40635416667</v>
      </c>
      <c r="C237" s="1" t="n">
        <v>45912</v>
      </c>
      <c r="D237" t="inlineStr">
        <is>
          <t>KALMAR LÄN</t>
        </is>
      </c>
      <c r="E237" t="inlineStr">
        <is>
          <t>VIMMERBY</t>
        </is>
      </c>
      <c r="G237" t="n">
        <v>4.9</v>
      </c>
      <c r="H237" t="n">
        <v>0</v>
      </c>
      <c r="I237" t="n">
        <v>0</v>
      </c>
      <c r="J237" t="n">
        <v>0</v>
      </c>
      <c r="K237" t="n">
        <v>0</v>
      </c>
      <c r="L237" t="n">
        <v>0</v>
      </c>
      <c r="M237" t="n">
        <v>0</v>
      </c>
      <c r="N237" t="n">
        <v>0</v>
      </c>
      <c r="O237" t="n">
        <v>0</v>
      </c>
      <c r="P237" t="n">
        <v>0</v>
      </c>
      <c r="Q237" t="n">
        <v>0</v>
      </c>
      <c r="R237" s="2" t="inlineStr"/>
    </row>
    <row r="238" ht="15" customHeight="1">
      <c r="A238" t="inlineStr">
        <is>
          <t>A 65961-2020</t>
        </is>
      </c>
      <c r="B238" s="1" t="n">
        <v>44175.39748842592</v>
      </c>
      <c r="C238" s="1" t="n">
        <v>45912</v>
      </c>
      <c r="D238" t="inlineStr">
        <is>
          <t>KALMAR LÄN</t>
        </is>
      </c>
      <c r="E238" t="inlineStr">
        <is>
          <t>VIMMERBY</t>
        </is>
      </c>
      <c r="G238" t="n">
        <v>2.6</v>
      </c>
      <c r="H238" t="n">
        <v>0</v>
      </c>
      <c r="I238" t="n">
        <v>0</v>
      </c>
      <c r="J238" t="n">
        <v>0</v>
      </c>
      <c r="K238" t="n">
        <v>0</v>
      </c>
      <c r="L238" t="n">
        <v>0</v>
      </c>
      <c r="M238" t="n">
        <v>0</v>
      </c>
      <c r="N238" t="n">
        <v>0</v>
      </c>
      <c r="O238" t="n">
        <v>0</v>
      </c>
      <c r="P238" t="n">
        <v>0</v>
      </c>
      <c r="Q238" t="n">
        <v>0</v>
      </c>
      <c r="R238" s="2" t="inlineStr"/>
    </row>
    <row r="239" ht="15" customHeight="1">
      <c r="A239" t="inlineStr">
        <is>
          <t>A 60951-2023</t>
        </is>
      </c>
      <c r="B239" s="1" t="n">
        <v>45261.44914351852</v>
      </c>
      <c r="C239" s="1" t="n">
        <v>45912</v>
      </c>
      <c r="D239" t="inlineStr">
        <is>
          <t>KALMAR LÄN</t>
        </is>
      </c>
      <c r="E239" t="inlineStr">
        <is>
          <t>VIMMERBY</t>
        </is>
      </c>
      <c r="G239" t="n">
        <v>4.3</v>
      </c>
      <c r="H239" t="n">
        <v>0</v>
      </c>
      <c r="I239" t="n">
        <v>0</v>
      </c>
      <c r="J239" t="n">
        <v>0</v>
      </c>
      <c r="K239" t="n">
        <v>0</v>
      </c>
      <c r="L239" t="n">
        <v>0</v>
      </c>
      <c r="M239" t="n">
        <v>0</v>
      </c>
      <c r="N239" t="n">
        <v>0</v>
      </c>
      <c r="O239" t="n">
        <v>0</v>
      </c>
      <c r="P239" t="n">
        <v>0</v>
      </c>
      <c r="Q239" t="n">
        <v>0</v>
      </c>
      <c r="R239" s="2" t="inlineStr"/>
    </row>
    <row r="240" ht="15" customHeight="1">
      <c r="A240" t="inlineStr">
        <is>
          <t>A 60292-2022</t>
        </is>
      </c>
      <c r="B240" s="1" t="n">
        <v>44910.54231481482</v>
      </c>
      <c r="C240" s="1" t="n">
        <v>45912</v>
      </c>
      <c r="D240" t="inlineStr">
        <is>
          <t>KALMAR LÄN</t>
        </is>
      </c>
      <c r="E240" t="inlineStr">
        <is>
          <t>VIMMERBY</t>
        </is>
      </c>
      <c r="G240" t="n">
        <v>4.4</v>
      </c>
      <c r="H240" t="n">
        <v>0</v>
      </c>
      <c r="I240" t="n">
        <v>0</v>
      </c>
      <c r="J240" t="n">
        <v>0</v>
      </c>
      <c r="K240" t="n">
        <v>0</v>
      </c>
      <c r="L240" t="n">
        <v>0</v>
      </c>
      <c r="M240" t="n">
        <v>0</v>
      </c>
      <c r="N240" t="n">
        <v>0</v>
      </c>
      <c r="O240" t="n">
        <v>0</v>
      </c>
      <c r="P240" t="n">
        <v>0</v>
      </c>
      <c r="Q240" t="n">
        <v>0</v>
      </c>
      <c r="R240" s="2" t="inlineStr"/>
    </row>
    <row r="241" ht="15" customHeight="1">
      <c r="A241" t="inlineStr">
        <is>
          <t>A 16983-2023</t>
        </is>
      </c>
      <c r="B241" s="1" t="n">
        <v>45033.76043981482</v>
      </c>
      <c r="C241" s="1" t="n">
        <v>45912</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16516-2023</t>
        </is>
      </c>
      <c r="B242" s="1" t="n">
        <v>45029</v>
      </c>
      <c r="C242" s="1" t="n">
        <v>45912</v>
      </c>
      <c r="D242" t="inlineStr">
        <is>
          <t>KALMAR LÄN</t>
        </is>
      </c>
      <c r="E242" t="inlineStr">
        <is>
          <t>VIMMERBY</t>
        </is>
      </c>
      <c r="G242" t="n">
        <v>4.3</v>
      </c>
      <c r="H242" t="n">
        <v>0</v>
      </c>
      <c r="I242" t="n">
        <v>0</v>
      </c>
      <c r="J242" t="n">
        <v>0</v>
      </c>
      <c r="K242" t="n">
        <v>0</v>
      </c>
      <c r="L242" t="n">
        <v>0</v>
      </c>
      <c r="M242" t="n">
        <v>0</v>
      </c>
      <c r="N242" t="n">
        <v>0</v>
      </c>
      <c r="O242" t="n">
        <v>0</v>
      </c>
      <c r="P242" t="n">
        <v>0</v>
      </c>
      <c r="Q242" t="n">
        <v>0</v>
      </c>
      <c r="R242" s="2" t="inlineStr"/>
    </row>
    <row r="243" ht="15" customHeight="1">
      <c r="A243" t="inlineStr">
        <is>
          <t>A 29020-2024</t>
        </is>
      </c>
      <c r="B243" s="1" t="n">
        <v>45481.58048611111</v>
      </c>
      <c r="C243" s="1" t="n">
        <v>45912</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30406-2023</t>
        </is>
      </c>
      <c r="B244" s="1" t="n">
        <v>45111.48787037037</v>
      </c>
      <c r="C244" s="1" t="n">
        <v>45912</v>
      </c>
      <c r="D244" t="inlineStr">
        <is>
          <t>KALMAR LÄN</t>
        </is>
      </c>
      <c r="E244" t="inlineStr">
        <is>
          <t>VIMMERBY</t>
        </is>
      </c>
      <c r="G244" t="n">
        <v>2.4</v>
      </c>
      <c r="H244" t="n">
        <v>0</v>
      </c>
      <c r="I244" t="n">
        <v>0</v>
      </c>
      <c r="J244" t="n">
        <v>0</v>
      </c>
      <c r="K244" t="n">
        <v>0</v>
      </c>
      <c r="L244" t="n">
        <v>0</v>
      </c>
      <c r="M244" t="n">
        <v>0</v>
      </c>
      <c r="N244" t="n">
        <v>0</v>
      </c>
      <c r="O244" t="n">
        <v>0</v>
      </c>
      <c r="P244" t="n">
        <v>0</v>
      </c>
      <c r="Q244" t="n">
        <v>0</v>
      </c>
      <c r="R244" s="2" t="inlineStr"/>
    </row>
    <row r="245" ht="15" customHeight="1">
      <c r="A245" t="inlineStr">
        <is>
          <t>A 13817-2024</t>
        </is>
      </c>
      <c r="B245" s="1" t="n">
        <v>45391.41976851852</v>
      </c>
      <c r="C245" s="1" t="n">
        <v>45912</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47842-2024</t>
        </is>
      </c>
      <c r="B246" s="1" t="n">
        <v>45588.65545138889</v>
      </c>
      <c r="C246" s="1" t="n">
        <v>45912</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7485-2024</t>
        </is>
      </c>
      <c r="B247" s="1" t="n">
        <v>45346.67184027778</v>
      </c>
      <c r="C247" s="1" t="n">
        <v>45912</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46144-2023</t>
        </is>
      </c>
      <c r="B248" s="1" t="n">
        <v>45196.57247685185</v>
      </c>
      <c r="C248" s="1" t="n">
        <v>45912</v>
      </c>
      <c r="D248" t="inlineStr">
        <is>
          <t>KALMAR LÄN</t>
        </is>
      </c>
      <c r="E248" t="inlineStr">
        <is>
          <t>VIMMERBY</t>
        </is>
      </c>
      <c r="G248" t="n">
        <v>6.5</v>
      </c>
      <c r="H248" t="n">
        <v>0</v>
      </c>
      <c r="I248" t="n">
        <v>0</v>
      </c>
      <c r="J248" t="n">
        <v>0</v>
      </c>
      <c r="K248" t="n">
        <v>0</v>
      </c>
      <c r="L248" t="n">
        <v>0</v>
      </c>
      <c r="M248" t="n">
        <v>0</v>
      </c>
      <c r="N248" t="n">
        <v>0</v>
      </c>
      <c r="O248" t="n">
        <v>0</v>
      </c>
      <c r="P248" t="n">
        <v>0</v>
      </c>
      <c r="Q248" t="n">
        <v>0</v>
      </c>
      <c r="R248" s="2" t="inlineStr"/>
    </row>
    <row r="249" ht="15" customHeight="1">
      <c r="A249" t="inlineStr">
        <is>
          <t>A 6408-2025</t>
        </is>
      </c>
      <c r="B249" s="1" t="n">
        <v>45699.45671296296</v>
      </c>
      <c r="C249" s="1" t="n">
        <v>45912</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12590-2025</t>
        </is>
      </c>
      <c r="B250" s="1" t="n">
        <v>45732.79925925926</v>
      </c>
      <c r="C250" s="1" t="n">
        <v>45912</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25109-2023</t>
        </is>
      </c>
      <c r="B251" s="1" t="n">
        <v>45086</v>
      </c>
      <c r="C251" s="1" t="n">
        <v>45912</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33380-2023</t>
        </is>
      </c>
      <c r="B252" s="1" t="n">
        <v>45128</v>
      </c>
      <c r="C252" s="1" t="n">
        <v>45912</v>
      </c>
      <c r="D252" t="inlineStr">
        <is>
          <t>KALMAR LÄN</t>
        </is>
      </c>
      <c r="E252" t="inlineStr">
        <is>
          <t>VIMMERBY</t>
        </is>
      </c>
      <c r="G252" t="n">
        <v>5.2</v>
      </c>
      <c r="H252" t="n">
        <v>0</v>
      </c>
      <c r="I252" t="n">
        <v>0</v>
      </c>
      <c r="J252" t="n">
        <v>0</v>
      </c>
      <c r="K252" t="n">
        <v>0</v>
      </c>
      <c r="L252" t="n">
        <v>0</v>
      </c>
      <c r="M252" t="n">
        <v>0</v>
      </c>
      <c r="N252" t="n">
        <v>0</v>
      </c>
      <c r="O252" t="n">
        <v>0</v>
      </c>
      <c r="P252" t="n">
        <v>0</v>
      </c>
      <c r="Q252" t="n">
        <v>0</v>
      </c>
      <c r="R252" s="2" t="inlineStr"/>
    </row>
    <row r="253" ht="15" customHeight="1">
      <c r="A253" t="inlineStr">
        <is>
          <t>A 35710-2023</t>
        </is>
      </c>
      <c r="B253" s="1" t="n">
        <v>45147.67096064815</v>
      </c>
      <c r="C253" s="1" t="n">
        <v>45912</v>
      </c>
      <c r="D253" t="inlineStr">
        <is>
          <t>KALMAR LÄN</t>
        </is>
      </c>
      <c r="E253" t="inlineStr">
        <is>
          <t>VIMMERBY</t>
        </is>
      </c>
      <c r="G253" t="n">
        <v>3.1</v>
      </c>
      <c r="H253" t="n">
        <v>0</v>
      </c>
      <c r="I253" t="n">
        <v>0</v>
      </c>
      <c r="J253" t="n">
        <v>0</v>
      </c>
      <c r="K253" t="n">
        <v>0</v>
      </c>
      <c r="L253" t="n">
        <v>0</v>
      </c>
      <c r="M253" t="n">
        <v>0</v>
      </c>
      <c r="N253" t="n">
        <v>0</v>
      </c>
      <c r="O253" t="n">
        <v>0</v>
      </c>
      <c r="P253" t="n">
        <v>0</v>
      </c>
      <c r="Q253" t="n">
        <v>0</v>
      </c>
      <c r="R253" s="2" t="inlineStr"/>
    </row>
    <row r="254" ht="15" customHeight="1">
      <c r="A254" t="inlineStr">
        <is>
          <t>A 52823-2024</t>
        </is>
      </c>
      <c r="B254" s="1" t="n">
        <v>45610.59094907407</v>
      </c>
      <c r="C254" s="1" t="n">
        <v>45912</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32639-2023</t>
        </is>
      </c>
      <c r="B255" s="1" t="n">
        <v>45121.5965162037</v>
      </c>
      <c r="C255" s="1" t="n">
        <v>45912</v>
      </c>
      <c r="D255" t="inlineStr">
        <is>
          <t>KALMAR LÄN</t>
        </is>
      </c>
      <c r="E255" t="inlineStr">
        <is>
          <t>VIMMERBY</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32642-2023</t>
        </is>
      </c>
      <c r="B256" s="1" t="n">
        <v>45121.59954861111</v>
      </c>
      <c r="C256" s="1" t="n">
        <v>45912</v>
      </c>
      <c r="D256" t="inlineStr">
        <is>
          <t>KALMAR LÄN</t>
        </is>
      </c>
      <c r="E256" t="inlineStr">
        <is>
          <t>VIMMERBY</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32651-2023</t>
        </is>
      </c>
      <c r="B257" s="1" t="n">
        <v>45121.6096875</v>
      </c>
      <c r="C257" s="1" t="n">
        <v>45912</v>
      </c>
      <c r="D257" t="inlineStr">
        <is>
          <t>KALMAR LÄN</t>
        </is>
      </c>
      <c r="E257" t="inlineStr">
        <is>
          <t>VIMMERBY</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11928-2022</t>
        </is>
      </c>
      <c r="B258" s="1" t="n">
        <v>44635</v>
      </c>
      <c r="C258" s="1" t="n">
        <v>45912</v>
      </c>
      <c r="D258" t="inlineStr">
        <is>
          <t>KALMAR LÄN</t>
        </is>
      </c>
      <c r="E258" t="inlineStr">
        <is>
          <t>VIMMERBY</t>
        </is>
      </c>
      <c r="G258" t="n">
        <v>2.8</v>
      </c>
      <c r="H258" t="n">
        <v>0</v>
      </c>
      <c r="I258" t="n">
        <v>0</v>
      </c>
      <c r="J258" t="n">
        <v>0</v>
      </c>
      <c r="K258" t="n">
        <v>0</v>
      </c>
      <c r="L258" t="n">
        <v>0</v>
      </c>
      <c r="M258" t="n">
        <v>0</v>
      </c>
      <c r="N258" t="n">
        <v>0</v>
      </c>
      <c r="O258" t="n">
        <v>0</v>
      </c>
      <c r="P258" t="n">
        <v>0</v>
      </c>
      <c r="Q258" t="n">
        <v>0</v>
      </c>
      <c r="R258" s="2" t="inlineStr"/>
    </row>
    <row r="259" ht="15" customHeight="1">
      <c r="A259" t="inlineStr">
        <is>
          <t>A 11147-2023</t>
        </is>
      </c>
      <c r="B259" s="1" t="n">
        <v>44992</v>
      </c>
      <c r="C259" s="1" t="n">
        <v>45912</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19833-2023</t>
        </is>
      </c>
      <c r="B260" s="1" t="n">
        <v>45052</v>
      </c>
      <c r="C260" s="1" t="n">
        <v>45912</v>
      </c>
      <c r="D260" t="inlineStr">
        <is>
          <t>KALMAR LÄN</t>
        </is>
      </c>
      <c r="E260" t="inlineStr">
        <is>
          <t>VIMMERBY</t>
        </is>
      </c>
      <c r="G260" t="n">
        <v>6.7</v>
      </c>
      <c r="H260" t="n">
        <v>0</v>
      </c>
      <c r="I260" t="n">
        <v>0</v>
      </c>
      <c r="J260" t="n">
        <v>0</v>
      </c>
      <c r="K260" t="n">
        <v>0</v>
      </c>
      <c r="L260" t="n">
        <v>0</v>
      </c>
      <c r="M260" t="n">
        <v>0</v>
      </c>
      <c r="N260" t="n">
        <v>0</v>
      </c>
      <c r="O260" t="n">
        <v>0</v>
      </c>
      <c r="P260" t="n">
        <v>0</v>
      </c>
      <c r="Q260" t="n">
        <v>0</v>
      </c>
      <c r="R260" s="2" t="inlineStr"/>
    </row>
    <row r="261" ht="15" customHeight="1">
      <c r="A261" t="inlineStr">
        <is>
          <t>A 31382-2023</t>
        </is>
      </c>
      <c r="B261" s="1" t="n">
        <v>45114.55136574074</v>
      </c>
      <c r="C261" s="1" t="n">
        <v>45912</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56213-2024</t>
        </is>
      </c>
      <c r="B262" s="1" t="n">
        <v>45624.60141203704</v>
      </c>
      <c r="C262" s="1" t="n">
        <v>45912</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54409-2024</t>
        </is>
      </c>
      <c r="B263" s="1" t="n">
        <v>45617.47570601852</v>
      </c>
      <c r="C263" s="1" t="n">
        <v>45912</v>
      </c>
      <c r="D263" t="inlineStr">
        <is>
          <t>KALMAR LÄN</t>
        </is>
      </c>
      <c r="E263" t="inlineStr">
        <is>
          <t>VIMMERBY</t>
        </is>
      </c>
      <c r="G263" t="n">
        <v>4.3</v>
      </c>
      <c r="H263" t="n">
        <v>0</v>
      </c>
      <c r="I263" t="n">
        <v>0</v>
      </c>
      <c r="J263" t="n">
        <v>0</v>
      </c>
      <c r="K263" t="n">
        <v>0</v>
      </c>
      <c r="L263" t="n">
        <v>0</v>
      </c>
      <c r="M263" t="n">
        <v>0</v>
      </c>
      <c r="N263" t="n">
        <v>0</v>
      </c>
      <c r="O263" t="n">
        <v>0</v>
      </c>
      <c r="P263" t="n">
        <v>0</v>
      </c>
      <c r="Q263" t="n">
        <v>0</v>
      </c>
      <c r="R263" s="2" t="inlineStr"/>
    </row>
    <row r="264" ht="15" customHeight="1">
      <c r="A264" t="inlineStr">
        <is>
          <t>A 7068-2024</t>
        </is>
      </c>
      <c r="B264" s="1" t="n">
        <v>45343.68038194445</v>
      </c>
      <c r="C264" s="1" t="n">
        <v>45912</v>
      </c>
      <c r="D264" t="inlineStr">
        <is>
          <t>KALMAR LÄN</t>
        </is>
      </c>
      <c r="E264" t="inlineStr">
        <is>
          <t>VIMMERBY</t>
        </is>
      </c>
      <c r="G264" t="n">
        <v>2.5</v>
      </c>
      <c r="H264" t="n">
        <v>0</v>
      </c>
      <c r="I264" t="n">
        <v>0</v>
      </c>
      <c r="J264" t="n">
        <v>0</v>
      </c>
      <c r="K264" t="n">
        <v>0</v>
      </c>
      <c r="L264" t="n">
        <v>0</v>
      </c>
      <c r="M264" t="n">
        <v>0</v>
      </c>
      <c r="N264" t="n">
        <v>0</v>
      </c>
      <c r="O264" t="n">
        <v>0</v>
      </c>
      <c r="P264" t="n">
        <v>0</v>
      </c>
      <c r="Q264" t="n">
        <v>0</v>
      </c>
      <c r="R264" s="2" t="inlineStr"/>
    </row>
    <row r="265" ht="15" customHeight="1">
      <c r="A265" t="inlineStr">
        <is>
          <t>A 46234-2024</t>
        </is>
      </c>
      <c r="B265" s="1" t="n">
        <v>45581.57958333333</v>
      </c>
      <c r="C265" s="1" t="n">
        <v>45912</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14548-2024</t>
        </is>
      </c>
      <c r="B266" s="1" t="n">
        <v>45394.66887731481</v>
      </c>
      <c r="C266" s="1" t="n">
        <v>45912</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37187-2024</t>
        </is>
      </c>
      <c r="B267" s="1" t="n">
        <v>45539.65212962963</v>
      </c>
      <c r="C267" s="1" t="n">
        <v>45912</v>
      </c>
      <c r="D267" t="inlineStr">
        <is>
          <t>KALMAR LÄN</t>
        </is>
      </c>
      <c r="E267" t="inlineStr">
        <is>
          <t>VIMMERBY</t>
        </is>
      </c>
      <c r="G267" t="n">
        <v>2.7</v>
      </c>
      <c r="H267" t="n">
        <v>0</v>
      </c>
      <c r="I267" t="n">
        <v>0</v>
      </c>
      <c r="J267" t="n">
        <v>0</v>
      </c>
      <c r="K267" t="n">
        <v>0</v>
      </c>
      <c r="L267" t="n">
        <v>0</v>
      </c>
      <c r="M267" t="n">
        <v>0</v>
      </c>
      <c r="N267" t="n">
        <v>0</v>
      </c>
      <c r="O267" t="n">
        <v>0</v>
      </c>
      <c r="P267" t="n">
        <v>0</v>
      </c>
      <c r="Q267" t="n">
        <v>0</v>
      </c>
      <c r="R267" s="2" t="inlineStr"/>
    </row>
    <row r="268" ht="15" customHeight="1">
      <c r="A268" t="inlineStr">
        <is>
          <t>A 585-2024</t>
        </is>
      </c>
      <c r="B268" s="1" t="n">
        <v>45299.62576388889</v>
      </c>
      <c r="C268" s="1" t="n">
        <v>45912</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16825-2024</t>
        </is>
      </c>
      <c r="B269" s="1" t="n">
        <v>45411.47335648148</v>
      </c>
      <c r="C269" s="1" t="n">
        <v>45912</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56020-2024</t>
        </is>
      </c>
      <c r="B270" s="1" t="n">
        <v>45623.9525462963</v>
      </c>
      <c r="C270" s="1" t="n">
        <v>45912</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1021-2024</t>
        </is>
      </c>
      <c r="B271" s="1" t="n">
        <v>45301.67736111111</v>
      </c>
      <c r="C271" s="1" t="n">
        <v>45912</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7643-2022</t>
        </is>
      </c>
      <c r="B272" s="1" t="n">
        <v>44607</v>
      </c>
      <c r="C272" s="1" t="n">
        <v>45912</v>
      </c>
      <c r="D272" t="inlineStr">
        <is>
          <t>KALMAR LÄN</t>
        </is>
      </c>
      <c r="E272" t="inlineStr">
        <is>
          <t>VIMMERBY</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11027-2023</t>
        </is>
      </c>
      <c r="B273" s="1" t="n">
        <v>44991.89657407408</v>
      </c>
      <c r="C273" s="1" t="n">
        <v>45912</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23252-2024</t>
        </is>
      </c>
      <c r="B274" s="1" t="n">
        <v>45453.36067129629</v>
      </c>
      <c r="C274" s="1" t="n">
        <v>45912</v>
      </c>
      <c r="D274" t="inlineStr">
        <is>
          <t>KALMAR LÄN</t>
        </is>
      </c>
      <c r="E274" t="inlineStr">
        <is>
          <t>VIMMERBY</t>
        </is>
      </c>
      <c r="G274" t="n">
        <v>0.7</v>
      </c>
      <c r="H274" t="n">
        <v>0</v>
      </c>
      <c r="I274" t="n">
        <v>0</v>
      </c>
      <c r="J274" t="n">
        <v>0</v>
      </c>
      <c r="K274" t="n">
        <v>0</v>
      </c>
      <c r="L274" t="n">
        <v>0</v>
      </c>
      <c r="M274" t="n">
        <v>0</v>
      </c>
      <c r="N274" t="n">
        <v>0</v>
      </c>
      <c r="O274" t="n">
        <v>0</v>
      </c>
      <c r="P274" t="n">
        <v>0</v>
      </c>
      <c r="Q274" t="n">
        <v>0</v>
      </c>
      <c r="R274" s="2" t="inlineStr"/>
    </row>
    <row r="275" ht="15" customHeight="1">
      <c r="A275" t="inlineStr">
        <is>
          <t>A 72701-2021</t>
        </is>
      </c>
      <c r="B275" s="1" t="n">
        <v>44546</v>
      </c>
      <c r="C275" s="1" t="n">
        <v>45912</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19111-2025</t>
        </is>
      </c>
      <c r="B276" s="1" t="n">
        <v>45768.65611111111</v>
      </c>
      <c r="C276" s="1" t="n">
        <v>45912</v>
      </c>
      <c r="D276" t="inlineStr">
        <is>
          <t>KALMAR LÄN</t>
        </is>
      </c>
      <c r="E276" t="inlineStr">
        <is>
          <t>VIMMERBY</t>
        </is>
      </c>
      <c r="G276" t="n">
        <v>6.2</v>
      </c>
      <c r="H276" t="n">
        <v>0</v>
      </c>
      <c r="I276" t="n">
        <v>0</v>
      </c>
      <c r="J276" t="n">
        <v>0</v>
      </c>
      <c r="K276" t="n">
        <v>0</v>
      </c>
      <c r="L276" t="n">
        <v>0</v>
      </c>
      <c r="M276" t="n">
        <v>0</v>
      </c>
      <c r="N276" t="n">
        <v>0</v>
      </c>
      <c r="O276" t="n">
        <v>0</v>
      </c>
      <c r="P276" t="n">
        <v>0</v>
      </c>
      <c r="Q276" t="n">
        <v>0</v>
      </c>
      <c r="R276" s="2" t="inlineStr"/>
    </row>
    <row r="277" ht="15" customHeight="1">
      <c r="A277" t="inlineStr">
        <is>
          <t>A 15550-2023</t>
        </is>
      </c>
      <c r="B277" s="1" t="n">
        <v>45020</v>
      </c>
      <c r="C277" s="1" t="n">
        <v>45912</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33374-2021</t>
        </is>
      </c>
      <c r="B278" s="1" t="n">
        <v>44377</v>
      </c>
      <c r="C278" s="1" t="n">
        <v>45912</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22014-2025</t>
        </is>
      </c>
      <c r="B279" s="1" t="n">
        <v>45784.74996527778</v>
      </c>
      <c r="C279" s="1" t="n">
        <v>45912</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10807-2024</t>
        </is>
      </c>
      <c r="B280" s="1" t="n">
        <v>45369.62780092593</v>
      </c>
      <c r="C280" s="1" t="n">
        <v>45912</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53483-2022</t>
        </is>
      </c>
      <c r="B281" s="1" t="n">
        <v>44879.55940972222</v>
      </c>
      <c r="C281" s="1" t="n">
        <v>45912</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18899-2025</t>
        </is>
      </c>
      <c r="B282" s="1" t="n">
        <v>45764.44931712963</v>
      </c>
      <c r="C282" s="1" t="n">
        <v>45912</v>
      </c>
      <c r="D282" t="inlineStr">
        <is>
          <t>KALMAR LÄN</t>
        </is>
      </c>
      <c r="E282" t="inlineStr">
        <is>
          <t>VIMMERBY</t>
        </is>
      </c>
      <c r="F282" t="inlineStr">
        <is>
          <t>Kommuner</t>
        </is>
      </c>
      <c r="G282" t="n">
        <v>4</v>
      </c>
      <c r="H282" t="n">
        <v>0</v>
      </c>
      <c r="I282" t="n">
        <v>0</v>
      </c>
      <c r="J282" t="n">
        <v>0</v>
      </c>
      <c r="K282" t="n">
        <v>0</v>
      </c>
      <c r="L282" t="n">
        <v>0</v>
      </c>
      <c r="M282" t="n">
        <v>0</v>
      </c>
      <c r="N282" t="n">
        <v>0</v>
      </c>
      <c r="O282" t="n">
        <v>0</v>
      </c>
      <c r="P282" t="n">
        <v>0</v>
      </c>
      <c r="Q282" t="n">
        <v>0</v>
      </c>
      <c r="R282" s="2" t="inlineStr"/>
    </row>
    <row r="283" ht="15" customHeight="1">
      <c r="A283" t="inlineStr">
        <is>
          <t>A 11219-2023</t>
        </is>
      </c>
      <c r="B283" s="1" t="n">
        <v>44992.62498842592</v>
      </c>
      <c r="C283" s="1" t="n">
        <v>45912</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20054-2023</t>
        </is>
      </c>
      <c r="B284" s="1" t="n">
        <v>45054.6750462963</v>
      </c>
      <c r="C284" s="1" t="n">
        <v>45912</v>
      </c>
      <c r="D284" t="inlineStr">
        <is>
          <t>KALMAR LÄN</t>
        </is>
      </c>
      <c r="E284" t="inlineStr">
        <is>
          <t>VIMMERBY</t>
        </is>
      </c>
      <c r="G284" t="n">
        <v>2.4</v>
      </c>
      <c r="H284" t="n">
        <v>0</v>
      </c>
      <c r="I284" t="n">
        <v>0</v>
      </c>
      <c r="J284" t="n">
        <v>0</v>
      </c>
      <c r="K284" t="n">
        <v>0</v>
      </c>
      <c r="L284" t="n">
        <v>0</v>
      </c>
      <c r="M284" t="n">
        <v>0</v>
      </c>
      <c r="N284" t="n">
        <v>0</v>
      </c>
      <c r="O284" t="n">
        <v>0</v>
      </c>
      <c r="P284" t="n">
        <v>0</v>
      </c>
      <c r="Q284" t="n">
        <v>0</v>
      </c>
      <c r="R284" s="2" t="inlineStr"/>
    </row>
    <row r="285" ht="15" customHeight="1">
      <c r="A285" t="inlineStr">
        <is>
          <t>A 18411-2021</t>
        </is>
      </c>
      <c r="B285" s="1" t="n">
        <v>44302</v>
      </c>
      <c r="C285" s="1" t="n">
        <v>45912</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47855-2024</t>
        </is>
      </c>
      <c r="B286" s="1" t="n">
        <v>45588.66457175926</v>
      </c>
      <c r="C286" s="1" t="n">
        <v>45912</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33359-2021</t>
        </is>
      </c>
      <c r="B287" s="1" t="n">
        <v>44377.49684027778</v>
      </c>
      <c r="C287" s="1" t="n">
        <v>45912</v>
      </c>
      <c r="D287" t="inlineStr">
        <is>
          <t>KALMAR LÄN</t>
        </is>
      </c>
      <c r="E287" t="inlineStr">
        <is>
          <t>VIMMERBY</t>
        </is>
      </c>
      <c r="F287" t="inlineStr">
        <is>
          <t>Kommuner</t>
        </is>
      </c>
      <c r="G287" t="n">
        <v>8</v>
      </c>
      <c r="H287" t="n">
        <v>0</v>
      </c>
      <c r="I287" t="n">
        <v>0</v>
      </c>
      <c r="J287" t="n">
        <v>0</v>
      </c>
      <c r="K287" t="n">
        <v>0</v>
      </c>
      <c r="L287" t="n">
        <v>0</v>
      </c>
      <c r="M287" t="n">
        <v>0</v>
      </c>
      <c r="N287" t="n">
        <v>0</v>
      </c>
      <c r="O287" t="n">
        <v>0</v>
      </c>
      <c r="P287" t="n">
        <v>0</v>
      </c>
      <c r="Q287" t="n">
        <v>0</v>
      </c>
      <c r="R287" s="2" t="inlineStr"/>
    </row>
    <row r="288" ht="15" customHeight="1">
      <c r="A288" t="inlineStr">
        <is>
          <t>A 172-2022</t>
        </is>
      </c>
      <c r="B288" s="1" t="n">
        <v>44564.62598379629</v>
      </c>
      <c r="C288" s="1" t="n">
        <v>45912</v>
      </c>
      <c r="D288" t="inlineStr">
        <is>
          <t>KALMAR LÄN</t>
        </is>
      </c>
      <c r="E288" t="inlineStr">
        <is>
          <t>VIMMERBY</t>
        </is>
      </c>
      <c r="G288" t="n">
        <v>2.1</v>
      </c>
      <c r="H288" t="n">
        <v>0</v>
      </c>
      <c r="I288" t="n">
        <v>0</v>
      </c>
      <c r="J288" t="n">
        <v>0</v>
      </c>
      <c r="K288" t="n">
        <v>0</v>
      </c>
      <c r="L288" t="n">
        <v>0</v>
      </c>
      <c r="M288" t="n">
        <v>0</v>
      </c>
      <c r="N288" t="n">
        <v>0</v>
      </c>
      <c r="O288" t="n">
        <v>0</v>
      </c>
      <c r="P288" t="n">
        <v>0</v>
      </c>
      <c r="Q288" t="n">
        <v>0</v>
      </c>
      <c r="R288" s="2" t="inlineStr"/>
    </row>
    <row r="289" ht="15" customHeight="1">
      <c r="A289" t="inlineStr">
        <is>
          <t>A 34588-2024</t>
        </is>
      </c>
      <c r="B289" s="1" t="n">
        <v>45526.3865625</v>
      </c>
      <c r="C289" s="1" t="n">
        <v>45912</v>
      </c>
      <c r="D289" t="inlineStr">
        <is>
          <t>KALMAR LÄN</t>
        </is>
      </c>
      <c r="E289" t="inlineStr">
        <is>
          <t>VIMMERBY</t>
        </is>
      </c>
      <c r="F289" t="inlineStr">
        <is>
          <t>Övriga Aktiebolag</t>
        </is>
      </c>
      <c r="G289" t="n">
        <v>3.3</v>
      </c>
      <c r="H289" t="n">
        <v>0</v>
      </c>
      <c r="I289" t="n">
        <v>0</v>
      </c>
      <c r="J289" t="n">
        <v>0</v>
      </c>
      <c r="K289" t="n">
        <v>0</v>
      </c>
      <c r="L289" t="n">
        <v>0</v>
      </c>
      <c r="M289" t="n">
        <v>0</v>
      </c>
      <c r="N289" t="n">
        <v>0</v>
      </c>
      <c r="O289" t="n">
        <v>0</v>
      </c>
      <c r="P289" t="n">
        <v>0</v>
      </c>
      <c r="Q289" t="n">
        <v>0</v>
      </c>
      <c r="R289" s="2" t="inlineStr"/>
    </row>
    <row r="290" ht="15" customHeight="1">
      <c r="A290" t="inlineStr">
        <is>
          <t>A 39584-2024</t>
        </is>
      </c>
      <c r="B290" s="1" t="n">
        <v>45552.36759259259</v>
      </c>
      <c r="C290" s="1" t="n">
        <v>45912</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17084-2025</t>
        </is>
      </c>
      <c r="B291" s="1" t="n">
        <v>45755.64450231481</v>
      </c>
      <c r="C291" s="1" t="n">
        <v>45912</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51881-2024</t>
        </is>
      </c>
      <c r="B292" s="1" t="n">
        <v>45607.56773148148</v>
      </c>
      <c r="C292" s="1" t="n">
        <v>45912</v>
      </c>
      <c r="D292" t="inlineStr">
        <is>
          <t>KALMAR LÄN</t>
        </is>
      </c>
      <c r="E292" t="inlineStr">
        <is>
          <t>VIMMERBY</t>
        </is>
      </c>
      <c r="G292" t="n">
        <v>3.4</v>
      </c>
      <c r="H292" t="n">
        <v>0</v>
      </c>
      <c r="I292" t="n">
        <v>0</v>
      </c>
      <c r="J292" t="n">
        <v>0</v>
      </c>
      <c r="K292" t="n">
        <v>0</v>
      </c>
      <c r="L292" t="n">
        <v>0</v>
      </c>
      <c r="M292" t="n">
        <v>0</v>
      </c>
      <c r="N292" t="n">
        <v>0</v>
      </c>
      <c r="O292" t="n">
        <v>0</v>
      </c>
      <c r="P292" t="n">
        <v>0</v>
      </c>
      <c r="Q292" t="n">
        <v>0</v>
      </c>
      <c r="R292" s="2" t="inlineStr"/>
    </row>
    <row r="293" ht="15" customHeight="1">
      <c r="A293" t="inlineStr">
        <is>
          <t>A 33161-2024</t>
        </is>
      </c>
      <c r="B293" s="1" t="n">
        <v>45518.40657407408</v>
      </c>
      <c r="C293" s="1" t="n">
        <v>45912</v>
      </c>
      <c r="D293" t="inlineStr">
        <is>
          <t>KALMAR LÄN</t>
        </is>
      </c>
      <c r="E293" t="inlineStr">
        <is>
          <t>VIMMERBY</t>
        </is>
      </c>
      <c r="G293" t="n">
        <v>4.7</v>
      </c>
      <c r="H293" t="n">
        <v>0</v>
      </c>
      <c r="I293" t="n">
        <v>0</v>
      </c>
      <c r="J293" t="n">
        <v>0</v>
      </c>
      <c r="K293" t="n">
        <v>0</v>
      </c>
      <c r="L293" t="n">
        <v>0</v>
      </c>
      <c r="M293" t="n">
        <v>0</v>
      </c>
      <c r="N293" t="n">
        <v>0</v>
      </c>
      <c r="O293" t="n">
        <v>0</v>
      </c>
      <c r="P293" t="n">
        <v>0</v>
      </c>
      <c r="Q293" t="n">
        <v>0</v>
      </c>
      <c r="R293" s="2" t="inlineStr"/>
    </row>
    <row r="294" ht="15" customHeight="1">
      <c r="A294" t="inlineStr">
        <is>
          <t>A 2596-2025</t>
        </is>
      </c>
      <c r="B294" s="1" t="n">
        <v>45674.71810185185</v>
      </c>
      <c r="C294" s="1" t="n">
        <v>45912</v>
      </c>
      <c r="D294" t="inlineStr">
        <is>
          <t>KALMAR LÄN</t>
        </is>
      </c>
      <c r="E294" t="inlineStr">
        <is>
          <t>VIMMERBY</t>
        </is>
      </c>
      <c r="G294" t="n">
        <v>9</v>
      </c>
      <c r="H294" t="n">
        <v>0</v>
      </c>
      <c r="I294" t="n">
        <v>0</v>
      </c>
      <c r="J294" t="n">
        <v>0</v>
      </c>
      <c r="K294" t="n">
        <v>0</v>
      </c>
      <c r="L294" t="n">
        <v>0</v>
      </c>
      <c r="M294" t="n">
        <v>0</v>
      </c>
      <c r="N294" t="n">
        <v>0</v>
      </c>
      <c r="O294" t="n">
        <v>0</v>
      </c>
      <c r="P294" t="n">
        <v>0</v>
      </c>
      <c r="Q294" t="n">
        <v>0</v>
      </c>
      <c r="R294" s="2" t="inlineStr"/>
    </row>
    <row r="295" ht="15" customHeight="1">
      <c r="A295" t="inlineStr">
        <is>
          <t>A 14359-2025</t>
        </is>
      </c>
      <c r="B295" s="1" t="n">
        <v>45741.37270833334</v>
      </c>
      <c r="C295" s="1" t="n">
        <v>45912</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16734-2023</t>
        </is>
      </c>
      <c r="B296" s="1" t="n">
        <v>45030.71012731481</v>
      </c>
      <c r="C296" s="1" t="n">
        <v>45912</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22399-2025</t>
        </is>
      </c>
      <c r="B297" s="1" t="n">
        <v>45786.52996527778</v>
      </c>
      <c r="C297" s="1" t="n">
        <v>45912</v>
      </c>
      <c r="D297" t="inlineStr">
        <is>
          <t>KALMAR LÄN</t>
        </is>
      </c>
      <c r="E297" t="inlineStr">
        <is>
          <t>VIMMERBY</t>
        </is>
      </c>
      <c r="G297" t="n">
        <v>2.1</v>
      </c>
      <c r="H297" t="n">
        <v>0</v>
      </c>
      <c r="I297" t="n">
        <v>0</v>
      </c>
      <c r="J297" t="n">
        <v>0</v>
      </c>
      <c r="K297" t="n">
        <v>0</v>
      </c>
      <c r="L297" t="n">
        <v>0</v>
      </c>
      <c r="M297" t="n">
        <v>0</v>
      </c>
      <c r="N297" t="n">
        <v>0</v>
      </c>
      <c r="O297" t="n">
        <v>0</v>
      </c>
      <c r="P297" t="n">
        <v>0</v>
      </c>
      <c r="Q297" t="n">
        <v>0</v>
      </c>
      <c r="R297" s="2" t="inlineStr"/>
    </row>
    <row r="298" ht="15" customHeight="1">
      <c r="A298" t="inlineStr">
        <is>
          <t>A 22397-2025</t>
        </is>
      </c>
      <c r="B298" s="1" t="n">
        <v>45786.52878472222</v>
      </c>
      <c r="C298" s="1" t="n">
        <v>45912</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7075-2021</t>
        </is>
      </c>
      <c r="B299" s="1" t="n">
        <v>44237</v>
      </c>
      <c r="C299" s="1" t="n">
        <v>45912</v>
      </c>
      <c r="D299" t="inlineStr">
        <is>
          <t>KALMAR LÄN</t>
        </is>
      </c>
      <c r="E299" t="inlineStr">
        <is>
          <t>VIMMERBY</t>
        </is>
      </c>
      <c r="G299" t="n">
        <v>3.6</v>
      </c>
      <c r="H299" t="n">
        <v>0</v>
      </c>
      <c r="I299" t="n">
        <v>0</v>
      </c>
      <c r="J299" t="n">
        <v>0</v>
      </c>
      <c r="K299" t="n">
        <v>0</v>
      </c>
      <c r="L299" t="n">
        <v>0</v>
      </c>
      <c r="M299" t="n">
        <v>0</v>
      </c>
      <c r="N299" t="n">
        <v>0</v>
      </c>
      <c r="O299" t="n">
        <v>0</v>
      </c>
      <c r="P299" t="n">
        <v>0</v>
      </c>
      <c r="Q299" t="n">
        <v>0</v>
      </c>
      <c r="R299" s="2" t="inlineStr"/>
    </row>
    <row r="300" ht="15" customHeight="1">
      <c r="A300" t="inlineStr">
        <is>
          <t>A 25582-2024</t>
        </is>
      </c>
      <c r="B300" s="1" t="n">
        <v>45463</v>
      </c>
      <c r="C300" s="1" t="n">
        <v>45912</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20129-2024</t>
        </is>
      </c>
      <c r="B301" s="1" t="n">
        <v>45434.55831018519</v>
      </c>
      <c r="C301" s="1" t="n">
        <v>45912</v>
      </c>
      <c r="D301" t="inlineStr">
        <is>
          <t>KALMAR LÄN</t>
        </is>
      </c>
      <c r="E301" t="inlineStr">
        <is>
          <t>VIMMERBY</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20137-2024</t>
        </is>
      </c>
      <c r="B302" s="1" t="n">
        <v>45434.56398148148</v>
      </c>
      <c r="C302" s="1" t="n">
        <v>45912</v>
      </c>
      <c r="D302" t="inlineStr">
        <is>
          <t>KALMAR LÄN</t>
        </is>
      </c>
      <c r="E302" t="inlineStr">
        <is>
          <t>VIMMERBY</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7456-2024</t>
        </is>
      </c>
      <c r="B303" s="1" t="n">
        <v>45345.83557870371</v>
      </c>
      <c r="C303" s="1" t="n">
        <v>45912</v>
      </c>
      <c r="D303" t="inlineStr">
        <is>
          <t>KALMAR LÄN</t>
        </is>
      </c>
      <c r="E303" t="inlineStr">
        <is>
          <t>VIMMERBY</t>
        </is>
      </c>
      <c r="G303" t="n">
        <v>4.1</v>
      </c>
      <c r="H303" t="n">
        <v>0</v>
      </c>
      <c r="I303" t="n">
        <v>0</v>
      </c>
      <c r="J303" t="n">
        <v>0</v>
      </c>
      <c r="K303" t="n">
        <v>0</v>
      </c>
      <c r="L303" t="n">
        <v>0</v>
      </c>
      <c r="M303" t="n">
        <v>0</v>
      </c>
      <c r="N303" t="n">
        <v>0</v>
      </c>
      <c r="O303" t="n">
        <v>0</v>
      </c>
      <c r="P303" t="n">
        <v>0</v>
      </c>
      <c r="Q303" t="n">
        <v>0</v>
      </c>
      <c r="R303" s="2" t="inlineStr"/>
    </row>
    <row r="304" ht="15" customHeight="1">
      <c r="A304" t="inlineStr">
        <is>
          <t>A 55605-2024</t>
        </is>
      </c>
      <c r="B304" s="1" t="n">
        <v>45622</v>
      </c>
      <c r="C304" s="1" t="n">
        <v>45912</v>
      </c>
      <c r="D304" t="inlineStr">
        <is>
          <t>KALMAR LÄN</t>
        </is>
      </c>
      <c r="E304" t="inlineStr">
        <is>
          <t>VIMMERBY</t>
        </is>
      </c>
      <c r="G304" t="n">
        <v>1.1</v>
      </c>
      <c r="H304" t="n">
        <v>0</v>
      </c>
      <c r="I304" t="n">
        <v>0</v>
      </c>
      <c r="J304" t="n">
        <v>0</v>
      </c>
      <c r="K304" t="n">
        <v>0</v>
      </c>
      <c r="L304" t="n">
        <v>0</v>
      </c>
      <c r="M304" t="n">
        <v>0</v>
      </c>
      <c r="N304" t="n">
        <v>0</v>
      </c>
      <c r="O304" t="n">
        <v>0</v>
      </c>
      <c r="P304" t="n">
        <v>0</v>
      </c>
      <c r="Q304" t="n">
        <v>0</v>
      </c>
      <c r="R304" s="2" t="inlineStr"/>
    </row>
    <row r="305" ht="15" customHeight="1">
      <c r="A305" t="inlineStr">
        <is>
          <t>A 44464-2024</t>
        </is>
      </c>
      <c r="B305" s="1" t="n">
        <v>45574.35809027778</v>
      </c>
      <c r="C305" s="1" t="n">
        <v>45912</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36049-2024</t>
        </is>
      </c>
      <c r="B306" s="1" t="n">
        <v>45533.61996527778</v>
      </c>
      <c r="C306" s="1" t="n">
        <v>45912</v>
      </c>
      <c r="D306" t="inlineStr">
        <is>
          <t>KALMAR LÄN</t>
        </is>
      </c>
      <c r="E306" t="inlineStr">
        <is>
          <t>VIMMERBY</t>
        </is>
      </c>
      <c r="F306" t="inlineStr">
        <is>
          <t>Kommuner</t>
        </is>
      </c>
      <c r="G306" t="n">
        <v>2.6</v>
      </c>
      <c r="H306" t="n">
        <v>0</v>
      </c>
      <c r="I306" t="n">
        <v>0</v>
      </c>
      <c r="J306" t="n">
        <v>0</v>
      </c>
      <c r="K306" t="n">
        <v>0</v>
      </c>
      <c r="L306" t="n">
        <v>0</v>
      </c>
      <c r="M306" t="n">
        <v>0</v>
      </c>
      <c r="N306" t="n">
        <v>0</v>
      </c>
      <c r="O306" t="n">
        <v>0</v>
      </c>
      <c r="P306" t="n">
        <v>0</v>
      </c>
      <c r="Q306" t="n">
        <v>0</v>
      </c>
      <c r="R306" s="2" t="inlineStr"/>
    </row>
    <row r="307" ht="15" customHeight="1">
      <c r="A307" t="inlineStr">
        <is>
          <t>A 52324-2023</t>
        </is>
      </c>
      <c r="B307" s="1" t="n">
        <v>45224.64659722222</v>
      </c>
      <c r="C307" s="1" t="n">
        <v>45912</v>
      </c>
      <c r="D307" t="inlineStr">
        <is>
          <t>KALMAR LÄN</t>
        </is>
      </c>
      <c r="E307" t="inlineStr">
        <is>
          <t>VIMMERBY</t>
        </is>
      </c>
      <c r="F307" t="inlineStr">
        <is>
          <t>Sveaskog</t>
        </is>
      </c>
      <c r="G307" t="n">
        <v>2.9</v>
      </c>
      <c r="H307" t="n">
        <v>0</v>
      </c>
      <c r="I307" t="n">
        <v>0</v>
      </c>
      <c r="J307" t="n">
        <v>0</v>
      </c>
      <c r="K307" t="n">
        <v>0</v>
      </c>
      <c r="L307" t="n">
        <v>0</v>
      </c>
      <c r="M307" t="n">
        <v>0</v>
      </c>
      <c r="N307" t="n">
        <v>0</v>
      </c>
      <c r="O307" t="n">
        <v>0</v>
      </c>
      <c r="P307" t="n">
        <v>0</v>
      </c>
      <c r="Q307" t="n">
        <v>0</v>
      </c>
      <c r="R307" s="2" t="inlineStr"/>
    </row>
    <row r="308" ht="15" customHeight="1">
      <c r="A308" t="inlineStr">
        <is>
          <t>A 4297-2022</t>
        </is>
      </c>
      <c r="B308" s="1" t="n">
        <v>44588</v>
      </c>
      <c r="C308" s="1" t="n">
        <v>45912</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46399-2024</t>
        </is>
      </c>
      <c r="B309" s="1" t="n">
        <v>45582.41200231481</v>
      </c>
      <c r="C309" s="1" t="n">
        <v>45912</v>
      </c>
      <c r="D309" t="inlineStr">
        <is>
          <t>KALMAR LÄN</t>
        </is>
      </c>
      <c r="E309" t="inlineStr">
        <is>
          <t>VIMMERBY</t>
        </is>
      </c>
      <c r="G309" t="n">
        <v>4.6</v>
      </c>
      <c r="H309" t="n">
        <v>0</v>
      </c>
      <c r="I309" t="n">
        <v>0</v>
      </c>
      <c r="J309" t="n">
        <v>0</v>
      </c>
      <c r="K309" t="n">
        <v>0</v>
      </c>
      <c r="L309" t="n">
        <v>0</v>
      </c>
      <c r="M309" t="n">
        <v>0</v>
      </c>
      <c r="N309" t="n">
        <v>0</v>
      </c>
      <c r="O309" t="n">
        <v>0</v>
      </c>
      <c r="P309" t="n">
        <v>0</v>
      </c>
      <c r="Q309" t="n">
        <v>0</v>
      </c>
      <c r="R309" s="2" t="inlineStr"/>
    </row>
    <row r="310" ht="15" customHeight="1">
      <c r="A310" t="inlineStr">
        <is>
          <t>A 17988-2025</t>
        </is>
      </c>
      <c r="B310" s="1" t="n">
        <v>45761.39600694444</v>
      </c>
      <c r="C310" s="1" t="n">
        <v>45912</v>
      </c>
      <c r="D310" t="inlineStr">
        <is>
          <t>KALMAR LÄN</t>
        </is>
      </c>
      <c r="E310" t="inlineStr">
        <is>
          <t>VIMMERBY</t>
        </is>
      </c>
      <c r="G310" t="n">
        <v>2.8</v>
      </c>
      <c r="H310" t="n">
        <v>0</v>
      </c>
      <c r="I310" t="n">
        <v>0</v>
      </c>
      <c r="J310" t="n">
        <v>0</v>
      </c>
      <c r="K310" t="n">
        <v>0</v>
      </c>
      <c r="L310" t="n">
        <v>0</v>
      </c>
      <c r="M310" t="n">
        <v>0</v>
      </c>
      <c r="N310" t="n">
        <v>0</v>
      </c>
      <c r="O310" t="n">
        <v>0</v>
      </c>
      <c r="P310" t="n">
        <v>0</v>
      </c>
      <c r="Q310" t="n">
        <v>0</v>
      </c>
      <c r="R310" s="2" t="inlineStr"/>
    </row>
    <row r="311" ht="15" customHeight="1">
      <c r="A311" t="inlineStr">
        <is>
          <t>A 23341-2022</t>
        </is>
      </c>
      <c r="B311" s="1" t="n">
        <v>44720.53898148148</v>
      </c>
      <c r="C311" s="1" t="n">
        <v>45912</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57578-2024</t>
        </is>
      </c>
      <c r="B312" s="1" t="n">
        <v>45630.47564814815</v>
      </c>
      <c r="C312" s="1" t="n">
        <v>45912</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37028-2024</t>
        </is>
      </c>
      <c r="B313" s="1" t="n">
        <v>45539.38744212963</v>
      </c>
      <c r="C313" s="1" t="n">
        <v>45912</v>
      </c>
      <c r="D313" t="inlineStr">
        <is>
          <t>KALMAR LÄN</t>
        </is>
      </c>
      <c r="E313" t="inlineStr">
        <is>
          <t>VIMMERBY</t>
        </is>
      </c>
      <c r="G313" t="n">
        <v>5.2</v>
      </c>
      <c r="H313" t="n">
        <v>0</v>
      </c>
      <c r="I313" t="n">
        <v>0</v>
      </c>
      <c r="J313" t="n">
        <v>0</v>
      </c>
      <c r="K313" t="n">
        <v>0</v>
      </c>
      <c r="L313" t="n">
        <v>0</v>
      </c>
      <c r="M313" t="n">
        <v>0</v>
      </c>
      <c r="N313" t="n">
        <v>0</v>
      </c>
      <c r="O313" t="n">
        <v>0</v>
      </c>
      <c r="P313" t="n">
        <v>0</v>
      </c>
      <c r="Q313" t="n">
        <v>0</v>
      </c>
      <c r="R313" s="2" t="inlineStr"/>
    </row>
    <row r="314" ht="15" customHeight="1">
      <c r="A314" t="inlineStr">
        <is>
          <t>A 13532-2025</t>
        </is>
      </c>
      <c r="B314" s="1" t="n">
        <v>45736.50743055555</v>
      </c>
      <c r="C314" s="1" t="n">
        <v>45912</v>
      </c>
      <c r="D314" t="inlineStr">
        <is>
          <t>KALMAR LÄN</t>
        </is>
      </c>
      <c r="E314" t="inlineStr">
        <is>
          <t>VIMMERBY</t>
        </is>
      </c>
      <c r="G314" t="n">
        <v>3.6</v>
      </c>
      <c r="H314" t="n">
        <v>0</v>
      </c>
      <c r="I314" t="n">
        <v>0</v>
      </c>
      <c r="J314" t="n">
        <v>0</v>
      </c>
      <c r="K314" t="n">
        <v>0</v>
      </c>
      <c r="L314" t="n">
        <v>0</v>
      </c>
      <c r="M314" t="n">
        <v>0</v>
      </c>
      <c r="N314" t="n">
        <v>0</v>
      </c>
      <c r="O314" t="n">
        <v>0</v>
      </c>
      <c r="P314" t="n">
        <v>0</v>
      </c>
      <c r="Q314" t="n">
        <v>0</v>
      </c>
      <c r="R314" s="2" t="inlineStr"/>
    </row>
    <row r="315" ht="15" customHeight="1">
      <c r="A315" t="inlineStr">
        <is>
          <t>A 43038-2022</t>
        </is>
      </c>
      <c r="B315" s="1" t="n">
        <v>44833.60123842592</v>
      </c>
      <c r="C315" s="1" t="n">
        <v>45912</v>
      </c>
      <c r="D315" t="inlineStr">
        <is>
          <t>KALMAR LÄN</t>
        </is>
      </c>
      <c r="E315" t="inlineStr">
        <is>
          <t>VIMMERBY</t>
        </is>
      </c>
      <c r="G315" t="n">
        <v>4.2</v>
      </c>
      <c r="H315" t="n">
        <v>0</v>
      </c>
      <c r="I315" t="n">
        <v>0</v>
      </c>
      <c r="J315" t="n">
        <v>0</v>
      </c>
      <c r="K315" t="n">
        <v>0</v>
      </c>
      <c r="L315" t="n">
        <v>0</v>
      </c>
      <c r="M315" t="n">
        <v>0</v>
      </c>
      <c r="N315" t="n">
        <v>0</v>
      </c>
      <c r="O315" t="n">
        <v>0</v>
      </c>
      <c r="P315" t="n">
        <v>0</v>
      </c>
      <c r="Q315" t="n">
        <v>0</v>
      </c>
      <c r="R315" s="2" t="inlineStr"/>
    </row>
    <row r="316" ht="15" customHeight="1">
      <c r="A316" t="inlineStr">
        <is>
          <t>A 6307-2025</t>
        </is>
      </c>
      <c r="B316" s="1" t="n">
        <v>45698.69016203703</v>
      </c>
      <c r="C316" s="1" t="n">
        <v>45912</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11442-2025</t>
        </is>
      </c>
      <c r="B317" s="1" t="n">
        <v>45726.62721064815</v>
      </c>
      <c r="C317" s="1" t="n">
        <v>45912</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12596-2021</t>
        </is>
      </c>
      <c r="B318" s="1" t="n">
        <v>44270.39765046296</v>
      </c>
      <c r="C318" s="1" t="n">
        <v>45912</v>
      </c>
      <c r="D318" t="inlineStr">
        <is>
          <t>KALMAR LÄN</t>
        </is>
      </c>
      <c r="E318" t="inlineStr">
        <is>
          <t>VIMMERBY</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6668-2023</t>
        </is>
      </c>
      <c r="B319" s="1" t="n">
        <v>44966</v>
      </c>
      <c r="C319" s="1" t="n">
        <v>45912</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29168-2024</t>
        </is>
      </c>
      <c r="B320" s="1" t="n">
        <v>45482.49870370371</v>
      </c>
      <c r="C320" s="1" t="n">
        <v>45912</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8086-2021</t>
        </is>
      </c>
      <c r="B321" s="1" t="n">
        <v>44243</v>
      </c>
      <c r="C321" s="1" t="n">
        <v>45912</v>
      </c>
      <c r="D321" t="inlineStr">
        <is>
          <t>KALMAR LÄN</t>
        </is>
      </c>
      <c r="E321" t="inlineStr">
        <is>
          <t>VIMMERBY</t>
        </is>
      </c>
      <c r="G321" t="n">
        <v>4.1</v>
      </c>
      <c r="H321" t="n">
        <v>0</v>
      </c>
      <c r="I321" t="n">
        <v>0</v>
      </c>
      <c r="J321" t="n">
        <v>0</v>
      </c>
      <c r="K321" t="n">
        <v>0</v>
      </c>
      <c r="L321" t="n">
        <v>0</v>
      </c>
      <c r="M321" t="n">
        <v>0</v>
      </c>
      <c r="N321" t="n">
        <v>0</v>
      </c>
      <c r="O321" t="n">
        <v>0</v>
      </c>
      <c r="P321" t="n">
        <v>0</v>
      </c>
      <c r="Q321" t="n">
        <v>0</v>
      </c>
      <c r="R321" s="2" t="inlineStr"/>
    </row>
    <row r="322" ht="15" customHeight="1">
      <c r="A322" t="inlineStr">
        <is>
          <t>A 55236-2023</t>
        </is>
      </c>
      <c r="B322" s="1" t="n">
        <v>45237.63225694445</v>
      </c>
      <c r="C322" s="1" t="n">
        <v>45912</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55245-2023</t>
        </is>
      </c>
      <c r="B323" s="1" t="n">
        <v>45237.64408564815</v>
      </c>
      <c r="C323" s="1" t="n">
        <v>45912</v>
      </c>
      <c r="D323" t="inlineStr">
        <is>
          <t>KALMAR LÄN</t>
        </is>
      </c>
      <c r="E323" t="inlineStr">
        <is>
          <t>VIMMERBY</t>
        </is>
      </c>
      <c r="G323" t="n">
        <v>1.3</v>
      </c>
      <c r="H323" t="n">
        <v>0</v>
      </c>
      <c r="I323" t="n">
        <v>0</v>
      </c>
      <c r="J323" t="n">
        <v>0</v>
      </c>
      <c r="K323" t="n">
        <v>0</v>
      </c>
      <c r="L323" t="n">
        <v>0</v>
      </c>
      <c r="M323" t="n">
        <v>0</v>
      </c>
      <c r="N323" t="n">
        <v>0</v>
      </c>
      <c r="O323" t="n">
        <v>0</v>
      </c>
      <c r="P323" t="n">
        <v>0</v>
      </c>
      <c r="Q323" t="n">
        <v>0</v>
      </c>
      <c r="R323" s="2" t="inlineStr"/>
    </row>
    <row r="324" ht="15" customHeight="1">
      <c r="A324" t="inlineStr">
        <is>
          <t>A 36055-2024</t>
        </is>
      </c>
      <c r="B324" s="1" t="n">
        <v>45533.63056712963</v>
      </c>
      <c r="C324" s="1" t="n">
        <v>45912</v>
      </c>
      <c r="D324" t="inlineStr">
        <is>
          <t>KALMAR LÄN</t>
        </is>
      </c>
      <c r="E324" t="inlineStr">
        <is>
          <t>VIMMERBY</t>
        </is>
      </c>
      <c r="F324" t="inlineStr">
        <is>
          <t>Kommuner</t>
        </is>
      </c>
      <c r="G324" t="n">
        <v>1.9</v>
      </c>
      <c r="H324" t="n">
        <v>0</v>
      </c>
      <c r="I324" t="n">
        <v>0</v>
      </c>
      <c r="J324" t="n">
        <v>0</v>
      </c>
      <c r="K324" t="n">
        <v>0</v>
      </c>
      <c r="L324" t="n">
        <v>0</v>
      </c>
      <c r="M324" t="n">
        <v>0</v>
      </c>
      <c r="N324" t="n">
        <v>0</v>
      </c>
      <c r="O324" t="n">
        <v>0</v>
      </c>
      <c r="P324" t="n">
        <v>0</v>
      </c>
      <c r="Q324" t="n">
        <v>0</v>
      </c>
      <c r="R324" s="2" t="inlineStr"/>
    </row>
    <row r="325" ht="15" customHeight="1">
      <c r="A325" t="inlineStr">
        <is>
          <t>A 57799-2022</t>
        </is>
      </c>
      <c r="B325" s="1" t="n">
        <v>44897</v>
      </c>
      <c r="C325" s="1" t="n">
        <v>45912</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30921-2024</t>
        </is>
      </c>
      <c r="B326" s="1" t="n">
        <v>45498</v>
      </c>
      <c r="C326" s="1" t="n">
        <v>45912</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27443-2023</t>
        </is>
      </c>
      <c r="B327" s="1" t="n">
        <v>45097.40524305555</v>
      </c>
      <c r="C327" s="1" t="n">
        <v>45912</v>
      </c>
      <c r="D327" t="inlineStr">
        <is>
          <t>KALMAR LÄN</t>
        </is>
      </c>
      <c r="E327" t="inlineStr">
        <is>
          <t>VIMMERBY</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845-2023</t>
        </is>
      </c>
      <c r="B328" s="1" t="n">
        <v>44931</v>
      </c>
      <c r="C328" s="1" t="n">
        <v>45912</v>
      </c>
      <c r="D328" t="inlineStr">
        <is>
          <t>KALMAR LÄN</t>
        </is>
      </c>
      <c r="E328" t="inlineStr">
        <is>
          <t>VIMMERBY</t>
        </is>
      </c>
      <c r="F328" t="inlineStr">
        <is>
          <t>Övriga Aktiebolag</t>
        </is>
      </c>
      <c r="G328" t="n">
        <v>19</v>
      </c>
      <c r="H328" t="n">
        <v>0</v>
      </c>
      <c r="I328" t="n">
        <v>0</v>
      </c>
      <c r="J328" t="n">
        <v>0</v>
      </c>
      <c r="K328" t="n">
        <v>0</v>
      </c>
      <c r="L328" t="n">
        <v>0</v>
      </c>
      <c r="M328" t="n">
        <v>0</v>
      </c>
      <c r="N328" t="n">
        <v>0</v>
      </c>
      <c r="O328" t="n">
        <v>0</v>
      </c>
      <c r="P328" t="n">
        <v>0</v>
      </c>
      <c r="Q328" t="n">
        <v>0</v>
      </c>
      <c r="R328" s="2" t="inlineStr"/>
    </row>
    <row r="329" ht="15" customHeight="1">
      <c r="A329" t="inlineStr">
        <is>
          <t>A 14137-2023</t>
        </is>
      </c>
      <c r="B329" s="1" t="n">
        <v>45009.4671875</v>
      </c>
      <c r="C329" s="1" t="n">
        <v>45912</v>
      </c>
      <c r="D329" t="inlineStr">
        <is>
          <t>KALMAR LÄN</t>
        </is>
      </c>
      <c r="E329" t="inlineStr">
        <is>
          <t>VIMMERBY</t>
        </is>
      </c>
      <c r="G329" t="n">
        <v>1.3</v>
      </c>
      <c r="H329" t="n">
        <v>0</v>
      </c>
      <c r="I329" t="n">
        <v>0</v>
      </c>
      <c r="J329" t="n">
        <v>0</v>
      </c>
      <c r="K329" t="n">
        <v>0</v>
      </c>
      <c r="L329" t="n">
        <v>0</v>
      </c>
      <c r="M329" t="n">
        <v>0</v>
      </c>
      <c r="N329" t="n">
        <v>0</v>
      </c>
      <c r="O329" t="n">
        <v>0</v>
      </c>
      <c r="P329" t="n">
        <v>0</v>
      </c>
      <c r="Q329" t="n">
        <v>0</v>
      </c>
      <c r="R329" s="2" t="inlineStr"/>
    </row>
    <row r="330" ht="15" customHeight="1">
      <c r="A330" t="inlineStr">
        <is>
          <t>A 11152-2023</t>
        </is>
      </c>
      <c r="B330" s="1" t="n">
        <v>44992</v>
      </c>
      <c r="C330" s="1" t="n">
        <v>45912</v>
      </c>
      <c r="D330" t="inlineStr">
        <is>
          <t>KALMAR LÄN</t>
        </is>
      </c>
      <c r="E330" t="inlineStr">
        <is>
          <t>VIMMERBY</t>
        </is>
      </c>
      <c r="G330" t="n">
        <v>10.6</v>
      </c>
      <c r="H330" t="n">
        <v>0</v>
      </c>
      <c r="I330" t="n">
        <v>0</v>
      </c>
      <c r="J330" t="n">
        <v>0</v>
      </c>
      <c r="K330" t="n">
        <v>0</v>
      </c>
      <c r="L330" t="n">
        <v>0</v>
      </c>
      <c r="M330" t="n">
        <v>0</v>
      </c>
      <c r="N330" t="n">
        <v>0</v>
      </c>
      <c r="O330" t="n">
        <v>0</v>
      </c>
      <c r="P330" t="n">
        <v>0</v>
      </c>
      <c r="Q330" t="n">
        <v>0</v>
      </c>
      <c r="R330" s="2" t="inlineStr"/>
    </row>
    <row r="331" ht="15" customHeight="1">
      <c r="A331" t="inlineStr">
        <is>
          <t>A 6321-2023</t>
        </is>
      </c>
      <c r="B331" s="1" t="n">
        <v>44965.4815162037</v>
      </c>
      <c r="C331" s="1" t="n">
        <v>45912</v>
      </c>
      <c r="D331" t="inlineStr">
        <is>
          <t>KALMAR LÄN</t>
        </is>
      </c>
      <c r="E331" t="inlineStr">
        <is>
          <t>VIMMERBY</t>
        </is>
      </c>
      <c r="G331" t="n">
        <v>1.8</v>
      </c>
      <c r="H331" t="n">
        <v>0</v>
      </c>
      <c r="I331" t="n">
        <v>0</v>
      </c>
      <c r="J331" t="n">
        <v>0</v>
      </c>
      <c r="K331" t="n">
        <v>0</v>
      </c>
      <c r="L331" t="n">
        <v>0</v>
      </c>
      <c r="M331" t="n">
        <v>0</v>
      </c>
      <c r="N331" t="n">
        <v>0</v>
      </c>
      <c r="O331" t="n">
        <v>0</v>
      </c>
      <c r="P331" t="n">
        <v>0</v>
      </c>
      <c r="Q331" t="n">
        <v>0</v>
      </c>
      <c r="R331" s="2" t="inlineStr"/>
    </row>
    <row r="332" ht="15" customHeight="1">
      <c r="A332" t="inlineStr">
        <is>
          <t>A 4624-2024</t>
        </is>
      </c>
      <c r="B332" s="1" t="n">
        <v>45328.38755787037</v>
      </c>
      <c r="C332" s="1" t="n">
        <v>45912</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23394-2025</t>
        </is>
      </c>
      <c r="B333" s="1" t="n">
        <v>45791.89865740741</v>
      </c>
      <c r="C333" s="1" t="n">
        <v>45912</v>
      </c>
      <c r="D333" t="inlineStr">
        <is>
          <t>KALMAR LÄN</t>
        </is>
      </c>
      <c r="E333" t="inlineStr">
        <is>
          <t>VIMMERBY</t>
        </is>
      </c>
      <c r="G333" t="n">
        <v>3.1</v>
      </c>
      <c r="H333" t="n">
        <v>0</v>
      </c>
      <c r="I333" t="n">
        <v>0</v>
      </c>
      <c r="J333" t="n">
        <v>0</v>
      </c>
      <c r="K333" t="n">
        <v>0</v>
      </c>
      <c r="L333" t="n">
        <v>0</v>
      </c>
      <c r="M333" t="n">
        <v>0</v>
      </c>
      <c r="N333" t="n">
        <v>0</v>
      </c>
      <c r="O333" t="n">
        <v>0</v>
      </c>
      <c r="P333" t="n">
        <v>0</v>
      </c>
      <c r="Q333" t="n">
        <v>0</v>
      </c>
      <c r="R333" s="2" t="inlineStr"/>
    </row>
    <row r="334" ht="15" customHeight="1">
      <c r="A334" t="inlineStr">
        <is>
          <t>A 12499-2023</t>
        </is>
      </c>
      <c r="B334" s="1" t="n">
        <v>44999.86172453704</v>
      </c>
      <c r="C334" s="1" t="n">
        <v>45912</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12500-2023</t>
        </is>
      </c>
      <c r="B335" s="1" t="n">
        <v>44999.8625</v>
      </c>
      <c r="C335" s="1" t="n">
        <v>45912</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35846-2023</t>
        </is>
      </c>
      <c r="B336" s="1" t="n">
        <v>45148</v>
      </c>
      <c r="C336" s="1" t="n">
        <v>45912</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49039-2021</t>
        </is>
      </c>
      <c r="B337" s="1" t="n">
        <v>44453.56578703703</v>
      </c>
      <c r="C337" s="1" t="n">
        <v>45912</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40730-2024</t>
        </is>
      </c>
      <c r="B338" s="1" t="n">
        <v>45558.44914351852</v>
      </c>
      <c r="C338" s="1" t="n">
        <v>45912</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2157-2024</t>
        </is>
      </c>
      <c r="B339" s="1" t="n">
        <v>45309.59487268519</v>
      </c>
      <c r="C339" s="1" t="n">
        <v>45912</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49461-2022</t>
        </is>
      </c>
      <c r="B340" s="1" t="n">
        <v>44861</v>
      </c>
      <c r="C340" s="1" t="n">
        <v>45912</v>
      </c>
      <c r="D340" t="inlineStr">
        <is>
          <t>KALMAR LÄN</t>
        </is>
      </c>
      <c r="E340" t="inlineStr">
        <is>
          <t>VIMMERBY</t>
        </is>
      </c>
      <c r="G340" t="n">
        <v>3.2</v>
      </c>
      <c r="H340" t="n">
        <v>0</v>
      </c>
      <c r="I340" t="n">
        <v>0</v>
      </c>
      <c r="J340" t="n">
        <v>0</v>
      </c>
      <c r="K340" t="n">
        <v>0</v>
      </c>
      <c r="L340" t="n">
        <v>0</v>
      </c>
      <c r="M340" t="n">
        <v>0</v>
      </c>
      <c r="N340" t="n">
        <v>0</v>
      </c>
      <c r="O340" t="n">
        <v>0</v>
      </c>
      <c r="P340" t="n">
        <v>0</v>
      </c>
      <c r="Q340" t="n">
        <v>0</v>
      </c>
      <c r="R340" s="2" t="inlineStr"/>
    </row>
    <row r="341" ht="15" customHeight="1">
      <c r="A341" t="inlineStr">
        <is>
          <t>A 694-2024</t>
        </is>
      </c>
      <c r="B341" s="1" t="n">
        <v>45300.3794212963</v>
      </c>
      <c r="C341" s="1" t="n">
        <v>45912</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59598-2023</t>
        </is>
      </c>
      <c r="B342" s="1" t="n">
        <v>45254.62489583333</v>
      </c>
      <c r="C342" s="1" t="n">
        <v>45912</v>
      </c>
      <c r="D342" t="inlineStr">
        <is>
          <t>KALMAR LÄN</t>
        </is>
      </c>
      <c r="E342" t="inlineStr">
        <is>
          <t>VIMMERBY</t>
        </is>
      </c>
      <c r="F342" t="inlineStr">
        <is>
          <t>Övriga Aktiebolag</t>
        </is>
      </c>
      <c r="G342" t="n">
        <v>4</v>
      </c>
      <c r="H342" t="n">
        <v>0</v>
      </c>
      <c r="I342" t="n">
        <v>0</v>
      </c>
      <c r="J342" t="n">
        <v>0</v>
      </c>
      <c r="K342" t="n">
        <v>0</v>
      </c>
      <c r="L342" t="n">
        <v>0</v>
      </c>
      <c r="M342" t="n">
        <v>0</v>
      </c>
      <c r="N342" t="n">
        <v>0</v>
      </c>
      <c r="O342" t="n">
        <v>0</v>
      </c>
      <c r="P342" t="n">
        <v>0</v>
      </c>
      <c r="Q342" t="n">
        <v>0</v>
      </c>
      <c r="R342" s="2" t="inlineStr"/>
    </row>
    <row r="343" ht="15" customHeight="1">
      <c r="A343" t="inlineStr">
        <is>
          <t>A 7944-2024</t>
        </is>
      </c>
      <c r="B343" s="1" t="n">
        <v>45350.53306712963</v>
      </c>
      <c r="C343" s="1" t="n">
        <v>45912</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46224-2024</t>
        </is>
      </c>
      <c r="B344" s="1" t="n">
        <v>45581.57016203704</v>
      </c>
      <c r="C344" s="1" t="n">
        <v>45912</v>
      </c>
      <c r="D344" t="inlineStr">
        <is>
          <t>KALMAR LÄN</t>
        </is>
      </c>
      <c r="E344" t="inlineStr">
        <is>
          <t>VIMMERBY</t>
        </is>
      </c>
      <c r="G344" t="n">
        <v>3.1</v>
      </c>
      <c r="H344" t="n">
        <v>0</v>
      </c>
      <c r="I344" t="n">
        <v>0</v>
      </c>
      <c r="J344" t="n">
        <v>0</v>
      </c>
      <c r="K344" t="n">
        <v>0</v>
      </c>
      <c r="L344" t="n">
        <v>0</v>
      </c>
      <c r="M344" t="n">
        <v>0</v>
      </c>
      <c r="N344" t="n">
        <v>0</v>
      </c>
      <c r="O344" t="n">
        <v>0</v>
      </c>
      <c r="P344" t="n">
        <v>0</v>
      </c>
      <c r="Q344" t="n">
        <v>0</v>
      </c>
      <c r="R344" s="2" t="inlineStr"/>
    </row>
    <row r="345" ht="15" customHeight="1">
      <c r="A345" t="inlineStr">
        <is>
          <t>A 46238-2024</t>
        </is>
      </c>
      <c r="B345" s="1" t="n">
        <v>45581.58418981481</v>
      </c>
      <c r="C345" s="1" t="n">
        <v>45912</v>
      </c>
      <c r="D345" t="inlineStr">
        <is>
          <t>KALMAR LÄN</t>
        </is>
      </c>
      <c r="E345" t="inlineStr">
        <is>
          <t>VIMMERBY</t>
        </is>
      </c>
      <c r="G345" t="n">
        <v>2.1</v>
      </c>
      <c r="H345" t="n">
        <v>0</v>
      </c>
      <c r="I345" t="n">
        <v>0</v>
      </c>
      <c r="J345" t="n">
        <v>0</v>
      </c>
      <c r="K345" t="n">
        <v>0</v>
      </c>
      <c r="L345" t="n">
        <v>0</v>
      </c>
      <c r="M345" t="n">
        <v>0</v>
      </c>
      <c r="N345" t="n">
        <v>0</v>
      </c>
      <c r="O345" t="n">
        <v>0</v>
      </c>
      <c r="P345" t="n">
        <v>0</v>
      </c>
      <c r="Q345" t="n">
        <v>0</v>
      </c>
      <c r="R345" s="2" t="inlineStr"/>
    </row>
    <row r="346" ht="15" customHeight="1">
      <c r="A346" t="inlineStr">
        <is>
          <t>A 21496-2023</t>
        </is>
      </c>
      <c r="B346" s="1" t="n">
        <v>45063.49936342592</v>
      </c>
      <c r="C346" s="1" t="n">
        <v>45912</v>
      </c>
      <c r="D346" t="inlineStr">
        <is>
          <t>KALMAR LÄN</t>
        </is>
      </c>
      <c r="E346" t="inlineStr">
        <is>
          <t>VIMMERBY</t>
        </is>
      </c>
      <c r="G346" t="n">
        <v>1.1</v>
      </c>
      <c r="H346" t="n">
        <v>0</v>
      </c>
      <c r="I346" t="n">
        <v>0</v>
      </c>
      <c r="J346" t="n">
        <v>0</v>
      </c>
      <c r="K346" t="n">
        <v>0</v>
      </c>
      <c r="L346" t="n">
        <v>0</v>
      </c>
      <c r="M346" t="n">
        <v>0</v>
      </c>
      <c r="N346" t="n">
        <v>0</v>
      </c>
      <c r="O346" t="n">
        <v>0</v>
      </c>
      <c r="P346" t="n">
        <v>0</v>
      </c>
      <c r="Q346" t="n">
        <v>0</v>
      </c>
      <c r="R346" s="2" t="inlineStr"/>
    </row>
    <row r="347" ht="15" customHeight="1">
      <c r="A347" t="inlineStr">
        <is>
          <t>A 30633-2024</t>
        </is>
      </c>
      <c r="B347" s="1" t="n">
        <v>45495</v>
      </c>
      <c r="C347" s="1" t="n">
        <v>45912</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23984-2025</t>
        </is>
      </c>
      <c r="B348" s="1" t="n">
        <v>45796</v>
      </c>
      <c r="C348" s="1" t="n">
        <v>45912</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54838-2024</t>
        </is>
      </c>
      <c r="B349" s="1" t="n">
        <v>45618.56787037037</v>
      </c>
      <c r="C349" s="1" t="n">
        <v>45912</v>
      </c>
      <c r="D349" t="inlineStr">
        <is>
          <t>KALMAR LÄN</t>
        </is>
      </c>
      <c r="E349" t="inlineStr">
        <is>
          <t>VIMMERBY</t>
        </is>
      </c>
      <c r="G349" t="n">
        <v>3.3</v>
      </c>
      <c r="H349" t="n">
        <v>0</v>
      </c>
      <c r="I349" t="n">
        <v>0</v>
      </c>
      <c r="J349" t="n">
        <v>0</v>
      </c>
      <c r="K349" t="n">
        <v>0</v>
      </c>
      <c r="L349" t="n">
        <v>0</v>
      </c>
      <c r="M349" t="n">
        <v>0</v>
      </c>
      <c r="N349" t="n">
        <v>0</v>
      </c>
      <c r="O349" t="n">
        <v>0</v>
      </c>
      <c r="P349" t="n">
        <v>0</v>
      </c>
      <c r="Q349" t="n">
        <v>0</v>
      </c>
      <c r="R349" s="2" t="inlineStr"/>
    </row>
    <row r="350" ht="15" customHeight="1">
      <c r="A350" t="inlineStr">
        <is>
          <t>A 6405-2025</t>
        </is>
      </c>
      <c r="B350" s="1" t="n">
        <v>45699.45392361111</v>
      </c>
      <c r="C350" s="1" t="n">
        <v>45912</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54917-2020</t>
        </is>
      </c>
      <c r="B351" s="1" t="n">
        <v>44127</v>
      </c>
      <c r="C351" s="1" t="n">
        <v>45912</v>
      </c>
      <c r="D351" t="inlineStr">
        <is>
          <t>KALMAR LÄN</t>
        </is>
      </c>
      <c r="E351" t="inlineStr">
        <is>
          <t>VIMMERBY</t>
        </is>
      </c>
      <c r="G351" t="n">
        <v>9.5</v>
      </c>
      <c r="H351" t="n">
        <v>0</v>
      </c>
      <c r="I351" t="n">
        <v>0</v>
      </c>
      <c r="J351" t="n">
        <v>0</v>
      </c>
      <c r="K351" t="n">
        <v>0</v>
      </c>
      <c r="L351" t="n">
        <v>0</v>
      </c>
      <c r="M351" t="n">
        <v>0</v>
      </c>
      <c r="N351" t="n">
        <v>0</v>
      </c>
      <c r="O351" t="n">
        <v>0</v>
      </c>
      <c r="P351" t="n">
        <v>0</v>
      </c>
      <c r="Q351" t="n">
        <v>0</v>
      </c>
      <c r="R351" s="2" t="inlineStr"/>
    </row>
    <row r="352" ht="15" customHeight="1">
      <c r="A352" t="inlineStr">
        <is>
          <t>A 60437-2023</t>
        </is>
      </c>
      <c r="B352" s="1" t="n">
        <v>45259.51916666667</v>
      </c>
      <c r="C352" s="1" t="n">
        <v>45912</v>
      </c>
      <c r="D352" t="inlineStr">
        <is>
          <t>KALMAR LÄN</t>
        </is>
      </c>
      <c r="E352" t="inlineStr">
        <is>
          <t>VIMMERBY</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60438-2023</t>
        </is>
      </c>
      <c r="B353" s="1" t="n">
        <v>45259.52020833334</v>
      </c>
      <c r="C353" s="1" t="n">
        <v>45912</v>
      </c>
      <c r="D353" t="inlineStr">
        <is>
          <t>KALMAR LÄN</t>
        </is>
      </c>
      <c r="E353" t="inlineStr">
        <is>
          <t>VIMMERBY</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42165-2024</t>
        </is>
      </c>
      <c r="B354" s="1" t="n">
        <v>45562.46342592593</v>
      </c>
      <c r="C354" s="1" t="n">
        <v>45912</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29783-2024</t>
        </is>
      </c>
      <c r="B355" s="1" t="n">
        <v>45485.45778935185</v>
      </c>
      <c r="C355" s="1" t="n">
        <v>45912</v>
      </c>
      <c r="D355" t="inlineStr">
        <is>
          <t>KALMAR LÄN</t>
        </is>
      </c>
      <c r="E355" t="inlineStr">
        <is>
          <t>VIMMERBY</t>
        </is>
      </c>
      <c r="G355" t="n">
        <v>3.1</v>
      </c>
      <c r="H355" t="n">
        <v>0</v>
      </c>
      <c r="I355" t="n">
        <v>0</v>
      </c>
      <c r="J355" t="n">
        <v>0</v>
      </c>
      <c r="K355" t="n">
        <v>0</v>
      </c>
      <c r="L355" t="n">
        <v>0</v>
      </c>
      <c r="M355" t="n">
        <v>0</v>
      </c>
      <c r="N355" t="n">
        <v>0</v>
      </c>
      <c r="O355" t="n">
        <v>0</v>
      </c>
      <c r="P355" t="n">
        <v>0</v>
      </c>
      <c r="Q355" t="n">
        <v>0</v>
      </c>
      <c r="R355" s="2" t="inlineStr"/>
    </row>
    <row r="356" ht="15" customHeight="1">
      <c r="A356" t="inlineStr">
        <is>
          <t>A 15976-2025</t>
        </is>
      </c>
      <c r="B356" s="1" t="n">
        <v>45749.56196759259</v>
      </c>
      <c r="C356" s="1" t="n">
        <v>45912</v>
      </c>
      <c r="D356" t="inlineStr">
        <is>
          <t>KALMAR LÄN</t>
        </is>
      </c>
      <c r="E356" t="inlineStr">
        <is>
          <t>VIMMERBY</t>
        </is>
      </c>
      <c r="F356" t="inlineStr">
        <is>
          <t>Kommuner</t>
        </is>
      </c>
      <c r="G356" t="n">
        <v>2.5</v>
      </c>
      <c r="H356" t="n">
        <v>0</v>
      </c>
      <c r="I356" t="n">
        <v>0</v>
      </c>
      <c r="J356" t="n">
        <v>0</v>
      </c>
      <c r="K356" t="n">
        <v>0</v>
      </c>
      <c r="L356" t="n">
        <v>0</v>
      </c>
      <c r="M356" t="n">
        <v>0</v>
      </c>
      <c r="N356" t="n">
        <v>0</v>
      </c>
      <c r="O356" t="n">
        <v>0</v>
      </c>
      <c r="P356" t="n">
        <v>0</v>
      </c>
      <c r="Q356" t="n">
        <v>0</v>
      </c>
      <c r="R356" s="2" t="inlineStr"/>
    </row>
    <row r="357" ht="15" customHeight="1">
      <c r="A357" t="inlineStr">
        <is>
          <t>A 25244-2023</t>
        </is>
      </c>
      <c r="B357" s="1" t="n">
        <v>45086</v>
      </c>
      <c r="C357" s="1" t="n">
        <v>45912</v>
      </c>
      <c r="D357" t="inlineStr">
        <is>
          <t>KALMAR LÄN</t>
        </is>
      </c>
      <c r="E357" t="inlineStr">
        <is>
          <t>VIMMERBY</t>
        </is>
      </c>
      <c r="G357" t="n">
        <v>4.7</v>
      </c>
      <c r="H357" t="n">
        <v>0</v>
      </c>
      <c r="I357" t="n">
        <v>0</v>
      </c>
      <c r="J357" t="n">
        <v>0</v>
      </c>
      <c r="K357" t="n">
        <v>0</v>
      </c>
      <c r="L357" t="n">
        <v>0</v>
      </c>
      <c r="M357" t="n">
        <v>0</v>
      </c>
      <c r="N357" t="n">
        <v>0</v>
      </c>
      <c r="O357" t="n">
        <v>0</v>
      </c>
      <c r="P357" t="n">
        <v>0</v>
      </c>
      <c r="Q357" t="n">
        <v>0</v>
      </c>
      <c r="R357" s="2" t="inlineStr"/>
    </row>
    <row r="358" ht="15" customHeight="1">
      <c r="A358" t="inlineStr">
        <is>
          <t>A 35198-2023</t>
        </is>
      </c>
      <c r="B358" s="1" t="n">
        <v>45145</v>
      </c>
      <c r="C358" s="1" t="n">
        <v>45912</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43853-2023</t>
        </is>
      </c>
      <c r="B359" s="1" t="n">
        <v>45187.60813657408</v>
      </c>
      <c r="C359" s="1" t="n">
        <v>45912</v>
      </c>
      <c r="D359" t="inlineStr">
        <is>
          <t>KALMAR LÄN</t>
        </is>
      </c>
      <c r="E359" t="inlineStr">
        <is>
          <t>VIMMERBY</t>
        </is>
      </c>
      <c r="G359" t="n">
        <v>1.4</v>
      </c>
      <c r="H359" t="n">
        <v>0</v>
      </c>
      <c r="I359" t="n">
        <v>0</v>
      </c>
      <c r="J359" t="n">
        <v>0</v>
      </c>
      <c r="K359" t="n">
        <v>0</v>
      </c>
      <c r="L359" t="n">
        <v>0</v>
      </c>
      <c r="M359" t="n">
        <v>0</v>
      </c>
      <c r="N359" t="n">
        <v>0</v>
      </c>
      <c r="O359" t="n">
        <v>0</v>
      </c>
      <c r="P359" t="n">
        <v>0</v>
      </c>
      <c r="Q359" t="n">
        <v>0</v>
      </c>
      <c r="R359" s="2" t="inlineStr"/>
    </row>
    <row r="360" ht="15" customHeight="1">
      <c r="A360" t="inlineStr">
        <is>
          <t>A 66022-2021</t>
        </is>
      </c>
      <c r="B360" s="1" t="n">
        <v>44517</v>
      </c>
      <c r="C360" s="1" t="n">
        <v>45912</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35895-2024</t>
        </is>
      </c>
      <c r="B361" s="1" t="n">
        <v>45533.38870370371</v>
      </c>
      <c r="C361" s="1" t="n">
        <v>45912</v>
      </c>
      <c r="D361" t="inlineStr">
        <is>
          <t>KALMAR LÄN</t>
        </is>
      </c>
      <c r="E361" t="inlineStr">
        <is>
          <t>VIMMERBY</t>
        </is>
      </c>
      <c r="G361" t="n">
        <v>1.4</v>
      </c>
      <c r="H361" t="n">
        <v>0</v>
      </c>
      <c r="I361" t="n">
        <v>0</v>
      </c>
      <c r="J361" t="n">
        <v>0</v>
      </c>
      <c r="K361" t="n">
        <v>0</v>
      </c>
      <c r="L361" t="n">
        <v>0</v>
      </c>
      <c r="M361" t="n">
        <v>0</v>
      </c>
      <c r="N361" t="n">
        <v>0</v>
      </c>
      <c r="O361" t="n">
        <v>0</v>
      </c>
      <c r="P361" t="n">
        <v>0</v>
      </c>
      <c r="Q361" t="n">
        <v>0</v>
      </c>
      <c r="R361" s="2" t="inlineStr"/>
    </row>
    <row r="362" ht="15" customHeight="1">
      <c r="A362" t="inlineStr">
        <is>
          <t>A 11073-2023</t>
        </is>
      </c>
      <c r="B362" s="1" t="n">
        <v>44992</v>
      </c>
      <c r="C362" s="1" t="n">
        <v>45912</v>
      </c>
      <c r="D362" t="inlineStr">
        <is>
          <t>KALMAR LÄN</t>
        </is>
      </c>
      <c r="E362" t="inlineStr">
        <is>
          <t>VIMMERBY</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35082-2024</t>
        </is>
      </c>
      <c r="B363" s="1" t="n">
        <v>45527.68784722222</v>
      </c>
      <c r="C363" s="1" t="n">
        <v>45912</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17-2025</t>
        </is>
      </c>
      <c r="B364" s="1" t="n">
        <v>45658.78774305555</v>
      </c>
      <c r="C364" s="1" t="n">
        <v>45912</v>
      </c>
      <c r="D364" t="inlineStr">
        <is>
          <t>KALMAR LÄN</t>
        </is>
      </c>
      <c r="E364" t="inlineStr">
        <is>
          <t>VIMMERBY</t>
        </is>
      </c>
      <c r="G364" t="n">
        <v>4.4</v>
      </c>
      <c r="H364" t="n">
        <v>0</v>
      </c>
      <c r="I364" t="n">
        <v>0</v>
      </c>
      <c r="J364" t="n">
        <v>0</v>
      </c>
      <c r="K364" t="n">
        <v>0</v>
      </c>
      <c r="L364" t="n">
        <v>0</v>
      </c>
      <c r="M364" t="n">
        <v>0</v>
      </c>
      <c r="N364" t="n">
        <v>0</v>
      </c>
      <c r="O364" t="n">
        <v>0</v>
      </c>
      <c r="P364" t="n">
        <v>0</v>
      </c>
      <c r="Q364" t="n">
        <v>0</v>
      </c>
      <c r="R364" s="2" t="inlineStr"/>
    </row>
    <row r="365" ht="15" customHeight="1">
      <c r="A365" t="inlineStr">
        <is>
          <t>A 32655-2023</t>
        </is>
      </c>
      <c r="B365" s="1" t="n">
        <v>45121.61318287037</v>
      </c>
      <c r="C365" s="1" t="n">
        <v>45912</v>
      </c>
      <c r="D365" t="inlineStr">
        <is>
          <t>KALMAR LÄN</t>
        </is>
      </c>
      <c r="E365" t="inlineStr">
        <is>
          <t>VIMMERBY</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9511-2023</t>
        </is>
      </c>
      <c r="B366" s="1" t="n">
        <v>44981.64725694444</v>
      </c>
      <c r="C366" s="1" t="n">
        <v>45912</v>
      </c>
      <c r="D366" t="inlineStr">
        <is>
          <t>KALMAR LÄN</t>
        </is>
      </c>
      <c r="E366" t="inlineStr">
        <is>
          <t>VIMMERBY</t>
        </is>
      </c>
      <c r="G366" t="n">
        <v>3.5</v>
      </c>
      <c r="H366" t="n">
        <v>0</v>
      </c>
      <c r="I366" t="n">
        <v>0</v>
      </c>
      <c r="J366" t="n">
        <v>0</v>
      </c>
      <c r="K366" t="n">
        <v>0</v>
      </c>
      <c r="L366" t="n">
        <v>0</v>
      </c>
      <c r="M366" t="n">
        <v>0</v>
      </c>
      <c r="N366" t="n">
        <v>0</v>
      </c>
      <c r="O366" t="n">
        <v>0</v>
      </c>
      <c r="P366" t="n">
        <v>0</v>
      </c>
      <c r="Q366" t="n">
        <v>0</v>
      </c>
      <c r="R366" s="2" t="inlineStr"/>
    </row>
    <row r="367" ht="15" customHeight="1">
      <c r="A367" t="inlineStr">
        <is>
          <t>A 51278-2024</t>
        </is>
      </c>
      <c r="B367" s="1" t="n">
        <v>45603.74959490741</v>
      </c>
      <c r="C367" s="1" t="n">
        <v>45912</v>
      </c>
      <c r="D367" t="inlineStr">
        <is>
          <t>KALMAR LÄN</t>
        </is>
      </c>
      <c r="E367" t="inlineStr">
        <is>
          <t>VIMMERBY</t>
        </is>
      </c>
      <c r="G367" t="n">
        <v>3.4</v>
      </c>
      <c r="H367" t="n">
        <v>0</v>
      </c>
      <c r="I367" t="n">
        <v>0</v>
      </c>
      <c r="J367" t="n">
        <v>0</v>
      </c>
      <c r="K367" t="n">
        <v>0</v>
      </c>
      <c r="L367" t="n">
        <v>0</v>
      </c>
      <c r="M367" t="n">
        <v>0</v>
      </c>
      <c r="N367" t="n">
        <v>0</v>
      </c>
      <c r="O367" t="n">
        <v>0</v>
      </c>
      <c r="P367" t="n">
        <v>0</v>
      </c>
      <c r="Q367" t="n">
        <v>0</v>
      </c>
      <c r="R367" s="2" t="inlineStr"/>
    </row>
    <row r="368" ht="15" customHeight="1">
      <c r="A368" t="inlineStr">
        <is>
          <t>A 38757-2023</t>
        </is>
      </c>
      <c r="B368" s="1" t="n">
        <v>45163.41376157408</v>
      </c>
      <c r="C368" s="1" t="n">
        <v>45912</v>
      </c>
      <c r="D368" t="inlineStr">
        <is>
          <t>KALMAR LÄN</t>
        </is>
      </c>
      <c r="E368" t="inlineStr">
        <is>
          <t>VIMMERBY</t>
        </is>
      </c>
      <c r="G368" t="n">
        <v>2.5</v>
      </c>
      <c r="H368" t="n">
        <v>0</v>
      </c>
      <c r="I368" t="n">
        <v>0</v>
      </c>
      <c r="J368" t="n">
        <v>0</v>
      </c>
      <c r="K368" t="n">
        <v>0</v>
      </c>
      <c r="L368" t="n">
        <v>0</v>
      </c>
      <c r="M368" t="n">
        <v>0</v>
      </c>
      <c r="N368" t="n">
        <v>0</v>
      </c>
      <c r="O368" t="n">
        <v>0</v>
      </c>
      <c r="P368" t="n">
        <v>0</v>
      </c>
      <c r="Q368" t="n">
        <v>0</v>
      </c>
      <c r="R368" s="2" t="inlineStr"/>
    </row>
    <row r="369" ht="15" customHeight="1">
      <c r="A369" t="inlineStr">
        <is>
          <t>A 9456-2025</t>
        </is>
      </c>
      <c r="B369" s="1" t="n">
        <v>45715.44159722222</v>
      </c>
      <c r="C369" s="1" t="n">
        <v>45912</v>
      </c>
      <c r="D369" t="inlineStr">
        <is>
          <t>KALMAR LÄN</t>
        </is>
      </c>
      <c r="E369" t="inlineStr">
        <is>
          <t>VIMMERBY</t>
        </is>
      </c>
      <c r="G369" t="n">
        <v>1.5</v>
      </c>
      <c r="H369" t="n">
        <v>0</v>
      </c>
      <c r="I369" t="n">
        <v>0</v>
      </c>
      <c r="J369" t="n">
        <v>0</v>
      </c>
      <c r="K369" t="n">
        <v>0</v>
      </c>
      <c r="L369" t="n">
        <v>0</v>
      </c>
      <c r="M369" t="n">
        <v>0</v>
      </c>
      <c r="N369" t="n">
        <v>0</v>
      </c>
      <c r="O369" t="n">
        <v>0</v>
      </c>
      <c r="P369" t="n">
        <v>0</v>
      </c>
      <c r="Q369" t="n">
        <v>0</v>
      </c>
      <c r="R369" s="2" t="inlineStr"/>
    </row>
    <row r="370" ht="15" customHeight="1">
      <c r="A370" t="inlineStr">
        <is>
          <t>A 63541-2023</t>
        </is>
      </c>
      <c r="B370" s="1" t="n">
        <v>45275.32266203704</v>
      </c>
      <c r="C370" s="1" t="n">
        <v>45912</v>
      </c>
      <c r="D370" t="inlineStr">
        <is>
          <t>KALMAR LÄN</t>
        </is>
      </c>
      <c r="E370" t="inlineStr">
        <is>
          <t>VIMMERBY</t>
        </is>
      </c>
      <c r="G370" t="n">
        <v>1.1</v>
      </c>
      <c r="H370" t="n">
        <v>0</v>
      </c>
      <c r="I370" t="n">
        <v>0</v>
      </c>
      <c r="J370" t="n">
        <v>0</v>
      </c>
      <c r="K370" t="n">
        <v>0</v>
      </c>
      <c r="L370" t="n">
        <v>0</v>
      </c>
      <c r="M370" t="n">
        <v>0</v>
      </c>
      <c r="N370" t="n">
        <v>0</v>
      </c>
      <c r="O370" t="n">
        <v>0</v>
      </c>
      <c r="P370" t="n">
        <v>0</v>
      </c>
      <c r="Q370" t="n">
        <v>0</v>
      </c>
      <c r="R370" s="2" t="inlineStr"/>
    </row>
    <row r="371" ht="15" customHeight="1">
      <c r="A371" t="inlineStr">
        <is>
          <t>A 29973-2023</t>
        </is>
      </c>
      <c r="B371" s="1" t="n">
        <v>45108.703125</v>
      </c>
      <c r="C371" s="1" t="n">
        <v>45912</v>
      </c>
      <c r="D371" t="inlineStr">
        <is>
          <t>KALMAR LÄN</t>
        </is>
      </c>
      <c r="E371" t="inlineStr">
        <is>
          <t>VIMMERBY</t>
        </is>
      </c>
      <c r="G371" t="n">
        <v>4</v>
      </c>
      <c r="H371" t="n">
        <v>0</v>
      </c>
      <c r="I371" t="n">
        <v>0</v>
      </c>
      <c r="J371" t="n">
        <v>0</v>
      </c>
      <c r="K371" t="n">
        <v>0</v>
      </c>
      <c r="L371" t="n">
        <v>0</v>
      </c>
      <c r="M371" t="n">
        <v>0</v>
      </c>
      <c r="N371" t="n">
        <v>0</v>
      </c>
      <c r="O371" t="n">
        <v>0</v>
      </c>
      <c r="P371" t="n">
        <v>0</v>
      </c>
      <c r="Q371" t="n">
        <v>0</v>
      </c>
      <c r="R371" s="2" t="inlineStr"/>
    </row>
    <row r="372" ht="15" customHeight="1">
      <c r="A372" t="inlineStr">
        <is>
          <t>A 11111-2023</t>
        </is>
      </c>
      <c r="B372" s="1" t="n">
        <v>44992.4255787037</v>
      </c>
      <c r="C372" s="1" t="n">
        <v>45912</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64143-2021</t>
        </is>
      </c>
      <c r="B373" s="1" t="n">
        <v>44510.52157407408</v>
      </c>
      <c r="C373" s="1" t="n">
        <v>45912</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73938-2021</t>
        </is>
      </c>
      <c r="B374" s="1" t="n">
        <v>44553</v>
      </c>
      <c r="C374" s="1" t="n">
        <v>45912</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28034-2022</t>
        </is>
      </c>
      <c r="B375" s="1" t="n">
        <v>44746.38834490741</v>
      </c>
      <c r="C375" s="1" t="n">
        <v>45912</v>
      </c>
      <c r="D375" t="inlineStr">
        <is>
          <t>KALMAR LÄN</t>
        </is>
      </c>
      <c r="E375" t="inlineStr">
        <is>
          <t>VIMMERBY</t>
        </is>
      </c>
      <c r="G375" t="n">
        <v>2</v>
      </c>
      <c r="H375" t="n">
        <v>0</v>
      </c>
      <c r="I375" t="n">
        <v>0</v>
      </c>
      <c r="J375" t="n">
        <v>0</v>
      </c>
      <c r="K375" t="n">
        <v>0</v>
      </c>
      <c r="L375" t="n">
        <v>0</v>
      </c>
      <c r="M375" t="n">
        <v>0</v>
      </c>
      <c r="N375" t="n">
        <v>0</v>
      </c>
      <c r="O375" t="n">
        <v>0</v>
      </c>
      <c r="P375" t="n">
        <v>0</v>
      </c>
      <c r="Q375" t="n">
        <v>0</v>
      </c>
      <c r="R375" s="2" t="inlineStr"/>
    </row>
    <row r="376" ht="15" customHeight="1">
      <c r="A376" t="inlineStr">
        <is>
          <t>A 5938-2022</t>
        </is>
      </c>
      <c r="B376" s="1" t="n">
        <v>44598</v>
      </c>
      <c r="C376" s="1" t="n">
        <v>45912</v>
      </c>
      <c r="D376" t="inlineStr">
        <is>
          <t>KALMAR LÄN</t>
        </is>
      </c>
      <c r="E376" t="inlineStr">
        <is>
          <t>VIMMERBY</t>
        </is>
      </c>
      <c r="G376" t="n">
        <v>2.4</v>
      </c>
      <c r="H376" t="n">
        <v>0</v>
      </c>
      <c r="I376" t="n">
        <v>0</v>
      </c>
      <c r="J376" t="n">
        <v>0</v>
      </c>
      <c r="K376" t="n">
        <v>0</v>
      </c>
      <c r="L376" t="n">
        <v>0</v>
      </c>
      <c r="M376" t="n">
        <v>0</v>
      </c>
      <c r="N376" t="n">
        <v>0</v>
      </c>
      <c r="O376" t="n">
        <v>0</v>
      </c>
      <c r="P376" t="n">
        <v>0</v>
      </c>
      <c r="Q376" t="n">
        <v>0</v>
      </c>
      <c r="R376" s="2" t="inlineStr"/>
    </row>
    <row r="377" ht="15" customHeight="1">
      <c r="A377" t="inlineStr">
        <is>
          <t>A 44582-2024</t>
        </is>
      </c>
      <c r="B377" s="1" t="n">
        <v>45574.49298611111</v>
      </c>
      <c r="C377" s="1" t="n">
        <v>45912</v>
      </c>
      <c r="D377" t="inlineStr">
        <is>
          <t>KALMAR LÄN</t>
        </is>
      </c>
      <c r="E377" t="inlineStr">
        <is>
          <t>VIMMERBY</t>
        </is>
      </c>
      <c r="G377" t="n">
        <v>1.1</v>
      </c>
      <c r="H377" t="n">
        <v>0</v>
      </c>
      <c r="I377" t="n">
        <v>0</v>
      </c>
      <c r="J377" t="n">
        <v>0</v>
      </c>
      <c r="K377" t="n">
        <v>0</v>
      </c>
      <c r="L377" t="n">
        <v>0</v>
      </c>
      <c r="M377" t="n">
        <v>0</v>
      </c>
      <c r="N377" t="n">
        <v>0</v>
      </c>
      <c r="O377" t="n">
        <v>0</v>
      </c>
      <c r="P377" t="n">
        <v>0</v>
      </c>
      <c r="Q377" t="n">
        <v>0</v>
      </c>
      <c r="R377" s="2" t="inlineStr"/>
    </row>
    <row r="378" ht="15" customHeight="1">
      <c r="A378" t="inlineStr">
        <is>
          <t>A 40076-2021</t>
        </is>
      </c>
      <c r="B378" s="1" t="n">
        <v>44418</v>
      </c>
      <c r="C378" s="1" t="n">
        <v>45912</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24283-2023</t>
        </is>
      </c>
      <c r="B379" s="1" t="n">
        <v>45079.87827546296</v>
      </c>
      <c r="C379" s="1" t="n">
        <v>45912</v>
      </c>
      <c r="D379" t="inlineStr">
        <is>
          <t>KALMAR LÄN</t>
        </is>
      </c>
      <c r="E379" t="inlineStr">
        <is>
          <t>VIMMERBY</t>
        </is>
      </c>
      <c r="G379" t="n">
        <v>2</v>
      </c>
      <c r="H379" t="n">
        <v>0</v>
      </c>
      <c r="I379" t="n">
        <v>0</v>
      </c>
      <c r="J379" t="n">
        <v>0</v>
      </c>
      <c r="K379" t="n">
        <v>0</v>
      </c>
      <c r="L379" t="n">
        <v>0</v>
      </c>
      <c r="M379" t="n">
        <v>0</v>
      </c>
      <c r="N379" t="n">
        <v>0</v>
      </c>
      <c r="O379" t="n">
        <v>0</v>
      </c>
      <c r="P379" t="n">
        <v>0</v>
      </c>
      <c r="Q379" t="n">
        <v>0</v>
      </c>
      <c r="R379" s="2" t="inlineStr"/>
    </row>
    <row r="380" ht="15" customHeight="1">
      <c r="A380" t="inlineStr">
        <is>
          <t>A 50648-2023</t>
        </is>
      </c>
      <c r="B380" s="1" t="n">
        <v>45217.47834490741</v>
      </c>
      <c r="C380" s="1" t="n">
        <v>45912</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529-2022</t>
        </is>
      </c>
      <c r="B381" s="1" t="n">
        <v>44566</v>
      </c>
      <c r="C381" s="1" t="n">
        <v>45912</v>
      </c>
      <c r="D381" t="inlineStr">
        <is>
          <t>KALMAR LÄN</t>
        </is>
      </c>
      <c r="E381" t="inlineStr">
        <is>
          <t>VIMMERBY</t>
        </is>
      </c>
      <c r="G381" t="n">
        <v>1.5</v>
      </c>
      <c r="H381" t="n">
        <v>0</v>
      </c>
      <c r="I381" t="n">
        <v>0</v>
      </c>
      <c r="J381" t="n">
        <v>0</v>
      </c>
      <c r="K381" t="n">
        <v>0</v>
      </c>
      <c r="L381" t="n">
        <v>0</v>
      </c>
      <c r="M381" t="n">
        <v>0</v>
      </c>
      <c r="N381" t="n">
        <v>0</v>
      </c>
      <c r="O381" t="n">
        <v>0</v>
      </c>
      <c r="P381" t="n">
        <v>0</v>
      </c>
      <c r="Q381" t="n">
        <v>0</v>
      </c>
      <c r="R381" s="2" t="inlineStr"/>
    </row>
    <row r="382" ht="15" customHeight="1">
      <c r="A382" t="inlineStr">
        <is>
          <t>A 58318-2021</t>
        </is>
      </c>
      <c r="B382" s="1" t="n">
        <v>44488.35878472222</v>
      </c>
      <c r="C382" s="1" t="n">
        <v>45912</v>
      </c>
      <c r="D382" t="inlineStr">
        <is>
          <t>KALMAR LÄN</t>
        </is>
      </c>
      <c r="E382" t="inlineStr">
        <is>
          <t>VIMMERBY</t>
        </is>
      </c>
      <c r="G382" t="n">
        <v>4</v>
      </c>
      <c r="H382" t="n">
        <v>0</v>
      </c>
      <c r="I382" t="n">
        <v>0</v>
      </c>
      <c r="J382" t="n">
        <v>0</v>
      </c>
      <c r="K382" t="n">
        <v>0</v>
      </c>
      <c r="L382" t="n">
        <v>0</v>
      </c>
      <c r="M382" t="n">
        <v>0</v>
      </c>
      <c r="N382" t="n">
        <v>0</v>
      </c>
      <c r="O382" t="n">
        <v>0</v>
      </c>
      <c r="P382" t="n">
        <v>0</v>
      </c>
      <c r="Q382" t="n">
        <v>0</v>
      </c>
      <c r="R382" s="2" t="inlineStr"/>
    </row>
    <row r="383" ht="15" customHeight="1">
      <c r="A383" t="inlineStr">
        <is>
          <t>A 15494-2024</t>
        </is>
      </c>
      <c r="B383" s="1" t="n">
        <v>45401.53033564815</v>
      </c>
      <c r="C383" s="1" t="n">
        <v>45912</v>
      </c>
      <c r="D383" t="inlineStr">
        <is>
          <t>KALMAR LÄN</t>
        </is>
      </c>
      <c r="E383" t="inlineStr">
        <is>
          <t>VIMMERBY</t>
        </is>
      </c>
      <c r="G383" t="n">
        <v>3.2</v>
      </c>
      <c r="H383" t="n">
        <v>0</v>
      </c>
      <c r="I383" t="n">
        <v>0</v>
      </c>
      <c r="J383" t="n">
        <v>0</v>
      </c>
      <c r="K383" t="n">
        <v>0</v>
      </c>
      <c r="L383" t="n">
        <v>0</v>
      </c>
      <c r="M383" t="n">
        <v>0</v>
      </c>
      <c r="N383" t="n">
        <v>0</v>
      </c>
      <c r="O383" t="n">
        <v>0</v>
      </c>
      <c r="P383" t="n">
        <v>0</v>
      </c>
      <c r="Q383" t="n">
        <v>0</v>
      </c>
      <c r="R383" s="2" t="inlineStr"/>
    </row>
    <row r="384" ht="15" customHeight="1">
      <c r="A384" t="inlineStr">
        <is>
          <t>A 89-2023</t>
        </is>
      </c>
      <c r="B384" s="1" t="n">
        <v>44918</v>
      </c>
      <c r="C384" s="1" t="n">
        <v>45912</v>
      </c>
      <c r="D384" t="inlineStr">
        <is>
          <t>KALMAR LÄN</t>
        </is>
      </c>
      <c r="E384" t="inlineStr">
        <is>
          <t>VIMMERBY</t>
        </is>
      </c>
      <c r="G384" t="n">
        <v>16.1</v>
      </c>
      <c r="H384" t="n">
        <v>0</v>
      </c>
      <c r="I384" t="n">
        <v>0</v>
      </c>
      <c r="J384" t="n">
        <v>0</v>
      </c>
      <c r="K384" t="n">
        <v>0</v>
      </c>
      <c r="L384" t="n">
        <v>0</v>
      </c>
      <c r="M384" t="n">
        <v>0</v>
      </c>
      <c r="N384" t="n">
        <v>0</v>
      </c>
      <c r="O384" t="n">
        <v>0</v>
      </c>
      <c r="P384" t="n">
        <v>0</v>
      </c>
      <c r="Q384" t="n">
        <v>0</v>
      </c>
      <c r="R384" s="2" t="inlineStr"/>
    </row>
    <row r="385" ht="15" customHeight="1">
      <c r="A385" t="inlineStr">
        <is>
          <t>A 23088-2024</t>
        </is>
      </c>
      <c r="B385" s="1" t="n">
        <v>45450.51092592593</v>
      </c>
      <c r="C385" s="1" t="n">
        <v>45912</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2462-2022</t>
        </is>
      </c>
      <c r="B386" s="1" t="n">
        <v>44579.62225694444</v>
      </c>
      <c r="C386" s="1" t="n">
        <v>45912</v>
      </c>
      <c r="D386" t="inlineStr">
        <is>
          <t>KALMAR LÄN</t>
        </is>
      </c>
      <c r="E386" t="inlineStr">
        <is>
          <t>VIMMERBY</t>
        </is>
      </c>
      <c r="G386" t="n">
        <v>1.1</v>
      </c>
      <c r="H386" t="n">
        <v>0</v>
      </c>
      <c r="I386" t="n">
        <v>0</v>
      </c>
      <c r="J386" t="n">
        <v>0</v>
      </c>
      <c r="K386" t="n">
        <v>0</v>
      </c>
      <c r="L386" t="n">
        <v>0</v>
      </c>
      <c r="M386" t="n">
        <v>0</v>
      </c>
      <c r="N386" t="n">
        <v>0</v>
      </c>
      <c r="O386" t="n">
        <v>0</v>
      </c>
      <c r="P386" t="n">
        <v>0</v>
      </c>
      <c r="Q386" t="n">
        <v>0</v>
      </c>
      <c r="R386" s="2" t="inlineStr"/>
    </row>
    <row r="387" ht="15" customHeight="1">
      <c r="A387" t="inlineStr">
        <is>
          <t>A 38851-2023</t>
        </is>
      </c>
      <c r="B387" s="1" t="n">
        <v>45163</v>
      </c>
      <c r="C387" s="1" t="n">
        <v>45912</v>
      </c>
      <c r="D387" t="inlineStr">
        <is>
          <t>KALMAR LÄN</t>
        </is>
      </c>
      <c r="E387" t="inlineStr">
        <is>
          <t>VIMMERBY</t>
        </is>
      </c>
      <c r="G387" t="n">
        <v>4.3</v>
      </c>
      <c r="H387" t="n">
        <v>0</v>
      </c>
      <c r="I387" t="n">
        <v>0</v>
      </c>
      <c r="J387" t="n">
        <v>0</v>
      </c>
      <c r="K387" t="n">
        <v>0</v>
      </c>
      <c r="L387" t="n">
        <v>0</v>
      </c>
      <c r="M387" t="n">
        <v>0</v>
      </c>
      <c r="N387" t="n">
        <v>0</v>
      </c>
      <c r="O387" t="n">
        <v>0</v>
      </c>
      <c r="P387" t="n">
        <v>0</v>
      </c>
      <c r="Q387" t="n">
        <v>0</v>
      </c>
      <c r="R387" s="2" t="inlineStr"/>
    </row>
    <row r="388" ht="15" customHeight="1">
      <c r="A388" t="inlineStr">
        <is>
          <t>A 10759-2023</t>
        </is>
      </c>
      <c r="B388" s="1" t="n">
        <v>44988</v>
      </c>
      <c r="C388" s="1" t="n">
        <v>45912</v>
      </c>
      <c r="D388" t="inlineStr">
        <is>
          <t>KALMAR LÄN</t>
        </is>
      </c>
      <c r="E388" t="inlineStr">
        <is>
          <t>VIMMERBY</t>
        </is>
      </c>
      <c r="G388" t="n">
        <v>0.4</v>
      </c>
      <c r="H388" t="n">
        <v>0</v>
      </c>
      <c r="I388" t="n">
        <v>0</v>
      </c>
      <c r="J388" t="n">
        <v>0</v>
      </c>
      <c r="K388" t="n">
        <v>0</v>
      </c>
      <c r="L388" t="n">
        <v>0</v>
      </c>
      <c r="M388" t="n">
        <v>0</v>
      </c>
      <c r="N388" t="n">
        <v>0</v>
      </c>
      <c r="O388" t="n">
        <v>0</v>
      </c>
      <c r="P388" t="n">
        <v>0</v>
      </c>
      <c r="Q388" t="n">
        <v>0</v>
      </c>
      <c r="R388" s="2" t="inlineStr"/>
    </row>
    <row r="389" ht="15" customHeight="1">
      <c r="A389" t="inlineStr">
        <is>
          <t>A 63583-2023</t>
        </is>
      </c>
      <c r="B389" s="1" t="n">
        <v>45275.41833333333</v>
      </c>
      <c r="C389" s="1" t="n">
        <v>45912</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60228-2021</t>
        </is>
      </c>
      <c r="B390" s="1" t="n">
        <v>44495</v>
      </c>
      <c r="C390" s="1" t="n">
        <v>45912</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40079-2023</t>
        </is>
      </c>
      <c r="B391" s="1" t="n">
        <v>45168.89298611111</v>
      </c>
      <c r="C391" s="1" t="n">
        <v>45912</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43774-2023</t>
        </is>
      </c>
      <c r="B392" s="1" t="n">
        <v>45187</v>
      </c>
      <c r="C392" s="1" t="n">
        <v>45912</v>
      </c>
      <c r="D392" t="inlineStr">
        <is>
          <t>KALMAR LÄN</t>
        </is>
      </c>
      <c r="E392" t="inlineStr">
        <is>
          <t>VIMMERBY</t>
        </is>
      </c>
      <c r="G392" t="n">
        <v>3.4</v>
      </c>
      <c r="H392" t="n">
        <v>0</v>
      </c>
      <c r="I392" t="n">
        <v>0</v>
      </c>
      <c r="J392" t="n">
        <v>0</v>
      </c>
      <c r="K392" t="n">
        <v>0</v>
      </c>
      <c r="L392" t="n">
        <v>0</v>
      </c>
      <c r="M392" t="n">
        <v>0</v>
      </c>
      <c r="N392" t="n">
        <v>0</v>
      </c>
      <c r="O392" t="n">
        <v>0</v>
      </c>
      <c r="P392" t="n">
        <v>0</v>
      </c>
      <c r="Q392" t="n">
        <v>0</v>
      </c>
      <c r="R392" s="2" t="inlineStr"/>
    </row>
    <row r="393" ht="15" customHeight="1">
      <c r="A393" t="inlineStr">
        <is>
          <t>A 25979-2023</t>
        </is>
      </c>
      <c r="B393" s="1" t="n">
        <v>45090.89653935185</v>
      </c>
      <c r="C393" s="1" t="n">
        <v>45912</v>
      </c>
      <c r="D393" t="inlineStr">
        <is>
          <t>KALMAR LÄN</t>
        </is>
      </c>
      <c r="E393" t="inlineStr">
        <is>
          <t>VIMMERBY</t>
        </is>
      </c>
      <c r="G393" t="n">
        <v>2</v>
      </c>
      <c r="H393" t="n">
        <v>0</v>
      </c>
      <c r="I393" t="n">
        <v>0</v>
      </c>
      <c r="J393" t="n">
        <v>0</v>
      </c>
      <c r="K393" t="n">
        <v>0</v>
      </c>
      <c r="L393" t="n">
        <v>0</v>
      </c>
      <c r="M393" t="n">
        <v>0</v>
      </c>
      <c r="N393" t="n">
        <v>0</v>
      </c>
      <c r="O393" t="n">
        <v>0</v>
      </c>
      <c r="P393" t="n">
        <v>0</v>
      </c>
      <c r="Q393" t="n">
        <v>0</v>
      </c>
      <c r="R393" s="2" t="inlineStr"/>
    </row>
    <row r="394" ht="15" customHeight="1">
      <c r="A394" t="inlineStr">
        <is>
          <t>A 25980-2023</t>
        </is>
      </c>
      <c r="B394" s="1" t="n">
        <v>45090.89880787037</v>
      </c>
      <c r="C394" s="1" t="n">
        <v>45912</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12510-2022</t>
        </is>
      </c>
      <c r="B395" s="1" t="n">
        <v>44638.55256944444</v>
      </c>
      <c r="C395" s="1" t="n">
        <v>45912</v>
      </c>
      <c r="D395" t="inlineStr">
        <is>
          <t>KALMAR LÄN</t>
        </is>
      </c>
      <c r="E395" t="inlineStr">
        <is>
          <t>VIMMERBY</t>
        </is>
      </c>
      <c r="G395" t="n">
        <v>2.4</v>
      </c>
      <c r="H395" t="n">
        <v>0</v>
      </c>
      <c r="I395" t="n">
        <v>0</v>
      </c>
      <c r="J395" t="n">
        <v>0</v>
      </c>
      <c r="K395" t="n">
        <v>0</v>
      </c>
      <c r="L395" t="n">
        <v>0</v>
      </c>
      <c r="M395" t="n">
        <v>0</v>
      </c>
      <c r="N395" t="n">
        <v>0</v>
      </c>
      <c r="O395" t="n">
        <v>0</v>
      </c>
      <c r="P395" t="n">
        <v>0</v>
      </c>
      <c r="Q395" t="n">
        <v>0</v>
      </c>
      <c r="R395" s="2" t="inlineStr"/>
    </row>
    <row r="396" ht="15" customHeight="1">
      <c r="A396" t="inlineStr">
        <is>
          <t>A 6358-2022</t>
        </is>
      </c>
      <c r="B396" s="1" t="n">
        <v>44600</v>
      </c>
      <c r="C396" s="1" t="n">
        <v>45912</v>
      </c>
      <c r="D396" t="inlineStr">
        <is>
          <t>KALMAR LÄN</t>
        </is>
      </c>
      <c r="E396" t="inlineStr">
        <is>
          <t>VIMMERBY</t>
        </is>
      </c>
      <c r="G396" t="n">
        <v>1.7</v>
      </c>
      <c r="H396" t="n">
        <v>0</v>
      </c>
      <c r="I396" t="n">
        <v>0</v>
      </c>
      <c r="J396" t="n">
        <v>0</v>
      </c>
      <c r="K396" t="n">
        <v>0</v>
      </c>
      <c r="L396" t="n">
        <v>0</v>
      </c>
      <c r="M396" t="n">
        <v>0</v>
      </c>
      <c r="N396" t="n">
        <v>0</v>
      </c>
      <c r="O396" t="n">
        <v>0</v>
      </c>
      <c r="P396" t="n">
        <v>0</v>
      </c>
      <c r="Q396" t="n">
        <v>0</v>
      </c>
      <c r="R396" s="2" t="inlineStr"/>
    </row>
    <row r="397" ht="15" customHeight="1">
      <c r="A397" t="inlineStr">
        <is>
          <t>A 29616-2022</t>
        </is>
      </c>
      <c r="B397" s="1" t="n">
        <v>44754</v>
      </c>
      <c r="C397" s="1" t="n">
        <v>45912</v>
      </c>
      <c r="D397" t="inlineStr">
        <is>
          <t>KALMAR LÄN</t>
        </is>
      </c>
      <c r="E397" t="inlineStr">
        <is>
          <t>VIMMERBY</t>
        </is>
      </c>
      <c r="G397" t="n">
        <v>1.1</v>
      </c>
      <c r="H397" t="n">
        <v>0</v>
      </c>
      <c r="I397" t="n">
        <v>0</v>
      </c>
      <c r="J397" t="n">
        <v>0</v>
      </c>
      <c r="K397" t="n">
        <v>0</v>
      </c>
      <c r="L397" t="n">
        <v>0</v>
      </c>
      <c r="M397" t="n">
        <v>0</v>
      </c>
      <c r="N397" t="n">
        <v>0</v>
      </c>
      <c r="O397" t="n">
        <v>0</v>
      </c>
      <c r="P397" t="n">
        <v>0</v>
      </c>
      <c r="Q397" t="n">
        <v>0</v>
      </c>
      <c r="R397" s="2" t="inlineStr"/>
    </row>
    <row r="398" ht="15" customHeight="1">
      <c r="A398" t="inlineStr">
        <is>
          <t>A 58724-2024</t>
        </is>
      </c>
      <c r="B398" s="1" t="n">
        <v>45635.66409722222</v>
      </c>
      <c r="C398" s="1" t="n">
        <v>45912</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39578-2024</t>
        </is>
      </c>
      <c r="B399" s="1" t="n">
        <v>45552.36484953704</v>
      </c>
      <c r="C399" s="1" t="n">
        <v>45912</v>
      </c>
      <c r="D399" t="inlineStr">
        <is>
          <t>KALMAR LÄN</t>
        </is>
      </c>
      <c r="E399" t="inlineStr">
        <is>
          <t>VIMMERBY</t>
        </is>
      </c>
      <c r="G399" t="n">
        <v>1.5</v>
      </c>
      <c r="H399" t="n">
        <v>0</v>
      </c>
      <c r="I399" t="n">
        <v>0</v>
      </c>
      <c r="J399" t="n">
        <v>0</v>
      </c>
      <c r="K399" t="n">
        <v>0</v>
      </c>
      <c r="L399" t="n">
        <v>0</v>
      </c>
      <c r="M399" t="n">
        <v>0</v>
      </c>
      <c r="N399" t="n">
        <v>0</v>
      </c>
      <c r="O399" t="n">
        <v>0</v>
      </c>
      <c r="P399" t="n">
        <v>0</v>
      </c>
      <c r="Q399" t="n">
        <v>0</v>
      </c>
      <c r="R399" s="2" t="inlineStr"/>
    </row>
    <row r="400" ht="15" customHeight="1">
      <c r="A400" t="inlineStr">
        <is>
          <t>A 24707-2024</t>
        </is>
      </c>
      <c r="B400" s="1" t="n">
        <v>45460.62172453704</v>
      </c>
      <c r="C400" s="1" t="n">
        <v>45912</v>
      </c>
      <c r="D400" t="inlineStr">
        <is>
          <t>KALMAR LÄN</t>
        </is>
      </c>
      <c r="E400" t="inlineStr">
        <is>
          <t>VIMMERBY</t>
        </is>
      </c>
      <c r="G400" t="n">
        <v>1.7</v>
      </c>
      <c r="H400" t="n">
        <v>0</v>
      </c>
      <c r="I400" t="n">
        <v>0</v>
      </c>
      <c r="J400" t="n">
        <v>0</v>
      </c>
      <c r="K400" t="n">
        <v>0</v>
      </c>
      <c r="L400" t="n">
        <v>0</v>
      </c>
      <c r="M400" t="n">
        <v>0</v>
      </c>
      <c r="N400" t="n">
        <v>0</v>
      </c>
      <c r="O400" t="n">
        <v>0</v>
      </c>
      <c r="P400" t="n">
        <v>0</v>
      </c>
      <c r="Q400" t="n">
        <v>0</v>
      </c>
      <c r="R400" s="2" t="inlineStr"/>
    </row>
    <row r="401" ht="15" customHeight="1">
      <c r="A401" t="inlineStr">
        <is>
          <t>A 25792-2025</t>
        </is>
      </c>
      <c r="B401" s="1" t="n">
        <v>45804.39141203704</v>
      </c>
      <c r="C401" s="1" t="n">
        <v>45912</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26006-2025</t>
        </is>
      </c>
      <c r="B402" s="1" t="n">
        <v>45804.67065972222</v>
      </c>
      <c r="C402" s="1" t="n">
        <v>45912</v>
      </c>
      <c r="D402" t="inlineStr">
        <is>
          <t>KALMAR LÄN</t>
        </is>
      </c>
      <c r="E402" t="inlineStr">
        <is>
          <t>VIMMERBY</t>
        </is>
      </c>
      <c r="G402" t="n">
        <v>2.7</v>
      </c>
      <c r="H402" t="n">
        <v>0</v>
      </c>
      <c r="I402" t="n">
        <v>0</v>
      </c>
      <c r="J402" t="n">
        <v>0</v>
      </c>
      <c r="K402" t="n">
        <v>0</v>
      </c>
      <c r="L402" t="n">
        <v>0</v>
      </c>
      <c r="M402" t="n">
        <v>0</v>
      </c>
      <c r="N402" t="n">
        <v>0</v>
      </c>
      <c r="O402" t="n">
        <v>0</v>
      </c>
      <c r="P402" t="n">
        <v>0</v>
      </c>
      <c r="Q402" t="n">
        <v>0</v>
      </c>
      <c r="R402" s="2" t="inlineStr"/>
    </row>
    <row r="403" ht="15" customHeight="1">
      <c r="A403" t="inlineStr">
        <is>
          <t>A 26039-2025</t>
        </is>
      </c>
      <c r="B403" s="1" t="n">
        <v>45804.6953587963</v>
      </c>
      <c r="C403" s="1" t="n">
        <v>45912</v>
      </c>
      <c r="D403" t="inlineStr">
        <is>
          <t>KALMAR LÄN</t>
        </is>
      </c>
      <c r="E403" t="inlineStr">
        <is>
          <t>VIMMERBY</t>
        </is>
      </c>
      <c r="F403" t="inlineStr">
        <is>
          <t>Sveaskog</t>
        </is>
      </c>
      <c r="G403" t="n">
        <v>5.2</v>
      </c>
      <c r="H403" t="n">
        <v>0</v>
      </c>
      <c r="I403" t="n">
        <v>0</v>
      </c>
      <c r="J403" t="n">
        <v>0</v>
      </c>
      <c r="K403" t="n">
        <v>0</v>
      </c>
      <c r="L403" t="n">
        <v>0</v>
      </c>
      <c r="M403" t="n">
        <v>0</v>
      </c>
      <c r="N403" t="n">
        <v>0</v>
      </c>
      <c r="O403" t="n">
        <v>0</v>
      </c>
      <c r="P403" t="n">
        <v>0</v>
      </c>
      <c r="Q403" t="n">
        <v>0</v>
      </c>
      <c r="R403" s="2" t="inlineStr"/>
    </row>
    <row r="404" ht="15" customHeight="1">
      <c r="A404" t="inlineStr">
        <is>
          <t>A 31056-2022</t>
        </is>
      </c>
      <c r="B404" s="1" t="n">
        <v>44769.45805555556</v>
      </c>
      <c r="C404" s="1" t="n">
        <v>45912</v>
      </c>
      <c r="D404" t="inlineStr">
        <is>
          <t>KALMAR LÄN</t>
        </is>
      </c>
      <c r="E404" t="inlineStr">
        <is>
          <t>VIMMERBY</t>
        </is>
      </c>
      <c r="G404" t="n">
        <v>2</v>
      </c>
      <c r="H404" t="n">
        <v>0</v>
      </c>
      <c r="I404" t="n">
        <v>0</v>
      </c>
      <c r="J404" t="n">
        <v>0</v>
      </c>
      <c r="K404" t="n">
        <v>0</v>
      </c>
      <c r="L404" t="n">
        <v>0</v>
      </c>
      <c r="M404" t="n">
        <v>0</v>
      </c>
      <c r="N404" t="n">
        <v>0</v>
      </c>
      <c r="O404" t="n">
        <v>0</v>
      </c>
      <c r="P404" t="n">
        <v>0</v>
      </c>
      <c r="Q404" t="n">
        <v>0</v>
      </c>
      <c r="R404" s="2" t="inlineStr"/>
    </row>
    <row r="405" ht="15" customHeight="1">
      <c r="A405" t="inlineStr">
        <is>
          <t>A 33383-2023</t>
        </is>
      </c>
      <c r="B405" s="1" t="n">
        <v>45128.58414351852</v>
      </c>
      <c r="C405" s="1" t="n">
        <v>45912</v>
      </c>
      <c r="D405" t="inlineStr">
        <is>
          <t>KALMAR LÄN</t>
        </is>
      </c>
      <c r="E405" t="inlineStr">
        <is>
          <t>VIMMERBY</t>
        </is>
      </c>
      <c r="G405" t="n">
        <v>2.3</v>
      </c>
      <c r="H405" t="n">
        <v>0</v>
      </c>
      <c r="I405" t="n">
        <v>0</v>
      </c>
      <c r="J405" t="n">
        <v>0</v>
      </c>
      <c r="K405" t="n">
        <v>0</v>
      </c>
      <c r="L405" t="n">
        <v>0</v>
      </c>
      <c r="M405" t="n">
        <v>0</v>
      </c>
      <c r="N405" t="n">
        <v>0</v>
      </c>
      <c r="O405" t="n">
        <v>0</v>
      </c>
      <c r="P405" t="n">
        <v>0</v>
      </c>
      <c r="Q405" t="n">
        <v>0</v>
      </c>
      <c r="R405" s="2" t="inlineStr"/>
    </row>
    <row r="406" ht="15" customHeight="1">
      <c r="A406" t="inlineStr">
        <is>
          <t>A 48373-2021</t>
        </is>
      </c>
      <c r="B406" s="1" t="n">
        <v>44451</v>
      </c>
      <c r="C406" s="1" t="n">
        <v>45912</v>
      </c>
      <c r="D406" t="inlineStr">
        <is>
          <t>KALMAR LÄN</t>
        </is>
      </c>
      <c r="E406" t="inlineStr">
        <is>
          <t>VIMMERBY</t>
        </is>
      </c>
      <c r="G406" t="n">
        <v>2.2</v>
      </c>
      <c r="H406" t="n">
        <v>0</v>
      </c>
      <c r="I406" t="n">
        <v>0</v>
      </c>
      <c r="J406" t="n">
        <v>0</v>
      </c>
      <c r="K406" t="n">
        <v>0</v>
      </c>
      <c r="L406" t="n">
        <v>0</v>
      </c>
      <c r="M406" t="n">
        <v>0</v>
      </c>
      <c r="N406" t="n">
        <v>0</v>
      </c>
      <c r="O406" t="n">
        <v>0</v>
      </c>
      <c r="P406" t="n">
        <v>0</v>
      </c>
      <c r="Q406" t="n">
        <v>0</v>
      </c>
      <c r="R406" s="2" t="inlineStr"/>
    </row>
    <row r="407" ht="15" customHeight="1">
      <c r="A407" t="inlineStr">
        <is>
          <t>A 40828-2023</t>
        </is>
      </c>
      <c r="B407" s="1" t="n">
        <v>45171.96248842592</v>
      </c>
      <c r="C407" s="1" t="n">
        <v>45912</v>
      </c>
      <c r="D407" t="inlineStr">
        <is>
          <t>KALMAR LÄN</t>
        </is>
      </c>
      <c r="E407" t="inlineStr">
        <is>
          <t>VIMMERBY</t>
        </is>
      </c>
      <c r="G407" t="n">
        <v>0.6</v>
      </c>
      <c r="H407" t="n">
        <v>0</v>
      </c>
      <c r="I407" t="n">
        <v>0</v>
      </c>
      <c r="J407" t="n">
        <v>0</v>
      </c>
      <c r="K407" t="n">
        <v>0</v>
      </c>
      <c r="L407" t="n">
        <v>0</v>
      </c>
      <c r="M407" t="n">
        <v>0</v>
      </c>
      <c r="N407" t="n">
        <v>0</v>
      </c>
      <c r="O407" t="n">
        <v>0</v>
      </c>
      <c r="P407" t="n">
        <v>0</v>
      </c>
      <c r="Q407" t="n">
        <v>0</v>
      </c>
      <c r="R407" s="2" t="inlineStr"/>
    </row>
    <row r="408" ht="15" customHeight="1">
      <c r="A408" t="inlineStr">
        <is>
          <t>A 26046-2025</t>
        </is>
      </c>
      <c r="B408" s="1" t="n">
        <v>45804.708125</v>
      </c>
      <c r="C408" s="1" t="n">
        <v>45912</v>
      </c>
      <c r="D408" t="inlineStr">
        <is>
          <t>KALMAR LÄN</t>
        </is>
      </c>
      <c r="E408" t="inlineStr">
        <is>
          <t>VIMMERBY</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61861-2024</t>
        </is>
      </c>
      <c r="B409" s="1" t="n">
        <v>45650.37370370371</v>
      </c>
      <c r="C409" s="1" t="n">
        <v>45912</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26124-2025</t>
        </is>
      </c>
      <c r="B410" s="1" t="n">
        <v>45805.39247685186</v>
      </c>
      <c r="C410" s="1" t="n">
        <v>45912</v>
      </c>
      <c r="D410" t="inlineStr">
        <is>
          <t>KALMAR LÄN</t>
        </is>
      </c>
      <c r="E410" t="inlineStr">
        <is>
          <t>VIMMERBY</t>
        </is>
      </c>
      <c r="G410" t="n">
        <v>6.6</v>
      </c>
      <c r="H410" t="n">
        <v>0</v>
      </c>
      <c r="I410" t="n">
        <v>0</v>
      </c>
      <c r="J410" t="n">
        <v>0</v>
      </c>
      <c r="K410" t="n">
        <v>0</v>
      </c>
      <c r="L410" t="n">
        <v>0</v>
      </c>
      <c r="M410" t="n">
        <v>0</v>
      </c>
      <c r="N410" t="n">
        <v>0</v>
      </c>
      <c r="O410" t="n">
        <v>0</v>
      </c>
      <c r="P410" t="n">
        <v>0</v>
      </c>
      <c r="Q410" t="n">
        <v>0</v>
      </c>
      <c r="R410" s="2" t="inlineStr"/>
    </row>
    <row r="411" ht="15" customHeight="1">
      <c r="A411" t="inlineStr">
        <is>
          <t>A 8650-2022</t>
        </is>
      </c>
      <c r="B411" s="1" t="n">
        <v>44613</v>
      </c>
      <c r="C411" s="1" t="n">
        <v>45912</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33340-2023</t>
        </is>
      </c>
      <c r="B412" s="1" t="n">
        <v>45128.37305555555</v>
      </c>
      <c r="C412" s="1" t="n">
        <v>45912</v>
      </c>
      <c r="D412" t="inlineStr">
        <is>
          <t>KALMAR LÄN</t>
        </is>
      </c>
      <c r="E412" t="inlineStr">
        <is>
          <t>VIMMERBY</t>
        </is>
      </c>
      <c r="G412" t="n">
        <v>1.5</v>
      </c>
      <c r="H412" t="n">
        <v>0</v>
      </c>
      <c r="I412" t="n">
        <v>0</v>
      </c>
      <c r="J412" t="n">
        <v>0</v>
      </c>
      <c r="K412" t="n">
        <v>0</v>
      </c>
      <c r="L412" t="n">
        <v>0</v>
      </c>
      <c r="M412" t="n">
        <v>0</v>
      </c>
      <c r="N412" t="n">
        <v>0</v>
      </c>
      <c r="O412" t="n">
        <v>0</v>
      </c>
      <c r="P412" t="n">
        <v>0</v>
      </c>
      <c r="Q412" t="n">
        <v>0</v>
      </c>
      <c r="R412" s="2" t="inlineStr"/>
    </row>
    <row r="413" ht="15" customHeight="1">
      <c r="A413" t="inlineStr">
        <is>
          <t>A 44423-2023</t>
        </is>
      </c>
      <c r="B413" s="1" t="n">
        <v>45189</v>
      </c>
      <c r="C413" s="1" t="n">
        <v>45912</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37323-2024</t>
        </is>
      </c>
      <c r="B414" s="1" t="n">
        <v>45540.50098379629</v>
      </c>
      <c r="C414" s="1" t="n">
        <v>45912</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26207-2025</t>
        </is>
      </c>
      <c r="B415" s="1" t="n">
        <v>45805.52983796296</v>
      </c>
      <c r="C415" s="1" t="n">
        <v>45912</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25830-2025</t>
        </is>
      </c>
      <c r="B416" s="1" t="n">
        <v>45804.44519675926</v>
      </c>
      <c r="C416" s="1" t="n">
        <v>45912</v>
      </c>
      <c r="D416" t="inlineStr">
        <is>
          <t>KALMAR LÄN</t>
        </is>
      </c>
      <c r="E416" t="inlineStr">
        <is>
          <t>VIMMERBY</t>
        </is>
      </c>
      <c r="G416" t="n">
        <v>4.9</v>
      </c>
      <c r="H416" t="n">
        <v>0</v>
      </c>
      <c r="I416" t="n">
        <v>0</v>
      </c>
      <c r="J416" t="n">
        <v>0</v>
      </c>
      <c r="K416" t="n">
        <v>0</v>
      </c>
      <c r="L416" t="n">
        <v>0</v>
      </c>
      <c r="M416" t="n">
        <v>0</v>
      </c>
      <c r="N416" t="n">
        <v>0</v>
      </c>
      <c r="O416" t="n">
        <v>0</v>
      </c>
      <c r="P416" t="n">
        <v>0</v>
      </c>
      <c r="Q416" t="n">
        <v>0</v>
      </c>
      <c r="R416" s="2" t="inlineStr"/>
    </row>
    <row r="417" ht="15" customHeight="1">
      <c r="A417" t="inlineStr">
        <is>
          <t>A 26254-2025</t>
        </is>
      </c>
      <c r="B417" s="1" t="n">
        <v>45805</v>
      </c>
      <c r="C417" s="1" t="n">
        <v>45912</v>
      </c>
      <c r="D417" t="inlineStr">
        <is>
          <t>KALMAR LÄN</t>
        </is>
      </c>
      <c r="E417" t="inlineStr">
        <is>
          <t>VIMMERBY</t>
        </is>
      </c>
      <c r="G417" t="n">
        <v>2</v>
      </c>
      <c r="H417" t="n">
        <v>0</v>
      </c>
      <c r="I417" t="n">
        <v>0</v>
      </c>
      <c r="J417" t="n">
        <v>0</v>
      </c>
      <c r="K417" t="n">
        <v>0</v>
      </c>
      <c r="L417" t="n">
        <v>0</v>
      </c>
      <c r="M417" t="n">
        <v>0</v>
      </c>
      <c r="N417" t="n">
        <v>0</v>
      </c>
      <c r="O417" t="n">
        <v>0</v>
      </c>
      <c r="P417" t="n">
        <v>0</v>
      </c>
      <c r="Q417" t="n">
        <v>0</v>
      </c>
      <c r="R417" s="2" t="inlineStr"/>
    </row>
    <row r="418" ht="15" customHeight="1">
      <c r="A418" t="inlineStr">
        <is>
          <t>A 57256-2023</t>
        </is>
      </c>
      <c r="B418" s="1" t="n">
        <v>45245.5735300926</v>
      </c>
      <c r="C418" s="1" t="n">
        <v>45912</v>
      </c>
      <c r="D418" t="inlineStr">
        <is>
          <t>KALMAR LÄN</t>
        </is>
      </c>
      <c r="E418" t="inlineStr">
        <is>
          <t>VIMMERBY</t>
        </is>
      </c>
      <c r="G418" t="n">
        <v>0.5</v>
      </c>
      <c r="H418" t="n">
        <v>0</v>
      </c>
      <c r="I418" t="n">
        <v>0</v>
      </c>
      <c r="J418" t="n">
        <v>0</v>
      </c>
      <c r="K418" t="n">
        <v>0</v>
      </c>
      <c r="L418" t="n">
        <v>0</v>
      </c>
      <c r="M418" t="n">
        <v>0</v>
      </c>
      <c r="N418" t="n">
        <v>0</v>
      </c>
      <c r="O418" t="n">
        <v>0</v>
      </c>
      <c r="P418" t="n">
        <v>0</v>
      </c>
      <c r="Q418" t="n">
        <v>0</v>
      </c>
      <c r="R418" s="2" t="inlineStr"/>
    </row>
    <row r="419" ht="15" customHeight="1">
      <c r="A419" t="inlineStr">
        <is>
          <t>A 17482-2024</t>
        </is>
      </c>
      <c r="B419" s="1" t="n">
        <v>45415.47848379629</v>
      </c>
      <c r="C419" s="1" t="n">
        <v>45912</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55123-2024</t>
        </is>
      </c>
      <c r="B420" s="1" t="n">
        <v>45621.46103009259</v>
      </c>
      <c r="C420" s="1" t="n">
        <v>45912</v>
      </c>
      <c r="D420" t="inlineStr">
        <is>
          <t>KALMAR LÄN</t>
        </is>
      </c>
      <c r="E420" t="inlineStr">
        <is>
          <t>VIMMERBY</t>
        </is>
      </c>
      <c r="G420" t="n">
        <v>3.1</v>
      </c>
      <c r="H420" t="n">
        <v>0</v>
      </c>
      <c r="I420" t="n">
        <v>0</v>
      </c>
      <c r="J420" t="n">
        <v>0</v>
      </c>
      <c r="K420" t="n">
        <v>0</v>
      </c>
      <c r="L420" t="n">
        <v>0</v>
      </c>
      <c r="M420" t="n">
        <v>0</v>
      </c>
      <c r="N420" t="n">
        <v>0</v>
      </c>
      <c r="O420" t="n">
        <v>0</v>
      </c>
      <c r="P420" t="n">
        <v>0</v>
      </c>
      <c r="Q420" t="n">
        <v>0</v>
      </c>
      <c r="R420" s="2" t="inlineStr"/>
    </row>
    <row r="421" ht="15" customHeight="1">
      <c r="A421" t="inlineStr">
        <is>
          <t>A 49313-2022</t>
        </is>
      </c>
      <c r="B421" s="1" t="n">
        <v>44861.52505787037</v>
      </c>
      <c r="C421" s="1" t="n">
        <v>45912</v>
      </c>
      <c r="D421" t="inlineStr">
        <is>
          <t>KALMAR LÄN</t>
        </is>
      </c>
      <c r="E421" t="inlineStr">
        <is>
          <t>VIMMERBY</t>
        </is>
      </c>
      <c r="G421" t="n">
        <v>1.9</v>
      </c>
      <c r="H421" t="n">
        <v>0</v>
      </c>
      <c r="I421" t="n">
        <v>0</v>
      </c>
      <c r="J421" t="n">
        <v>0</v>
      </c>
      <c r="K421" t="n">
        <v>0</v>
      </c>
      <c r="L421" t="n">
        <v>0</v>
      </c>
      <c r="M421" t="n">
        <v>0</v>
      </c>
      <c r="N421" t="n">
        <v>0</v>
      </c>
      <c r="O421" t="n">
        <v>0</v>
      </c>
      <c r="P421" t="n">
        <v>0</v>
      </c>
      <c r="Q421" t="n">
        <v>0</v>
      </c>
      <c r="R421" s="2" t="inlineStr"/>
    </row>
    <row r="422" ht="15" customHeight="1">
      <c r="A422" t="inlineStr">
        <is>
          <t>A 1987-2024</t>
        </is>
      </c>
      <c r="B422" s="1" t="n">
        <v>45308.61152777778</v>
      </c>
      <c r="C422" s="1" t="n">
        <v>45912</v>
      </c>
      <c r="D422" t="inlineStr">
        <is>
          <t>KALMAR LÄN</t>
        </is>
      </c>
      <c r="E422" t="inlineStr">
        <is>
          <t>VIMMERBY</t>
        </is>
      </c>
      <c r="G422" t="n">
        <v>3</v>
      </c>
      <c r="H422" t="n">
        <v>0</v>
      </c>
      <c r="I422" t="n">
        <v>0</v>
      </c>
      <c r="J422" t="n">
        <v>0</v>
      </c>
      <c r="K422" t="n">
        <v>0</v>
      </c>
      <c r="L422" t="n">
        <v>0</v>
      </c>
      <c r="M422" t="n">
        <v>0</v>
      </c>
      <c r="N422" t="n">
        <v>0</v>
      </c>
      <c r="O422" t="n">
        <v>0</v>
      </c>
      <c r="P422" t="n">
        <v>0</v>
      </c>
      <c r="Q422" t="n">
        <v>0</v>
      </c>
      <c r="R422" s="2" t="inlineStr"/>
    </row>
    <row r="423" ht="15" customHeight="1">
      <c r="A423" t="inlineStr">
        <is>
          <t>A 18501-2024</t>
        </is>
      </c>
      <c r="B423" s="1" t="n">
        <v>45425.57538194444</v>
      </c>
      <c r="C423" s="1" t="n">
        <v>45912</v>
      </c>
      <c r="D423" t="inlineStr">
        <is>
          <t>KALMAR LÄN</t>
        </is>
      </c>
      <c r="E423" t="inlineStr">
        <is>
          <t>VIMMERBY</t>
        </is>
      </c>
      <c r="G423" t="n">
        <v>2</v>
      </c>
      <c r="H423" t="n">
        <v>0</v>
      </c>
      <c r="I423" t="n">
        <v>0</v>
      </c>
      <c r="J423" t="n">
        <v>0</v>
      </c>
      <c r="K423" t="n">
        <v>0</v>
      </c>
      <c r="L423" t="n">
        <v>0</v>
      </c>
      <c r="M423" t="n">
        <v>0</v>
      </c>
      <c r="N423" t="n">
        <v>0</v>
      </c>
      <c r="O423" t="n">
        <v>0</v>
      </c>
      <c r="P423" t="n">
        <v>0</v>
      </c>
      <c r="Q423" t="n">
        <v>0</v>
      </c>
      <c r="R423" s="2" t="inlineStr"/>
    </row>
    <row r="424" ht="15" customHeight="1">
      <c r="A424" t="inlineStr">
        <is>
          <t>A 21507-2023</t>
        </is>
      </c>
      <c r="B424" s="1" t="n">
        <v>45063.508125</v>
      </c>
      <c r="C424" s="1" t="n">
        <v>45912</v>
      </c>
      <c r="D424" t="inlineStr">
        <is>
          <t>KALMAR LÄN</t>
        </is>
      </c>
      <c r="E424" t="inlineStr">
        <is>
          <t>VIMMERBY</t>
        </is>
      </c>
      <c r="G424" t="n">
        <v>2.8</v>
      </c>
      <c r="H424" t="n">
        <v>0</v>
      </c>
      <c r="I424" t="n">
        <v>0</v>
      </c>
      <c r="J424" t="n">
        <v>0</v>
      </c>
      <c r="K424" t="n">
        <v>0</v>
      </c>
      <c r="L424" t="n">
        <v>0</v>
      </c>
      <c r="M424" t="n">
        <v>0</v>
      </c>
      <c r="N424" t="n">
        <v>0</v>
      </c>
      <c r="O424" t="n">
        <v>0</v>
      </c>
      <c r="P424" t="n">
        <v>0</v>
      </c>
      <c r="Q424" t="n">
        <v>0</v>
      </c>
      <c r="R424" s="2" t="inlineStr"/>
    </row>
    <row r="425" ht="15" customHeight="1">
      <c r="A425" t="inlineStr">
        <is>
          <t>A 57189-2022</t>
        </is>
      </c>
      <c r="B425" s="1" t="n">
        <v>44895.62296296296</v>
      </c>
      <c r="C425" s="1" t="n">
        <v>45912</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48673-2021</t>
        </is>
      </c>
      <c r="B426" s="1" t="n">
        <v>44452</v>
      </c>
      <c r="C426" s="1" t="n">
        <v>45912</v>
      </c>
      <c r="D426" t="inlineStr">
        <is>
          <t>KALMAR LÄN</t>
        </is>
      </c>
      <c r="E426" t="inlineStr">
        <is>
          <t>VIMMERBY</t>
        </is>
      </c>
      <c r="G426" t="n">
        <v>1.3</v>
      </c>
      <c r="H426" t="n">
        <v>0</v>
      </c>
      <c r="I426" t="n">
        <v>0</v>
      </c>
      <c r="J426" t="n">
        <v>0</v>
      </c>
      <c r="K426" t="n">
        <v>0</v>
      </c>
      <c r="L426" t="n">
        <v>0</v>
      </c>
      <c r="M426" t="n">
        <v>0</v>
      </c>
      <c r="N426" t="n">
        <v>0</v>
      </c>
      <c r="O426" t="n">
        <v>0</v>
      </c>
      <c r="P426" t="n">
        <v>0</v>
      </c>
      <c r="Q426" t="n">
        <v>0</v>
      </c>
      <c r="R426" s="2" t="inlineStr"/>
    </row>
    <row r="427" ht="15" customHeight="1">
      <c r="A427" t="inlineStr">
        <is>
          <t>A 14248-2023</t>
        </is>
      </c>
      <c r="B427" s="1" t="n">
        <v>45009</v>
      </c>
      <c r="C427" s="1" t="n">
        <v>45912</v>
      </c>
      <c r="D427" t="inlineStr">
        <is>
          <t>KALMAR LÄN</t>
        </is>
      </c>
      <c r="E427" t="inlineStr">
        <is>
          <t>VIMMERBY</t>
        </is>
      </c>
      <c r="G427" t="n">
        <v>2.6</v>
      </c>
      <c r="H427" t="n">
        <v>0</v>
      </c>
      <c r="I427" t="n">
        <v>0</v>
      </c>
      <c r="J427" t="n">
        <v>0</v>
      </c>
      <c r="K427" t="n">
        <v>0</v>
      </c>
      <c r="L427" t="n">
        <v>0</v>
      </c>
      <c r="M427" t="n">
        <v>0</v>
      </c>
      <c r="N427" t="n">
        <v>0</v>
      </c>
      <c r="O427" t="n">
        <v>0</v>
      </c>
      <c r="P427" t="n">
        <v>0</v>
      </c>
      <c r="Q427" t="n">
        <v>0</v>
      </c>
      <c r="R427" s="2" t="inlineStr"/>
    </row>
    <row r="428" ht="15" customHeight="1">
      <c r="A428" t="inlineStr">
        <is>
          <t>A 12480-2024</t>
        </is>
      </c>
      <c r="B428" s="1" t="n">
        <v>45379</v>
      </c>
      <c r="C428" s="1" t="n">
        <v>45912</v>
      </c>
      <c r="D428" t="inlineStr">
        <is>
          <t>KALMAR LÄN</t>
        </is>
      </c>
      <c r="E428" t="inlineStr">
        <is>
          <t>VIMMERBY</t>
        </is>
      </c>
      <c r="G428" t="n">
        <v>2.8</v>
      </c>
      <c r="H428" t="n">
        <v>0</v>
      </c>
      <c r="I428" t="n">
        <v>0</v>
      </c>
      <c r="J428" t="n">
        <v>0</v>
      </c>
      <c r="K428" t="n">
        <v>0</v>
      </c>
      <c r="L428" t="n">
        <v>0</v>
      </c>
      <c r="M428" t="n">
        <v>0</v>
      </c>
      <c r="N428" t="n">
        <v>0</v>
      </c>
      <c r="O428" t="n">
        <v>0</v>
      </c>
      <c r="P428" t="n">
        <v>0</v>
      </c>
      <c r="Q428" t="n">
        <v>0</v>
      </c>
      <c r="R428" s="2" t="inlineStr"/>
    </row>
    <row r="429" ht="15" customHeight="1">
      <c r="A429" t="inlineStr">
        <is>
          <t>A 10211-2025</t>
        </is>
      </c>
      <c r="B429" s="1" t="n">
        <v>45719.84378472222</v>
      </c>
      <c r="C429" s="1" t="n">
        <v>45912</v>
      </c>
      <c r="D429" t="inlineStr">
        <is>
          <t>KALMAR LÄN</t>
        </is>
      </c>
      <c r="E429" t="inlineStr">
        <is>
          <t>VIMMERBY</t>
        </is>
      </c>
      <c r="G429" t="n">
        <v>1.7</v>
      </c>
      <c r="H429" t="n">
        <v>0</v>
      </c>
      <c r="I429" t="n">
        <v>0</v>
      </c>
      <c r="J429" t="n">
        <v>0</v>
      </c>
      <c r="K429" t="n">
        <v>0</v>
      </c>
      <c r="L429" t="n">
        <v>0</v>
      </c>
      <c r="M429" t="n">
        <v>0</v>
      </c>
      <c r="N429" t="n">
        <v>0</v>
      </c>
      <c r="O429" t="n">
        <v>0</v>
      </c>
      <c r="P429" t="n">
        <v>0</v>
      </c>
      <c r="Q429" t="n">
        <v>0</v>
      </c>
      <c r="R429" s="2" t="inlineStr"/>
    </row>
    <row r="430" ht="15" customHeight="1">
      <c r="A430" t="inlineStr">
        <is>
          <t>A 27758-2024</t>
        </is>
      </c>
      <c r="B430" s="1" t="n">
        <v>45475.48303240741</v>
      </c>
      <c r="C430" s="1" t="n">
        <v>45912</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13307-2025</t>
        </is>
      </c>
      <c r="B431" s="1" t="n">
        <v>45735.58024305556</v>
      </c>
      <c r="C431" s="1" t="n">
        <v>45912</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40095-2022</t>
        </is>
      </c>
      <c r="B432" s="1" t="n">
        <v>44820</v>
      </c>
      <c r="C432" s="1" t="n">
        <v>45912</v>
      </c>
      <c r="D432" t="inlineStr">
        <is>
          <t>KALMAR LÄN</t>
        </is>
      </c>
      <c r="E432" t="inlineStr">
        <is>
          <t>VIMMERBY</t>
        </is>
      </c>
      <c r="G432" t="n">
        <v>2.4</v>
      </c>
      <c r="H432" t="n">
        <v>0</v>
      </c>
      <c r="I432" t="n">
        <v>0</v>
      </c>
      <c r="J432" t="n">
        <v>0</v>
      </c>
      <c r="K432" t="n">
        <v>0</v>
      </c>
      <c r="L432" t="n">
        <v>0</v>
      </c>
      <c r="M432" t="n">
        <v>0</v>
      </c>
      <c r="N432" t="n">
        <v>0</v>
      </c>
      <c r="O432" t="n">
        <v>0</v>
      </c>
      <c r="P432" t="n">
        <v>0</v>
      </c>
      <c r="Q432" t="n">
        <v>0</v>
      </c>
      <c r="R432" s="2" t="inlineStr"/>
    </row>
    <row r="433" ht="15" customHeight="1">
      <c r="A433" t="inlineStr">
        <is>
          <t>A 55716-2023</t>
        </is>
      </c>
      <c r="B433" s="1" t="n">
        <v>45232</v>
      </c>
      <c r="C433" s="1" t="n">
        <v>45912</v>
      </c>
      <c r="D433" t="inlineStr">
        <is>
          <t>KALMAR LÄN</t>
        </is>
      </c>
      <c r="E433" t="inlineStr">
        <is>
          <t>VIMMERBY</t>
        </is>
      </c>
      <c r="G433" t="n">
        <v>2.3</v>
      </c>
      <c r="H433" t="n">
        <v>0</v>
      </c>
      <c r="I433" t="n">
        <v>0</v>
      </c>
      <c r="J433" t="n">
        <v>0</v>
      </c>
      <c r="K433" t="n">
        <v>0</v>
      </c>
      <c r="L433" t="n">
        <v>0</v>
      </c>
      <c r="M433" t="n">
        <v>0</v>
      </c>
      <c r="N433" t="n">
        <v>0</v>
      </c>
      <c r="O433" t="n">
        <v>0</v>
      </c>
      <c r="P433" t="n">
        <v>0</v>
      </c>
      <c r="Q433" t="n">
        <v>0</v>
      </c>
      <c r="R433" s="2" t="inlineStr"/>
    </row>
    <row r="434" ht="15" customHeight="1">
      <c r="A434" t="inlineStr">
        <is>
          <t>A 50085-2023</t>
        </is>
      </c>
      <c r="B434" s="1" t="n">
        <v>45215.5959375</v>
      </c>
      <c r="C434" s="1" t="n">
        <v>45912</v>
      </c>
      <c r="D434" t="inlineStr">
        <is>
          <t>KALMAR LÄN</t>
        </is>
      </c>
      <c r="E434" t="inlineStr">
        <is>
          <t>VIMMERBY</t>
        </is>
      </c>
      <c r="G434" t="n">
        <v>1.1</v>
      </c>
      <c r="H434" t="n">
        <v>0</v>
      </c>
      <c r="I434" t="n">
        <v>0</v>
      </c>
      <c r="J434" t="n">
        <v>0</v>
      </c>
      <c r="K434" t="n">
        <v>0</v>
      </c>
      <c r="L434" t="n">
        <v>0</v>
      </c>
      <c r="M434" t="n">
        <v>0</v>
      </c>
      <c r="N434" t="n">
        <v>0</v>
      </c>
      <c r="O434" t="n">
        <v>0</v>
      </c>
      <c r="P434" t="n">
        <v>0</v>
      </c>
      <c r="Q434" t="n">
        <v>0</v>
      </c>
      <c r="R434" s="2" t="inlineStr"/>
    </row>
    <row r="435" ht="15" customHeight="1">
      <c r="A435" t="inlineStr">
        <is>
          <t>A 50087-2023</t>
        </is>
      </c>
      <c r="B435" s="1" t="n">
        <v>45215.59743055556</v>
      </c>
      <c r="C435" s="1" t="n">
        <v>45912</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8167-2024</t>
        </is>
      </c>
      <c r="B436" s="1" t="n">
        <v>45351.6062962963</v>
      </c>
      <c r="C436" s="1" t="n">
        <v>45912</v>
      </c>
      <c r="D436" t="inlineStr">
        <is>
          <t>KALMAR LÄN</t>
        </is>
      </c>
      <c r="E436" t="inlineStr">
        <is>
          <t>VIMMERBY</t>
        </is>
      </c>
      <c r="G436" t="n">
        <v>3.8</v>
      </c>
      <c r="H436" t="n">
        <v>0</v>
      </c>
      <c r="I436" t="n">
        <v>0</v>
      </c>
      <c r="J436" t="n">
        <v>0</v>
      </c>
      <c r="K436" t="n">
        <v>0</v>
      </c>
      <c r="L436" t="n">
        <v>0</v>
      </c>
      <c r="M436" t="n">
        <v>0</v>
      </c>
      <c r="N436" t="n">
        <v>0</v>
      </c>
      <c r="O436" t="n">
        <v>0</v>
      </c>
      <c r="P436" t="n">
        <v>0</v>
      </c>
      <c r="Q436" t="n">
        <v>0</v>
      </c>
      <c r="R436" s="2" t="inlineStr"/>
    </row>
    <row r="437" ht="15" customHeight="1">
      <c r="A437" t="inlineStr">
        <is>
          <t>A 18329-2023</t>
        </is>
      </c>
      <c r="B437" s="1" t="n">
        <v>45041.63380787037</v>
      </c>
      <c r="C437" s="1" t="n">
        <v>45912</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13015-2023</t>
        </is>
      </c>
      <c r="B438" s="1" t="n">
        <v>45002</v>
      </c>
      <c r="C438" s="1" t="n">
        <v>45912</v>
      </c>
      <c r="D438" t="inlineStr">
        <is>
          <t>KALMAR LÄN</t>
        </is>
      </c>
      <c r="E438" t="inlineStr">
        <is>
          <t>VIMMERBY</t>
        </is>
      </c>
      <c r="G438" t="n">
        <v>3.2</v>
      </c>
      <c r="H438" t="n">
        <v>0</v>
      </c>
      <c r="I438" t="n">
        <v>0</v>
      </c>
      <c r="J438" t="n">
        <v>0</v>
      </c>
      <c r="K438" t="n">
        <v>0</v>
      </c>
      <c r="L438" t="n">
        <v>0</v>
      </c>
      <c r="M438" t="n">
        <v>0</v>
      </c>
      <c r="N438" t="n">
        <v>0</v>
      </c>
      <c r="O438" t="n">
        <v>0</v>
      </c>
      <c r="P438" t="n">
        <v>0</v>
      </c>
      <c r="Q438" t="n">
        <v>0</v>
      </c>
      <c r="R438" s="2" t="inlineStr"/>
    </row>
    <row r="439" ht="15" customHeight="1">
      <c r="A439" t="inlineStr">
        <is>
          <t>A 2604-2025</t>
        </is>
      </c>
      <c r="B439" s="1" t="n">
        <v>45674.74094907408</v>
      </c>
      <c r="C439" s="1" t="n">
        <v>45912</v>
      </c>
      <c r="D439" t="inlineStr">
        <is>
          <t>KALMAR LÄN</t>
        </is>
      </c>
      <c r="E439" t="inlineStr">
        <is>
          <t>VIMMERBY</t>
        </is>
      </c>
      <c r="G439" t="n">
        <v>7.6</v>
      </c>
      <c r="H439" t="n">
        <v>0</v>
      </c>
      <c r="I439" t="n">
        <v>0</v>
      </c>
      <c r="J439" t="n">
        <v>0</v>
      </c>
      <c r="K439" t="n">
        <v>0</v>
      </c>
      <c r="L439" t="n">
        <v>0</v>
      </c>
      <c r="M439" t="n">
        <v>0</v>
      </c>
      <c r="N439" t="n">
        <v>0</v>
      </c>
      <c r="O439" t="n">
        <v>0</v>
      </c>
      <c r="P439" t="n">
        <v>0</v>
      </c>
      <c r="Q439" t="n">
        <v>0</v>
      </c>
      <c r="R439" s="2" t="inlineStr"/>
    </row>
    <row r="440" ht="15" customHeight="1">
      <c r="A440" t="inlineStr">
        <is>
          <t>A 37192-2024</t>
        </is>
      </c>
      <c r="B440" s="1" t="n">
        <v>45539.66027777778</v>
      </c>
      <c r="C440" s="1" t="n">
        <v>45912</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29186-2024</t>
        </is>
      </c>
      <c r="B441" s="1" t="n">
        <v>45482.54844907407</v>
      </c>
      <c r="C441" s="1" t="n">
        <v>45912</v>
      </c>
      <c r="D441" t="inlineStr">
        <is>
          <t>KALMAR LÄN</t>
        </is>
      </c>
      <c r="E441" t="inlineStr">
        <is>
          <t>VIMMERBY</t>
        </is>
      </c>
      <c r="G441" t="n">
        <v>2.6</v>
      </c>
      <c r="H441" t="n">
        <v>0</v>
      </c>
      <c r="I441" t="n">
        <v>0</v>
      </c>
      <c r="J441" t="n">
        <v>0</v>
      </c>
      <c r="K441" t="n">
        <v>0</v>
      </c>
      <c r="L441" t="n">
        <v>0</v>
      </c>
      <c r="M441" t="n">
        <v>0</v>
      </c>
      <c r="N441" t="n">
        <v>0</v>
      </c>
      <c r="O441" t="n">
        <v>0</v>
      </c>
      <c r="P441" t="n">
        <v>0</v>
      </c>
      <c r="Q441" t="n">
        <v>0</v>
      </c>
      <c r="R441" s="2" t="inlineStr"/>
    </row>
    <row r="442" ht="15" customHeight="1">
      <c r="A442" t="inlineStr">
        <is>
          <t>A 50993-2022</t>
        </is>
      </c>
      <c r="B442" s="1" t="n">
        <v>44867</v>
      </c>
      <c r="C442" s="1" t="n">
        <v>45912</v>
      </c>
      <c r="D442" t="inlineStr">
        <is>
          <t>KALMAR LÄN</t>
        </is>
      </c>
      <c r="E442" t="inlineStr">
        <is>
          <t>VIMMERBY</t>
        </is>
      </c>
      <c r="G442" t="n">
        <v>1.7</v>
      </c>
      <c r="H442" t="n">
        <v>0</v>
      </c>
      <c r="I442" t="n">
        <v>0</v>
      </c>
      <c r="J442" t="n">
        <v>0</v>
      </c>
      <c r="K442" t="n">
        <v>0</v>
      </c>
      <c r="L442" t="n">
        <v>0</v>
      </c>
      <c r="M442" t="n">
        <v>0</v>
      </c>
      <c r="N442" t="n">
        <v>0</v>
      </c>
      <c r="O442" t="n">
        <v>0</v>
      </c>
      <c r="P442" t="n">
        <v>0</v>
      </c>
      <c r="Q442" t="n">
        <v>0</v>
      </c>
      <c r="R442" s="2" t="inlineStr"/>
    </row>
    <row r="443" ht="15" customHeight="1">
      <c r="A443" t="inlineStr">
        <is>
          <t>A 42429-2024</t>
        </is>
      </c>
      <c r="B443" s="1" t="n">
        <v>45565.40657407408</v>
      </c>
      <c r="C443" s="1" t="n">
        <v>45912</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29180-2024</t>
        </is>
      </c>
      <c r="B444" s="1" t="n">
        <v>45482.54108796296</v>
      </c>
      <c r="C444" s="1" t="n">
        <v>45912</v>
      </c>
      <c r="D444" t="inlineStr">
        <is>
          <t>KALMAR LÄN</t>
        </is>
      </c>
      <c r="E444" t="inlineStr">
        <is>
          <t>VIMMERBY</t>
        </is>
      </c>
      <c r="G444" t="n">
        <v>3.8</v>
      </c>
      <c r="H444" t="n">
        <v>0</v>
      </c>
      <c r="I444" t="n">
        <v>0</v>
      </c>
      <c r="J444" t="n">
        <v>0</v>
      </c>
      <c r="K444" t="n">
        <v>0</v>
      </c>
      <c r="L444" t="n">
        <v>0</v>
      </c>
      <c r="M444" t="n">
        <v>0</v>
      </c>
      <c r="N444" t="n">
        <v>0</v>
      </c>
      <c r="O444" t="n">
        <v>0</v>
      </c>
      <c r="P444" t="n">
        <v>0</v>
      </c>
      <c r="Q444" t="n">
        <v>0</v>
      </c>
      <c r="R444" s="2" t="inlineStr"/>
    </row>
    <row r="445" ht="15" customHeight="1">
      <c r="A445" t="inlineStr">
        <is>
          <t>A 54787-2023</t>
        </is>
      </c>
      <c r="B445" s="1" t="n">
        <v>45236</v>
      </c>
      <c r="C445" s="1" t="n">
        <v>45912</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32614-2023</t>
        </is>
      </c>
      <c r="B446" s="1" t="n">
        <v>45121</v>
      </c>
      <c r="C446" s="1" t="n">
        <v>45912</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45846-2023</t>
        </is>
      </c>
      <c r="B447" s="1" t="n">
        <v>45195.58452546296</v>
      </c>
      <c r="C447" s="1" t="n">
        <v>45912</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6850-2023</t>
        </is>
      </c>
      <c r="B448" s="1" t="n">
        <v>44967.44255787037</v>
      </c>
      <c r="C448" s="1" t="n">
        <v>45912</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58750-2022</t>
        </is>
      </c>
      <c r="B449" s="1" t="n">
        <v>44903.33363425926</v>
      </c>
      <c r="C449" s="1" t="n">
        <v>45912</v>
      </c>
      <c r="D449" t="inlineStr">
        <is>
          <t>KALMAR LÄN</t>
        </is>
      </c>
      <c r="E449" t="inlineStr">
        <is>
          <t>VIMMERBY</t>
        </is>
      </c>
      <c r="G449" t="n">
        <v>3.3</v>
      </c>
      <c r="H449" t="n">
        <v>0</v>
      </c>
      <c r="I449" t="n">
        <v>0</v>
      </c>
      <c r="J449" t="n">
        <v>0</v>
      </c>
      <c r="K449" t="n">
        <v>0</v>
      </c>
      <c r="L449" t="n">
        <v>0</v>
      </c>
      <c r="M449" t="n">
        <v>0</v>
      </c>
      <c r="N449" t="n">
        <v>0</v>
      </c>
      <c r="O449" t="n">
        <v>0</v>
      </c>
      <c r="P449" t="n">
        <v>0</v>
      </c>
      <c r="Q449" t="n">
        <v>0</v>
      </c>
      <c r="R449" s="2" t="inlineStr"/>
    </row>
    <row r="450" ht="15" customHeight="1">
      <c r="A450" t="inlineStr">
        <is>
          <t>A 16020-2023</t>
        </is>
      </c>
      <c r="B450" s="1" t="n">
        <v>45026.82216435186</v>
      </c>
      <c r="C450" s="1" t="n">
        <v>45912</v>
      </c>
      <c r="D450" t="inlineStr">
        <is>
          <t>KALMAR LÄN</t>
        </is>
      </c>
      <c r="E450" t="inlineStr">
        <is>
          <t>VIMMERBY</t>
        </is>
      </c>
      <c r="G450" t="n">
        <v>1.1</v>
      </c>
      <c r="H450" t="n">
        <v>0</v>
      </c>
      <c r="I450" t="n">
        <v>0</v>
      </c>
      <c r="J450" t="n">
        <v>0</v>
      </c>
      <c r="K450" t="n">
        <v>0</v>
      </c>
      <c r="L450" t="n">
        <v>0</v>
      </c>
      <c r="M450" t="n">
        <v>0</v>
      </c>
      <c r="N450" t="n">
        <v>0</v>
      </c>
      <c r="O450" t="n">
        <v>0</v>
      </c>
      <c r="P450" t="n">
        <v>0</v>
      </c>
      <c r="Q450" t="n">
        <v>0</v>
      </c>
      <c r="R450" s="2" t="inlineStr"/>
    </row>
    <row r="451" ht="15" customHeight="1">
      <c r="A451" t="inlineStr">
        <is>
          <t>A 41158-2023</t>
        </is>
      </c>
      <c r="B451" s="1" t="n">
        <v>45174.31395833333</v>
      </c>
      <c r="C451" s="1" t="n">
        <v>45912</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27718-2025</t>
        </is>
      </c>
      <c r="B452" s="1" t="n">
        <v>45814.38221064815</v>
      </c>
      <c r="C452" s="1" t="n">
        <v>45912</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2510-2023</t>
        </is>
      </c>
      <c r="B453" s="1" t="n">
        <v>44943.57309027778</v>
      </c>
      <c r="C453" s="1" t="n">
        <v>45912</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27719-2025</t>
        </is>
      </c>
      <c r="B454" s="1" t="n">
        <v>45814.3865625</v>
      </c>
      <c r="C454" s="1" t="n">
        <v>45912</v>
      </c>
      <c r="D454" t="inlineStr">
        <is>
          <t>KALMAR LÄN</t>
        </is>
      </c>
      <c r="E454" t="inlineStr">
        <is>
          <t>VIMMERBY</t>
        </is>
      </c>
      <c r="G454" t="n">
        <v>2</v>
      </c>
      <c r="H454" t="n">
        <v>0</v>
      </c>
      <c r="I454" t="n">
        <v>0</v>
      </c>
      <c r="J454" t="n">
        <v>0</v>
      </c>
      <c r="K454" t="n">
        <v>0</v>
      </c>
      <c r="L454" t="n">
        <v>0</v>
      </c>
      <c r="M454" t="n">
        <v>0</v>
      </c>
      <c r="N454" t="n">
        <v>0</v>
      </c>
      <c r="O454" t="n">
        <v>0</v>
      </c>
      <c r="P454" t="n">
        <v>0</v>
      </c>
      <c r="Q454" t="n">
        <v>0</v>
      </c>
      <c r="R454" s="2" t="inlineStr"/>
    </row>
    <row r="455" ht="15" customHeight="1">
      <c r="A455" t="inlineStr">
        <is>
          <t>A 61820-2023</t>
        </is>
      </c>
      <c r="B455" s="1" t="n">
        <v>45266.32614583334</v>
      </c>
      <c r="C455" s="1" t="n">
        <v>45912</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3269-2024</t>
        </is>
      </c>
      <c r="B456" s="1" t="n">
        <v>45317.40372685185</v>
      </c>
      <c r="C456" s="1" t="n">
        <v>45912</v>
      </c>
      <c r="D456" t="inlineStr">
        <is>
          <t>KALMAR LÄN</t>
        </is>
      </c>
      <c r="E456" t="inlineStr">
        <is>
          <t>VIMMERBY</t>
        </is>
      </c>
      <c r="F456" t="inlineStr">
        <is>
          <t>Övriga Aktiebolag</t>
        </is>
      </c>
      <c r="G456" t="n">
        <v>1.7</v>
      </c>
      <c r="H456" t="n">
        <v>0</v>
      </c>
      <c r="I456" t="n">
        <v>0</v>
      </c>
      <c r="J456" t="n">
        <v>0</v>
      </c>
      <c r="K456" t="n">
        <v>0</v>
      </c>
      <c r="L456" t="n">
        <v>0</v>
      </c>
      <c r="M456" t="n">
        <v>0</v>
      </c>
      <c r="N456" t="n">
        <v>0</v>
      </c>
      <c r="O456" t="n">
        <v>0</v>
      </c>
      <c r="P456" t="n">
        <v>0</v>
      </c>
      <c r="Q456" t="n">
        <v>0</v>
      </c>
      <c r="R456" s="2" t="inlineStr"/>
    </row>
    <row r="457" ht="15" customHeight="1">
      <c r="A457" t="inlineStr">
        <is>
          <t>A 28286-2025</t>
        </is>
      </c>
      <c r="B457" s="1" t="n">
        <v>45818.58993055556</v>
      </c>
      <c r="C457" s="1" t="n">
        <v>45912</v>
      </c>
      <c r="D457" t="inlineStr">
        <is>
          <t>KALMAR LÄN</t>
        </is>
      </c>
      <c r="E457" t="inlineStr">
        <is>
          <t>VIMMERBY</t>
        </is>
      </c>
      <c r="F457" t="inlineStr">
        <is>
          <t>Sveaskog</t>
        </is>
      </c>
      <c r="G457" t="n">
        <v>8</v>
      </c>
      <c r="H457" t="n">
        <v>0</v>
      </c>
      <c r="I457" t="n">
        <v>0</v>
      </c>
      <c r="J457" t="n">
        <v>0</v>
      </c>
      <c r="K457" t="n">
        <v>0</v>
      </c>
      <c r="L457" t="n">
        <v>0</v>
      </c>
      <c r="M457" t="n">
        <v>0</v>
      </c>
      <c r="N457" t="n">
        <v>0</v>
      </c>
      <c r="O457" t="n">
        <v>0</v>
      </c>
      <c r="P457" t="n">
        <v>0</v>
      </c>
      <c r="Q457" t="n">
        <v>0</v>
      </c>
      <c r="R457" s="2" t="inlineStr"/>
    </row>
    <row r="458" ht="15" customHeight="1">
      <c r="A458" t="inlineStr">
        <is>
          <t>A 48120-2022</t>
        </is>
      </c>
      <c r="B458" s="1" t="n">
        <v>44857.65989583333</v>
      </c>
      <c r="C458" s="1" t="n">
        <v>45912</v>
      </c>
      <c r="D458" t="inlineStr">
        <is>
          <t>KALMAR LÄN</t>
        </is>
      </c>
      <c r="E458" t="inlineStr">
        <is>
          <t>VIMMERBY</t>
        </is>
      </c>
      <c r="G458" t="n">
        <v>1.7</v>
      </c>
      <c r="H458" t="n">
        <v>0</v>
      </c>
      <c r="I458" t="n">
        <v>0</v>
      </c>
      <c r="J458" t="n">
        <v>0</v>
      </c>
      <c r="K458" t="n">
        <v>0</v>
      </c>
      <c r="L458" t="n">
        <v>0</v>
      </c>
      <c r="M458" t="n">
        <v>0</v>
      </c>
      <c r="N458" t="n">
        <v>0</v>
      </c>
      <c r="O458" t="n">
        <v>0</v>
      </c>
      <c r="P458" t="n">
        <v>0</v>
      </c>
      <c r="Q458" t="n">
        <v>0</v>
      </c>
      <c r="R458" s="2" t="inlineStr"/>
    </row>
    <row r="459" ht="15" customHeight="1">
      <c r="A459" t="inlineStr">
        <is>
          <t>A 28282-2025</t>
        </is>
      </c>
      <c r="B459" s="1" t="n">
        <v>45818.58769675926</v>
      </c>
      <c r="C459" s="1" t="n">
        <v>45912</v>
      </c>
      <c r="D459" t="inlineStr">
        <is>
          <t>KALMAR LÄN</t>
        </is>
      </c>
      <c r="E459" t="inlineStr">
        <is>
          <t>VIMMERBY</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28294-2025</t>
        </is>
      </c>
      <c r="B460" s="1" t="n">
        <v>45818.595625</v>
      </c>
      <c r="C460" s="1" t="n">
        <v>45912</v>
      </c>
      <c r="D460" t="inlineStr">
        <is>
          <t>KALMAR LÄN</t>
        </is>
      </c>
      <c r="E460" t="inlineStr">
        <is>
          <t>VIMMERBY</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28290-2025</t>
        </is>
      </c>
      <c r="B461" s="1" t="n">
        <v>45818.59261574074</v>
      </c>
      <c r="C461" s="1" t="n">
        <v>45912</v>
      </c>
      <c r="D461" t="inlineStr">
        <is>
          <t>KALMAR LÄN</t>
        </is>
      </c>
      <c r="E461" t="inlineStr">
        <is>
          <t>VIMMERBY</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6368-2023</t>
        </is>
      </c>
      <c r="B462" s="1" t="n">
        <v>44965</v>
      </c>
      <c r="C462" s="1" t="n">
        <v>45912</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9416-2024</t>
        </is>
      </c>
      <c r="B463" s="1" t="n">
        <v>45359.44837962963</v>
      </c>
      <c r="C463" s="1" t="n">
        <v>45912</v>
      </c>
      <c r="D463" t="inlineStr">
        <is>
          <t>KALMAR LÄN</t>
        </is>
      </c>
      <c r="E463" t="inlineStr">
        <is>
          <t>VIMMERBY</t>
        </is>
      </c>
      <c r="G463" t="n">
        <v>3.2</v>
      </c>
      <c r="H463" t="n">
        <v>0</v>
      </c>
      <c r="I463" t="n">
        <v>0</v>
      </c>
      <c r="J463" t="n">
        <v>0</v>
      </c>
      <c r="K463" t="n">
        <v>0</v>
      </c>
      <c r="L463" t="n">
        <v>0</v>
      </c>
      <c r="M463" t="n">
        <v>0</v>
      </c>
      <c r="N463" t="n">
        <v>0</v>
      </c>
      <c r="O463" t="n">
        <v>0</v>
      </c>
      <c r="P463" t="n">
        <v>0</v>
      </c>
      <c r="Q463" t="n">
        <v>0</v>
      </c>
      <c r="R463" s="2" t="inlineStr"/>
    </row>
    <row r="464" ht="15" customHeight="1">
      <c r="A464" t="inlineStr">
        <is>
          <t>A 28280-2025</t>
        </is>
      </c>
      <c r="B464" s="1" t="n">
        <v>45818.5862037037</v>
      </c>
      <c r="C464" s="1" t="n">
        <v>45912</v>
      </c>
      <c r="D464" t="inlineStr">
        <is>
          <t>KALMAR LÄN</t>
        </is>
      </c>
      <c r="E464" t="inlineStr">
        <is>
          <t>VIMMERBY</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2797-2023</t>
        </is>
      </c>
      <c r="B465" s="1" t="n">
        <v>44944.71386574074</v>
      </c>
      <c r="C465" s="1" t="n">
        <v>45912</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2799-2023</t>
        </is>
      </c>
      <c r="B466" s="1" t="n">
        <v>44944.72100694444</v>
      </c>
      <c r="C466" s="1" t="n">
        <v>45912</v>
      </c>
      <c r="D466" t="inlineStr">
        <is>
          <t>KALMAR LÄN</t>
        </is>
      </c>
      <c r="E466" t="inlineStr">
        <is>
          <t>VIMMERBY</t>
        </is>
      </c>
      <c r="G466" t="n">
        <v>1.3</v>
      </c>
      <c r="H466" t="n">
        <v>0</v>
      </c>
      <c r="I466" t="n">
        <v>0</v>
      </c>
      <c r="J466" t="n">
        <v>0</v>
      </c>
      <c r="K466" t="n">
        <v>0</v>
      </c>
      <c r="L466" t="n">
        <v>0</v>
      </c>
      <c r="M466" t="n">
        <v>0</v>
      </c>
      <c r="N466" t="n">
        <v>0</v>
      </c>
      <c r="O466" t="n">
        <v>0</v>
      </c>
      <c r="P466" t="n">
        <v>0</v>
      </c>
      <c r="Q466" t="n">
        <v>0</v>
      </c>
      <c r="R466" s="2" t="inlineStr"/>
    </row>
    <row r="467" ht="15" customHeight="1">
      <c r="A467" t="inlineStr">
        <is>
          <t>A 45560-2021</t>
        </is>
      </c>
      <c r="B467" s="1" t="n">
        <v>44440</v>
      </c>
      <c r="C467" s="1" t="n">
        <v>45912</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25987-2024</t>
        </is>
      </c>
      <c r="B468" s="1" t="n">
        <v>45467.74417824074</v>
      </c>
      <c r="C468" s="1" t="n">
        <v>45912</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22194-2024</t>
        </is>
      </c>
      <c r="B469" s="1" t="n">
        <v>45446.36482638889</v>
      </c>
      <c r="C469" s="1" t="n">
        <v>45912</v>
      </c>
      <c r="D469" t="inlineStr">
        <is>
          <t>KALMAR LÄN</t>
        </is>
      </c>
      <c r="E469" t="inlineStr">
        <is>
          <t>VIMMERBY</t>
        </is>
      </c>
      <c r="F469" t="inlineStr">
        <is>
          <t>Sveaskog</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28620-2025</t>
        </is>
      </c>
      <c r="B470" s="1" t="n">
        <v>45819.61060185185</v>
      </c>
      <c r="C470" s="1" t="n">
        <v>45912</v>
      </c>
      <c r="D470" t="inlineStr">
        <is>
          <t>KALMAR LÄN</t>
        </is>
      </c>
      <c r="E470" t="inlineStr">
        <is>
          <t>VIMMERBY</t>
        </is>
      </c>
      <c r="G470" t="n">
        <v>5.6</v>
      </c>
      <c r="H470" t="n">
        <v>0</v>
      </c>
      <c r="I470" t="n">
        <v>0</v>
      </c>
      <c r="J470" t="n">
        <v>0</v>
      </c>
      <c r="K470" t="n">
        <v>0</v>
      </c>
      <c r="L470" t="n">
        <v>0</v>
      </c>
      <c r="M470" t="n">
        <v>0</v>
      </c>
      <c r="N470" t="n">
        <v>0</v>
      </c>
      <c r="O470" t="n">
        <v>0</v>
      </c>
      <c r="P470" t="n">
        <v>0</v>
      </c>
      <c r="Q470" t="n">
        <v>0</v>
      </c>
      <c r="R470" s="2" t="inlineStr"/>
    </row>
    <row r="471" ht="15" customHeight="1">
      <c r="A471" t="inlineStr">
        <is>
          <t>A 40256-2024</t>
        </is>
      </c>
      <c r="B471" s="1" t="n">
        <v>45554.62944444444</v>
      </c>
      <c r="C471" s="1" t="n">
        <v>45912</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45912</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58104-2024</t>
        </is>
      </c>
      <c r="B473" s="1" t="n">
        <v>45632.37459490741</v>
      </c>
      <c r="C473" s="1" t="n">
        <v>45912</v>
      </c>
      <c r="D473" t="inlineStr">
        <is>
          <t>KALMAR LÄN</t>
        </is>
      </c>
      <c r="E473" t="inlineStr">
        <is>
          <t>VIMMERBY</t>
        </is>
      </c>
      <c r="G473" t="n">
        <v>5</v>
      </c>
      <c r="H473" t="n">
        <v>0</v>
      </c>
      <c r="I473" t="n">
        <v>0</v>
      </c>
      <c r="J473" t="n">
        <v>0</v>
      </c>
      <c r="K473" t="n">
        <v>0</v>
      </c>
      <c r="L473" t="n">
        <v>0</v>
      </c>
      <c r="M473" t="n">
        <v>0</v>
      </c>
      <c r="N473" t="n">
        <v>0</v>
      </c>
      <c r="O473" t="n">
        <v>0</v>
      </c>
      <c r="P473" t="n">
        <v>0</v>
      </c>
      <c r="Q473" t="n">
        <v>0</v>
      </c>
      <c r="R473" s="2" t="inlineStr"/>
    </row>
    <row r="474" ht="15" customHeight="1">
      <c r="A474" t="inlineStr">
        <is>
          <t>A 12630-2023</t>
        </is>
      </c>
      <c r="B474" s="1" t="n">
        <v>45000.47998842593</v>
      </c>
      <c r="C474" s="1" t="n">
        <v>45912</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36259-2022</t>
        </is>
      </c>
      <c r="B475" s="1" t="n">
        <v>44803.59118055556</v>
      </c>
      <c r="C475" s="1" t="n">
        <v>45912</v>
      </c>
      <c r="D475" t="inlineStr">
        <is>
          <t>KALMAR LÄN</t>
        </is>
      </c>
      <c r="E475" t="inlineStr">
        <is>
          <t>VIMMERBY</t>
        </is>
      </c>
      <c r="G475" t="n">
        <v>3.9</v>
      </c>
      <c r="H475" t="n">
        <v>0</v>
      </c>
      <c r="I475" t="n">
        <v>0</v>
      </c>
      <c r="J475" t="n">
        <v>0</v>
      </c>
      <c r="K475" t="n">
        <v>0</v>
      </c>
      <c r="L475" t="n">
        <v>0</v>
      </c>
      <c r="M475" t="n">
        <v>0</v>
      </c>
      <c r="N475" t="n">
        <v>0</v>
      </c>
      <c r="O475" t="n">
        <v>0</v>
      </c>
      <c r="P475" t="n">
        <v>0</v>
      </c>
      <c r="Q475" t="n">
        <v>0</v>
      </c>
      <c r="R475" s="2" t="inlineStr"/>
    </row>
    <row r="476" ht="15" customHeight="1">
      <c r="A476" t="inlineStr">
        <is>
          <t>A 43034-2024</t>
        </is>
      </c>
      <c r="B476" s="1" t="n">
        <v>45567.42011574074</v>
      </c>
      <c r="C476" s="1" t="n">
        <v>45912</v>
      </c>
      <c r="D476" t="inlineStr">
        <is>
          <t>KALMAR LÄN</t>
        </is>
      </c>
      <c r="E476" t="inlineStr">
        <is>
          <t>VIMMERBY</t>
        </is>
      </c>
      <c r="G476" t="n">
        <v>1.8</v>
      </c>
      <c r="H476" t="n">
        <v>0</v>
      </c>
      <c r="I476" t="n">
        <v>0</v>
      </c>
      <c r="J476" t="n">
        <v>0</v>
      </c>
      <c r="K476" t="n">
        <v>0</v>
      </c>
      <c r="L476" t="n">
        <v>0</v>
      </c>
      <c r="M476" t="n">
        <v>0</v>
      </c>
      <c r="N476" t="n">
        <v>0</v>
      </c>
      <c r="O476" t="n">
        <v>0</v>
      </c>
      <c r="P476" t="n">
        <v>0</v>
      </c>
      <c r="Q476" t="n">
        <v>0</v>
      </c>
      <c r="R476" s="2" t="inlineStr"/>
    </row>
    <row r="477" ht="15" customHeight="1">
      <c r="A477" t="inlineStr">
        <is>
          <t>A 3902-2022</t>
        </is>
      </c>
      <c r="B477" s="1" t="n">
        <v>44587.48847222222</v>
      </c>
      <c r="C477" s="1" t="n">
        <v>45912</v>
      </c>
      <c r="D477" t="inlineStr">
        <is>
          <t>KALMAR LÄN</t>
        </is>
      </c>
      <c r="E477" t="inlineStr">
        <is>
          <t>VIMMERBY</t>
        </is>
      </c>
      <c r="G477" t="n">
        <v>2.6</v>
      </c>
      <c r="H477" t="n">
        <v>0</v>
      </c>
      <c r="I477" t="n">
        <v>0</v>
      </c>
      <c r="J477" t="n">
        <v>0</v>
      </c>
      <c r="K477" t="n">
        <v>0</v>
      </c>
      <c r="L477" t="n">
        <v>0</v>
      </c>
      <c r="M477" t="n">
        <v>0</v>
      </c>
      <c r="N477" t="n">
        <v>0</v>
      </c>
      <c r="O477" t="n">
        <v>0</v>
      </c>
      <c r="P477" t="n">
        <v>0</v>
      </c>
      <c r="Q477" t="n">
        <v>0</v>
      </c>
      <c r="R477" s="2" t="inlineStr"/>
    </row>
    <row r="478" ht="15" customHeight="1">
      <c r="A478" t="inlineStr">
        <is>
          <t>A 28712-2025</t>
        </is>
      </c>
      <c r="B478" s="1" t="n">
        <v>45820.33708333333</v>
      </c>
      <c r="C478" s="1" t="n">
        <v>45912</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28714-2025</t>
        </is>
      </c>
      <c r="B479" s="1" t="n">
        <v>45820.34128472222</v>
      </c>
      <c r="C479" s="1" t="n">
        <v>45912</v>
      </c>
      <c r="D479" t="inlineStr">
        <is>
          <t>KALMAR LÄN</t>
        </is>
      </c>
      <c r="E479" t="inlineStr">
        <is>
          <t>VIMMERBY</t>
        </is>
      </c>
      <c r="G479" t="n">
        <v>1.8</v>
      </c>
      <c r="H479" t="n">
        <v>0</v>
      </c>
      <c r="I479" t="n">
        <v>0</v>
      </c>
      <c r="J479" t="n">
        <v>0</v>
      </c>
      <c r="K479" t="n">
        <v>0</v>
      </c>
      <c r="L479" t="n">
        <v>0</v>
      </c>
      <c r="M479" t="n">
        <v>0</v>
      </c>
      <c r="N479" t="n">
        <v>0</v>
      </c>
      <c r="O479" t="n">
        <v>0</v>
      </c>
      <c r="P479" t="n">
        <v>0</v>
      </c>
      <c r="Q479" t="n">
        <v>0</v>
      </c>
      <c r="R479" s="2" t="inlineStr"/>
    </row>
    <row r="480" ht="15" customHeight="1">
      <c r="A480" t="inlineStr">
        <is>
          <t>A 21109-2024</t>
        </is>
      </c>
      <c r="B480" s="1" t="n">
        <v>45440.28329861111</v>
      </c>
      <c r="C480" s="1" t="n">
        <v>45912</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30070-2023</t>
        </is>
      </c>
      <c r="B481" s="1" t="n">
        <v>45110.4275</v>
      </c>
      <c r="C481" s="1" t="n">
        <v>45912</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30634-2024</t>
        </is>
      </c>
      <c r="B482" s="1" t="n">
        <v>45495</v>
      </c>
      <c r="C482" s="1" t="n">
        <v>45912</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28713-2025</t>
        </is>
      </c>
      <c r="B483" s="1" t="n">
        <v>45820.33930555556</v>
      </c>
      <c r="C483" s="1" t="n">
        <v>45912</v>
      </c>
      <c r="D483" t="inlineStr">
        <is>
          <t>KALMAR LÄN</t>
        </is>
      </c>
      <c r="E483" t="inlineStr">
        <is>
          <t>VIMMERBY</t>
        </is>
      </c>
      <c r="G483" t="n">
        <v>2.3</v>
      </c>
      <c r="H483" t="n">
        <v>0</v>
      </c>
      <c r="I483" t="n">
        <v>0</v>
      </c>
      <c r="J483" t="n">
        <v>0</v>
      </c>
      <c r="K483" t="n">
        <v>0</v>
      </c>
      <c r="L483" t="n">
        <v>0</v>
      </c>
      <c r="M483" t="n">
        <v>0</v>
      </c>
      <c r="N483" t="n">
        <v>0</v>
      </c>
      <c r="O483" t="n">
        <v>0</v>
      </c>
      <c r="P483" t="n">
        <v>0</v>
      </c>
      <c r="Q483" t="n">
        <v>0</v>
      </c>
      <c r="R483" s="2" t="inlineStr"/>
    </row>
    <row r="484" ht="15" customHeight="1">
      <c r="A484" t="inlineStr">
        <is>
          <t>A 40260-2024</t>
        </is>
      </c>
      <c r="B484" s="1" t="n">
        <v>45554.63225694445</v>
      </c>
      <c r="C484" s="1" t="n">
        <v>45912</v>
      </c>
      <c r="D484" t="inlineStr">
        <is>
          <t>KALMAR LÄN</t>
        </is>
      </c>
      <c r="E484" t="inlineStr">
        <is>
          <t>VIMMERBY</t>
        </is>
      </c>
      <c r="G484" t="n">
        <v>1.2</v>
      </c>
      <c r="H484" t="n">
        <v>0</v>
      </c>
      <c r="I484" t="n">
        <v>0</v>
      </c>
      <c r="J484" t="n">
        <v>0</v>
      </c>
      <c r="K484" t="n">
        <v>0</v>
      </c>
      <c r="L484" t="n">
        <v>0</v>
      </c>
      <c r="M484" t="n">
        <v>0</v>
      </c>
      <c r="N484" t="n">
        <v>0</v>
      </c>
      <c r="O484" t="n">
        <v>0</v>
      </c>
      <c r="P484" t="n">
        <v>0</v>
      </c>
      <c r="Q484" t="n">
        <v>0</v>
      </c>
      <c r="R484" s="2" t="inlineStr"/>
    </row>
    <row r="485" ht="15" customHeight="1">
      <c r="A485" t="inlineStr">
        <is>
          <t>A 29726-2025</t>
        </is>
      </c>
      <c r="B485" s="1" t="n">
        <v>45825.57805555555</v>
      </c>
      <c r="C485" s="1" t="n">
        <v>45912</v>
      </c>
      <c r="D485" t="inlineStr">
        <is>
          <t>KALMAR LÄN</t>
        </is>
      </c>
      <c r="E485" t="inlineStr">
        <is>
          <t>VIMMERBY</t>
        </is>
      </c>
      <c r="G485" t="n">
        <v>2</v>
      </c>
      <c r="H485" t="n">
        <v>0</v>
      </c>
      <c r="I485" t="n">
        <v>0</v>
      </c>
      <c r="J485" t="n">
        <v>0</v>
      </c>
      <c r="K485" t="n">
        <v>0</v>
      </c>
      <c r="L485" t="n">
        <v>0</v>
      </c>
      <c r="M485" t="n">
        <v>0</v>
      </c>
      <c r="N485" t="n">
        <v>0</v>
      </c>
      <c r="O485" t="n">
        <v>0</v>
      </c>
      <c r="P485" t="n">
        <v>0</v>
      </c>
      <c r="Q485" t="n">
        <v>0</v>
      </c>
      <c r="R485" s="2" t="inlineStr"/>
    </row>
    <row r="486" ht="15" customHeight="1">
      <c r="A486" t="inlineStr">
        <is>
          <t>A 59943-2023</t>
        </is>
      </c>
      <c r="B486" s="1" t="n">
        <v>45257.67958333333</v>
      </c>
      <c r="C486" s="1" t="n">
        <v>45912</v>
      </c>
      <c r="D486" t="inlineStr">
        <is>
          <t>KALMAR LÄN</t>
        </is>
      </c>
      <c r="E486" t="inlineStr">
        <is>
          <t>VIMMERBY</t>
        </is>
      </c>
      <c r="G486" t="n">
        <v>6.4</v>
      </c>
      <c r="H486" t="n">
        <v>0</v>
      </c>
      <c r="I486" t="n">
        <v>0</v>
      </c>
      <c r="J486" t="n">
        <v>0</v>
      </c>
      <c r="K486" t="n">
        <v>0</v>
      </c>
      <c r="L486" t="n">
        <v>0</v>
      </c>
      <c r="M486" t="n">
        <v>0</v>
      </c>
      <c r="N486" t="n">
        <v>0</v>
      </c>
      <c r="O486" t="n">
        <v>0</v>
      </c>
      <c r="P486" t="n">
        <v>0</v>
      </c>
      <c r="Q486" t="n">
        <v>0</v>
      </c>
      <c r="R486" s="2" t="inlineStr"/>
    </row>
    <row r="487" ht="15" customHeight="1">
      <c r="A487" t="inlineStr">
        <is>
          <t>A 31209-2024</t>
        </is>
      </c>
      <c r="B487" s="1" t="n">
        <v>45503.5658912037</v>
      </c>
      <c r="C487" s="1" t="n">
        <v>45912</v>
      </c>
      <c r="D487" t="inlineStr">
        <is>
          <t>KALMAR LÄN</t>
        </is>
      </c>
      <c r="E487" t="inlineStr">
        <is>
          <t>VIMMERBY</t>
        </is>
      </c>
      <c r="G487" t="n">
        <v>1.7</v>
      </c>
      <c r="H487" t="n">
        <v>0</v>
      </c>
      <c r="I487" t="n">
        <v>0</v>
      </c>
      <c r="J487" t="n">
        <v>0</v>
      </c>
      <c r="K487" t="n">
        <v>0</v>
      </c>
      <c r="L487" t="n">
        <v>0</v>
      </c>
      <c r="M487" t="n">
        <v>0</v>
      </c>
      <c r="N487" t="n">
        <v>0</v>
      </c>
      <c r="O487" t="n">
        <v>0</v>
      </c>
      <c r="P487" t="n">
        <v>0</v>
      </c>
      <c r="Q487" t="n">
        <v>0</v>
      </c>
      <c r="R487" s="2" t="inlineStr"/>
    </row>
    <row r="488" ht="15" customHeight="1">
      <c r="A488" t="inlineStr">
        <is>
          <t>A 5527-2022</t>
        </is>
      </c>
      <c r="B488" s="1" t="n">
        <v>44595.583125</v>
      </c>
      <c r="C488" s="1" t="n">
        <v>45912</v>
      </c>
      <c r="D488" t="inlineStr">
        <is>
          <t>KALMAR LÄN</t>
        </is>
      </c>
      <c r="E488" t="inlineStr">
        <is>
          <t>VIMMERBY</t>
        </is>
      </c>
      <c r="G488" t="n">
        <v>3.6</v>
      </c>
      <c r="H488" t="n">
        <v>0</v>
      </c>
      <c r="I488" t="n">
        <v>0</v>
      </c>
      <c r="J488" t="n">
        <v>0</v>
      </c>
      <c r="K488" t="n">
        <v>0</v>
      </c>
      <c r="L488" t="n">
        <v>0</v>
      </c>
      <c r="M488" t="n">
        <v>0</v>
      </c>
      <c r="N488" t="n">
        <v>0</v>
      </c>
      <c r="O488" t="n">
        <v>0</v>
      </c>
      <c r="P488" t="n">
        <v>0</v>
      </c>
      <c r="Q488" t="n">
        <v>0</v>
      </c>
      <c r="R488" s="2" t="inlineStr"/>
    </row>
    <row r="489" ht="15" customHeight="1">
      <c r="A489" t="inlineStr">
        <is>
          <t>A 29737-2025</t>
        </is>
      </c>
      <c r="B489" s="1" t="n">
        <v>45825.58672453704</v>
      </c>
      <c r="C489" s="1" t="n">
        <v>45912</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12325-2023</t>
        </is>
      </c>
      <c r="B490" s="1" t="n">
        <v>44999.35858796296</v>
      </c>
      <c r="C490" s="1" t="n">
        <v>45912</v>
      </c>
      <c r="D490" t="inlineStr">
        <is>
          <t>KALMAR LÄN</t>
        </is>
      </c>
      <c r="E490" t="inlineStr">
        <is>
          <t>VIMMERBY</t>
        </is>
      </c>
      <c r="G490" t="n">
        <v>3.4</v>
      </c>
      <c r="H490" t="n">
        <v>0</v>
      </c>
      <c r="I490" t="n">
        <v>0</v>
      </c>
      <c r="J490" t="n">
        <v>0</v>
      </c>
      <c r="K490" t="n">
        <v>0</v>
      </c>
      <c r="L490" t="n">
        <v>0</v>
      </c>
      <c r="M490" t="n">
        <v>0</v>
      </c>
      <c r="N490" t="n">
        <v>0</v>
      </c>
      <c r="O490" t="n">
        <v>0</v>
      </c>
      <c r="P490" t="n">
        <v>0</v>
      </c>
      <c r="Q490" t="n">
        <v>0</v>
      </c>
      <c r="R490" s="2" t="inlineStr"/>
    </row>
    <row r="491" ht="15" customHeight="1">
      <c r="A491" t="inlineStr">
        <is>
          <t>A 4527-2023</t>
        </is>
      </c>
      <c r="B491" s="1" t="n">
        <v>44956</v>
      </c>
      <c r="C491" s="1" t="n">
        <v>45912</v>
      </c>
      <c r="D491" t="inlineStr">
        <is>
          <t>KALMAR LÄN</t>
        </is>
      </c>
      <c r="E491" t="inlineStr">
        <is>
          <t>VIMMERBY</t>
        </is>
      </c>
      <c r="F491" t="inlineStr">
        <is>
          <t>Kommuner</t>
        </is>
      </c>
      <c r="G491" t="n">
        <v>8.5</v>
      </c>
      <c r="H491" t="n">
        <v>0</v>
      </c>
      <c r="I491" t="n">
        <v>0</v>
      </c>
      <c r="J491" t="n">
        <v>0</v>
      </c>
      <c r="K491" t="n">
        <v>0</v>
      </c>
      <c r="L491" t="n">
        <v>0</v>
      </c>
      <c r="M491" t="n">
        <v>0</v>
      </c>
      <c r="N491" t="n">
        <v>0</v>
      </c>
      <c r="O491" t="n">
        <v>0</v>
      </c>
      <c r="P491" t="n">
        <v>0</v>
      </c>
      <c r="Q491" t="n">
        <v>0</v>
      </c>
      <c r="R491" s="2" t="inlineStr"/>
    </row>
    <row r="492" ht="15" customHeight="1">
      <c r="A492" t="inlineStr">
        <is>
          <t>A 12586-2021</t>
        </is>
      </c>
      <c r="B492" s="1" t="n">
        <v>44270.38002314815</v>
      </c>
      <c r="C492" s="1" t="n">
        <v>45912</v>
      </c>
      <c r="D492" t="inlineStr">
        <is>
          <t>KALMAR LÄN</t>
        </is>
      </c>
      <c r="E492" t="inlineStr">
        <is>
          <t>VIMMERBY</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1016-2024</t>
        </is>
      </c>
      <c r="B493" s="1" t="n">
        <v>45301</v>
      </c>
      <c r="C493" s="1" t="n">
        <v>45912</v>
      </c>
      <c r="D493" t="inlineStr">
        <is>
          <t>KALMAR LÄN</t>
        </is>
      </c>
      <c r="E493" t="inlineStr">
        <is>
          <t>VIMMERBY</t>
        </is>
      </c>
      <c r="G493" t="n">
        <v>1</v>
      </c>
      <c r="H493" t="n">
        <v>0</v>
      </c>
      <c r="I493" t="n">
        <v>0</v>
      </c>
      <c r="J493" t="n">
        <v>0</v>
      </c>
      <c r="K493" t="n">
        <v>0</v>
      </c>
      <c r="L493" t="n">
        <v>0</v>
      </c>
      <c r="M493" t="n">
        <v>0</v>
      </c>
      <c r="N493" t="n">
        <v>0</v>
      </c>
      <c r="O493" t="n">
        <v>0</v>
      </c>
      <c r="P493" t="n">
        <v>0</v>
      </c>
      <c r="Q493" t="n">
        <v>0</v>
      </c>
      <c r="R493" s="2" t="inlineStr"/>
    </row>
    <row r="494" ht="15" customHeight="1">
      <c r="A494" t="inlineStr">
        <is>
          <t>A 29727-2025</t>
        </is>
      </c>
      <c r="B494" s="1" t="n">
        <v>45825.5796875</v>
      </c>
      <c r="C494" s="1" t="n">
        <v>45912</v>
      </c>
      <c r="D494" t="inlineStr">
        <is>
          <t>KALMAR LÄN</t>
        </is>
      </c>
      <c r="E494" t="inlineStr">
        <is>
          <t>VIMMERBY</t>
        </is>
      </c>
      <c r="G494" t="n">
        <v>1.3</v>
      </c>
      <c r="H494" t="n">
        <v>0</v>
      </c>
      <c r="I494" t="n">
        <v>0</v>
      </c>
      <c r="J494" t="n">
        <v>0</v>
      </c>
      <c r="K494" t="n">
        <v>0</v>
      </c>
      <c r="L494" t="n">
        <v>0</v>
      </c>
      <c r="M494" t="n">
        <v>0</v>
      </c>
      <c r="N494" t="n">
        <v>0</v>
      </c>
      <c r="O494" t="n">
        <v>0</v>
      </c>
      <c r="P494" t="n">
        <v>0</v>
      </c>
      <c r="Q494" t="n">
        <v>0</v>
      </c>
      <c r="R494" s="2" t="inlineStr"/>
    </row>
    <row r="495" ht="15" customHeight="1">
      <c r="A495" t="inlineStr">
        <is>
          <t>A 5864-2022</t>
        </is>
      </c>
      <c r="B495" s="1" t="n">
        <v>44596</v>
      </c>
      <c r="C495" s="1" t="n">
        <v>45912</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29724-2025</t>
        </is>
      </c>
      <c r="B496" s="1" t="n">
        <v>45825.57680555555</v>
      </c>
      <c r="C496" s="1" t="n">
        <v>45912</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33681-2022</t>
        </is>
      </c>
      <c r="B497" s="1" t="n">
        <v>44789</v>
      </c>
      <c r="C497" s="1" t="n">
        <v>45912</v>
      </c>
      <c r="D497" t="inlineStr">
        <is>
          <t>KALMAR LÄN</t>
        </is>
      </c>
      <c r="E497" t="inlineStr">
        <is>
          <t>VIMMERBY</t>
        </is>
      </c>
      <c r="G497" t="n">
        <v>3.2</v>
      </c>
      <c r="H497" t="n">
        <v>0</v>
      </c>
      <c r="I497" t="n">
        <v>0</v>
      </c>
      <c r="J497" t="n">
        <v>0</v>
      </c>
      <c r="K497" t="n">
        <v>0</v>
      </c>
      <c r="L497" t="n">
        <v>0</v>
      </c>
      <c r="M497" t="n">
        <v>0</v>
      </c>
      <c r="N497" t="n">
        <v>0</v>
      </c>
      <c r="O497" t="n">
        <v>0</v>
      </c>
      <c r="P497" t="n">
        <v>0</v>
      </c>
      <c r="Q497" t="n">
        <v>0</v>
      </c>
      <c r="R497" s="2" t="inlineStr"/>
    </row>
    <row r="498" ht="15" customHeight="1">
      <c r="A498" t="inlineStr">
        <is>
          <t>A 30912-2023</t>
        </is>
      </c>
      <c r="B498" s="1" t="n">
        <v>45113.41633101852</v>
      </c>
      <c r="C498" s="1" t="n">
        <v>45912</v>
      </c>
      <c r="D498" t="inlineStr">
        <is>
          <t>KALMAR LÄN</t>
        </is>
      </c>
      <c r="E498" t="inlineStr">
        <is>
          <t>VIMMERBY</t>
        </is>
      </c>
      <c r="G498" t="n">
        <v>5</v>
      </c>
      <c r="H498" t="n">
        <v>0</v>
      </c>
      <c r="I498" t="n">
        <v>0</v>
      </c>
      <c r="J498" t="n">
        <v>0</v>
      </c>
      <c r="K498" t="n">
        <v>0</v>
      </c>
      <c r="L498" t="n">
        <v>0</v>
      </c>
      <c r="M498" t="n">
        <v>0</v>
      </c>
      <c r="N498" t="n">
        <v>0</v>
      </c>
      <c r="O498" t="n">
        <v>0</v>
      </c>
      <c r="P498" t="n">
        <v>0</v>
      </c>
      <c r="Q498" t="n">
        <v>0</v>
      </c>
      <c r="R498" s="2" t="inlineStr"/>
    </row>
    <row r="499" ht="15" customHeight="1">
      <c r="A499" t="inlineStr">
        <is>
          <t>A 1146-2025</t>
        </is>
      </c>
      <c r="B499" s="1" t="n">
        <v>45666</v>
      </c>
      <c r="C499" s="1" t="n">
        <v>45912</v>
      </c>
      <c r="D499" t="inlineStr">
        <is>
          <t>KALMAR LÄN</t>
        </is>
      </c>
      <c r="E499" t="inlineStr">
        <is>
          <t>VIMMERBY</t>
        </is>
      </c>
      <c r="G499" t="n">
        <v>4</v>
      </c>
      <c r="H499" t="n">
        <v>0</v>
      </c>
      <c r="I499" t="n">
        <v>0</v>
      </c>
      <c r="J499" t="n">
        <v>0</v>
      </c>
      <c r="K499" t="n">
        <v>0</v>
      </c>
      <c r="L499" t="n">
        <v>0</v>
      </c>
      <c r="M499" t="n">
        <v>0</v>
      </c>
      <c r="N499" t="n">
        <v>0</v>
      </c>
      <c r="O499" t="n">
        <v>0</v>
      </c>
      <c r="P499" t="n">
        <v>0</v>
      </c>
      <c r="Q499" t="n">
        <v>0</v>
      </c>
      <c r="R499" s="2" t="inlineStr"/>
    </row>
    <row r="500" ht="15" customHeight="1">
      <c r="A500" t="inlineStr">
        <is>
          <t>A 62023-2022</t>
        </is>
      </c>
      <c r="B500" s="1" t="n">
        <v>44918.50106481482</v>
      </c>
      <c r="C500" s="1" t="n">
        <v>45912</v>
      </c>
      <c r="D500" t="inlineStr">
        <is>
          <t>KALMAR LÄN</t>
        </is>
      </c>
      <c r="E500" t="inlineStr">
        <is>
          <t>VIMMERBY</t>
        </is>
      </c>
      <c r="G500" t="n">
        <v>0.3</v>
      </c>
      <c r="H500" t="n">
        <v>0</v>
      </c>
      <c r="I500" t="n">
        <v>0</v>
      </c>
      <c r="J500" t="n">
        <v>0</v>
      </c>
      <c r="K500" t="n">
        <v>0</v>
      </c>
      <c r="L500" t="n">
        <v>0</v>
      </c>
      <c r="M500" t="n">
        <v>0</v>
      </c>
      <c r="N500" t="n">
        <v>0</v>
      </c>
      <c r="O500" t="n">
        <v>0</v>
      </c>
      <c r="P500" t="n">
        <v>0</v>
      </c>
      <c r="Q500" t="n">
        <v>0</v>
      </c>
      <c r="R500" s="2" t="inlineStr"/>
    </row>
    <row r="501" ht="15" customHeight="1">
      <c r="A501" t="inlineStr">
        <is>
          <t>A 5074-2023</t>
        </is>
      </c>
      <c r="B501" s="1" t="n">
        <v>44958.61047453704</v>
      </c>
      <c r="C501" s="1" t="n">
        <v>45912</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51187-2023</t>
        </is>
      </c>
      <c r="B502" s="1" t="n">
        <v>45219.40528935185</v>
      </c>
      <c r="C502" s="1" t="n">
        <v>45912</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30293-2025</t>
        </is>
      </c>
      <c r="B503" s="1" t="n">
        <v>45827</v>
      </c>
      <c r="C503" s="1" t="n">
        <v>45912</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30290-2025</t>
        </is>
      </c>
      <c r="B504" s="1" t="n">
        <v>45827</v>
      </c>
      <c r="C504" s="1" t="n">
        <v>45912</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16119-2023</t>
        </is>
      </c>
      <c r="B505" s="1" t="n">
        <v>45027.59450231482</v>
      </c>
      <c r="C505" s="1" t="n">
        <v>45912</v>
      </c>
      <c r="D505" t="inlineStr">
        <is>
          <t>KALMAR LÄN</t>
        </is>
      </c>
      <c r="E505" t="inlineStr">
        <is>
          <t>VIMMERBY</t>
        </is>
      </c>
      <c r="F505" t="inlineStr">
        <is>
          <t>Kommuner</t>
        </is>
      </c>
      <c r="G505" t="n">
        <v>4.4</v>
      </c>
      <c r="H505" t="n">
        <v>0</v>
      </c>
      <c r="I505" t="n">
        <v>0</v>
      </c>
      <c r="J505" t="n">
        <v>0</v>
      </c>
      <c r="K505" t="n">
        <v>0</v>
      </c>
      <c r="L505" t="n">
        <v>0</v>
      </c>
      <c r="M505" t="n">
        <v>0</v>
      </c>
      <c r="N505" t="n">
        <v>0</v>
      </c>
      <c r="O505" t="n">
        <v>0</v>
      </c>
      <c r="P505" t="n">
        <v>0</v>
      </c>
      <c r="Q505" t="n">
        <v>0</v>
      </c>
      <c r="R505" s="2" t="inlineStr"/>
    </row>
    <row r="506" ht="15" customHeight="1">
      <c r="A506" t="inlineStr">
        <is>
          <t>A 15715-2022</t>
        </is>
      </c>
      <c r="B506" s="1" t="n">
        <v>44663</v>
      </c>
      <c r="C506" s="1" t="n">
        <v>45912</v>
      </c>
      <c r="D506" t="inlineStr">
        <is>
          <t>KALMAR LÄN</t>
        </is>
      </c>
      <c r="E506" t="inlineStr">
        <is>
          <t>VIMMERBY</t>
        </is>
      </c>
      <c r="G506" t="n">
        <v>2.3</v>
      </c>
      <c r="H506" t="n">
        <v>0</v>
      </c>
      <c r="I506" t="n">
        <v>0</v>
      </c>
      <c r="J506" t="n">
        <v>0</v>
      </c>
      <c r="K506" t="n">
        <v>0</v>
      </c>
      <c r="L506" t="n">
        <v>0</v>
      </c>
      <c r="M506" t="n">
        <v>0</v>
      </c>
      <c r="N506" t="n">
        <v>0</v>
      </c>
      <c r="O506" t="n">
        <v>0</v>
      </c>
      <c r="P506" t="n">
        <v>0</v>
      </c>
      <c r="Q506" t="n">
        <v>0</v>
      </c>
      <c r="R506" s="2" t="inlineStr"/>
    </row>
    <row r="507" ht="15" customHeight="1">
      <c r="A507" t="inlineStr">
        <is>
          <t>A 52327-2023</t>
        </is>
      </c>
      <c r="B507" s="1" t="n">
        <v>45224.6515162037</v>
      </c>
      <c r="C507" s="1" t="n">
        <v>45912</v>
      </c>
      <c r="D507" t="inlineStr">
        <is>
          <t>KALMAR LÄN</t>
        </is>
      </c>
      <c r="E507" t="inlineStr">
        <is>
          <t>VIMMERBY</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12075-2024</t>
        </is>
      </c>
      <c r="B508" s="1" t="n">
        <v>45377</v>
      </c>
      <c r="C508" s="1" t="n">
        <v>45912</v>
      </c>
      <c r="D508" t="inlineStr">
        <is>
          <t>KALMAR LÄN</t>
        </is>
      </c>
      <c r="E508" t="inlineStr">
        <is>
          <t>VIMMERBY</t>
        </is>
      </c>
      <c r="G508" t="n">
        <v>3.7</v>
      </c>
      <c r="H508" t="n">
        <v>0</v>
      </c>
      <c r="I508" t="n">
        <v>0</v>
      </c>
      <c r="J508" t="n">
        <v>0</v>
      </c>
      <c r="K508" t="n">
        <v>0</v>
      </c>
      <c r="L508" t="n">
        <v>0</v>
      </c>
      <c r="M508" t="n">
        <v>0</v>
      </c>
      <c r="N508" t="n">
        <v>0</v>
      </c>
      <c r="O508" t="n">
        <v>0</v>
      </c>
      <c r="P508" t="n">
        <v>0</v>
      </c>
      <c r="Q508" t="n">
        <v>0</v>
      </c>
      <c r="R508" s="2" t="inlineStr"/>
    </row>
    <row r="509" ht="15" customHeight="1">
      <c r="A509" t="inlineStr">
        <is>
          <t>A 29348-2023</t>
        </is>
      </c>
      <c r="B509" s="1" t="n">
        <v>45106.25025462963</v>
      </c>
      <c r="C509" s="1" t="n">
        <v>45912</v>
      </c>
      <c r="D509" t="inlineStr">
        <is>
          <t>KALMAR LÄN</t>
        </is>
      </c>
      <c r="E509" t="inlineStr">
        <is>
          <t>VIMMERBY</t>
        </is>
      </c>
      <c r="G509" t="n">
        <v>2.4</v>
      </c>
      <c r="H509" t="n">
        <v>0</v>
      </c>
      <c r="I509" t="n">
        <v>0</v>
      </c>
      <c r="J509" t="n">
        <v>0</v>
      </c>
      <c r="K509" t="n">
        <v>0</v>
      </c>
      <c r="L509" t="n">
        <v>0</v>
      </c>
      <c r="M509" t="n">
        <v>0</v>
      </c>
      <c r="N509" t="n">
        <v>0</v>
      </c>
      <c r="O509" t="n">
        <v>0</v>
      </c>
      <c r="P509" t="n">
        <v>0</v>
      </c>
      <c r="Q509" t="n">
        <v>0</v>
      </c>
      <c r="R509" s="2" t="inlineStr"/>
    </row>
    <row r="510" ht="15" customHeight="1">
      <c r="A510" t="inlineStr">
        <is>
          <t>A 36600-2025</t>
        </is>
      </c>
      <c r="B510" s="1" t="n">
        <v>45870.51958333333</v>
      </c>
      <c r="C510" s="1" t="n">
        <v>45912</v>
      </c>
      <c r="D510" t="inlineStr">
        <is>
          <t>KALMAR LÄN</t>
        </is>
      </c>
      <c r="E510" t="inlineStr">
        <is>
          <t>VIMMERBY</t>
        </is>
      </c>
      <c r="G510" t="n">
        <v>2</v>
      </c>
      <c r="H510" t="n">
        <v>0</v>
      </c>
      <c r="I510" t="n">
        <v>0</v>
      </c>
      <c r="J510" t="n">
        <v>0</v>
      </c>
      <c r="K510" t="n">
        <v>0</v>
      </c>
      <c r="L510" t="n">
        <v>0</v>
      </c>
      <c r="M510" t="n">
        <v>0</v>
      </c>
      <c r="N510" t="n">
        <v>0</v>
      </c>
      <c r="O510" t="n">
        <v>0</v>
      </c>
      <c r="P510" t="n">
        <v>0</v>
      </c>
      <c r="Q510" t="n">
        <v>0</v>
      </c>
      <c r="R510" s="2" t="inlineStr"/>
    </row>
    <row r="511" ht="15" customHeight="1">
      <c r="A511" t="inlineStr">
        <is>
          <t>A 36598-2025</t>
        </is>
      </c>
      <c r="B511" s="1" t="n">
        <v>45870.51708333333</v>
      </c>
      <c r="C511" s="1" t="n">
        <v>45912</v>
      </c>
      <c r="D511" t="inlineStr">
        <is>
          <t>KALMAR LÄN</t>
        </is>
      </c>
      <c r="E511" t="inlineStr">
        <is>
          <t>VIMMERBY</t>
        </is>
      </c>
      <c r="G511" t="n">
        <v>3.7</v>
      </c>
      <c r="H511" t="n">
        <v>0</v>
      </c>
      <c r="I511" t="n">
        <v>0</v>
      </c>
      <c r="J511" t="n">
        <v>0</v>
      </c>
      <c r="K511" t="n">
        <v>0</v>
      </c>
      <c r="L511" t="n">
        <v>0</v>
      </c>
      <c r="M511" t="n">
        <v>0</v>
      </c>
      <c r="N511" t="n">
        <v>0</v>
      </c>
      <c r="O511" t="n">
        <v>0</v>
      </c>
      <c r="P511" t="n">
        <v>0</v>
      </c>
      <c r="Q511" t="n">
        <v>0</v>
      </c>
      <c r="R511" s="2" t="inlineStr"/>
    </row>
    <row r="512" ht="15" customHeight="1">
      <c r="A512" t="inlineStr">
        <is>
          <t>A 36601-2025</t>
        </is>
      </c>
      <c r="B512" s="1" t="n">
        <v>45870.52005787037</v>
      </c>
      <c r="C512" s="1" t="n">
        <v>45912</v>
      </c>
      <c r="D512" t="inlineStr">
        <is>
          <t>KALMAR LÄN</t>
        </is>
      </c>
      <c r="E512" t="inlineStr">
        <is>
          <t>VIMMERBY</t>
        </is>
      </c>
      <c r="G512" t="n">
        <v>0.5</v>
      </c>
      <c r="H512" t="n">
        <v>0</v>
      </c>
      <c r="I512" t="n">
        <v>0</v>
      </c>
      <c r="J512" t="n">
        <v>0</v>
      </c>
      <c r="K512" t="n">
        <v>0</v>
      </c>
      <c r="L512" t="n">
        <v>0</v>
      </c>
      <c r="M512" t="n">
        <v>0</v>
      </c>
      <c r="N512" t="n">
        <v>0</v>
      </c>
      <c r="O512" t="n">
        <v>0</v>
      </c>
      <c r="P512" t="n">
        <v>0</v>
      </c>
      <c r="Q512" t="n">
        <v>0</v>
      </c>
      <c r="R512" s="2" t="inlineStr"/>
    </row>
    <row r="513" ht="15" customHeight="1">
      <c r="A513" t="inlineStr">
        <is>
          <t>A 36603-2025</t>
        </is>
      </c>
      <c r="B513" s="1" t="n">
        <v>45870.52142361111</v>
      </c>
      <c r="C513" s="1" t="n">
        <v>45912</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30850-2025</t>
        </is>
      </c>
      <c r="B514" s="1" t="n">
        <v>45831</v>
      </c>
      <c r="C514" s="1" t="n">
        <v>45912</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31340-2023</t>
        </is>
      </c>
      <c r="B515" s="1" t="n">
        <v>45114.47895833333</v>
      </c>
      <c r="C515" s="1" t="n">
        <v>45912</v>
      </c>
      <c r="D515" t="inlineStr">
        <is>
          <t>KALMAR LÄN</t>
        </is>
      </c>
      <c r="E515" t="inlineStr">
        <is>
          <t>VIMMERBY</t>
        </is>
      </c>
      <c r="G515" t="n">
        <v>1.8</v>
      </c>
      <c r="H515" t="n">
        <v>0</v>
      </c>
      <c r="I515" t="n">
        <v>0</v>
      </c>
      <c r="J515" t="n">
        <v>0</v>
      </c>
      <c r="K515" t="n">
        <v>0</v>
      </c>
      <c r="L515" t="n">
        <v>0</v>
      </c>
      <c r="M515" t="n">
        <v>0</v>
      </c>
      <c r="N515" t="n">
        <v>0</v>
      </c>
      <c r="O515" t="n">
        <v>0</v>
      </c>
      <c r="P515" t="n">
        <v>0</v>
      </c>
      <c r="Q515" t="n">
        <v>0</v>
      </c>
      <c r="R515" s="2" t="inlineStr"/>
    </row>
    <row r="516" ht="15" customHeight="1">
      <c r="A516" t="inlineStr">
        <is>
          <t>A 43093-2024</t>
        </is>
      </c>
      <c r="B516" s="1" t="n">
        <v>45567</v>
      </c>
      <c r="C516" s="1" t="n">
        <v>45912</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56022-2024</t>
        </is>
      </c>
      <c r="B517" s="1" t="n">
        <v>45623.95947916667</v>
      </c>
      <c r="C517" s="1" t="n">
        <v>45912</v>
      </c>
      <c r="D517" t="inlineStr">
        <is>
          <t>KALMAR LÄN</t>
        </is>
      </c>
      <c r="E517" t="inlineStr">
        <is>
          <t>VIMMERBY</t>
        </is>
      </c>
      <c r="G517" t="n">
        <v>0.3</v>
      </c>
      <c r="H517" t="n">
        <v>0</v>
      </c>
      <c r="I517" t="n">
        <v>0</v>
      </c>
      <c r="J517" t="n">
        <v>0</v>
      </c>
      <c r="K517" t="n">
        <v>0</v>
      </c>
      <c r="L517" t="n">
        <v>0</v>
      </c>
      <c r="M517" t="n">
        <v>0</v>
      </c>
      <c r="N517" t="n">
        <v>0</v>
      </c>
      <c r="O517" t="n">
        <v>0</v>
      </c>
      <c r="P517" t="n">
        <v>0</v>
      </c>
      <c r="Q517" t="n">
        <v>0</v>
      </c>
      <c r="R517" s="2" t="inlineStr"/>
    </row>
    <row r="518" ht="15" customHeight="1">
      <c r="A518" t="inlineStr">
        <is>
          <t>A 18330-2023</t>
        </is>
      </c>
      <c r="B518" s="1" t="n">
        <v>45041</v>
      </c>
      <c r="C518" s="1" t="n">
        <v>45912</v>
      </c>
      <c r="D518" t="inlineStr">
        <is>
          <t>KALMAR LÄN</t>
        </is>
      </c>
      <c r="E518" t="inlineStr">
        <is>
          <t>VIMMERBY</t>
        </is>
      </c>
      <c r="G518" t="n">
        <v>1.7</v>
      </c>
      <c r="H518" t="n">
        <v>0</v>
      </c>
      <c r="I518" t="n">
        <v>0</v>
      </c>
      <c r="J518" t="n">
        <v>0</v>
      </c>
      <c r="K518" t="n">
        <v>0</v>
      </c>
      <c r="L518" t="n">
        <v>0</v>
      </c>
      <c r="M518" t="n">
        <v>0</v>
      </c>
      <c r="N518" t="n">
        <v>0</v>
      </c>
      <c r="O518" t="n">
        <v>0</v>
      </c>
      <c r="P518" t="n">
        <v>0</v>
      </c>
      <c r="Q518" t="n">
        <v>0</v>
      </c>
      <c r="R518" s="2" t="inlineStr"/>
    </row>
    <row r="519" ht="15" customHeight="1">
      <c r="A519" t="inlineStr">
        <is>
          <t>A 36602-2025</t>
        </is>
      </c>
      <c r="B519" s="1" t="n">
        <v>45870.52111111111</v>
      </c>
      <c r="C519" s="1" t="n">
        <v>45912</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37079-2025</t>
        </is>
      </c>
      <c r="B520" s="1" t="n">
        <v>45875.42716435185</v>
      </c>
      <c r="C520" s="1" t="n">
        <v>45912</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36934-2025</t>
        </is>
      </c>
      <c r="B521" s="1" t="n">
        <v>45874.57109953704</v>
      </c>
      <c r="C521" s="1" t="n">
        <v>45912</v>
      </c>
      <c r="D521" t="inlineStr">
        <is>
          <t>KALMAR LÄN</t>
        </is>
      </c>
      <c r="E521" t="inlineStr">
        <is>
          <t>VIMMERBY</t>
        </is>
      </c>
      <c r="G521" t="n">
        <v>4.2</v>
      </c>
      <c r="H521" t="n">
        <v>0</v>
      </c>
      <c r="I521" t="n">
        <v>0</v>
      </c>
      <c r="J521" t="n">
        <v>0</v>
      </c>
      <c r="K521" t="n">
        <v>0</v>
      </c>
      <c r="L521" t="n">
        <v>0</v>
      </c>
      <c r="M521" t="n">
        <v>0</v>
      </c>
      <c r="N521" t="n">
        <v>0</v>
      </c>
      <c r="O521" t="n">
        <v>0</v>
      </c>
      <c r="P521" t="n">
        <v>0</v>
      </c>
      <c r="Q521" t="n">
        <v>0</v>
      </c>
      <c r="R521" s="2" t="inlineStr"/>
    </row>
    <row r="522" ht="15" customHeight="1">
      <c r="A522" t="inlineStr">
        <is>
          <t>A 20126-2024</t>
        </is>
      </c>
      <c r="B522" s="1" t="n">
        <v>45434.55471064815</v>
      </c>
      <c r="C522" s="1" t="n">
        <v>45912</v>
      </c>
      <c r="D522" t="inlineStr">
        <is>
          <t>KALMAR LÄN</t>
        </is>
      </c>
      <c r="E522" t="inlineStr">
        <is>
          <t>VIMMERBY</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20136-2024</t>
        </is>
      </c>
      <c r="B523" s="1" t="n">
        <v>45434.56291666667</v>
      </c>
      <c r="C523" s="1" t="n">
        <v>45912</v>
      </c>
      <c r="D523" t="inlineStr">
        <is>
          <t>KALMAR LÄN</t>
        </is>
      </c>
      <c r="E523" t="inlineStr">
        <is>
          <t>VIMMERBY</t>
        </is>
      </c>
      <c r="F523" t="inlineStr">
        <is>
          <t>Sveaskog</t>
        </is>
      </c>
      <c r="G523" t="n">
        <v>8.4</v>
      </c>
      <c r="H523" t="n">
        <v>0</v>
      </c>
      <c r="I523" t="n">
        <v>0</v>
      </c>
      <c r="J523" t="n">
        <v>0</v>
      </c>
      <c r="K523" t="n">
        <v>0</v>
      </c>
      <c r="L523" t="n">
        <v>0</v>
      </c>
      <c r="M523" t="n">
        <v>0</v>
      </c>
      <c r="N523" t="n">
        <v>0</v>
      </c>
      <c r="O523" t="n">
        <v>0</v>
      </c>
      <c r="P523" t="n">
        <v>0</v>
      </c>
      <c r="Q523" t="n">
        <v>0</v>
      </c>
      <c r="R523" s="2" t="inlineStr"/>
    </row>
    <row r="524" ht="15" customHeight="1">
      <c r="A524" t="inlineStr">
        <is>
          <t>A 37102-2025</t>
        </is>
      </c>
      <c r="B524" s="1" t="n">
        <v>45875.47454861111</v>
      </c>
      <c r="C524" s="1" t="n">
        <v>45912</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31552-2025</t>
        </is>
      </c>
      <c r="B525" s="1" t="n">
        <v>45833.64563657407</v>
      </c>
      <c r="C525" s="1" t="n">
        <v>45912</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31555-2025</t>
        </is>
      </c>
      <c r="B526" s="1" t="n">
        <v>45833.64814814815</v>
      </c>
      <c r="C526" s="1" t="n">
        <v>45912</v>
      </c>
      <c r="D526" t="inlineStr">
        <is>
          <t>KALMAR LÄN</t>
        </is>
      </c>
      <c r="E526" t="inlineStr">
        <is>
          <t>VIMMERBY</t>
        </is>
      </c>
      <c r="G526" t="n">
        <v>1.8</v>
      </c>
      <c r="H526" t="n">
        <v>0</v>
      </c>
      <c r="I526" t="n">
        <v>0</v>
      </c>
      <c r="J526" t="n">
        <v>0</v>
      </c>
      <c r="K526" t="n">
        <v>0</v>
      </c>
      <c r="L526" t="n">
        <v>0</v>
      </c>
      <c r="M526" t="n">
        <v>0</v>
      </c>
      <c r="N526" t="n">
        <v>0</v>
      </c>
      <c r="O526" t="n">
        <v>0</v>
      </c>
      <c r="P526" t="n">
        <v>0</v>
      </c>
      <c r="Q526" t="n">
        <v>0</v>
      </c>
      <c r="R526" s="2" t="inlineStr"/>
    </row>
    <row r="527" ht="15" customHeight="1">
      <c r="A527" t="inlineStr">
        <is>
          <t>A 46921-2023</t>
        </is>
      </c>
      <c r="B527" s="1" t="n">
        <v>45201.39996527778</v>
      </c>
      <c r="C527" s="1" t="n">
        <v>45912</v>
      </c>
      <c r="D527" t="inlineStr">
        <is>
          <t>KALMAR LÄN</t>
        </is>
      </c>
      <c r="E527" t="inlineStr">
        <is>
          <t>VIMMERBY</t>
        </is>
      </c>
      <c r="G527" t="n">
        <v>2.6</v>
      </c>
      <c r="H527" t="n">
        <v>0</v>
      </c>
      <c r="I527" t="n">
        <v>0</v>
      </c>
      <c r="J527" t="n">
        <v>0</v>
      </c>
      <c r="K527" t="n">
        <v>0</v>
      </c>
      <c r="L527" t="n">
        <v>0</v>
      </c>
      <c r="M527" t="n">
        <v>0</v>
      </c>
      <c r="N527" t="n">
        <v>0</v>
      </c>
      <c r="O527" t="n">
        <v>0</v>
      </c>
      <c r="P527" t="n">
        <v>0</v>
      </c>
      <c r="Q527" t="n">
        <v>0</v>
      </c>
      <c r="R527" s="2" t="inlineStr"/>
    </row>
    <row r="528" ht="15" customHeight="1">
      <c r="A528" t="inlineStr">
        <is>
          <t>A 7758-2024</t>
        </is>
      </c>
      <c r="B528" s="1" t="n">
        <v>45349.54434027777</v>
      </c>
      <c r="C528" s="1" t="n">
        <v>45912</v>
      </c>
      <c r="D528" t="inlineStr">
        <is>
          <t>KALMAR LÄN</t>
        </is>
      </c>
      <c r="E528" t="inlineStr">
        <is>
          <t>VIMMERBY</t>
        </is>
      </c>
      <c r="G528" t="n">
        <v>3.5</v>
      </c>
      <c r="H528" t="n">
        <v>0</v>
      </c>
      <c r="I528" t="n">
        <v>0</v>
      </c>
      <c r="J528" t="n">
        <v>0</v>
      </c>
      <c r="K528" t="n">
        <v>0</v>
      </c>
      <c r="L528" t="n">
        <v>0</v>
      </c>
      <c r="M528" t="n">
        <v>0</v>
      </c>
      <c r="N528" t="n">
        <v>0</v>
      </c>
      <c r="O528" t="n">
        <v>0</v>
      </c>
      <c r="P528" t="n">
        <v>0</v>
      </c>
      <c r="Q528" t="n">
        <v>0</v>
      </c>
      <c r="R528" s="2" t="inlineStr"/>
    </row>
    <row r="529" ht="15" customHeight="1">
      <c r="A529" t="inlineStr">
        <is>
          <t>A 30971-2025</t>
        </is>
      </c>
      <c r="B529" s="1" t="n">
        <v>45832.46146990741</v>
      </c>
      <c r="C529" s="1" t="n">
        <v>45912</v>
      </c>
      <c r="D529" t="inlineStr">
        <is>
          <t>KALMAR LÄN</t>
        </is>
      </c>
      <c r="E529" t="inlineStr">
        <is>
          <t>VIMMERBY</t>
        </is>
      </c>
      <c r="G529" t="n">
        <v>1.2</v>
      </c>
      <c r="H529" t="n">
        <v>0</v>
      </c>
      <c r="I529" t="n">
        <v>0</v>
      </c>
      <c r="J529" t="n">
        <v>0</v>
      </c>
      <c r="K529" t="n">
        <v>0</v>
      </c>
      <c r="L529" t="n">
        <v>0</v>
      </c>
      <c r="M529" t="n">
        <v>0</v>
      </c>
      <c r="N529" t="n">
        <v>0</v>
      </c>
      <c r="O529" t="n">
        <v>0</v>
      </c>
      <c r="P529" t="n">
        <v>0</v>
      </c>
      <c r="Q529" t="n">
        <v>0</v>
      </c>
      <c r="R529" s="2" t="inlineStr"/>
    </row>
    <row r="530" ht="15" customHeight="1">
      <c r="A530" t="inlineStr">
        <is>
          <t>A 5701-2024</t>
        </is>
      </c>
      <c r="B530" s="1" t="n">
        <v>45334.78826388889</v>
      </c>
      <c r="C530" s="1" t="n">
        <v>45912</v>
      </c>
      <c r="D530" t="inlineStr">
        <is>
          <t>KALMAR LÄN</t>
        </is>
      </c>
      <c r="E530" t="inlineStr">
        <is>
          <t>VIMMERBY</t>
        </is>
      </c>
      <c r="G530" t="n">
        <v>2.3</v>
      </c>
      <c r="H530" t="n">
        <v>0</v>
      </c>
      <c r="I530" t="n">
        <v>0</v>
      </c>
      <c r="J530" t="n">
        <v>0</v>
      </c>
      <c r="K530" t="n">
        <v>0</v>
      </c>
      <c r="L530" t="n">
        <v>0</v>
      </c>
      <c r="M530" t="n">
        <v>0</v>
      </c>
      <c r="N530" t="n">
        <v>0</v>
      </c>
      <c r="O530" t="n">
        <v>0</v>
      </c>
      <c r="P530" t="n">
        <v>0</v>
      </c>
      <c r="Q530" t="n">
        <v>0</v>
      </c>
      <c r="R530" s="2" t="inlineStr"/>
    </row>
    <row r="531" ht="15" customHeight="1">
      <c r="A531" t="inlineStr">
        <is>
          <t>A 31405-2023</t>
        </is>
      </c>
      <c r="B531" s="1" t="n">
        <v>45114.58148148148</v>
      </c>
      <c r="C531" s="1" t="n">
        <v>45912</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31551-2025</t>
        </is>
      </c>
      <c r="B532" s="1" t="n">
        <v>45833.64237268519</v>
      </c>
      <c r="C532" s="1" t="n">
        <v>45912</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6355-2022</t>
        </is>
      </c>
      <c r="B533" s="1" t="n">
        <v>44600</v>
      </c>
      <c r="C533" s="1" t="n">
        <v>45912</v>
      </c>
      <c r="D533" t="inlineStr">
        <is>
          <t>KALMAR LÄN</t>
        </is>
      </c>
      <c r="E533" t="inlineStr">
        <is>
          <t>VIMMERBY</t>
        </is>
      </c>
      <c r="G533" t="n">
        <v>4.9</v>
      </c>
      <c r="H533" t="n">
        <v>0</v>
      </c>
      <c r="I533" t="n">
        <v>0</v>
      </c>
      <c r="J533" t="n">
        <v>0</v>
      </c>
      <c r="K533" t="n">
        <v>0</v>
      </c>
      <c r="L533" t="n">
        <v>0</v>
      </c>
      <c r="M533" t="n">
        <v>0</v>
      </c>
      <c r="N533" t="n">
        <v>0</v>
      </c>
      <c r="O533" t="n">
        <v>0</v>
      </c>
      <c r="P533" t="n">
        <v>0</v>
      </c>
      <c r="Q533" t="n">
        <v>0</v>
      </c>
      <c r="R533" s="2" t="inlineStr"/>
    </row>
    <row r="534" ht="15" customHeight="1">
      <c r="A534" t="inlineStr">
        <is>
          <t>A 25236-2023</t>
        </is>
      </c>
      <c r="B534" s="1" t="n">
        <v>45086.63334490741</v>
      </c>
      <c r="C534" s="1" t="n">
        <v>45912</v>
      </c>
      <c r="D534" t="inlineStr">
        <is>
          <t>KALMAR LÄN</t>
        </is>
      </c>
      <c r="E534" t="inlineStr">
        <is>
          <t>VIMMERBY</t>
        </is>
      </c>
      <c r="G534" t="n">
        <v>0.9</v>
      </c>
      <c r="H534" t="n">
        <v>0</v>
      </c>
      <c r="I534" t="n">
        <v>0</v>
      </c>
      <c r="J534" t="n">
        <v>0</v>
      </c>
      <c r="K534" t="n">
        <v>0</v>
      </c>
      <c r="L534" t="n">
        <v>0</v>
      </c>
      <c r="M534" t="n">
        <v>0</v>
      </c>
      <c r="N534" t="n">
        <v>0</v>
      </c>
      <c r="O534" t="n">
        <v>0</v>
      </c>
      <c r="P534" t="n">
        <v>0</v>
      </c>
      <c r="Q534" t="n">
        <v>0</v>
      </c>
      <c r="R534" s="2" t="inlineStr"/>
    </row>
    <row r="535" ht="15" customHeight="1">
      <c r="A535" t="inlineStr">
        <is>
          <t>A 37088-2025</t>
        </is>
      </c>
      <c r="B535" s="1" t="n">
        <v>45875.45716435185</v>
      </c>
      <c r="C535" s="1" t="n">
        <v>45912</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46225-2024</t>
        </is>
      </c>
      <c r="B536" s="1" t="n">
        <v>45581.57333333333</v>
      </c>
      <c r="C536" s="1" t="n">
        <v>45912</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30882-2025</t>
        </is>
      </c>
      <c r="B537" s="1" t="n">
        <v>45832.34540509259</v>
      </c>
      <c r="C537" s="1" t="n">
        <v>45912</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9418-2024</t>
        </is>
      </c>
      <c r="B538" s="1" t="n">
        <v>45359.45038194444</v>
      </c>
      <c r="C538" s="1" t="n">
        <v>45912</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31872-2025</t>
        </is>
      </c>
      <c r="B539" s="1" t="n">
        <v>45834.65040509259</v>
      </c>
      <c r="C539" s="1" t="n">
        <v>45912</v>
      </c>
      <c r="D539" t="inlineStr">
        <is>
          <t>KALMAR LÄN</t>
        </is>
      </c>
      <c r="E539" t="inlineStr">
        <is>
          <t>VIMMERBY</t>
        </is>
      </c>
      <c r="F539" t="inlineStr">
        <is>
          <t>Sveaskog</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6082-2022</t>
        </is>
      </c>
      <c r="B540" s="1" t="n">
        <v>44599</v>
      </c>
      <c r="C540" s="1" t="n">
        <v>45912</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57091-2022</t>
        </is>
      </c>
      <c r="B541" s="1" t="n">
        <v>44895.46524305556</v>
      </c>
      <c r="C541" s="1" t="n">
        <v>45912</v>
      </c>
      <c r="D541" t="inlineStr">
        <is>
          <t>KALMAR LÄN</t>
        </is>
      </c>
      <c r="E541" t="inlineStr">
        <is>
          <t>VIMMERBY</t>
        </is>
      </c>
      <c r="G541" t="n">
        <v>2.6</v>
      </c>
      <c r="H541" t="n">
        <v>0</v>
      </c>
      <c r="I541" t="n">
        <v>0</v>
      </c>
      <c r="J541" t="n">
        <v>0</v>
      </c>
      <c r="K541" t="n">
        <v>0</v>
      </c>
      <c r="L541" t="n">
        <v>0</v>
      </c>
      <c r="M541" t="n">
        <v>0</v>
      </c>
      <c r="N541" t="n">
        <v>0</v>
      </c>
      <c r="O541" t="n">
        <v>0</v>
      </c>
      <c r="P541" t="n">
        <v>0</v>
      </c>
      <c r="Q541" t="n">
        <v>0</v>
      </c>
      <c r="R541" s="2" t="inlineStr"/>
    </row>
    <row r="542" ht="15" customHeight="1">
      <c r="A542" t="inlineStr">
        <is>
          <t>A 3816-2022</t>
        </is>
      </c>
      <c r="B542" s="1" t="n">
        <v>44587</v>
      </c>
      <c r="C542" s="1" t="n">
        <v>45912</v>
      </c>
      <c r="D542" t="inlineStr">
        <is>
          <t>KALMAR LÄN</t>
        </is>
      </c>
      <c r="E542" t="inlineStr">
        <is>
          <t>VIMMERBY</t>
        </is>
      </c>
      <c r="G542" t="n">
        <v>1.2</v>
      </c>
      <c r="H542" t="n">
        <v>0</v>
      </c>
      <c r="I542" t="n">
        <v>0</v>
      </c>
      <c r="J542" t="n">
        <v>0</v>
      </c>
      <c r="K542" t="n">
        <v>0</v>
      </c>
      <c r="L542" t="n">
        <v>0</v>
      </c>
      <c r="M542" t="n">
        <v>0</v>
      </c>
      <c r="N542" t="n">
        <v>0</v>
      </c>
      <c r="O542" t="n">
        <v>0</v>
      </c>
      <c r="P542" t="n">
        <v>0</v>
      </c>
      <c r="Q542" t="n">
        <v>0</v>
      </c>
      <c r="R542" s="2" t="inlineStr"/>
    </row>
    <row r="543" ht="15" customHeight="1">
      <c r="A543" t="inlineStr">
        <is>
          <t>A 8559-2025</t>
        </is>
      </c>
      <c r="B543" s="1" t="n">
        <v>45709.62280092593</v>
      </c>
      <c r="C543" s="1" t="n">
        <v>45912</v>
      </c>
      <c r="D543" t="inlineStr">
        <is>
          <t>KALMAR LÄN</t>
        </is>
      </c>
      <c r="E543" t="inlineStr">
        <is>
          <t>VIMMERBY</t>
        </is>
      </c>
      <c r="G543" t="n">
        <v>8.9</v>
      </c>
      <c r="H543" t="n">
        <v>0</v>
      </c>
      <c r="I543" t="n">
        <v>0</v>
      </c>
      <c r="J543" t="n">
        <v>0</v>
      </c>
      <c r="K543" t="n">
        <v>0</v>
      </c>
      <c r="L543" t="n">
        <v>0</v>
      </c>
      <c r="M543" t="n">
        <v>0</v>
      </c>
      <c r="N543" t="n">
        <v>0</v>
      </c>
      <c r="O543" t="n">
        <v>0</v>
      </c>
      <c r="P543" t="n">
        <v>0</v>
      </c>
      <c r="Q543" t="n">
        <v>0</v>
      </c>
      <c r="R543" s="2" t="inlineStr"/>
    </row>
    <row r="544" ht="15" customHeight="1">
      <c r="A544" t="inlineStr">
        <is>
          <t>A 32064-2025</t>
        </is>
      </c>
      <c r="B544" s="1" t="n">
        <v>45835.44709490741</v>
      </c>
      <c r="C544" s="1" t="n">
        <v>45912</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32109-2025</t>
        </is>
      </c>
      <c r="B545" s="1" t="n">
        <v>45835.48267361111</v>
      </c>
      <c r="C545" s="1" t="n">
        <v>45912</v>
      </c>
      <c r="D545" t="inlineStr">
        <is>
          <t>KALMAR LÄN</t>
        </is>
      </c>
      <c r="E545" t="inlineStr">
        <is>
          <t>VIMMERBY</t>
        </is>
      </c>
      <c r="G545" t="n">
        <v>2.5</v>
      </c>
      <c r="H545" t="n">
        <v>0</v>
      </c>
      <c r="I545" t="n">
        <v>0</v>
      </c>
      <c r="J545" t="n">
        <v>0</v>
      </c>
      <c r="K545" t="n">
        <v>0</v>
      </c>
      <c r="L545" t="n">
        <v>0</v>
      </c>
      <c r="M545" t="n">
        <v>0</v>
      </c>
      <c r="N545" t="n">
        <v>0</v>
      </c>
      <c r="O545" t="n">
        <v>0</v>
      </c>
      <c r="P545" t="n">
        <v>0</v>
      </c>
      <c r="Q545" t="n">
        <v>0</v>
      </c>
      <c r="R545" s="2" t="inlineStr"/>
    </row>
    <row r="546" ht="15" customHeight="1">
      <c r="A546" t="inlineStr">
        <is>
          <t>A 32113-2025</t>
        </is>
      </c>
      <c r="B546" s="1" t="n">
        <v>45835.48445601852</v>
      </c>
      <c r="C546" s="1" t="n">
        <v>45912</v>
      </c>
      <c r="D546" t="inlineStr">
        <is>
          <t>KALMAR LÄN</t>
        </is>
      </c>
      <c r="E546" t="inlineStr">
        <is>
          <t>VIMMERBY</t>
        </is>
      </c>
      <c r="G546" t="n">
        <v>3.5</v>
      </c>
      <c r="H546" t="n">
        <v>0</v>
      </c>
      <c r="I546" t="n">
        <v>0</v>
      </c>
      <c r="J546" t="n">
        <v>0</v>
      </c>
      <c r="K546" t="n">
        <v>0</v>
      </c>
      <c r="L546" t="n">
        <v>0</v>
      </c>
      <c r="M546" t="n">
        <v>0</v>
      </c>
      <c r="N546" t="n">
        <v>0</v>
      </c>
      <c r="O546" t="n">
        <v>0</v>
      </c>
      <c r="P546" t="n">
        <v>0</v>
      </c>
      <c r="Q546" t="n">
        <v>0</v>
      </c>
      <c r="R546" s="2" t="inlineStr"/>
    </row>
    <row r="547" ht="15" customHeight="1">
      <c r="A547" t="inlineStr">
        <is>
          <t>A 32116-2025</t>
        </is>
      </c>
      <c r="B547" s="1" t="n">
        <v>45835.48862268519</v>
      </c>
      <c r="C547" s="1" t="n">
        <v>45912</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31870-2025</t>
        </is>
      </c>
      <c r="B548" s="1" t="n">
        <v>45834.64667824074</v>
      </c>
      <c r="C548" s="1" t="n">
        <v>45912</v>
      </c>
      <c r="D548" t="inlineStr">
        <is>
          <t>KALMAR LÄN</t>
        </is>
      </c>
      <c r="E548" t="inlineStr">
        <is>
          <t>VIMMERBY</t>
        </is>
      </c>
      <c r="F548" t="inlineStr">
        <is>
          <t>Sveaskog</t>
        </is>
      </c>
      <c r="G548" t="n">
        <v>3.5</v>
      </c>
      <c r="H548" t="n">
        <v>0</v>
      </c>
      <c r="I548" t="n">
        <v>0</v>
      </c>
      <c r="J548" t="n">
        <v>0</v>
      </c>
      <c r="K548" t="n">
        <v>0</v>
      </c>
      <c r="L548" t="n">
        <v>0</v>
      </c>
      <c r="M548" t="n">
        <v>0</v>
      </c>
      <c r="N548" t="n">
        <v>0</v>
      </c>
      <c r="O548" t="n">
        <v>0</v>
      </c>
      <c r="P548" t="n">
        <v>0</v>
      </c>
      <c r="Q548" t="n">
        <v>0</v>
      </c>
      <c r="R548" s="2" t="inlineStr"/>
    </row>
    <row r="549" ht="15" customHeight="1">
      <c r="A549" t="inlineStr">
        <is>
          <t>A 2801-2023</t>
        </is>
      </c>
      <c r="B549" s="1" t="n">
        <v>44944.73487268519</v>
      </c>
      <c r="C549" s="1" t="n">
        <v>45912</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43606-2024</t>
        </is>
      </c>
      <c r="B550" s="1" t="n">
        <v>45569.45017361111</v>
      </c>
      <c r="C550" s="1" t="n">
        <v>45912</v>
      </c>
      <c r="D550" t="inlineStr">
        <is>
          <t>KALMAR LÄN</t>
        </is>
      </c>
      <c r="E550" t="inlineStr">
        <is>
          <t>VIMMERBY</t>
        </is>
      </c>
      <c r="G550" t="n">
        <v>1</v>
      </c>
      <c r="H550" t="n">
        <v>0</v>
      </c>
      <c r="I550" t="n">
        <v>0</v>
      </c>
      <c r="J550" t="n">
        <v>0</v>
      </c>
      <c r="K550" t="n">
        <v>0</v>
      </c>
      <c r="L550" t="n">
        <v>0</v>
      </c>
      <c r="M550" t="n">
        <v>0</v>
      </c>
      <c r="N550" t="n">
        <v>0</v>
      </c>
      <c r="O550" t="n">
        <v>0</v>
      </c>
      <c r="P550" t="n">
        <v>0</v>
      </c>
      <c r="Q550" t="n">
        <v>0</v>
      </c>
      <c r="R550" s="2" t="inlineStr"/>
    </row>
    <row r="551" ht="15" customHeight="1">
      <c r="A551" t="inlineStr">
        <is>
          <t>A 43617-2024</t>
        </is>
      </c>
      <c r="B551" s="1" t="n">
        <v>45569.47494212963</v>
      </c>
      <c r="C551" s="1" t="n">
        <v>45912</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32065-2025</t>
        </is>
      </c>
      <c r="B552" s="1" t="n">
        <v>45835.44732638889</v>
      </c>
      <c r="C552" s="1" t="n">
        <v>45912</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47859-2024</t>
        </is>
      </c>
      <c r="B553" s="1" t="n">
        <v>45588.67070601852</v>
      </c>
      <c r="C553" s="1" t="n">
        <v>45912</v>
      </c>
      <c r="D553" t="inlineStr">
        <is>
          <t>KALMAR LÄN</t>
        </is>
      </c>
      <c r="E553" t="inlineStr">
        <is>
          <t>VIMMERBY</t>
        </is>
      </c>
      <c r="G553" t="n">
        <v>1.7</v>
      </c>
      <c r="H553" t="n">
        <v>0</v>
      </c>
      <c r="I553" t="n">
        <v>0</v>
      </c>
      <c r="J553" t="n">
        <v>0</v>
      </c>
      <c r="K553" t="n">
        <v>0</v>
      </c>
      <c r="L553" t="n">
        <v>0</v>
      </c>
      <c r="M553" t="n">
        <v>0</v>
      </c>
      <c r="N553" t="n">
        <v>0</v>
      </c>
      <c r="O553" t="n">
        <v>0</v>
      </c>
      <c r="P553" t="n">
        <v>0</v>
      </c>
      <c r="Q553" t="n">
        <v>0</v>
      </c>
      <c r="R553" s="2" t="inlineStr"/>
    </row>
    <row r="554" ht="15" customHeight="1">
      <c r="A554" t="inlineStr">
        <is>
          <t>A 31987-2025</t>
        </is>
      </c>
      <c r="B554" s="1" t="n">
        <v>45835.36229166666</v>
      </c>
      <c r="C554" s="1" t="n">
        <v>45912</v>
      </c>
      <c r="D554" t="inlineStr">
        <is>
          <t>KALMAR LÄN</t>
        </is>
      </c>
      <c r="E554" t="inlineStr">
        <is>
          <t>VIMMERBY</t>
        </is>
      </c>
      <c r="F554" t="inlineStr">
        <is>
          <t>Kyrkan</t>
        </is>
      </c>
      <c r="G554" t="n">
        <v>1.2</v>
      </c>
      <c r="H554" t="n">
        <v>0</v>
      </c>
      <c r="I554" t="n">
        <v>0</v>
      </c>
      <c r="J554" t="n">
        <v>0</v>
      </c>
      <c r="K554" t="n">
        <v>0</v>
      </c>
      <c r="L554" t="n">
        <v>0</v>
      </c>
      <c r="M554" t="n">
        <v>0</v>
      </c>
      <c r="N554" t="n">
        <v>0</v>
      </c>
      <c r="O554" t="n">
        <v>0</v>
      </c>
      <c r="P554" t="n">
        <v>0</v>
      </c>
      <c r="Q554" t="n">
        <v>0</v>
      </c>
      <c r="R554" s="2" t="inlineStr"/>
    </row>
    <row r="555" ht="15" customHeight="1">
      <c r="A555" t="inlineStr">
        <is>
          <t>A 32077-2025</t>
        </is>
      </c>
      <c r="B555" s="1" t="n">
        <v>45835.45099537037</v>
      </c>
      <c r="C555" s="1" t="n">
        <v>45912</v>
      </c>
      <c r="D555" t="inlineStr">
        <is>
          <t>KALMAR LÄN</t>
        </is>
      </c>
      <c r="E555" t="inlineStr">
        <is>
          <t>VIMMERBY</t>
        </is>
      </c>
      <c r="G555" t="n">
        <v>1.8</v>
      </c>
      <c r="H555" t="n">
        <v>0</v>
      </c>
      <c r="I555" t="n">
        <v>0</v>
      </c>
      <c r="J555" t="n">
        <v>0</v>
      </c>
      <c r="K555" t="n">
        <v>0</v>
      </c>
      <c r="L555" t="n">
        <v>0</v>
      </c>
      <c r="M555" t="n">
        <v>0</v>
      </c>
      <c r="N555" t="n">
        <v>0</v>
      </c>
      <c r="O555" t="n">
        <v>0</v>
      </c>
      <c r="P555" t="n">
        <v>0</v>
      </c>
      <c r="Q555" t="n">
        <v>0</v>
      </c>
      <c r="R555" s="2" t="inlineStr"/>
    </row>
    <row r="556" ht="15" customHeight="1">
      <c r="A556" t="inlineStr">
        <is>
          <t>A 32120-2025</t>
        </is>
      </c>
      <c r="B556" s="1" t="n">
        <v>45835.4924537037</v>
      </c>
      <c r="C556" s="1" t="n">
        <v>45912</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5146-2024</t>
        </is>
      </c>
      <c r="B557" s="1" t="n">
        <v>45330</v>
      </c>
      <c r="C557" s="1" t="n">
        <v>45912</v>
      </c>
      <c r="D557" t="inlineStr">
        <is>
          <t>KALMAR LÄN</t>
        </is>
      </c>
      <c r="E557" t="inlineStr">
        <is>
          <t>VIMMERBY</t>
        </is>
      </c>
      <c r="G557" t="n">
        <v>5.3</v>
      </c>
      <c r="H557" t="n">
        <v>0</v>
      </c>
      <c r="I557" t="n">
        <v>0</v>
      </c>
      <c r="J557" t="n">
        <v>0</v>
      </c>
      <c r="K557" t="n">
        <v>0</v>
      </c>
      <c r="L557" t="n">
        <v>0</v>
      </c>
      <c r="M557" t="n">
        <v>0</v>
      </c>
      <c r="N557" t="n">
        <v>0</v>
      </c>
      <c r="O557" t="n">
        <v>0</v>
      </c>
      <c r="P557" t="n">
        <v>0</v>
      </c>
      <c r="Q557" t="n">
        <v>0</v>
      </c>
      <c r="R557" s="2" t="inlineStr"/>
    </row>
    <row r="558" ht="15" customHeight="1">
      <c r="A558" t="inlineStr">
        <is>
          <t>A 5148-2024</t>
        </is>
      </c>
      <c r="B558" s="1" t="n">
        <v>45330</v>
      </c>
      <c r="C558" s="1" t="n">
        <v>45912</v>
      </c>
      <c r="D558" t="inlineStr">
        <is>
          <t>KALMAR LÄN</t>
        </is>
      </c>
      <c r="E558" t="inlineStr">
        <is>
          <t>VIMMERBY</t>
        </is>
      </c>
      <c r="G558" t="n">
        <v>5.6</v>
      </c>
      <c r="H558" t="n">
        <v>0</v>
      </c>
      <c r="I558" t="n">
        <v>0</v>
      </c>
      <c r="J558" t="n">
        <v>0</v>
      </c>
      <c r="K558" t="n">
        <v>0</v>
      </c>
      <c r="L558" t="n">
        <v>0</v>
      </c>
      <c r="M558" t="n">
        <v>0</v>
      </c>
      <c r="N558" t="n">
        <v>0</v>
      </c>
      <c r="O558" t="n">
        <v>0</v>
      </c>
      <c r="P558" t="n">
        <v>0</v>
      </c>
      <c r="Q558" t="n">
        <v>0</v>
      </c>
      <c r="R558" s="2" t="inlineStr"/>
    </row>
    <row r="559" ht="15" customHeight="1">
      <c r="A559" t="inlineStr">
        <is>
          <t>A 8540-2024</t>
        </is>
      </c>
      <c r="B559" s="1" t="n">
        <v>45355.54138888889</v>
      </c>
      <c r="C559" s="1" t="n">
        <v>45912</v>
      </c>
      <c r="D559" t="inlineStr">
        <is>
          <t>KALMAR LÄN</t>
        </is>
      </c>
      <c r="E559" t="inlineStr">
        <is>
          <t>VIMMERBY</t>
        </is>
      </c>
      <c r="G559" t="n">
        <v>1.9</v>
      </c>
      <c r="H559" t="n">
        <v>0</v>
      </c>
      <c r="I559" t="n">
        <v>0</v>
      </c>
      <c r="J559" t="n">
        <v>0</v>
      </c>
      <c r="K559" t="n">
        <v>0</v>
      </c>
      <c r="L559" t="n">
        <v>0</v>
      </c>
      <c r="M559" t="n">
        <v>0</v>
      </c>
      <c r="N559" t="n">
        <v>0</v>
      </c>
      <c r="O559" t="n">
        <v>0</v>
      </c>
      <c r="P559" t="n">
        <v>0</v>
      </c>
      <c r="Q559" t="n">
        <v>0</v>
      </c>
      <c r="R559" s="2" t="inlineStr"/>
    </row>
    <row r="560" ht="15" customHeight="1">
      <c r="A560" t="inlineStr">
        <is>
          <t>A 3331-2023</t>
        </is>
      </c>
      <c r="B560" s="1" t="n">
        <v>44949</v>
      </c>
      <c r="C560" s="1" t="n">
        <v>45912</v>
      </c>
      <c r="D560" t="inlineStr">
        <is>
          <t>KALMAR LÄN</t>
        </is>
      </c>
      <c r="E560" t="inlineStr">
        <is>
          <t>VIMMERBY</t>
        </is>
      </c>
      <c r="G560" t="n">
        <v>6.2</v>
      </c>
      <c r="H560" t="n">
        <v>0</v>
      </c>
      <c r="I560" t="n">
        <v>0</v>
      </c>
      <c r="J560" t="n">
        <v>0</v>
      </c>
      <c r="K560" t="n">
        <v>0</v>
      </c>
      <c r="L560" t="n">
        <v>0</v>
      </c>
      <c r="M560" t="n">
        <v>0</v>
      </c>
      <c r="N560" t="n">
        <v>0</v>
      </c>
      <c r="O560" t="n">
        <v>0</v>
      </c>
      <c r="P560" t="n">
        <v>0</v>
      </c>
      <c r="Q560" t="n">
        <v>0</v>
      </c>
      <c r="R560" s="2" t="inlineStr"/>
    </row>
    <row r="561" ht="15" customHeight="1">
      <c r="A561" t="inlineStr">
        <is>
          <t>A 31876-2025</t>
        </is>
      </c>
      <c r="B561" s="1" t="n">
        <v>45834.65197916667</v>
      </c>
      <c r="C561" s="1" t="n">
        <v>45912</v>
      </c>
      <c r="D561" t="inlineStr">
        <is>
          <t>KALMAR LÄN</t>
        </is>
      </c>
      <c r="E561" t="inlineStr">
        <is>
          <t>VIMMERBY</t>
        </is>
      </c>
      <c r="F561" t="inlineStr">
        <is>
          <t>Sveaskog</t>
        </is>
      </c>
      <c r="G561" t="n">
        <v>3.3</v>
      </c>
      <c r="H561" t="n">
        <v>0</v>
      </c>
      <c r="I561" t="n">
        <v>0</v>
      </c>
      <c r="J561" t="n">
        <v>0</v>
      </c>
      <c r="K561" t="n">
        <v>0</v>
      </c>
      <c r="L561" t="n">
        <v>0</v>
      </c>
      <c r="M561" t="n">
        <v>0</v>
      </c>
      <c r="N561" t="n">
        <v>0</v>
      </c>
      <c r="O561" t="n">
        <v>0</v>
      </c>
      <c r="P561" t="n">
        <v>0</v>
      </c>
      <c r="Q561" t="n">
        <v>0</v>
      </c>
      <c r="R561" s="2" t="inlineStr"/>
    </row>
    <row r="562" ht="15" customHeight="1">
      <c r="A562" t="inlineStr">
        <is>
          <t>A 598-2025</t>
        </is>
      </c>
      <c r="B562" s="1" t="n">
        <v>45660</v>
      </c>
      <c r="C562" s="1" t="n">
        <v>45912</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58278-2023</t>
        </is>
      </c>
      <c r="B563" s="1" t="n">
        <v>45250.5278587963</v>
      </c>
      <c r="C563" s="1" t="n">
        <v>45912</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22266-2023</t>
        </is>
      </c>
      <c r="B564" s="1" t="n">
        <v>45070</v>
      </c>
      <c r="C564" s="1" t="n">
        <v>45912</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52588-2023</t>
        </is>
      </c>
      <c r="B565" s="1" t="n">
        <v>45225.60192129629</v>
      </c>
      <c r="C565" s="1" t="n">
        <v>45912</v>
      </c>
      <c r="D565" t="inlineStr">
        <is>
          <t>KALMAR LÄN</t>
        </is>
      </c>
      <c r="E565" t="inlineStr">
        <is>
          <t>VIMMERBY</t>
        </is>
      </c>
      <c r="G565" t="n">
        <v>2.9</v>
      </c>
      <c r="H565" t="n">
        <v>0</v>
      </c>
      <c r="I565" t="n">
        <v>0</v>
      </c>
      <c r="J565" t="n">
        <v>0</v>
      </c>
      <c r="K565" t="n">
        <v>0</v>
      </c>
      <c r="L565" t="n">
        <v>0</v>
      </c>
      <c r="M565" t="n">
        <v>0</v>
      </c>
      <c r="N565" t="n">
        <v>0</v>
      </c>
      <c r="O565" t="n">
        <v>0</v>
      </c>
      <c r="P565" t="n">
        <v>0</v>
      </c>
      <c r="Q565" t="n">
        <v>0</v>
      </c>
      <c r="R565" s="2" t="inlineStr"/>
    </row>
    <row r="566" ht="15" customHeight="1">
      <c r="A566" t="inlineStr">
        <is>
          <t>A 25799-2023</t>
        </is>
      </c>
      <c r="B566" s="1" t="n">
        <v>45090</v>
      </c>
      <c r="C566" s="1" t="n">
        <v>45912</v>
      </c>
      <c r="D566" t="inlineStr">
        <is>
          <t>KALMAR LÄN</t>
        </is>
      </c>
      <c r="E566" t="inlineStr">
        <is>
          <t>VIMMERBY</t>
        </is>
      </c>
      <c r="G566" t="n">
        <v>7.7</v>
      </c>
      <c r="H566" t="n">
        <v>0</v>
      </c>
      <c r="I566" t="n">
        <v>0</v>
      </c>
      <c r="J566" t="n">
        <v>0</v>
      </c>
      <c r="K566" t="n">
        <v>0</v>
      </c>
      <c r="L566" t="n">
        <v>0</v>
      </c>
      <c r="M566" t="n">
        <v>0</v>
      </c>
      <c r="N566" t="n">
        <v>0</v>
      </c>
      <c r="O566" t="n">
        <v>0</v>
      </c>
      <c r="P566" t="n">
        <v>0</v>
      </c>
      <c r="Q566" t="n">
        <v>0</v>
      </c>
      <c r="R566" s="2" t="inlineStr"/>
    </row>
    <row r="567" ht="15" customHeight="1">
      <c r="A567" t="inlineStr">
        <is>
          <t>A 53083-2021</t>
        </is>
      </c>
      <c r="B567" s="1" t="n">
        <v>44467.83386574074</v>
      </c>
      <c r="C567" s="1" t="n">
        <v>45912</v>
      </c>
      <c r="D567" t="inlineStr">
        <is>
          <t>KALMAR LÄN</t>
        </is>
      </c>
      <c r="E567" t="inlineStr">
        <is>
          <t>VIMMERBY</t>
        </is>
      </c>
      <c r="G567" t="n">
        <v>6.8</v>
      </c>
      <c r="H567" t="n">
        <v>0</v>
      </c>
      <c r="I567" t="n">
        <v>0</v>
      </c>
      <c r="J567" t="n">
        <v>0</v>
      </c>
      <c r="K567" t="n">
        <v>0</v>
      </c>
      <c r="L567" t="n">
        <v>0</v>
      </c>
      <c r="M567" t="n">
        <v>0</v>
      </c>
      <c r="N567" t="n">
        <v>0</v>
      </c>
      <c r="O567" t="n">
        <v>0</v>
      </c>
      <c r="P567" t="n">
        <v>0</v>
      </c>
      <c r="Q567" t="n">
        <v>0</v>
      </c>
      <c r="R567" s="2" t="inlineStr"/>
    </row>
    <row r="568" ht="15" customHeight="1">
      <c r="A568" t="inlineStr">
        <is>
          <t>A 6802-2025</t>
        </is>
      </c>
      <c r="B568" s="1" t="n">
        <v>45700.68289351852</v>
      </c>
      <c r="C568" s="1" t="n">
        <v>45912</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71793-2021</t>
        </is>
      </c>
      <c r="B569" s="1" t="n">
        <v>44539</v>
      </c>
      <c r="C569" s="1" t="n">
        <v>45912</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24655-2021</t>
        </is>
      </c>
      <c r="B570" s="1" t="n">
        <v>44340</v>
      </c>
      <c r="C570" s="1" t="n">
        <v>45912</v>
      </c>
      <c r="D570" t="inlineStr">
        <is>
          <t>KALMAR LÄN</t>
        </is>
      </c>
      <c r="E570" t="inlineStr">
        <is>
          <t>VIMMERBY</t>
        </is>
      </c>
      <c r="G570" t="n">
        <v>14.9</v>
      </c>
      <c r="H570" t="n">
        <v>0</v>
      </c>
      <c r="I570" t="n">
        <v>0</v>
      </c>
      <c r="J570" t="n">
        <v>0</v>
      </c>
      <c r="K570" t="n">
        <v>0</v>
      </c>
      <c r="L570" t="n">
        <v>0</v>
      </c>
      <c r="M570" t="n">
        <v>0</v>
      </c>
      <c r="N570" t="n">
        <v>0</v>
      </c>
      <c r="O570" t="n">
        <v>0</v>
      </c>
      <c r="P570" t="n">
        <v>0</v>
      </c>
      <c r="Q570" t="n">
        <v>0</v>
      </c>
      <c r="R570" s="2" t="inlineStr"/>
    </row>
    <row r="571" ht="15" customHeight="1">
      <c r="A571" t="inlineStr">
        <is>
          <t>A 527-2024</t>
        </is>
      </c>
      <c r="B571" s="1" t="n">
        <v>45299.47513888889</v>
      </c>
      <c r="C571" s="1" t="n">
        <v>45912</v>
      </c>
      <c r="D571" t="inlineStr">
        <is>
          <t>KALMAR LÄN</t>
        </is>
      </c>
      <c r="E571" t="inlineStr">
        <is>
          <t>VIMMERBY</t>
        </is>
      </c>
      <c r="G571" t="n">
        <v>2.2</v>
      </c>
      <c r="H571" t="n">
        <v>0</v>
      </c>
      <c r="I571" t="n">
        <v>0</v>
      </c>
      <c r="J571" t="n">
        <v>0</v>
      </c>
      <c r="K571" t="n">
        <v>0</v>
      </c>
      <c r="L571" t="n">
        <v>0</v>
      </c>
      <c r="M571" t="n">
        <v>0</v>
      </c>
      <c r="N571" t="n">
        <v>0</v>
      </c>
      <c r="O571" t="n">
        <v>0</v>
      </c>
      <c r="P571" t="n">
        <v>0</v>
      </c>
      <c r="Q571" t="n">
        <v>0</v>
      </c>
      <c r="R571" s="2" t="inlineStr"/>
    </row>
    <row r="572" ht="15" customHeight="1">
      <c r="A572" t="inlineStr">
        <is>
          <t>A 60230-2022</t>
        </is>
      </c>
      <c r="B572" s="1" t="n">
        <v>44910</v>
      </c>
      <c r="C572" s="1" t="n">
        <v>45912</v>
      </c>
      <c r="D572" t="inlineStr">
        <is>
          <t>KALMAR LÄN</t>
        </is>
      </c>
      <c r="E572" t="inlineStr">
        <is>
          <t>VIMMERBY</t>
        </is>
      </c>
      <c r="G572" t="n">
        <v>11.3</v>
      </c>
      <c r="H572" t="n">
        <v>0</v>
      </c>
      <c r="I572" t="n">
        <v>0</v>
      </c>
      <c r="J572" t="n">
        <v>0</v>
      </c>
      <c r="K572" t="n">
        <v>0</v>
      </c>
      <c r="L572" t="n">
        <v>0</v>
      </c>
      <c r="M572" t="n">
        <v>0</v>
      </c>
      <c r="N572" t="n">
        <v>0</v>
      </c>
      <c r="O572" t="n">
        <v>0</v>
      </c>
      <c r="P572" t="n">
        <v>0</v>
      </c>
      <c r="Q572" t="n">
        <v>0</v>
      </c>
      <c r="R572" s="2" t="inlineStr"/>
    </row>
    <row r="573" ht="15" customHeight="1">
      <c r="A573" t="inlineStr">
        <is>
          <t>A 37866-2025</t>
        </is>
      </c>
      <c r="B573" s="1" t="n">
        <v>45881</v>
      </c>
      <c r="C573" s="1" t="n">
        <v>45912</v>
      </c>
      <c r="D573" t="inlineStr">
        <is>
          <t>KALMAR LÄN</t>
        </is>
      </c>
      <c r="E573" t="inlineStr">
        <is>
          <t>VIMMERBY</t>
        </is>
      </c>
      <c r="G573" t="n">
        <v>3.4</v>
      </c>
      <c r="H573" t="n">
        <v>0</v>
      </c>
      <c r="I573" t="n">
        <v>0</v>
      </c>
      <c r="J573" t="n">
        <v>0</v>
      </c>
      <c r="K573" t="n">
        <v>0</v>
      </c>
      <c r="L573" t="n">
        <v>0</v>
      </c>
      <c r="M573" t="n">
        <v>0</v>
      </c>
      <c r="N573" t="n">
        <v>0</v>
      </c>
      <c r="O573" t="n">
        <v>0</v>
      </c>
      <c r="P573" t="n">
        <v>0</v>
      </c>
      <c r="Q573" t="n">
        <v>0</v>
      </c>
      <c r="R573" s="2" t="inlineStr"/>
    </row>
    <row r="574" ht="15" customHeight="1">
      <c r="A574" t="inlineStr">
        <is>
          <t>A 37668-2025</t>
        </is>
      </c>
      <c r="B574" s="1" t="n">
        <v>45880.51550925926</v>
      </c>
      <c r="C574" s="1" t="n">
        <v>45912</v>
      </c>
      <c r="D574" t="inlineStr">
        <is>
          <t>KALMAR LÄN</t>
        </is>
      </c>
      <c r="E574" t="inlineStr">
        <is>
          <t>VIMMERBY</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44598.7384837963</v>
      </c>
      <c r="C575" s="1" t="n">
        <v>45912</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33838-2022</t>
        </is>
      </c>
      <c r="B576" s="1" t="n">
        <v>44790.49040509259</v>
      </c>
      <c r="C576" s="1" t="n">
        <v>45912</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37939-2025</t>
        </is>
      </c>
      <c r="B577" s="1" t="n">
        <v>45881.59877314815</v>
      </c>
      <c r="C577" s="1" t="n">
        <v>45912</v>
      </c>
      <c r="D577" t="inlineStr">
        <is>
          <t>KALMAR LÄN</t>
        </is>
      </c>
      <c r="E577" t="inlineStr">
        <is>
          <t>VIMMERBY</t>
        </is>
      </c>
      <c r="G577" t="n">
        <v>1.3</v>
      </c>
      <c r="H577" t="n">
        <v>0</v>
      </c>
      <c r="I577" t="n">
        <v>0</v>
      </c>
      <c r="J577" t="n">
        <v>0</v>
      </c>
      <c r="K577" t="n">
        <v>0</v>
      </c>
      <c r="L577" t="n">
        <v>0</v>
      </c>
      <c r="M577" t="n">
        <v>0</v>
      </c>
      <c r="N577" t="n">
        <v>0</v>
      </c>
      <c r="O577" t="n">
        <v>0</v>
      </c>
      <c r="P577" t="n">
        <v>0</v>
      </c>
      <c r="Q577" t="n">
        <v>0</v>
      </c>
      <c r="R577" s="2" t="inlineStr"/>
    </row>
    <row r="578" ht="15" customHeight="1">
      <c r="A578" t="inlineStr">
        <is>
          <t>A 32835-2022</t>
        </is>
      </c>
      <c r="B578" s="1" t="n">
        <v>44784.42528935185</v>
      </c>
      <c r="C578" s="1" t="n">
        <v>45912</v>
      </c>
      <c r="D578" t="inlineStr">
        <is>
          <t>KALMAR LÄN</t>
        </is>
      </c>
      <c r="E578" t="inlineStr">
        <is>
          <t>VIMMERBY</t>
        </is>
      </c>
      <c r="G578" t="n">
        <v>1.6</v>
      </c>
      <c r="H578" t="n">
        <v>0</v>
      </c>
      <c r="I578" t="n">
        <v>0</v>
      </c>
      <c r="J578" t="n">
        <v>0</v>
      </c>
      <c r="K578" t="n">
        <v>0</v>
      </c>
      <c r="L578" t="n">
        <v>0</v>
      </c>
      <c r="M578" t="n">
        <v>0</v>
      </c>
      <c r="N578" t="n">
        <v>0</v>
      </c>
      <c r="O578" t="n">
        <v>0</v>
      </c>
      <c r="P578" t="n">
        <v>0</v>
      </c>
      <c r="Q578" t="n">
        <v>0</v>
      </c>
      <c r="R578" s="2" t="inlineStr"/>
    </row>
    <row r="579" ht="15" customHeight="1">
      <c r="A579" t="inlineStr">
        <is>
          <t>A 32382-2025</t>
        </is>
      </c>
      <c r="B579" s="1" t="n">
        <v>45837.77916666667</v>
      </c>
      <c r="C579" s="1" t="n">
        <v>45912</v>
      </c>
      <c r="D579" t="inlineStr">
        <is>
          <t>KALMAR LÄN</t>
        </is>
      </c>
      <c r="E579" t="inlineStr">
        <is>
          <t>VIMMERBY</t>
        </is>
      </c>
      <c r="G579" t="n">
        <v>4.6</v>
      </c>
      <c r="H579" t="n">
        <v>0</v>
      </c>
      <c r="I579" t="n">
        <v>0</v>
      </c>
      <c r="J579" t="n">
        <v>0</v>
      </c>
      <c r="K579" t="n">
        <v>0</v>
      </c>
      <c r="L579" t="n">
        <v>0</v>
      </c>
      <c r="M579" t="n">
        <v>0</v>
      </c>
      <c r="N579" t="n">
        <v>0</v>
      </c>
      <c r="O579" t="n">
        <v>0</v>
      </c>
      <c r="P579" t="n">
        <v>0</v>
      </c>
      <c r="Q579" t="n">
        <v>0</v>
      </c>
      <c r="R579" s="2" t="inlineStr"/>
    </row>
    <row r="580" ht="15" customHeight="1">
      <c r="A580" t="inlineStr">
        <is>
          <t>A 46522-2022</t>
        </is>
      </c>
      <c r="B580" s="1" t="n">
        <v>44848.59133101852</v>
      </c>
      <c r="C580" s="1" t="n">
        <v>45912</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32380-2025</t>
        </is>
      </c>
      <c r="B581" s="1" t="n">
        <v>45837.77701388889</v>
      </c>
      <c r="C581" s="1" t="n">
        <v>45912</v>
      </c>
      <c r="D581" t="inlineStr">
        <is>
          <t>KALMAR LÄN</t>
        </is>
      </c>
      <c r="E581" t="inlineStr">
        <is>
          <t>VIMMERBY</t>
        </is>
      </c>
      <c r="G581" t="n">
        <v>3.1</v>
      </c>
      <c r="H581" t="n">
        <v>0</v>
      </c>
      <c r="I581" t="n">
        <v>0</v>
      </c>
      <c r="J581" t="n">
        <v>0</v>
      </c>
      <c r="K581" t="n">
        <v>0</v>
      </c>
      <c r="L581" t="n">
        <v>0</v>
      </c>
      <c r="M581" t="n">
        <v>0</v>
      </c>
      <c r="N581" t="n">
        <v>0</v>
      </c>
      <c r="O581" t="n">
        <v>0</v>
      </c>
      <c r="P581" t="n">
        <v>0</v>
      </c>
      <c r="Q581" t="n">
        <v>0</v>
      </c>
      <c r="R581" s="2" t="inlineStr"/>
    </row>
    <row r="582" ht="15" customHeight="1">
      <c r="A582" t="inlineStr">
        <is>
          <t>A 1081-2023</t>
        </is>
      </c>
      <c r="B582" s="1" t="n">
        <v>44935</v>
      </c>
      <c r="C582" s="1" t="n">
        <v>45912</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37578-2025</t>
        </is>
      </c>
      <c r="B583" s="1" t="n">
        <v>45880.38380787037</v>
      </c>
      <c r="C583" s="1" t="n">
        <v>45912</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47063-2022</t>
        </is>
      </c>
      <c r="B584" s="1" t="n">
        <v>44852</v>
      </c>
      <c r="C584" s="1" t="n">
        <v>45912</v>
      </c>
      <c r="D584" t="inlineStr">
        <is>
          <t>KALMAR LÄN</t>
        </is>
      </c>
      <c r="E584" t="inlineStr">
        <is>
          <t>VIMMERBY</t>
        </is>
      </c>
      <c r="G584" t="n">
        <v>2.5</v>
      </c>
      <c r="H584" t="n">
        <v>0</v>
      </c>
      <c r="I584" t="n">
        <v>0</v>
      </c>
      <c r="J584" t="n">
        <v>0</v>
      </c>
      <c r="K584" t="n">
        <v>0</v>
      </c>
      <c r="L584" t="n">
        <v>0</v>
      </c>
      <c r="M584" t="n">
        <v>0</v>
      </c>
      <c r="N584" t="n">
        <v>0</v>
      </c>
      <c r="O584" t="n">
        <v>0</v>
      </c>
      <c r="P584" t="n">
        <v>0</v>
      </c>
      <c r="Q584" t="n">
        <v>0</v>
      </c>
      <c r="R584" s="2" t="inlineStr"/>
    </row>
    <row r="585" ht="15" customHeight="1">
      <c r="A585" t="inlineStr">
        <is>
          <t>A 33186-2025</t>
        </is>
      </c>
      <c r="B585" s="1" t="n">
        <v>45840.59474537037</v>
      </c>
      <c r="C585" s="1" t="n">
        <v>45912</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33188-2025</t>
        </is>
      </c>
      <c r="B586" s="1" t="n">
        <v>45840.59853009259</v>
      </c>
      <c r="C586" s="1" t="n">
        <v>45912</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28403-2023</t>
        </is>
      </c>
      <c r="B587" s="1" t="n">
        <v>45100.85270833333</v>
      </c>
      <c r="C587" s="1" t="n">
        <v>45912</v>
      </c>
      <c r="D587" t="inlineStr">
        <is>
          <t>KALMAR LÄN</t>
        </is>
      </c>
      <c r="E587" t="inlineStr">
        <is>
          <t>VIMMERBY</t>
        </is>
      </c>
      <c r="G587" t="n">
        <v>1.8</v>
      </c>
      <c r="H587" t="n">
        <v>0</v>
      </c>
      <c r="I587" t="n">
        <v>0</v>
      </c>
      <c r="J587" t="n">
        <v>0</v>
      </c>
      <c r="K587" t="n">
        <v>0</v>
      </c>
      <c r="L587" t="n">
        <v>0</v>
      </c>
      <c r="M587" t="n">
        <v>0</v>
      </c>
      <c r="N587" t="n">
        <v>0</v>
      </c>
      <c r="O587" t="n">
        <v>0</v>
      </c>
      <c r="P587" t="n">
        <v>0</v>
      </c>
      <c r="Q587" t="n">
        <v>0</v>
      </c>
      <c r="R587" s="2" t="inlineStr"/>
    </row>
    <row r="588" ht="15" customHeight="1">
      <c r="A588" t="inlineStr">
        <is>
          <t>A 41066-2024</t>
        </is>
      </c>
      <c r="B588" s="1" t="n">
        <v>45559.38876157408</v>
      </c>
      <c r="C588" s="1" t="n">
        <v>45912</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33695-2025</t>
        </is>
      </c>
      <c r="B589" s="1" t="n">
        <v>45841.70569444444</v>
      </c>
      <c r="C589" s="1" t="n">
        <v>45912</v>
      </c>
      <c r="D589" t="inlineStr">
        <is>
          <t>KALMAR LÄN</t>
        </is>
      </c>
      <c r="E589" t="inlineStr">
        <is>
          <t>VIMMERBY</t>
        </is>
      </c>
      <c r="G589" t="n">
        <v>2.7</v>
      </c>
      <c r="H589" t="n">
        <v>0</v>
      </c>
      <c r="I589" t="n">
        <v>0</v>
      </c>
      <c r="J589" t="n">
        <v>0</v>
      </c>
      <c r="K589" t="n">
        <v>0</v>
      </c>
      <c r="L589" t="n">
        <v>0</v>
      </c>
      <c r="M589" t="n">
        <v>0</v>
      </c>
      <c r="N589" t="n">
        <v>0</v>
      </c>
      <c r="O589" t="n">
        <v>0</v>
      </c>
      <c r="P589" t="n">
        <v>0</v>
      </c>
      <c r="Q589" t="n">
        <v>0</v>
      </c>
      <c r="R589" s="2" t="inlineStr"/>
    </row>
    <row r="590" ht="15" customHeight="1">
      <c r="A590" t="inlineStr">
        <is>
          <t>A 33698-2025</t>
        </is>
      </c>
      <c r="B590" s="1" t="n">
        <v>45841.70868055556</v>
      </c>
      <c r="C590" s="1" t="n">
        <v>45912</v>
      </c>
      <c r="D590" t="inlineStr">
        <is>
          <t>KALMAR LÄN</t>
        </is>
      </c>
      <c r="E590" t="inlineStr">
        <is>
          <t>VIMMERBY</t>
        </is>
      </c>
      <c r="G590" t="n">
        <v>3.7</v>
      </c>
      <c r="H590" t="n">
        <v>0</v>
      </c>
      <c r="I590" t="n">
        <v>0</v>
      </c>
      <c r="J590" t="n">
        <v>0</v>
      </c>
      <c r="K590" t="n">
        <v>0</v>
      </c>
      <c r="L590" t="n">
        <v>0</v>
      </c>
      <c r="M590" t="n">
        <v>0</v>
      </c>
      <c r="N590" t="n">
        <v>0</v>
      </c>
      <c r="O590" t="n">
        <v>0</v>
      </c>
      <c r="P590" t="n">
        <v>0</v>
      </c>
      <c r="Q590" t="n">
        <v>0</v>
      </c>
      <c r="R590" s="2" t="inlineStr"/>
    </row>
    <row r="591" ht="15" customHeight="1">
      <c r="A591" t="inlineStr">
        <is>
          <t>A 33103-2024</t>
        </is>
      </c>
      <c r="B591" s="1" t="n">
        <v>45517.8162037037</v>
      </c>
      <c r="C591" s="1" t="n">
        <v>45912</v>
      </c>
      <c r="D591" t="inlineStr">
        <is>
          <t>KALMAR LÄN</t>
        </is>
      </c>
      <c r="E591" t="inlineStr">
        <is>
          <t>VIMMERBY</t>
        </is>
      </c>
      <c r="G591" t="n">
        <v>1.6</v>
      </c>
      <c r="H591" t="n">
        <v>0</v>
      </c>
      <c r="I591" t="n">
        <v>0</v>
      </c>
      <c r="J591" t="n">
        <v>0</v>
      </c>
      <c r="K591" t="n">
        <v>0</v>
      </c>
      <c r="L591" t="n">
        <v>0</v>
      </c>
      <c r="M591" t="n">
        <v>0</v>
      </c>
      <c r="N591" t="n">
        <v>0</v>
      </c>
      <c r="O591" t="n">
        <v>0</v>
      </c>
      <c r="P591" t="n">
        <v>0</v>
      </c>
      <c r="Q591" t="n">
        <v>0</v>
      </c>
      <c r="R591" s="2" t="inlineStr"/>
    </row>
    <row r="592" ht="15" customHeight="1">
      <c r="A592" t="inlineStr">
        <is>
          <t>A 52279-2023</t>
        </is>
      </c>
      <c r="B592" s="1" t="n">
        <v>45224</v>
      </c>
      <c r="C592" s="1" t="n">
        <v>45912</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2260-2022</t>
        </is>
      </c>
      <c r="B593" s="1" t="n">
        <v>44578.62943287037</v>
      </c>
      <c r="C593" s="1" t="n">
        <v>45912</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17486-2024</t>
        </is>
      </c>
      <c r="B594" s="1" t="n">
        <v>45415.48979166667</v>
      </c>
      <c r="C594" s="1" t="n">
        <v>45912</v>
      </c>
      <c r="D594" t="inlineStr">
        <is>
          <t>KALMAR LÄN</t>
        </is>
      </c>
      <c r="E594" t="inlineStr">
        <is>
          <t>VIMMERBY</t>
        </is>
      </c>
      <c r="G594" t="n">
        <v>2.6</v>
      </c>
      <c r="H594" t="n">
        <v>0</v>
      </c>
      <c r="I594" t="n">
        <v>0</v>
      </c>
      <c r="J594" t="n">
        <v>0</v>
      </c>
      <c r="K594" t="n">
        <v>0</v>
      </c>
      <c r="L594" t="n">
        <v>0</v>
      </c>
      <c r="M594" t="n">
        <v>0</v>
      </c>
      <c r="N594" t="n">
        <v>0</v>
      </c>
      <c r="O594" t="n">
        <v>0</v>
      </c>
      <c r="P594" t="n">
        <v>0</v>
      </c>
      <c r="Q594" t="n">
        <v>0</v>
      </c>
      <c r="R594" s="2" t="inlineStr"/>
    </row>
    <row r="595" ht="15" customHeight="1">
      <c r="A595" t="inlineStr">
        <is>
          <t>A 11661-2023</t>
        </is>
      </c>
      <c r="B595" s="1" t="n">
        <v>44994.46908564815</v>
      </c>
      <c r="C595" s="1" t="n">
        <v>45912</v>
      </c>
      <c r="D595" t="inlineStr">
        <is>
          <t>KALMAR LÄN</t>
        </is>
      </c>
      <c r="E595" t="inlineStr">
        <is>
          <t>VIMMERBY</t>
        </is>
      </c>
      <c r="G595" t="n">
        <v>2.7</v>
      </c>
      <c r="H595" t="n">
        <v>0</v>
      </c>
      <c r="I595" t="n">
        <v>0</v>
      </c>
      <c r="J595" t="n">
        <v>0</v>
      </c>
      <c r="K595" t="n">
        <v>0</v>
      </c>
      <c r="L595" t="n">
        <v>0</v>
      </c>
      <c r="M595" t="n">
        <v>0</v>
      </c>
      <c r="N595" t="n">
        <v>0</v>
      </c>
      <c r="O595" t="n">
        <v>0</v>
      </c>
      <c r="P595" t="n">
        <v>0</v>
      </c>
      <c r="Q595" t="n">
        <v>0</v>
      </c>
      <c r="R595" s="2" t="inlineStr"/>
    </row>
    <row r="596" ht="15" customHeight="1">
      <c r="A596" t="inlineStr">
        <is>
          <t>A 30977-2025</t>
        </is>
      </c>
      <c r="B596" s="1" t="n">
        <v>45832.46649305556</v>
      </c>
      <c r="C596" s="1" t="n">
        <v>45912</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58046-2022</t>
        </is>
      </c>
      <c r="B597" s="1" t="n">
        <v>44900.57393518519</v>
      </c>
      <c r="C597" s="1" t="n">
        <v>45912</v>
      </c>
      <c r="D597" t="inlineStr">
        <is>
          <t>KALMAR LÄN</t>
        </is>
      </c>
      <c r="E597" t="inlineStr">
        <is>
          <t>VIMMERBY</t>
        </is>
      </c>
      <c r="G597" t="n">
        <v>2.5</v>
      </c>
      <c r="H597" t="n">
        <v>0</v>
      </c>
      <c r="I597" t="n">
        <v>0</v>
      </c>
      <c r="J597" t="n">
        <v>0</v>
      </c>
      <c r="K597" t="n">
        <v>0</v>
      </c>
      <c r="L597" t="n">
        <v>0</v>
      </c>
      <c r="M597" t="n">
        <v>0</v>
      </c>
      <c r="N597" t="n">
        <v>0</v>
      </c>
      <c r="O597" t="n">
        <v>0</v>
      </c>
      <c r="P597" t="n">
        <v>0</v>
      </c>
      <c r="Q597" t="n">
        <v>0</v>
      </c>
      <c r="R597" s="2" t="inlineStr"/>
    </row>
    <row r="598" ht="15" customHeight="1">
      <c r="A598" t="inlineStr">
        <is>
          <t>A 45528-2021</t>
        </is>
      </c>
      <c r="B598" s="1" t="n">
        <v>44440.60415509259</v>
      </c>
      <c r="C598" s="1" t="n">
        <v>45912</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46979-2023</t>
        </is>
      </c>
      <c r="B599" s="1" t="n">
        <v>45201</v>
      </c>
      <c r="C599" s="1" t="n">
        <v>45912</v>
      </c>
      <c r="D599" t="inlineStr">
        <is>
          <t>KALMAR LÄN</t>
        </is>
      </c>
      <c r="E599" t="inlineStr">
        <is>
          <t>VIMMERBY</t>
        </is>
      </c>
      <c r="G599" t="n">
        <v>1</v>
      </c>
      <c r="H599" t="n">
        <v>0</v>
      </c>
      <c r="I599" t="n">
        <v>0</v>
      </c>
      <c r="J599" t="n">
        <v>0</v>
      </c>
      <c r="K599" t="n">
        <v>0</v>
      </c>
      <c r="L599" t="n">
        <v>0</v>
      </c>
      <c r="M599" t="n">
        <v>0</v>
      </c>
      <c r="N599" t="n">
        <v>0</v>
      </c>
      <c r="O599" t="n">
        <v>0</v>
      </c>
      <c r="P599" t="n">
        <v>0</v>
      </c>
      <c r="Q599" t="n">
        <v>0</v>
      </c>
      <c r="R599" s="2" t="inlineStr"/>
    </row>
    <row r="600" ht="15" customHeight="1">
      <c r="A600" t="inlineStr">
        <is>
          <t>A 71631-2021</t>
        </is>
      </c>
      <c r="B600" s="1" t="n">
        <v>44542.90072916666</v>
      </c>
      <c r="C600" s="1" t="n">
        <v>45912</v>
      </c>
      <c r="D600" t="inlineStr">
        <is>
          <t>KALMAR LÄN</t>
        </is>
      </c>
      <c r="E600" t="inlineStr">
        <is>
          <t>VIMMERBY</t>
        </is>
      </c>
      <c r="G600" t="n">
        <v>0.9</v>
      </c>
      <c r="H600" t="n">
        <v>0</v>
      </c>
      <c r="I600" t="n">
        <v>0</v>
      </c>
      <c r="J600" t="n">
        <v>0</v>
      </c>
      <c r="K600" t="n">
        <v>0</v>
      </c>
      <c r="L600" t="n">
        <v>0</v>
      </c>
      <c r="M600" t="n">
        <v>0</v>
      </c>
      <c r="N600" t="n">
        <v>0</v>
      </c>
      <c r="O600" t="n">
        <v>0</v>
      </c>
      <c r="P600" t="n">
        <v>0</v>
      </c>
      <c r="Q600" t="n">
        <v>0</v>
      </c>
      <c r="R600" s="2" t="inlineStr"/>
    </row>
    <row r="601" ht="15" customHeight="1">
      <c r="A601" t="inlineStr">
        <is>
          <t>A 33696-2025</t>
        </is>
      </c>
      <c r="B601" s="1" t="n">
        <v>45841.7072337963</v>
      </c>
      <c r="C601" s="1" t="n">
        <v>45912</v>
      </c>
      <c r="D601" t="inlineStr">
        <is>
          <t>KALMAR LÄN</t>
        </is>
      </c>
      <c r="E601" t="inlineStr">
        <is>
          <t>VIMMERBY</t>
        </is>
      </c>
      <c r="G601" t="n">
        <v>1.1</v>
      </c>
      <c r="H601" t="n">
        <v>0</v>
      </c>
      <c r="I601" t="n">
        <v>0</v>
      </c>
      <c r="J601" t="n">
        <v>0</v>
      </c>
      <c r="K601" t="n">
        <v>0</v>
      </c>
      <c r="L601" t="n">
        <v>0</v>
      </c>
      <c r="M601" t="n">
        <v>0</v>
      </c>
      <c r="N601" t="n">
        <v>0</v>
      </c>
      <c r="O601" t="n">
        <v>0</v>
      </c>
      <c r="P601" t="n">
        <v>0</v>
      </c>
      <c r="Q601" t="n">
        <v>0</v>
      </c>
      <c r="R601" s="2" t="inlineStr"/>
    </row>
    <row r="602" ht="15" customHeight="1">
      <c r="A602" t="inlineStr">
        <is>
          <t>A 6574-2023</t>
        </is>
      </c>
      <c r="B602" s="1" t="n">
        <v>44966</v>
      </c>
      <c r="C602" s="1" t="n">
        <v>45912</v>
      </c>
      <c r="D602" t="inlineStr">
        <is>
          <t>KALMAR LÄN</t>
        </is>
      </c>
      <c r="E602" t="inlineStr">
        <is>
          <t>VIMMERBY</t>
        </is>
      </c>
      <c r="G602" t="n">
        <v>2.5</v>
      </c>
      <c r="H602" t="n">
        <v>0</v>
      </c>
      <c r="I602" t="n">
        <v>0</v>
      </c>
      <c r="J602" t="n">
        <v>0</v>
      </c>
      <c r="K602" t="n">
        <v>0</v>
      </c>
      <c r="L602" t="n">
        <v>0</v>
      </c>
      <c r="M602" t="n">
        <v>0</v>
      </c>
      <c r="N602" t="n">
        <v>0</v>
      </c>
      <c r="O602" t="n">
        <v>0</v>
      </c>
      <c r="P602" t="n">
        <v>0</v>
      </c>
      <c r="Q602" t="n">
        <v>0</v>
      </c>
      <c r="R602" s="2" t="inlineStr"/>
    </row>
    <row r="603" ht="15" customHeight="1">
      <c r="A603" t="inlineStr">
        <is>
          <t>A 16015-2025</t>
        </is>
      </c>
      <c r="B603" s="1" t="n">
        <v>45749.60487268519</v>
      </c>
      <c r="C603" s="1" t="n">
        <v>45912</v>
      </c>
      <c r="D603" t="inlineStr">
        <is>
          <t>KALMAR LÄN</t>
        </is>
      </c>
      <c r="E603" t="inlineStr">
        <is>
          <t>VIMMERBY</t>
        </is>
      </c>
      <c r="F603" t="inlineStr">
        <is>
          <t>Kyrkan</t>
        </is>
      </c>
      <c r="G603" t="n">
        <v>2.7</v>
      </c>
      <c r="H603" t="n">
        <v>0</v>
      </c>
      <c r="I603" t="n">
        <v>0</v>
      </c>
      <c r="J603" t="n">
        <v>0</v>
      </c>
      <c r="K603" t="n">
        <v>0</v>
      </c>
      <c r="L603" t="n">
        <v>0</v>
      </c>
      <c r="M603" t="n">
        <v>0</v>
      </c>
      <c r="N603" t="n">
        <v>0</v>
      </c>
      <c r="O603" t="n">
        <v>0</v>
      </c>
      <c r="P603" t="n">
        <v>0</v>
      </c>
      <c r="Q603" t="n">
        <v>0</v>
      </c>
      <c r="R603" s="2" t="inlineStr"/>
    </row>
    <row r="604" ht="15" customHeight="1">
      <c r="A604" t="inlineStr">
        <is>
          <t>A 9694-2023</t>
        </is>
      </c>
      <c r="B604" s="1" t="n">
        <v>44984.45895833334</v>
      </c>
      <c r="C604" s="1" t="n">
        <v>45912</v>
      </c>
      <c r="D604" t="inlineStr">
        <is>
          <t>KALMAR LÄN</t>
        </is>
      </c>
      <c r="E604" t="inlineStr">
        <is>
          <t>VIMMERBY</t>
        </is>
      </c>
      <c r="G604" t="n">
        <v>2.1</v>
      </c>
      <c r="H604" t="n">
        <v>0</v>
      </c>
      <c r="I604" t="n">
        <v>0</v>
      </c>
      <c r="J604" t="n">
        <v>0</v>
      </c>
      <c r="K604" t="n">
        <v>0</v>
      </c>
      <c r="L604" t="n">
        <v>0</v>
      </c>
      <c r="M604" t="n">
        <v>0</v>
      </c>
      <c r="N604" t="n">
        <v>0</v>
      </c>
      <c r="O604" t="n">
        <v>0</v>
      </c>
      <c r="P604" t="n">
        <v>0</v>
      </c>
      <c r="Q604" t="n">
        <v>0</v>
      </c>
      <c r="R604" s="2" t="inlineStr"/>
    </row>
    <row r="605" ht="15" customHeight="1">
      <c r="A605" t="inlineStr">
        <is>
          <t>A 4058-2024</t>
        </is>
      </c>
      <c r="B605" s="1" t="n">
        <v>45323.53744212963</v>
      </c>
      <c r="C605" s="1" t="n">
        <v>45912</v>
      </c>
      <c r="D605" t="inlineStr">
        <is>
          <t>KALMAR LÄN</t>
        </is>
      </c>
      <c r="E605" t="inlineStr">
        <is>
          <t>VIMMERBY</t>
        </is>
      </c>
      <c r="G605" t="n">
        <v>6.5</v>
      </c>
      <c r="H605" t="n">
        <v>0</v>
      </c>
      <c r="I605" t="n">
        <v>0</v>
      </c>
      <c r="J605" t="n">
        <v>0</v>
      </c>
      <c r="K605" t="n">
        <v>0</v>
      </c>
      <c r="L605" t="n">
        <v>0</v>
      </c>
      <c r="M605" t="n">
        <v>0</v>
      </c>
      <c r="N605" t="n">
        <v>0</v>
      </c>
      <c r="O605" t="n">
        <v>0</v>
      </c>
      <c r="P605" t="n">
        <v>0</v>
      </c>
      <c r="Q605" t="n">
        <v>0</v>
      </c>
      <c r="R605" s="2" t="inlineStr"/>
    </row>
    <row r="606" ht="15" customHeight="1">
      <c r="A606" t="inlineStr">
        <is>
          <t>A 26956-2025</t>
        </is>
      </c>
      <c r="B606" s="1" t="n">
        <v>45811.45460648148</v>
      </c>
      <c r="C606" s="1" t="n">
        <v>45912</v>
      </c>
      <c r="D606" t="inlineStr">
        <is>
          <t>KALMAR LÄN</t>
        </is>
      </c>
      <c r="E606" t="inlineStr">
        <is>
          <t>VIMMERBY</t>
        </is>
      </c>
      <c r="G606" t="n">
        <v>1.1</v>
      </c>
      <c r="H606" t="n">
        <v>0</v>
      </c>
      <c r="I606" t="n">
        <v>0</v>
      </c>
      <c r="J606" t="n">
        <v>0</v>
      </c>
      <c r="K606" t="n">
        <v>0</v>
      </c>
      <c r="L606" t="n">
        <v>0</v>
      </c>
      <c r="M606" t="n">
        <v>0</v>
      </c>
      <c r="N606" t="n">
        <v>0</v>
      </c>
      <c r="O606" t="n">
        <v>0</v>
      </c>
      <c r="P606" t="n">
        <v>0</v>
      </c>
      <c r="Q606" t="n">
        <v>0</v>
      </c>
      <c r="R606" s="2" t="inlineStr"/>
    </row>
    <row r="607" ht="15" customHeight="1">
      <c r="A607" t="inlineStr">
        <is>
          <t>A 22198-2024</t>
        </is>
      </c>
      <c r="B607" s="1" t="n">
        <v>45446.36865740741</v>
      </c>
      <c r="C607" s="1" t="n">
        <v>45912</v>
      </c>
      <c r="D607" t="inlineStr">
        <is>
          <t>KALMAR LÄN</t>
        </is>
      </c>
      <c r="E607" t="inlineStr">
        <is>
          <t>VIMMERBY</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57311-2023</t>
        </is>
      </c>
      <c r="B608" s="1" t="n">
        <v>45245.63574074074</v>
      </c>
      <c r="C608" s="1" t="n">
        <v>45912</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12588-2025</t>
        </is>
      </c>
      <c r="B609" s="1" t="n">
        <v>45732.76936342593</v>
      </c>
      <c r="C609" s="1" t="n">
        <v>45912</v>
      </c>
      <c r="D609" t="inlineStr">
        <is>
          <t>KALMAR LÄN</t>
        </is>
      </c>
      <c r="E609" t="inlineStr">
        <is>
          <t>VIMMERBY</t>
        </is>
      </c>
      <c r="G609" t="n">
        <v>1.6</v>
      </c>
      <c r="H609" t="n">
        <v>0</v>
      </c>
      <c r="I609" t="n">
        <v>0</v>
      </c>
      <c r="J609" t="n">
        <v>0</v>
      </c>
      <c r="K609" t="n">
        <v>0</v>
      </c>
      <c r="L609" t="n">
        <v>0</v>
      </c>
      <c r="M609" t="n">
        <v>0</v>
      </c>
      <c r="N609" t="n">
        <v>0</v>
      </c>
      <c r="O609" t="n">
        <v>0</v>
      </c>
      <c r="P609" t="n">
        <v>0</v>
      </c>
      <c r="Q609" t="n">
        <v>0</v>
      </c>
      <c r="R609" s="2" t="inlineStr"/>
    </row>
    <row r="610" ht="15" customHeight="1">
      <c r="A610" t="inlineStr">
        <is>
          <t>A 7932-2025</t>
        </is>
      </c>
      <c r="B610" s="1" t="n">
        <v>45707.3793287037</v>
      </c>
      <c r="C610" s="1" t="n">
        <v>45912</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1978-2024</t>
        </is>
      </c>
      <c r="B611" s="1" t="n">
        <v>45308.59001157407</v>
      </c>
      <c r="C611" s="1" t="n">
        <v>45912</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30318-2023</t>
        </is>
      </c>
      <c r="B612" s="1" t="n">
        <v>45111.30824074074</v>
      </c>
      <c r="C612" s="1" t="n">
        <v>45912</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34060-2025</t>
        </is>
      </c>
      <c r="B613" s="1" t="n">
        <v>45845.42015046296</v>
      </c>
      <c r="C613" s="1" t="n">
        <v>45912</v>
      </c>
      <c r="D613" t="inlineStr">
        <is>
          <t>KALMAR LÄN</t>
        </is>
      </c>
      <c r="E613" t="inlineStr">
        <is>
          <t>VIMMERBY</t>
        </is>
      </c>
      <c r="G613" t="n">
        <v>5.7</v>
      </c>
      <c r="H613" t="n">
        <v>0</v>
      </c>
      <c r="I613" t="n">
        <v>0</v>
      </c>
      <c r="J613" t="n">
        <v>0</v>
      </c>
      <c r="K613" t="n">
        <v>0</v>
      </c>
      <c r="L613" t="n">
        <v>0</v>
      </c>
      <c r="M613" t="n">
        <v>0</v>
      </c>
      <c r="N613" t="n">
        <v>0</v>
      </c>
      <c r="O613" t="n">
        <v>0</v>
      </c>
      <c r="P613" t="n">
        <v>0</v>
      </c>
      <c r="Q613" t="n">
        <v>0</v>
      </c>
      <c r="R613" s="2" t="inlineStr"/>
    </row>
    <row r="614" ht="15" customHeight="1">
      <c r="A614" t="inlineStr">
        <is>
          <t>A 34071-2025</t>
        </is>
      </c>
      <c r="B614" s="1" t="n">
        <v>45845.43803240741</v>
      </c>
      <c r="C614" s="1" t="n">
        <v>45912</v>
      </c>
      <c r="D614" t="inlineStr">
        <is>
          <t>KALMAR LÄN</t>
        </is>
      </c>
      <c r="E614" t="inlineStr">
        <is>
          <t>VIMMERBY</t>
        </is>
      </c>
      <c r="G614" t="n">
        <v>6.8</v>
      </c>
      <c r="H614" t="n">
        <v>0</v>
      </c>
      <c r="I614" t="n">
        <v>0</v>
      </c>
      <c r="J614" t="n">
        <v>0</v>
      </c>
      <c r="K614" t="n">
        <v>0</v>
      </c>
      <c r="L614" t="n">
        <v>0</v>
      </c>
      <c r="M614" t="n">
        <v>0</v>
      </c>
      <c r="N614" t="n">
        <v>0</v>
      </c>
      <c r="O614" t="n">
        <v>0</v>
      </c>
      <c r="P614" t="n">
        <v>0</v>
      </c>
      <c r="Q614" t="n">
        <v>0</v>
      </c>
      <c r="R614" s="2" t="inlineStr"/>
    </row>
    <row r="615" ht="15" customHeight="1">
      <c r="A615" t="inlineStr">
        <is>
          <t>A 34106-2025</t>
        </is>
      </c>
      <c r="B615" s="1" t="n">
        <v>45845.49414351852</v>
      </c>
      <c r="C615" s="1" t="n">
        <v>45912</v>
      </c>
      <c r="D615" t="inlineStr">
        <is>
          <t>KALMAR LÄN</t>
        </is>
      </c>
      <c r="E615" t="inlineStr">
        <is>
          <t>VIMMERBY</t>
        </is>
      </c>
      <c r="G615" t="n">
        <v>6</v>
      </c>
      <c r="H615" t="n">
        <v>0</v>
      </c>
      <c r="I615" t="n">
        <v>0</v>
      </c>
      <c r="J615" t="n">
        <v>0</v>
      </c>
      <c r="K615" t="n">
        <v>0</v>
      </c>
      <c r="L615" t="n">
        <v>0</v>
      </c>
      <c r="M615" t="n">
        <v>0</v>
      </c>
      <c r="N615" t="n">
        <v>0</v>
      </c>
      <c r="O615" t="n">
        <v>0</v>
      </c>
      <c r="P615" t="n">
        <v>0</v>
      </c>
      <c r="Q615" t="n">
        <v>0</v>
      </c>
      <c r="R615" s="2" t="inlineStr"/>
    </row>
    <row r="616" ht="15" customHeight="1">
      <c r="A616" t="inlineStr">
        <is>
          <t>A 28702-2025</t>
        </is>
      </c>
      <c r="B616" s="1" t="n">
        <v>45820.03976851852</v>
      </c>
      <c r="C616" s="1" t="n">
        <v>45912</v>
      </c>
      <c r="D616" t="inlineStr">
        <is>
          <t>KALMAR LÄN</t>
        </is>
      </c>
      <c r="E616" t="inlineStr">
        <is>
          <t>VIMMERBY</t>
        </is>
      </c>
      <c r="G616" t="n">
        <v>2.1</v>
      </c>
      <c r="H616" t="n">
        <v>0</v>
      </c>
      <c r="I616" t="n">
        <v>0</v>
      </c>
      <c r="J616" t="n">
        <v>0</v>
      </c>
      <c r="K616" t="n">
        <v>0</v>
      </c>
      <c r="L616" t="n">
        <v>0</v>
      </c>
      <c r="M616" t="n">
        <v>0</v>
      </c>
      <c r="N616" t="n">
        <v>0</v>
      </c>
      <c r="O616" t="n">
        <v>0</v>
      </c>
      <c r="P616" t="n">
        <v>0</v>
      </c>
      <c r="Q616" t="n">
        <v>0</v>
      </c>
      <c r="R616" s="2" t="inlineStr"/>
    </row>
    <row r="617" ht="15" customHeight="1">
      <c r="A617" t="inlineStr">
        <is>
          <t>A 2121-2022</t>
        </is>
      </c>
      <c r="B617" s="1" t="n">
        <v>44578.32717592592</v>
      </c>
      <c r="C617" s="1" t="n">
        <v>45912</v>
      </c>
      <c r="D617" t="inlineStr">
        <is>
          <t>KALMAR LÄN</t>
        </is>
      </c>
      <c r="E617" t="inlineStr">
        <is>
          <t>VIMMERBY</t>
        </is>
      </c>
      <c r="G617" t="n">
        <v>2</v>
      </c>
      <c r="H617" t="n">
        <v>0</v>
      </c>
      <c r="I617" t="n">
        <v>0</v>
      </c>
      <c r="J617" t="n">
        <v>0</v>
      </c>
      <c r="K617" t="n">
        <v>0</v>
      </c>
      <c r="L617" t="n">
        <v>0</v>
      </c>
      <c r="M617" t="n">
        <v>0</v>
      </c>
      <c r="N617" t="n">
        <v>0</v>
      </c>
      <c r="O617" t="n">
        <v>0</v>
      </c>
      <c r="P617" t="n">
        <v>0</v>
      </c>
      <c r="Q617" t="n">
        <v>0</v>
      </c>
      <c r="R617" s="2" t="inlineStr"/>
    </row>
    <row r="618" ht="15" customHeight="1">
      <c r="A618" t="inlineStr">
        <is>
          <t>A 25234-2023</t>
        </is>
      </c>
      <c r="B618" s="1" t="n">
        <v>45086.63194444445</v>
      </c>
      <c r="C618" s="1" t="n">
        <v>45912</v>
      </c>
      <c r="D618" t="inlineStr">
        <is>
          <t>KALMAR LÄN</t>
        </is>
      </c>
      <c r="E618" t="inlineStr">
        <is>
          <t>VIMMERBY</t>
        </is>
      </c>
      <c r="G618" t="n">
        <v>2.1</v>
      </c>
      <c r="H618" t="n">
        <v>0</v>
      </c>
      <c r="I618" t="n">
        <v>0</v>
      </c>
      <c r="J618" t="n">
        <v>0</v>
      </c>
      <c r="K618" t="n">
        <v>0</v>
      </c>
      <c r="L618" t="n">
        <v>0</v>
      </c>
      <c r="M618" t="n">
        <v>0</v>
      </c>
      <c r="N618" t="n">
        <v>0</v>
      </c>
      <c r="O618" t="n">
        <v>0</v>
      </c>
      <c r="P618" t="n">
        <v>0</v>
      </c>
      <c r="Q618" t="n">
        <v>0</v>
      </c>
      <c r="R618" s="2" t="inlineStr"/>
    </row>
    <row r="619" ht="15" customHeight="1">
      <c r="A619" t="inlineStr">
        <is>
          <t>A 46078-2023</t>
        </is>
      </c>
      <c r="B619" s="1" t="n">
        <v>45196</v>
      </c>
      <c r="C619" s="1" t="n">
        <v>45912</v>
      </c>
      <c r="D619" t="inlineStr">
        <is>
          <t>KALMAR LÄN</t>
        </is>
      </c>
      <c r="E619" t="inlineStr">
        <is>
          <t>VIMMERBY</t>
        </is>
      </c>
      <c r="G619" t="n">
        <v>0.7</v>
      </c>
      <c r="H619" t="n">
        <v>0</v>
      </c>
      <c r="I619" t="n">
        <v>0</v>
      </c>
      <c r="J619" t="n">
        <v>0</v>
      </c>
      <c r="K619" t="n">
        <v>0</v>
      </c>
      <c r="L619" t="n">
        <v>0</v>
      </c>
      <c r="M619" t="n">
        <v>0</v>
      </c>
      <c r="N619" t="n">
        <v>0</v>
      </c>
      <c r="O619" t="n">
        <v>0</v>
      </c>
      <c r="P619" t="n">
        <v>0</v>
      </c>
      <c r="Q619" t="n">
        <v>0</v>
      </c>
      <c r="R619" s="2" t="inlineStr"/>
    </row>
    <row r="620" ht="15" customHeight="1">
      <c r="A620" t="inlineStr">
        <is>
          <t>A 38604-2025</t>
        </is>
      </c>
      <c r="B620" s="1" t="n">
        <v>45884.50613425926</v>
      </c>
      <c r="C620" s="1" t="n">
        <v>45912</v>
      </c>
      <c r="D620" t="inlineStr">
        <is>
          <t>KALMAR LÄN</t>
        </is>
      </c>
      <c r="E620" t="inlineStr">
        <is>
          <t>VIMMERBY</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34386-2024</t>
        </is>
      </c>
      <c r="B621" s="1" t="n">
        <v>45525.41762731481</v>
      </c>
      <c r="C621" s="1" t="n">
        <v>45912</v>
      </c>
      <c r="D621" t="inlineStr">
        <is>
          <t>KALMAR LÄN</t>
        </is>
      </c>
      <c r="E621" t="inlineStr">
        <is>
          <t>VIMMERBY</t>
        </is>
      </c>
      <c r="G621" t="n">
        <v>0.3</v>
      </c>
      <c r="H621" t="n">
        <v>0</v>
      </c>
      <c r="I621" t="n">
        <v>0</v>
      </c>
      <c r="J621" t="n">
        <v>0</v>
      </c>
      <c r="K621" t="n">
        <v>0</v>
      </c>
      <c r="L621" t="n">
        <v>0</v>
      </c>
      <c r="M621" t="n">
        <v>0</v>
      </c>
      <c r="N621" t="n">
        <v>0</v>
      </c>
      <c r="O621" t="n">
        <v>0</v>
      </c>
      <c r="P621" t="n">
        <v>0</v>
      </c>
      <c r="Q621" t="n">
        <v>0</v>
      </c>
      <c r="R621" s="2" t="inlineStr"/>
    </row>
    <row r="622" ht="15" customHeight="1">
      <c r="A622" t="inlineStr">
        <is>
          <t>A 6069-2023</t>
        </is>
      </c>
      <c r="B622" s="1" t="n">
        <v>44964.5115162037</v>
      </c>
      <c r="C622" s="1" t="n">
        <v>45912</v>
      </c>
      <c r="D622" t="inlineStr">
        <is>
          <t>KALMAR LÄN</t>
        </is>
      </c>
      <c r="E622" t="inlineStr">
        <is>
          <t>VIMMERBY</t>
        </is>
      </c>
      <c r="G622" t="n">
        <v>1.1</v>
      </c>
      <c r="H622" t="n">
        <v>0</v>
      </c>
      <c r="I622" t="n">
        <v>0</v>
      </c>
      <c r="J622" t="n">
        <v>0</v>
      </c>
      <c r="K622" t="n">
        <v>0</v>
      </c>
      <c r="L622" t="n">
        <v>0</v>
      </c>
      <c r="M622" t="n">
        <v>0</v>
      </c>
      <c r="N622" t="n">
        <v>0</v>
      </c>
      <c r="O622" t="n">
        <v>0</v>
      </c>
      <c r="P622" t="n">
        <v>0</v>
      </c>
      <c r="Q622" t="n">
        <v>0</v>
      </c>
      <c r="R622" s="2" t="inlineStr"/>
    </row>
    <row r="623" ht="15" customHeight="1">
      <c r="A623" t="inlineStr">
        <is>
          <t>A 38964-2025</t>
        </is>
      </c>
      <c r="B623" s="1" t="n">
        <v>45887.68759259259</v>
      </c>
      <c r="C623" s="1" t="n">
        <v>45912</v>
      </c>
      <c r="D623" t="inlineStr">
        <is>
          <t>KALMAR LÄN</t>
        </is>
      </c>
      <c r="E623" t="inlineStr">
        <is>
          <t>VIMMERBY</t>
        </is>
      </c>
      <c r="G623" t="n">
        <v>7.5</v>
      </c>
      <c r="H623" t="n">
        <v>0</v>
      </c>
      <c r="I623" t="n">
        <v>0</v>
      </c>
      <c r="J623" t="n">
        <v>0</v>
      </c>
      <c r="K623" t="n">
        <v>0</v>
      </c>
      <c r="L623" t="n">
        <v>0</v>
      </c>
      <c r="M623" t="n">
        <v>0</v>
      </c>
      <c r="N623" t="n">
        <v>0</v>
      </c>
      <c r="O623" t="n">
        <v>0</v>
      </c>
      <c r="P623" t="n">
        <v>0</v>
      </c>
      <c r="Q623" t="n">
        <v>0</v>
      </c>
      <c r="R623" s="2" t="inlineStr"/>
    </row>
    <row r="624" ht="15" customHeight="1">
      <c r="A624" t="inlineStr">
        <is>
          <t>A 32633-2023</t>
        </is>
      </c>
      <c r="B624" s="1" t="n">
        <v>45121.58699074074</v>
      </c>
      <c r="C624" s="1" t="n">
        <v>45912</v>
      </c>
      <c r="D624" t="inlineStr">
        <is>
          <t>KALMAR LÄN</t>
        </is>
      </c>
      <c r="E624" t="inlineStr">
        <is>
          <t>VIMMERBY</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49461-2023</t>
        </is>
      </c>
      <c r="B625" s="1" t="n">
        <v>45211.52642361111</v>
      </c>
      <c r="C625" s="1" t="n">
        <v>45912</v>
      </c>
      <c r="D625" t="inlineStr">
        <is>
          <t>KALMAR LÄN</t>
        </is>
      </c>
      <c r="E625" t="inlineStr">
        <is>
          <t>VIMMERBY</t>
        </is>
      </c>
      <c r="G625" t="n">
        <v>1.5</v>
      </c>
      <c r="H625" t="n">
        <v>0</v>
      </c>
      <c r="I625" t="n">
        <v>0</v>
      </c>
      <c r="J625" t="n">
        <v>0</v>
      </c>
      <c r="K625" t="n">
        <v>0</v>
      </c>
      <c r="L625" t="n">
        <v>0</v>
      </c>
      <c r="M625" t="n">
        <v>0</v>
      </c>
      <c r="N625" t="n">
        <v>0</v>
      </c>
      <c r="O625" t="n">
        <v>0</v>
      </c>
      <c r="P625" t="n">
        <v>0</v>
      </c>
      <c r="Q625" t="n">
        <v>0</v>
      </c>
      <c r="R625" s="2" t="inlineStr"/>
    </row>
    <row r="626" ht="15" customHeight="1">
      <c r="A626" t="inlineStr">
        <is>
          <t>A 23095-2023</t>
        </is>
      </c>
      <c r="B626" s="1" t="n">
        <v>45075.43059027778</v>
      </c>
      <c r="C626" s="1" t="n">
        <v>45912</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11429-2022</t>
        </is>
      </c>
      <c r="B627" s="1" t="n">
        <v>44630</v>
      </c>
      <c r="C627" s="1" t="n">
        <v>45912</v>
      </c>
      <c r="D627" t="inlineStr">
        <is>
          <t>KALMAR LÄN</t>
        </is>
      </c>
      <c r="E627" t="inlineStr">
        <is>
          <t>VIMMERBY</t>
        </is>
      </c>
      <c r="G627" t="n">
        <v>2.6</v>
      </c>
      <c r="H627" t="n">
        <v>0</v>
      </c>
      <c r="I627" t="n">
        <v>0</v>
      </c>
      <c r="J627" t="n">
        <v>0</v>
      </c>
      <c r="K627" t="n">
        <v>0</v>
      </c>
      <c r="L627" t="n">
        <v>0</v>
      </c>
      <c r="M627" t="n">
        <v>0</v>
      </c>
      <c r="N627" t="n">
        <v>0</v>
      </c>
      <c r="O627" t="n">
        <v>0</v>
      </c>
      <c r="P627" t="n">
        <v>0</v>
      </c>
      <c r="Q627" t="n">
        <v>0</v>
      </c>
      <c r="R627" s="2" t="inlineStr"/>
    </row>
    <row r="628" ht="15" customHeight="1">
      <c r="A628" t="inlineStr">
        <is>
          <t>A 3609-2024</t>
        </is>
      </c>
      <c r="B628" s="1" t="n">
        <v>45320.89128472222</v>
      </c>
      <c r="C628" s="1" t="n">
        <v>45912</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10424-2023</t>
        </is>
      </c>
      <c r="B629" s="1" t="n">
        <v>44987.54104166666</v>
      </c>
      <c r="C629" s="1" t="n">
        <v>45912</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11141-2024</t>
        </is>
      </c>
      <c r="B630" s="1" t="n">
        <v>45371.45865740741</v>
      </c>
      <c r="C630" s="1" t="n">
        <v>45912</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28395-2023</t>
        </is>
      </c>
      <c r="B631" s="1" t="n">
        <v>45100.4062962963</v>
      </c>
      <c r="C631" s="1" t="n">
        <v>45912</v>
      </c>
      <c r="D631" t="inlineStr">
        <is>
          <t>KALMAR LÄN</t>
        </is>
      </c>
      <c r="E631" t="inlineStr">
        <is>
          <t>VIMMERBY</t>
        </is>
      </c>
      <c r="G631" t="n">
        <v>1.4</v>
      </c>
      <c r="H631" t="n">
        <v>0</v>
      </c>
      <c r="I631" t="n">
        <v>0</v>
      </c>
      <c r="J631" t="n">
        <v>0</v>
      </c>
      <c r="K631" t="n">
        <v>0</v>
      </c>
      <c r="L631" t="n">
        <v>0</v>
      </c>
      <c r="M631" t="n">
        <v>0</v>
      </c>
      <c r="N631" t="n">
        <v>0</v>
      </c>
      <c r="O631" t="n">
        <v>0</v>
      </c>
      <c r="P631" t="n">
        <v>0</v>
      </c>
      <c r="Q631" t="n">
        <v>0</v>
      </c>
      <c r="R631" s="2" t="inlineStr"/>
    </row>
    <row r="632" ht="15" customHeight="1">
      <c r="A632" t="inlineStr">
        <is>
          <t>A 49382-2023</t>
        </is>
      </c>
      <c r="B632" s="1" t="n">
        <v>45208</v>
      </c>
      <c r="C632" s="1" t="n">
        <v>45912</v>
      </c>
      <c r="D632" t="inlineStr">
        <is>
          <t>KALMAR LÄN</t>
        </is>
      </c>
      <c r="E632" t="inlineStr">
        <is>
          <t>VIMMERBY</t>
        </is>
      </c>
      <c r="G632" t="n">
        <v>2.2</v>
      </c>
      <c r="H632" t="n">
        <v>0</v>
      </c>
      <c r="I632" t="n">
        <v>0</v>
      </c>
      <c r="J632" t="n">
        <v>0</v>
      </c>
      <c r="K632" t="n">
        <v>0</v>
      </c>
      <c r="L632" t="n">
        <v>0</v>
      </c>
      <c r="M632" t="n">
        <v>0</v>
      </c>
      <c r="N632" t="n">
        <v>0</v>
      </c>
      <c r="O632" t="n">
        <v>0</v>
      </c>
      <c r="P632" t="n">
        <v>0</v>
      </c>
      <c r="Q632" t="n">
        <v>0</v>
      </c>
      <c r="R632" s="2" t="inlineStr"/>
    </row>
    <row r="633" ht="15" customHeight="1">
      <c r="A633" t="inlineStr">
        <is>
          <t>A 12810-2023</t>
        </is>
      </c>
      <c r="B633" s="1" t="n">
        <v>45001.43854166667</v>
      </c>
      <c r="C633" s="1" t="n">
        <v>45912</v>
      </c>
      <c r="D633" t="inlineStr">
        <is>
          <t>KALMAR LÄN</t>
        </is>
      </c>
      <c r="E633" t="inlineStr">
        <is>
          <t>VIMMERBY</t>
        </is>
      </c>
      <c r="G633" t="n">
        <v>1.5</v>
      </c>
      <c r="H633" t="n">
        <v>0</v>
      </c>
      <c r="I633" t="n">
        <v>0</v>
      </c>
      <c r="J633" t="n">
        <v>0</v>
      </c>
      <c r="K633" t="n">
        <v>0</v>
      </c>
      <c r="L633" t="n">
        <v>0</v>
      </c>
      <c r="M633" t="n">
        <v>0</v>
      </c>
      <c r="N633" t="n">
        <v>0</v>
      </c>
      <c r="O633" t="n">
        <v>0</v>
      </c>
      <c r="P633" t="n">
        <v>0</v>
      </c>
      <c r="Q633" t="n">
        <v>0</v>
      </c>
      <c r="R633" s="2" t="inlineStr"/>
    </row>
    <row r="634" ht="15" customHeight="1">
      <c r="A634" t="inlineStr">
        <is>
          <t>A 3425-2022</t>
        </is>
      </c>
      <c r="B634" s="1" t="n">
        <v>44585.51060185185</v>
      </c>
      <c r="C634" s="1" t="n">
        <v>45912</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60675-2023</t>
        </is>
      </c>
      <c r="B635" s="1" t="n">
        <v>45260.4716550926</v>
      </c>
      <c r="C635" s="1" t="n">
        <v>45912</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34597-2022</t>
        </is>
      </c>
      <c r="B636" s="1" t="n">
        <v>44795</v>
      </c>
      <c r="C636" s="1" t="n">
        <v>45912</v>
      </c>
      <c r="D636" t="inlineStr">
        <is>
          <t>KALMAR LÄN</t>
        </is>
      </c>
      <c r="E636" t="inlineStr">
        <is>
          <t>VIMMERBY</t>
        </is>
      </c>
      <c r="G636" t="n">
        <v>2.2</v>
      </c>
      <c r="H636" t="n">
        <v>0</v>
      </c>
      <c r="I636" t="n">
        <v>0</v>
      </c>
      <c r="J636" t="n">
        <v>0</v>
      </c>
      <c r="K636" t="n">
        <v>0</v>
      </c>
      <c r="L636" t="n">
        <v>0</v>
      </c>
      <c r="M636" t="n">
        <v>0</v>
      </c>
      <c r="N636" t="n">
        <v>0</v>
      </c>
      <c r="O636" t="n">
        <v>0</v>
      </c>
      <c r="P636" t="n">
        <v>0</v>
      </c>
      <c r="Q636" t="n">
        <v>0</v>
      </c>
      <c r="R636" s="2" t="inlineStr"/>
    </row>
    <row r="637" ht="15" customHeight="1">
      <c r="A637" t="inlineStr">
        <is>
          <t>A 2536-2023</t>
        </is>
      </c>
      <c r="B637" s="1" t="n">
        <v>44943.62954861111</v>
      </c>
      <c r="C637" s="1" t="n">
        <v>45912</v>
      </c>
      <c r="D637" t="inlineStr">
        <is>
          <t>KALMAR LÄN</t>
        </is>
      </c>
      <c r="E637" t="inlineStr">
        <is>
          <t>VIMMERBY</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64428-2023</t>
        </is>
      </c>
      <c r="B638" s="1" t="n">
        <v>45280.66769675926</v>
      </c>
      <c r="C638" s="1" t="n">
        <v>45912</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11111-2024</t>
        </is>
      </c>
      <c r="B639" s="1" t="n">
        <v>45371.36359953704</v>
      </c>
      <c r="C639" s="1" t="n">
        <v>45912</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30588-2023</t>
        </is>
      </c>
      <c r="B640" s="1" t="n">
        <v>45112.33599537037</v>
      </c>
      <c r="C640" s="1" t="n">
        <v>45912</v>
      </c>
      <c r="D640" t="inlineStr">
        <is>
          <t>KALMAR LÄN</t>
        </is>
      </c>
      <c r="E640" t="inlineStr">
        <is>
          <t>VIMMERBY</t>
        </is>
      </c>
      <c r="G640" t="n">
        <v>2.7</v>
      </c>
      <c r="H640" t="n">
        <v>0</v>
      </c>
      <c r="I640" t="n">
        <v>0</v>
      </c>
      <c r="J640" t="n">
        <v>0</v>
      </c>
      <c r="K640" t="n">
        <v>0</v>
      </c>
      <c r="L640" t="n">
        <v>0</v>
      </c>
      <c r="M640" t="n">
        <v>0</v>
      </c>
      <c r="N640" t="n">
        <v>0</v>
      </c>
      <c r="O640" t="n">
        <v>0</v>
      </c>
      <c r="P640" t="n">
        <v>0</v>
      </c>
      <c r="Q640" t="n">
        <v>0</v>
      </c>
      <c r="R640" s="2" t="inlineStr"/>
    </row>
    <row r="641" ht="15" customHeight="1">
      <c r="A641" t="inlineStr">
        <is>
          <t>A 30503-2023</t>
        </is>
      </c>
      <c r="B641" s="1" t="n">
        <v>45111</v>
      </c>
      <c r="C641" s="1" t="n">
        <v>45912</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34628-2025</t>
        </is>
      </c>
      <c r="B642" s="1" t="n">
        <v>45847.91280092593</v>
      </c>
      <c r="C642" s="1" t="n">
        <v>45912</v>
      </c>
      <c r="D642" t="inlineStr">
        <is>
          <t>KALMAR LÄN</t>
        </is>
      </c>
      <c r="E642" t="inlineStr">
        <is>
          <t>VIMMERBY</t>
        </is>
      </c>
      <c r="G642" t="n">
        <v>4.2</v>
      </c>
      <c r="H642" t="n">
        <v>0</v>
      </c>
      <c r="I642" t="n">
        <v>0</v>
      </c>
      <c r="J642" t="n">
        <v>0</v>
      </c>
      <c r="K642" t="n">
        <v>0</v>
      </c>
      <c r="L642" t="n">
        <v>0</v>
      </c>
      <c r="M642" t="n">
        <v>0</v>
      </c>
      <c r="N642" t="n">
        <v>0</v>
      </c>
      <c r="O642" t="n">
        <v>0</v>
      </c>
      <c r="P642" t="n">
        <v>0</v>
      </c>
      <c r="Q642" t="n">
        <v>0</v>
      </c>
      <c r="R642" s="2" t="inlineStr"/>
    </row>
    <row r="643" ht="15" customHeight="1">
      <c r="A643" t="inlineStr">
        <is>
          <t>A 1687-2023</t>
        </is>
      </c>
      <c r="B643" s="1" t="n">
        <v>44938</v>
      </c>
      <c r="C643" s="1" t="n">
        <v>45912</v>
      </c>
      <c r="D643" t="inlineStr">
        <is>
          <t>KALMAR LÄN</t>
        </is>
      </c>
      <c r="E643" t="inlineStr">
        <is>
          <t>VIMMERBY</t>
        </is>
      </c>
      <c r="F643" t="inlineStr">
        <is>
          <t>Kommuner</t>
        </is>
      </c>
      <c r="G643" t="n">
        <v>2.5</v>
      </c>
      <c r="H643" t="n">
        <v>0</v>
      </c>
      <c r="I643" t="n">
        <v>0</v>
      </c>
      <c r="J643" t="n">
        <v>0</v>
      </c>
      <c r="K643" t="n">
        <v>0</v>
      </c>
      <c r="L643" t="n">
        <v>0</v>
      </c>
      <c r="M643" t="n">
        <v>0</v>
      </c>
      <c r="N643" t="n">
        <v>0</v>
      </c>
      <c r="O643" t="n">
        <v>0</v>
      </c>
      <c r="P643" t="n">
        <v>0</v>
      </c>
      <c r="Q643" t="n">
        <v>0</v>
      </c>
      <c r="R643" s="2" t="inlineStr"/>
    </row>
    <row r="644" ht="15" customHeight="1">
      <c r="A644" t="inlineStr">
        <is>
          <t>A 39803-2025</t>
        </is>
      </c>
      <c r="B644" s="1" t="n">
        <v>45891.50525462963</v>
      </c>
      <c r="C644" s="1" t="n">
        <v>45912</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39807-2025</t>
        </is>
      </c>
      <c r="B645" s="1" t="n">
        <v>45891.50986111111</v>
      </c>
      <c r="C645" s="1" t="n">
        <v>45912</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3494-2023</t>
        </is>
      </c>
      <c r="B646" s="1" t="n">
        <v>44949</v>
      </c>
      <c r="C646" s="1" t="n">
        <v>45912</v>
      </c>
      <c r="D646" t="inlineStr">
        <is>
          <t>KALMAR LÄN</t>
        </is>
      </c>
      <c r="E646" t="inlineStr">
        <is>
          <t>VIMMERBY</t>
        </is>
      </c>
      <c r="F646" t="inlineStr">
        <is>
          <t>Kyrkan</t>
        </is>
      </c>
      <c r="G646" t="n">
        <v>0.8</v>
      </c>
      <c r="H646" t="n">
        <v>0</v>
      </c>
      <c r="I646" t="n">
        <v>0</v>
      </c>
      <c r="J646" t="n">
        <v>0</v>
      </c>
      <c r="K646" t="n">
        <v>0</v>
      </c>
      <c r="L646" t="n">
        <v>0</v>
      </c>
      <c r="M646" t="n">
        <v>0</v>
      </c>
      <c r="N646" t="n">
        <v>0</v>
      </c>
      <c r="O646" t="n">
        <v>0</v>
      </c>
      <c r="P646" t="n">
        <v>0</v>
      </c>
      <c r="Q646" t="n">
        <v>0</v>
      </c>
      <c r="R646" s="2" t="inlineStr"/>
    </row>
    <row r="647" ht="15" customHeight="1">
      <c r="A647" t="inlineStr">
        <is>
          <t>A 47263-2023</t>
        </is>
      </c>
      <c r="B647" s="1" t="n">
        <v>45202.4209837963</v>
      </c>
      <c r="C647" s="1" t="n">
        <v>45912</v>
      </c>
      <c r="D647" t="inlineStr">
        <is>
          <t>KALMAR LÄN</t>
        </is>
      </c>
      <c r="E647" t="inlineStr">
        <is>
          <t>VIMMERBY</t>
        </is>
      </c>
      <c r="G647" t="n">
        <v>1.8</v>
      </c>
      <c r="H647" t="n">
        <v>0</v>
      </c>
      <c r="I647" t="n">
        <v>0</v>
      </c>
      <c r="J647" t="n">
        <v>0</v>
      </c>
      <c r="K647" t="n">
        <v>0</v>
      </c>
      <c r="L647" t="n">
        <v>0</v>
      </c>
      <c r="M647" t="n">
        <v>0</v>
      </c>
      <c r="N647" t="n">
        <v>0</v>
      </c>
      <c r="O647" t="n">
        <v>0</v>
      </c>
      <c r="P647" t="n">
        <v>0</v>
      </c>
      <c r="Q647" t="n">
        <v>0</v>
      </c>
      <c r="R647" s="2" t="inlineStr"/>
    </row>
    <row r="648" ht="15" customHeight="1">
      <c r="A648" t="inlineStr">
        <is>
          <t>A 58100-2024</t>
        </is>
      </c>
      <c r="B648" s="1" t="n">
        <v>45632.36706018518</v>
      </c>
      <c r="C648" s="1" t="n">
        <v>45912</v>
      </c>
      <c r="D648" t="inlineStr">
        <is>
          <t>KALMAR LÄN</t>
        </is>
      </c>
      <c r="E648" t="inlineStr">
        <is>
          <t>VIMMERBY</t>
        </is>
      </c>
      <c r="G648" t="n">
        <v>0.9</v>
      </c>
      <c r="H648" t="n">
        <v>0</v>
      </c>
      <c r="I648" t="n">
        <v>0</v>
      </c>
      <c r="J648" t="n">
        <v>0</v>
      </c>
      <c r="K648" t="n">
        <v>0</v>
      </c>
      <c r="L648" t="n">
        <v>0</v>
      </c>
      <c r="M648" t="n">
        <v>0</v>
      </c>
      <c r="N648" t="n">
        <v>0</v>
      </c>
      <c r="O648" t="n">
        <v>0</v>
      </c>
      <c r="P648" t="n">
        <v>0</v>
      </c>
      <c r="Q648" t="n">
        <v>0</v>
      </c>
      <c r="R648" s="2" t="inlineStr"/>
    </row>
    <row r="649" ht="15" customHeight="1">
      <c r="A649" t="inlineStr">
        <is>
          <t>A 58159-2024</t>
        </is>
      </c>
      <c r="B649" s="1" t="n">
        <v>45632.44886574074</v>
      </c>
      <c r="C649" s="1" t="n">
        <v>45912</v>
      </c>
      <c r="D649" t="inlineStr">
        <is>
          <t>KALMAR LÄN</t>
        </is>
      </c>
      <c r="E649" t="inlineStr">
        <is>
          <t>VIMMERBY</t>
        </is>
      </c>
      <c r="G649" t="n">
        <v>7.5</v>
      </c>
      <c r="H649" t="n">
        <v>0</v>
      </c>
      <c r="I649" t="n">
        <v>0</v>
      </c>
      <c r="J649" t="n">
        <v>0</v>
      </c>
      <c r="K649" t="n">
        <v>0</v>
      </c>
      <c r="L649" t="n">
        <v>0</v>
      </c>
      <c r="M649" t="n">
        <v>0</v>
      </c>
      <c r="N649" t="n">
        <v>0</v>
      </c>
      <c r="O649" t="n">
        <v>0</v>
      </c>
      <c r="P649" t="n">
        <v>0</v>
      </c>
      <c r="Q649" t="n">
        <v>0</v>
      </c>
      <c r="R649" s="2" t="inlineStr"/>
    </row>
    <row r="650" ht="15" customHeight="1">
      <c r="A650" t="inlineStr">
        <is>
          <t>A 57114-2023</t>
        </is>
      </c>
      <c r="B650" s="1" t="n">
        <v>45245.36174768519</v>
      </c>
      <c r="C650" s="1" t="n">
        <v>45912</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3423-2022</t>
        </is>
      </c>
      <c r="B651" s="1" t="n">
        <v>44585.50431712963</v>
      </c>
      <c r="C651" s="1" t="n">
        <v>45912</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39736-2025</t>
        </is>
      </c>
      <c r="B652" s="1" t="n">
        <v>45891</v>
      </c>
      <c r="C652" s="1" t="n">
        <v>45912</v>
      </c>
      <c r="D652" t="inlineStr">
        <is>
          <t>KALMAR LÄN</t>
        </is>
      </c>
      <c r="E652" t="inlineStr">
        <is>
          <t>VIMMERBY</t>
        </is>
      </c>
      <c r="G652" t="n">
        <v>12.8</v>
      </c>
      <c r="H652" t="n">
        <v>0</v>
      </c>
      <c r="I652" t="n">
        <v>0</v>
      </c>
      <c r="J652" t="n">
        <v>0</v>
      </c>
      <c r="K652" t="n">
        <v>0</v>
      </c>
      <c r="L652" t="n">
        <v>0</v>
      </c>
      <c r="M652" t="n">
        <v>0</v>
      </c>
      <c r="N652" t="n">
        <v>0</v>
      </c>
      <c r="O652" t="n">
        <v>0</v>
      </c>
      <c r="P652" t="n">
        <v>0</v>
      </c>
      <c r="Q652" t="n">
        <v>0</v>
      </c>
      <c r="R652" s="2" t="inlineStr"/>
    </row>
    <row r="653" ht="15" customHeight="1">
      <c r="A653" t="inlineStr">
        <is>
          <t>A 15449-2023</t>
        </is>
      </c>
      <c r="B653" s="1" t="n">
        <v>45020</v>
      </c>
      <c r="C653" s="1" t="n">
        <v>45912</v>
      </c>
      <c r="D653" t="inlineStr">
        <is>
          <t>KALMAR LÄN</t>
        </is>
      </c>
      <c r="E653" t="inlineStr">
        <is>
          <t>VIMMERBY</t>
        </is>
      </c>
      <c r="G653" t="n">
        <v>0.5</v>
      </c>
      <c r="H653" t="n">
        <v>0</v>
      </c>
      <c r="I653" t="n">
        <v>0</v>
      </c>
      <c r="J653" t="n">
        <v>0</v>
      </c>
      <c r="K653" t="n">
        <v>0</v>
      </c>
      <c r="L653" t="n">
        <v>0</v>
      </c>
      <c r="M653" t="n">
        <v>0</v>
      </c>
      <c r="N653" t="n">
        <v>0</v>
      </c>
      <c r="O653" t="n">
        <v>0</v>
      </c>
      <c r="P653" t="n">
        <v>0</v>
      </c>
      <c r="Q653" t="n">
        <v>0</v>
      </c>
      <c r="R653" s="2" t="inlineStr"/>
    </row>
    <row r="654" ht="15" customHeight="1">
      <c r="A654" t="inlineStr">
        <is>
          <t>A 43242-2024</t>
        </is>
      </c>
      <c r="B654" s="1" t="n">
        <v>45568.30189814815</v>
      </c>
      <c r="C654" s="1" t="n">
        <v>45912</v>
      </c>
      <c r="D654" t="inlineStr">
        <is>
          <t>KALMAR LÄN</t>
        </is>
      </c>
      <c r="E654" t="inlineStr">
        <is>
          <t>VIMMERBY</t>
        </is>
      </c>
      <c r="G654" t="n">
        <v>2.6</v>
      </c>
      <c r="H654" t="n">
        <v>0</v>
      </c>
      <c r="I654" t="n">
        <v>0</v>
      </c>
      <c r="J654" t="n">
        <v>0</v>
      </c>
      <c r="K654" t="n">
        <v>0</v>
      </c>
      <c r="L654" t="n">
        <v>0</v>
      </c>
      <c r="M654" t="n">
        <v>0</v>
      </c>
      <c r="N654" t="n">
        <v>0</v>
      </c>
      <c r="O654" t="n">
        <v>0</v>
      </c>
      <c r="P654" t="n">
        <v>0</v>
      </c>
      <c r="Q654" t="n">
        <v>0</v>
      </c>
      <c r="R654" s="2" t="inlineStr"/>
    </row>
    <row r="655" ht="15" customHeight="1">
      <c r="A655" t="inlineStr">
        <is>
          <t>A 40665-2023</t>
        </is>
      </c>
      <c r="B655" s="1" t="n">
        <v>45170</v>
      </c>
      <c r="C655" s="1" t="n">
        <v>45912</v>
      </c>
      <c r="D655" t="inlineStr">
        <is>
          <t>KALMAR LÄN</t>
        </is>
      </c>
      <c r="E655" t="inlineStr">
        <is>
          <t>VIMMERBY</t>
        </is>
      </c>
      <c r="G655" t="n">
        <v>2.6</v>
      </c>
      <c r="H655" t="n">
        <v>0</v>
      </c>
      <c r="I655" t="n">
        <v>0</v>
      </c>
      <c r="J655" t="n">
        <v>0</v>
      </c>
      <c r="K655" t="n">
        <v>0</v>
      </c>
      <c r="L655" t="n">
        <v>0</v>
      </c>
      <c r="M655" t="n">
        <v>0</v>
      </c>
      <c r="N655" t="n">
        <v>0</v>
      </c>
      <c r="O655" t="n">
        <v>0</v>
      </c>
      <c r="P655" t="n">
        <v>0</v>
      </c>
      <c r="Q655" t="n">
        <v>0</v>
      </c>
      <c r="R655" s="2" t="inlineStr"/>
    </row>
    <row r="656" ht="15" customHeight="1">
      <c r="A656" t="inlineStr">
        <is>
          <t>A 39801-2025</t>
        </is>
      </c>
      <c r="B656" s="1" t="n">
        <v>45891.50216435185</v>
      </c>
      <c r="C656" s="1" t="n">
        <v>45912</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61878-2020</t>
        </is>
      </c>
      <c r="B657" s="1" t="n">
        <v>44159</v>
      </c>
      <c r="C657" s="1" t="n">
        <v>45912</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56853-2022</t>
        </is>
      </c>
      <c r="B658" s="1" t="n">
        <v>44894.49538194444</v>
      </c>
      <c r="C658" s="1" t="n">
        <v>45912</v>
      </c>
      <c r="D658" t="inlineStr">
        <is>
          <t>KALMAR LÄN</t>
        </is>
      </c>
      <c r="E658" t="inlineStr">
        <is>
          <t>VIMMERBY</t>
        </is>
      </c>
      <c r="G658" t="n">
        <v>4.3</v>
      </c>
      <c r="H658" t="n">
        <v>0</v>
      </c>
      <c r="I658" t="n">
        <v>0</v>
      </c>
      <c r="J658" t="n">
        <v>0</v>
      </c>
      <c r="K658" t="n">
        <v>0</v>
      </c>
      <c r="L658" t="n">
        <v>0</v>
      </c>
      <c r="M658" t="n">
        <v>0</v>
      </c>
      <c r="N658" t="n">
        <v>0</v>
      </c>
      <c r="O658" t="n">
        <v>0</v>
      </c>
      <c r="P658" t="n">
        <v>0</v>
      </c>
      <c r="Q658" t="n">
        <v>0</v>
      </c>
      <c r="R658" s="2" t="inlineStr"/>
    </row>
    <row r="659" ht="15" customHeight="1">
      <c r="A659" t="inlineStr">
        <is>
          <t>A 65049-2020</t>
        </is>
      </c>
      <c r="B659" s="1" t="n">
        <v>44172</v>
      </c>
      <c r="C659" s="1" t="n">
        <v>45912</v>
      </c>
      <c r="D659" t="inlineStr">
        <is>
          <t>KALMAR LÄN</t>
        </is>
      </c>
      <c r="E659" t="inlineStr">
        <is>
          <t>VIMMERBY</t>
        </is>
      </c>
      <c r="G659" t="n">
        <v>2.3</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44790.45876157407</v>
      </c>
      <c r="C660" s="1" t="n">
        <v>45912</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33842-2022</t>
        </is>
      </c>
      <c r="B661" s="1" t="n">
        <v>44790.49523148148</v>
      </c>
      <c r="C661" s="1" t="n">
        <v>45912</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50860-2022</t>
        </is>
      </c>
      <c r="B662" s="1" t="n">
        <v>44867</v>
      </c>
      <c r="C662" s="1" t="n">
        <v>45912</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25370-2022</t>
        </is>
      </c>
      <c r="B663" s="1" t="n">
        <v>44732.3659837963</v>
      </c>
      <c r="C663" s="1" t="n">
        <v>45912</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39889-2025</t>
        </is>
      </c>
      <c r="B664" s="1" t="n">
        <v>45891</v>
      </c>
      <c r="C664" s="1" t="n">
        <v>45912</v>
      </c>
      <c r="D664" t="inlineStr">
        <is>
          <t>KALMAR LÄN</t>
        </is>
      </c>
      <c r="E664" t="inlineStr">
        <is>
          <t>VIMMERBY</t>
        </is>
      </c>
      <c r="G664" t="n">
        <v>4.5</v>
      </c>
      <c r="H664" t="n">
        <v>0</v>
      </c>
      <c r="I664" t="n">
        <v>0</v>
      </c>
      <c r="J664" t="n">
        <v>0</v>
      </c>
      <c r="K664" t="n">
        <v>0</v>
      </c>
      <c r="L664" t="n">
        <v>0</v>
      </c>
      <c r="M664" t="n">
        <v>0</v>
      </c>
      <c r="N664" t="n">
        <v>0</v>
      </c>
      <c r="O664" t="n">
        <v>0</v>
      </c>
      <c r="P664" t="n">
        <v>0</v>
      </c>
      <c r="Q664" t="n">
        <v>0</v>
      </c>
      <c r="R664" s="2" t="inlineStr"/>
    </row>
    <row r="665" ht="15" customHeight="1">
      <c r="A665" t="inlineStr">
        <is>
          <t>A 58577-2024</t>
        </is>
      </c>
      <c r="B665" s="1" t="n">
        <v>45635.4874537037</v>
      </c>
      <c r="C665" s="1" t="n">
        <v>45912</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40925-2025</t>
        </is>
      </c>
      <c r="B666" s="1" t="n">
        <v>45897.64208333333</v>
      </c>
      <c r="C666" s="1" t="n">
        <v>45912</v>
      </c>
      <c r="D666" t="inlineStr">
        <is>
          <t>KALMAR LÄN</t>
        </is>
      </c>
      <c r="E666" t="inlineStr">
        <is>
          <t>VIMMERBY</t>
        </is>
      </c>
      <c r="G666" t="n">
        <v>1.9</v>
      </c>
      <c r="H666" t="n">
        <v>0</v>
      </c>
      <c r="I666" t="n">
        <v>0</v>
      </c>
      <c r="J666" t="n">
        <v>0</v>
      </c>
      <c r="K666" t="n">
        <v>0</v>
      </c>
      <c r="L666" t="n">
        <v>0</v>
      </c>
      <c r="M666" t="n">
        <v>0</v>
      </c>
      <c r="N666" t="n">
        <v>0</v>
      </c>
      <c r="O666" t="n">
        <v>0</v>
      </c>
      <c r="P666" t="n">
        <v>0</v>
      </c>
      <c r="Q666" t="n">
        <v>0</v>
      </c>
      <c r="R666" s="2" t="inlineStr"/>
    </row>
    <row r="667" ht="15" customHeight="1">
      <c r="A667" t="inlineStr">
        <is>
          <t>A 29440-2024</t>
        </is>
      </c>
      <c r="B667" s="1" t="n">
        <v>45483.82479166667</v>
      </c>
      <c r="C667" s="1" t="n">
        <v>45912</v>
      </c>
      <c r="D667" t="inlineStr">
        <is>
          <t>KALMAR LÄN</t>
        </is>
      </c>
      <c r="E667" t="inlineStr">
        <is>
          <t>VIMMERBY</t>
        </is>
      </c>
      <c r="G667" t="n">
        <v>4.5</v>
      </c>
      <c r="H667" t="n">
        <v>0</v>
      </c>
      <c r="I667" t="n">
        <v>0</v>
      </c>
      <c r="J667" t="n">
        <v>0</v>
      </c>
      <c r="K667" t="n">
        <v>0</v>
      </c>
      <c r="L667" t="n">
        <v>0</v>
      </c>
      <c r="M667" t="n">
        <v>0</v>
      </c>
      <c r="N667" t="n">
        <v>0</v>
      </c>
      <c r="O667" t="n">
        <v>0</v>
      </c>
      <c r="P667" t="n">
        <v>0</v>
      </c>
      <c r="Q667" t="n">
        <v>0</v>
      </c>
      <c r="R667" s="2" t="inlineStr"/>
    </row>
    <row r="668" ht="15" customHeight="1">
      <c r="A668" t="inlineStr">
        <is>
          <t>A 40973-2025</t>
        </is>
      </c>
      <c r="B668" s="1" t="n">
        <v>45897.89737268518</v>
      </c>
      <c r="C668" s="1" t="n">
        <v>45912</v>
      </c>
      <c r="D668" t="inlineStr">
        <is>
          <t>KALMAR LÄN</t>
        </is>
      </c>
      <c r="E668" t="inlineStr">
        <is>
          <t>VIMMERBY</t>
        </is>
      </c>
      <c r="G668" t="n">
        <v>1.8</v>
      </c>
      <c r="H668" t="n">
        <v>0</v>
      </c>
      <c r="I668" t="n">
        <v>0</v>
      </c>
      <c r="J668" t="n">
        <v>0</v>
      </c>
      <c r="K668" t="n">
        <v>0</v>
      </c>
      <c r="L668" t="n">
        <v>0</v>
      </c>
      <c r="M668" t="n">
        <v>0</v>
      </c>
      <c r="N668" t="n">
        <v>0</v>
      </c>
      <c r="O668" t="n">
        <v>0</v>
      </c>
      <c r="P668" t="n">
        <v>0</v>
      </c>
      <c r="Q668" t="n">
        <v>0</v>
      </c>
      <c r="R668" s="2" t="inlineStr"/>
    </row>
    <row r="669" ht="15" customHeight="1">
      <c r="A669" t="inlineStr">
        <is>
          <t>A 49408-2023</t>
        </is>
      </c>
      <c r="B669" s="1" t="n">
        <v>45211.43555555555</v>
      </c>
      <c r="C669" s="1" t="n">
        <v>45912</v>
      </c>
      <c r="D669" t="inlineStr">
        <is>
          <t>KALMAR LÄN</t>
        </is>
      </c>
      <c r="E669" t="inlineStr">
        <is>
          <t>VIMMERBY</t>
        </is>
      </c>
      <c r="G669" t="n">
        <v>13.1</v>
      </c>
      <c r="H669" t="n">
        <v>0</v>
      </c>
      <c r="I669" t="n">
        <v>0</v>
      </c>
      <c r="J669" t="n">
        <v>0</v>
      </c>
      <c r="K669" t="n">
        <v>0</v>
      </c>
      <c r="L669" t="n">
        <v>0</v>
      </c>
      <c r="M669" t="n">
        <v>0</v>
      </c>
      <c r="N669" t="n">
        <v>0</v>
      </c>
      <c r="O669" t="n">
        <v>0</v>
      </c>
      <c r="P669" t="n">
        <v>0</v>
      </c>
      <c r="Q669" t="n">
        <v>0</v>
      </c>
      <c r="R669" s="2" t="inlineStr"/>
    </row>
    <row r="670" ht="15" customHeight="1">
      <c r="A670" t="inlineStr">
        <is>
          <t>A 35270-2025</t>
        </is>
      </c>
      <c r="B670" s="1" t="n">
        <v>45853.87112268519</v>
      </c>
      <c r="C670" s="1" t="n">
        <v>45912</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56536-2022</t>
        </is>
      </c>
      <c r="B671" s="1" t="n">
        <v>44893</v>
      </c>
      <c r="C671" s="1" t="n">
        <v>45912</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35271-2025</t>
        </is>
      </c>
      <c r="B672" s="1" t="n">
        <v>45853.87599537037</v>
      </c>
      <c r="C672" s="1" t="n">
        <v>45912</v>
      </c>
      <c r="D672" t="inlineStr">
        <is>
          <t>KALMAR LÄN</t>
        </is>
      </c>
      <c r="E672" t="inlineStr">
        <is>
          <t>VIMMERBY</t>
        </is>
      </c>
      <c r="G672" t="n">
        <v>0.4</v>
      </c>
      <c r="H672" t="n">
        <v>0</v>
      </c>
      <c r="I672" t="n">
        <v>0</v>
      </c>
      <c r="J672" t="n">
        <v>0</v>
      </c>
      <c r="K672" t="n">
        <v>0</v>
      </c>
      <c r="L672" t="n">
        <v>0</v>
      </c>
      <c r="M672" t="n">
        <v>0</v>
      </c>
      <c r="N672" t="n">
        <v>0</v>
      </c>
      <c r="O672" t="n">
        <v>0</v>
      </c>
      <c r="P672" t="n">
        <v>0</v>
      </c>
      <c r="Q672" t="n">
        <v>0</v>
      </c>
      <c r="R672" s="2" t="inlineStr"/>
    </row>
    <row r="673" ht="15" customHeight="1">
      <c r="A673" t="inlineStr">
        <is>
          <t>A 35272-2025</t>
        </is>
      </c>
      <c r="B673" s="1" t="n">
        <v>45853.88070601852</v>
      </c>
      <c r="C673" s="1" t="n">
        <v>45912</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41199-2023</t>
        </is>
      </c>
      <c r="B674" s="1" t="n">
        <v>45174.40454861111</v>
      </c>
      <c r="C674" s="1" t="n">
        <v>45912</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40971-2025</t>
        </is>
      </c>
      <c r="B675" s="1" t="n">
        <v>45897.88836805556</v>
      </c>
      <c r="C675" s="1" t="n">
        <v>45912</v>
      </c>
      <c r="D675" t="inlineStr">
        <is>
          <t>KALMAR LÄN</t>
        </is>
      </c>
      <c r="E675" t="inlineStr">
        <is>
          <t>VIMMERBY</t>
        </is>
      </c>
      <c r="G675" t="n">
        <v>1.5</v>
      </c>
      <c r="H675" t="n">
        <v>0</v>
      </c>
      <c r="I675" t="n">
        <v>0</v>
      </c>
      <c r="J675" t="n">
        <v>0</v>
      </c>
      <c r="K675" t="n">
        <v>0</v>
      </c>
      <c r="L675" t="n">
        <v>0</v>
      </c>
      <c r="M675" t="n">
        <v>0</v>
      </c>
      <c r="N675" t="n">
        <v>0</v>
      </c>
      <c r="O675" t="n">
        <v>0</v>
      </c>
      <c r="P675" t="n">
        <v>0</v>
      </c>
      <c r="Q675" t="n">
        <v>0</v>
      </c>
      <c r="R675" s="2" t="inlineStr"/>
    </row>
    <row r="676" ht="15" customHeight="1">
      <c r="A676" t="inlineStr">
        <is>
          <t>A 40970-2025</t>
        </is>
      </c>
      <c r="B676" s="1" t="n">
        <v>45897.88706018519</v>
      </c>
      <c r="C676" s="1" t="n">
        <v>45912</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40921-2025</t>
        </is>
      </c>
      <c r="B677" s="1" t="n">
        <v>45897.63520833333</v>
      </c>
      <c r="C677" s="1" t="n">
        <v>45912</v>
      </c>
      <c r="D677" t="inlineStr">
        <is>
          <t>KALMAR LÄN</t>
        </is>
      </c>
      <c r="E677" t="inlineStr">
        <is>
          <t>VIMMERBY</t>
        </is>
      </c>
      <c r="G677" t="n">
        <v>4.2</v>
      </c>
      <c r="H677" t="n">
        <v>0</v>
      </c>
      <c r="I677" t="n">
        <v>0</v>
      </c>
      <c r="J677" t="n">
        <v>0</v>
      </c>
      <c r="K677" t="n">
        <v>0</v>
      </c>
      <c r="L677" t="n">
        <v>0</v>
      </c>
      <c r="M677" t="n">
        <v>0</v>
      </c>
      <c r="N677" t="n">
        <v>0</v>
      </c>
      <c r="O677" t="n">
        <v>0</v>
      </c>
      <c r="P677" t="n">
        <v>0</v>
      </c>
      <c r="Q677" t="n">
        <v>0</v>
      </c>
      <c r="R677" s="2" t="inlineStr"/>
    </row>
    <row r="678" ht="15" customHeight="1">
      <c r="A678" t="inlineStr">
        <is>
          <t>A 16953-2025</t>
        </is>
      </c>
      <c r="B678" s="1" t="n">
        <v>45755.44333333334</v>
      </c>
      <c r="C678" s="1" t="n">
        <v>45912</v>
      </c>
      <c r="D678" t="inlineStr">
        <is>
          <t>KALMAR LÄN</t>
        </is>
      </c>
      <c r="E678" t="inlineStr">
        <is>
          <t>VIMMERBY</t>
        </is>
      </c>
      <c r="G678" t="n">
        <v>2</v>
      </c>
      <c r="H678" t="n">
        <v>0</v>
      </c>
      <c r="I678" t="n">
        <v>0</v>
      </c>
      <c r="J678" t="n">
        <v>0</v>
      </c>
      <c r="K678" t="n">
        <v>0</v>
      </c>
      <c r="L678" t="n">
        <v>0</v>
      </c>
      <c r="M678" t="n">
        <v>0</v>
      </c>
      <c r="N678" t="n">
        <v>0</v>
      </c>
      <c r="O678" t="n">
        <v>0</v>
      </c>
      <c r="P678" t="n">
        <v>0</v>
      </c>
      <c r="Q678" t="n">
        <v>0</v>
      </c>
      <c r="R678" s="2" t="inlineStr"/>
    </row>
    <row r="679" ht="15" customHeight="1">
      <c r="A679" t="inlineStr">
        <is>
          <t>A 35596-2025</t>
        </is>
      </c>
      <c r="B679" s="1" t="n">
        <v>45858.60641203704</v>
      </c>
      <c r="C679" s="1" t="n">
        <v>45912</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9129-2025</t>
        </is>
      </c>
      <c r="B680" s="1" t="n">
        <v>45713.92412037037</v>
      </c>
      <c r="C680" s="1" t="n">
        <v>45912</v>
      </c>
      <c r="D680" t="inlineStr">
        <is>
          <t>KALMAR LÄN</t>
        </is>
      </c>
      <c r="E680" t="inlineStr">
        <is>
          <t>VIMMERBY</t>
        </is>
      </c>
      <c r="G680" t="n">
        <v>2.8</v>
      </c>
      <c r="H680" t="n">
        <v>0</v>
      </c>
      <c r="I680" t="n">
        <v>0</v>
      </c>
      <c r="J680" t="n">
        <v>0</v>
      </c>
      <c r="K680" t="n">
        <v>0</v>
      </c>
      <c r="L680" t="n">
        <v>0</v>
      </c>
      <c r="M680" t="n">
        <v>0</v>
      </c>
      <c r="N680" t="n">
        <v>0</v>
      </c>
      <c r="O680" t="n">
        <v>0</v>
      </c>
      <c r="P680" t="n">
        <v>0</v>
      </c>
      <c r="Q680" t="n">
        <v>0</v>
      </c>
      <c r="R680" s="2" t="inlineStr"/>
    </row>
    <row r="681" ht="15" customHeight="1">
      <c r="A681" t="inlineStr">
        <is>
          <t>A 22197-2024</t>
        </is>
      </c>
      <c r="B681" s="1" t="n">
        <v>45446.36774305555</v>
      </c>
      <c r="C681" s="1" t="n">
        <v>45912</v>
      </c>
      <c r="D681" t="inlineStr">
        <is>
          <t>KALMAR LÄN</t>
        </is>
      </c>
      <c r="E681" t="inlineStr">
        <is>
          <t>VIMMERBY</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53752-2024</t>
        </is>
      </c>
      <c r="B682" s="1" t="n">
        <v>45615.48927083334</v>
      </c>
      <c r="C682" s="1" t="n">
        <v>45912</v>
      </c>
      <c r="D682" t="inlineStr">
        <is>
          <t>KALMAR LÄN</t>
        </is>
      </c>
      <c r="E682" t="inlineStr">
        <is>
          <t>VIMMERBY</t>
        </is>
      </c>
      <c r="G682" t="n">
        <v>2.4</v>
      </c>
      <c r="H682" t="n">
        <v>0</v>
      </c>
      <c r="I682" t="n">
        <v>0</v>
      </c>
      <c r="J682" t="n">
        <v>0</v>
      </c>
      <c r="K682" t="n">
        <v>0</v>
      </c>
      <c r="L682" t="n">
        <v>0</v>
      </c>
      <c r="M682" t="n">
        <v>0</v>
      </c>
      <c r="N682" t="n">
        <v>0</v>
      </c>
      <c r="O682" t="n">
        <v>0</v>
      </c>
      <c r="P682" t="n">
        <v>0</v>
      </c>
      <c r="Q682" t="n">
        <v>0</v>
      </c>
      <c r="R682" s="2" t="inlineStr"/>
    </row>
    <row r="683" ht="15" customHeight="1">
      <c r="A683" t="inlineStr">
        <is>
          <t>A 41589-2025</t>
        </is>
      </c>
      <c r="B683" s="1" t="n">
        <v>45901.63219907408</v>
      </c>
      <c r="C683" s="1" t="n">
        <v>45912</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41591-2025</t>
        </is>
      </c>
      <c r="B684" s="1" t="n">
        <v>45901.6327662037</v>
      </c>
      <c r="C684" s="1" t="n">
        <v>45912</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8945-2025</t>
        </is>
      </c>
      <c r="B685" s="1" t="n">
        <v>45713.45311342592</v>
      </c>
      <c r="C685" s="1" t="n">
        <v>45912</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35597-2025</t>
        </is>
      </c>
      <c r="B686" s="1" t="n">
        <v>45858.66019675926</v>
      </c>
      <c r="C686" s="1" t="n">
        <v>45912</v>
      </c>
      <c r="D686" t="inlineStr">
        <is>
          <t>KALMAR LÄN</t>
        </is>
      </c>
      <c r="E686" t="inlineStr">
        <is>
          <t>VIMMERBY</t>
        </is>
      </c>
      <c r="G686" t="n">
        <v>6.4</v>
      </c>
      <c r="H686" t="n">
        <v>0</v>
      </c>
      <c r="I686" t="n">
        <v>0</v>
      </c>
      <c r="J686" t="n">
        <v>0</v>
      </c>
      <c r="K686" t="n">
        <v>0</v>
      </c>
      <c r="L686" t="n">
        <v>0</v>
      </c>
      <c r="M686" t="n">
        <v>0</v>
      </c>
      <c r="N686" t="n">
        <v>0</v>
      </c>
      <c r="O686" t="n">
        <v>0</v>
      </c>
      <c r="P686" t="n">
        <v>0</v>
      </c>
      <c r="Q686" t="n">
        <v>0</v>
      </c>
      <c r="R686" s="2" t="inlineStr"/>
    </row>
    <row r="687" ht="15" customHeight="1">
      <c r="A687" t="inlineStr">
        <is>
          <t>A 11619-2023</t>
        </is>
      </c>
      <c r="B687" s="1" t="n">
        <v>44994.42113425926</v>
      </c>
      <c r="C687" s="1" t="n">
        <v>45912</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12121-2025</t>
        </is>
      </c>
      <c r="B688" s="1" t="n">
        <v>45729.36868055556</v>
      </c>
      <c r="C688" s="1" t="n">
        <v>45912</v>
      </c>
      <c r="D688" t="inlineStr">
        <is>
          <t>KALMAR LÄN</t>
        </is>
      </c>
      <c r="E688" t="inlineStr">
        <is>
          <t>VIMMERBY</t>
        </is>
      </c>
      <c r="G688" t="n">
        <v>4.3</v>
      </c>
      <c r="H688" t="n">
        <v>0</v>
      </c>
      <c r="I688" t="n">
        <v>0</v>
      </c>
      <c r="J688" t="n">
        <v>0</v>
      </c>
      <c r="K688" t="n">
        <v>0</v>
      </c>
      <c r="L688" t="n">
        <v>0</v>
      </c>
      <c r="M688" t="n">
        <v>0</v>
      </c>
      <c r="N688" t="n">
        <v>0</v>
      </c>
      <c r="O688" t="n">
        <v>0</v>
      </c>
      <c r="P688" t="n">
        <v>0</v>
      </c>
      <c r="Q688" t="n">
        <v>0</v>
      </c>
      <c r="R688" s="2" t="inlineStr"/>
    </row>
    <row r="689" ht="15" customHeight="1">
      <c r="A689" t="inlineStr">
        <is>
          <t>A 41896-2023</t>
        </is>
      </c>
      <c r="B689" s="1" t="n">
        <v>45176.72427083334</v>
      </c>
      <c r="C689" s="1" t="n">
        <v>45912</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41224-2025</t>
        </is>
      </c>
      <c r="B690" s="1" t="n">
        <v>45898.58861111111</v>
      </c>
      <c r="C690" s="1" t="n">
        <v>45912</v>
      </c>
      <c r="D690" t="inlineStr">
        <is>
          <t>KALMAR LÄN</t>
        </is>
      </c>
      <c r="E690" t="inlineStr">
        <is>
          <t>VIMMERBY</t>
        </is>
      </c>
      <c r="G690" t="n">
        <v>4.4</v>
      </c>
      <c r="H690" t="n">
        <v>0</v>
      </c>
      <c r="I690" t="n">
        <v>0</v>
      </c>
      <c r="J690" t="n">
        <v>0</v>
      </c>
      <c r="K690" t="n">
        <v>0</v>
      </c>
      <c r="L690" t="n">
        <v>0</v>
      </c>
      <c r="M690" t="n">
        <v>0</v>
      </c>
      <c r="N690" t="n">
        <v>0</v>
      </c>
      <c r="O690" t="n">
        <v>0</v>
      </c>
      <c r="P690" t="n">
        <v>0</v>
      </c>
      <c r="Q690" t="n">
        <v>0</v>
      </c>
      <c r="R690" s="2" t="inlineStr"/>
    </row>
    <row r="691" ht="15" customHeight="1">
      <c r="A691" t="inlineStr">
        <is>
          <t>A 9710-2023</t>
        </is>
      </c>
      <c r="B691" s="1" t="n">
        <v>44984</v>
      </c>
      <c r="C691" s="1" t="n">
        <v>45912</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9720-2023</t>
        </is>
      </c>
      <c r="B692" s="1" t="n">
        <v>44984</v>
      </c>
      <c r="C692" s="1" t="n">
        <v>45912</v>
      </c>
      <c r="D692" t="inlineStr">
        <is>
          <t>KALMAR LÄN</t>
        </is>
      </c>
      <c r="E692" t="inlineStr">
        <is>
          <t>VIMMERBY</t>
        </is>
      </c>
      <c r="G692" t="n">
        <v>4.4</v>
      </c>
      <c r="H692" t="n">
        <v>0</v>
      </c>
      <c r="I692" t="n">
        <v>0</v>
      </c>
      <c r="J692" t="n">
        <v>0</v>
      </c>
      <c r="K692" t="n">
        <v>0</v>
      </c>
      <c r="L692" t="n">
        <v>0</v>
      </c>
      <c r="M692" t="n">
        <v>0</v>
      </c>
      <c r="N692" t="n">
        <v>0</v>
      </c>
      <c r="O692" t="n">
        <v>0</v>
      </c>
      <c r="P692" t="n">
        <v>0</v>
      </c>
      <c r="Q692" t="n">
        <v>0</v>
      </c>
      <c r="R692" s="2" t="inlineStr"/>
    </row>
    <row r="693" ht="15" customHeight="1">
      <c r="A693" t="inlineStr">
        <is>
          <t>A 17926-2025</t>
        </is>
      </c>
      <c r="B693" s="1" t="n">
        <v>45759.38987268518</v>
      </c>
      <c r="C693" s="1" t="n">
        <v>45912</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15493-2023</t>
        </is>
      </c>
      <c r="B694" s="1" t="n">
        <v>45018</v>
      </c>
      <c r="C694" s="1" t="n">
        <v>45912</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21028-2023</t>
        </is>
      </c>
      <c r="B695" s="1" t="n">
        <v>45061</v>
      </c>
      <c r="C695" s="1" t="n">
        <v>45912</v>
      </c>
      <c r="D695" t="inlineStr">
        <is>
          <t>KALMAR LÄN</t>
        </is>
      </c>
      <c r="E695" t="inlineStr">
        <is>
          <t>VIMMERBY</t>
        </is>
      </c>
      <c r="F695" t="inlineStr">
        <is>
          <t>Övriga Aktiebolag</t>
        </is>
      </c>
      <c r="G695" t="n">
        <v>0.7</v>
      </c>
      <c r="H695" t="n">
        <v>0</v>
      </c>
      <c r="I695" t="n">
        <v>0</v>
      </c>
      <c r="J695" t="n">
        <v>0</v>
      </c>
      <c r="K695" t="n">
        <v>0</v>
      </c>
      <c r="L695" t="n">
        <v>0</v>
      </c>
      <c r="M695" t="n">
        <v>0</v>
      </c>
      <c r="N695" t="n">
        <v>0</v>
      </c>
      <c r="O695" t="n">
        <v>0</v>
      </c>
      <c r="P695" t="n">
        <v>0</v>
      </c>
      <c r="Q695" t="n">
        <v>0</v>
      </c>
      <c r="R695" s="2" t="inlineStr"/>
    </row>
    <row r="696" ht="15" customHeight="1">
      <c r="A696" t="inlineStr">
        <is>
          <t>A 19445-2021</t>
        </is>
      </c>
      <c r="B696" s="1" t="n">
        <v>44310</v>
      </c>
      <c r="C696" s="1" t="n">
        <v>45912</v>
      </c>
      <c r="D696" t="inlineStr">
        <is>
          <t>KALMAR LÄN</t>
        </is>
      </c>
      <c r="E696" t="inlineStr">
        <is>
          <t>VIMMERBY</t>
        </is>
      </c>
      <c r="G696" t="n">
        <v>6.8</v>
      </c>
      <c r="H696" t="n">
        <v>0</v>
      </c>
      <c r="I696" t="n">
        <v>0</v>
      </c>
      <c r="J696" t="n">
        <v>0</v>
      </c>
      <c r="K696" t="n">
        <v>0</v>
      </c>
      <c r="L696" t="n">
        <v>0</v>
      </c>
      <c r="M696" t="n">
        <v>0</v>
      </c>
      <c r="N696" t="n">
        <v>0</v>
      </c>
      <c r="O696" t="n">
        <v>0</v>
      </c>
      <c r="P696" t="n">
        <v>0</v>
      </c>
      <c r="Q696" t="n">
        <v>0</v>
      </c>
      <c r="R696" s="2" t="inlineStr"/>
    </row>
    <row r="697" ht="15" customHeight="1">
      <c r="A697" t="inlineStr">
        <is>
          <t>A 27122-2023</t>
        </is>
      </c>
      <c r="B697" s="1" t="n">
        <v>45096.45247685185</v>
      </c>
      <c r="C697" s="1" t="n">
        <v>45912</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41735-2025</t>
        </is>
      </c>
      <c r="B698" s="1" t="n">
        <v>45902.47164351852</v>
      </c>
      <c r="C698" s="1" t="n">
        <v>45912</v>
      </c>
      <c r="D698" t="inlineStr">
        <is>
          <t>KALMAR LÄN</t>
        </is>
      </c>
      <c r="E698" t="inlineStr">
        <is>
          <t>VIMMERBY</t>
        </is>
      </c>
      <c r="G698" t="n">
        <v>3</v>
      </c>
      <c r="H698" t="n">
        <v>0</v>
      </c>
      <c r="I698" t="n">
        <v>0</v>
      </c>
      <c r="J698" t="n">
        <v>0</v>
      </c>
      <c r="K698" t="n">
        <v>0</v>
      </c>
      <c r="L698" t="n">
        <v>0</v>
      </c>
      <c r="M698" t="n">
        <v>0</v>
      </c>
      <c r="N698" t="n">
        <v>0</v>
      </c>
      <c r="O698" t="n">
        <v>0</v>
      </c>
      <c r="P698" t="n">
        <v>0</v>
      </c>
      <c r="Q698" t="n">
        <v>0</v>
      </c>
      <c r="R698" s="2" t="inlineStr"/>
    </row>
    <row r="699" ht="15" customHeight="1">
      <c r="A699" t="inlineStr">
        <is>
          <t>A 13813-2024</t>
        </is>
      </c>
      <c r="B699" s="1" t="n">
        <v>45391.41310185185</v>
      </c>
      <c r="C699" s="1" t="n">
        <v>45912</v>
      </c>
      <c r="D699" t="inlineStr">
        <is>
          <t>KALMAR LÄN</t>
        </is>
      </c>
      <c r="E699" t="inlineStr">
        <is>
          <t>VIMMERBY</t>
        </is>
      </c>
      <c r="G699" t="n">
        <v>0.4</v>
      </c>
      <c r="H699" t="n">
        <v>0</v>
      </c>
      <c r="I699" t="n">
        <v>0</v>
      </c>
      <c r="J699" t="n">
        <v>0</v>
      </c>
      <c r="K699" t="n">
        <v>0</v>
      </c>
      <c r="L699" t="n">
        <v>0</v>
      </c>
      <c r="M699" t="n">
        <v>0</v>
      </c>
      <c r="N699" t="n">
        <v>0</v>
      </c>
      <c r="O699" t="n">
        <v>0</v>
      </c>
      <c r="P699" t="n">
        <v>0</v>
      </c>
      <c r="Q699" t="n">
        <v>0</v>
      </c>
      <c r="R699" s="2" t="inlineStr"/>
    </row>
    <row r="700" ht="15" customHeight="1">
      <c r="A700" t="inlineStr">
        <is>
          <t>A 38969-2023</t>
        </is>
      </c>
      <c r="B700" s="1" t="n">
        <v>45163.63621527778</v>
      </c>
      <c r="C700" s="1" t="n">
        <v>45912</v>
      </c>
      <c r="D700" t="inlineStr">
        <is>
          <t>KALMAR LÄN</t>
        </is>
      </c>
      <c r="E700" t="inlineStr">
        <is>
          <t>VIMMERBY</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29093-2023</t>
        </is>
      </c>
      <c r="B701" s="1" t="n">
        <v>45105</v>
      </c>
      <c r="C701" s="1" t="n">
        <v>45912</v>
      </c>
      <c r="D701" t="inlineStr">
        <is>
          <t>KALMAR LÄN</t>
        </is>
      </c>
      <c r="E701" t="inlineStr">
        <is>
          <t>VIMMERBY</t>
        </is>
      </c>
      <c r="G701" t="n">
        <v>2.9</v>
      </c>
      <c r="H701" t="n">
        <v>0</v>
      </c>
      <c r="I701" t="n">
        <v>0</v>
      </c>
      <c r="J701" t="n">
        <v>0</v>
      </c>
      <c r="K701" t="n">
        <v>0</v>
      </c>
      <c r="L701" t="n">
        <v>0</v>
      </c>
      <c r="M701" t="n">
        <v>0</v>
      </c>
      <c r="N701" t="n">
        <v>0</v>
      </c>
      <c r="O701" t="n">
        <v>0</v>
      </c>
      <c r="P701" t="n">
        <v>0</v>
      </c>
      <c r="Q701" t="n">
        <v>0</v>
      </c>
      <c r="R701" s="2" t="inlineStr"/>
    </row>
    <row r="702" ht="15" customHeight="1">
      <c r="A702" t="inlineStr">
        <is>
          <t>A 33352-2022</t>
        </is>
      </c>
      <c r="B702" s="1" t="n">
        <v>44788</v>
      </c>
      <c r="C702" s="1" t="n">
        <v>45912</v>
      </c>
      <c r="D702" t="inlineStr">
        <is>
          <t>KALMAR LÄN</t>
        </is>
      </c>
      <c r="E702" t="inlineStr">
        <is>
          <t>VIMMERBY</t>
        </is>
      </c>
      <c r="G702" t="n">
        <v>0.8</v>
      </c>
      <c r="H702" t="n">
        <v>0</v>
      </c>
      <c r="I702" t="n">
        <v>0</v>
      </c>
      <c r="J702" t="n">
        <v>0</v>
      </c>
      <c r="K702" t="n">
        <v>0</v>
      </c>
      <c r="L702" t="n">
        <v>0</v>
      </c>
      <c r="M702" t="n">
        <v>0</v>
      </c>
      <c r="N702" t="n">
        <v>0</v>
      </c>
      <c r="O702" t="n">
        <v>0</v>
      </c>
      <c r="P702" t="n">
        <v>0</v>
      </c>
      <c r="Q702" t="n">
        <v>0</v>
      </c>
      <c r="R702" s="2" t="inlineStr"/>
    </row>
    <row r="703" ht="15" customHeight="1">
      <c r="A703" t="inlineStr">
        <is>
          <t>A 41896-2025</t>
        </is>
      </c>
      <c r="B703" s="1" t="n">
        <v>45903.38800925926</v>
      </c>
      <c r="C703" s="1" t="n">
        <v>45912</v>
      </c>
      <c r="D703" t="inlineStr">
        <is>
          <t>KALMAR LÄN</t>
        </is>
      </c>
      <c r="E703" t="inlineStr">
        <is>
          <t>VIMMERBY</t>
        </is>
      </c>
      <c r="G703" t="n">
        <v>2.9</v>
      </c>
      <c r="H703" t="n">
        <v>0</v>
      </c>
      <c r="I703" t="n">
        <v>0</v>
      </c>
      <c r="J703" t="n">
        <v>0</v>
      </c>
      <c r="K703" t="n">
        <v>0</v>
      </c>
      <c r="L703" t="n">
        <v>0</v>
      </c>
      <c r="M703" t="n">
        <v>0</v>
      </c>
      <c r="N703" t="n">
        <v>0</v>
      </c>
      <c r="O703" t="n">
        <v>0</v>
      </c>
      <c r="P703" t="n">
        <v>0</v>
      </c>
      <c r="Q703" t="n">
        <v>0</v>
      </c>
      <c r="R703" s="2" t="inlineStr"/>
    </row>
    <row r="704" ht="15" customHeight="1">
      <c r="A704" t="inlineStr">
        <is>
          <t>A 10674-2021</t>
        </is>
      </c>
      <c r="B704" s="1" t="n">
        <v>44258</v>
      </c>
      <c r="C704" s="1" t="n">
        <v>45912</v>
      </c>
      <c r="D704" t="inlineStr">
        <is>
          <t>KALMAR LÄN</t>
        </is>
      </c>
      <c r="E704" t="inlineStr">
        <is>
          <t>VIMMERBY</t>
        </is>
      </c>
      <c r="G704" t="n">
        <v>8.4</v>
      </c>
      <c r="H704" t="n">
        <v>0</v>
      </c>
      <c r="I704" t="n">
        <v>0</v>
      </c>
      <c r="J704" t="n">
        <v>0</v>
      </c>
      <c r="K704" t="n">
        <v>0</v>
      </c>
      <c r="L704" t="n">
        <v>0</v>
      </c>
      <c r="M704" t="n">
        <v>0</v>
      </c>
      <c r="N704" t="n">
        <v>0</v>
      </c>
      <c r="O704" t="n">
        <v>0</v>
      </c>
      <c r="P704" t="n">
        <v>0</v>
      </c>
      <c r="Q704" t="n">
        <v>0</v>
      </c>
      <c r="R704" s="2" t="inlineStr"/>
    </row>
    <row r="705" ht="15" customHeight="1">
      <c r="A705" t="inlineStr">
        <is>
          <t>A 26937-2023</t>
        </is>
      </c>
      <c r="B705" s="1" t="n">
        <v>45093.62777777778</v>
      </c>
      <c r="C705" s="1" t="n">
        <v>45912</v>
      </c>
      <c r="D705" t="inlineStr">
        <is>
          <t>KALMAR LÄN</t>
        </is>
      </c>
      <c r="E705" t="inlineStr">
        <is>
          <t>VIMMERBY</t>
        </is>
      </c>
      <c r="F705" t="inlineStr">
        <is>
          <t>Sveaskog</t>
        </is>
      </c>
      <c r="G705" t="n">
        <v>14.5</v>
      </c>
      <c r="H705" t="n">
        <v>0</v>
      </c>
      <c r="I705" t="n">
        <v>0</v>
      </c>
      <c r="J705" t="n">
        <v>0</v>
      </c>
      <c r="K705" t="n">
        <v>0</v>
      </c>
      <c r="L705" t="n">
        <v>0</v>
      </c>
      <c r="M705" t="n">
        <v>0</v>
      </c>
      <c r="N705" t="n">
        <v>0</v>
      </c>
      <c r="O705" t="n">
        <v>0</v>
      </c>
      <c r="P705" t="n">
        <v>0</v>
      </c>
      <c r="Q705" t="n">
        <v>0</v>
      </c>
      <c r="R705" s="2" t="inlineStr"/>
    </row>
    <row r="706" ht="15" customHeight="1">
      <c r="A706" t="inlineStr">
        <is>
          <t>A 57486-2024</t>
        </is>
      </c>
      <c r="B706" s="1" t="n">
        <v>45630.35827546296</v>
      </c>
      <c r="C706" s="1" t="n">
        <v>45912</v>
      </c>
      <c r="D706" t="inlineStr">
        <is>
          <t>KALMAR LÄN</t>
        </is>
      </c>
      <c r="E706" t="inlineStr">
        <is>
          <t>VIMMERBY</t>
        </is>
      </c>
      <c r="G706" t="n">
        <v>0.4</v>
      </c>
      <c r="H706" t="n">
        <v>0</v>
      </c>
      <c r="I706" t="n">
        <v>0</v>
      </c>
      <c r="J706" t="n">
        <v>0</v>
      </c>
      <c r="K706" t="n">
        <v>0</v>
      </c>
      <c r="L706" t="n">
        <v>0</v>
      </c>
      <c r="M706" t="n">
        <v>0</v>
      </c>
      <c r="N706" t="n">
        <v>0</v>
      </c>
      <c r="O706" t="n">
        <v>0</v>
      </c>
      <c r="P706" t="n">
        <v>0</v>
      </c>
      <c r="Q706" t="n">
        <v>0</v>
      </c>
      <c r="R706" s="2" t="inlineStr"/>
    </row>
    <row r="707" ht="15" customHeight="1">
      <c r="A707" t="inlineStr">
        <is>
          <t>A 22264-2023</t>
        </is>
      </c>
      <c r="B707" s="1" t="n">
        <v>45070.3665625</v>
      </c>
      <c r="C707" s="1" t="n">
        <v>45912</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43186-2021</t>
        </is>
      </c>
      <c r="B708" s="1" t="n">
        <v>44431.84840277778</v>
      </c>
      <c r="C708" s="1" t="n">
        <v>45912</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1799-2025</t>
        </is>
      </c>
      <c r="B709" s="1" t="n">
        <v>45671.46746527778</v>
      </c>
      <c r="C709" s="1" t="n">
        <v>45912</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30063-2023</t>
        </is>
      </c>
      <c r="B710" s="1" t="n">
        <v>45110.4184375</v>
      </c>
      <c r="C710" s="1" t="n">
        <v>45912</v>
      </c>
      <c r="D710" t="inlineStr">
        <is>
          <t>KALMAR LÄN</t>
        </is>
      </c>
      <c r="E710" t="inlineStr">
        <is>
          <t>VIMMERBY</t>
        </is>
      </c>
      <c r="G710" t="n">
        <v>1.2</v>
      </c>
      <c r="H710" t="n">
        <v>0</v>
      </c>
      <c r="I710" t="n">
        <v>0</v>
      </c>
      <c r="J710" t="n">
        <v>0</v>
      </c>
      <c r="K710" t="n">
        <v>0</v>
      </c>
      <c r="L710" t="n">
        <v>0</v>
      </c>
      <c r="M710" t="n">
        <v>0</v>
      </c>
      <c r="N710" t="n">
        <v>0</v>
      </c>
      <c r="O710" t="n">
        <v>0</v>
      </c>
      <c r="P710" t="n">
        <v>0</v>
      </c>
      <c r="Q710" t="n">
        <v>0</v>
      </c>
      <c r="R710" s="2" t="inlineStr"/>
    </row>
    <row r="711" ht="15" customHeight="1">
      <c r="A711" t="inlineStr">
        <is>
          <t>A 16676-2023</t>
        </is>
      </c>
      <c r="B711" s="1" t="n">
        <v>45028</v>
      </c>
      <c r="C711" s="1" t="n">
        <v>45912</v>
      </c>
      <c r="D711" t="inlineStr">
        <is>
          <t>KALMAR LÄN</t>
        </is>
      </c>
      <c r="E711" t="inlineStr">
        <is>
          <t>VIMMERBY</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6220-2025</t>
        </is>
      </c>
      <c r="B712" s="1" t="n">
        <v>45698.53725694444</v>
      </c>
      <c r="C712" s="1" t="n">
        <v>45912</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24096-2024</t>
        </is>
      </c>
      <c r="B713" s="1" t="n">
        <v>45456.59289351852</v>
      </c>
      <c r="C713" s="1" t="n">
        <v>45912</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29013-2024</t>
        </is>
      </c>
      <c r="B714" s="1" t="n">
        <v>45481.55984953704</v>
      </c>
      <c r="C714" s="1" t="n">
        <v>45912</v>
      </c>
      <c r="D714" t="inlineStr">
        <is>
          <t>KALMAR LÄN</t>
        </is>
      </c>
      <c r="E714" t="inlineStr">
        <is>
          <t>VIMMERBY</t>
        </is>
      </c>
      <c r="G714" t="n">
        <v>3.4</v>
      </c>
      <c r="H714" t="n">
        <v>0</v>
      </c>
      <c r="I714" t="n">
        <v>0</v>
      </c>
      <c r="J714" t="n">
        <v>0</v>
      </c>
      <c r="K714" t="n">
        <v>0</v>
      </c>
      <c r="L714" t="n">
        <v>0</v>
      </c>
      <c r="M714" t="n">
        <v>0</v>
      </c>
      <c r="N714" t="n">
        <v>0</v>
      </c>
      <c r="O714" t="n">
        <v>0</v>
      </c>
      <c r="P714" t="n">
        <v>0</v>
      </c>
      <c r="Q714" t="n">
        <v>0</v>
      </c>
      <c r="R714" s="2" t="inlineStr"/>
    </row>
    <row r="715" ht="15" customHeight="1">
      <c r="A715" t="inlineStr">
        <is>
          <t>A 6066-2023</t>
        </is>
      </c>
      <c r="B715" s="1" t="n">
        <v>44964.50894675926</v>
      </c>
      <c r="C715" s="1" t="n">
        <v>45912</v>
      </c>
      <c r="D715" t="inlineStr">
        <is>
          <t>KALMAR LÄN</t>
        </is>
      </c>
      <c r="E715" t="inlineStr">
        <is>
          <t>VIMMERBY</t>
        </is>
      </c>
      <c r="G715" t="n">
        <v>2.8</v>
      </c>
      <c r="H715" t="n">
        <v>0</v>
      </c>
      <c r="I715" t="n">
        <v>0</v>
      </c>
      <c r="J715" t="n">
        <v>0</v>
      </c>
      <c r="K715" t="n">
        <v>0</v>
      </c>
      <c r="L715" t="n">
        <v>0</v>
      </c>
      <c r="M715" t="n">
        <v>0</v>
      </c>
      <c r="N715" t="n">
        <v>0</v>
      </c>
      <c r="O715" t="n">
        <v>0</v>
      </c>
      <c r="P715" t="n">
        <v>0</v>
      </c>
      <c r="Q715" t="n">
        <v>0</v>
      </c>
      <c r="R715" s="2" t="inlineStr"/>
    </row>
    <row r="716" ht="15" customHeight="1">
      <c r="A716" t="inlineStr">
        <is>
          <t>A 59955-2023</t>
        </is>
      </c>
      <c r="B716" s="1" t="n">
        <v>45257.70313657408</v>
      </c>
      <c r="C716" s="1" t="n">
        <v>45912</v>
      </c>
      <c r="D716" t="inlineStr">
        <is>
          <t>KALMAR LÄN</t>
        </is>
      </c>
      <c r="E716" t="inlineStr">
        <is>
          <t>VIMMERBY</t>
        </is>
      </c>
      <c r="G716" t="n">
        <v>13.8</v>
      </c>
      <c r="H716" t="n">
        <v>0</v>
      </c>
      <c r="I716" t="n">
        <v>0</v>
      </c>
      <c r="J716" t="n">
        <v>0</v>
      </c>
      <c r="K716" t="n">
        <v>0</v>
      </c>
      <c r="L716" t="n">
        <v>0</v>
      </c>
      <c r="M716" t="n">
        <v>0</v>
      </c>
      <c r="N716" t="n">
        <v>0</v>
      </c>
      <c r="O716" t="n">
        <v>0</v>
      </c>
      <c r="P716" t="n">
        <v>0</v>
      </c>
      <c r="Q716" t="n">
        <v>0</v>
      </c>
      <c r="R716" s="2" t="inlineStr"/>
    </row>
    <row r="717" ht="15" customHeight="1">
      <c r="A717" t="inlineStr">
        <is>
          <t>A 43068-2023</t>
        </is>
      </c>
      <c r="B717" s="1" t="n">
        <v>45182.78834490741</v>
      </c>
      <c r="C717" s="1" t="n">
        <v>45912</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36040-2024</t>
        </is>
      </c>
      <c r="B718" s="1" t="n">
        <v>45533.60232638889</v>
      </c>
      <c r="C718" s="1" t="n">
        <v>45912</v>
      </c>
      <c r="D718" t="inlineStr">
        <is>
          <t>KALMAR LÄN</t>
        </is>
      </c>
      <c r="E718" t="inlineStr">
        <is>
          <t>VIMMERBY</t>
        </is>
      </c>
      <c r="F718" t="inlineStr">
        <is>
          <t>Kommuner</t>
        </is>
      </c>
      <c r="G718" t="n">
        <v>3.6</v>
      </c>
      <c r="H718" t="n">
        <v>0</v>
      </c>
      <c r="I718" t="n">
        <v>0</v>
      </c>
      <c r="J718" t="n">
        <v>0</v>
      </c>
      <c r="K718" t="n">
        <v>0</v>
      </c>
      <c r="L718" t="n">
        <v>0</v>
      </c>
      <c r="M718" t="n">
        <v>0</v>
      </c>
      <c r="N718" t="n">
        <v>0</v>
      </c>
      <c r="O718" t="n">
        <v>0</v>
      </c>
      <c r="P718" t="n">
        <v>0</v>
      </c>
      <c r="Q718" t="n">
        <v>0</v>
      </c>
      <c r="R718" s="2" t="inlineStr"/>
    </row>
    <row r="719" ht="15" customHeight="1">
      <c r="A719" t="inlineStr">
        <is>
          <t>A 36043-2024</t>
        </is>
      </c>
      <c r="B719" s="1" t="n">
        <v>45533.60770833334</v>
      </c>
      <c r="C719" s="1" t="n">
        <v>45912</v>
      </c>
      <c r="D719" t="inlineStr">
        <is>
          <t>KALMAR LÄN</t>
        </is>
      </c>
      <c r="E719" t="inlineStr">
        <is>
          <t>VIMMERBY</t>
        </is>
      </c>
      <c r="F719" t="inlineStr">
        <is>
          <t>Kommuner</t>
        </is>
      </c>
      <c r="G719" t="n">
        <v>1.5</v>
      </c>
      <c r="H719" t="n">
        <v>0</v>
      </c>
      <c r="I719" t="n">
        <v>0</v>
      </c>
      <c r="J719" t="n">
        <v>0</v>
      </c>
      <c r="K719" t="n">
        <v>0</v>
      </c>
      <c r="L719" t="n">
        <v>0</v>
      </c>
      <c r="M719" t="n">
        <v>0</v>
      </c>
      <c r="N719" t="n">
        <v>0</v>
      </c>
      <c r="O719" t="n">
        <v>0</v>
      </c>
      <c r="P719" t="n">
        <v>0</v>
      </c>
      <c r="Q719" t="n">
        <v>0</v>
      </c>
      <c r="R719" s="2" t="inlineStr"/>
    </row>
    <row r="720" ht="15" customHeight="1">
      <c r="A720" t="inlineStr">
        <is>
          <t>A 12890-2023</t>
        </is>
      </c>
      <c r="B720" s="1" t="n">
        <v>45001.59209490741</v>
      </c>
      <c r="C720" s="1" t="n">
        <v>45912</v>
      </c>
      <c r="D720" t="inlineStr">
        <is>
          <t>KALMAR LÄN</t>
        </is>
      </c>
      <c r="E720" t="inlineStr">
        <is>
          <t>VIMMERBY</t>
        </is>
      </c>
      <c r="G720" t="n">
        <v>2.8</v>
      </c>
      <c r="H720" t="n">
        <v>0</v>
      </c>
      <c r="I720" t="n">
        <v>0</v>
      </c>
      <c r="J720" t="n">
        <v>0</v>
      </c>
      <c r="K720" t="n">
        <v>0</v>
      </c>
      <c r="L720" t="n">
        <v>0</v>
      </c>
      <c r="M720" t="n">
        <v>0</v>
      </c>
      <c r="N720" t="n">
        <v>0</v>
      </c>
      <c r="O720" t="n">
        <v>0</v>
      </c>
      <c r="P720" t="n">
        <v>0</v>
      </c>
      <c r="Q720" t="n">
        <v>0</v>
      </c>
      <c r="R720" s="2" t="inlineStr"/>
    </row>
    <row r="721" ht="15" customHeight="1">
      <c r="A721" t="inlineStr">
        <is>
          <t>A 43594-2024</t>
        </is>
      </c>
      <c r="B721" s="1" t="n">
        <v>45569.44295138889</v>
      </c>
      <c r="C721" s="1" t="n">
        <v>45912</v>
      </c>
      <c r="D721" t="inlineStr">
        <is>
          <t>KALMAR LÄN</t>
        </is>
      </c>
      <c r="E721" t="inlineStr">
        <is>
          <t>VIMMERBY</t>
        </is>
      </c>
      <c r="G721" t="n">
        <v>3.9</v>
      </c>
      <c r="H721" t="n">
        <v>0</v>
      </c>
      <c r="I721" t="n">
        <v>0</v>
      </c>
      <c r="J721" t="n">
        <v>0</v>
      </c>
      <c r="K721" t="n">
        <v>0</v>
      </c>
      <c r="L721" t="n">
        <v>0</v>
      </c>
      <c r="M721" t="n">
        <v>0</v>
      </c>
      <c r="N721" t="n">
        <v>0</v>
      </c>
      <c r="O721" t="n">
        <v>0</v>
      </c>
      <c r="P721" t="n">
        <v>0</v>
      </c>
      <c r="Q721" t="n">
        <v>0</v>
      </c>
      <c r="R721" s="2" t="inlineStr"/>
    </row>
    <row r="722" ht="15" customHeight="1">
      <c r="A722" t="inlineStr">
        <is>
          <t>A 18020-2025</t>
        </is>
      </c>
      <c r="B722" s="1" t="n">
        <v>45761.4437962963</v>
      </c>
      <c r="C722" s="1" t="n">
        <v>45912</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33424-2023</t>
        </is>
      </c>
      <c r="B723" s="1" t="n">
        <v>45128.9325</v>
      </c>
      <c r="C723" s="1" t="n">
        <v>45912</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33425-2023</t>
        </is>
      </c>
      <c r="B724" s="1" t="n">
        <v>45128.93540509259</v>
      </c>
      <c r="C724" s="1" t="n">
        <v>45912</v>
      </c>
      <c r="D724" t="inlineStr">
        <is>
          <t>KALMAR LÄN</t>
        </is>
      </c>
      <c r="E724" t="inlineStr">
        <is>
          <t>VIMMERBY</t>
        </is>
      </c>
      <c r="G724" t="n">
        <v>1.4</v>
      </c>
      <c r="H724" t="n">
        <v>0</v>
      </c>
      <c r="I724" t="n">
        <v>0</v>
      </c>
      <c r="J724" t="n">
        <v>0</v>
      </c>
      <c r="K724" t="n">
        <v>0</v>
      </c>
      <c r="L724" t="n">
        <v>0</v>
      </c>
      <c r="M724" t="n">
        <v>0</v>
      </c>
      <c r="N724" t="n">
        <v>0</v>
      </c>
      <c r="O724" t="n">
        <v>0</v>
      </c>
      <c r="P724" t="n">
        <v>0</v>
      </c>
      <c r="Q724" t="n">
        <v>0</v>
      </c>
      <c r="R724" s="2" t="inlineStr"/>
    </row>
    <row r="725" ht="15" customHeight="1">
      <c r="A725" t="inlineStr">
        <is>
          <t>A 53482-2022</t>
        </is>
      </c>
      <c r="B725" s="1" t="n">
        <v>44879</v>
      </c>
      <c r="C725" s="1" t="n">
        <v>45912</v>
      </c>
      <c r="D725" t="inlineStr">
        <is>
          <t>KALMAR LÄN</t>
        </is>
      </c>
      <c r="E725" t="inlineStr">
        <is>
          <t>VIMMERBY</t>
        </is>
      </c>
      <c r="G725" t="n">
        <v>10.1</v>
      </c>
      <c r="H725" t="n">
        <v>0</v>
      </c>
      <c r="I725" t="n">
        <v>0</v>
      </c>
      <c r="J725" t="n">
        <v>0</v>
      </c>
      <c r="K725" t="n">
        <v>0</v>
      </c>
      <c r="L725" t="n">
        <v>0</v>
      </c>
      <c r="M725" t="n">
        <v>0</v>
      </c>
      <c r="N725" t="n">
        <v>0</v>
      </c>
      <c r="O725" t="n">
        <v>0</v>
      </c>
      <c r="P725" t="n">
        <v>0</v>
      </c>
      <c r="Q725" t="n">
        <v>0</v>
      </c>
      <c r="R725" s="2" t="inlineStr"/>
    </row>
    <row r="726" ht="15" customHeight="1">
      <c r="A726" t="inlineStr">
        <is>
          <t>A 12327-2023</t>
        </is>
      </c>
      <c r="B726" s="1" t="n">
        <v>44999.36081018519</v>
      </c>
      <c r="C726" s="1" t="n">
        <v>45912</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43092-2024</t>
        </is>
      </c>
      <c r="B727" s="1" t="n">
        <v>45567</v>
      </c>
      <c r="C727" s="1" t="n">
        <v>45912</v>
      </c>
      <c r="D727" t="inlineStr">
        <is>
          <t>KALMAR LÄN</t>
        </is>
      </c>
      <c r="E727" t="inlineStr">
        <is>
          <t>VIMMERBY</t>
        </is>
      </c>
      <c r="G727" t="n">
        <v>2.7</v>
      </c>
      <c r="H727" t="n">
        <v>0</v>
      </c>
      <c r="I727" t="n">
        <v>0</v>
      </c>
      <c r="J727" t="n">
        <v>0</v>
      </c>
      <c r="K727" t="n">
        <v>0</v>
      </c>
      <c r="L727" t="n">
        <v>0</v>
      </c>
      <c r="M727" t="n">
        <v>0</v>
      </c>
      <c r="N727" t="n">
        <v>0</v>
      </c>
      <c r="O727" t="n">
        <v>0</v>
      </c>
      <c r="P727" t="n">
        <v>0</v>
      </c>
      <c r="Q727" t="n">
        <v>0</v>
      </c>
      <c r="R727" s="2" t="inlineStr"/>
    </row>
    <row r="728" ht="15" customHeight="1">
      <c r="A728" t="inlineStr">
        <is>
          <t>A 36226-2025</t>
        </is>
      </c>
      <c r="B728" s="1" t="n">
        <v>45867.51630787037</v>
      </c>
      <c r="C728" s="1" t="n">
        <v>45912</v>
      </c>
      <c r="D728" t="inlineStr">
        <is>
          <t>KALMAR LÄN</t>
        </is>
      </c>
      <c r="E728" t="inlineStr">
        <is>
          <t>VIMMERBY</t>
        </is>
      </c>
      <c r="G728" t="n">
        <v>3.1</v>
      </c>
      <c r="H728" t="n">
        <v>0</v>
      </c>
      <c r="I728" t="n">
        <v>0</v>
      </c>
      <c r="J728" t="n">
        <v>0</v>
      </c>
      <c r="K728" t="n">
        <v>0</v>
      </c>
      <c r="L728" t="n">
        <v>0</v>
      </c>
      <c r="M728" t="n">
        <v>0</v>
      </c>
      <c r="N728" t="n">
        <v>0</v>
      </c>
      <c r="O728" t="n">
        <v>0</v>
      </c>
      <c r="P728" t="n">
        <v>0</v>
      </c>
      <c r="Q728" t="n">
        <v>0</v>
      </c>
      <c r="R728" s="2" t="inlineStr"/>
    </row>
    <row r="729" ht="15" customHeight="1">
      <c r="A729" t="inlineStr">
        <is>
          <t>A 36273-2025</t>
        </is>
      </c>
      <c r="B729" s="1" t="n">
        <v>45867.63094907408</v>
      </c>
      <c r="C729" s="1" t="n">
        <v>45912</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52435-2021</t>
        </is>
      </c>
      <c r="B730" s="1" t="n">
        <v>44466.34962962963</v>
      </c>
      <c r="C730" s="1" t="n">
        <v>45912</v>
      </c>
      <c r="D730" t="inlineStr">
        <is>
          <t>KALMAR LÄN</t>
        </is>
      </c>
      <c r="E730" t="inlineStr">
        <is>
          <t>VIMMERBY</t>
        </is>
      </c>
      <c r="G730" t="n">
        <v>2.8</v>
      </c>
      <c r="H730" t="n">
        <v>0</v>
      </c>
      <c r="I730" t="n">
        <v>0</v>
      </c>
      <c r="J730" t="n">
        <v>0</v>
      </c>
      <c r="K730" t="n">
        <v>0</v>
      </c>
      <c r="L730" t="n">
        <v>0</v>
      </c>
      <c r="M730" t="n">
        <v>0</v>
      </c>
      <c r="N730" t="n">
        <v>0</v>
      </c>
      <c r="O730" t="n">
        <v>0</v>
      </c>
      <c r="P730" t="n">
        <v>0</v>
      </c>
      <c r="Q730" t="n">
        <v>0</v>
      </c>
      <c r="R730" s="2" t="inlineStr"/>
    </row>
    <row r="731" ht="15" customHeight="1">
      <c r="A731" t="inlineStr">
        <is>
          <t>A 36282-2025</t>
        </is>
      </c>
      <c r="B731" s="1" t="n">
        <v>45867.64663194444</v>
      </c>
      <c r="C731" s="1" t="n">
        <v>45912</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27761-2024</t>
        </is>
      </c>
      <c r="B732" s="1" t="n">
        <v>45475.49018518518</v>
      </c>
      <c r="C732" s="1" t="n">
        <v>45912</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36246-2025</t>
        </is>
      </c>
      <c r="B733" s="1" t="n">
        <v>45867.56320601852</v>
      </c>
      <c r="C733" s="1" t="n">
        <v>45912</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35127-2024</t>
        </is>
      </c>
      <c r="B734" s="1" t="n">
        <v>45530.33202546297</v>
      </c>
      <c r="C734" s="1" t="n">
        <v>45912</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60215-2022</t>
        </is>
      </c>
      <c r="B735" s="1" t="n">
        <v>44910.41346064815</v>
      </c>
      <c r="C735" s="1" t="n">
        <v>45912</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64203-2021</t>
        </is>
      </c>
      <c r="B736" s="1" t="n">
        <v>44510.60921296296</v>
      </c>
      <c r="C736" s="1" t="n">
        <v>45912</v>
      </c>
      <c r="D736" t="inlineStr">
        <is>
          <t>KALMAR LÄN</t>
        </is>
      </c>
      <c r="E736" t="inlineStr">
        <is>
          <t>VIMMERBY</t>
        </is>
      </c>
      <c r="F736" t="inlineStr">
        <is>
          <t>Övriga Aktiebolag</t>
        </is>
      </c>
      <c r="G736" t="n">
        <v>5.4</v>
      </c>
      <c r="H736" t="n">
        <v>0</v>
      </c>
      <c r="I736" t="n">
        <v>0</v>
      </c>
      <c r="J736" t="n">
        <v>0</v>
      </c>
      <c r="K736" t="n">
        <v>0</v>
      </c>
      <c r="L736" t="n">
        <v>0</v>
      </c>
      <c r="M736" t="n">
        <v>0</v>
      </c>
      <c r="N736" t="n">
        <v>0</v>
      </c>
      <c r="O736" t="n">
        <v>0</v>
      </c>
      <c r="P736" t="n">
        <v>0</v>
      </c>
      <c r="Q736" t="n">
        <v>0</v>
      </c>
      <c r="R736" s="2" t="inlineStr"/>
    </row>
    <row r="737" ht="15" customHeight="1">
      <c r="A737" t="inlineStr">
        <is>
          <t>A 29441-2024</t>
        </is>
      </c>
      <c r="B737" s="1" t="n">
        <v>45483.82834490741</v>
      </c>
      <c r="C737" s="1" t="n">
        <v>45912</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36297-2025</t>
        </is>
      </c>
      <c r="B738" s="1" t="n">
        <v>45867.68625</v>
      </c>
      <c r="C738" s="1" t="n">
        <v>45912</v>
      </c>
      <c r="D738" t="inlineStr">
        <is>
          <t>KALMAR LÄN</t>
        </is>
      </c>
      <c r="E738" t="inlineStr">
        <is>
          <t>VIMMERBY</t>
        </is>
      </c>
      <c r="G738" t="n">
        <v>4.9</v>
      </c>
      <c r="H738" t="n">
        <v>0</v>
      </c>
      <c r="I738" t="n">
        <v>0</v>
      </c>
      <c r="J738" t="n">
        <v>0</v>
      </c>
      <c r="K738" t="n">
        <v>0</v>
      </c>
      <c r="L738" t="n">
        <v>0</v>
      </c>
      <c r="M738" t="n">
        <v>0</v>
      </c>
      <c r="N738" t="n">
        <v>0</v>
      </c>
      <c r="O738" t="n">
        <v>0</v>
      </c>
      <c r="P738" t="n">
        <v>0</v>
      </c>
      <c r="Q738" t="n">
        <v>0</v>
      </c>
      <c r="R738" s="2" t="inlineStr"/>
    </row>
    <row r="739" ht="15" customHeight="1">
      <c r="A739" t="inlineStr">
        <is>
          <t>A 42828-2025</t>
        </is>
      </c>
      <c r="B739" s="1" t="n">
        <v>45908.57716435185</v>
      </c>
      <c r="C739" s="1" t="n">
        <v>45912</v>
      </c>
      <c r="D739" t="inlineStr">
        <is>
          <t>KALMAR LÄN</t>
        </is>
      </c>
      <c r="E739" t="inlineStr">
        <is>
          <t>VIMMERBY</t>
        </is>
      </c>
      <c r="G739" t="n">
        <v>5.2</v>
      </c>
      <c r="H739" t="n">
        <v>0</v>
      </c>
      <c r="I739" t="n">
        <v>0</v>
      </c>
      <c r="J739" t="n">
        <v>0</v>
      </c>
      <c r="K739" t="n">
        <v>0</v>
      </c>
      <c r="L739" t="n">
        <v>0</v>
      </c>
      <c r="M739" t="n">
        <v>0</v>
      </c>
      <c r="N739" t="n">
        <v>0</v>
      </c>
      <c r="O739" t="n">
        <v>0</v>
      </c>
      <c r="P739" t="n">
        <v>0</v>
      </c>
      <c r="Q739" t="n">
        <v>0</v>
      </c>
      <c r="R739" s="2" t="inlineStr"/>
    </row>
    <row r="740" ht="15" customHeight="1">
      <c r="A740" t="inlineStr">
        <is>
          <t>A 5720-2023</t>
        </is>
      </c>
      <c r="B740" s="1" t="n">
        <v>44961</v>
      </c>
      <c r="C740" s="1" t="n">
        <v>45912</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9643-2023</t>
        </is>
      </c>
      <c r="B741" s="1" t="n">
        <v>44984</v>
      </c>
      <c r="C741" s="1" t="n">
        <v>45912</v>
      </c>
      <c r="D741" t="inlineStr">
        <is>
          <t>KALMAR LÄN</t>
        </is>
      </c>
      <c r="E741" t="inlineStr">
        <is>
          <t>VIMMERBY</t>
        </is>
      </c>
      <c r="G741" t="n">
        <v>2</v>
      </c>
      <c r="H741" t="n">
        <v>0</v>
      </c>
      <c r="I741" t="n">
        <v>0</v>
      </c>
      <c r="J741" t="n">
        <v>0</v>
      </c>
      <c r="K741" t="n">
        <v>0</v>
      </c>
      <c r="L741" t="n">
        <v>0</v>
      </c>
      <c r="M741" t="n">
        <v>0</v>
      </c>
      <c r="N741" t="n">
        <v>0</v>
      </c>
      <c r="O741" t="n">
        <v>0</v>
      </c>
      <c r="P741" t="n">
        <v>0</v>
      </c>
      <c r="Q741" t="n">
        <v>0</v>
      </c>
      <c r="R741" s="2" t="inlineStr"/>
    </row>
    <row r="742" ht="15" customHeight="1">
      <c r="A742" t="inlineStr">
        <is>
          <t>A 25728-2023</t>
        </is>
      </c>
      <c r="B742" s="1" t="n">
        <v>45090.38012731481</v>
      </c>
      <c r="C742" s="1" t="n">
        <v>45912</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36221-2025</t>
        </is>
      </c>
      <c r="B743" s="1" t="n">
        <v>45867.50792824074</v>
      </c>
      <c r="C743" s="1" t="n">
        <v>45912</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6216-2025</t>
        </is>
      </c>
      <c r="B744" s="1" t="n">
        <v>45698.52806712963</v>
      </c>
      <c r="C744" s="1" t="n">
        <v>45912</v>
      </c>
      <c r="D744" t="inlineStr">
        <is>
          <t>KALMAR LÄN</t>
        </is>
      </c>
      <c r="E744" t="inlineStr">
        <is>
          <t>VIMMERBY</t>
        </is>
      </c>
      <c r="G744" t="n">
        <v>1.2</v>
      </c>
      <c r="H744" t="n">
        <v>0</v>
      </c>
      <c r="I744" t="n">
        <v>0</v>
      </c>
      <c r="J744" t="n">
        <v>0</v>
      </c>
      <c r="K744" t="n">
        <v>0</v>
      </c>
      <c r="L744" t="n">
        <v>0</v>
      </c>
      <c r="M744" t="n">
        <v>0</v>
      </c>
      <c r="N744" t="n">
        <v>0</v>
      </c>
      <c r="O744" t="n">
        <v>0</v>
      </c>
      <c r="P744" t="n">
        <v>0</v>
      </c>
      <c r="Q744" t="n">
        <v>0</v>
      </c>
      <c r="R744" s="2" t="inlineStr"/>
    </row>
    <row r="745" ht="15" customHeight="1">
      <c r="A745" t="inlineStr">
        <is>
          <t>A 62779-2023</t>
        </is>
      </c>
      <c r="B745" s="1" t="n">
        <v>45271.66576388889</v>
      </c>
      <c r="C745" s="1" t="n">
        <v>45912</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52294-2023</t>
        </is>
      </c>
      <c r="B746" s="1" t="n">
        <v>45224.60075231481</v>
      </c>
      <c r="C746" s="1" t="n">
        <v>45912</v>
      </c>
      <c r="D746" t="inlineStr">
        <is>
          <t>KALMAR LÄN</t>
        </is>
      </c>
      <c r="E746" t="inlineStr">
        <is>
          <t>VIMMERBY</t>
        </is>
      </c>
      <c r="F746" t="inlineStr">
        <is>
          <t>Sveaskog</t>
        </is>
      </c>
      <c r="G746" t="n">
        <v>2.5</v>
      </c>
      <c r="H746" t="n">
        <v>0</v>
      </c>
      <c r="I746" t="n">
        <v>0</v>
      </c>
      <c r="J746" t="n">
        <v>0</v>
      </c>
      <c r="K746" t="n">
        <v>0</v>
      </c>
      <c r="L746" t="n">
        <v>0</v>
      </c>
      <c r="M746" t="n">
        <v>0</v>
      </c>
      <c r="N746" t="n">
        <v>0</v>
      </c>
      <c r="O746" t="n">
        <v>0</v>
      </c>
      <c r="P746" t="n">
        <v>0</v>
      </c>
      <c r="Q746" t="n">
        <v>0</v>
      </c>
      <c r="R746" s="2" t="inlineStr"/>
    </row>
    <row r="747" ht="15" customHeight="1">
      <c r="A747" t="inlineStr">
        <is>
          <t>A 19502-2025</t>
        </is>
      </c>
      <c r="B747" s="1" t="n">
        <v>45769</v>
      </c>
      <c r="C747" s="1" t="n">
        <v>45912</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36299-2025</t>
        </is>
      </c>
      <c r="B748" s="1" t="n">
        <v>45867.69346064814</v>
      </c>
      <c r="C748" s="1" t="n">
        <v>45912</v>
      </c>
      <c r="D748" t="inlineStr">
        <is>
          <t>KALMAR LÄN</t>
        </is>
      </c>
      <c r="E748" t="inlineStr">
        <is>
          <t>VIMMERBY</t>
        </is>
      </c>
      <c r="G748" t="n">
        <v>7.6</v>
      </c>
      <c r="H748" t="n">
        <v>0</v>
      </c>
      <c r="I748" t="n">
        <v>0</v>
      </c>
      <c r="J748" t="n">
        <v>0</v>
      </c>
      <c r="K748" t="n">
        <v>0</v>
      </c>
      <c r="L748" t="n">
        <v>0</v>
      </c>
      <c r="M748" t="n">
        <v>0</v>
      </c>
      <c r="N748" t="n">
        <v>0</v>
      </c>
      <c r="O748" t="n">
        <v>0</v>
      </c>
      <c r="P748" t="n">
        <v>0</v>
      </c>
      <c r="Q748" t="n">
        <v>0</v>
      </c>
      <c r="R748" s="2" t="inlineStr"/>
    </row>
    <row r="749" ht="15" customHeight="1">
      <c r="A749" t="inlineStr">
        <is>
          <t>A 31013-2023</t>
        </is>
      </c>
      <c r="B749" s="1" t="n">
        <v>45113.56574074074</v>
      </c>
      <c r="C749" s="1" t="n">
        <v>45912</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72067-2021</t>
        </is>
      </c>
      <c r="B750" s="1" t="n">
        <v>44540</v>
      </c>
      <c r="C750" s="1" t="n">
        <v>45912</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44916.55414351852</v>
      </c>
      <c r="C751" s="1" t="n">
        <v>45912</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41311-2023</t>
        </is>
      </c>
      <c r="B752" s="1" t="n">
        <v>45174</v>
      </c>
      <c r="C752" s="1" t="n">
        <v>45912</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43617-2025</t>
        </is>
      </c>
      <c r="B753" s="1" t="n">
        <v>45911.67798611111</v>
      </c>
      <c r="C753" s="1" t="n">
        <v>45912</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36538-2025</t>
        </is>
      </c>
      <c r="B754" s="1" t="n">
        <v>45869.62276620371</v>
      </c>
      <c r="C754" s="1" t="n">
        <v>45912</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36155-2023</t>
        </is>
      </c>
      <c r="B755" s="1" t="n">
        <v>45149.60917824074</v>
      </c>
      <c r="C755" s="1" t="n">
        <v>45912</v>
      </c>
      <c r="D755" t="inlineStr">
        <is>
          <t>KALMAR LÄN</t>
        </is>
      </c>
      <c r="E755" t="inlineStr">
        <is>
          <t>VIMMERBY</t>
        </is>
      </c>
      <c r="G755" t="n">
        <v>5</v>
      </c>
      <c r="H755" t="n">
        <v>0</v>
      </c>
      <c r="I755" t="n">
        <v>0</v>
      </c>
      <c r="J755" t="n">
        <v>0</v>
      </c>
      <c r="K755" t="n">
        <v>0</v>
      </c>
      <c r="L755" t="n">
        <v>0</v>
      </c>
      <c r="M755" t="n">
        <v>0</v>
      </c>
      <c r="N755" t="n">
        <v>0</v>
      </c>
      <c r="O755" t="n">
        <v>0</v>
      </c>
      <c r="P755" t="n">
        <v>0</v>
      </c>
      <c r="Q755" t="n">
        <v>0</v>
      </c>
      <c r="R755" s="2" t="inlineStr"/>
    </row>
    <row r="756" ht="15" customHeight="1">
      <c r="A756" t="inlineStr">
        <is>
          <t>A 26318-2023</t>
        </is>
      </c>
      <c r="B756" s="1" t="n">
        <v>45091.67936342592</v>
      </c>
      <c r="C756" s="1" t="n">
        <v>45912</v>
      </c>
      <c r="D756" t="inlineStr">
        <is>
          <t>KALMAR LÄN</t>
        </is>
      </c>
      <c r="E756" t="inlineStr">
        <is>
          <t>VIMMERBY</t>
        </is>
      </c>
      <c r="G756" t="n">
        <v>3.8</v>
      </c>
      <c r="H756" t="n">
        <v>0</v>
      </c>
      <c r="I756" t="n">
        <v>0</v>
      </c>
      <c r="J756" t="n">
        <v>0</v>
      </c>
      <c r="K756" t="n">
        <v>0</v>
      </c>
      <c r="L756" t="n">
        <v>0</v>
      </c>
      <c r="M756" t="n">
        <v>0</v>
      </c>
      <c r="N756" t="n">
        <v>0</v>
      </c>
      <c r="O756" t="n">
        <v>0</v>
      </c>
      <c r="P756" t="n">
        <v>0</v>
      </c>
      <c r="Q756" t="n">
        <v>0</v>
      </c>
      <c r="R756" s="2" t="inlineStr"/>
    </row>
    <row r="757" ht="15" customHeight="1">
      <c r="A757" t="inlineStr">
        <is>
          <t>A 29173-2024</t>
        </is>
      </c>
      <c r="B757" s="1" t="n">
        <v>45482.52887731481</v>
      </c>
      <c r="C757" s="1" t="n">
        <v>45912</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53542-2022</t>
        </is>
      </c>
      <c r="B758" s="1" t="n">
        <v>44879.62173611111</v>
      </c>
      <c r="C758" s="1" t="n">
        <v>45912</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43465-2025</t>
        </is>
      </c>
      <c r="B759" s="1" t="n">
        <v>45911.47138888889</v>
      </c>
      <c r="C759" s="1" t="n">
        <v>45912</v>
      </c>
      <c r="D759" t="inlineStr">
        <is>
          <t>KALMAR LÄN</t>
        </is>
      </c>
      <c r="E759" t="inlineStr">
        <is>
          <t>VIMMERBY</t>
        </is>
      </c>
      <c r="G759" t="n">
        <v>0.7</v>
      </c>
      <c r="H759" t="n">
        <v>0</v>
      </c>
      <c r="I759" t="n">
        <v>0</v>
      </c>
      <c r="J759" t="n">
        <v>0</v>
      </c>
      <c r="K759" t="n">
        <v>0</v>
      </c>
      <c r="L759" t="n">
        <v>0</v>
      </c>
      <c r="M759" t="n">
        <v>0</v>
      </c>
      <c r="N759" t="n">
        <v>0</v>
      </c>
      <c r="O759" t="n">
        <v>0</v>
      </c>
      <c r="P759" t="n">
        <v>0</v>
      </c>
      <c r="Q759" t="n">
        <v>0</v>
      </c>
      <c r="R759" s="2" t="inlineStr"/>
    </row>
    <row r="760" ht="15" customHeight="1">
      <c r="A760" t="inlineStr">
        <is>
          <t>A 42820-2025</t>
        </is>
      </c>
      <c r="B760" s="1" t="n">
        <v>45908</v>
      </c>
      <c r="C760" s="1" t="n">
        <v>45912</v>
      </c>
      <c r="D760" t="inlineStr">
        <is>
          <t>KALMAR LÄN</t>
        </is>
      </c>
      <c r="E760" t="inlineStr">
        <is>
          <t>VIMMERBY</t>
        </is>
      </c>
      <c r="G760" t="n">
        <v>1.2</v>
      </c>
      <c r="H760" t="n">
        <v>0</v>
      </c>
      <c r="I760" t="n">
        <v>0</v>
      </c>
      <c r="J760" t="n">
        <v>0</v>
      </c>
      <c r="K760" t="n">
        <v>0</v>
      </c>
      <c r="L760" t="n">
        <v>0</v>
      </c>
      <c r="M760" t="n">
        <v>0</v>
      </c>
      <c r="N760" t="n">
        <v>0</v>
      </c>
      <c r="O760" t="n">
        <v>0</v>
      </c>
      <c r="P760" t="n">
        <v>0</v>
      </c>
      <c r="Q760" t="n">
        <v>0</v>
      </c>
      <c r="R760" s="2" t="inlineStr"/>
    </row>
    <row r="761" ht="15" customHeight="1">
      <c r="A761" t="inlineStr">
        <is>
          <t>A 61355-2024</t>
        </is>
      </c>
      <c r="B761" s="1" t="n">
        <v>45646.38200231481</v>
      </c>
      <c r="C761" s="1" t="n">
        <v>45912</v>
      </c>
      <c r="D761" t="inlineStr">
        <is>
          <t>KALMAR LÄN</t>
        </is>
      </c>
      <c r="E761" t="inlineStr">
        <is>
          <t>VIMMERBY</t>
        </is>
      </c>
      <c r="G761" t="n">
        <v>2.7</v>
      </c>
      <c r="H761" t="n">
        <v>0</v>
      </c>
      <c r="I761" t="n">
        <v>0</v>
      </c>
      <c r="J761" t="n">
        <v>0</v>
      </c>
      <c r="K761" t="n">
        <v>0</v>
      </c>
      <c r="L761" t="n">
        <v>0</v>
      </c>
      <c r="M761" t="n">
        <v>0</v>
      </c>
      <c r="N761" t="n">
        <v>0</v>
      </c>
      <c r="O761" t="n">
        <v>0</v>
      </c>
      <c r="P761" t="n">
        <v>0</v>
      </c>
      <c r="Q761" t="n">
        <v>0</v>
      </c>
      <c r="R761" s="2" t="inlineStr"/>
    </row>
    <row r="762" ht="15" customHeight="1">
      <c r="A762" t="inlineStr">
        <is>
          <t>A 42794-2025</t>
        </is>
      </c>
      <c r="B762" s="1" t="n">
        <v>45908</v>
      </c>
      <c r="C762" s="1" t="n">
        <v>45912</v>
      </c>
      <c r="D762" t="inlineStr">
        <is>
          <t>KALMAR LÄN</t>
        </is>
      </c>
      <c r="E762" t="inlineStr">
        <is>
          <t>VIMMERBY</t>
        </is>
      </c>
      <c r="G762" t="n">
        <v>0.9</v>
      </c>
      <c r="H762" t="n">
        <v>0</v>
      </c>
      <c r="I762" t="n">
        <v>0</v>
      </c>
      <c r="J762" t="n">
        <v>0</v>
      </c>
      <c r="K762" t="n">
        <v>0</v>
      </c>
      <c r="L762" t="n">
        <v>0</v>
      </c>
      <c r="M762" t="n">
        <v>0</v>
      </c>
      <c r="N762" t="n">
        <v>0</v>
      </c>
      <c r="O762" t="n">
        <v>0</v>
      </c>
      <c r="P762" t="n">
        <v>0</v>
      </c>
      <c r="Q762" t="n">
        <v>0</v>
      </c>
      <c r="R762" s="2" t="inlineStr"/>
    </row>
    <row r="763" ht="15" customHeight="1">
      <c r="A763" t="inlineStr">
        <is>
          <t>A 34090-2025</t>
        </is>
      </c>
      <c r="B763" s="1" t="n">
        <v>45845</v>
      </c>
      <c r="C763" s="1" t="n">
        <v>45912</v>
      </c>
      <c r="D763" t="inlineStr">
        <is>
          <t>KALMAR LÄN</t>
        </is>
      </c>
      <c r="E763" t="inlineStr">
        <is>
          <t>VIMMERBY</t>
        </is>
      </c>
      <c r="G763" t="n">
        <v>2.8</v>
      </c>
      <c r="H763" t="n">
        <v>0</v>
      </c>
      <c r="I763" t="n">
        <v>0</v>
      </c>
      <c r="J763" t="n">
        <v>0</v>
      </c>
      <c r="K763" t="n">
        <v>0</v>
      </c>
      <c r="L763" t="n">
        <v>0</v>
      </c>
      <c r="M763" t="n">
        <v>0</v>
      </c>
      <c r="N763" t="n">
        <v>0</v>
      </c>
      <c r="O763" t="n">
        <v>0</v>
      </c>
      <c r="P763" t="n">
        <v>0</v>
      </c>
      <c r="Q763" t="n">
        <v>0</v>
      </c>
      <c r="R763" s="2" t="inlineStr"/>
    </row>
    <row r="764" ht="15" customHeight="1">
      <c r="A764" t="inlineStr">
        <is>
          <t>A 7627-2025</t>
        </is>
      </c>
      <c r="B764" s="1" t="n">
        <v>45705.73300925926</v>
      </c>
      <c r="C764" s="1" t="n">
        <v>45912</v>
      </c>
      <c r="D764" t="inlineStr">
        <is>
          <t>KALMAR LÄN</t>
        </is>
      </c>
      <c r="E764" t="inlineStr">
        <is>
          <t>VIMMERBY</t>
        </is>
      </c>
      <c r="G764" t="n">
        <v>2.1</v>
      </c>
      <c r="H764" t="n">
        <v>0</v>
      </c>
      <c r="I764" t="n">
        <v>0</v>
      </c>
      <c r="J764" t="n">
        <v>0</v>
      </c>
      <c r="K764" t="n">
        <v>0</v>
      </c>
      <c r="L764" t="n">
        <v>0</v>
      </c>
      <c r="M764" t="n">
        <v>0</v>
      </c>
      <c r="N764" t="n">
        <v>0</v>
      </c>
      <c r="O764" t="n">
        <v>0</v>
      </c>
      <c r="P764" t="n">
        <v>0</v>
      </c>
      <c r="Q764" t="n">
        <v>0</v>
      </c>
      <c r="R764" s="2" t="inlineStr"/>
    </row>
    <row r="765" ht="15" customHeight="1">
      <c r="A765" t="inlineStr">
        <is>
          <t>A 6807-2025</t>
        </is>
      </c>
      <c r="B765" s="1" t="n">
        <v>45700.68672453704</v>
      </c>
      <c r="C765" s="1" t="n">
        <v>45912</v>
      </c>
      <c r="D765" t="inlineStr">
        <is>
          <t>KALMAR LÄN</t>
        </is>
      </c>
      <c r="E765" t="inlineStr">
        <is>
          <t>VIMMERBY</t>
        </is>
      </c>
      <c r="G765" t="n">
        <v>1.4</v>
      </c>
      <c r="H765" t="n">
        <v>0</v>
      </c>
      <c r="I765" t="n">
        <v>0</v>
      </c>
      <c r="J765" t="n">
        <v>0</v>
      </c>
      <c r="K765" t="n">
        <v>0</v>
      </c>
      <c r="L765" t="n">
        <v>0</v>
      </c>
      <c r="M765" t="n">
        <v>0</v>
      </c>
      <c r="N765" t="n">
        <v>0</v>
      </c>
      <c r="O765" t="n">
        <v>0</v>
      </c>
      <c r="P765" t="n">
        <v>0</v>
      </c>
      <c r="Q765" t="n">
        <v>0</v>
      </c>
      <c r="R765" s="2" t="inlineStr"/>
    </row>
    <row r="766" ht="15" customHeight="1">
      <c r="A766" t="inlineStr">
        <is>
          <t>A 7047-2022</t>
        </is>
      </c>
      <c r="B766" s="1" t="n">
        <v>44603</v>
      </c>
      <c r="C766" s="1" t="n">
        <v>45912</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35711-2023</t>
        </is>
      </c>
      <c r="B767" s="1" t="n">
        <v>45147.67172453704</v>
      </c>
      <c r="C767" s="1" t="n">
        <v>45912</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36802-2021</t>
        </is>
      </c>
      <c r="B768" s="1" t="n">
        <v>44392</v>
      </c>
      <c r="C768" s="1" t="n">
        <v>45912</v>
      </c>
      <c r="D768" t="inlineStr">
        <is>
          <t>KALMAR LÄN</t>
        </is>
      </c>
      <c r="E768" t="inlineStr">
        <is>
          <t>VIMMERBY</t>
        </is>
      </c>
      <c r="F768" t="inlineStr">
        <is>
          <t>Sveaskog</t>
        </is>
      </c>
      <c r="G768" t="n">
        <v>4.6</v>
      </c>
      <c r="H768" t="n">
        <v>0</v>
      </c>
      <c r="I768" t="n">
        <v>0</v>
      </c>
      <c r="J768" t="n">
        <v>0</v>
      </c>
      <c r="K768" t="n">
        <v>0</v>
      </c>
      <c r="L768" t="n">
        <v>0</v>
      </c>
      <c r="M768" t="n">
        <v>0</v>
      </c>
      <c r="N768" t="n">
        <v>0</v>
      </c>
      <c r="O768" t="n">
        <v>0</v>
      </c>
      <c r="P768" t="n">
        <v>0</v>
      </c>
      <c r="Q768" t="n">
        <v>0</v>
      </c>
      <c r="R768" s="2" t="inlineStr"/>
    </row>
    <row r="769" ht="15" customHeight="1">
      <c r="A769" t="inlineStr">
        <is>
          <t>A 5382-2023</t>
        </is>
      </c>
      <c r="B769" s="1" t="n">
        <v>44959.66407407408</v>
      </c>
      <c r="C769" s="1" t="n">
        <v>45912</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40823-2023</t>
        </is>
      </c>
      <c r="B770" s="1" t="n">
        <v>45171.77335648148</v>
      </c>
      <c r="C770" s="1" t="n">
        <v>45912</v>
      </c>
      <c r="D770" t="inlineStr">
        <is>
          <t>KALMAR LÄN</t>
        </is>
      </c>
      <c r="E770" t="inlineStr">
        <is>
          <t>VIMMERBY</t>
        </is>
      </c>
      <c r="G770" t="n">
        <v>2.7</v>
      </c>
      <c r="H770" t="n">
        <v>0</v>
      </c>
      <c r="I770" t="n">
        <v>0</v>
      </c>
      <c r="J770" t="n">
        <v>0</v>
      </c>
      <c r="K770" t="n">
        <v>0</v>
      </c>
      <c r="L770" t="n">
        <v>0</v>
      </c>
      <c r="M770" t="n">
        <v>0</v>
      </c>
      <c r="N770" t="n">
        <v>0</v>
      </c>
      <c r="O770" t="n">
        <v>0</v>
      </c>
      <c r="P770" t="n">
        <v>0</v>
      </c>
      <c r="Q770" t="n">
        <v>0</v>
      </c>
      <c r="R770" s="2" t="inlineStr"/>
    </row>
    <row r="771" ht="15" customHeight="1">
      <c r="A771" t="inlineStr">
        <is>
          <t>A 6218-2025</t>
        </is>
      </c>
      <c r="B771" s="1" t="n">
        <v>45698.53336805556</v>
      </c>
      <c r="C771" s="1" t="n">
        <v>45912</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38198-2024</t>
        </is>
      </c>
      <c r="B772" s="1" t="n">
        <v>45545.49508101852</v>
      </c>
      <c r="C772" s="1" t="n">
        <v>45912</v>
      </c>
      <c r="D772" t="inlineStr">
        <is>
          <t>KALMAR LÄN</t>
        </is>
      </c>
      <c r="E772" t="inlineStr">
        <is>
          <t>VIMMERBY</t>
        </is>
      </c>
      <c r="G772" t="n">
        <v>7.9</v>
      </c>
      <c r="H772" t="n">
        <v>0</v>
      </c>
      <c r="I772" t="n">
        <v>0</v>
      </c>
      <c r="J772" t="n">
        <v>0</v>
      </c>
      <c r="K772" t="n">
        <v>0</v>
      </c>
      <c r="L772" t="n">
        <v>0</v>
      </c>
      <c r="M772" t="n">
        <v>0</v>
      </c>
      <c r="N772" t="n">
        <v>0</v>
      </c>
      <c r="O772" t="n">
        <v>0</v>
      </c>
      <c r="P772" t="n">
        <v>0</v>
      </c>
      <c r="Q772" t="n">
        <v>0</v>
      </c>
      <c r="R772" s="2" t="inlineStr"/>
    </row>
    <row r="773" ht="15" customHeight="1">
      <c r="A773" t="inlineStr">
        <is>
          <t>A 9623-2024</t>
        </is>
      </c>
      <c r="B773" s="1" t="n">
        <v>45361.87975694444</v>
      </c>
      <c r="C773" s="1" t="n">
        <v>45912</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58967-2022</t>
        </is>
      </c>
      <c r="B774" s="1" t="n">
        <v>44896</v>
      </c>
      <c r="C774" s="1" t="n">
        <v>45912</v>
      </c>
      <c r="D774" t="inlineStr">
        <is>
          <t>KALMAR LÄN</t>
        </is>
      </c>
      <c r="E774" t="inlineStr">
        <is>
          <t>VIMMERBY</t>
        </is>
      </c>
      <c r="G774" t="n">
        <v>5</v>
      </c>
      <c r="H774" t="n">
        <v>0</v>
      </c>
      <c r="I774" t="n">
        <v>0</v>
      </c>
      <c r="J774" t="n">
        <v>0</v>
      </c>
      <c r="K774" t="n">
        <v>0</v>
      </c>
      <c r="L774" t="n">
        <v>0</v>
      </c>
      <c r="M774" t="n">
        <v>0</v>
      </c>
      <c r="N774" t="n">
        <v>0</v>
      </c>
      <c r="O774" t="n">
        <v>0</v>
      </c>
      <c r="P774" t="n">
        <v>0</v>
      </c>
      <c r="Q774" t="n">
        <v>0</v>
      </c>
      <c r="R774" s="2" t="inlineStr"/>
    </row>
    <row r="775" ht="15" customHeight="1">
      <c r="A775" t="inlineStr">
        <is>
          <t>A 30920-2023</t>
        </is>
      </c>
      <c r="B775" s="1" t="n">
        <v>45113.43921296296</v>
      </c>
      <c r="C775" s="1" t="n">
        <v>45912</v>
      </c>
      <c r="D775" t="inlineStr">
        <is>
          <t>KALMAR LÄN</t>
        </is>
      </c>
      <c r="E775" t="inlineStr">
        <is>
          <t>VIMMERBY</t>
        </is>
      </c>
      <c r="G775" t="n">
        <v>3.1</v>
      </c>
      <c r="H775" t="n">
        <v>0</v>
      </c>
      <c r="I775" t="n">
        <v>0</v>
      </c>
      <c r="J775" t="n">
        <v>0</v>
      </c>
      <c r="K775" t="n">
        <v>0</v>
      </c>
      <c r="L775" t="n">
        <v>0</v>
      </c>
      <c r="M775" t="n">
        <v>0</v>
      </c>
      <c r="N775" t="n">
        <v>0</v>
      </c>
      <c r="O775" t="n">
        <v>0</v>
      </c>
      <c r="P775" t="n">
        <v>0</v>
      </c>
      <c r="Q775" t="n">
        <v>0</v>
      </c>
      <c r="R775" s="2" t="inlineStr"/>
    </row>
    <row r="776" ht="15" customHeight="1">
      <c r="A776" t="inlineStr">
        <is>
          <t>A 6399-2025</t>
        </is>
      </c>
      <c r="B776" s="1" t="n">
        <v>45699.44291666667</v>
      </c>
      <c r="C776" s="1" t="n">
        <v>45912</v>
      </c>
      <c r="D776" t="inlineStr">
        <is>
          <t>KALMAR LÄN</t>
        </is>
      </c>
      <c r="E776" t="inlineStr">
        <is>
          <t>VIMMERBY</t>
        </is>
      </c>
      <c r="G776" t="n">
        <v>3.1</v>
      </c>
      <c r="H776" t="n">
        <v>0</v>
      </c>
      <c r="I776" t="n">
        <v>0</v>
      </c>
      <c r="J776" t="n">
        <v>0</v>
      </c>
      <c r="K776" t="n">
        <v>0</v>
      </c>
      <c r="L776" t="n">
        <v>0</v>
      </c>
      <c r="M776" t="n">
        <v>0</v>
      </c>
      <c r="N776" t="n">
        <v>0</v>
      </c>
      <c r="O776" t="n">
        <v>0</v>
      </c>
      <c r="P776" t="n">
        <v>0</v>
      </c>
      <c r="Q776" t="n">
        <v>0</v>
      </c>
      <c r="R776" s="2" t="inlineStr"/>
    </row>
    <row r="777" ht="15" customHeight="1">
      <c r="A777" t="inlineStr">
        <is>
          <t>A 31355-2023</t>
        </is>
      </c>
      <c r="B777" s="1" t="n">
        <v>45114.49505787037</v>
      </c>
      <c r="C777" s="1" t="n">
        <v>45912</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66295-2020</t>
        </is>
      </c>
      <c r="B778" s="1" t="n">
        <v>44176</v>
      </c>
      <c r="C778" s="1" t="n">
        <v>45912</v>
      </c>
      <c r="D778" t="inlineStr">
        <is>
          <t>KALMAR LÄN</t>
        </is>
      </c>
      <c r="E778" t="inlineStr">
        <is>
          <t>VIMMERBY</t>
        </is>
      </c>
      <c r="G778" t="n">
        <v>4.1</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44967.45122685185</v>
      </c>
      <c r="C779" s="1" t="n">
        <v>45912</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30400-2023</t>
        </is>
      </c>
      <c r="B780" s="1" t="n">
        <v>45111.48225694444</v>
      </c>
      <c r="C780" s="1" t="n">
        <v>45912</v>
      </c>
      <c r="D780" t="inlineStr">
        <is>
          <t>KALMAR LÄN</t>
        </is>
      </c>
      <c r="E780" t="inlineStr">
        <is>
          <t>VIMMERBY</t>
        </is>
      </c>
      <c r="G780" t="n">
        <v>2.7</v>
      </c>
      <c r="H780" t="n">
        <v>0</v>
      </c>
      <c r="I780" t="n">
        <v>0</v>
      </c>
      <c r="J780" t="n">
        <v>0</v>
      </c>
      <c r="K780" t="n">
        <v>0</v>
      </c>
      <c r="L780" t="n">
        <v>0</v>
      </c>
      <c r="M780" t="n">
        <v>0</v>
      </c>
      <c r="N780" t="n">
        <v>0</v>
      </c>
      <c r="O780" t="n">
        <v>0</v>
      </c>
      <c r="P780" t="n">
        <v>0</v>
      </c>
      <c r="Q780" t="n">
        <v>0</v>
      </c>
      <c r="R780" s="2" t="inlineStr"/>
    </row>
    <row r="781" ht="15" customHeight="1">
      <c r="A781" t="inlineStr">
        <is>
          <t>A 30404-2023</t>
        </is>
      </c>
      <c r="B781" s="1" t="n">
        <v>45111.48636574074</v>
      </c>
      <c r="C781" s="1" t="n">
        <v>45912</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27705-2023</t>
        </is>
      </c>
      <c r="B782" s="1" t="n">
        <v>45098.30535879629</v>
      </c>
      <c r="C782" s="1" t="n">
        <v>45912</v>
      </c>
      <c r="D782" t="inlineStr">
        <is>
          <t>KALMAR LÄN</t>
        </is>
      </c>
      <c r="E782" t="inlineStr">
        <is>
          <t>VIMMERBY</t>
        </is>
      </c>
      <c r="G782" t="n">
        <v>1</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44963.44769675926</v>
      </c>
      <c r="C783" s="1" t="n">
        <v>45912</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10303-2025</t>
        </is>
      </c>
      <c r="B784" s="1" t="n">
        <v>45720.44217592593</v>
      </c>
      <c r="C784" s="1" t="n">
        <v>45912</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60110-2022</t>
        </is>
      </c>
      <c r="B785" s="1" t="n">
        <v>44909</v>
      </c>
      <c r="C785" s="1" t="n">
        <v>45912</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36843-2023</t>
        </is>
      </c>
      <c r="B786" s="1" t="n">
        <v>45154.49831018518</v>
      </c>
      <c r="C786" s="1" t="n">
        <v>45912</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15394-2025</t>
        </is>
      </c>
      <c r="B787" s="1" t="n">
        <v>45747.43196759259</v>
      </c>
      <c r="C787" s="1" t="n">
        <v>45912</v>
      </c>
      <c r="D787" t="inlineStr">
        <is>
          <t>KALMAR LÄN</t>
        </is>
      </c>
      <c r="E787" t="inlineStr">
        <is>
          <t>VIMMERBY</t>
        </is>
      </c>
      <c r="G787" t="n">
        <v>0.8</v>
      </c>
      <c r="H787" t="n">
        <v>0</v>
      </c>
      <c r="I787" t="n">
        <v>0</v>
      </c>
      <c r="J787" t="n">
        <v>0</v>
      </c>
      <c r="K787" t="n">
        <v>0</v>
      </c>
      <c r="L787" t="n">
        <v>0</v>
      </c>
      <c r="M787" t="n">
        <v>0</v>
      </c>
      <c r="N787" t="n">
        <v>0</v>
      </c>
      <c r="O787" t="n">
        <v>0</v>
      </c>
      <c r="P787" t="n">
        <v>0</v>
      </c>
      <c r="Q787" t="n">
        <v>0</v>
      </c>
      <c r="R787" s="2" t="inlineStr"/>
    </row>
    <row r="788" ht="15" customHeight="1">
      <c r="A788" t="inlineStr">
        <is>
          <t>A 15388-2025</t>
        </is>
      </c>
      <c r="B788" s="1" t="n">
        <v>45747.42633101852</v>
      </c>
      <c r="C788" s="1" t="n">
        <v>45912</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15391-2025</t>
        </is>
      </c>
      <c r="B789" s="1" t="n">
        <v>45747.42958333333</v>
      </c>
      <c r="C789" s="1" t="n">
        <v>45912</v>
      </c>
      <c r="D789" t="inlineStr">
        <is>
          <t>KALMAR LÄN</t>
        </is>
      </c>
      <c r="E789" t="inlineStr">
        <is>
          <t>VIMMERBY</t>
        </is>
      </c>
      <c r="G789" t="n">
        <v>1.1</v>
      </c>
      <c r="H789" t="n">
        <v>0</v>
      </c>
      <c r="I789" t="n">
        <v>0</v>
      </c>
      <c r="J789" t="n">
        <v>0</v>
      </c>
      <c r="K789" t="n">
        <v>0</v>
      </c>
      <c r="L789" t="n">
        <v>0</v>
      </c>
      <c r="M789" t="n">
        <v>0</v>
      </c>
      <c r="N789" t="n">
        <v>0</v>
      </c>
      <c r="O789" t="n">
        <v>0</v>
      </c>
      <c r="P789" t="n">
        <v>0</v>
      </c>
      <c r="Q789" t="n">
        <v>0</v>
      </c>
      <c r="R789" s="2" t="inlineStr"/>
    </row>
    <row r="790" ht="15" customHeight="1">
      <c r="A790" t="inlineStr">
        <is>
          <t>A 6474-2025</t>
        </is>
      </c>
      <c r="B790" s="1" t="n">
        <v>45699.60055555555</v>
      </c>
      <c r="C790" s="1" t="n">
        <v>45912</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32919-2022</t>
        </is>
      </c>
      <c r="B791" s="1" t="n">
        <v>44784.62724537037</v>
      </c>
      <c r="C791" s="1" t="n">
        <v>45912</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10785-2025</t>
        </is>
      </c>
      <c r="B792" s="1" t="n">
        <v>45722.48634259259</v>
      </c>
      <c r="C792" s="1" t="n">
        <v>45912</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29017-2024</t>
        </is>
      </c>
      <c r="B793" s="1" t="n">
        <v>45481.56722222222</v>
      </c>
      <c r="C793" s="1" t="n">
        <v>45912</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23263-2024</t>
        </is>
      </c>
      <c r="B794" s="1" t="n">
        <v>45453.36854166666</v>
      </c>
      <c r="C794" s="1" t="n">
        <v>45912</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11074-2023</t>
        </is>
      </c>
      <c r="B795" s="1" t="n">
        <v>44992.34151620371</v>
      </c>
      <c r="C795" s="1" t="n">
        <v>45912</v>
      </c>
      <c r="D795" t="inlineStr">
        <is>
          <t>KALMAR LÄN</t>
        </is>
      </c>
      <c r="E795" t="inlineStr">
        <is>
          <t>VIMMERBY</t>
        </is>
      </c>
      <c r="F795" t="inlineStr">
        <is>
          <t>Sveaskog</t>
        </is>
      </c>
      <c r="G795" t="n">
        <v>3.1</v>
      </c>
      <c r="H795" t="n">
        <v>0</v>
      </c>
      <c r="I795" t="n">
        <v>0</v>
      </c>
      <c r="J795" t="n">
        <v>0</v>
      </c>
      <c r="K795" t="n">
        <v>0</v>
      </c>
      <c r="L795" t="n">
        <v>0</v>
      </c>
      <c r="M795" t="n">
        <v>0</v>
      </c>
      <c r="N795" t="n">
        <v>0</v>
      </c>
      <c r="O795" t="n">
        <v>0</v>
      </c>
      <c r="P795" t="n">
        <v>0</v>
      </c>
      <c r="Q795" t="n">
        <v>0</v>
      </c>
      <c r="R795" s="2" t="inlineStr"/>
    </row>
    <row r="796" ht="15" customHeight="1">
      <c r="A796" t="inlineStr">
        <is>
          <t>A 61939-2021</t>
        </is>
      </c>
      <c r="B796" s="1" t="n">
        <v>44502</v>
      </c>
      <c r="C796" s="1" t="n">
        <v>45912</v>
      </c>
      <c r="D796" t="inlineStr">
        <is>
          <t>KALMAR LÄN</t>
        </is>
      </c>
      <c r="E796" t="inlineStr">
        <is>
          <t>VIMMERBY</t>
        </is>
      </c>
      <c r="G796" t="n">
        <v>2.7</v>
      </c>
      <c r="H796" t="n">
        <v>0</v>
      </c>
      <c r="I796" t="n">
        <v>0</v>
      </c>
      <c r="J796" t="n">
        <v>0</v>
      </c>
      <c r="K796" t="n">
        <v>0</v>
      </c>
      <c r="L796" t="n">
        <v>0</v>
      </c>
      <c r="M796" t="n">
        <v>0</v>
      </c>
      <c r="N796" t="n">
        <v>0</v>
      </c>
      <c r="O796" t="n">
        <v>0</v>
      </c>
      <c r="P796" t="n">
        <v>0</v>
      </c>
      <c r="Q796" t="n">
        <v>0</v>
      </c>
      <c r="R796" s="2" t="inlineStr"/>
    </row>
    <row r="797" ht="15" customHeight="1">
      <c r="A797" t="inlineStr">
        <is>
          <t>A 12215-2024</t>
        </is>
      </c>
      <c r="B797" s="1" t="n">
        <v>45378.32185185186</v>
      </c>
      <c r="C797" s="1" t="n">
        <v>45912</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11303-2025</t>
        </is>
      </c>
      <c r="B798" s="1" t="n">
        <v>45726.44471064815</v>
      </c>
      <c r="C798" s="1" t="n">
        <v>45912</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12033-2024</t>
        </is>
      </c>
      <c r="B799" s="1" t="n">
        <v>45377.40043981482</v>
      </c>
      <c r="C799" s="1" t="n">
        <v>45912</v>
      </c>
      <c r="D799" t="inlineStr">
        <is>
          <t>KALMAR LÄN</t>
        </is>
      </c>
      <c r="E799" t="inlineStr">
        <is>
          <t>VIMMERBY</t>
        </is>
      </c>
      <c r="G799" t="n">
        <v>1.6</v>
      </c>
      <c r="H799" t="n">
        <v>0</v>
      </c>
      <c r="I799" t="n">
        <v>0</v>
      </c>
      <c r="J799" t="n">
        <v>0</v>
      </c>
      <c r="K799" t="n">
        <v>0</v>
      </c>
      <c r="L799" t="n">
        <v>0</v>
      </c>
      <c r="M799" t="n">
        <v>0</v>
      </c>
      <c r="N799" t="n">
        <v>0</v>
      </c>
      <c r="O799" t="n">
        <v>0</v>
      </c>
      <c r="P799" t="n">
        <v>0</v>
      </c>
      <c r="Q799" t="n">
        <v>0</v>
      </c>
      <c r="R799" s="2" t="inlineStr"/>
    </row>
    <row r="800" ht="15" customHeight="1">
      <c r="A800" t="inlineStr">
        <is>
          <t>A 51408-2023</t>
        </is>
      </c>
      <c r="B800" s="1" t="n">
        <v>45219.69356481481</v>
      </c>
      <c r="C800" s="1" t="n">
        <v>45912</v>
      </c>
      <c r="D800" t="inlineStr">
        <is>
          <t>KALMAR LÄN</t>
        </is>
      </c>
      <c r="E800" t="inlineStr">
        <is>
          <t>VIMMERBY</t>
        </is>
      </c>
      <c r="G800" t="n">
        <v>0.7</v>
      </c>
      <c r="H800" t="n">
        <v>0</v>
      </c>
      <c r="I800" t="n">
        <v>0</v>
      </c>
      <c r="J800" t="n">
        <v>0</v>
      </c>
      <c r="K800" t="n">
        <v>0</v>
      </c>
      <c r="L800" t="n">
        <v>0</v>
      </c>
      <c r="M800" t="n">
        <v>0</v>
      </c>
      <c r="N800" t="n">
        <v>0</v>
      </c>
      <c r="O800" t="n">
        <v>0</v>
      </c>
      <c r="P800" t="n">
        <v>0</v>
      </c>
      <c r="Q800" t="n">
        <v>0</v>
      </c>
      <c r="R800" s="2" t="inlineStr"/>
    </row>
    <row r="801" ht="15" customHeight="1">
      <c r="A801" t="inlineStr">
        <is>
          <t>A 49488-2023</t>
        </is>
      </c>
      <c r="B801" s="1" t="n">
        <v>45211.55472222222</v>
      </c>
      <c r="C801" s="1" t="n">
        <v>45912</v>
      </c>
      <c r="D801" t="inlineStr">
        <is>
          <t>KALMAR LÄN</t>
        </is>
      </c>
      <c r="E801" t="inlineStr">
        <is>
          <t>VIMMERBY</t>
        </is>
      </c>
      <c r="F801" t="inlineStr">
        <is>
          <t>Sveaskog</t>
        </is>
      </c>
      <c r="G801" t="n">
        <v>6.2</v>
      </c>
      <c r="H801" t="n">
        <v>0</v>
      </c>
      <c r="I801" t="n">
        <v>0</v>
      </c>
      <c r="J801" t="n">
        <v>0</v>
      </c>
      <c r="K801" t="n">
        <v>0</v>
      </c>
      <c r="L801" t="n">
        <v>0</v>
      </c>
      <c r="M801" t="n">
        <v>0</v>
      </c>
      <c r="N801" t="n">
        <v>0</v>
      </c>
      <c r="O801" t="n">
        <v>0</v>
      </c>
      <c r="P801" t="n">
        <v>0</v>
      </c>
      <c r="Q801" t="n">
        <v>0</v>
      </c>
      <c r="R801" s="2" t="inlineStr"/>
    </row>
    <row r="802" ht="15" customHeight="1">
      <c r="A802" t="inlineStr">
        <is>
          <t>A 56659-2023</t>
        </is>
      </c>
      <c r="B802" s="1" t="n">
        <v>45243.84869212963</v>
      </c>
      <c r="C802" s="1" t="n">
        <v>45912</v>
      </c>
      <c r="D802" t="inlineStr">
        <is>
          <t>KALMAR LÄN</t>
        </is>
      </c>
      <c r="E802" t="inlineStr">
        <is>
          <t>VIMMERBY</t>
        </is>
      </c>
      <c r="G802" t="n">
        <v>0.6</v>
      </c>
      <c r="H802" t="n">
        <v>0</v>
      </c>
      <c r="I802" t="n">
        <v>0</v>
      </c>
      <c r="J802" t="n">
        <v>0</v>
      </c>
      <c r="K802" t="n">
        <v>0</v>
      </c>
      <c r="L802" t="n">
        <v>0</v>
      </c>
      <c r="M802" t="n">
        <v>0</v>
      </c>
      <c r="N802" t="n">
        <v>0</v>
      </c>
      <c r="O802" t="n">
        <v>0</v>
      </c>
      <c r="P802" t="n">
        <v>0</v>
      </c>
      <c r="Q802" t="n">
        <v>0</v>
      </c>
      <c r="R802" s="2" t="inlineStr"/>
    </row>
    <row r="803" ht="15" customHeight="1">
      <c r="A803" t="inlineStr">
        <is>
          <t>A 13015-2022</t>
        </is>
      </c>
      <c r="B803" s="1" t="n">
        <v>44643</v>
      </c>
      <c r="C803" s="1" t="n">
        <v>45912</v>
      </c>
      <c r="D803" t="inlineStr">
        <is>
          <t>KALMAR LÄN</t>
        </is>
      </c>
      <c r="E803" t="inlineStr">
        <is>
          <t>VIMMERBY</t>
        </is>
      </c>
      <c r="G803" t="n">
        <v>2.4</v>
      </c>
      <c r="H803" t="n">
        <v>0</v>
      </c>
      <c r="I803" t="n">
        <v>0</v>
      </c>
      <c r="J803" t="n">
        <v>0</v>
      </c>
      <c r="K803" t="n">
        <v>0</v>
      </c>
      <c r="L803" t="n">
        <v>0</v>
      </c>
      <c r="M803" t="n">
        <v>0</v>
      </c>
      <c r="N803" t="n">
        <v>0</v>
      </c>
      <c r="O803" t="n">
        <v>0</v>
      </c>
      <c r="P803" t="n">
        <v>0</v>
      </c>
      <c r="Q803" t="n">
        <v>0</v>
      </c>
      <c r="R803" s="2" t="inlineStr"/>
    </row>
    <row r="804" ht="15" customHeight="1">
      <c r="A804" t="inlineStr">
        <is>
          <t>A 8410-2023</t>
        </is>
      </c>
      <c r="B804" s="1" t="n">
        <v>44977</v>
      </c>
      <c r="C804" s="1" t="n">
        <v>45912</v>
      </c>
      <c r="D804" t="inlineStr">
        <is>
          <t>KALMAR LÄN</t>
        </is>
      </c>
      <c r="E804" t="inlineStr">
        <is>
          <t>VIMMERBY</t>
        </is>
      </c>
      <c r="G804" t="n">
        <v>0.9</v>
      </c>
      <c r="H804" t="n">
        <v>0</v>
      </c>
      <c r="I804" t="n">
        <v>0</v>
      </c>
      <c r="J804" t="n">
        <v>0</v>
      </c>
      <c r="K804" t="n">
        <v>0</v>
      </c>
      <c r="L804" t="n">
        <v>0</v>
      </c>
      <c r="M804" t="n">
        <v>0</v>
      </c>
      <c r="N804" t="n">
        <v>0</v>
      </c>
      <c r="O804" t="n">
        <v>0</v>
      </c>
      <c r="P804" t="n">
        <v>0</v>
      </c>
      <c r="Q804" t="n">
        <v>0</v>
      </c>
      <c r="R804" s="2" t="inlineStr"/>
    </row>
    <row r="805" ht="15" customHeight="1">
      <c r="A805" t="inlineStr">
        <is>
          <t>A 30920-2024</t>
        </is>
      </c>
      <c r="B805" s="1" t="n">
        <v>45498.673125</v>
      </c>
      <c r="C805" s="1" t="n">
        <v>45912</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17968-2025</t>
        </is>
      </c>
      <c r="B806" s="1" t="n">
        <v>45761.35990740741</v>
      </c>
      <c r="C806" s="1" t="n">
        <v>45912</v>
      </c>
      <c r="D806" t="inlineStr">
        <is>
          <t>KALMAR LÄN</t>
        </is>
      </c>
      <c r="E806" t="inlineStr">
        <is>
          <t>VIMMERBY</t>
        </is>
      </c>
      <c r="G806" t="n">
        <v>3.3</v>
      </c>
      <c r="H806" t="n">
        <v>0</v>
      </c>
      <c r="I806" t="n">
        <v>0</v>
      </c>
      <c r="J806" t="n">
        <v>0</v>
      </c>
      <c r="K806" t="n">
        <v>0</v>
      </c>
      <c r="L806" t="n">
        <v>0</v>
      </c>
      <c r="M806" t="n">
        <v>0</v>
      </c>
      <c r="N806" t="n">
        <v>0</v>
      </c>
      <c r="O806" t="n">
        <v>0</v>
      </c>
      <c r="P806" t="n">
        <v>0</v>
      </c>
      <c r="Q806" t="n">
        <v>0</v>
      </c>
      <c r="R806" s="2" t="inlineStr"/>
    </row>
    <row r="807" ht="15" customHeight="1">
      <c r="A807" t="inlineStr">
        <is>
          <t>A 6028-2023</t>
        </is>
      </c>
      <c r="B807" s="1" t="n">
        <v>44964.44356481481</v>
      </c>
      <c r="C807" s="1" t="n">
        <v>45912</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55436-2023</t>
        </is>
      </c>
      <c r="B808" s="1" t="n">
        <v>45238.4328587963</v>
      </c>
      <c r="C808" s="1" t="n">
        <v>45912</v>
      </c>
      <c r="D808" t="inlineStr">
        <is>
          <t>KALMAR LÄN</t>
        </is>
      </c>
      <c r="E808" t="inlineStr">
        <is>
          <t>VIMMERBY</t>
        </is>
      </c>
      <c r="G808" t="n">
        <v>5.6</v>
      </c>
      <c r="H808" t="n">
        <v>0</v>
      </c>
      <c r="I808" t="n">
        <v>0</v>
      </c>
      <c r="J808" t="n">
        <v>0</v>
      </c>
      <c r="K808" t="n">
        <v>0</v>
      </c>
      <c r="L808" t="n">
        <v>0</v>
      </c>
      <c r="M808" t="n">
        <v>0</v>
      </c>
      <c r="N808" t="n">
        <v>0</v>
      </c>
      <c r="O808" t="n">
        <v>0</v>
      </c>
      <c r="P808" t="n">
        <v>0</v>
      </c>
      <c r="Q808" t="n">
        <v>0</v>
      </c>
      <c r="R808" s="2" t="inlineStr"/>
    </row>
    <row r="809" ht="15" customHeight="1">
      <c r="A809" t="inlineStr">
        <is>
          <t>A 40929-2022</t>
        </is>
      </c>
      <c r="B809" s="1" t="n">
        <v>44825.4336574074</v>
      </c>
      <c r="C809" s="1" t="n">
        <v>45912</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50091-2023</t>
        </is>
      </c>
      <c r="B810" s="1" t="n">
        <v>45215.60199074074</v>
      </c>
      <c r="C810" s="1" t="n">
        <v>45912</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36008-2024</t>
        </is>
      </c>
      <c r="B811" s="1" t="n">
        <v>45533.55362268518</v>
      </c>
      <c r="C811" s="1" t="n">
        <v>45912</v>
      </c>
      <c r="D811" t="inlineStr">
        <is>
          <t>KALMAR LÄN</t>
        </is>
      </c>
      <c r="E811" t="inlineStr">
        <is>
          <t>VIMMERBY</t>
        </is>
      </c>
      <c r="G811" t="n">
        <v>3.7</v>
      </c>
      <c r="H811" t="n">
        <v>0</v>
      </c>
      <c r="I811" t="n">
        <v>0</v>
      </c>
      <c r="J811" t="n">
        <v>0</v>
      </c>
      <c r="K811" t="n">
        <v>0</v>
      </c>
      <c r="L811" t="n">
        <v>0</v>
      </c>
      <c r="M811" t="n">
        <v>0</v>
      </c>
      <c r="N811" t="n">
        <v>0</v>
      </c>
      <c r="O811" t="n">
        <v>0</v>
      </c>
      <c r="P811" t="n">
        <v>0</v>
      </c>
      <c r="Q811" t="n">
        <v>0</v>
      </c>
      <c r="R811" s="2" t="inlineStr"/>
    </row>
    <row r="812" ht="15" customHeight="1">
      <c r="A812" t="inlineStr">
        <is>
          <t>A 16622-2025</t>
        </is>
      </c>
      <c r="B812" s="1" t="n">
        <v>45754.33641203704</v>
      </c>
      <c r="C812" s="1" t="n">
        <v>45912</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17511-2024</t>
        </is>
      </c>
      <c r="B813" s="1" t="n">
        <v>45415.57682870371</v>
      </c>
      <c r="C813" s="1" t="n">
        <v>45912</v>
      </c>
      <c r="D813" t="inlineStr">
        <is>
          <t>KALMAR LÄN</t>
        </is>
      </c>
      <c r="E813" t="inlineStr">
        <is>
          <t>VIMMERBY</t>
        </is>
      </c>
      <c r="G813" t="n">
        <v>5.3</v>
      </c>
      <c r="H813" t="n">
        <v>0</v>
      </c>
      <c r="I813" t="n">
        <v>0</v>
      </c>
      <c r="J813" t="n">
        <v>0</v>
      </c>
      <c r="K813" t="n">
        <v>0</v>
      </c>
      <c r="L813" t="n">
        <v>0</v>
      </c>
      <c r="M813" t="n">
        <v>0</v>
      </c>
      <c r="N813" t="n">
        <v>0</v>
      </c>
      <c r="O813" t="n">
        <v>0</v>
      </c>
      <c r="P813" t="n">
        <v>0</v>
      </c>
      <c r="Q813" t="n">
        <v>0</v>
      </c>
      <c r="R813" s="2" t="inlineStr"/>
    </row>
    <row r="814" ht="15" customHeight="1">
      <c r="A814" t="inlineStr">
        <is>
          <t>A 43705-2023</t>
        </is>
      </c>
      <c r="B814" s="1" t="n">
        <v>45187.42854166667</v>
      </c>
      <c r="C814" s="1" t="n">
        <v>45912</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56582-2022</t>
        </is>
      </c>
      <c r="B815" s="1" t="n">
        <v>44893</v>
      </c>
      <c r="C815" s="1" t="n">
        <v>45912</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20-2025</t>
        </is>
      </c>
      <c r="B816" s="1" t="n">
        <v>45658.80232638889</v>
      </c>
      <c r="C816" s="1" t="n">
        <v>45912</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23-2025</t>
        </is>
      </c>
      <c r="B817" s="1" t="n">
        <v>45658.80827546296</v>
      </c>
      <c r="C817" s="1" t="n">
        <v>45912</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43962-2024</t>
        </is>
      </c>
      <c r="B818" s="1" t="n">
        <v>45572.48293981481</v>
      </c>
      <c r="C818" s="1" t="n">
        <v>45912</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35713-2023</t>
        </is>
      </c>
      <c r="B819" s="1" t="n">
        <v>45147</v>
      </c>
      <c r="C819" s="1" t="n">
        <v>45912</v>
      </c>
      <c r="D819" t="inlineStr">
        <is>
          <t>KALMAR LÄN</t>
        </is>
      </c>
      <c r="E819" t="inlineStr">
        <is>
          <t>VIMMERBY</t>
        </is>
      </c>
      <c r="G819" t="n">
        <v>1.6</v>
      </c>
      <c r="H819" t="n">
        <v>0</v>
      </c>
      <c r="I819" t="n">
        <v>0</v>
      </c>
      <c r="J819" t="n">
        <v>0</v>
      </c>
      <c r="K819" t="n">
        <v>0</v>
      </c>
      <c r="L819" t="n">
        <v>0</v>
      </c>
      <c r="M819" t="n">
        <v>0</v>
      </c>
      <c r="N819" t="n">
        <v>0</v>
      </c>
      <c r="O819" t="n">
        <v>0</v>
      </c>
      <c r="P819" t="n">
        <v>0</v>
      </c>
      <c r="Q819" t="n">
        <v>0</v>
      </c>
      <c r="R819" s="2" t="inlineStr"/>
    </row>
    <row r="820" ht="15" customHeight="1">
      <c r="A820" t="inlineStr">
        <is>
          <t>A 55300-2021</t>
        </is>
      </c>
      <c r="B820" s="1" t="n">
        <v>44475</v>
      </c>
      <c r="C820" s="1" t="n">
        <v>45912</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44179-2022</t>
        </is>
      </c>
      <c r="B821" s="1" t="n">
        <v>44839.4528125</v>
      </c>
      <c r="C821" s="1" t="n">
        <v>45912</v>
      </c>
      <c r="D821" t="inlineStr">
        <is>
          <t>KALMAR LÄN</t>
        </is>
      </c>
      <c r="E821" t="inlineStr">
        <is>
          <t>VIMMERBY</t>
        </is>
      </c>
      <c r="G821" t="n">
        <v>2.8</v>
      </c>
      <c r="H821" t="n">
        <v>0</v>
      </c>
      <c r="I821" t="n">
        <v>0</v>
      </c>
      <c r="J821" t="n">
        <v>0</v>
      </c>
      <c r="K821" t="n">
        <v>0</v>
      </c>
      <c r="L821" t="n">
        <v>0</v>
      </c>
      <c r="M821" t="n">
        <v>0</v>
      </c>
      <c r="N821" t="n">
        <v>0</v>
      </c>
      <c r="O821" t="n">
        <v>0</v>
      </c>
      <c r="P821" t="n">
        <v>0</v>
      </c>
      <c r="Q821" t="n">
        <v>0</v>
      </c>
      <c r="R821" s="2" t="inlineStr"/>
    </row>
    <row r="822" ht="15" customHeight="1">
      <c r="A822" t="inlineStr">
        <is>
          <t>A 52755-2022</t>
        </is>
      </c>
      <c r="B822" s="1" t="n">
        <v>44875.27736111111</v>
      </c>
      <c r="C822" s="1" t="n">
        <v>45912</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35998-2024</t>
        </is>
      </c>
      <c r="B823" s="1" t="n">
        <v>45533.54429398148</v>
      </c>
      <c r="C823" s="1" t="n">
        <v>45912</v>
      </c>
      <c r="D823" t="inlineStr">
        <is>
          <t>KALMAR LÄN</t>
        </is>
      </c>
      <c r="E823" t="inlineStr">
        <is>
          <t>VIMMERBY</t>
        </is>
      </c>
      <c r="G823" t="n">
        <v>8.6</v>
      </c>
      <c r="H823" t="n">
        <v>0</v>
      </c>
      <c r="I823" t="n">
        <v>0</v>
      </c>
      <c r="J823" t="n">
        <v>0</v>
      </c>
      <c r="K823" t="n">
        <v>0</v>
      </c>
      <c r="L823" t="n">
        <v>0</v>
      </c>
      <c r="M823" t="n">
        <v>0</v>
      </c>
      <c r="N823" t="n">
        <v>0</v>
      </c>
      <c r="O823" t="n">
        <v>0</v>
      </c>
      <c r="P823" t="n">
        <v>0</v>
      </c>
      <c r="Q823" t="n">
        <v>0</v>
      </c>
      <c r="R823" s="2" t="inlineStr"/>
    </row>
    <row r="824" ht="15" customHeight="1">
      <c r="A824" t="inlineStr">
        <is>
          <t>A 7797-2023</t>
        </is>
      </c>
      <c r="B824" s="1" t="n">
        <v>44973.43075231482</v>
      </c>
      <c r="C824" s="1" t="n">
        <v>45912</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40147-2023</t>
        </is>
      </c>
      <c r="B825" s="1" t="n">
        <v>45169</v>
      </c>
      <c r="C825" s="1" t="n">
        <v>45912</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50995-2022</t>
        </is>
      </c>
      <c r="B826" s="1" t="n">
        <v>44867</v>
      </c>
      <c r="C826" s="1" t="n">
        <v>45912</v>
      </c>
      <c r="D826" t="inlineStr">
        <is>
          <t>KALMAR LÄN</t>
        </is>
      </c>
      <c r="E826" t="inlineStr">
        <is>
          <t>VIMMERBY</t>
        </is>
      </c>
      <c r="G826" t="n">
        <v>2.4</v>
      </c>
      <c r="H826" t="n">
        <v>0</v>
      </c>
      <c r="I826" t="n">
        <v>0</v>
      </c>
      <c r="J826" t="n">
        <v>0</v>
      </c>
      <c r="K826" t="n">
        <v>0</v>
      </c>
      <c r="L826" t="n">
        <v>0</v>
      </c>
      <c r="M826" t="n">
        <v>0</v>
      </c>
      <c r="N826" t="n">
        <v>0</v>
      </c>
      <c r="O826" t="n">
        <v>0</v>
      </c>
      <c r="P826" t="n">
        <v>0</v>
      </c>
      <c r="Q826" t="n">
        <v>0</v>
      </c>
      <c r="R826" s="2" t="inlineStr"/>
    </row>
    <row r="827" ht="15" customHeight="1">
      <c r="A827" t="inlineStr">
        <is>
          <t>A 29351-2023</t>
        </is>
      </c>
      <c r="B827" s="1" t="n">
        <v>45106.2610300926</v>
      </c>
      <c r="C827" s="1" t="n">
        <v>45912</v>
      </c>
      <c r="D827" t="inlineStr">
        <is>
          <t>KALMAR LÄN</t>
        </is>
      </c>
      <c r="E827" t="inlineStr">
        <is>
          <t>VIMMERBY</t>
        </is>
      </c>
      <c r="G827" t="n">
        <v>0.4</v>
      </c>
      <c r="H827" t="n">
        <v>0</v>
      </c>
      <c r="I827" t="n">
        <v>0</v>
      </c>
      <c r="J827" t="n">
        <v>0</v>
      </c>
      <c r="K827" t="n">
        <v>0</v>
      </c>
      <c r="L827" t="n">
        <v>0</v>
      </c>
      <c r="M827" t="n">
        <v>0</v>
      </c>
      <c r="N827" t="n">
        <v>0</v>
      </c>
      <c r="O827" t="n">
        <v>0</v>
      </c>
      <c r="P827" t="n">
        <v>0</v>
      </c>
      <c r="Q827" t="n">
        <v>0</v>
      </c>
      <c r="R827" s="2" t="inlineStr"/>
    </row>
    <row r="828" ht="15" customHeight="1">
      <c r="A828" t="inlineStr">
        <is>
          <t>A 7630-2025</t>
        </is>
      </c>
      <c r="B828" s="1" t="n">
        <v>45705.74418981482</v>
      </c>
      <c r="C828" s="1" t="n">
        <v>45912</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1024-2024</t>
        </is>
      </c>
      <c r="B829" s="1" t="n">
        <v>45301.68237268519</v>
      </c>
      <c r="C829" s="1" t="n">
        <v>45912</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50764-2020</t>
        </is>
      </c>
      <c r="B830" s="1" t="n">
        <v>44111</v>
      </c>
      <c r="C830" s="1" t="n">
        <v>45912</v>
      </c>
      <c r="D830" t="inlineStr">
        <is>
          <t>KALMAR LÄN</t>
        </is>
      </c>
      <c r="E830" t="inlineStr">
        <is>
          <t>VIMMERBY</t>
        </is>
      </c>
      <c r="G830" t="n">
        <v>2.3</v>
      </c>
      <c r="H830" t="n">
        <v>0</v>
      </c>
      <c r="I830" t="n">
        <v>0</v>
      </c>
      <c r="J830" t="n">
        <v>0</v>
      </c>
      <c r="K830" t="n">
        <v>0</v>
      </c>
      <c r="L830" t="n">
        <v>0</v>
      </c>
      <c r="M830" t="n">
        <v>0</v>
      </c>
      <c r="N830" t="n">
        <v>0</v>
      </c>
      <c r="O830" t="n">
        <v>0</v>
      </c>
      <c r="P830" t="n">
        <v>0</v>
      </c>
      <c r="Q830" t="n">
        <v>0</v>
      </c>
      <c r="R830" s="2" t="inlineStr"/>
    </row>
    <row r="831" ht="15" customHeight="1">
      <c r="A831" t="inlineStr">
        <is>
          <t>A 10787-2025</t>
        </is>
      </c>
      <c r="B831" s="1" t="n">
        <v>45722.48915509259</v>
      </c>
      <c r="C831" s="1" t="n">
        <v>45912</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27993-2022</t>
        </is>
      </c>
      <c r="B832" s="1" t="n">
        <v>44745.84396990741</v>
      </c>
      <c r="C832" s="1" t="n">
        <v>45912</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29350-2023</t>
        </is>
      </c>
      <c r="B833" s="1" t="n">
        <v>45106</v>
      </c>
      <c r="C833" s="1" t="n">
        <v>45912</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57555-2024</t>
        </is>
      </c>
      <c r="B834" s="1" t="n">
        <v>45630.45069444444</v>
      </c>
      <c r="C834" s="1" t="n">
        <v>45912</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14855-2025</t>
        </is>
      </c>
      <c r="B835" s="1" t="n">
        <v>45743.41148148148</v>
      </c>
      <c r="C835" s="1" t="n">
        <v>45912</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43601-2024</t>
        </is>
      </c>
      <c r="B836" s="1" t="n">
        <v>45569.44684027778</v>
      </c>
      <c r="C836" s="1" t="n">
        <v>45912</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35913-2023</t>
        </is>
      </c>
      <c r="B837" s="1" t="n">
        <v>45148</v>
      </c>
      <c r="C837" s="1" t="n">
        <v>45912</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9624-2024</t>
        </is>
      </c>
      <c r="B838" s="1" t="n">
        <v>45361.90282407407</v>
      </c>
      <c r="C838" s="1" t="n">
        <v>45912</v>
      </c>
      <c r="D838" t="inlineStr">
        <is>
          <t>KALMAR LÄN</t>
        </is>
      </c>
      <c r="E838" t="inlineStr">
        <is>
          <t>VIMMERBY</t>
        </is>
      </c>
      <c r="G838" t="n">
        <v>3.8</v>
      </c>
      <c r="H838" t="n">
        <v>0</v>
      </c>
      <c r="I838" t="n">
        <v>0</v>
      </c>
      <c r="J838" t="n">
        <v>0</v>
      </c>
      <c r="K838" t="n">
        <v>0</v>
      </c>
      <c r="L838" t="n">
        <v>0</v>
      </c>
      <c r="M838" t="n">
        <v>0</v>
      </c>
      <c r="N838" t="n">
        <v>0</v>
      </c>
      <c r="O838" t="n">
        <v>0</v>
      </c>
      <c r="P838" t="n">
        <v>0</v>
      </c>
      <c r="Q838" t="n">
        <v>0</v>
      </c>
      <c r="R838" s="2" t="inlineStr"/>
    </row>
    <row r="839" ht="15" customHeight="1">
      <c r="A839" t="inlineStr">
        <is>
          <t>A 3938-2023</t>
        </is>
      </c>
      <c r="B839" s="1" t="n">
        <v>44952.35775462963</v>
      </c>
      <c r="C839" s="1" t="n">
        <v>45912</v>
      </c>
      <c r="D839" t="inlineStr">
        <is>
          <t>KALMAR LÄN</t>
        </is>
      </c>
      <c r="E839" t="inlineStr">
        <is>
          <t>VIMMERBY</t>
        </is>
      </c>
      <c r="G839" t="n">
        <v>0.9</v>
      </c>
      <c r="H839" t="n">
        <v>0</v>
      </c>
      <c r="I839" t="n">
        <v>0</v>
      </c>
      <c r="J839" t="n">
        <v>0</v>
      </c>
      <c r="K839" t="n">
        <v>0</v>
      </c>
      <c r="L839" t="n">
        <v>0</v>
      </c>
      <c r="M839" t="n">
        <v>0</v>
      </c>
      <c r="N839" t="n">
        <v>0</v>
      </c>
      <c r="O839" t="n">
        <v>0</v>
      </c>
      <c r="P839" t="n">
        <v>0</v>
      </c>
      <c r="Q839" t="n">
        <v>0</v>
      </c>
      <c r="R839" s="2" t="inlineStr"/>
    </row>
    <row r="840" ht="15" customHeight="1">
      <c r="A840" t="inlineStr">
        <is>
          <t>A 36014-2024</t>
        </is>
      </c>
      <c r="B840" s="1" t="n">
        <v>45533.56108796296</v>
      </c>
      <c r="C840" s="1" t="n">
        <v>45912</v>
      </c>
      <c r="D840" t="inlineStr">
        <is>
          <t>KALMAR LÄN</t>
        </is>
      </c>
      <c r="E840" t="inlineStr">
        <is>
          <t>VIMMERBY</t>
        </is>
      </c>
      <c r="G840" t="n">
        <v>2.3</v>
      </c>
      <c r="H840" t="n">
        <v>0</v>
      </c>
      <c r="I840" t="n">
        <v>0</v>
      </c>
      <c r="J840" t="n">
        <v>0</v>
      </c>
      <c r="K840" t="n">
        <v>0</v>
      </c>
      <c r="L840" t="n">
        <v>0</v>
      </c>
      <c r="M840" t="n">
        <v>0</v>
      </c>
      <c r="N840" t="n">
        <v>0</v>
      </c>
      <c r="O840" t="n">
        <v>0</v>
      </c>
      <c r="P840" t="n">
        <v>0</v>
      </c>
      <c r="Q840" t="n">
        <v>0</v>
      </c>
      <c r="R840" s="2" t="inlineStr"/>
    </row>
    <row r="841" ht="15" customHeight="1">
      <c r="A841" t="inlineStr">
        <is>
          <t>A 36030-2024</t>
        </is>
      </c>
      <c r="B841" s="1" t="n">
        <v>45533.58302083334</v>
      </c>
      <c r="C841" s="1" t="n">
        <v>45912</v>
      </c>
      <c r="D841" t="inlineStr">
        <is>
          <t>KALMAR LÄN</t>
        </is>
      </c>
      <c r="E841" t="inlineStr">
        <is>
          <t>VIMMERBY</t>
        </is>
      </c>
      <c r="F841" t="inlineStr">
        <is>
          <t>Kommuner</t>
        </is>
      </c>
      <c r="G841" t="n">
        <v>4</v>
      </c>
      <c r="H841" t="n">
        <v>0</v>
      </c>
      <c r="I841" t="n">
        <v>0</v>
      </c>
      <c r="J841" t="n">
        <v>0</v>
      </c>
      <c r="K841" t="n">
        <v>0</v>
      </c>
      <c r="L841" t="n">
        <v>0</v>
      </c>
      <c r="M841" t="n">
        <v>0</v>
      </c>
      <c r="N841" t="n">
        <v>0</v>
      </c>
      <c r="O841" t="n">
        <v>0</v>
      </c>
      <c r="P841" t="n">
        <v>0</v>
      </c>
      <c r="Q841" t="n">
        <v>0</v>
      </c>
      <c r="R841" s="2" t="inlineStr"/>
    </row>
    <row r="842" ht="15" customHeight="1">
      <c r="A842" t="inlineStr">
        <is>
          <t>A 32865-2023</t>
        </is>
      </c>
      <c r="B842" s="1" t="n">
        <v>45124</v>
      </c>
      <c r="C842" s="1" t="n">
        <v>45912</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39053-2024</t>
        </is>
      </c>
      <c r="B843" s="1" t="n">
        <v>45548</v>
      </c>
      <c r="C843" s="1" t="n">
        <v>45912</v>
      </c>
      <c r="D843" t="inlineStr">
        <is>
          <t>KALMAR LÄN</t>
        </is>
      </c>
      <c r="E843" t="inlineStr">
        <is>
          <t>VIMMERBY</t>
        </is>
      </c>
      <c r="G843" t="n">
        <v>5</v>
      </c>
      <c r="H843" t="n">
        <v>0</v>
      </c>
      <c r="I843" t="n">
        <v>0</v>
      </c>
      <c r="J843" t="n">
        <v>0</v>
      </c>
      <c r="K843" t="n">
        <v>0</v>
      </c>
      <c r="L843" t="n">
        <v>0</v>
      </c>
      <c r="M843" t="n">
        <v>0</v>
      </c>
      <c r="N843" t="n">
        <v>0</v>
      </c>
      <c r="O843" t="n">
        <v>0</v>
      </c>
      <c r="P843" t="n">
        <v>0</v>
      </c>
      <c r="Q843" t="n">
        <v>0</v>
      </c>
      <c r="R843" s="2" t="inlineStr"/>
    </row>
    <row r="844" ht="15" customHeight="1">
      <c r="A844" t="inlineStr">
        <is>
          <t>A 14451-2024</t>
        </is>
      </c>
      <c r="B844" s="1" t="n">
        <v>45394.50028935185</v>
      </c>
      <c r="C844" s="1" t="n">
        <v>45912</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34205-2023</t>
        </is>
      </c>
      <c r="B845" s="1" t="n">
        <v>45138</v>
      </c>
      <c r="C845" s="1" t="n">
        <v>45912</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3268-2024</t>
        </is>
      </c>
      <c r="B846" s="1" t="n">
        <v>45317</v>
      </c>
      <c r="C846" s="1" t="n">
        <v>45912</v>
      </c>
      <c r="D846" t="inlineStr">
        <is>
          <t>KALMAR LÄN</t>
        </is>
      </c>
      <c r="E846" t="inlineStr">
        <is>
          <t>VIMMERBY</t>
        </is>
      </c>
      <c r="F846" t="inlineStr">
        <is>
          <t>Övriga Aktiebolag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12819-2024</t>
        </is>
      </c>
      <c r="B847" s="1" t="n">
        <v>45384.66917824074</v>
      </c>
      <c r="C847" s="1" t="n">
        <v>45912</v>
      </c>
      <c r="D847" t="inlineStr">
        <is>
          <t>KALMAR LÄN</t>
        </is>
      </c>
      <c r="E847" t="inlineStr">
        <is>
          <t>VIMMERBY</t>
        </is>
      </c>
      <c r="G847" t="n">
        <v>5.1</v>
      </c>
      <c r="H847" t="n">
        <v>0</v>
      </c>
      <c r="I847" t="n">
        <v>0</v>
      </c>
      <c r="J847" t="n">
        <v>0</v>
      </c>
      <c r="K847" t="n">
        <v>0</v>
      </c>
      <c r="L847" t="n">
        <v>0</v>
      </c>
      <c r="M847" t="n">
        <v>0</v>
      </c>
      <c r="N847" t="n">
        <v>0</v>
      </c>
      <c r="O847" t="n">
        <v>0</v>
      </c>
      <c r="P847" t="n">
        <v>0</v>
      </c>
      <c r="Q847" t="n">
        <v>0</v>
      </c>
      <c r="R847" s="2" t="inlineStr"/>
    </row>
    <row r="848" ht="15" customHeight="1">
      <c r="A848" t="inlineStr">
        <is>
          <t>A 13076-2025</t>
        </is>
      </c>
      <c r="B848" s="1" t="n">
        <v>45734.62017361111</v>
      </c>
      <c r="C848" s="1" t="n">
        <v>45912</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6214-2025</t>
        </is>
      </c>
      <c r="B849" s="1" t="n">
        <v>45698.51711805556</v>
      </c>
      <c r="C849" s="1" t="n">
        <v>45912</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32569-2024</t>
        </is>
      </c>
      <c r="B850" s="1" t="n">
        <v>45513.55840277778</v>
      </c>
      <c r="C850" s="1" t="n">
        <v>45912</v>
      </c>
      <c r="D850" t="inlineStr">
        <is>
          <t>KALMAR LÄN</t>
        </is>
      </c>
      <c r="E850" t="inlineStr">
        <is>
          <t>VIMMERBY</t>
        </is>
      </c>
      <c r="G850" t="n">
        <v>3.7</v>
      </c>
      <c r="H850" t="n">
        <v>0</v>
      </c>
      <c r="I850" t="n">
        <v>0</v>
      </c>
      <c r="J850" t="n">
        <v>0</v>
      </c>
      <c r="K850" t="n">
        <v>0</v>
      </c>
      <c r="L850" t="n">
        <v>0</v>
      </c>
      <c r="M850" t="n">
        <v>0</v>
      </c>
      <c r="N850" t="n">
        <v>0</v>
      </c>
      <c r="O850" t="n">
        <v>0</v>
      </c>
      <c r="P850" t="n">
        <v>0</v>
      </c>
      <c r="Q850" t="n">
        <v>0</v>
      </c>
      <c r="R850" s="2" t="inlineStr"/>
    </row>
    <row r="851">
      <c r="A851" t="inlineStr">
        <is>
          <t>A 32575-2024</t>
        </is>
      </c>
      <c r="B851" s="1" t="n">
        <v>45513.56527777778</v>
      </c>
      <c r="C851" s="1" t="n">
        <v>45912</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2025-09-12T08:53:32Z</dcterms:created>
  <dcterms:modified xmlns:dcterms="http://purl.org/dc/terms/" xmlns:xsi="http://www.w3.org/2001/XMLSchema-instance" xsi:type="dcterms:W3CDTF">2025-09-12T08:53:32Z</dcterms:modified>
</cp:coreProperties>
</file>