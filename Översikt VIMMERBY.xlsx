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45349</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45349</v>
      </c>
      <c r="D3" t="inlineStr">
        <is>
          <t>KALMAR LÄN</t>
        </is>
      </c>
      <c r="E3" t="inlineStr">
        <is>
          <t>VIMMERBY</t>
        </is>
      </c>
      <c r="G3" t="n">
        <v>19.2</v>
      </c>
      <c r="H3" t="n">
        <v>4</v>
      </c>
      <c r="I3" t="n">
        <v>17</v>
      </c>
      <c r="J3" t="n">
        <v>5</v>
      </c>
      <c r="K3" t="n">
        <v>1</v>
      </c>
      <c r="L3" t="n">
        <v>1</v>
      </c>
      <c r="M3" t="n">
        <v>0</v>
      </c>
      <c r="N3" t="n">
        <v>0</v>
      </c>
      <c r="O3" t="n">
        <v>7</v>
      </c>
      <c r="P3" t="n">
        <v>2</v>
      </c>
      <c r="Q3" t="n">
        <v>26</v>
      </c>
      <c r="R3"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45349</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45349</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45349</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37906-2022</t>
        </is>
      </c>
      <c r="B7" s="1" t="n">
        <v>44811</v>
      </c>
      <c r="C7" s="1" t="n">
        <v>45349</v>
      </c>
      <c r="D7" t="inlineStr">
        <is>
          <t>KALMAR LÄN</t>
        </is>
      </c>
      <c r="E7" t="inlineStr">
        <is>
          <t>VIMMERBY</t>
        </is>
      </c>
      <c r="G7" t="n">
        <v>3.5</v>
      </c>
      <c r="H7" t="n">
        <v>1</v>
      </c>
      <c r="I7" t="n">
        <v>3</v>
      </c>
      <c r="J7" t="n">
        <v>4</v>
      </c>
      <c r="K7" t="n">
        <v>2</v>
      </c>
      <c r="L7" t="n">
        <v>0</v>
      </c>
      <c r="M7" t="n">
        <v>0</v>
      </c>
      <c r="N7" t="n">
        <v>0</v>
      </c>
      <c r="O7" t="n">
        <v>6</v>
      </c>
      <c r="P7" t="n">
        <v>2</v>
      </c>
      <c r="Q7" t="n">
        <v>9</v>
      </c>
      <c r="R7" s="2" t="inlineStr">
        <is>
          <t>Knärot
Rynkskinn
Dvärgbägarlav
Grön aspvedbock
Ullticka
Vedskivlav
Barkticka
Fällmossa
Granbarkgnagare</t>
        </is>
      </c>
      <c r="S7">
        <f>HYPERLINK("https://klasma.github.io/Logging_0884/artfynd/A 37906-2022 artfynd.xlsx", "A 37906-2022")</f>
        <v/>
      </c>
      <c r="T7">
        <f>HYPERLINK("https://klasma.github.io/Logging_0884/kartor/A 37906-2022 karta.png", "A 37906-2022")</f>
        <v/>
      </c>
      <c r="U7">
        <f>HYPERLINK("https://klasma.github.io/Logging_0884/knärot/A 37906-2022 karta knärot.png", "A 37906-2022")</f>
        <v/>
      </c>
      <c r="V7">
        <f>HYPERLINK("https://klasma.github.io/Logging_0884/klagomål/A 37906-2022 FSC-klagomål.docx", "A 37906-2022")</f>
        <v/>
      </c>
      <c r="W7">
        <f>HYPERLINK("https://klasma.github.io/Logging_0884/klagomålsmail/A 37906-2022 FSC-klagomål mail.docx", "A 37906-2022")</f>
        <v/>
      </c>
      <c r="X7">
        <f>HYPERLINK("https://klasma.github.io/Logging_0884/tillsyn/A 37906-2022 tillsynsbegäran.docx", "A 37906-2022")</f>
        <v/>
      </c>
      <c r="Y7">
        <f>HYPERLINK("https://klasma.github.io/Logging_0884/tillsynsmail/A 37906-2022 tillsynsbegäran mail.docx", "A 37906-2022")</f>
        <v/>
      </c>
    </row>
    <row r="8" ht="15" customHeight="1">
      <c r="A8" t="inlineStr">
        <is>
          <t>A 37889-2022</t>
        </is>
      </c>
      <c r="B8" s="1" t="n">
        <v>44811</v>
      </c>
      <c r="C8" s="1" t="n">
        <v>45349</v>
      </c>
      <c r="D8" t="inlineStr">
        <is>
          <t>KALMAR LÄN</t>
        </is>
      </c>
      <c r="E8" t="inlineStr">
        <is>
          <t>VIMMERBY</t>
        </is>
      </c>
      <c r="G8" t="n">
        <v>0.9</v>
      </c>
      <c r="H8" t="n">
        <v>1</v>
      </c>
      <c r="I8" t="n">
        <v>3</v>
      </c>
      <c r="J8" t="n">
        <v>5</v>
      </c>
      <c r="K8" t="n">
        <v>1</v>
      </c>
      <c r="L8" t="n">
        <v>0</v>
      </c>
      <c r="M8" t="n">
        <v>0</v>
      </c>
      <c r="N8" t="n">
        <v>0</v>
      </c>
      <c r="O8" t="n">
        <v>6</v>
      </c>
      <c r="P8" t="n">
        <v>1</v>
      </c>
      <c r="Q8" t="n">
        <v>9</v>
      </c>
      <c r="R8" s="2" t="inlineStr">
        <is>
          <t>Läderbagge
Blekticka
Gammelekslav
Hjälmbrosklav
Rosa skärelav
Skuggorangelav
Brun nållav
Gulpudrad spiklav
Kornig nållav</t>
        </is>
      </c>
      <c r="S8">
        <f>HYPERLINK("https://klasma.github.io/Logging_0884/artfynd/A 37889-2022 artfynd.xlsx", "A 37889-2022")</f>
        <v/>
      </c>
      <c r="T8">
        <f>HYPERLINK("https://klasma.github.io/Logging_0884/kartor/A 37889-2022 karta.png", "A 37889-2022")</f>
        <v/>
      </c>
      <c r="V8">
        <f>HYPERLINK("https://klasma.github.io/Logging_0884/klagomål/A 37889-2022 FSC-klagomål.docx", "A 37889-2022")</f>
        <v/>
      </c>
      <c r="W8">
        <f>HYPERLINK("https://klasma.github.io/Logging_0884/klagomålsmail/A 37889-2022 FSC-klagomål mail.docx", "A 37889-2022")</f>
        <v/>
      </c>
      <c r="X8">
        <f>HYPERLINK("https://klasma.github.io/Logging_0884/tillsyn/A 37889-2022 tillsynsbegäran.docx", "A 37889-2022")</f>
        <v/>
      </c>
      <c r="Y8">
        <f>HYPERLINK("https://klasma.github.io/Logging_0884/tillsynsmail/A 37889-2022 tillsynsbegäran mail.docx", "A 37889-2022")</f>
        <v/>
      </c>
    </row>
    <row r="9" ht="15" customHeight="1">
      <c r="A9" t="inlineStr">
        <is>
          <t>A 2837-2024</t>
        </is>
      </c>
      <c r="B9" s="1" t="n">
        <v>45314</v>
      </c>
      <c r="C9" s="1" t="n">
        <v>45349</v>
      </c>
      <c r="D9" t="inlineStr">
        <is>
          <t>KALMAR LÄN</t>
        </is>
      </c>
      <c r="E9" t="inlineStr">
        <is>
          <t>VIMMERBY</t>
        </is>
      </c>
      <c r="G9" t="n">
        <v>14.6</v>
      </c>
      <c r="H9" t="n">
        <v>4</v>
      </c>
      <c r="I9" t="n">
        <v>3</v>
      </c>
      <c r="J9" t="n">
        <v>3</v>
      </c>
      <c r="K9" t="n">
        <v>1</v>
      </c>
      <c r="L9" t="n">
        <v>0</v>
      </c>
      <c r="M9" t="n">
        <v>0</v>
      </c>
      <c r="N9" t="n">
        <v>0</v>
      </c>
      <c r="O9" t="n">
        <v>4</v>
      </c>
      <c r="P9" t="n">
        <v>1</v>
      </c>
      <c r="Q9" t="n">
        <v>8</v>
      </c>
      <c r="R9" s="2" t="inlineStr">
        <is>
          <t>Knärot
Spillkråka
Tallticka
Talltita
Blåmossa
Dropptaggsvamp
Grovticka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1960-2023</t>
        </is>
      </c>
      <c r="B10" s="1" t="n">
        <v>44939</v>
      </c>
      <c r="C10" s="1" t="n">
        <v>45349</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1817-2024</t>
        </is>
      </c>
      <c r="B11" s="1" t="n">
        <v>45307</v>
      </c>
      <c r="C11" s="1" t="n">
        <v>45349</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19978-2019</t>
        </is>
      </c>
      <c r="B12" s="1" t="n">
        <v>43566</v>
      </c>
      <c r="C12" s="1" t="n">
        <v>45349</v>
      </c>
      <c r="D12" t="inlineStr">
        <is>
          <t>KALMAR LÄN</t>
        </is>
      </c>
      <c r="E12" t="inlineStr">
        <is>
          <t>VIMMERBY</t>
        </is>
      </c>
      <c r="G12" t="n">
        <v>3.5</v>
      </c>
      <c r="H12" t="n">
        <v>2</v>
      </c>
      <c r="I12" t="n">
        <v>0</v>
      </c>
      <c r="J12" t="n">
        <v>1</v>
      </c>
      <c r="K12" t="n">
        <v>1</v>
      </c>
      <c r="L12" t="n">
        <v>0</v>
      </c>
      <c r="M12" t="n">
        <v>0</v>
      </c>
      <c r="N12" t="n">
        <v>0</v>
      </c>
      <c r="O12" t="n">
        <v>2</v>
      </c>
      <c r="P12" t="n">
        <v>1</v>
      </c>
      <c r="Q12" t="n">
        <v>4</v>
      </c>
      <c r="R12" s="2" t="inlineStr">
        <is>
          <t>Slåttergubbe
Sommarfibbla
Blåsippa
Revlummer</t>
        </is>
      </c>
      <c r="S12">
        <f>HYPERLINK("https://klasma.github.io/Logging_0884/artfynd/A 19978-2019 artfynd.xlsx", "A 19978-2019")</f>
        <v/>
      </c>
      <c r="T12">
        <f>HYPERLINK("https://klasma.github.io/Logging_0884/kartor/A 19978-2019 karta.png", "A 19978-2019")</f>
        <v/>
      </c>
      <c r="V12">
        <f>HYPERLINK("https://klasma.github.io/Logging_0884/klagomål/A 19978-2019 FSC-klagomål.docx", "A 19978-2019")</f>
        <v/>
      </c>
      <c r="W12">
        <f>HYPERLINK("https://klasma.github.io/Logging_0884/klagomålsmail/A 19978-2019 FSC-klagomål mail.docx", "A 19978-2019")</f>
        <v/>
      </c>
      <c r="X12">
        <f>HYPERLINK("https://klasma.github.io/Logging_0884/tillsyn/A 19978-2019 tillsynsbegäran.docx", "A 19978-2019")</f>
        <v/>
      </c>
      <c r="Y12">
        <f>HYPERLINK("https://klasma.github.io/Logging_0884/tillsynsmail/A 19978-2019 tillsynsbegäran mail.docx", "A 19978-2019")</f>
        <v/>
      </c>
    </row>
    <row r="13" ht="15" customHeight="1">
      <c r="A13" t="inlineStr">
        <is>
          <t>A 62797-2019</t>
        </is>
      </c>
      <c r="B13" s="1" t="n">
        <v>43790</v>
      </c>
      <c r="C13" s="1" t="n">
        <v>45349</v>
      </c>
      <c r="D13" t="inlineStr">
        <is>
          <t>KALMAR LÄN</t>
        </is>
      </c>
      <c r="E13" t="inlineStr">
        <is>
          <t>VIMMERBY</t>
        </is>
      </c>
      <c r="G13" t="n">
        <v>1.5</v>
      </c>
      <c r="H13" t="n">
        <v>1</v>
      </c>
      <c r="I13" t="n">
        <v>2</v>
      </c>
      <c r="J13" t="n">
        <v>1</v>
      </c>
      <c r="K13" t="n">
        <v>0</v>
      </c>
      <c r="L13" t="n">
        <v>0</v>
      </c>
      <c r="M13" t="n">
        <v>0</v>
      </c>
      <c r="N13" t="n">
        <v>0</v>
      </c>
      <c r="O13" t="n">
        <v>1</v>
      </c>
      <c r="P13" t="n">
        <v>0</v>
      </c>
      <c r="Q13" t="n">
        <v>4</v>
      </c>
      <c r="R13" s="2" t="inlineStr">
        <is>
          <t>Gransotdyna
Bårdlav
Vätteros
Blåsippa</t>
        </is>
      </c>
      <c r="S13">
        <f>HYPERLINK("https://klasma.github.io/Logging_0884/artfynd/A 62797-2019 artfynd.xlsx", "A 62797-2019")</f>
        <v/>
      </c>
      <c r="T13">
        <f>HYPERLINK("https://klasma.github.io/Logging_0884/kartor/A 62797-2019 karta.png", "A 62797-2019")</f>
        <v/>
      </c>
      <c r="V13">
        <f>HYPERLINK("https://klasma.github.io/Logging_0884/klagomål/A 62797-2019 FSC-klagomål.docx", "A 62797-2019")</f>
        <v/>
      </c>
      <c r="W13">
        <f>HYPERLINK("https://klasma.github.io/Logging_0884/klagomålsmail/A 62797-2019 FSC-klagomål mail.docx", "A 62797-2019")</f>
        <v/>
      </c>
      <c r="X13">
        <f>HYPERLINK("https://klasma.github.io/Logging_0884/tillsyn/A 62797-2019 tillsynsbegäran.docx", "A 62797-2019")</f>
        <v/>
      </c>
      <c r="Y13">
        <f>HYPERLINK("https://klasma.github.io/Logging_0884/tillsynsmail/A 62797-2019 tillsynsbegäran mail.docx", "A 62797-2019")</f>
        <v/>
      </c>
    </row>
    <row r="14" ht="15" customHeight="1">
      <c r="A14" t="inlineStr">
        <is>
          <t>A 31588-2020</t>
        </is>
      </c>
      <c r="B14" s="1" t="n">
        <v>44013</v>
      </c>
      <c r="C14" s="1" t="n">
        <v>45349</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45349</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45349</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45349</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45349</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45349</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45349</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45349</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45349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45349</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45349</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45349</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45349</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45349</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45349</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45349</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45349</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45349</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45349</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45349</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45349</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45349</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45349</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45349</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45349</v>
      </c>
      <c r="D38" t="inlineStr">
        <is>
          <t>KALMAR LÄN</t>
        </is>
      </c>
      <c r="E38" t="inlineStr">
        <is>
          <t>VIMMERBY</t>
        </is>
      </c>
      <c r="G38" t="n">
        <v>1.6</v>
      </c>
      <c r="H38" t="n">
        <v>0</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45349</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46598-2018</t>
        </is>
      </c>
      <c r="B40" s="1" t="n">
        <v>43368</v>
      </c>
      <c r="C40" s="1" t="n">
        <v>45349</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46598-2018 artfynd.xlsx", "A 46598-2018")</f>
        <v/>
      </c>
      <c r="T40">
        <f>HYPERLINK("https://klasma.github.io/Logging_0884/kartor/A 46598-2018 karta.png", "A 46598-2018")</f>
        <v/>
      </c>
      <c r="V40">
        <f>HYPERLINK("https://klasma.github.io/Logging_0884/klagomål/A 46598-2018 FSC-klagomål.docx", "A 46598-2018")</f>
        <v/>
      </c>
      <c r="W40">
        <f>HYPERLINK("https://klasma.github.io/Logging_0884/klagomålsmail/A 46598-2018 FSC-klagomål mail.docx", "A 46598-2018")</f>
        <v/>
      </c>
      <c r="X40">
        <f>HYPERLINK("https://klasma.github.io/Logging_0884/tillsyn/A 46598-2018 tillsynsbegäran.docx", "A 46598-2018")</f>
        <v/>
      </c>
      <c r="Y40">
        <f>HYPERLINK("https://klasma.github.io/Logging_0884/tillsynsmail/A 46598-2018 tillsynsbegäran mail.docx", "A 46598-2018")</f>
        <v/>
      </c>
    </row>
    <row r="41" ht="15" customHeight="1">
      <c r="A41" t="inlineStr">
        <is>
          <t>A 59892-2018</t>
        </is>
      </c>
      <c r="B41" s="1" t="n">
        <v>43419</v>
      </c>
      <c r="C41" s="1" t="n">
        <v>45349</v>
      </c>
      <c r="D41" t="inlineStr">
        <is>
          <t>KALMAR LÄN</t>
        </is>
      </c>
      <c r="E41" t="inlineStr">
        <is>
          <t>VIMMERBY</t>
        </is>
      </c>
      <c r="G41" t="n">
        <v>2.8</v>
      </c>
      <c r="H41" t="n">
        <v>1</v>
      </c>
      <c r="I41" t="n">
        <v>0</v>
      </c>
      <c r="J41" t="n">
        <v>0</v>
      </c>
      <c r="K41" t="n">
        <v>0</v>
      </c>
      <c r="L41" t="n">
        <v>0</v>
      </c>
      <c r="M41" t="n">
        <v>0</v>
      </c>
      <c r="N41" t="n">
        <v>0</v>
      </c>
      <c r="O41" t="n">
        <v>0</v>
      </c>
      <c r="P41" t="n">
        <v>0</v>
      </c>
      <c r="Q41" t="n">
        <v>1</v>
      </c>
      <c r="R41" s="2" t="inlineStr">
        <is>
          <t>Revlummer</t>
        </is>
      </c>
      <c r="S41">
        <f>HYPERLINK("https://klasma.github.io/Logging_0884/artfynd/A 59892-2018 artfynd.xlsx", "A 59892-2018")</f>
        <v/>
      </c>
      <c r="T41">
        <f>HYPERLINK("https://klasma.github.io/Logging_0884/kartor/A 59892-2018 karta.png", "A 59892-2018")</f>
        <v/>
      </c>
      <c r="V41">
        <f>HYPERLINK("https://klasma.github.io/Logging_0884/klagomål/A 59892-2018 FSC-klagomål.docx", "A 59892-2018")</f>
        <v/>
      </c>
      <c r="W41">
        <f>HYPERLINK("https://klasma.github.io/Logging_0884/klagomålsmail/A 59892-2018 FSC-klagomål mail.docx", "A 59892-2018")</f>
        <v/>
      </c>
      <c r="X41">
        <f>HYPERLINK("https://klasma.github.io/Logging_0884/tillsyn/A 59892-2018 tillsynsbegäran.docx", "A 59892-2018")</f>
        <v/>
      </c>
      <c r="Y41">
        <f>HYPERLINK("https://klasma.github.io/Logging_0884/tillsynsmail/A 59892-2018 tillsynsbegäran mail.docx", "A 59892-2018")</f>
        <v/>
      </c>
    </row>
    <row r="42" ht="15" customHeight="1">
      <c r="A42" t="inlineStr">
        <is>
          <t>A 1303-2019</t>
        </is>
      </c>
      <c r="B42" s="1" t="n">
        <v>43473</v>
      </c>
      <c r="C42" s="1" t="n">
        <v>45349</v>
      </c>
      <c r="D42" t="inlineStr">
        <is>
          <t>KALMAR LÄN</t>
        </is>
      </c>
      <c r="E42" t="inlineStr">
        <is>
          <t>VIMMERBY</t>
        </is>
      </c>
      <c r="G42" t="n">
        <v>4.1</v>
      </c>
      <c r="H42" t="n">
        <v>0</v>
      </c>
      <c r="I42" t="n">
        <v>0</v>
      </c>
      <c r="J42" t="n">
        <v>1</v>
      </c>
      <c r="K42" t="n">
        <v>0</v>
      </c>
      <c r="L42" t="n">
        <v>0</v>
      </c>
      <c r="M42" t="n">
        <v>0</v>
      </c>
      <c r="N42" t="n">
        <v>0</v>
      </c>
      <c r="O42" t="n">
        <v>1</v>
      </c>
      <c r="P42" t="n">
        <v>0</v>
      </c>
      <c r="Q42" t="n">
        <v>1</v>
      </c>
      <c r="R42" s="2" t="inlineStr">
        <is>
          <t>Svedjenäva</t>
        </is>
      </c>
      <c r="S42">
        <f>HYPERLINK("https://klasma.github.io/Logging_0884/artfynd/A 1303-2019 artfynd.xlsx", "A 1303-2019")</f>
        <v/>
      </c>
      <c r="T42">
        <f>HYPERLINK("https://klasma.github.io/Logging_0884/kartor/A 1303-2019 karta.png", "A 1303-2019")</f>
        <v/>
      </c>
      <c r="V42">
        <f>HYPERLINK("https://klasma.github.io/Logging_0884/klagomål/A 1303-2019 FSC-klagomål.docx", "A 1303-2019")</f>
        <v/>
      </c>
      <c r="W42">
        <f>HYPERLINK("https://klasma.github.io/Logging_0884/klagomålsmail/A 1303-2019 FSC-klagomål mail.docx", "A 1303-2019")</f>
        <v/>
      </c>
      <c r="X42">
        <f>HYPERLINK("https://klasma.github.io/Logging_0884/tillsyn/A 1303-2019 tillsynsbegäran.docx", "A 1303-2019")</f>
        <v/>
      </c>
      <c r="Y42">
        <f>HYPERLINK("https://klasma.github.io/Logging_0884/tillsynsmail/A 1303-2019 tillsynsbegäran mail.docx", "A 1303-2019")</f>
        <v/>
      </c>
    </row>
    <row r="43" ht="15" customHeight="1">
      <c r="A43" t="inlineStr">
        <is>
          <t>A 4895-2019</t>
        </is>
      </c>
      <c r="B43" s="1" t="n">
        <v>43487</v>
      </c>
      <c r="C43" s="1" t="n">
        <v>45349</v>
      </c>
      <c r="D43" t="inlineStr">
        <is>
          <t>KALMAR LÄN</t>
        </is>
      </c>
      <c r="E43" t="inlineStr">
        <is>
          <t>VIMMERBY</t>
        </is>
      </c>
      <c r="G43" t="n">
        <v>1.7</v>
      </c>
      <c r="H43" t="n">
        <v>0</v>
      </c>
      <c r="I43" t="n">
        <v>1</v>
      </c>
      <c r="J43" t="n">
        <v>0</v>
      </c>
      <c r="K43" t="n">
        <v>0</v>
      </c>
      <c r="L43" t="n">
        <v>0</v>
      </c>
      <c r="M43" t="n">
        <v>0</v>
      </c>
      <c r="N43" t="n">
        <v>0</v>
      </c>
      <c r="O43" t="n">
        <v>0</v>
      </c>
      <c r="P43" t="n">
        <v>0</v>
      </c>
      <c r="Q43" t="n">
        <v>1</v>
      </c>
      <c r="R43" s="2" t="inlineStr">
        <is>
          <t>Gräsull</t>
        </is>
      </c>
      <c r="S43">
        <f>HYPERLINK("https://klasma.github.io/Logging_0884/artfynd/A 4895-2019 artfynd.xlsx", "A 4895-2019")</f>
        <v/>
      </c>
      <c r="T43">
        <f>HYPERLINK("https://klasma.github.io/Logging_0884/kartor/A 4895-2019 karta.png", "A 4895-2019")</f>
        <v/>
      </c>
      <c r="V43">
        <f>HYPERLINK("https://klasma.github.io/Logging_0884/klagomål/A 4895-2019 FSC-klagomål.docx", "A 4895-2019")</f>
        <v/>
      </c>
      <c r="W43">
        <f>HYPERLINK("https://klasma.github.io/Logging_0884/klagomålsmail/A 4895-2019 FSC-klagomål mail.docx", "A 4895-2019")</f>
        <v/>
      </c>
      <c r="X43">
        <f>HYPERLINK("https://klasma.github.io/Logging_0884/tillsyn/A 4895-2019 tillsynsbegäran.docx", "A 4895-2019")</f>
        <v/>
      </c>
      <c r="Y43">
        <f>HYPERLINK("https://klasma.github.io/Logging_0884/tillsynsmail/A 4895-2019 tillsynsbegäran mail.docx", "A 4895-2019")</f>
        <v/>
      </c>
    </row>
    <row r="44" ht="15" customHeight="1">
      <c r="A44" t="inlineStr">
        <is>
          <t>A 19055-2019</t>
        </is>
      </c>
      <c r="B44" s="1" t="n">
        <v>43563</v>
      </c>
      <c r="C44" s="1" t="n">
        <v>45349</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32602-2019</t>
        </is>
      </c>
      <c r="B45" s="1" t="n">
        <v>43647</v>
      </c>
      <c r="C45" s="1" t="n">
        <v>45349</v>
      </c>
      <c r="D45" t="inlineStr">
        <is>
          <t>KALMAR LÄN</t>
        </is>
      </c>
      <c r="E45" t="inlineStr">
        <is>
          <t>VIMMERBY</t>
        </is>
      </c>
      <c r="G45" t="n">
        <v>3.4</v>
      </c>
      <c r="H45" t="n">
        <v>0</v>
      </c>
      <c r="I45" t="n">
        <v>0</v>
      </c>
      <c r="J45" t="n">
        <v>1</v>
      </c>
      <c r="K45" t="n">
        <v>0</v>
      </c>
      <c r="L45" t="n">
        <v>0</v>
      </c>
      <c r="M45" t="n">
        <v>0</v>
      </c>
      <c r="N45" t="n">
        <v>0</v>
      </c>
      <c r="O45" t="n">
        <v>1</v>
      </c>
      <c r="P45" t="n">
        <v>0</v>
      </c>
      <c r="Q45" t="n">
        <v>1</v>
      </c>
      <c r="R45" s="2" t="inlineStr">
        <is>
          <t>Vedskivlav</t>
        </is>
      </c>
      <c r="S45">
        <f>HYPERLINK("https://klasma.github.io/Logging_0884/artfynd/A 32602-2019 artfynd.xlsx", "A 32602-2019")</f>
        <v/>
      </c>
      <c r="T45">
        <f>HYPERLINK("https://klasma.github.io/Logging_0884/kartor/A 32602-2019 karta.png", "A 32602-2019")</f>
        <v/>
      </c>
      <c r="V45">
        <f>HYPERLINK("https://klasma.github.io/Logging_0884/klagomål/A 32602-2019 FSC-klagomål.docx", "A 32602-2019")</f>
        <v/>
      </c>
      <c r="W45">
        <f>HYPERLINK("https://klasma.github.io/Logging_0884/klagomålsmail/A 32602-2019 FSC-klagomål mail.docx", "A 32602-2019")</f>
        <v/>
      </c>
      <c r="X45">
        <f>HYPERLINK("https://klasma.github.io/Logging_0884/tillsyn/A 32602-2019 tillsynsbegäran.docx", "A 32602-2019")</f>
        <v/>
      </c>
      <c r="Y45">
        <f>HYPERLINK("https://klasma.github.io/Logging_0884/tillsynsmail/A 32602-2019 tillsynsbegäran mail.docx", "A 32602-2019")</f>
        <v/>
      </c>
    </row>
    <row r="46" ht="15" customHeight="1">
      <c r="A46" t="inlineStr">
        <is>
          <t>A 52156-2019</t>
        </is>
      </c>
      <c r="B46" s="1" t="n">
        <v>43742</v>
      </c>
      <c r="C46" s="1" t="n">
        <v>45349</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45349</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35462-2020</t>
        </is>
      </c>
      <c r="B48" s="1" t="n">
        <v>44042</v>
      </c>
      <c r="C48" s="1" t="n">
        <v>45349</v>
      </c>
      <c r="D48" t="inlineStr">
        <is>
          <t>KALMAR LÄN</t>
        </is>
      </c>
      <c r="E48" t="inlineStr">
        <is>
          <t>VIMMERBY</t>
        </is>
      </c>
      <c r="G48" t="n">
        <v>4.3</v>
      </c>
      <c r="H48" t="n">
        <v>1</v>
      </c>
      <c r="I48" t="n">
        <v>0</v>
      </c>
      <c r="J48" t="n">
        <v>0</v>
      </c>
      <c r="K48" t="n">
        <v>0</v>
      </c>
      <c r="L48" t="n">
        <v>0</v>
      </c>
      <c r="M48" t="n">
        <v>0</v>
      </c>
      <c r="N48" t="n">
        <v>0</v>
      </c>
      <c r="O48" t="n">
        <v>0</v>
      </c>
      <c r="P48" t="n">
        <v>0</v>
      </c>
      <c r="Q48" t="n">
        <v>1</v>
      </c>
      <c r="R48" s="2" t="inlineStr">
        <is>
          <t>Lopplummer</t>
        </is>
      </c>
      <c r="S48">
        <f>HYPERLINK("https://klasma.github.io/Logging_0884/artfynd/A 35462-2020 artfynd.xlsx", "A 35462-2020")</f>
        <v/>
      </c>
      <c r="T48">
        <f>HYPERLINK("https://klasma.github.io/Logging_0884/kartor/A 35462-2020 karta.png", "A 35462-2020")</f>
        <v/>
      </c>
      <c r="V48">
        <f>HYPERLINK("https://klasma.github.io/Logging_0884/klagomål/A 35462-2020 FSC-klagomål.docx", "A 35462-2020")</f>
        <v/>
      </c>
      <c r="W48">
        <f>HYPERLINK("https://klasma.github.io/Logging_0884/klagomålsmail/A 35462-2020 FSC-klagomål mail.docx", "A 35462-2020")</f>
        <v/>
      </c>
      <c r="X48">
        <f>HYPERLINK("https://klasma.github.io/Logging_0884/tillsyn/A 35462-2020 tillsynsbegäran.docx", "A 35462-2020")</f>
        <v/>
      </c>
      <c r="Y48">
        <f>HYPERLINK("https://klasma.github.io/Logging_0884/tillsynsmail/A 35462-2020 tillsynsbegäran mail.docx", "A 35462-2020")</f>
        <v/>
      </c>
    </row>
    <row r="49" ht="15" customHeight="1">
      <c r="A49" t="inlineStr">
        <is>
          <t>A 42097-2020</t>
        </is>
      </c>
      <c r="B49" s="1" t="n">
        <v>44075</v>
      </c>
      <c r="C49" s="1" t="n">
        <v>45349</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45349</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45349</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45349</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45349</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32396-2021</t>
        </is>
      </c>
      <c r="B54" s="1" t="n">
        <v>44371</v>
      </c>
      <c r="C54" s="1" t="n">
        <v>45349</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45349</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45349</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45349</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45349</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45349</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45349</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45349</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45349</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45349</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45349</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44633-2023</t>
        </is>
      </c>
      <c r="B65" s="1" t="n">
        <v>45189</v>
      </c>
      <c r="C65" s="1" t="n">
        <v>45349</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45349</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45349</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36040-2018</t>
        </is>
      </c>
      <c r="B68" s="1" t="n">
        <v>43327</v>
      </c>
      <c r="C68" s="1" t="n">
        <v>45349</v>
      </c>
      <c r="D68" t="inlineStr">
        <is>
          <t>KALMAR LÄN</t>
        </is>
      </c>
      <c r="E68" t="inlineStr">
        <is>
          <t>VIMMERBY</t>
        </is>
      </c>
      <c r="F68" t="inlineStr">
        <is>
          <t>Kyrkan</t>
        </is>
      </c>
      <c r="G68" t="n">
        <v>2.1</v>
      </c>
      <c r="H68" t="n">
        <v>0</v>
      </c>
      <c r="I68" t="n">
        <v>0</v>
      </c>
      <c r="J68" t="n">
        <v>0</v>
      </c>
      <c r="K68" t="n">
        <v>0</v>
      </c>
      <c r="L68" t="n">
        <v>0</v>
      </c>
      <c r="M68" t="n">
        <v>0</v>
      </c>
      <c r="N68" t="n">
        <v>0</v>
      </c>
      <c r="O68" t="n">
        <v>0</v>
      </c>
      <c r="P68" t="n">
        <v>0</v>
      </c>
      <c r="Q68" t="n">
        <v>0</v>
      </c>
      <c r="R68" s="2" t="inlineStr"/>
    </row>
    <row r="69" ht="15" customHeight="1">
      <c r="A69" t="inlineStr">
        <is>
          <t>A 36047-2018</t>
        </is>
      </c>
      <c r="B69" s="1" t="n">
        <v>43327</v>
      </c>
      <c r="C69" s="1" t="n">
        <v>45349</v>
      </c>
      <c r="D69" t="inlineStr">
        <is>
          <t>KALMAR LÄN</t>
        </is>
      </c>
      <c r="E69" t="inlineStr">
        <is>
          <t>VIMMERBY</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36058-2018</t>
        </is>
      </c>
      <c r="B70" s="1" t="n">
        <v>43327</v>
      </c>
      <c r="C70" s="1" t="n">
        <v>45349</v>
      </c>
      <c r="D70" t="inlineStr">
        <is>
          <t>KALMAR LÄN</t>
        </is>
      </c>
      <c r="E70" t="inlineStr">
        <is>
          <t>VIMMERBY</t>
        </is>
      </c>
      <c r="G70" t="n">
        <v>1.4</v>
      </c>
      <c r="H70" t="n">
        <v>0</v>
      </c>
      <c r="I70" t="n">
        <v>0</v>
      </c>
      <c r="J70" t="n">
        <v>0</v>
      </c>
      <c r="K70" t="n">
        <v>0</v>
      </c>
      <c r="L70" t="n">
        <v>0</v>
      </c>
      <c r="M70" t="n">
        <v>0</v>
      </c>
      <c r="N70" t="n">
        <v>0</v>
      </c>
      <c r="O70" t="n">
        <v>0</v>
      </c>
      <c r="P70" t="n">
        <v>0</v>
      </c>
      <c r="Q70" t="n">
        <v>0</v>
      </c>
      <c r="R70" s="2" t="inlineStr"/>
    </row>
    <row r="71" ht="15" customHeight="1">
      <c r="A71" t="inlineStr">
        <is>
          <t>A 36030-2018</t>
        </is>
      </c>
      <c r="B71" s="1" t="n">
        <v>43327</v>
      </c>
      <c r="C71" s="1" t="n">
        <v>45349</v>
      </c>
      <c r="D71" t="inlineStr">
        <is>
          <t>KALMAR LÄN</t>
        </is>
      </c>
      <c r="E71" t="inlineStr">
        <is>
          <t>VIMMERBY</t>
        </is>
      </c>
      <c r="F71" t="inlineStr">
        <is>
          <t>Kyrkan</t>
        </is>
      </c>
      <c r="G71" t="n">
        <v>0.7</v>
      </c>
      <c r="H71" t="n">
        <v>0</v>
      </c>
      <c r="I71" t="n">
        <v>0</v>
      </c>
      <c r="J71" t="n">
        <v>0</v>
      </c>
      <c r="K71" t="n">
        <v>0</v>
      </c>
      <c r="L71" t="n">
        <v>0</v>
      </c>
      <c r="M71" t="n">
        <v>0</v>
      </c>
      <c r="N71" t="n">
        <v>0</v>
      </c>
      <c r="O71" t="n">
        <v>0</v>
      </c>
      <c r="P71" t="n">
        <v>0</v>
      </c>
      <c r="Q71" t="n">
        <v>0</v>
      </c>
      <c r="R71" s="2" t="inlineStr"/>
    </row>
    <row r="72" ht="15" customHeight="1">
      <c r="A72" t="inlineStr">
        <is>
          <t>A 36060-2018</t>
        </is>
      </c>
      <c r="B72" s="1" t="n">
        <v>43327</v>
      </c>
      <c r="C72" s="1" t="n">
        <v>45349</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36933-2018</t>
        </is>
      </c>
      <c r="B73" s="1" t="n">
        <v>43332</v>
      </c>
      <c r="C73" s="1" t="n">
        <v>45349</v>
      </c>
      <c r="D73" t="inlineStr">
        <is>
          <t>KALMAR LÄN</t>
        </is>
      </c>
      <c r="E73" t="inlineStr">
        <is>
          <t>VIMMERBY</t>
        </is>
      </c>
      <c r="G73" t="n">
        <v>0.9</v>
      </c>
      <c r="H73" t="n">
        <v>0</v>
      </c>
      <c r="I73" t="n">
        <v>0</v>
      </c>
      <c r="J73" t="n">
        <v>0</v>
      </c>
      <c r="K73" t="n">
        <v>0</v>
      </c>
      <c r="L73" t="n">
        <v>0</v>
      </c>
      <c r="M73" t="n">
        <v>0</v>
      </c>
      <c r="N73" t="n">
        <v>0</v>
      </c>
      <c r="O73" t="n">
        <v>0</v>
      </c>
      <c r="P73" t="n">
        <v>0</v>
      </c>
      <c r="Q73" t="n">
        <v>0</v>
      </c>
      <c r="R73" s="2" t="inlineStr"/>
    </row>
    <row r="74" ht="15" customHeight="1">
      <c r="A74" t="inlineStr">
        <is>
          <t>A 44825-2018</t>
        </is>
      </c>
      <c r="B74" s="1" t="n">
        <v>43357</v>
      </c>
      <c r="C74" s="1" t="n">
        <v>45349</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46830-2018</t>
        </is>
      </c>
      <c r="B75" s="1" t="n">
        <v>43367</v>
      </c>
      <c r="C75" s="1" t="n">
        <v>45349</v>
      </c>
      <c r="D75" t="inlineStr">
        <is>
          <t>KALMAR LÄN</t>
        </is>
      </c>
      <c r="E75" t="inlineStr">
        <is>
          <t>VIMMERBY</t>
        </is>
      </c>
      <c r="G75" t="n">
        <v>1.2</v>
      </c>
      <c r="H75" t="n">
        <v>0</v>
      </c>
      <c r="I75" t="n">
        <v>0</v>
      </c>
      <c r="J75" t="n">
        <v>0</v>
      </c>
      <c r="K75" t="n">
        <v>0</v>
      </c>
      <c r="L75" t="n">
        <v>0</v>
      </c>
      <c r="M75" t="n">
        <v>0</v>
      </c>
      <c r="N75" t="n">
        <v>0</v>
      </c>
      <c r="O75" t="n">
        <v>0</v>
      </c>
      <c r="P75" t="n">
        <v>0</v>
      </c>
      <c r="Q75" t="n">
        <v>0</v>
      </c>
      <c r="R75" s="2" t="inlineStr"/>
    </row>
    <row r="76" ht="15" customHeight="1">
      <c r="A76" t="inlineStr">
        <is>
          <t>A 46665-2018</t>
        </is>
      </c>
      <c r="B76" s="1" t="n">
        <v>43368</v>
      </c>
      <c r="C76" s="1" t="n">
        <v>45349</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46663-2018</t>
        </is>
      </c>
      <c r="B77" s="1" t="n">
        <v>43368</v>
      </c>
      <c r="C77" s="1" t="n">
        <v>45349</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50198-2018</t>
        </is>
      </c>
      <c r="B78" s="1" t="n">
        <v>43377</v>
      </c>
      <c r="C78" s="1" t="n">
        <v>45349</v>
      </c>
      <c r="D78" t="inlineStr">
        <is>
          <t>KALMAR LÄN</t>
        </is>
      </c>
      <c r="E78" t="inlineStr">
        <is>
          <t>VIMMERBY</t>
        </is>
      </c>
      <c r="F78" t="inlineStr">
        <is>
          <t>Övriga statliga verk och myndigheter</t>
        </is>
      </c>
      <c r="G78" t="n">
        <v>2.2</v>
      </c>
      <c r="H78" t="n">
        <v>0</v>
      </c>
      <c r="I78" t="n">
        <v>0</v>
      </c>
      <c r="J78" t="n">
        <v>0</v>
      </c>
      <c r="K78" t="n">
        <v>0</v>
      </c>
      <c r="L78" t="n">
        <v>0</v>
      </c>
      <c r="M78" t="n">
        <v>0</v>
      </c>
      <c r="N78" t="n">
        <v>0</v>
      </c>
      <c r="O78" t="n">
        <v>0</v>
      </c>
      <c r="P78" t="n">
        <v>0</v>
      </c>
      <c r="Q78" t="n">
        <v>0</v>
      </c>
      <c r="R78" s="2" t="inlineStr"/>
    </row>
    <row r="79" ht="15" customHeight="1">
      <c r="A79" t="inlineStr">
        <is>
          <t>A 51149-2018</t>
        </is>
      </c>
      <c r="B79" s="1" t="n">
        <v>43377</v>
      </c>
      <c r="C79" s="1" t="n">
        <v>45349</v>
      </c>
      <c r="D79" t="inlineStr">
        <is>
          <t>KALMAR LÄN</t>
        </is>
      </c>
      <c r="E79" t="inlineStr">
        <is>
          <t>VIMMERBY</t>
        </is>
      </c>
      <c r="G79" t="n">
        <v>2.4</v>
      </c>
      <c r="H79" t="n">
        <v>0</v>
      </c>
      <c r="I79" t="n">
        <v>0</v>
      </c>
      <c r="J79" t="n">
        <v>0</v>
      </c>
      <c r="K79" t="n">
        <v>0</v>
      </c>
      <c r="L79" t="n">
        <v>0</v>
      </c>
      <c r="M79" t="n">
        <v>0</v>
      </c>
      <c r="N79" t="n">
        <v>0</v>
      </c>
      <c r="O79" t="n">
        <v>0</v>
      </c>
      <c r="P79" t="n">
        <v>0</v>
      </c>
      <c r="Q79" t="n">
        <v>0</v>
      </c>
      <c r="R79" s="2" t="inlineStr"/>
    </row>
    <row r="80" ht="15" customHeight="1">
      <c r="A80" t="inlineStr">
        <is>
          <t>A 51093-2018</t>
        </is>
      </c>
      <c r="B80" s="1" t="n">
        <v>43377</v>
      </c>
      <c r="C80" s="1" t="n">
        <v>45349</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51172-2018</t>
        </is>
      </c>
      <c r="B81" s="1" t="n">
        <v>43382</v>
      </c>
      <c r="C81" s="1" t="n">
        <v>45349</v>
      </c>
      <c r="D81" t="inlineStr">
        <is>
          <t>KALMAR LÄN</t>
        </is>
      </c>
      <c r="E81" t="inlineStr">
        <is>
          <t>VIMMERBY</t>
        </is>
      </c>
      <c r="G81" t="n">
        <v>1.2</v>
      </c>
      <c r="H81" t="n">
        <v>0</v>
      </c>
      <c r="I81" t="n">
        <v>0</v>
      </c>
      <c r="J81" t="n">
        <v>0</v>
      </c>
      <c r="K81" t="n">
        <v>0</v>
      </c>
      <c r="L81" t="n">
        <v>0</v>
      </c>
      <c r="M81" t="n">
        <v>0</v>
      </c>
      <c r="N81" t="n">
        <v>0</v>
      </c>
      <c r="O81" t="n">
        <v>0</v>
      </c>
      <c r="P81" t="n">
        <v>0</v>
      </c>
      <c r="Q81" t="n">
        <v>0</v>
      </c>
      <c r="R81" s="2" t="inlineStr"/>
    </row>
    <row r="82" ht="15" customHeight="1">
      <c r="A82" t="inlineStr">
        <is>
          <t>A 51791-2018</t>
        </is>
      </c>
      <c r="B82" s="1" t="n">
        <v>43384</v>
      </c>
      <c r="C82" s="1" t="n">
        <v>45349</v>
      </c>
      <c r="D82" t="inlineStr">
        <is>
          <t>KALMAR LÄN</t>
        </is>
      </c>
      <c r="E82" t="inlineStr">
        <is>
          <t>VIMMERBY</t>
        </is>
      </c>
      <c r="G82" t="n">
        <v>35.5</v>
      </c>
      <c r="H82" t="n">
        <v>0</v>
      </c>
      <c r="I82" t="n">
        <v>0</v>
      </c>
      <c r="J82" t="n">
        <v>0</v>
      </c>
      <c r="K82" t="n">
        <v>0</v>
      </c>
      <c r="L82" t="n">
        <v>0</v>
      </c>
      <c r="M82" t="n">
        <v>0</v>
      </c>
      <c r="N82" t="n">
        <v>0</v>
      </c>
      <c r="O82" t="n">
        <v>0</v>
      </c>
      <c r="P82" t="n">
        <v>0</v>
      </c>
      <c r="Q82" t="n">
        <v>0</v>
      </c>
      <c r="R82" s="2" t="inlineStr"/>
    </row>
    <row r="83" ht="15" customHeight="1">
      <c r="A83" t="inlineStr">
        <is>
          <t>A 52087-2018</t>
        </is>
      </c>
      <c r="B83" s="1" t="n">
        <v>43385</v>
      </c>
      <c r="C83" s="1" t="n">
        <v>45349</v>
      </c>
      <c r="D83" t="inlineStr">
        <is>
          <t>KALMAR LÄN</t>
        </is>
      </c>
      <c r="E83" t="inlineStr">
        <is>
          <t>VIMMERBY</t>
        </is>
      </c>
      <c r="G83" t="n">
        <v>0.7</v>
      </c>
      <c r="H83" t="n">
        <v>0</v>
      </c>
      <c r="I83" t="n">
        <v>0</v>
      </c>
      <c r="J83" t="n">
        <v>0</v>
      </c>
      <c r="K83" t="n">
        <v>0</v>
      </c>
      <c r="L83" t="n">
        <v>0</v>
      </c>
      <c r="M83" t="n">
        <v>0</v>
      </c>
      <c r="N83" t="n">
        <v>0</v>
      </c>
      <c r="O83" t="n">
        <v>0</v>
      </c>
      <c r="P83" t="n">
        <v>0</v>
      </c>
      <c r="Q83" t="n">
        <v>0</v>
      </c>
      <c r="R83" s="2" t="inlineStr"/>
    </row>
    <row r="84" ht="15" customHeight="1">
      <c r="A84" t="inlineStr">
        <is>
          <t>A 55817-2018</t>
        </is>
      </c>
      <c r="B84" s="1" t="n">
        <v>43398</v>
      </c>
      <c r="C84" s="1" t="n">
        <v>45349</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55842-2018</t>
        </is>
      </c>
      <c r="B85" s="1" t="n">
        <v>43398</v>
      </c>
      <c r="C85" s="1" t="n">
        <v>45349</v>
      </c>
      <c r="D85" t="inlineStr">
        <is>
          <t>KALMAR LÄN</t>
        </is>
      </c>
      <c r="E85" t="inlineStr">
        <is>
          <t>VIMMERBY</t>
        </is>
      </c>
      <c r="G85" t="n">
        <v>5.9</v>
      </c>
      <c r="H85" t="n">
        <v>0</v>
      </c>
      <c r="I85" t="n">
        <v>0</v>
      </c>
      <c r="J85" t="n">
        <v>0</v>
      </c>
      <c r="K85" t="n">
        <v>0</v>
      </c>
      <c r="L85" t="n">
        <v>0</v>
      </c>
      <c r="M85" t="n">
        <v>0</v>
      </c>
      <c r="N85" t="n">
        <v>0</v>
      </c>
      <c r="O85" t="n">
        <v>0</v>
      </c>
      <c r="P85" t="n">
        <v>0</v>
      </c>
      <c r="Q85" t="n">
        <v>0</v>
      </c>
      <c r="R85" s="2" t="inlineStr"/>
    </row>
    <row r="86" ht="15" customHeight="1">
      <c r="A86" t="inlineStr">
        <is>
          <t>A 57145-2018</t>
        </is>
      </c>
      <c r="B86" s="1" t="n">
        <v>43403</v>
      </c>
      <c r="C86" s="1" t="n">
        <v>45349</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57029-2018</t>
        </is>
      </c>
      <c r="B87" s="1" t="n">
        <v>43403</v>
      </c>
      <c r="C87" s="1" t="n">
        <v>45349</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57503-2018</t>
        </is>
      </c>
      <c r="B88" s="1" t="n">
        <v>43404</v>
      </c>
      <c r="C88" s="1" t="n">
        <v>45349</v>
      </c>
      <c r="D88" t="inlineStr">
        <is>
          <t>KALMAR LÄN</t>
        </is>
      </c>
      <c r="E88" t="inlineStr">
        <is>
          <t>VIMMERBY</t>
        </is>
      </c>
      <c r="G88" t="n">
        <v>5.4</v>
      </c>
      <c r="H88" t="n">
        <v>0</v>
      </c>
      <c r="I88" t="n">
        <v>0</v>
      </c>
      <c r="J88" t="n">
        <v>0</v>
      </c>
      <c r="K88" t="n">
        <v>0</v>
      </c>
      <c r="L88" t="n">
        <v>0</v>
      </c>
      <c r="M88" t="n">
        <v>0</v>
      </c>
      <c r="N88" t="n">
        <v>0</v>
      </c>
      <c r="O88" t="n">
        <v>0</v>
      </c>
      <c r="P88" t="n">
        <v>0</v>
      </c>
      <c r="Q88" t="n">
        <v>0</v>
      </c>
      <c r="R88" s="2" t="inlineStr"/>
    </row>
    <row r="89" ht="15" customHeight="1">
      <c r="A89" t="inlineStr">
        <is>
          <t>A 57719-2018</t>
        </is>
      </c>
      <c r="B89" s="1" t="n">
        <v>43405</v>
      </c>
      <c r="C89" s="1" t="n">
        <v>45349</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58519-2018</t>
        </is>
      </c>
      <c r="B90" s="1" t="n">
        <v>43409</v>
      </c>
      <c r="C90" s="1" t="n">
        <v>45349</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58787-2018</t>
        </is>
      </c>
      <c r="B91" s="1" t="n">
        <v>43410</v>
      </c>
      <c r="C91" s="1" t="n">
        <v>45349</v>
      </c>
      <c r="D91" t="inlineStr">
        <is>
          <t>KALMAR LÄN</t>
        </is>
      </c>
      <c r="E91" t="inlineStr">
        <is>
          <t>VIMMERBY</t>
        </is>
      </c>
      <c r="G91" t="n">
        <v>5</v>
      </c>
      <c r="H91" t="n">
        <v>0</v>
      </c>
      <c r="I91" t="n">
        <v>0</v>
      </c>
      <c r="J91" t="n">
        <v>0</v>
      </c>
      <c r="K91" t="n">
        <v>0</v>
      </c>
      <c r="L91" t="n">
        <v>0</v>
      </c>
      <c r="M91" t="n">
        <v>0</v>
      </c>
      <c r="N91" t="n">
        <v>0</v>
      </c>
      <c r="O91" t="n">
        <v>0</v>
      </c>
      <c r="P91" t="n">
        <v>0</v>
      </c>
      <c r="Q91" t="n">
        <v>0</v>
      </c>
      <c r="R91" s="2" t="inlineStr"/>
    </row>
    <row r="92" ht="15" customHeight="1">
      <c r="A92" t="inlineStr">
        <is>
          <t>A 58834-2018</t>
        </is>
      </c>
      <c r="B92" s="1" t="n">
        <v>43410</v>
      </c>
      <c r="C92" s="1" t="n">
        <v>45349</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61688-2018</t>
        </is>
      </c>
      <c r="B93" s="1" t="n">
        <v>43413</v>
      </c>
      <c r="C93" s="1" t="n">
        <v>45349</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60278-2018</t>
        </is>
      </c>
      <c r="B94" s="1" t="n">
        <v>43413</v>
      </c>
      <c r="C94" s="1" t="n">
        <v>45349</v>
      </c>
      <c r="D94" t="inlineStr">
        <is>
          <t>KALMAR LÄN</t>
        </is>
      </c>
      <c r="E94" t="inlineStr">
        <is>
          <t>VIMMERBY</t>
        </is>
      </c>
      <c r="G94" t="n">
        <v>1.8</v>
      </c>
      <c r="H94" t="n">
        <v>0</v>
      </c>
      <c r="I94" t="n">
        <v>0</v>
      </c>
      <c r="J94" t="n">
        <v>0</v>
      </c>
      <c r="K94" t="n">
        <v>0</v>
      </c>
      <c r="L94" t="n">
        <v>0</v>
      </c>
      <c r="M94" t="n">
        <v>0</v>
      </c>
      <c r="N94" t="n">
        <v>0</v>
      </c>
      <c r="O94" t="n">
        <v>0</v>
      </c>
      <c r="P94" t="n">
        <v>0</v>
      </c>
      <c r="Q94" t="n">
        <v>0</v>
      </c>
      <c r="R94" s="2" t="inlineStr"/>
    </row>
    <row r="95" ht="15" customHeight="1">
      <c r="A95" t="inlineStr">
        <is>
          <t>A 62481-2018</t>
        </is>
      </c>
      <c r="B95" s="1" t="n">
        <v>43415</v>
      </c>
      <c r="C95" s="1" t="n">
        <v>45349</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63151-2018</t>
        </is>
      </c>
      <c r="B96" s="1" t="n">
        <v>43418</v>
      </c>
      <c r="C96" s="1" t="n">
        <v>45349</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64185-2018</t>
        </is>
      </c>
      <c r="B97" s="1" t="n">
        <v>43419</v>
      </c>
      <c r="C97" s="1" t="n">
        <v>45349</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59888-2018</t>
        </is>
      </c>
      <c r="B98" s="1" t="n">
        <v>43419</v>
      </c>
      <c r="C98" s="1" t="n">
        <v>45349</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64170-2018</t>
        </is>
      </c>
      <c r="B99" s="1" t="n">
        <v>43419</v>
      </c>
      <c r="C99" s="1" t="n">
        <v>45349</v>
      </c>
      <c r="D99" t="inlineStr">
        <is>
          <t>KALMAR LÄN</t>
        </is>
      </c>
      <c r="E99" t="inlineStr">
        <is>
          <t>VIMMERBY</t>
        </is>
      </c>
      <c r="G99" t="n">
        <v>2.6</v>
      </c>
      <c r="H99" t="n">
        <v>0</v>
      </c>
      <c r="I99" t="n">
        <v>0</v>
      </c>
      <c r="J99" t="n">
        <v>0</v>
      </c>
      <c r="K99" t="n">
        <v>0</v>
      </c>
      <c r="L99" t="n">
        <v>0</v>
      </c>
      <c r="M99" t="n">
        <v>0</v>
      </c>
      <c r="N99" t="n">
        <v>0</v>
      </c>
      <c r="O99" t="n">
        <v>0</v>
      </c>
      <c r="P99" t="n">
        <v>0</v>
      </c>
      <c r="Q99" t="n">
        <v>0</v>
      </c>
      <c r="R99" s="2" t="inlineStr"/>
    </row>
    <row r="100" ht="15" customHeight="1">
      <c r="A100" t="inlineStr">
        <is>
          <t>A 64175-2018</t>
        </is>
      </c>
      <c r="B100" s="1" t="n">
        <v>43419</v>
      </c>
      <c r="C100" s="1" t="n">
        <v>45349</v>
      </c>
      <c r="D100" t="inlineStr">
        <is>
          <t>KALMAR LÄN</t>
        </is>
      </c>
      <c r="E100" t="inlineStr">
        <is>
          <t>VIMMERBY</t>
        </is>
      </c>
      <c r="G100" t="n">
        <v>6.9</v>
      </c>
      <c r="H100" t="n">
        <v>0</v>
      </c>
      <c r="I100" t="n">
        <v>0</v>
      </c>
      <c r="J100" t="n">
        <v>0</v>
      </c>
      <c r="K100" t="n">
        <v>0</v>
      </c>
      <c r="L100" t="n">
        <v>0</v>
      </c>
      <c r="M100" t="n">
        <v>0</v>
      </c>
      <c r="N100" t="n">
        <v>0</v>
      </c>
      <c r="O100" t="n">
        <v>0</v>
      </c>
      <c r="P100" t="n">
        <v>0</v>
      </c>
      <c r="Q100" t="n">
        <v>0</v>
      </c>
      <c r="R100" s="2" t="inlineStr"/>
    </row>
    <row r="101" ht="15" customHeight="1">
      <c r="A101" t="inlineStr">
        <is>
          <t>A 61629-2018</t>
        </is>
      </c>
      <c r="B101" s="1" t="n">
        <v>43424</v>
      </c>
      <c r="C101" s="1" t="n">
        <v>45349</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61626-2018</t>
        </is>
      </c>
      <c r="B102" s="1" t="n">
        <v>43424</v>
      </c>
      <c r="C102" s="1" t="n">
        <v>45349</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62288-2018</t>
        </is>
      </c>
      <c r="B103" s="1" t="n">
        <v>43426</v>
      </c>
      <c r="C103" s="1" t="n">
        <v>45349</v>
      </c>
      <c r="D103" t="inlineStr">
        <is>
          <t>KALMAR LÄN</t>
        </is>
      </c>
      <c r="E103" t="inlineStr">
        <is>
          <t>VIMMERBY</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62601-2018</t>
        </is>
      </c>
      <c r="B104" s="1" t="n">
        <v>43426</v>
      </c>
      <c r="C104" s="1" t="n">
        <v>45349</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62593-2018</t>
        </is>
      </c>
      <c r="B105" s="1" t="n">
        <v>43426</v>
      </c>
      <c r="C105" s="1" t="n">
        <v>45349</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62598-2018</t>
        </is>
      </c>
      <c r="B106" s="1" t="n">
        <v>43426</v>
      </c>
      <c r="C106" s="1" t="n">
        <v>45349</v>
      </c>
      <c r="D106" t="inlineStr">
        <is>
          <t>KALMAR LÄN</t>
        </is>
      </c>
      <c r="E106" t="inlineStr">
        <is>
          <t>VIMMERBY</t>
        </is>
      </c>
      <c r="G106" t="n">
        <v>2.7</v>
      </c>
      <c r="H106" t="n">
        <v>0</v>
      </c>
      <c r="I106" t="n">
        <v>0</v>
      </c>
      <c r="J106" t="n">
        <v>0</v>
      </c>
      <c r="K106" t="n">
        <v>0</v>
      </c>
      <c r="L106" t="n">
        <v>0</v>
      </c>
      <c r="M106" t="n">
        <v>0</v>
      </c>
      <c r="N106" t="n">
        <v>0</v>
      </c>
      <c r="O106" t="n">
        <v>0</v>
      </c>
      <c r="P106" t="n">
        <v>0</v>
      </c>
      <c r="Q106" t="n">
        <v>0</v>
      </c>
      <c r="R106" s="2" t="inlineStr"/>
    </row>
    <row r="107" ht="15" customHeight="1">
      <c r="A107" t="inlineStr">
        <is>
          <t>A 62607-2018</t>
        </is>
      </c>
      <c r="B107" s="1" t="n">
        <v>43426</v>
      </c>
      <c r="C107" s="1" t="n">
        <v>45349</v>
      </c>
      <c r="D107" t="inlineStr">
        <is>
          <t>KALMAR LÄN</t>
        </is>
      </c>
      <c r="E107" t="inlineStr">
        <is>
          <t>VIMMERBY</t>
        </is>
      </c>
      <c r="G107" t="n">
        <v>0.6</v>
      </c>
      <c r="H107" t="n">
        <v>0</v>
      </c>
      <c r="I107" t="n">
        <v>0</v>
      </c>
      <c r="J107" t="n">
        <v>0</v>
      </c>
      <c r="K107" t="n">
        <v>0</v>
      </c>
      <c r="L107" t="n">
        <v>0</v>
      </c>
      <c r="M107" t="n">
        <v>0</v>
      </c>
      <c r="N107" t="n">
        <v>0</v>
      </c>
      <c r="O107" t="n">
        <v>0</v>
      </c>
      <c r="P107" t="n">
        <v>0</v>
      </c>
      <c r="Q107" t="n">
        <v>0</v>
      </c>
      <c r="R107" s="2" t="inlineStr"/>
    </row>
    <row r="108" ht="15" customHeight="1">
      <c r="A108" t="inlineStr">
        <is>
          <t>A 66710-2018</t>
        </is>
      </c>
      <c r="B108" s="1" t="n">
        <v>43430</v>
      </c>
      <c r="C108" s="1" t="n">
        <v>45349</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66718-2018</t>
        </is>
      </c>
      <c r="B109" s="1" t="n">
        <v>43430</v>
      </c>
      <c r="C109" s="1" t="n">
        <v>45349</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63934-2018</t>
        </is>
      </c>
      <c r="B110" s="1" t="n">
        <v>43430</v>
      </c>
      <c r="C110" s="1" t="n">
        <v>45349</v>
      </c>
      <c r="D110" t="inlineStr">
        <is>
          <t>KALMAR LÄN</t>
        </is>
      </c>
      <c r="E110" t="inlineStr">
        <is>
          <t>VIMMERBY</t>
        </is>
      </c>
      <c r="G110" t="n">
        <v>2.9</v>
      </c>
      <c r="H110" t="n">
        <v>0</v>
      </c>
      <c r="I110" t="n">
        <v>0</v>
      </c>
      <c r="J110" t="n">
        <v>0</v>
      </c>
      <c r="K110" t="n">
        <v>0</v>
      </c>
      <c r="L110" t="n">
        <v>0</v>
      </c>
      <c r="M110" t="n">
        <v>0</v>
      </c>
      <c r="N110" t="n">
        <v>0</v>
      </c>
      <c r="O110" t="n">
        <v>0</v>
      </c>
      <c r="P110" t="n">
        <v>0</v>
      </c>
      <c r="Q110" t="n">
        <v>0</v>
      </c>
      <c r="R110" s="2" t="inlineStr"/>
    </row>
    <row r="111" ht="15" customHeight="1">
      <c r="A111" t="inlineStr">
        <is>
          <t>A 64568-2018</t>
        </is>
      </c>
      <c r="B111" s="1" t="n">
        <v>43431</v>
      </c>
      <c r="C111" s="1" t="n">
        <v>45349</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64829-2018</t>
        </is>
      </c>
      <c r="B112" s="1" t="n">
        <v>43431</v>
      </c>
      <c r="C112" s="1" t="n">
        <v>45349</v>
      </c>
      <c r="D112" t="inlineStr">
        <is>
          <t>KALMAR LÄN</t>
        </is>
      </c>
      <c r="E112" t="inlineStr">
        <is>
          <t>VIMMERBY</t>
        </is>
      </c>
      <c r="G112" t="n">
        <v>1.5</v>
      </c>
      <c r="H112" t="n">
        <v>0</v>
      </c>
      <c r="I112" t="n">
        <v>0</v>
      </c>
      <c r="J112" t="n">
        <v>0</v>
      </c>
      <c r="K112" t="n">
        <v>0</v>
      </c>
      <c r="L112" t="n">
        <v>0</v>
      </c>
      <c r="M112" t="n">
        <v>0</v>
      </c>
      <c r="N112" t="n">
        <v>0</v>
      </c>
      <c r="O112" t="n">
        <v>0</v>
      </c>
      <c r="P112" t="n">
        <v>0</v>
      </c>
      <c r="Q112" t="n">
        <v>0</v>
      </c>
      <c r="R112" s="2" t="inlineStr"/>
    </row>
    <row r="113" ht="15" customHeight="1">
      <c r="A113" t="inlineStr">
        <is>
          <t>A 65752-2018</t>
        </is>
      </c>
      <c r="B113" s="1" t="n">
        <v>43433</v>
      </c>
      <c r="C113" s="1" t="n">
        <v>45349</v>
      </c>
      <c r="D113" t="inlineStr">
        <is>
          <t>KALMAR LÄN</t>
        </is>
      </c>
      <c r="E113" t="inlineStr">
        <is>
          <t>VIMMERBY</t>
        </is>
      </c>
      <c r="G113" t="n">
        <v>6.2</v>
      </c>
      <c r="H113" t="n">
        <v>0</v>
      </c>
      <c r="I113" t="n">
        <v>0</v>
      </c>
      <c r="J113" t="n">
        <v>0</v>
      </c>
      <c r="K113" t="n">
        <v>0</v>
      </c>
      <c r="L113" t="n">
        <v>0</v>
      </c>
      <c r="M113" t="n">
        <v>0</v>
      </c>
      <c r="N113" t="n">
        <v>0</v>
      </c>
      <c r="O113" t="n">
        <v>0</v>
      </c>
      <c r="P113" t="n">
        <v>0</v>
      </c>
      <c r="Q113" t="n">
        <v>0</v>
      </c>
      <c r="R113" s="2" t="inlineStr"/>
    </row>
    <row r="114" ht="15" customHeight="1">
      <c r="A114" t="inlineStr">
        <is>
          <t>A 66086-2018</t>
        </is>
      </c>
      <c r="B114" s="1" t="n">
        <v>43434</v>
      </c>
      <c r="C114" s="1" t="n">
        <v>45349</v>
      </c>
      <c r="D114" t="inlineStr">
        <is>
          <t>KALMAR LÄN</t>
        </is>
      </c>
      <c r="E114" t="inlineStr">
        <is>
          <t>VIMMERBY</t>
        </is>
      </c>
      <c r="G114" t="n">
        <v>14.4</v>
      </c>
      <c r="H114" t="n">
        <v>0</v>
      </c>
      <c r="I114" t="n">
        <v>0</v>
      </c>
      <c r="J114" t="n">
        <v>0</v>
      </c>
      <c r="K114" t="n">
        <v>0</v>
      </c>
      <c r="L114" t="n">
        <v>0</v>
      </c>
      <c r="M114" t="n">
        <v>0</v>
      </c>
      <c r="N114" t="n">
        <v>0</v>
      </c>
      <c r="O114" t="n">
        <v>0</v>
      </c>
      <c r="P114" t="n">
        <v>0</v>
      </c>
      <c r="Q114" t="n">
        <v>0</v>
      </c>
      <c r="R114" s="2" t="inlineStr"/>
    </row>
    <row r="115" ht="15" customHeight="1">
      <c r="A115" t="inlineStr">
        <is>
          <t>A 66114-2018</t>
        </is>
      </c>
      <c r="B115" s="1" t="n">
        <v>43434</v>
      </c>
      <c r="C115" s="1" t="n">
        <v>45349</v>
      </c>
      <c r="D115" t="inlineStr">
        <is>
          <t>KALMAR LÄN</t>
        </is>
      </c>
      <c r="E115" t="inlineStr">
        <is>
          <t>VIMMERBY</t>
        </is>
      </c>
      <c r="G115" t="n">
        <v>7.4</v>
      </c>
      <c r="H115" t="n">
        <v>0</v>
      </c>
      <c r="I115" t="n">
        <v>0</v>
      </c>
      <c r="J115" t="n">
        <v>0</v>
      </c>
      <c r="K115" t="n">
        <v>0</v>
      </c>
      <c r="L115" t="n">
        <v>0</v>
      </c>
      <c r="M115" t="n">
        <v>0</v>
      </c>
      <c r="N115" t="n">
        <v>0</v>
      </c>
      <c r="O115" t="n">
        <v>0</v>
      </c>
      <c r="P115" t="n">
        <v>0</v>
      </c>
      <c r="Q115" t="n">
        <v>0</v>
      </c>
      <c r="R115" s="2" t="inlineStr"/>
    </row>
    <row r="116" ht="15" customHeight="1">
      <c r="A116" t="inlineStr">
        <is>
          <t>A 66378-2018</t>
        </is>
      </c>
      <c r="B116" s="1" t="n">
        <v>43436</v>
      </c>
      <c r="C116" s="1" t="n">
        <v>45349</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66957-2018</t>
        </is>
      </c>
      <c r="B117" s="1" t="n">
        <v>43438</v>
      </c>
      <c r="C117" s="1" t="n">
        <v>45349</v>
      </c>
      <c r="D117" t="inlineStr">
        <is>
          <t>KALMAR LÄN</t>
        </is>
      </c>
      <c r="E117" t="inlineStr">
        <is>
          <t>VIMMERBY</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66954-2018</t>
        </is>
      </c>
      <c r="B118" s="1" t="n">
        <v>43438</v>
      </c>
      <c r="C118" s="1" t="n">
        <v>45349</v>
      </c>
      <c r="D118" t="inlineStr">
        <is>
          <t>KALMAR LÄN</t>
        </is>
      </c>
      <c r="E118" t="inlineStr">
        <is>
          <t>VIMMERBY</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68818-2018</t>
        </is>
      </c>
      <c r="B119" s="1" t="n">
        <v>43439</v>
      </c>
      <c r="C119" s="1" t="n">
        <v>45349</v>
      </c>
      <c r="D119" t="inlineStr">
        <is>
          <t>KALMAR LÄN</t>
        </is>
      </c>
      <c r="E119" t="inlineStr">
        <is>
          <t>VIMMERBY</t>
        </is>
      </c>
      <c r="G119" t="n">
        <v>1.8</v>
      </c>
      <c r="H119" t="n">
        <v>0</v>
      </c>
      <c r="I119" t="n">
        <v>0</v>
      </c>
      <c r="J119" t="n">
        <v>0</v>
      </c>
      <c r="K119" t="n">
        <v>0</v>
      </c>
      <c r="L119" t="n">
        <v>0</v>
      </c>
      <c r="M119" t="n">
        <v>0</v>
      </c>
      <c r="N119" t="n">
        <v>0</v>
      </c>
      <c r="O119" t="n">
        <v>0</v>
      </c>
      <c r="P119" t="n">
        <v>0</v>
      </c>
      <c r="Q119" t="n">
        <v>0</v>
      </c>
      <c r="R119" s="2" t="inlineStr"/>
    </row>
    <row r="120" ht="15" customHeight="1">
      <c r="A120" t="inlineStr">
        <is>
          <t>A 68822-2018</t>
        </is>
      </c>
      <c r="B120" s="1" t="n">
        <v>43439</v>
      </c>
      <c r="C120" s="1" t="n">
        <v>45349</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70413-2018</t>
        </is>
      </c>
      <c r="B121" s="1" t="n">
        <v>43447</v>
      </c>
      <c r="C121" s="1" t="n">
        <v>45349</v>
      </c>
      <c r="D121" t="inlineStr">
        <is>
          <t>KALMAR LÄN</t>
        </is>
      </c>
      <c r="E121" t="inlineStr">
        <is>
          <t>VIMMERBY</t>
        </is>
      </c>
      <c r="G121" t="n">
        <v>1.3</v>
      </c>
      <c r="H121" t="n">
        <v>0</v>
      </c>
      <c r="I121" t="n">
        <v>0</v>
      </c>
      <c r="J121" t="n">
        <v>0</v>
      </c>
      <c r="K121" t="n">
        <v>0</v>
      </c>
      <c r="L121" t="n">
        <v>0</v>
      </c>
      <c r="M121" t="n">
        <v>0</v>
      </c>
      <c r="N121" t="n">
        <v>0</v>
      </c>
      <c r="O121" t="n">
        <v>0</v>
      </c>
      <c r="P121" t="n">
        <v>0</v>
      </c>
      <c r="Q121" t="n">
        <v>0</v>
      </c>
      <c r="R121" s="2" t="inlineStr"/>
    </row>
    <row r="122" ht="15" customHeight="1">
      <c r="A122" t="inlineStr">
        <is>
          <t>A 70414-2018</t>
        </is>
      </c>
      <c r="B122" s="1" t="n">
        <v>43447</v>
      </c>
      <c r="C122" s="1" t="n">
        <v>45349</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69857-2018</t>
        </is>
      </c>
      <c r="B123" s="1" t="n">
        <v>43447</v>
      </c>
      <c r="C123" s="1" t="n">
        <v>45349</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70563-2018</t>
        </is>
      </c>
      <c r="B124" s="1" t="n">
        <v>43451</v>
      </c>
      <c r="C124" s="1" t="n">
        <v>45349</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71003-2018</t>
        </is>
      </c>
      <c r="B125" s="1" t="n">
        <v>43452</v>
      </c>
      <c r="C125" s="1" t="n">
        <v>45349</v>
      </c>
      <c r="D125" t="inlineStr">
        <is>
          <t>KALMAR LÄN</t>
        </is>
      </c>
      <c r="E125" t="inlineStr">
        <is>
          <t>VIMMERBY</t>
        </is>
      </c>
      <c r="G125" t="n">
        <v>3.8</v>
      </c>
      <c r="H125" t="n">
        <v>0</v>
      </c>
      <c r="I125" t="n">
        <v>0</v>
      </c>
      <c r="J125" t="n">
        <v>0</v>
      </c>
      <c r="K125" t="n">
        <v>0</v>
      </c>
      <c r="L125" t="n">
        <v>0</v>
      </c>
      <c r="M125" t="n">
        <v>0</v>
      </c>
      <c r="N125" t="n">
        <v>0</v>
      </c>
      <c r="O125" t="n">
        <v>0</v>
      </c>
      <c r="P125" t="n">
        <v>0</v>
      </c>
      <c r="Q125" t="n">
        <v>0</v>
      </c>
      <c r="R125" s="2" t="inlineStr"/>
    </row>
    <row r="126" ht="15" customHeight="1">
      <c r="A126" t="inlineStr">
        <is>
          <t>A 72073-2018</t>
        </is>
      </c>
      <c r="B126" s="1" t="n">
        <v>43455</v>
      </c>
      <c r="C126" s="1" t="n">
        <v>45349</v>
      </c>
      <c r="D126" t="inlineStr">
        <is>
          <t>KALMAR LÄN</t>
        </is>
      </c>
      <c r="E126" t="inlineStr">
        <is>
          <t>VIMMERBY</t>
        </is>
      </c>
      <c r="G126" t="n">
        <v>9.1</v>
      </c>
      <c r="H126" t="n">
        <v>0</v>
      </c>
      <c r="I126" t="n">
        <v>0</v>
      </c>
      <c r="J126" t="n">
        <v>0</v>
      </c>
      <c r="K126" t="n">
        <v>0</v>
      </c>
      <c r="L126" t="n">
        <v>0</v>
      </c>
      <c r="M126" t="n">
        <v>0</v>
      </c>
      <c r="N126" t="n">
        <v>0</v>
      </c>
      <c r="O126" t="n">
        <v>0</v>
      </c>
      <c r="P126" t="n">
        <v>0</v>
      </c>
      <c r="Q126" t="n">
        <v>0</v>
      </c>
      <c r="R126" s="2" t="inlineStr"/>
    </row>
    <row r="127" ht="15" customHeight="1">
      <c r="A127" t="inlineStr">
        <is>
          <t>A 1410-2019</t>
        </is>
      </c>
      <c r="B127" s="1" t="n">
        <v>43461</v>
      </c>
      <c r="C127" s="1" t="n">
        <v>45349</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72534-2018</t>
        </is>
      </c>
      <c r="B128" s="1" t="n">
        <v>43462</v>
      </c>
      <c r="C128" s="1" t="n">
        <v>45349</v>
      </c>
      <c r="D128" t="inlineStr">
        <is>
          <t>KALMAR LÄN</t>
        </is>
      </c>
      <c r="E128" t="inlineStr">
        <is>
          <t>VIMMERBY</t>
        </is>
      </c>
      <c r="G128" t="n">
        <v>8.6</v>
      </c>
      <c r="H128" t="n">
        <v>0</v>
      </c>
      <c r="I128" t="n">
        <v>0</v>
      </c>
      <c r="J128" t="n">
        <v>0</v>
      </c>
      <c r="K128" t="n">
        <v>0</v>
      </c>
      <c r="L128" t="n">
        <v>0</v>
      </c>
      <c r="M128" t="n">
        <v>0</v>
      </c>
      <c r="N128" t="n">
        <v>0</v>
      </c>
      <c r="O128" t="n">
        <v>0</v>
      </c>
      <c r="P128" t="n">
        <v>0</v>
      </c>
      <c r="Q128" t="n">
        <v>0</v>
      </c>
      <c r="R128" s="2" t="inlineStr"/>
    </row>
    <row r="129" ht="15" customHeight="1">
      <c r="A129" t="inlineStr">
        <is>
          <t>A 72568-2018</t>
        </is>
      </c>
      <c r="B129" s="1" t="n">
        <v>43462</v>
      </c>
      <c r="C129" s="1" t="n">
        <v>45349</v>
      </c>
      <c r="D129" t="inlineStr">
        <is>
          <t>KALMAR LÄN</t>
        </is>
      </c>
      <c r="E129" t="inlineStr">
        <is>
          <t>VIMMERBY</t>
        </is>
      </c>
      <c r="G129" t="n">
        <v>7.8</v>
      </c>
      <c r="H129" t="n">
        <v>0</v>
      </c>
      <c r="I129" t="n">
        <v>0</v>
      </c>
      <c r="J129" t="n">
        <v>0</v>
      </c>
      <c r="K129" t="n">
        <v>0</v>
      </c>
      <c r="L129" t="n">
        <v>0</v>
      </c>
      <c r="M129" t="n">
        <v>0</v>
      </c>
      <c r="N129" t="n">
        <v>0</v>
      </c>
      <c r="O129" t="n">
        <v>0</v>
      </c>
      <c r="P129" t="n">
        <v>0</v>
      </c>
      <c r="Q129" t="n">
        <v>0</v>
      </c>
      <c r="R129" s="2" t="inlineStr"/>
    </row>
    <row r="130" ht="15" customHeight="1">
      <c r="A130" t="inlineStr">
        <is>
          <t>A 72570-2018</t>
        </is>
      </c>
      <c r="B130" s="1" t="n">
        <v>43462</v>
      </c>
      <c r="C130" s="1" t="n">
        <v>45349</v>
      </c>
      <c r="D130" t="inlineStr">
        <is>
          <t>KALMAR LÄN</t>
        </is>
      </c>
      <c r="E130" t="inlineStr">
        <is>
          <t>VIMMERBY</t>
        </is>
      </c>
      <c r="G130" t="n">
        <v>3</v>
      </c>
      <c r="H130" t="n">
        <v>0</v>
      </c>
      <c r="I130" t="n">
        <v>0</v>
      </c>
      <c r="J130" t="n">
        <v>0</v>
      </c>
      <c r="K130" t="n">
        <v>0</v>
      </c>
      <c r="L130" t="n">
        <v>0</v>
      </c>
      <c r="M130" t="n">
        <v>0</v>
      </c>
      <c r="N130" t="n">
        <v>0</v>
      </c>
      <c r="O130" t="n">
        <v>0</v>
      </c>
      <c r="P130" t="n">
        <v>0</v>
      </c>
      <c r="Q130" t="n">
        <v>0</v>
      </c>
      <c r="R130" s="2" t="inlineStr"/>
    </row>
    <row r="131" ht="15" customHeight="1">
      <c r="A131" t="inlineStr">
        <is>
          <t>A 583-2019</t>
        </is>
      </c>
      <c r="B131" s="1" t="n">
        <v>43469</v>
      </c>
      <c r="C131" s="1" t="n">
        <v>45349</v>
      </c>
      <c r="D131" t="inlineStr">
        <is>
          <t>KALMAR LÄN</t>
        </is>
      </c>
      <c r="E131" t="inlineStr">
        <is>
          <t>VIMMERBY</t>
        </is>
      </c>
      <c r="G131" t="n">
        <v>2.9</v>
      </c>
      <c r="H131" t="n">
        <v>0</v>
      </c>
      <c r="I131" t="n">
        <v>0</v>
      </c>
      <c r="J131" t="n">
        <v>0</v>
      </c>
      <c r="K131" t="n">
        <v>0</v>
      </c>
      <c r="L131" t="n">
        <v>0</v>
      </c>
      <c r="M131" t="n">
        <v>0</v>
      </c>
      <c r="N131" t="n">
        <v>0</v>
      </c>
      <c r="O131" t="n">
        <v>0</v>
      </c>
      <c r="P131" t="n">
        <v>0</v>
      </c>
      <c r="Q131" t="n">
        <v>0</v>
      </c>
      <c r="R131" s="2" t="inlineStr"/>
    </row>
    <row r="132" ht="15" customHeight="1">
      <c r="A132" t="inlineStr">
        <is>
          <t>A 3131-2019</t>
        </is>
      </c>
      <c r="B132" s="1" t="n">
        <v>43473</v>
      </c>
      <c r="C132" s="1" t="n">
        <v>45349</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1579-2019</t>
        </is>
      </c>
      <c r="B133" s="1" t="n">
        <v>43474</v>
      </c>
      <c r="C133" s="1" t="n">
        <v>45349</v>
      </c>
      <c r="D133" t="inlineStr">
        <is>
          <t>KALMAR LÄN</t>
        </is>
      </c>
      <c r="E133" t="inlineStr">
        <is>
          <t>VIMMERBY</t>
        </is>
      </c>
      <c r="G133" t="n">
        <v>2.5</v>
      </c>
      <c r="H133" t="n">
        <v>0</v>
      </c>
      <c r="I133" t="n">
        <v>0</v>
      </c>
      <c r="J133" t="n">
        <v>0</v>
      </c>
      <c r="K133" t="n">
        <v>0</v>
      </c>
      <c r="L133" t="n">
        <v>0</v>
      </c>
      <c r="M133" t="n">
        <v>0</v>
      </c>
      <c r="N133" t="n">
        <v>0</v>
      </c>
      <c r="O133" t="n">
        <v>0</v>
      </c>
      <c r="P133" t="n">
        <v>0</v>
      </c>
      <c r="Q133" t="n">
        <v>0</v>
      </c>
      <c r="R133" s="2" t="inlineStr"/>
    </row>
    <row r="134" ht="15" customHeight="1">
      <c r="A134" t="inlineStr">
        <is>
          <t>A 2170-2019</t>
        </is>
      </c>
      <c r="B134" s="1" t="n">
        <v>43475</v>
      </c>
      <c r="C134" s="1" t="n">
        <v>45349</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2165-2019</t>
        </is>
      </c>
      <c r="B135" s="1" t="n">
        <v>43475</v>
      </c>
      <c r="C135" s="1" t="n">
        <v>45349</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2112-2019</t>
        </is>
      </c>
      <c r="B136" s="1" t="n">
        <v>43475</v>
      </c>
      <c r="C136" s="1" t="n">
        <v>45349</v>
      </c>
      <c r="D136" t="inlineStr">
        <is>
          <t>KALMAR LÄN</t>
        </is>
      </c>
      <c r="E136" t="inlineStr">
        <is>
          <t>VIMMERBY</t>
        </is>
      </c>
      <c r="G136" t="n">
        <v>2.3</v>
      </c>
      <c r="H136" t="n">
        <v>0</v>
      </c>
      <c r="I136" t="n">
        <v>0</v>
      </c>
      <c r="J136" t="n">
        <v>0</v>
      </c>
      <c r="K136" t="n">
        <v>0</v>
      </c>
      <c r="L136" t="n">
        <v>0</v>
      </c>
      <c r="M136" t="n">
        <v>0</v>
      </c>
      <c r="N136" t="n">
        <v>0</v>
      </c>
      <c r="O136" t="n">
        <v>0</v>
      </c>
      <c r="P136" t="n">
        <v>0</v>
      </c>
      <c r="Q136" t="n">
        <v>0</v>
      </c>
      <c r="R136" s="2" t="inlineStr"/>
    </row>
    <row r="137" ht="15" customHeight="1">
      <c r="A137" t="inlineStr">
        <is>
          <t>A 2545-2019</t>
        </is>
      </c>
      <c r="B137" s="1" t="n">
        <v>43476</v>
      </c>
      <c r="C137" s="1" t="n">
        <v>45349</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2856-2019</t>
        </is>
      </c>
      <c r="B138" s="1" t="n">
        <v>43479</v>
      </c>
      <c r="C138" s="1" t="n">
        <v>45349</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2864-2019</t>
        </is>
      </c>
      <c r="B139" s="1" t="n">
        <v>43479</v>
      </c>
      <c r="C139" s="1" t="n">
        <v>45349</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3095-2019</t>
        </is>
      </c>
      <c r="B140" s="1" t="n">
        <v>43479</v>
      </c>
      <c r="C140" s="1" t="n">
        <v>45349</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5249-2019</t>
        </is>
      </c>
      <c r="B141" s="1" t="n">
        <v>43480</v>
      </c>
      <c r="C141" s="1" t="n">
        <v>45349</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3615-2019</t>
        </is>
      </c>
      <c r="B142" s="1" t="n">
        <v>43481</v>
      </c>
      <c r="C142" s="1" t="n">
        <v>45349</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4288-2019</t>
        </is>
      </c>
      <c r="B143" s="1" t="n">
        <v>43483</v>
      </c>
      <c r="C143" s="1" t="n">
        <v>45349</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4460-2019</t>
        </is>
      </c>
      <c r="B144" s="1" t="n">
        <v>43485</v>
      </c>
      <c r="C144" s="1" t="n">
        <v>45349</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4669-2019</t>
        </is>
      </c>
      <c r="B145" s="1" t="n">
        <v>43486</v>
      </c>
      <c r="C145" s="1" t="n">
        <v>45349</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4675-2019</t>
        </is>
      </c>
      <c r="B146" s="1" t="n">
        <v>43486</v>
      </c>
      <c r="C146" s="1" t="n">
        <v>45349</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4677-2019</t>
        </is>
      </c>
      <c r="B147" s="1" t="n">
        <v>43486</v>
      </c>
      <c r="C147" s="1" t="n">
        <v>45349</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6415-2019</t>
        </is>
      </c>
      <c r="B148" s="1" t="n">
        <v>43487</v>
      </c>
      <c r="C148" s="1" t="n">
        <v>45349</v>
      </c>
      <c r="D148" t="inlineStr">
        <is>
          <t>KALMAR LÄN</t>
        </is>
      </c>
      <c r="E148" t="inlineStr">
        <is>
          <t>VIMMERBY</t>
        </is>
      </c>
      <c r="G148" t="n">
        <v>2.3</v>
      </c>
      <c r="H148" t="n">
        <v>0</v>
      </c>
      <c r="I148" t="n">
        <v>0</v>
      </c>
      <c r="J148" t="n">
        <v>0</v>
      </c>
      <c r="K148" t="n">
        <v>0</v>
      </c>
      <c r="L148" t="n">
        <v>0</v>
      </c>
      <c r="M148" t="n">
        <v>0</v>
      </c>
      <c r="N148" t="n">
        <v>0</v>
      </c>
      <c r="O148" t="n">
        <v>0</v>
      </c>
      <c r="P148" t="n">
        <v>0</v>
      </c>
      <c r="Q148" t="n">
        <v>0</v>
      </c>
      <c r="R148" s="2" t="inlineStr"/>
    </row>
    <row r="149" ht="15" customHeight="1">
      <c r="A149" t="inlineStr">
        <is>
          <t>A 5201-2019</t>
        </is>
      </c>
      <c r="B149" s="1" t="n">
        <v>43488</v>
      </c>
      <c r="C149" s="1" t="n">
        <v>45349</v>
      </c>
      <c r="D149" t="inlineStr">
        <is>
          <t>KALMAR LÄN</t>
        </is>
      </c>
      <c r="E149" t="inlineStr">
        <is>
          <t>VIMMERBY</t>
        </is>
      </c>
      <c r="G149" t="n">
        <v>3.2</v>
      </c>
      <c r="H149" t="n">
        <v>0</v>
      </c>
      <c r="I149" t="n">
        <v>0</v>
      </c>
      <c r="J149" t="n">
        <v>0</v>
      </c>
      <c r="K149" t="n">
        <v>0</v>
      </c>
      <c r="L149" t="n">
        <v>0</v>
      </c>
      <c r="M149" t="n">
        <v>0</v>
      </c>
      <c r="N149" t="n">
        <v>0</v>
      </c>
      <c r="O149" t="n">
        <v>0</v>
      </c>
      <c r="P149" t="n">
        <v>0</v>
      </c>
      <c r="Q149" t="n">
        <v>0</v>
      </c>
      <c r="R149" s="2" t="inlineStr"/>
    </row>
    <row r="150" ht="15" customHeight="1">
      <c r="A150" t="inlineStr">
        <is>
          <t>A 5329-2019</t>
        </is>
      </c>
      <c r="B150" s="1" t="n">
        <v>43488</v>
      </c>
      <c r="C150" s="1" t="n">
        <v>45349</v>
      </c>
      <c r="D150" t="inlineStr">
        <is>
          <t>KALMAR LÄN</t>
        </is>
      </c>
      <c r="E150" t="inlineStr">
        <is>
          <t>VIMMERBY</t>
        </is>
      </c>
      <c r="G150" t="n">
        <v>3.1</v>
      </c>
      <c r="H150" t="n">
        <v>0</v>
      </c>
      <c r="I150" t="n">
        <v>0</v>
      </c>
      <c r="J150" t="n">
        <v>0</v>
      </c>
      <c r="K150" t="n">
        <v>0</v>
      </c>
      <c r="L150" t="n">
        <v>0</v>
      </c>
      <c r="M150" t="n">
        <v>0</v>
      </c>
      <c r="N150" t="n">
        <v>0</v>
      </c>
      <c r="O150" t="n">
        <v>0</v>
      </c>
      <c r="P150" t="n">
        <v>0</v>
      </c>
      <c r="Q150" t="n">
        <v>0</v>
      </c>
      <c r="R150" s="2" t="inlineStr"/>
    </row>
    <row r="151" ht="15" customHeight="1">
      <c r="A151" t="inlineStr">
        <is>
          <t>A 5439-2019</t>
        </is>
      </c>
      <c r="B151" s="1" t="n">
        <v>43489</v>
      </c>
      <c r="C151" s="1" t="n">
        <v>45349</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5589-2019</t>
        </is>
      </c>
      <c r="B152" s="1" t="n">
        <v>43489</v>
      </c>
      <c r="C152" s="1" t="n">
        <v>45349</v>
      </c>
      <c r="D152" t="inlineStr">
        <is>
          <t>KALMAR LÄN</t>
        </is>
      </c>
      <c r="E152" t="inlineStr">
        <is>
          <t>VIMMERBY</t>
        </is>
      </c>
      <c r="G152" t="n">
        <v>4.1</v>
      </c>
      <c r="H152" t="n">
        <v>0</v>
      </c>
      <c r="I152" t="n">
        <v>0</v>
      </c>
      <c r="J152" t="n">
        <v>0</v>
      </c>
      <c r="K152" t="n">
        <v>0</v>
      </c>
      <c r="L152" t="n">
        <v>0</v>
      </c>
      <c r="M152" t="n">
        <v>0</v>
      </c>
      <c r="N152" t="n">
        <v>0</v>
      </c>
      <c r="O152" t="n">
        <v>0</v>
      </c>
      <c r="P152" t="n">
        <v>0</v>
      </c>
      <c r="Q152" t="n">
        <v>0</v>
      </c>
      <c r="R152" s="2" t="inlineStr"/>
    </row>
    <row r="153" ht="15" customHeight="1">
      <c r="A153" t="inlineStr">
        <is>
          <t>A 5637-2019</t>
        </is>
      </c>
      <c r="B153" s="1" t="n">
        <v>43489</v>
      </c>
      <c r="C153" s="1" t="n">
        <v>45349</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5453-2019</t>
        </is>
      </c>
      <c r="B154" s="1" t="n">
        <v>43489</v>
      </c>
      <c r="C154" s="1" t="n">
        <v>45349</v>
      </c>
      <c r="D154" t="inlineStr">
        <is>
          <t>KALMAR LÄN</t>
        </is>
      </c>
      <c r="E154" t="inlineStr">
        <is>
          <t>VIMMERBY</t>
        </is>
      </c>
      <c r="G154" t="n">
        <v>1.5</v>
      </c>
      <c r="H154" t="n">
        <v>0</v>
      </c>
      <c r="I154" t="n">
        <v>0</v>
      </c>
      <c r="J154" t="n">
        <v>0</v>
      </c>
      <c r="K154" t="n">
        <v>0</v>
      </c>
      <c r="L154" t="n">
        <v>0</v>
      </c>
      <c r="M154" t="n">
        <v>0</v>
      </c>
      <c r="N154" t="n">
        <v>0</v>
      </c>
      <c r="O154" t="n">
        <v>0</v>
      </c>
      <c r="P154" t="n">
        <v>0</v>
      </c>
      <c r="Q154" t="n">
        <v>0</v>
      </c>
      <c r="R154" s="2" t="inlineStr"/>
    </row>
    <row r="155" ht="15" customHeight="1">
      <c r="A155" t="inlineStr">
        <is>
          <t>A 6419-2019</t>
        </is>
      </c>
      <c r="B155" s="1" t="n">
        <v>43494</v>
      </c>
      <c r="C155" s="1" t="n">
        <v>45349</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6519-2019</t>
        </is>
      </c>
      <c r="B156" s="1" t="n">
        <v>43494</v>
      </c>
      <c r="C156" s="1" t="n">
        <v>45349</v>
      </c>
      <c r="D156" t="inlineStr">
        <is>
          <t>KALMAR LÄN</t>
        </is>
      </c>
      <c r="E156" t="inlineStr">
        <is>
          <t>VIMMERBY</t>
        </is>
      </c>
      <c r="G156" t="n">
        <v>1.6</v>
      </c>
      <c r="H156" t="n">
        <v>0</v>
      </c>
      <c r="I156" t="n">
        <v>0</v>
      </c>
      <c r="J156" t="n">
        <v>0</v>
      </c>
      <c r="K156" t="n">
        <v>0</v>
      </c>
      <c r="L156" t="n">
        <v>0</v>
      </c>
      <c r="M156" t="n">
        <v>0</v>
      </c>
      <c r="N156" t="n">
        <v>0</v>
      </c>
      <c r="O156" t="n">
        <v>0</v>
      </c>
      <c r="P156" t="n">
        <v>0</v>
      </c>
      <c r="Q156" t="n">
        <v>0</v>
      </c>
      <c r="R156" s="2" t="inlineStr"/>
    </row>
    <row r="157" ht="15" customHeight="1">
      <c r="A157" t="inlineStr">
        <is>
          <t>A 6568-2019</t>
        </is>
      </c>
      <c r="B157" s="1" t="n">
        <v>43494</v>
      </c>
      <c r="C157" s="1" t="n">
        <v>45349</v>
      </c>
      <c r="D157" t="inlineStr">
        <is>
          <t>KALMAR LÄN</t>
        </is>
      </c>
      <c r="E157" t="inlineStr">
        <is>
          <t>VIMMERBY</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6518-2019</t>
        </is>
      </c>
      <c r="B158" s="1" t="n">
        <v>43494</v>
      </c>
      <c r="C158" s="1" t="n">
        <v>45349</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8644-2019</t>
        </is>
      </c>
      <c r="B159" s="1" t="n">
        <v>43501</v>
      </c>
      <c r="C159" s="1" t="n">
        <v>45349</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9223-2019</t>
        </is>
      </c>
      <c r="B160" s="1" t="n">
        <v>43506</v>
      </c>
      <c r="C160" s="1" t="n">
        <v>45349</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9863-2019</t>
        </is>
      </c>
      <c r="B161" s="1" t="n">
        <v>43509</v>
      </c>
      <c r="C161" s="1" t="n">
        <v>45349</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9841-2019</t>
        </is>
      </c>
      <c r="B162" s="1" t="n">
        <v>43509</v>
      </c>
      <c r="C162" s="1" t="n">
        <v>45349</v>
      </c>
      <c r="D162" t="inlineStr">
        <is>
          <t>KALMAR LÄN</t>
        </is>
      </c>
      <c r="E162" t="inlineStr">
        <is>
          <t>VIMMERBY</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10352-2019</t>
        </is>
      </c>
      <c r="B163" s="1" t="n">
        <v>43511</v>
      </c>
      <c r="C163" s="1" t="n">
        <v>45349</v>
      </c>
      <c r="D163" t="inlineStr">
        <is>
          <t>KALMAR LÄN</t>
        </is>
      </c>
      <c r="E163" t="inlineStr">
        <is>
          <t>VIMMERBY</t>
        </is>
      </c>
      <c r="G163" t="n">
        <v>9.9</v>
      </c>
      <c r="H163" t="n">
        <v>0</v>
      </c>
      <c r="I163" t="n">
        <v>0</v>
      </c>
      <c r="J163" t="n">
        <v>0</v>
      </c>
      <c r="K163" t="n">
        <v>0</v>
      </c>
      <c r="L163" t="n">
        <v>0</v>
      </c>
      <c r="M163" t="n">
        <v>0</v>
      </c>
      <c r="N163" t="n">
        <v>0</v>
      </c>
      <c r="O163" t="n">
        <v>0</v>
      </c>
      <c r="P163" t="n">
        <v>0</v>
      </c>
      <c r="Q163" t="n">
        <v>0</v>
      </c>
      <c r="R163" s="2" t="inlineStr"/>
    </row>
    <row r="164" ht="15" customHeight="1">
      <c r="A164" t="inlineStr">
        <is>
          <t>A 10429-2019</t>
        </is>
      </c>
      <c r="B164" s="1" t="n">
        <v>43511</v>
      </c>
      <c r="C164" s="1" t="n">
        <v>45349</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10354-2019</t>
        </is>
      </c>
      <c r="B165" s="1" t="n">
        <v>43511</v>
      </c>
      <c r="C165" s="1" t="n">
        <v>45349</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10349-2019</t>
        </is>
      </c>
      <c r="B166" s="1" t="n">
        <v>43511</v>
      </c>
      <c r="C166" s="1" t="n">
        <v>45349</v>
      </c>
      <c r="D166" t="inlineStr">
        <is>
          <t>KALMAR LÄN</t>
        </is>
      </c>
      <c r="E166" t="inlineStr">
        <is>
          <t>VIMMERBY</t>
        </is>
      </c>
      <c r="G166" t="n">
        <v>9.1</v>
      </c>
      <c r="H166" t="n">
        <v>0</v>
      </c>
      <c r="I166" t="n">
        <v>0</v>
      </c>
      <c r="J166" t="n">
        <v>0</v>
      </c>
      <c r="K166" t="n">
        <v>0</v>
      </c>
      <c r="L166" t="n">
        <v>0</v>
      </c>
      <c r="M166" t="n">
        <v>0</v>
      </c>
      <c r="N166" t="n">
        <v>0</v>
      </c>
      <c r="O166" t="n">
        <v>0</v>
      </c>
      <c r="P166" t="n">
        <v>0</v>
      </c>
      <c r="Q166" t="n">
        <v>0</v>
      </c>
      <c r="R166" s="2" t="inlineStr"/>
    </row>
    <row r="167" ht="15" customHeight="1">
      <c r="A167" t="inlineStr">
        <is>
          <t>A 11374-2019</t>
        </is>
      </c>
      <c r="B167" s="1" t="n">
        <v>43517</v>
      </c>
      <c r="C167" s="1" t="n">
        <v>45349</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12192-2019</t>
        </is>
      </c>
      <c r="B168" s="1" t="n">
        <v>43522</v>
      </c>
      <c r="C168" s="1" t="n">
        <v>45349</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12112-2019</t>
        </is>
      </c>
      <c r="B169" s="1" t="n">
        <v>43522</v>
      </c>
      <c r="C169" s="1" t="n">
        <v>45349</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12365-2019</t>
        </is>
      </c>
      <c r="B170" s="1" t="n">
        <v>43523</v>
      </c>
      <c r="C170" s="1" t="n">
        <v>45349</v>
      </c>
      <c r="D170" t="inlineStr">
        <is>
          <t>KALMAR LÄN</t>
        </is>
      </c>
      <c r="E170" t="inlineStr">
        <is>
          <t>VIMMERBY</t>
        </is>
      </c>
      <c r="G170" t="n">
        <v>6.1</v>
      </c>
      <c r="H170" t="n">
        <v>0</v>
      </c>
      <c r="I170" t="n">
        <v>0</v>
      </c>
      <c r="J170" t="n">
        <v>0</v>
      </c>
      <c r="K170" t="n">
        <v>0</v>
      </c>
      <c r="L170" t="n">
        <v>0</v>
      </c>
      <c r="M170" t="n">
        <v>0</v>
      </c>
      <c r="N170" t="n">
        <v>0</v>
      </c>
      <c r="O170" t="n">
        <v>0</v>
      </c>
      <c r="P170" t="n">
        <v>0</v>
      </c>
      <c r="Q170" t="n">
        <v>0</v>
      </c>
      <c r="R170" s="2" t="inlineStr"/>
    </row>
    <row r="171" ht="15" customHeight="1">
      <c r="A171" t="inlineStr">
        <is>
          <t>A 12339-2019</t>
        </is>
      </c>
      <c r="B171" s="1" t="n">
        <v>43523</v>
      </c>
      <c r="C171" s="1" t="n">
        <v>45349</v>
      </c>
      <c r="D171" t="inlineStr">
        <is>
          <t>KALMAR LÄN</t>
        </is>
      </c>
      <c r="E171" t="inlineStr">
        <is>
          <t>VIMMERBY</t>
        </is>
      </c>
      <c r="G171" t="n">
        <v>2.7</v>
      </c>
      <c r="H171" t="n">
        <v>0</v>
      </c>
      <c r="I171" t="n">
        <v>0</v>
      </c>
      <c r="J171" t="n">
        <v>0</v>
      </c>
      <c r="K171" t="n">
        <v>0</v>
      </c>
      <c r="L171" t="n">
        <v>0</v>
      </c>
      <c r="M171" t="n">
        <v>0</v>
      </c>
      <c r="N171" t="n">
        <v>0</v>
      </c>
      <c r="O171" t="n">
        <v>0</v>
      </c>
      <c r="P171" t="n">
        <v>0</v>
      </c>
      <c r="Q171" t="n">
        <v>0</v>
      </c>
      <c r="R171" s="2" t="inlineStr"/>
    </row>
    <row r="172" ht="15" customHeight="1">
      <c r="A172" t="inlineStr">
        <is>
          <t>A 12969-2019</t>
        </is>
      </c>
      <c r="B172" s="1" t="n">
        <v>43527</v>
      </c>
      <c r="C172" s="1" t="n">
        <v>45349</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13135-2019</t>
        </is>
      </c>
      <c r="B173" s="1" t="n">
        <v>43528</v>
      </c>
      <c r="C173" s="1" t="n">
        <v>45349</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13178-2019</t>
        </is>
      </c>
      <c r="B174" s="1" t="n">
        <v>43528</v>
      </c>
      <c r="C174" s="1" t="n">
        <v>45349</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13797-2019</t>
        </is>
      </c>
      <c r="B175" s="1" t="n">
        <v>43530</v>
      </c>
      <c r="C175" s="1" t="n">
        <v>45349</v>
      </c>
      <c r="D175" t="inlineStr">
        <is>
          <t>KALMAR LÄN</t>
        </is>
      </c>
      <c r="E175" t="inlineStr">
        <is>
          <t>VIMMERBY</t>
        </is>
      </c>
      <c r="G175" t="n">
        <v>6.5</v>
      </c>
      <c r="H175" t="n">
        <v>0</v>
      </c>
      <c r="I175" t="n">
        <v>0</v>
      </c>
      <c r="J175" t="n">
        <v>0</v>
      </c>
      <c r="K175" t="n">
        <v>0</v>
      </c>
      <c r="L175" t="n">
        <v>0</v>
      </c>
      <c r="M175" t="n">
        <v>0</v>
      </c>
      <c r="N175" t="n">
        <v>0</v>
      </c>
      <c r="O175" t="n">
        <v>0</v>
      </c>
      <c r="P175" t="n">
        <v>0</v>
      </c>
      <c r="Q175" t="n">
        <v>0</v>
      </c>
      <c r="R175" s="2" t="inlineStr"/>
    </row>
    <row r="176" ht="15" customHeight="1">
      <c r="A176" t="inlineStr">
        <is>
          <t>A 13522-2019</t>
        </is>
      </c>
      <c r="B176" s="1" t="n">
        <v>43530</v>
      </c>
      <c r="C176" s="1" t="n">
        <v>45349</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13841-2019</t>
        </is>
      </c>
      <c r="B177" s="1" t="n">
        <v>43531</v>
      </c>
      <c r="C177" s="1" t="n">
        <v>45349</v>
      </c>
      <c r="D177" t="inlineStr">
        <is>
          <t>KALMAR LÄN</t>
        </is>
      </c>
      <c r="E177" t="inlineStr">
        <is>
          <t>VIMMERBY</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13892-2019</t>
        </is>
      </c>
      <c r="B178" s="1" t="n">
        <v>43531</v>
      </c>
      <c r="C178" s="1" t="n">
        <v>45349</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14108-2019</t>
        </is>
      </c>
      <c r="B179" s="1" t="n">
        <v>43532</v>
      </c>
      <c r="C179" s="1" t="n">
        <v>45349</v>
      </c>
      <c r="D179" t="inlineStr">
        <is>
          <t>KALMAR LÄN</t>
        </is>
      </c>
      <c r="E179" t="inlineStr">
        <is>
          <t>VIMMERBY</t>
        </is>
      </c>
      <c r="G179" t="n">
        <v>3.6</v>
      </c>
      <c r="H179" t="n">
        <v>0</v>
      </c>
      <c r="I179" t="n">
        <v>0</v>
      </c>
      <c r="J179" t="n">
        <v>0</v>
      </c>
      <c r="K179" t="n">
        <v>0</v>
      </c>
      <c r="L179" t="n">
        <v>0</v>
      </c>
      <c r="M179" t="n">
        <v>0</v>
      </c>
      <c r="N179" t="n">
        <v>0</v>
      </c>
      <c r="O179" t="n">
        <v>0</v>
      </c>
      <c r="P179" t="n">
        <v>0</v>
      </c>
      <c r="Q179" t="n">
        <v>0</v>
      </c>
      <c r="R179" s="2" t="inlineStr"/>
    </row>
    <row r="180" ht="15" customHeight="1">
      <c r="A180" t="inlineStr">
        <is>
          <t>A 14106-2019</t>
        </is>
      </c>
      <c r="B180" s="1" t="n">
        <v>43532</v>
      </c>
      <c r="C180" s="1" t="n">
        <v>45349</v>
      </c>
      <c r="D180" t="inlineStr">
        <is>
          <t>KALMAR LÄN</t>
        </is>
      </c>
      <c r="E180" t="inlineStr">
        <is>
          <t>VIMMERBY</t>
        </is>
      </c>
      <c r="G180" t="n">
        <v>2.8</v>
      </c>
      <c r="H180" t="n">
        <v>0</v>
      </c>
      <c r="I180" t="n">
        <v>0</v>
      </c>
      <c r="J180" t="n">
        <v>0</v>
      </c>
      <c r="K180" t="n">
        <v>0</v>
      </c>
      <c r="L180" t="n">
        <v>0</v>
      </c>
      <c r="M180" t="n">
        <v>0</v>
      </c>
      <c r="N180" t="n">
        <v>0</v>
      </c>
      <c r="O180" t="n">
        <v>0</v>
      </c>
      <c r="P180" t="n">
        <v>0</v>
      </c>
      <c r="Q180" t="n">
        <v>0</v>
      </c>
      <c r="R180" s="2" t="inlineStr"/>
    </row>
    <row r="181" ht="15" customHeight="1">
      <c r="A181" t="inlineStr">
        <is>
          <t>A 14102-2019</t>
        </is>
      </c>
      <c r="B181" s="1" t="n">
        <v>43532</v>
      </c>
      <c r="C181" s="1" t="n">
        <v>45349</v>
      </c>
      <c r="D181" t="inlineStr">
        <is>
          <t>KALMAR LÄN</t>
        </is>
      </c>
      <c r="E181" t="inlineStr">
        <is>
          <t>VIMMERBY</t>
        </is>
      </c>
      <c r="G181" t="n">
        <v>7.4</v>
      </c>
      <c r="H181" t="n">
        <v>0</v>
      </c>
      <c r="I181" t="n">
        <v>0</v>
      </c>
      <c r="J181" t="n">
        <v>0</v>
      </c>
      <c r="K181" t="n">
        <v>0</v>
      </c>
      <c r="L181" t="n">
        <v>0</v>
      </c>
      <c r="M181" t="n">
        <v>0</v>
      </c>
      <c r="N181" t="n">
        <v>0</v>
      </c>
      <c r="O181" t="n">
        <v>0</v>
      </c>
      <c r="P181" t="n">
        <v>0</v>
      </c>
      <c r="Q181" t="n">
        <v>0</v>
      </c>
      <c r="R181" s="2" t="inlineStr"/>
    </row>
    <row r="182" ht="15" customHeight="1">
      <c r="A182" t="inlineStr">
        <is>
          <t>A 14097-2019</t>
        </is>
      </c>
      <c r="B182" s="1" t="n">
        <v>43532</v>
      </c>
      <c r="C182" s="1" t="n">
        <v>45349</v>
      </c>
      <c r="D182" t="inlineStr">
        <is>
          <t>KALMAR LÄN</t>
        </is>
      </c>
      <c r="E182" t="inlineStr">
        <is>
          <t>VIMMERBY</t>
        </is>
      </c>
      <c r="G182" t="n">
        <v>7.5</v>
      </c>
      <c r="H182" t="n">
        <v>0</v>
      </c>
      <c r="I182" t="n">
        <v>0</v>
      </c>
      <c r="J182" t="n">
        <v>0</v>
      </c>
      <c r="K182" t="n">
        <v>0</v>
      </c>
      <c r="L182" t="n">
        <v>0</v>
      </c>
      <c r="M182" t="n">
        <v>0</v>
      </c>
      <c r="N182" t="n">
        <v>0</v>
      </c>
      <c r="O182" t="n">
        <v>0</v>
      </c>
      <c r="P182" t="n">
        <v>0</v>
      </c>
      <c r="Q182" t="n">
        <v>0</v>
      </c>
      <c r="R182" s="2" t="inlineStr"/>
    </row>
    <row r="183" ht="15" customHeight="1">
      <c r="A183" t="inlineStr">
        <is>
          <t>A 14173-2019</t>
        </is>
      </c>
      <c r="B183" s="1" t="n">
        <v>43534</v>
      </c>
      <c r="C183" s="1" t="n">
        <v>45349</v>
      </c>
      <c r="D183" t="inlineStr">
        <is>
          <t>KALMAR LÄN</t>
        </is>
      </c>
      <c r="E183" t="inlineStr">
        <is>
          <t>VIMMERBY</t>
        </is>
      </c>
      <c r="G183" t="n">
        <v>5.6</v>
      </c>
      <c r="H183" t="n">
        <v>0</v>
      </c>
      <c r="I183" t="n">
        <v>0</v>
      </c>
      <c r="J183" t="n">
        <v>0</v>
      </c>
      <c r="K183" t="n">
        <v>0</v>
      </c>
      <c r="L183" t="n">
        <v>0</v>
      </c>
      <c r="M183" t="n">
        <v>0</v>
      </c>
      <c r="N183" t="n">
        <v>0</v>
      </c>
      <c r="O183" t="n">
        <v>0</v>
      </c>
      <c r="P183" t="n">
        <v>0</v>
      </c>
      <c r="Q183" t="n">
        <v>0</v>
      </c>
      <c r="R183" s="2" t="inlineStr"/>
    </row>
    <row r="184" ht="15" customHeight="1">
      <c r="A184" t="inlineStr">
        <is>
          <t>A 14767-2019</t>
        </is>
      </c>
      <c r="B184" s="1" t="n">
        <v>43536</v>
      </c>
      <c r="C184" s="1" t="n">
        <v>45349</v>
      </c>
      <c r="D184" t="inlineStr">
        <is>
          <t>KALMAR LÄN</t>
        </is>
      </c>
      <c r="E184" t="inlineStr">
        <is>
          <t>VIMMERBY</t>
        </is>
      </c>
      <c r="G184" t="n">
        <v>4.3</v>
      </c>
      <c r="H184" t="n">
        <v>0</v>
      </c>
      <c r="I184" t="n">
        <v>0</v>
      </c>
      <c r="J184" t="n">
        <v>0</v>
      </c>
      <c r="K184" t="n">
        <v>0</v>
      </c>
      <c r="L184" t="n">
        <v>0</v>
      </c>
      <c r="M184" t="n">
        <v>0</v>
      </c>
      <c r="N184" t="n">
        <v>0</v>
      </c>
      <c r="O184" t="n">
        <v>0</v>
      </c>
      <c r="P184" t="n">
        <v>0</v>
      </c>
      <c r="Q184" t="n">
        <v>0</v>
      </c>
      <c r="R184" s="2" t="inlineStr"/>
    </row>
    <row r="185" ht="15" customHeight="1">
      <c r="A185" t="inlineStr">
        <is>
          <t>A 14500-2019</t>
        </is>
      </c>
      <c r="B185" s="1" t="n">
        <v>43537</v>
      </c>
      <c r="C185" s="1" t="n">
        <v>45349</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15264-2019</t>
        </is>
      </c>
      <c r="B186" s="1" t="n">
        <v>43539</v>
      </c>
      <c r="C186" s="1" t="n">
        <v>45349</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15261-2019</t>
        </is>
      </c>
      <c r="B187" s="1" t="n">
        <v>43539</v>
      </c>
      <c r="C187" s="1" t="n">
        <v>45349</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15259-2019</t>
        </is>
      </c>
      <c r="B188" s="1" t="n">
        <v>43539</v>
      </c>
      <c r="C188" s="1" t="n">
        <v>45349</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15454-2019</t>
        </is>
      </c>
      <c r="B189" s="1" t="n">
        <v>43542</v>
      </c>
      <c r="C189" s="1" t="n">
        <v>45349</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17242-2019</t>
        </is>
      </c>
      <c r="B190" s="1" t="n">
        <v>43552</v>
      </c>
      <c r="C190" s="1" t="n">
        <v>45349</v>
      </c>
      <c r="D190" t="inlineStr">
        <is>
          <t>KALMAR LÄN</t>
        </is>
      </c>
      <c r="E190" t="inlineStr">
        <is>
          <t>VIMMERBY</t>
        </is>
      </c>
      <c r="G190" t="n">
        <v>0.4</v>
      </c>
      <c r="H190" t="n">
        <v>0</v>
      </c>
      <c r="I190" t="n">
        <v>0</v>
      </c>
      <c r="J190" t="n">
        <v>0</v>
      </c>
      <c r="K190" t="n">
        <v>0</v>
      </c>
      <c r="L190" t="n">
        <v>0</v>
      </c>
      <c r="M190" t="n">
        <v>0</v>
      </c>
      <c r="N190" t="n">
        <v>0</v>
      </c>
      <c r="O190" t="n">
        <v>0</v>
      </c>
      <c r="P190" t="n">
        <v>0</v>
      </c>
      <c r="Q190" t="n">
        <v>0</v>
      </c>
      <c r="R190" s="2" t="inlineStr"/>
    </row>
    <row r="191" ht="15" customHeight="1">
      <c r="A191" t="inlineStr">
        <is>
          <t>A 17395-2019</t>
        </is>
      </c>
      <c r="B191" s="1" t="n">
        <v>43552</v>
      </c>
      <c r="C191" s="1" t="n">
        <v>45349</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17398-2019</t>
        </is>
      </c>
      <c r="B192" s="1" t="n">
        <v>43552</v>
      </c>
      <c r="C192" s="1" t="n">
        <v>45349</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17394-2019</t>
        </is>
      </c>
      <c r="B193" s="1" t="n">
        <v>43552</v>
      </c>
      <c r="C193" s="1" t="n">
        <v>45349</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17397-2019</t>
        </is>
      </c>
      <c r="B194" s="1" t="n">
        <v>43552</v>
      </c>
      <c r="C194" s="1" t="n">
        <v>45349</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17396-2019</t>
        </is>
      </c>
      <c r="B195" s="1" t="n">
        <v>43552</v>
      </c>
      <c r="C195" s="1" t="n">
        <v>45349</v>
      </c>
      <c r="D195" t="inlineStr">
        <is>
          <t>KALMAR LÄN</t>
        </is>
      </c>
      <c r="E195" t="inlineStr">
        <is>
          <t>VIMMERBY</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17447-2019</t>
        </is>
      </c>
      <c r="B196" s="1" t="n">
        <v>43553</v>
      </c>
      <c r="C196" s="1" t="n">
        <v>45349</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18658-2019</t>
        </is>
      </c>
      <c r="B197" s="1" t="n">
        <v>43559</v>
      </c>
      <c r="C197" s="1" t="n">
        <v>45349</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18656-2019</t>
        </is>
      </c>
      <c r="B198" s="1" t="n">
        <v>43559</v>
      </c>
      <c r="C198" s="1" t="n">
        <v>45349</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18755-2019</t>
        </is>
      </c>
      <c r="B199" s="1" t="n">
        <v>43560</v>
      </c>
      <c r="C199" s="1" t="n">
        <v>45349</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19057-2019</t>
        </is>
      </c>
      <c r="B200" s="1" t="n">
        <v>43563</v>
      </c>
      <c r="C200" s="1" t="n">
        <v>45349</v>
      </c>
      <c r="D200" t="inlineStr">
        <is>
          <t>KALMAR LÄN</t>
        </is>
      </c>
      <c r="E200" t="inlineStr">
        <is>
          <t>VIMMERBY</t>
        </is>
      </c>
      <c r="G200" t="n">
        <v>10.1</v>
      </c>
      <c r="H200" t="n">
        <v>0</v>
      </c>
      <c r="I200" t="n">
        <v>0</v>
      </c>
      <c r="J200" t="n">
        <v>0</v>
      </c>
      <c r="K200" t="n">
        <v>0</v>
      </c>
      <c r="L200" t="n">
        <v>0</v>
      </c>
      <c r="M200" t="n">
        <v>0</v>
      </c>
      <c r="N200" t="n">
        <v>0</v>
      </c>
      <c r="O200" t="n">
        <v>0</v>
      </c>
      <c r="P200" t="n">
        <v>0</v>
      </c>
      <c r="Q200" t="n">
        <v>0</v>
      </c>
      <c r="R200" s="2" t="inlineStr"/>
    </row>
    <row r="201" ht="15" customHeight="1">
      <c r="A201" t="inlineStr">
        <is>
          <t>A 19056-2019</t>
        </is>
      </c>
      <c r="B201" s="1" t="n">
        <v>43563</v>
      </c>
      <c r="C201" s="1" t="n">
        <v>45349</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19054-2019</t>
        </is>
      </c>
      <c r="B202" s="1" t="n">
        <v>43563</v>
      </c>
      <c r="C202" s="1" t="n">
        <v>45349</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19616-2019</t>
        </is>
      </c>
      <c r="B203" s="1" t="n">
        <v>43566</v>
      </c>
      <c r="C203" s="1" t="n">
        <v>45349</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19632-2019</t>
        </is>
      </c>
      <c r="B204" s="1" t="n">
        <v>43566</v>
      </c>
      <c r="C204" s="1" t="n">
        <v>45349</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19899-2019</t>
        </is>
      </c>
      <c r="B205" s="1" t="n">
        <v>43567</v>
      </c>
      <c r="C205" s="1" t="n">
        <v>45349</v>
      </c>
      <c r="D205" t="inlineStr">
        <is>
          <t>KALMAR LÄN</t>
        </is>
      </c>
      <c r="E205" t="inlineStr">
        <is>
          <t>VIMMERBY</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20035-2019</t>
        </is>
      </c>
      <c r="B206" s="1" t="n">
        <v>43570</v>
      </c>
      <c r="C206" s="1" t="n">
        <v>45349</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19983-2019</t>
        </is>
      </c>
      <c r="B207" s="1" t="n">
        <v>43570</v>
      </c>
      <c r="C207" s="1" t="n">
        <v>45349</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20080-2019</t>
        </is>
      </c>
      <c r="B208" s="1" t="n">
        <v>43570</v>
      </c>
      <c r="C208" s="1" t="n">
        <v>45349</v>
      </c>
      <c r="D208" t="inlineStr">
        <is>
          <t>KALMAR LÄN</t>
        </is>
      </c>
      <c r="E208" t="inlineStr">
        <is>
          <t>VIMMERBY</t>
        </is>
      </c>
      <c r="G208" t="n">
        <v>1.5</v>
      </c>
      <c r="H208" t="n">
        <v>0</v>
      </c>
      <c r="I208" t="n">
        <v>0</v>
      </c>
      <c r="J208" t="n">
        <v>0</v>
      </c>
      <c r="K208" t="n">
        <v>0</v>
      </c>
      <c r="L208" t="n">
        <v>0</v>
      </c>
      <c r="M208" t="n">
        <v>0</v>
      </c>
      <c r="N208" t="n">
        <v>0</v>
      </c>
      <c r="O208" t="n">
        <v>0</v>
      </c>
      <c r="P208" t="n">
        <v>0</v>
      </c>
      <c r="Q208" t="n">
        <v>0</v>
      </c>
      <c r="R208" s="2" t="inlineStr"/>
    </row>
    <row r="209" ht="15" customHeight="1">
      <c r="A209" t="inlineStr">
        <is>
          <t>A 20069-2019</t>
        </is>
      </c>
      <c r="B209" s="1" t="n">
        <v>43570</v>
      </c>
      <c r="C209" s="1" t="n">
        <v>45349</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20314-2019</t>
        </is>
      </c>
      <c r="B210" s="1" t="n">
        <v>43571</v>
      </c>
      <c r="C210" s="1" t="n">
        <v>45349</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20312-2019</t>
        </is>
      </c>
      <c r="B211" s="1" t="n">
        <v>43571</v>
      </c>
      <c r="C211" s="1" t="n">
        <v>45349</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20565-2019</t>
        </is>
      </c>
      <c r="B212" s="1" t="n">
        <v>43572</v>
      </c>
      <c r="C212" s="1" t="n">
        <v>45349</v>
      </c>
      <c r="D212" t="inlineStr">
        <is>
          <t>KALMAR LÄN</t>
        </is>
      </c>
      <c r="E212" t="inlineStr">
        <is>
          <t>VIMMERBY</t>
        </is>
      </c>
      <c r="G212" t="n">
        <v>5.5</v>
      </c>
      <c r="H212" t="n">
        <v>0</v>
      </c>
      <c r="I212" t="n">
        <v>0</v>
      </c>
      <c r="J212" t="n">
        <v>0</v>
      </c>
      <c r="K212" t="n">
        <v>0</v>
      </c>
      <c r="L212" t="n">
        <v>0</v>
      </c>
      <c r="M212" t="n">
        <v>0</v>
      </c>
      <c r="N212" t="n">
        <v>0</v>
      </c>
      <c r="O212" t="n">
        <v>0</v>
      </c>
      <c r="P212" t="n">
        <v>0</v>
      </c>
      <c r="Q212" t="n">
        <v>0</v>
      </c>
      <c r="R212" s="2" t="inlineStr"/>
    </row>
    <row r="213" ht="15" customHeight="1">
      <c r="A213" t="inlineStr">
        <is>
          <t>A 20856-2019</t>
        </is>
      </c>
      <c r="B213" s="1" t="n">
        <v>43578</v>
      </c>
      <c r="C213" s="1" t="n">
        <v>45349</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21557-2019</t>
        </is>
      </c>
      <c r="B214" s="1" t="n">
        <v>43580</v>
      </c>
      <c r="C214" s="1" t="n">
        <v>45349</v>
      </c>
      <c r="D214" t="inlineStr">
        <is>
          <t>KALMAR LÄN</t>
        </is>
      </c>
      <c r="E214" t="inlineStr">
        <is>
          <t>VIMMERBY</t>
        </is>
      </c>
      <c r="G214" t="n">
        <v>13.8</v>
      </c>
      <c r="H214" t="n">
        <v>0</v>
      </c>
      <c r="I214" t="n">
        <v>0</v>
      </c>
      <c r="J214" t="n">
        <v>0</v>
      </c>
      <c r="K214" t="n">
        <v>0</v>
      </c>
      <c r="L214" t="n">
        <v>0</v>
      </c>
      <c r="M214" t="n">
        <v>0</v>
      </c>
      <c r="N214" t="n">
        <v>0</v>
      </c>
      <c r="O214" t="n">
        <v>0</v>
      </c>
      <c r="P214" t="n">
        <v>0</v>
      </c>
      <c r="Q214" t="n">
        <v>0</v>
      </c>
      <c r="R214" s="2" t="inlineStr"/>
    </row>
    <row r="215" ht="15" customHeight="1">
      <c r="A215" t="inlineStr">
        <is>
          <t>A 21500-2019</t>
        </is>
      </c>
      <c r="B215" s="1" t="n">
        <v>43580</v>
      </c>
      <c r="C215" s="1" t="n">
        <v>45349</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21688-2019</t>
        </is>
      </c>
      <c r="B216" s="1" t="n">
        <v>43581</v>
      </c>
      <c r="C216" s="1" t="n">
        <v>45349</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22372-2019</t>
        </is>
      </c>
      <c r="B217" s="1" t="n">
        <v>43587</v>
      </c>
      <c r="C217" s="1" t="n">
        <v>45349</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22659-2019</t>
        </is>
      </c>
      <c r="B218" s="1" t="n">
        <v>43588</v>
      </c>
      <c r="C218" s="1" t="n">
        <v>45349</v>
      </c>
      <c r="D218" t="inlineStr">
        <is>
          <t>KALMAR LÄN</t>
        </is>
      </c>
      <c r="E218" t="inlineStr">
        <is>
          <t>VIMMERBY</t>
        </is>
      </c>
      <c r="G218" t="n">
        <v>3.5</v>
      </c>
      <c r="H218" t="n">
        <v>0</v>
      </c>
      <c r="I218" t="n">
        <v>0</v>
      </c>
      <c r="J218" t="n">
        <v>0</v>
      </c>
      <c r="K218" t="n">
        <v>0</v>
      </c>
      <c r="L218" t="n">
        <v>0</v>
      </c>
      <c r="M218" t="n">
        <v>0</v>
      </c>
      <c r="N218" t="n">
        <v>0</v>
      </c>
      <c r="O218" t="n">
        <v>0</v>
      </c>
      <c r="P218" t="n">
        <v>0</v>
      </c>
      <c r="Q218" t="n">
        <v>0</v>
      </c>
      <c r="R218" s="2" t="inlineStr"/>
    </row>
    <row r="219" ht="15" customHeight="1">
      <c r="A219" t="inlineStr">
        <is>
          <t>A 23498-2019</t>
        </is>
      </c>
      <c r="B219" s="1" t="n">
        <v>43593</v>
      </c>
      <c r="C219" s="1" t="n">
        <v>45349</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24254-2019</t>
        </is>
      </c>
      <c r="B220" s="1" t="n">
        <v>43599</v>
      </c>
      <c r="C220" s="1" t="n">
        <v>45349</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24937-2019</t>
        </is>
      </c>
      <c r="B221" s="1" t="n">
        <v>43602</v>
      </c>
      <c r="C221" s="1" t="n">
        <v>45349</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26073-2019</t>
        </is>
      </c>
      <c r="B222" s="1" t="n">
        <v>43609</v>
      </c>
      <c r="C222" s="1" t="n">
        <v>45349</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26660-2019</t>
        </is>
      </c>
      <c r="B223" s="1" t="n">
        <v>43613</v>
      </c>
      <c r="C223" s="1" t="n">
        <v>45349</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28013-2019</t>
        </is>
      </c>
      <c r="B224" s="1" t="n">
        <v>43621</v>
      </c>
      <c r="C224" s="1" t="n">
        <v>45349</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28348-2019</t>
        </is>
      </c>
      <c r="B225" s="1" t="n">
        <v>43624</v>
      </c>
      <c r="C225" s="1" t="n">
        <v>45349</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28414-2019</t>
        </is>
      </c>
      <c r="B226" s="1" t="n">
        <v>43626</v>
      </c>
      <c r="C226" s="1" t="n">
        <v>45349</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29004-2019</t>
        </is>
      </c>
      <c r="B227" s="1" t="n">
        <v>43628</v>
      </c>
      <c r="C227" s="1" t="n">
        <v>45349</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29228-2019</t>
        </is>
      </c>
      <c r="B228" s="1" t="n">
        <v>43629</v>
      </c>
      <c r="C228" s="1" t="n">
        <v>45349</v>
      </c>
      <c r="D228" t="inlineStr">
        <is>
          <t>KALMAR LÄN</t>
        </is>
      </c>
      <c r="E228" t="inlineStr">
        <is>
          <t>VIMMERBY</t>
        </is>
      </c>
      <c r="G228" t="n">
        <v>3.5</v>
      </c>
      <c r="H228" t="n">
        <v>0</v>
      </c>
      <c r="I228" t="n">
        <v>0</v>
      </c>
      <c r="J228" t="n">
        <v>0</v>
      </c>
      <c r="K228" t="n">
        <v>0</v>
      </c>
      <c r="L228" t="n">
        <v>0</v>
      </c>
      <c r="M228" t="n">
        <v>0</v>
      </c>
      <c r="N228" t="n">
        <v>0</v>
      </c>
      <c r="O228" t="n">
        <v>0</v>
      </c>
      <c r="P228" t="n">
        <v>0</v>
      </c>
      <c r="Q228" t="n">
        <v>0</v>
      </c>
      <c r="R228" s="2" t="inlineStr"/>
    </row>
    <row r="229" ht="15" customHeight="1">
      <c r="A229" t="inlineStr">
        <is>
          <t>A 29408-2019</t>
        </is>
      </c>
      <c r="B229" s="1" t="n">
        <v>43629</v>
      </c>
      <c r="C229" s="1" t="n">
        <v>45349</v>
      </c>
      <c r="D229" t="inlineStr">
        <is>
          <t>KALMAR LÄN</t>
        </is>
      </c>
      <c r="E229" t="inlineStr">
        <is>
          <t>VIMMERBY</t>
        </is>
      </c>
      <c r="G229" t="n">
        <v>10.2</v>
      </c>
      <c r="H229" t="n">
        <v>0</v>
      </c>
      <c r="I229" t="n">
        <v>0</v>
      </c>
      <c r="J229" t="n">
        <v>0</v>
      </c>
      <c r="K229" t="n">
        <v>0</v>
      </c>
      <c r="L229" t="n">
        <v>0</v>
      </c>
      <c r="M229" t="n">
        <v>0</v>
      </c>
      <c r="N229" t="n">
        <v>0</v>
      </c>
      <c r="O229" t="n">
        <v>0</v>
      </c>
      <c r="P229" t="n">
        <v>0</v>
      </c>
      <c r="Q229" t="n">
        <v>0</v>
      </c>
      <c r="R229" s="2" t="inlineStr"/>
    </row>
    <row r="230" ht="15" customHeight="1">
      <c r="A230" t="inlineStr">
        <is>
          <t>A 29693-2019</t>
        </is>
      </c>
      <c r="B230" s="1" t="n">
        <v>43630</v>
      </c>
      <c r="C230" s="1" t="n">
        <v>45349</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29675-2019</t>
        </is>
      </c>
      <c r="B231" s="1" t="n">
        <v>43630</v>
      </c>
      <c r="C231" s="1" t="n">
        <v>45349</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29775-2019</t>
        </is>
      </c>
      <c r="B232" s="1" t="n">
        <v>43632</v>
      </c>
      <c r="C232" s="1" t="n">
        <v>45349</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29773-2019</t>
        </is>
      </c>
      <c r="B233" s="1" t="n">
        <v>43632</v>
      </c>
      <c r="C233" s="1" t="n">
        <v>45349</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31027-2019</t>
        </is>
      </c>
      <c r="B234" s="1" t="n">
        <v>43636</v>
      </c>
      <c r="C234" s="1" t="n">
        <v>45349</v>
      </c>
      <c r="D234" t="inlineStr">
        <is>
          <t>KALMAR LÄN</t>
        </is>
      </c>
      <c r="E234" t="inlineStr">
        <is>
          <t>VIMMERBY</t>
        </is>
      </c>
      <c r="F234" t="inlineStr">
        <is>
          <t>Övriga statliga verk och myndigheter</t>
        </is>
      </c>
      <c r="G234" t="n">
        <v>0.5</v>
      </c>
      <c r="H234" t="n">
        <v>0</v>
      </c>
      <c r="I234" t="n">
        <v>0</v>
      </c>
      <c r="J234" t="n">
        <v>0</v>
      </c>
      <c r="K234" t="n">
        <v>0</v>
      </c>
      <c r="L234" t="n">
        <v>0</v>
      </c>
      <c r="M234" t="n">
        <v>0</v>
      </c>
      <c r="N234" t="n">
        <v>0</v>
      </c>
      <c r="O234" t="n">
        <v>0</v>
      </c>
      <c r="P234" t="n">
        <v>0</v>
      </c>
      <c r="Q234" t="n">
        <v>0</v>
      </c>
      <c r="R234" s="2" t="inlineStr"/>
    </row>
    <row r="235" ht="15" customHeight="1">
      <c r="A235" t="inlineStr">
        <is>
          <t>A 30994-2019</t>
        </is>
      </c>
      <c r="B235" s="1" t="n">
        <v>43640</v>
      </c>
      <c r="C235" s="1" t="n">
        <v>45349</v>
      </c>
      <c r="D235" t="inlineStr">
        <is>
          <t>KALMAR LÄN</t>
        </is>
      </c>
      <c r="E235" t="inlineStr">
        <is>
          <t>VIMMERBY</t>
        </is>
      </c>
      <c r="G235" t="n">
        <v>1.7</v>
      </c>
      <c r="H235" t="n">
        <v>0</v>
      </c>
      <c r="I235" t="n">
        <v>0</v>
      </c>
      <c r="J235" t="n">
        <v>0</v>
      </c>
      <c r="K235" t="n">
        <v>0</v>
      </c>
      <c r="L235" t="n">
        <v>0</v>
      </c>
      <c r="M235" t="n">
        <v>0</v>
      </c>
      <c r="N235" t="n">
        <v>0</v>
      </c>
      <c r="O235" t="n">
        <v>0</v>
      </c>
      <c r="P235" t="n">
        <v>0</v>
      </c>
      <c r="Q235" t="n">
        <v>0</v>
      </c>
      <c r="R235" s="2" t="inlineStr"/>
    </row>
    <row r="236" ht="15" customHeight="1">
      <c r="A236" t="inlineStr">
        <is>
          <t>A 31859-2019</t>
        </is>
      </c>
      <c r="B236" s="1" t="n">
        <v>43642</v>
      </c>
      <c r="C236" s="1" t="n">
        <v>45349</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32911-2019</t>
        </is>
      </c>
      <c r="B237" s="1" t="n">
        <v>43648</v>
      </c>
      <c r="C237" s="1" t="n">
        <v>45349</v>
      </c>
      <c r="D237" t="inlineStr">
        <is>
          <t>KALMAR LÄN</t>
        </is>
      </c>
      <c r="E237" t="inlineStr">
        <is>
          <t>VIMMERBY</t>
        </is>
      </c>
      <c r="G237" t="n">
        <v>5</v>
      </c>
      <c r="H237" t="n">
        <v>0</v>
      </c>
      <c r="I237" t="n">
        <v>0</v>
      </c>
      <c r="J237" t="n">
        <v>0</v>
      </c>
      <c r="K237" t="n">
        <v>0</v>
      </c>
      <c r="L237" t="n">
        <v>0</v>
      </c>
      <c r="M237" t="n">
        <v>0</v>
      </c>
      <c r="N237" t="n">
        <v>0</v>
      </c>
      <c r="O237" t="n">
        <v>0</v>
      </c>
      <c r="P237" t="n">
        <v>0</v>
      </c>
      <c r="Q237" t="n">
        <v>0</v>
      </c>
      <c r="R237" s="2" t="inlineStr"/>
    </row>
    <row r="238" ht="15" customHeight="1">
      <c r="A238" t="inlineStr">
        <is>
          <t>A 32924-2019</t>
        </is>
      </c>
      <c r="B238" s="1" t="n">
        <v>43648</v>
      </c>
      <c r="C238" s="1" t="n">
        <v>45349</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32918-2019</t>
        </is>
      </c>
      <c r="B239" s="1" t="n">
        <v>43648</v>
      </c>
      <c r="C239" s="1" t="n">
        <v>45349</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32910-2019</t>
        </is>
      </c>
      <c r="B240" s="1" t="n">
        <v>43648</v>
      </c>
      <c r="C240" s="1" t="n">
        <v>45349</v>
      </c>
      <c r="D240" t="inlineStr">
        <is>
          <t>KALMAR LÄN</t>
        </is>
      </c>
      <c r="E240" t="inlineStr">
        <is>
          <t>VIMMERBY</t>
        </is>
      </c>
      <c r="G240" t="n">
        <v>6</v>
      </c>
      <c r="H240" t="n">
        <v>0</v>
      </c>
      <c r="I240" t="n">
        <v>0</v>
      </c>
      <c r="J240" t="n">
        <v>0</v>
      </c>
      <c r="K240" t="n">
        <v>0</v>
      </c>
      <c r="L240" t="n">
        <v>0</v>
      </c>
      <c r="M240" t="n">
        <v>0</v>
      </c>
      <c r="N240" t="n">
        <v>0</v>
      </c>
      <c r="O240" t="n">
        <v>0</v>
      </c>
      <c r="P240" t="n">
        <v>0</v>
      </c>
      <c r="Q240" t="n">
        <v>0</v>
      </c>
      <c r="R240" s="2" t="inlineStr"/>
    </row>
    <row r="241" ht="15" customHeight="1">
      <c r="A241" t="inlineStr">
        <is>
          <t>A 34765-2019</t>
        </is>
      </c>
      <c r="B241" s="1" t="n">
        <v>43649</v>
      </c>
      <c r="C241" s="1" t="n">
        <v>45349</v>
      </c>
      <c r="D241" t="inlineStr">
        <is>
          <t>KALMAR LÄN</t>
        </is>
      </c>
      <c r="E241" t="inlineStr">
        <is>
          <t>VIMMERBY</t>
        </is>
      </c>
      <c r="G241" t="n">
        <v>6.9</v>
      </c>
      <c r="H241" t="n">
        <v>0</v>
      </c>
      <c r="I241" t="n">
        <v>0</v>
      </c>
      <c r="J241" t="n">
        <v>0</v>
      </c>
      <c r="K241" t="n">
        <v>0</v>
      </c>
      <c r="L241" t="n">
        <v>0</v>
      </c>
      <c r="M241" t="n">
        <v>0</v>
      </c>
      <c r="N241" t="n">
        <v>0</v>
      </c>
      <c r="O241" t="n">
        <v>0</v>
      </c>
      <c r="P241" t="n">
        <v>0</v>
      </c>
      <c r="Q241" t="n">
        <v>0</v>
      </c>
      <c r="R241" s="2" t="inlineStr"/>
    </row>
    <row r="242" ht="15" customHeight="1">
      <c r="A242" t="inlineStr">
        <is>
          <t>A 33411-2019</t>
        </is>
      </c>
      <c r="B242" s="1" t="n">
        <v>43650</v>
      </c>
      <c r="C242" s="1" t="n">
        <v>45349</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33410-2019</t>
        </is>
      </c>
      <c r="B243" s="1" t="n">
        <v>43650</v>
      </c>
      <c r="C243" s="1" t="n">
        <v>45349</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35259-2019</t>
        </is>
      </c>
      <c r="B244" s="1" t="n">
        <v>43651</v>
      </c>
      <c r="C244" s="1" t="n">
        <v>45349</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33869-2019</t>
        </is>
      </c>
      <c r="B245" s="1" t="n">
        <v>43652</v>
      </c>
      <c r="C245" s="1" t="n">
        <v>45349</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34241-2019</t>
        </is>
      </c>
      <c r="B246" s="1" t="n">
        <v>43655</v>
      </c>
      <c r="C246" s="1" t="n">
        <v>45349</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34244-2019</t>
        </is>
      </c>
      <c r="B247" s="1" t="n">
        <v>43655</v>
      </c>
      <c r="C247" s="1" t="n">
        <v>45349</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34273-2019</t>
        </is>
      </c>
      <c r="B248" s="1" t="n">
        <v>43655</v>
      </c>
      <c r="C248" s="1" t="n">
        <v>45349</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35701-2019</t>
        </is>
      </c>
      <c r="B249" s="1" t="n">
        <v>43655</v>
      </c>
      <c r="C249" s="1" t="n">
        <v>45349</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34672-2019</t>
        </is>
      </c>
      <c r="B250" s="1" t="n">
        <v>43657</v>
      </c>
      <c r="C250" s="1" t="n">
        <v>45349</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35780-2019</t>
        </is>
      </c>
      <c r="B251" s="1" t="n">
        <v>43665</v>
      </c>
      <c r="C251" s="1" t="n">
        <v>45349</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35834-2019</t>
        </is>
      </c>
      <c r="B252" s="1" t="n">
        <v>43665</v>
      </c>
      <c r="C252" s="1" t="n">
        <v>45349</v>
      </c>
      <c r="D252" t="inlineStr">
        <is>
          <t>KALMAR LÄN</t>
        </is>
      </c>
      <c r="E252" t="inlineStr">
        <is>
          <t>VIMMERBY</t>
        </is>
      </c>
      <c r="G252" t="n">
        <v>0.2</v>
      </c>
      <c r="H252" t="n">
        <v>0</v>
      </c>
      <c r="I252" t="n">
        <v>0</v>
      </c>
      <c r="J252" t="n">
        <v>0</v>
      </c>
      <c r="K252" t="n">
        <v>0</v>
      </c>
      <c r="L252" t="n">
        <v>0</v>
      </c>
      <c r="M252" t="n">
        <v>0</v>
      </c>
      <c r="N252" t="n">
        <v>0</v>
      </c>
      <c r="O252" t="n">
        <v>0</v>
      </c>
      <c r="P252" t="n">
        <v>0</v>
      </c>
      <c r="Q252" t="n">
        <v>0</v>
      </c>
      <c r="R252" s="2" t="inlineStr"/>
    </row>
    <row r="253" ht="15" customHeight="1">
      <c r="A253" t="inlineStr">
        <is>
          <t>A 35829-2019</t>
        </is>
      </c>
      <c r="B253" s="1" t="n">
        <v>43665</v>
      </c>
      <c r="C253" s="1" t="n">
        <v>45349</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35919-2019</t>
        </is>
      </c>
      <c r="B254" s="1" t="n">
        <v>43665</v>
      </c>
      <c r="C254" s="1" t="n">
        <v>45349</v>
      </c>
      <c r="D254" t="inlineStr">
        <is>
          <t>KALMAR LÄN</t>
        </is>
      </c>
      <c r="E254" t="inlineStr">
        <is>
          <t>VIMMERBY</t>
        </is>
      </c>
      <c r="G254" t="n">
        <v>7.1</v>
      </c>
      <c r="H254" t="n">
        <v>0</v>
      </c>
      <c r="I254" t="n">
        <v>0</v>
      </c>
      <c r="J254" t="n">
        <v>0</v>
      </c>
      <c r="K254" t="n">
        <v>0</v>
      </c>
      <c r="L254" t="n">
        <v>0</v>
      </c>
      <c r="M254" t="n">
        <v>0</v>
      </c>
      <c r="N254" t="n">
        <v>0</v>
      </c>
      <c r="O254" t="n">
        <v>0</v>
      </c>
      <c r="P254" t="n">
        <v>0</v>
      </c>
      <c r="Q254" t="n">
        <v>0</v>
      </c>
      <c r="R254" s="2" t="inlineStr"/>
    </row>
    <row r="255" ht="15" customHeight="1">
      <c r="A255" t="inlineStr">
        <is>
          <t>A 36027-2019</t>
        </is>
      </c>
      <c r="B255" s="1" t="n">
        <v>43668</v>
      </c>
      <c r="C255" s="1" t="n">
        <v>45349</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36024-2019</t>
        </is>
      </c>
      <c r="B256" s="1" t="n">
        <v>43668</v>
      </c>
      <c r="C256" s="1" t="n">
        <v>45349</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36716-2019</t>
        </is>
      </c>
      <c r="B257" s="1" t="n">
        <v>43669</v>
      </c>
      <c r="C257" s="1" t="n">
        <v>45349</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36454-2019</t>
        </is>
      </c>
      <c r="B258" s="1" t="n">
        <v>43670</v>
      </c>
      <c r="C258" s="1" t="n">
        <v>45349</v>
      </c>
      <c r="D258" t="inlineStr">
        <is>
          <t>KALMAR LÄN</t>
        </is>
      </c>
      <c r="E258" t="inlineStr">
        <is>
          <t>VIMMERBY</t>
        </is>
      </c>
      <c r="G258" t="n">
        <v>2.1</v>
      </c>
      <c r="H258" t="n">
        <v>0</v>
      </c>
      <c r="I258" t="n">
        <v>0</v>
      </c>
      <c r="J258" t="n">
        <v>0</v>
      </c>
      <c r="K258" t="n">
        <v>0</v>
      </c>
      <c r="L258" t="n">
        <v>0</v>
      </c>
      <c r="M258" t="n">
        <v>0</v>
      </c>
      <c r="N258" t="n">
        <v>0</v>
      </c>
      <c r="O258" t="n">
        <v>0</v>
      </c>
      <c r="P258" t="n">
        <v>0</v>
      </c>
      <c r="Q258" t="n">
        <v>0</v>
      </c>
      <c r="R258" s="2" t="inlineStr"/>
    </row>
    <row r="259" ht="15" customHeight="1">
      <c r="A259" t="inlineStr">
        <is>
          <t>A 37031-2019</t>
        </is>
      </c>
      <c r="B259" s="1" t="n">
        <v>43672</v>
      </c>
      <c r="C259" s="1" t="n">
        <v>45349</v>
      </c>
      <c r="D259" t="inlineStr">
        <is>
          <t>KALMAR LÄN</t>
        </is>
      </c>
      <c r="E259" t="inlineStr">
        <is>
          <t>VIMMERBY</t>
        </is>
      </c>
      <c r="G259" t="n">
        <v>16.8</v>
      </c>
      <c r="H259" t="n">
        <v>0</v>
      </c>
      <c r="I259" t="n">
        <v>0</v>
      </c>
      <c r="J259" t="n">
        <v>0</v>
      </c>
      <c r="K259" t="n">
        <v>0</v>
      </c>
      <c r="L259" t="n">
        <v>0</v>
      </c>
      <c r="M259" t="n">
        <v>0</v>
      </c>
      <c r="N259" t="n">
        <v>0</v>
      </c>
      <c r="O259" t="n">
        <v>0</v>
      </c>
      <c r="P259" t="n">
        <v>0</v>
      </c>
      <c r="Q259" t="n">
        <v>0</v>
      </c>
      <c r="R259" s="2" t="inlineStr"/>
    </row>
    <row r="260" ht="15" customHeight="1">
      <c r="A260" t="inlineStr">
        <is>
          <t>A 36830-2019</t>
        </is>
      </c>
      <c r="B260" s="1" t="n">
        <v>43674</v>
      </c>
      <c r="C260" s="1" t="n">
        <v>45349</v>
      </c>
      <c r="D260" t="inlineStr">
        <is>
          <t>KALMAR LÄN</t>
        </is>
      </c>
      <c r="E260" t="inlineStr">
        <is>
          <t>VIMMERBY</t>
        </is>
      </c>
      <c r="G260" t="n">
        <v>7.2</v>
      </c>
      <c r="H260" t="n">
        <v>0</v>
      </c>
      <c r="I260" t="n">
        <v>0</v>
      </c>
      <c r="J260" t="n">
        <v>0</v>
      </c>
      <c r="K260" t="n">
        <v>0</v>
      </c>
      <c r="L260" t="n">
        <v>0</v>
      </c>
      <c r="M260" t="n">
        <v>0</v>
      </c>
      <c r="N260" t="n">
        <v>0</v>
      </c>
      <c r="O260" t="n">
        <v>0</v>
      </c>
      <c r="P260" t="n">
        <v>0</v>
      </c>
      <c r="Q260" t="n">
        <v>0</v>
      </c>
      <c r="R260" s="2" t="inlineStr"/>
    </row>
    <row r="261" ht="15" customHeight="1">
      <c r="A261" t="inlineStr">
        <is>
          <t>A 36936-2019</t>
        </is>
      </c>
      <c r="B261" s="1" t="n">
        <v>43675</v>
      </c>
      <c r="C261" s="1" t="n">
        <v>45349</v>
      </c>
      <c r="D261" t="inlineStr">
        <is>
          <t>KALMAR LÄN</t>
        </is>
      </c>
      <c r="E261" t="inlineStr">
        <is>
          <t>VIMMERBY</t>
        </is>
      </c>
      <c r="G261" t="n">
        <v>3.5</v>
      </c>
      <c r="H261" t="n">
        <v>0</v>
      </c>
      <c r="I261" t="n">
        <v>0</v>
      </c>
      <c r="J261" t="n">
        <v>0</v>
      </c>
      <c r="K261" t="n">
        <v>0</v>
      </c>
      <c r="L261" t="n">
        <v>0</v>
      </c>
      <c r="M261" t="n">
        <v>0</v>
      </c>
      <c r="N261" t="n">
        <v>0</v>
      </c>
      <c r="O261" t="n">
        <v>0</v>
      </c>
      <c r="P261" t="n">
        <v>0</v>
      </c>
      <c r="Q261" t="n">
        <v>0</v>
      </c>
      <c r="R261" s="2" t="inlineStr"/>
    </row>
    <row r="262" ht="15" customHeight="1">
      <c r="A262" t="inlineStr">
        <is>
          <t>A 37063-2019</t>
        </is>
      </c>
      <c r="B262" s="1" t="n">
        <v>43676</v>
      </c>
      <c r="C262" s="1" t="n">
        <v>45349</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37209-2019</t>
        </is>
      </c>
      <c r="B263" s="1" t="n">
        <v>43677</v>
      </c>
      <c r="C263" s="1" t="n">
        <v>45349</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37412-2019</t>
        </is>
      </c>
      <c r="B264" s="1" t="n">
        <v>43678</v>
      </c>
      <c r="C264" s="1" t="n">
        <v>45349</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38602-2019</t>
        </is>
      </c>
      <c r="B265" s="1" t="n">
        <v>43684</v>
      </c>
      <c r="C265" s="1" t="n">
        <v>45349</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38866-2019</t>
        </is>
      </c>
      <c r="B266" s="1" t="n">
        <v>43685</v>
      </c>
      <c r="C266" s="1" t="n">
        <v>45349</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38789-2019</t>
        </is>
      </c>
      <c r="B267" s="1" t="n">
        <v>43687</v>
      </c>
      <c r="C267" s="1" t="n">
        <v>45349</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38835-2019</t>
        </is>
      </c>
      <c r="B268" s="1" t="n">
        <v>43689</v>
      </c>
      <c r="C268" s="1" t="n">
        <v>45349</v>
      </c>
      <c r="D268" t="inlineStr">
        <is>
          <t>KALMAR LÄN</t>
        </is>
      </c>
      <c r="E268" t="inlineStr">
        <is>
          <t>VIMMERBY</t>
        </is>
      </c>
      <c r="G268" t="n">
        <v>3.8</v>
      </c>
      <c r="H268" t="n">
        <v>0</v>
      </c>
      <c r="I268" t="n">
        <v>0</v>
      </c>
      <c r="J268" t="n">
        <v>0</v>
      </c>
      <c r="K268" t="n">
        <v>0</v>
      </c>
      <c r="L268" t="n">
        <v>0</v>
      </c>
      <c r="M268" t="n">
        <v>0</v>
      </c>
      <c r="N268" t="n">
        <v>0</v>
      </c>
      <c r="O268" t="n">
        <v>0</v>
      </c>
      <c r="P268" t="n">
        <v>0</v>
      </c>
      <c r="Q268" t="n">
        <v>0</v>
      </c>
      <c r="R268" s="2" t="inlineStr"/>
    </row>
    <row r="269" ht="15" customHeight="1">
      <c r="A269" t="inlineStr">
        <is>
          <t>A 38823-2019</t>
        </is>
      </c>
      <c r="B269" s="1" t="n">
        <v>43689</v>
      </c>
      <c r="C269" s="1" t="n">
        <v>45349</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38837-2019</t>
        </is>
      </c>
      <c r="B270" s="1" t="n">
        <v>43689</v>
      </c>
      <c r="C270" s="1" t="n">
        <v>45349</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38831-2019</t>
        </is>
      </c>
      <c r="B271" s="1" t="n">
        <v>43689</v>
      </c>
      <c r="C271" s="1" t="n">
        <v>45349</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39442-2019</t>
        </is>
      </c>
      <c r="B272" s="1" t="n">
        <v>43691</v>
      </c>
      <c r="C272" s="1" t="n">
        <v>45349</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39575-2019</t>
        </is>
      </c>
      <c r="B273" s="1" t="n">
        <v>43691</v>
      </c>
      <c r="C273" s="1" t="n">
        <v>45349</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39568-2019</t>
        </is>
      </c>
      <c r="B274" s="1" t="n">
        <v>43691</v>
      </c>
      <c r="C274" s="1" t="n">
        <v>45349</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39564-2019</t>
        </is>
      </c>
      <c r="B275" s="1" t="n">
        <v>43691</v>
      </c>
      <c r="C275" s="1" t="n">
        <v>45349</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39577-2019</t>
        </is>
      </c>
      <c r="B276" s="1" t="n">
        <v>43691</v>
      </c>
      <c r="C276" s="1" t="n">
        <v>45349</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39856-2019</t>
        </is>
      </c>
      <c r="B277" s="1" t="n">
        <v>43692</v>
      </c>
      <c r="C277" s="1" t="n">
        <v>45349</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39901-2019</t>
        </is>
      </c>
      <c r="B278" s="1" t="n">
        <v>43692</v>
      </c>
      <c r="C278" s="1" t="n">
        <v>45349</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39962-2019</t>
        </is>
      </c>
      <c r="B279" s="1" t="n">
        <v>43692</v>
      </c>
      <c r="C279" s="1" t="n">
        <v>45349</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39899-2019</t>
        </is>
      </c>
      <c r="B280" s="1" t="n">
        <v>43692</v>
      </c>
      <c r="C280" s="1" t="n">
        <v>45349</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39894-2019</t>
        </is>
      </c>
      <c r="B281" s="1" t="n">
        <v>43692</v>
      </c>
      <c r="C281" s="1" t="n">
        <v>45349</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39920-2019</t>
        </is>
      </c>
      <c r="B282" s="1" t="n">
        <v>43692</v>
      </c>
      <c r="C282" s="1" t="n">
        <v>45349</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39897-2019</t>
        </is>
      </c>
      <c r="B283" s="1" t="n">
        <v>43692</v>
      </c>
      <c r="C283" s="1" t="n">
        <v>45349</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40140-2019</t>
        </is>
      </c>
      <c r="B284" s="1" t="n">
        <v>43693</v>
      </c>
      <c r="C284" s="1" t="n">
        <v>45349</v>
      </c>
      <c r="D284" t="inlineStr">
        <is>
          <t>KALMAR LÄN</t>
        </is>
      </c>
      <c r="E284" t="inlineStr">
        <is>
          <t>VIMMERBY</t>
        </is>
      </c>
      <c r="F284" t="inlineStr">
        <is>
          <t>Kommuner</t>
        </is>
      </c>
      <c r="G284" t="n">
        <v>1.3</v>
      </c>
      <c r="H284" t="n">
        <v>0</v>
      </c>
      <c r="I284" t="n">
        <v>0</v>
      </c>
      <c r="J284" t="n">
        <v>0</v>
      </c>
      <c r="K284" t="n">
        <v>0</v>
      </c>
      <c r="L284" t="n">
        <v>0</v>
      </c>
      <c r="M284" t="n">
        <v>0</v>
      </c>
      <c r="N284" t="n">
        <v>0</v>
      </c>
      <c r="O284" t="n">
        <v>0</v>
      </c>
      <c r="P284" t="n">
        <v>0</v>
      </c>
      <c r="Q284" t="n">
        <v>0</v>
      </c>
      <c r="R284" s="2" t="inlineStr"/>
    </row>
    <row r="285" ht="15" customHeight="1">
      <c r="A285" t="inlineStr">
        <is>
          <t>A 40691-2019</t>
        </is>
      </c>
      <c r="B285" s="1" t="n">
        <v>43696</v>
      </c>
      <c r="C285" s="1" t="n">
        <v>45349</v>
      </c>
      <c r="D285" t="inlineStr">
        <is>
          <t>KALMAR LÄN</t>
        </is>
      </c>
      <c r="E285" t="inlineStr">
        <is>
          <t>VIMMERBY</t>
        </is>
      </c>
      <c r="G285" t="n">
        <v>10.9</v>
      </c>
      <c r="H285" t="n">
        <v>0</v>
      </c>
      <c r="I285" t="n">
        <v>0</v>
      </c>
      <c r="J285" t="n">
        <v>0</v>
      </c>
      <c r="K285" t="n">
        <v>0</v>
      </c>
      <c r="L285" t="n">
        <v>0</v>
      </c>
      <c r="M285" t="n">
        <v>0</v>
      </c>
      <c r="N285" t="n">
        <v>0</v>
      </c>
      <c r="O285" t="n">
        <v>0</v>
      </c>
      <c r="P285" t="n">
        <v>0</v>
      </c>
      <c r="Q285" t="n">
        <v>0</v>
      </c>
      <c r="R285" s="2" t="inlineStr"/>
    </row>
    <row r="286" ht="15" customHeight="1">
      <c r="A286" t="inlineStr">
        <is>
          <t>A 40692-2019</t>
        </is>
      </c>
      <c r="B286" s="1" t="n">
        <v>43696</v>
      </c>
      <c r="C286" s="1" t="n">
        <v>45349</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41347-2019</t>
        </is>
      </c>
      <c r="B287" s="1" t="n">
        <v>43698</v>
      </c>
      <c r="C287" s="1" t="n">
        <v>45349</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42142-2019</t>
        </is>
      </c>
      <c r="B288" s="1" t="n">
        <v>43703</v>
      </c>
      <c r="C288" s="1" t="n">
        <v>45349</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42759-2019</t>
        </is>
      </c>
      <c r="B289" s="1" t="n">
        <v>43704</v>
      </c>
      <c r="C289" s="1" t="n">
        <v>45349</v>
      </c>
      <c r="D289" t="inlineStr">
        <is>
          <t>KALMAR LÄN</t>
        </is>
      </c>
      <c r="E289" t="inlineStr">
        <is>
          <t>VIMMERBY</t>
        </is>
      </c>
      <c r="G289" t="n">
        <v>4.6</v>
      </c>
      <c r="H289" t="n">
        <v>0</v>
      </c>
      <c r="I289" t="n">
        <v>0</v>
      </c>
      <c r="J289" t="n">
        <v>0</v>
      </c>
      <c r="K289" t="n">
        <v>0</v>
      </c>
      <c r="L289" t="n">
        <v>0</v>
      </c>
      <c r="M289" t="n">
        <v>0</v>
      </c>
      <c r="N289" t="n">
        <v>0</v>
      </c>
      <c r="O289" t="n">
        <v>0</v>
      </c>
      <c r="P289" t="n">
        <v>0</v>
      </c>
      <c r="Q289" t="n">
        <v>0</v>
      </c>
      <c r="R289" s="2" t="inlineStr"/>
    </row>
    <row r="290" ht="15" customHeight="1">
      <c r="A290" t="inlineStr">
        <is>
          <t>A 42758-2019</t>
        </is>
      </c>
      <c r="B290" s="1" t="n">
        <v>43704</v>
      </c>
      <c r="C290" s="1" t="n">
        <v>45349</v>
      </c>
      <c r="D290" t="inlineStr">
        <is>
          <t>KALMAR LÄN</t>
        </is>
      </c>
      <c r="E290" t="inlineStr">
        <is>
          <t>VIMMERBY</t>
        </is>
      </c>
      <c r="G290" t="n">
        <v>6.2</v>
      </c>
      <c r="H290" t="n">
        <v>0</v>
      </c>
      <c r="I290" t="n">
        <v>0</v>
      </c>
      <c r="J290" t="n">
        <v>0</v>
      </c>
      <c r="K290" t="n">
        <v>0</v>
      </c>
      <c r="L290" t="n">
        <v>0</v>
      </c>
      <c r="M290" t="n">
        <v>0</v>
      </c>
      <c r="N290" t="n">
        <v>0</v>
      </c>
      <c r="O290" t="n">
        <v>0</v>
      </c>
      <c r="P290" t="n">
        <v>0</v>
      </c>
      <c r="Q290" t="n">
        <v>0</v>
      </c>
      <c r="R290" s="2" t="inlineStr"/>
    </row>
    <row r="291" ht="15" customHeight="1">
      <c r="A291" t="inlineStr">
        <is>
          <t>A 42947-2019</t>
        </is>
      </c>
      <c r="B291" s="1" t="n">
        <v>43705</v>
      </c>
      <c r="C291" s="1" t="n">
        <v>45349</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42972-2019</t>
        </is>
      </c>
      <c r="B292" s="1" t="n">
        <v>43705</v>
      </c>
      <c r="C292" s="1" t="n">
        <v>45349</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44202-2019</t>
        </is>
      </c>
      <c r="B293" s="1" t="n">
        <v>43710</v>
      </c>
      <c r="C293" s="1" t="n">
        <v>45349</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44630-2019</t>
        </is>
      </c>
      <c r="B294" s="1" t="n">
        <v>43712</v>
      </c>
      <c r="C294" s="1" t="n">
        <v>45349</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45446-2019</t>
        </is>
      </c>
      <c r="B295" s="1" t="n">
        <v>43714</v>
      </c>
      <c r="C295" s="1" t="n">
        <v>45349</v>
      </c>
      <c r="D295" t="inlineStr">
        <is>
          <t>KALMAR LÄN</t>
        </is>
      </c>
      <c r="E295" t="inlineStr">
        <is>
          <t>VIMMERBY</t>
        </is>
      </c>
      <c r="G295" t="n">
        <v>3.8</v>
      </c>
      <c r="H295" t="n">
        <v>0</v>
      </c>
      <c r="I295" t="n">
        <v>0</v>
      </c>
      <c r="J295" t="n">
        <v>0</v>
      </c>
      <c r="K295" t="n">
        <v>0</v>
      </c>
      <c r="L295" t="n">
        <v>0</v>
      </c>
      <c r="M295" t="n">
        <v>0</v>
      </c>
      <c r="N295" t="n">
        <v>0</v>
      </c>
      <c r="O295" t="n">
        <v>0</v>
      </c>
      <c r="P295" t="n">
        <v>0</v>
      </c>
      <c r="Q295" t="n">
        <v>0</v>
      </c>
      <c r="R295" s="2" t="inlineStr"/>
    </row>
    <row r="296" ht="15" customHeight="1">
      <c r="A296" t="inlineStr">
        <is>
          <t>A 45413-2019</t>
        </is>
      </c>
      <c r="B296" s="1" t="n">
        <v>43714</v>
      </c>
      <c r="C296" s="1" t="n">
        <v>45349</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45515-2019</t>
        </is>
      </c>
      <c r="B297" s="1" t="n">
        <v>43714</v>
      </c>
      <c r="C297" s="1" t="n">
        <v>45349</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46242-2019</t>
        </is>
      </c>
      <c r="B298" s="1" t="n">
        <v>43718</v>
      </c>
      <c r="C298" s="1" t="n">
        <v>45349</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46845-2019</t>
        </is>
      </c>
      <c r="B299" s="1" t="n">
        <v>43718</v>
      </c>
      <c r="C299" s="1" t="n">
        <v>45349</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46291-2019</t>
        </is>
      </c>
      <c r="B300" s="1" t="n">
        <v>43718</v>
      </c>
      <c r="C300" s="1" t="n">
        <v>45349</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47187-2019</t>
        </is>
      </c>
      <c r="B301" s="1" t="n">
        <v>43719</v>
      </c>
      <c r="C301" s="1" t="n">
        <v>45349</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46619-2019</t>
        </is>
      </c>
      <c r="B302" s="1" t="n">
        <v>43719</v>
      </c>
      <c r="C302" s="1" t="n">
        <v>45349</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46988-2019</t>
        </is>
      </c>
      <c r="B303" s="1" t="n">
        <v>43720</v>
      </c>
      <c r="C303" s="1" t="n">
        <v>45349</v>
      </c>
      <c r="D303" t="inlineStr">
        <is>
          <t>KALMAR LÄN</t>
        </is>
      </c>
      <c r="E303" t="inlineStr">
        <is>
          <t>VIMMERBY</t>
        </is>
      </c>
      <c r="F303" t="inlineStr">
        <is>
          <t>Kommuner</t>
        </is>
      </c>
      <c r="G303" t="n">
        <v>0.5</v>
      </c>
      <c r="H303" t="n">
        <v>0</v>
      </c>
      <c r="I303" t="n">
        <v>0</v>
      </c>
      <c r="J303" t="n">
        <v>0</v>
      </c>
      <c r="K303" t="n">
        <v>0</v>
      </c>
      <c r="L303" t="n">
        <v>0</v>
      </c>
      <c r="M303" t="n">
        <v>0</v>
      </c>
      <c r="N303" t="n">
        <v>0</v>
      </c>
      <c r="O303" t="n">
        <v>0</v>
      </c>
      <c r="P303" t="n">
        <v>0</v>
      </c>
      <c r="Q303" t="n">
        <v>0</v>
      </c>
      <c r="R303" s="2" t="inlineStr"/>
    </row>
    <row r="304" ht="15" customHeight="1">
      <c r="A304" t="inlineStr">
        <is>
          <t>A 48029-2019</t>
        </is>
      </c>
      <c r="B304" s="1" t="n">
        <v>43725</v>
      </c>
      <c r="C304" s="1" t="n">
        <v>45349</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48051-2019</t>
        </is>
      </c>
      <c r="B305" s="1" t="n">
        <v>43725</v>
      </c>
      <c r="C305" s="1" t="n">
        <v>45349</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48164-2019</t>
        </is>
      </c>
      <c r="B306" s="1" t="n">
        <v>43726</v>
      </c>
      <c r="C306" s="1" t="n">
        <v>45349</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48381-2019</t>
        </is>
      </c>
      <c r="B307" s="1" t="n">
        <v>43726</v>
      </c>
      <c r="C307" s="1" t="n">
        <v>45349</v>
      </c>
      <c r="D307" t="inlineStr">
        <is>
          <t>KALMAR LÄN</t>
        </is>
      </c>
      <c r="E307" t="inlineStr">
        <is>
          <t>VIMMERBY</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48380-2019</t>
        </is>
      </c>
      <c r="B308" s="1" t="n">
        <v>43726</v>
      </c>
      <c r="C308" s="1" t="n">
        <v>45349</v>
      </c>
      <c r="D308" t="inlineStr">
        <is>
          <t>KALMAR LÄN</t>
        </is>
      </c>
      <c r="E308" t="inlineStr">
        <is>
          <t>VIMMERBY</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48834-2019</t>
        </is>
      </c>
      <c r="B309" s="1" t="n">
        <v>43728</v>
      </c>
      <c r="C309" s="1" t="n">
        <v>45349</v>
      </c>
      <c r="D309" t="inlineStr">
        <is>
          <t>KALMAR LÄN</t>
        </is>
      </c>
      <c r="E309" t="inlineStr">
        <is>
          <t>VIMMERBY</t>
        </is>
      </c>
      <c r="G309" t="n">
        <v>5.3</v>
      </c>
      <c r="H309" t="n">
        <v>0</v>
      </c>
      <c r="I309" t="n">
        <v>0</v>
      </c>
      <c r="J309" t="n">
        <v>0</v>
      </c>
      <c r="K309" t="n">
        <v>0</v>
      </c>
      <c r="L309" t="n">
        <v>0</v>
      </c>
      <c r="M309" t="n">
        <v>0</v>
      </c>
      <c r="N309" t="n">
        <v>0</v>
      </c>
      <c r="O309" t="n">
        <v>0</v>
      </c>
      <c r="P309" t="n">
        <v>0</v>
      </c>
      <c r="Q309" t="n">
        <v>0</v>
      </c>
      <c r="R309" s="2" t="inlineStr"/>
    </row>
    <row r="310" ht="15" customHeight="1">
      <c r="A310" t="inlineStr">
        <is>
          <t>A 48921-2019</t>
        </is>
      </c>
      <c r="B310" s="1" t="n">
        <v>43728</v>
      </c>
      <c r="C310" s="1" t="n">
        <v>45349</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49212-2019</t>
        </is>
      </c>
      <c r="B311" s="1" t="n">
        <v>43731</v>
      </c>
      <c r="C311" s="1" t="n">
        <v>45349</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49208-2019</t>
        </is>
      </c>
      <c r="B312" s="1" t="n">
        <v>43731</v>
      </c>
      <c r="C312" s="1" t="n">
        <v>45349</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49206-2019</t>
        </is>
      </c>
      <c r="B313" s="1" t="n">
        <v>43731</v>
      </c>
      <c r="C313" s="1" t="n">
        <v>45349</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49741-2019</t>
        </is>
      </c>
      <c r="B314" s="1" t="n">
        <v>43733</v>
      </c>
      <c r="C314" s="1" t="n">
        <v>45349</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49760-2019</t>
        </is>
      </c>
      <c r="B315" s="1" t="n">
        <v>43733</v>
      </c>
      <c r="C315" s="1" t="n">
        <v>45349</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49747-2019</t>
        </is>
      </c>
      <c r="B316" s="1" t="n">
        <v>43733</v>
      </c>
      <c r="C316" s="1" t="n">
        <v>45349</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49855-2019</t>
        </is>
      </c>
      <c r="B317" s="1" t="n">
        <v>43733</v>
      </c>
      <c r="C317" s="1" t="n">
        <v>45349</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49871-2019</t>
        </is>
      </c>
      <c r="B318" s="1" t="n">
        <v>43733</v>
      </c>
      <c r="C318" s="1" t="n">
        <v>45349</v>
      </c>
      <c r="D318" t="inlineStr">
        <is>
          <t>KALMAR LÄN</t>
        </is>
      </c>
      <c r="E318" t="inlineStr">
        <is>
          <t>VIMMERBY</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49880-2019</t>
        </is>
      </c>
      <c r="B319" s="1" t="n">
        <v>43733</v>
      </c>
      <c r="C319" s="1" t="n">
        <v>45349</v>
      </c>
      <c r="D319" t="inlineStr">
        <is>
          <t>KALMAR LÄN</t>
        </is>
      </c>
      <c r="E319" t="inlineStr">
        <is>
          <t>VIMMERBY</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49885-2019</t>
        </is>
      </c>
      <c r="B320" s="1" t="n">
        <v>43733</v>
      </c>
      <c r="C320" s="1" t="n">
        <v>45349</v>
      </c>
      <c r="D320" t="inlineStr">
        <is>
          <t>KALMAR LÄN</t>
        </is>
      </c>
      <c r="E320" t="inlineStr">
        <is>
          <t>VIMMERBY</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49901-2019</t>
        </is>
      </c>
      <c r="B321" s="1" t="n">
        <v>43733</v>
      </c>
      <c r="C321" s="1" t="n">
        <v>45349</v>
      </c>
      <c r="D321" t="inlineStr">
        <is>
          <t>KALMAR LÄN</t>
        </is>
      </c>
      <c r="E321" t="inlineStr">
        <is>
          <t>VIMMERBY</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49891-2019</t>
        </is>
      </c>
      <c r="B322" s="1" t="n">
        <v>43733</v>
      </c>
      <c r="C322" s="1" t="n">
        <v>45349</v>
      </c>
      <c r="D322" t="inlineStr">
        <is>
          <t>KALMAR LÄN</t>
        </is>
      </c>
      <c r="E322" t="inlineStr">
        <is>
          <t>VIMMERBY</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49695-2019</t>
        </is>
      </c>
      <c r="B323" s="1" t="n">
        <v>43733</v>
      </c>
      <c r="C323" s="1" t="n">
        <v>45349</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50214-2019</t>
        </is>
      </c>
      <c r="B324" s="1" t="n">
        <v>43734</v>
      </c>
      <c r="C324" s="1" t="n">
        <v>45349</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50317-2019</t>
        </is>
      </c>
      <c r="B325" s="1" t="n">
        <v>43735</v>
      </c>
      <c r="C325" s="1" t="n">
        <v>45349</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50761-2019</t>
        </is>
      </c>
      <c r="B326" s="1" t="n">
        <v>43738</v>
      </c>
      <c r="C326" s="1" t="n">
        <v>45349</v>
      </c>
      <c r="D326" t="inlineStr">
        <is>
          <t>KALMAR LÄN</t>
        </is>
      </c>
      <c r="E326" t="inlineStr">
        <is>
          <t>VIMMERBY</t>
        </is>
      </c>
      <c r="G326" t="n">
        <v>3.9</v>
      </c>
      <c r="H326" t="n">
        <v>0</v>
      </c>
      <c r="I326" t="n">
        <v>0</v>
      </c>
      <c r="J326" t="n">
        <v>0</v>
      </c>
      <c r="K326" t="n">
        <v>0</v>
      </c>
      <c r="L326" t="n">
        <v>0</v>
      </c>
      <c r="M326" t="n">
        <v>0</v>
      </c>
      <c r="N326" t="n">
        <v>0</v>
      </c>
      <c r="O326" t="n">
        <v>0</v>
      </c>
      <c r="P326" t="n">
        <v>0</v>
      </c>
      <c r="Q326" t="n">
        <v>0</v>
      </c>
      <c r="R326" s="2" t="inlineStr"/>
    </row>
    <row r="327" ht="15" customHeight="1">
      <c r="A327" t="inlineStr">
        <is>
          <t>A 51273-2019</t>
        </is>
      </c>
      <c r="B327" s="1" t="n">
        <v>43739</v>
      </c>
      <c r="C327" s="1" t="n">
        <v>45349</v>
      </c>
      <c r="D327" t="inlineStr">
        <is>
          <t>KALMAR LÄN</t>
        </is>
      </c>
      <c r="E327" t="inlineStr">
        <is>
          <t>VIMMERBY</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51277-2019</t>
        </is>
      </c>
      <c r="B328" s="1" t="n">
        <v>43739</v>
      </c>
      <c r="C328" s="1" t="n">
        <v>45349</v>
      </c>
      <c r="D328" t="inlineStr">
        <is>
          <t>KALMAR LÄN</t>
        </is>
      </c>
      <c r="E328" t="inlineStr">
        <is>
          <t>VIMMERBY</t>
        </is>
      </c>
      <c r="F328" t="inlineStr">
        <is>
          <t>Sveaskog</t>
        </is>
      </c>
      <c r="G328" t="n">
        <v>7.9</v>
      </c>
      <c r="H328" t="n">
        <v>0</v>
      </c>
      <c r="I328" t="n">
        <v>0</v>
      </c>
      <c r="J328" t="n">
        <v>0</v>
      </c>
      <c r="K328" t="n">
        <v>0</v>
      </c>
      <c r="L328" t="n">
        <v>0</v>
      </c>
      <c r="M328" t="n">
        <v>0</v>
      </c>
      <c r="N328" t="n">
        <v>0</v>
      </c>
      <c r="O328" t="n">
        <v>0</v>
      </c>
      <c r="P328" t="n">
        <v>0</v>
      </c>
      <c r="Q328" t="n">
        <v>0</v>
      </c>
      <c r="R328" s="2" t="inlineStr"/>
    </row>
    <row r="329" ht="15" customHeight="1">
      <c r="A329" t="inlineStr">
        <is>
          <t>A 51362-2019</t>
        </is>
      </c>
      <c r="B329" s="1" t="n">
        <v>43740</v>
      </c>
      <c r="C329" s="1" t="n">
        <v>45349</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51552-2019</t>
        </is>
      </c>
      <c r="B330" s="1" t="n">
        <v>43740</v>
      </c>
      <c r="C330" s="1" t="n">
        <v>45349</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51719-2019</t>
        </is>
      </c>
      <c r="B331" s="1" t="n">
        <v>43741</v>
      </c>
      <c r="C331" s="1" t="n">
        <v>45349</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52173-2019</t>
        </is>
      </c>
      <c r="B332" s="1" t="n">
        <v>43742</v>
      </c>
      <c r="C332" s="1" t="n">
        <v>45349</v>
      </c>
      <c r="D332" t="inlineStr">
        <is>
          <t>KALMAR LÄN</t>
        </is>
      </c>
      <c r="E332" t="inlineStr">
        <is>
          <t>VIMMERBY</t>
        </is>
      </c>
      <c r="G332" t="n">
        <v>3.9</v>
      </c>
      <c r="H332" t="n">
        <v>0</v>
      </c>
      <c r="I332" t="n">
        <v>0</v>
      </c>
      <c r="J332" t="n">
        <v>0</v>
      </c>
      <c r="K332" t="n">
        <v>0</v>
      </c>
      <c r="L332" t="n">
        <v>0</v>
      </c>
      <c r="M332" t="n">
        <v>0</v>
      </c>
      <c r="N332" t="n">
        <v>0</v>
      </c>
      <c r="O332" t="n">
        <v>0</v>
      </c>
      <c r="P332" t="n">
        <v>0</v>
      </c>
      <c r="Q332" t="n">
        <v>0</v>
      </c>
      <c r="R332" s="2" t="inlineStr"/>
    </row>
    <row r="333" ht="15" customHeight="1">
      <c r="A333" t="inlineStr">
        <is>
          <t>A 52356-2019</t>
        </is>
      </c>
      <c r="B333" s="1" t="n">
        <v>43745</v>
      </c>
      <c r="C333" s="1" t="n">
        <v>45349</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52909-2019</t>
        </is>
      </c>
      <c r="B334" s="1" t="n">
        <v>43746</v>
      </c>
      <c r="C334" s="1" t="n">
        <v>45349</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52908-2019</t>
        </is>
      </c>
      <c r="B335" s="1" t="n">
        <v>43746</v>
      </c>
      <c r="C335" s="1" t="n">
        <v>45349</v>
      </c>
      <c r="D335" t="inlineStr">
        <is>
          <t>KALMAR LÄN</t>
        </is>
      </c>
      <c r="E335" t="inlineStr">
        <is>
          <t>VIMMERBY</t>
        </is>
      </c>
      <c r="G335" t="n">
        <v>5.8</v>
      </c>
      <c r="H335" t="n">
        <v>0</v>
      </c>
      <c r="I335" t="n">
        <v>0</v>
      </c>
      <c r="J335" t="n">
        <v>0</v>
      </c>
      <c r="K335" t="n">
        <v>0</v>
      </c>
      <c r="L335" t="n">
        <v>0</v>
      </c>
      <c r="M335" t="n">
        <v>0</v>
      </c>
      <c r="N335" t="n">
        <v>0</v>
      </c>
      <c r="O335" t="n">
        <v>0</v>
      </c>
      <c r="P335" t="n">
        <v>0</v>
      </c>
      <c r="Q335" t="n">
        <v>0</v>
      </c>
      <c r="R335" s="2" t="inlineStr"/>
    </row>
    <row r="336" ht="15" customHeight="1">
      <c r="A336" t="inlineStr">
        <is>
          <t>A 52780-2019</t>
        </is>
      </c>
      <c r="B336" s="1" t="n">
        <v>43746</v>
      </c>
      <c r="C336" s="1" t="n">
        <v>45349</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53691-2019</t>
        </is>
      </c>
      <c r="B337" s="1" t="n">
        <v>43749</v>
      </c>
      <c r="C337" s="1" t="n">
        <v>45349</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54593-2019</t>
        </is>
      </c>
      <c r="B338" s="1" t="n">
        <v>43754</v>
      </c>
      <c r="C338" s="1" t="n">
        <v>45349</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54794-2019</t>
        </is>
      </c>
      <c r="B339" s="1" t="n">
        <v>43755</v>
      </c>
      <c r="C339" s="1" t="n">
        <v>45349</v>
      </c>
      <c r="D339" t="inlineStr">
        <is>
          <t>KALMAR LÄN</t>
        </is>
      </c>
      <c r="E339" t="inlineStr">
        <is>
          <t>VIMMERBY</t>
        </is>
      </c>
      <c r="G339" t="n">
        <v>3.2</v>
      </c>
      <c r="H339" t="n">
        <v>0</v>
      </c>
      <c r="I339" t="n">
        <v>0</v>
      </c>
      <c r="J339" t="n">
        <v>0</v>
      </c>
      <c r="K339" t="n">
        <v>0</v>
      </c>
      <c r="L339" t="n">
        <v>0</v>
      </c>
      <c r="M339" t="n">
        <v>0</v>
      </c>
      <c r="N339" t="n">
        <v>0</v>
      </c>
      <c r="O339" t="n">
        <v>0</v>
      </c>
      <c r="P339" t="n">
        <v>0</v>
      </c>
      <c r="Q339" t="n">
        <v>0</v>
      </c>
      <c r="R339" s="2" t="inlineStr"/>
    </row>
    <row r="340" ht="15" customHeight="1">
      <c r="A340" t="inlineStr">
        <is>
          <t>A 55757-2019</t>
        </is>
      </c>
      <c r="B340" s="1" t="n">
        <v>43759</v>
      </c>
      <c r="C340" s="1" t="n">
        <v>45349</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57998-2019</t>
        </is>
      </c>
      <c r="B341" s="1" t="n">
        <v>43762</v>
      </c>
      <c r="C341" s="1" t="n">
        <v>45349</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57509-2019</t>
        </is>
      </c>
      <c r="B342" s="1" t="n">
        <v>43767</v>
      </c>
      <c r="C342" s="1" t="n">
        <v>45349</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57886-2019</t>
        </is>
      </c>
      <c r="B343" s="1" t="n">
        <v>43768</v>
      </c>
      <c r="C343" s="1" t="n">
        <v>45349</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59256-2019</t>
        </is>
      </c>
      <c r="B344" s="1" t="n">
        <v>43773</v>
      </c>
      <c r="C344" s="1" t="n">
        <v>45349</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58812-2019</t>
        </is>
      </c>
      <c r="B345" s="1" t="n">
        <v>43774</v>
      </c>
      <c r="C345" s="1" t="n">
        <v>45349</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60253-2019</t>
        </is>
      </c>
      <c r="B346" s="1" t="n">
        <v>43780</v>
      </c>
      <c r="C346" s="1" t="n">
        <v>45349</v>
      </c>
      <c r="D346" t="inlineStr">
        <is>
          <t>KALMAR LÄN</t>
        </is>
      </c>
      <c r="E346" t="inlineStr">
        <is>
          <t>VIMMERBY</t>
        </is>
      </c>
      <c r="G346" t="n">
        <v>4.4</v>
      </c>
      <c r="H346" t="n">
        <v>0</v>
      </c>
      <c r="I346" t="n">
        <v>0</v>
      </c>
      <c r="J346" t="n">
        <v>0</v>
      </c>
      <c r="K346" t="n">
        <v>0</v>
      </c>
      <c r="L346" t="n">
        <v>0</v>
      </c>
      <c r="M346" t="n">
        <v>0</v>
      </c>
      <c r="N346" t="n">
        <v>0</v>
      </c>
      <c r="O346" t="n">
        <v>0</v>
      </c>
      <c r="P346" t="n">
        <v>0</v>
      </c>
      <c r="Q346" t="n">
        <v>0</v>
      </c>
      <c r="R346" s="2" t="inlineStr"/>
    </row>
    <row r="347" ht="15" customHeight="1">
      <c r="A347" t="inlineStr">
        <is>
          <t>A 60673-2019</t>
        </is>
      </c>
      <c r="B347" s="1" t="n">
        <v>43781</v>
      </c>
      <c r="C347" s="1" t="n">
        <v>45349</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60802-2019</t>
        </is>
      </c>
      <c r="B348" s="1" t="n">
        <v>43781</v>
      </c>
      <c r="C348" s="1" t="n">
        <v>45349</v>
      </c>
      <c r="D348" t="inlineStr">
        <is>
          <t>KALMAR LÄN</t>
        </is>
      </c>
      <c r="E348" t="inlineStr">
        <is>
          <t>VIMMERBY</t>
        </is>
      </c>
      <c r="G348" t="n">
        <v>2.8</v>
      </c>
      <c r="H348" t="n">
        <v>0</v>
      </c>
      <c r="I348" t="n">
        <v>0</v>
      </c>
      <c r="J348" t="n">
        <v>0</v>
      </c>
      <c r="K348" t="n">
        <v>0</v>
      </c>
      <c r="L348" t="n">
        <v>0</v>
      </c>
      <c r="M348" t="n">
        <v>0</v>
      </c>
      <c r="N348" t="n">
        <v>0</v>
      </c>
      <c r="O348" t="n">
        <v>0</v>
      </c>
      <c r="P348" t="n">
        <v>0</v>
      </c>
      <c r="Q348" t="n">
        <v>0</v>
      </c>
      <c r="R348" s="2" t="inlineStr"/>
    </row>
    <row r="349" ht="15" customHeight="1">
      <c r="A349" t="inlineStr">
        <is>
          <t>A 61049-2019</t>
        </is>
      </c>
      <c r="B349" s="1" t="n">
        <v>43782</v>
      </c>
      <c r="C349" s="1" t="n">
        <v>45349</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63362-2019</t>
        </is>
      </c>
      <c r="B350" s="1" t="n">
        <v>43787</v>
      </c>
      <c r="C350" s="1" t="n">
        <v>45349</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62625-2019</t>
        </is>
      </c>
      <c r="B351" s="1" t="n">
        <v>43789</v>
      </c>
      <c r="C351" s="1" t="n">
        <v>45349</v>
      </c>
      <c r="D351" t="inlineStr">
        <is>
          <t>KALMAR LÄN</t>
        </is>
      </c>
      <c r="E351" t="inlineStr">
        <is>
          <t>VIMMERBY</t>
        </is>
      </c>
      <c r="F351" t="inlineStr">
        <is>
          <t>Övriga Aktiebolag</t>
        </is>
      </c>
      <c r="G351" t="n">
        <v>8.1</v>
      </c>
      <c r="H351" t="n">
        <v>0</v>
      </c>
      <c r="I351" t="n">
        <v>0</v>
      </c>
      <c r="J351" t="n">
        <v>0</v>
      </c>
      <c r="K351" t="n">
        <v>0</v>
      </c>
      <c r="L351" t="n">
        <v>0</v>
      </c>
      <c r="M351" t="n">
        <v>0</v>
      </c>
      <c r="N351" t="n">
        <v>0</v>
      </c>
      <c r="O351" t="n">
        <v>0</v>
      </c>
      <c r="P351" t="n">
        <v>0</v>
      </c>
      <c r="Q351" t="n">
        <v>0</v>
      </c>
      <c r="R351" s="2" t="inlineStr"/>
    </row>
    <row r="352" ht="15" customHeight="1">
      <c r="A352" t="inlineStr">
        <is>
          <t>A 63029-2019</t>
        </is>
      </c>
      <c r="B352" s="1" t="n">
        <v>43791</v>
      </c>
      <c r="C352" s="1" t="n">
        <v>45349</v>
      </c>
      <c r="D352" t="inlineStr">
        <is>
          <t>KALMAR LÄN</t>
        </is>
      </c>
      <c r="E352" t="inlineStr">
        <is>
          <t>VIMMERBY</t>
        </is>
      </c>
      <c r="F352" t="inlineStr">
        <is>
          <t>Kyrkan</t>
        </is>
      </c>
      <c r="G352" t="n">
        <v>3.1</v>
      </c>
      <c r="H352" t="n">
        <v>0</v>
      </c>
      <c r="I352" t="n">
        <v>0</v>
      </c>
      <c r="J352" t="n">
        <v>0</v>
      </c>
      <c r="K352" t="n">
        <v>0</v>
      </c>
      <c r="L352" t="n">
        <v>0</v>
      </c>
      <c r="M352" t="n">
        <v>0</v>
      </c>
      <c r="N352" t="n">
        <v>0</v>
      </c>
      <c r="O352" t="n">
        <v>0</v>
      </c>
      <c r="P352" t="n">
        <v>0</v>
      </c>
      <c r="Q352" t="n">
        <v>0</v>
      </c>
      <c r="R352" s="2" t="inlineStr"/>
    </row>
    <row r="353" ht="15" customHeight="1">
      <c r="A353" t="inlineStr">
        <is>
          <t>A 63746-2019</t>
        </is>
      </c>
      <c r="B353" s="1" t="n">
        <v>43795</v>
      </c>
      <c r="C353" s="1" t="n">
        <v>45349</v>
      </c>
      <c r="D353" t="inlineStr">
        <is>
          <t>KALMAR LÄN</t>
        </is>
      </c>
      <c r="E353" t="inlineStr">
        <is>
          <t>VIMMERBY</t>
        </is>
      </c>
      <c r="G353" t="n">
        <v>4.5</v>
      </c>
      <c r="H353" t="n">
        <v>0</v>
      </c>
      <c r="I353" t="n">
        <v>0</v>
      </c>
      <c r="J353" t="n">
        <v>0</v>
      </c>
      <c r="K353" t="n">
        <v>0</v>
      </c>
      <c r="L353" t="n">
        <v>0</v>
      </c>
      <c r="M353" t="n">
        <v>0</v>
      </c>
      <c r="N353" t="n">
        <v>0</v>
      </c>
      <c r="O353" t="n">
        <v>0</v>
      </c>
      <c r="P353" t="n">
        <v>0</v>
      </c>
      <c r="Q353" t="n">
        <v>0</v>
      </c>
      <c r="R353" s="2" t="inlineStr"/>
    </row>
    <row r="354" ht="15" customHeight="1">
      <c r="A354" t="inlineStr">
        <is>
          <t>A 64119-2019</t>
        </is>
      </c>
      <c r="B354" s="1" t="n">
        <v>43796</v>
      </c>
      <c r="C354" s="1" t="n">
        <v>45349</v>
      </c>
      <c r="D354" t="inlineStr">
        <is>
          <t>KALMAR LÄN</t>
        </is>
      </c>
      <c r="E354" t="inlineStr">
        <is>
          <t>VIMMERBY</t>
        </is>
      </c>
      <c r="G354" t="n">
        <v>4.6</v>
      </c>
      <c r="H354" t="n">
        <v>0</v>
      </c>
      <c r="I354" t="n">
        <v>0</v>
      </c>
      <c r="J354" t="n">
        <v>0</v>
      </c>
      <c r="K354" t="n">
        <v>0</v>
      </c>
      <c r="L354" t="n">
        <v>0</v>
      </c>
      <c r="M354" t="n">
        <v>0</v>
      </c>
      <c r="N354" t="n">
        <v>0</v>
      </c>
      <c r="O354" t="n">
        <v>0</v>
      </c>
      <c r="P354" t="n">
        <v>0</v>
      </c>
      <c r="Q354" t="n">
        <v>0</v>
      </c>
      <c r="R354" s="2" t="inlineStr"/>
    </row>
    <row r="355" ht="15" customHeight="1">
      <c r="A355" t="inlineStr">
        <is>
          <t>A 64345-2019</t>
        </is>
      </c>
      <c r="B355" s="1" t="n">
        <v>43797</v>
      </c>
      <c r="C355" s="1" t="n">
        <v>45349</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64334-2019</t>
        </is>
      </c>
      <c r="B356" s="1" t="n">
        <v>43797</v>
      </c>
      <c r="C356" s="1" t="n">
        <v>45349</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65267-2019</t>
        </is>
      </c>
      <c r="B357" s="1" t="n">
        <v>43802</v>
      </c>
      <c r="C357" s="1" t="n">
        <v>45349</v>
      </c>
      <c r="D357" t="inlineStr">
        <is>
          <t>KALMAR LÄN</t>
        </is>
      </c>
      <c r="E357" t="inlineStr">
        <is>
          <t>VIMMERBY</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66169-2019</t>
        </is>
      </c>
      <c r="B358" s="1" t="n">
        <v>43808</v>
      </c>
      <c r="C358" s="1" t="n">
        <v>45349</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66172-2019</t>
        </is>
      </c>
      <c r="B359" s="1" t="n">
        <v>43808</v>
      </c>
      <c r="C359" s="1" t="n">
        <v>45349</v>
      </c>
      <c r="D359" t="inlineStr">
        <is>
          <t>KALMAR LÄN</t>
        </is>
      </c>
      <c r="E359" t="inlineStr">
        <is>
          <t>VIMMERBY</t>
        </is>
      </c>
      <c r="G359" t="n">
        <v>3.6</v>
      </c>
      <c r="H359" t="n">
        <v>0</v>
      </c>
      <c r="I359" t="n">
        <v>0</v>
      </c>
      <c r="J359" t="n">
        <v>0</v>
      </c>
      <c r="K359" t="n">
        <v>0</v>
      </c>
      <c r="L359" t="n">
        <v>0</v>
      </c>
      <c r="M359" t="n">
        <v>0</v>
      </c>
      <c r="N359" t="n">
        <v>0</v>
      </c>
      <c r="O359" t="n">
        <v>0</v>
      </c>
      <c r="P359" t="n">
        <v>0</v>
      </c>
      <c r="Q359" t="n">
        <v>0</v>
      </c>
      <c r="R359" s="2" t="inlineStr"/>
    </row>
    <row r="360" ht="15" customHeight="1">
      <c r="A360" t="inlineStr">
        <is>
          <t>A 66151-2019</t>
        </is>
      </c>
      <c r="B360" s="1" t="n">
        <v>43808</v>
      </c>
      <c r="C360" s="1" t="n">
        <v>45349</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67293-2019</t>
        </is>
      </c>
      <c r="B361" s="1" t="n">
        <v>43812</v>
      </c>
      <c r="C361" s="1" t="n">
        <v>45349</v>
      </c>
      <c r="D361" t="inlineStr">
        <is>
          <t>KALMAR LÄN</t>
        </is>
      </c>
      <c r="E361" t="inlineStr">
        <is>
          <t>VIMMERBY</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67359-2019</t>
        </is>
      </c>
      <c r="B362" s="1" t="n">
        <v>43812</v>
      </c>
      <c r="C362" s="1" t="n">
        <v>45349</v>
      </c>
      <c r="D362" t="inlineStr">
        <is>
          <t>KALMAR LÄN</t>
        </is>
      </c>
      <c r="E362" t="inlineStr">
        <is>
          <t>VIMMERBY</t>
        </is>
      </c>
      <c r="F362" t="inlineStr">
        <is>
          <t>Kommuner</t>
        </is>
      </c>
      <c r="G362" t="n">
        <v>1</v>
      </c>
      <c r="H362" t="n">
        <v>0</v>
      </c>
      <c r="I362" t="n">
        <v>0</v>
      </c>
      <c r="J362" t="n">
        <v>0</v>
      </c>
      <c r="K362" t="n">
        <v>0</v>
      </c>
      <c r="L362" t="n">
        <v>0</v>
      </c>
      <c r="M362" t="n">
        <v>0</v>
      </c>
      <c r="N362" t="n">
        <v>0</v>
      </c>
      <c r="O362" t="n">
        <v>0</v>
      </c>
      <c r="P362" t="n">
        <v>0</v>
      </c>
      <c r="Q362" t="n">
        <v>0</v>
      </c>
      <c r="R362" s="2" t="inlineStr"/>
    </row>
    <row r="363" ht="15" customHeight="1">
      <c r="A363" t="inlineStr">
        <is>
          <t>A 67346-2019</t>
        </is>
      </c>
      <c r="B363" s="1" t="n">
        <v>43812</v>
      </c>
      <c r="C363" s="1" t="n">
        <v>45349</v>
      </c>
      <c r="D363" t="inlineStr">
        <is>
          <t>KALMAR LÄN</t>
        </is>
      </c>
      <c r="E363" t="inlineStr">
        <is>
          <t>VIMMERBY</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447-2020</t>
        </is>
      </c>
      <c r="B364" s="1" t="n">
        <v>43837</v>
      </c>
      <c r="C364" s="1" t="n">
        <v>45349</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306-2020</t>
        </is>
      </c>
      <c r="B365" s="1" t="n">
        <v>43837</v>
      </c>
      <c r="C365" s="1" t="n">
        <v>45349</v>
      </c>
      <c r="D365" t="inlineStr">
        <is>
          <t>KALMAR LÄN</t>
        </is>
      </c>
      <c r="E365" t="inlineStr">
        <is>
          <t>VIMMERBY</t>
        </is>
      </c>
      <c r="G365" t="n">
        <v>9.9</v>
      </c>
      <c r="H365" t="n">
        <v>0</v>
      </c>
      <c r="I365" t="n">
        <v>0</v>
      </c>
      <c r="J365" t="n">
        <v>0</v>
      </c>
      <c r="K365" t="n">
        <v>0</v>
      </c>
      <c r="L365" t="n">
        <v>0</v>
      </c>
      <c r="M365" t="n">
        <v>0</v>
      </c>
      <c r="N365" t="n">
        <v>0</v>
      </c>
      <c r="O365" t="n">
        <v>0</v>
      </c>
      <c r="P365" t="n">
        <v>0</v>
      </c>
      <c r="Q365" t="n">
        <v>0</v>
      </c>
      <c r="R365" s="2" t="inlineStr"/>
    </row>
    <row r="366" ht="15" customHeight="1">
      <c r="A366" t="inlineStr">
        <is>
          <t>A 593-2020</t>
        </is>
      </c>
      <c r="B366" s="1" t="n">
        <v>43838</v>
      </c>
      <c r="C366" s="1" t="n">
        <v>45349</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2473-2020</t>
        </is>
      </c>
      <c r="B367" s="1" t="n">
        <v>43840</v>
      </c>
      <c r="C367" s="1" t="n">
        <v>45349</v>
      </c>
      <c r="D367" t="inlineStr">
        <is>
          <t>KALMAR LÄN</t>
        </is>
      </c>
      <c r="E367" t="inlineStr">
        <is>
          <t>VIMMERBY</t>
        </is>
      </c>
      <c r="G367" t="n">
        <v>4.5</v>
      </c>
      <c r="H367" t="n">
        <v>0</v>
      </c>
      <c r="I367" t="n">
        <v>0</v>
      </c>
      <c r="J367" t="n">
        <v>0</v>
      </c>
      <c r="K367" t="n">
        <v>0</v>
      </c>
      <c r="L367" t="n">
        <v>0</v>
      </c>
      <c r="M367" t="n">
        <v>0</v>
      </c>
      <c r="N367" t="n">
        <v>0</v>
      </c>
      <c r="O367" t="n">
        <v>0</v>
      </c>
      <c r="P367" t="n">
        <v>0</v>
      </c>
      <c r="Q367" t="n">
        <v>0</v>
      </c>
      <c r="R367" s="2" t="inlineStr"/>
    </row>
    <row r="368" ht="15" customHeight="1">
      <c r="A368" t="inlineStr">
        <is>
          <t>A 1967-2020</t>
        </is>
      </c>
      <c r="B368" s="1" t="n">
        <v>43845</v>
      </c>
      <c r="C368" s="1" t="n">
        <v>45349</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2070-2020</t>
        </is>
      </c>
      <c r="B369" s="1" t="n">
        <v>43845</v>
      </c>
      <c r="C369" s="1" t="n">
        <v>45349</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3434-2020</t>
        </is>
      </c>
      <c r="B370" s="1" t="n">
        <v>43845</v>
      </c>
      <c r="C370" s="1" t="n">
        <v>45349</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2756-2020</t>
        </is>
      </c>
      <c r="B371" s="1" t="n">
        <v>43850</v>
      </c>
      <c r="C371" s="1" t="n">
        <v>45349</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2856-2020</t>
        </is>
      </c>
      <c r="B372" s="1" t="n">
        <v>43850</v>
      </c>
      <c r="C372" s="1" t="n">
        <v>45349</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3211-2020</t>
        </is>
      </c>
      <c r="B373" s="1" t="n">
        <v>43851</v>
      </c>
      <c r="C373" s="1" t="n">
        <v>45349</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3414-2020</t>
        </is>
      </c>
      <c r="B374" s="1" t="n">
        <v>43852</v>
      </c>
      <c r="C374" s="1" t="n">
        <v>45349</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3672-2020</t>
        </is>
      </c>
      <c r="B375" s="1" t="n">
        <v>43853</v>
      </c>
      <c r="C375" s="1" t="n">
        <v>45349</v>
      </c>
      <c r="D375" t="inlineStr">
        <is>
          <t>KALMAR LÄN</t>
        </is>
      </c>
      <c r="E375" t="inlineStr">
        <is>
          <t>VIMMERBY</t>
        </is>
      </c>
      <c r="G375" t="n">
        <v>3.7</v>
      </c>
      <c r="H375" t="n">
        <v>0</v>
      </c>
      <c r="I375" t="n">
        <v>0</v>
      </c>
      <c r="J375" t="n">
        <v>0</v>
      </c>
      <c r="K375" t="n">
        <v>0</v>
      </c>
      <c r="L375" t="n">
        <v>0</v>
      </c>
      <c r="M375" t="n">
        <v>0</v>
      </c>
      <c r="N375" t="n">
        <v>0</v>
      </c>
      <c r="O375" t="n">
        <v>0</v>
      </c>
      <c r="P375" t="n">
        <v>0</v>
      </c>
      <c r="Q375" t="n">
        <v>0</v>
      </c>
      <c r="R375" s="2" t="inlineStr"/>
    </row>
    <row r="376" ht="15" customHeight="1">
      <c r="A376" t="inlineStr">
        <is>
          <t>A 5047-2020</t>
        </is>
      </c>
      <c r="B376" s="1" t="n">
        <v>43853</v>
      </c>
      <c r="C376" s="1" t="n">
        <v>45349</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5043-2020</t>
        </is>
      </c>
      <c r="B377" s="1" t="n">
        <v>43853</v>
      </c>
      <c r="C377" s="1" t="n">
        <v>45349</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4194-2020</t>
        </is>
      </c>
      <c r="B378" s="1" t="n">
        <v>43857</v>
      </c>
      <c r="C378" s="1" t="n">
        <v>45349</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5362-2020</t>
        </is>
      </c>
      <c r="B379" s="1" t="n">
        <v>43857</v>
      </c>
      <c r="C379" s="1" t="n">
        <v>45349</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4472-2020</t>
        </is>
      </c>
      <c r="B380" s="1" t="n">
        <v>43858</v>
      </c>
      <c r="C380" s="1" t="n">
        <v>45349</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5548-2020</t>
        </is>
      </c>
      <c r="B381" s="1" t="n">
        <v>43861</v>
      </c>
      <c r="C381" s="1" t="n">
        <v>45349</v>
      </c>
      <c r="D381" t="inlineStr">
        <is>
          <t>KALMAR LÄN</t>
        </is>
      </c>
      <c r="E381" t="inlineStr">
        <is>
          <t>VIMMERBY</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6042-2020</t>
        </is>
      </c>
      <c r="B382" s="1" t="n">
        <v>43865</v>
      </c>
      <c r="C382" s="1" t="n">
        <v>45349</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7870-2020</t>
        </is>
      </c>
      <c r="B383" s="1" t="n">
        <v>43873</v>
      </c>
      <c r="C383" s="1" t="n">
        <v>45349</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8691-2020</t>
        </is>
      </c>
      <c r="B384" s="1" t="n">
        <v>43878</v>
      </c>
      <c r="C384" s="1" t="n">
        <v>45349</v>
      </c>
      <c r="D384" t="inlineStr">
        <is>
          <t>KALMAR LÄN</t>
        </is>
      </c>
      <c r="E384" t="inlineStr">
        <is>
          <t>VIMMERBY</t>
        </is>
      </c>
      <c r="G384" t="n">
        <v>5.1</v>
      </c>
      <c r="H384" t="n">
        <v>0</v>
      </c>
      <c r="I384" t="n">
        <v>0</v>
      </c>
      <c r="J384" t="n">
        <v>0</v>
      </c>
      <c r="K384" t="n">
        <v>0</v>
      </c>
      <c r="L384" t="n">
        <v>0</v>
      </c>
      <c r="M384" t="n">
        <v>0</v>
      </c>
      <c r="N384" t="n">
        <v>0</v>
      </c>
      <c r="O384" t="n">
        <v>0</v>
      </c>
      <c r="P384" t="n">
        <v>0</v>
      </c>
      <c r="Q384" t="n">
        <v>0</v>
      </c>
      <c r="R384" s="2" t="inlineStr"/>
    </row>
    <row r="385" ht="15" customHeight="1">
      <c r="A385" t="inlineStr">
        <is>
          <t>A 9151-2020</t>
        </is>
      </c>
      <c r="B385" s="1" t="n">
        <v>43879</v>
      </c>
      <c r="C385" s="1" t="n">
        <v>45349</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9382-2020</t>
        </is>
      </c>
      <c r="B386" s="1" t="n">
        <v>43880</v>
      </c>
      <c r="C386" s="1" t="n">
        <v>45349</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9718-2020</t>
        </is>
      </c>
      <c r="B387" s="1" t="n">
        <v>43881</v>
      </c>
      <c r="C387" s="1" t="n">
        <v>45349</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10474-2020</t>
        </is>
      </c>
      <c r="B388" s="1" t="n">
        <v>43887</v>
      </c>
      <c r="C388" s="1" t="n">
        <v>45349</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10484-2020</t>
        </is>
      </c>
      <c r="B389" s="1" t="n">
        <v>43887</v>
      </c>
      <c r="C389" s="1" t="n">
        <v>45349</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10923-2020</t>
        </is>
      </c>
      <c r="B390" s="1" t="n">
        <v>43889</v>
      </c>
      <c r="C390" s="1" t="n">
        <v>45349</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11243-2020</t>
        </is>
      </c>
      <c r="B391" s="1" t="n">
        <v>43892</v>
      </c>
      <c r="C391" s="1" t="n">
        <v>45349</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12823-2020</t>
        </is>
      </c>
      <c r="B392" s="1" t="n">
        <v>43899</v>
      </c>
      <c r="C392" s="1" t="n">
        <v>45349</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13496-2020</t>
        </is>
      </c>
      <c r="B393" s="1" t="n">
        <v>43900</v>
      </c>
      <c r="C393" s="1" t="n">
        <v>45349</v>
      </c>
      <c r="D393" t="inlineStr">
        <is>
          <t>KALMAR LÄN</t>
        </is>
      </c>
      <c r="E393" t="inlineStr">
        <is>
          <t>VIMMERBY</t>
        </is>
      </c>
      <c r="G393" t="n">
        <v>2.8</v>
      </c>
      <c r="H393" t="n">
        <v>0</v>
      </c>
      <c r="I393" t="n">
        <v>0</v>
      </c>
      <c r="J393" t="n">
        <v>0</v>
      </c>
      <c r="K393" t="n">
        <v>0</v>
      </c>
      <c r="L393" t="n">
        <v>0</v>
      </c>
      <c r="M393" t="n">
        <v>0</v>
      </c>
      <c r="N393" t="n">
        <v>0</v>
      </c>
      <c r="O393" t="n">
        <v>0</v>
      </c>
      <c r="P393" t="n">
        <v>0</v>
      </c>
      <c r="Q393" t="n">
        <v>0</v>
      </c>
      <c r="R393" s="2" t="inlineStr"/>
    </row>
    <row r="394" ht="15" customHeight="1">
      <c r="A394" t="inlineStr">
        <is>
          <t>A 14410-2020</t>
        </is>
      </c>
      <c r="B394" s="1" t="n">
        <v>43902</v>
      </c>
      <c r="C394" s="1" t="n">
        <v>45349</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13606-2020</t>
        </is>
      </c>
      <c r="B395" s="1" t="n">
        <v>43903</v>
      </c>
      <c r="C395" s="1" t="n">
        <v>45349</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14022-2020</t>
        </is>
      </c>
      <c r="B396" s="1" t="n">
        <v>43906</v>
      </c>
      <c r="C396" s="1" t="n">
        <v>45349</v>
      </c>
      <c r="D396" t="inlineStr">
        <is>
          <t>KALMAR LÄN</t>
        </is>
      </c>
      <c r="E396" t="inlineStr">
        <is>
          <t>VIMMERBY</t>
        </is>
      </c>
      <c r="F396" t="inlineStr">
        <is>
          <t>Kommuner</t>
        </is>
      </c>
      <c r="G396" t="n">
        <v>2</v>
      </c>
      <c r="H396" t="n">
        <v>0</v>
      </c>
      <c r="I396" t="n">
        <v>0</v>
      </c>
      <c r="J396" t="n">
        <v>0</v>
      </c>
      <c r="K396" t="n">
        <v>0</v>
      </c>
      <c r="L396" t="n">
        <v>0</v>
      </c>
      <c r="M396" t="n">
        <v>0</v>
      </c>
      <c r="N396" t="n">
        <v>0</v>
      </c>
      <c r="O396" t="n">
        <v>0</v>
      </c>
      <c r="P396" t="n">
        <v>0</v>
      </c>
      <c r="Q396" t="n">
        <v>0</v>
      </c>
      <c r="R396" s="2" t="inlineStr"/>
    </row>
    <row r="397" ht="15" customHeight="1">
      <c r="A397" t="inlineStr">
        <is>
          <t>A 16222-2020</t>
        </is>
      </c>
      <c r="B397" s="1" t="n">
        <v>43917</v>
      </c>
      <c r="C397" s="1" t="n">
        <v>45349</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18676-2020</t>
        </is>
      </c>
      <c r="B398" s="1" t="n">
        <v>43930</v>
      </c>
      <c r="C398" s="1" t="n">
        <v>45349</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18855-2020</t>
        </is>
      </c>
      <c r="B399" s="1" t="n">
        <v>43930</v>
      </c>
      <c r="C399" s="1" t="n">
        <v>45349</v>
      </c>
      <c r="D399" t="inlineStr">
        <is>
          <t>KALMAR LÄN</t>
        </is>
      </c>
      <c r="E399" t="inlineStr">
        <is>
          <t>VIMMERBY</t>
        </is>
      </c>
      <c r="G399" t="n">
        <v>2.9</v>
      </c>
      <c r="H399" t="n">
        <v>0</v>
      </c>
      <c r="I399" t="n">
        <v>0</v>
      </c>
      <c r="J399" t="n">
        <v>0</v>
      </c>
      <c r="K399" t="n">
        <v>0</v>
      </c>
      <c r="L399" t="n">
        <v>0</v>
      </c>
      <c r="M399" t="n">
        <v>0</v>
      </c>
      <c r="N399" t="n">
        <v>0</v>
      </c>
      <c r="O399" t="n">
        <v>0</v>
      </c>
      <c r="P399" t="n">
        <v>0</v>
      </c>
      <c r="Q399" t="n">
        <v>0</v>
      </c>
      <c r="R399" s="2" t="inlineStr"/>
    </row>
    <row r="400" ht="15" customHeight="1">
      <c r="A400" t="inlineStr">
        <is>
          <t>A 18885-2020</t>
        </is>
      </c>
      <c r="B400" s="1" t="n">
        <v>43935</v>
      </c>
      <c r="C400" s="1" t="n">
        <v>45349</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18909-2020</t>
        </is>
      </c>
      <c r="B401" s="1" t="n">
        <v>43935</v>
      </c>
      <c r="C401" s="1" t="n">
        <v>45349</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20291-2020</t>
        </is>
      </c>
      <c r="B402" s="1" t="n">
        <v>43945</v>
      </c>
      <c r="C402" s="1" t="n">
        <v>45349</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21408-2020</t>
        </is>
      </c>
      <c r="B403" s="1" t="n">
        <v>43955</v>
      </c>
      <c r="C403" s="1" t="n">
        <v>45349</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21581-2020</t>
        </is>
      </c>
      <c r="B404" s="1" t="n">
        <v>43956</v>
      </c>
      <c r="C404" s="1" t="n">
        <v>45349</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21891-2020</t>
        </is>
      </c>
      <c r="B405" s="1" t="n">
        <v>43958</v>
      </c>
      <c r="C405" s="1" t="n">
        <v>45349</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22267-2020</t>
        </is>
      </c>
      <c r="B406" s="1" t="n">
        <v>43962</v>
      </c>
      <c r="C406" s="1" t="n">
        <v>45349</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22574-2020</t>
        </is>
      </c>
      <c r="B407" s="1" t="n">
        <v>43963</v>
      </c>
      <c r="C407" s="1" t="n">
        <v>45349</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22637-2020</t>
        </is>
      </c>
      <c r="B408" s="1" t="n">
        <v>43963</v>
      </c>
      <c r="C408" s="1" t="n">
        <v>45349</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22439-2020</t>
        </is>
      </c>
      <c r="B409" s="1" t="n">
        <v>43963</v>
      </c>
      <c r="C409" s="1" t="n">
        <v>45349</v>
      </c>
      <c r="D409" t="inlineStr">
        <is>
          <t>KALMAR LÄN</t>
        </is>
      </c>
      <c r="E409" t="inlineStr">
        <is>
          <t>VIMMERBY</t>
        </is>
      </c>
      <c r="G409" t="n">
        <v>13.8</v>
      </c>
      <c r="H409" t="n">
        <v>0</v>
      </c>
      <c r="I409" t="n">
        <v>0</v>
      </c>
      <c r="J409" t="n">
        <v>0</v>
      </c>
      <c r="K409" t="n">
        <v>0</v>
      </c>
      <c r="L409" t="n">
        <v>0</v>
      </c>
      <c r="M409" t="n">
        <v>0</v>
      </c>
      <c r="N409" t="n">
        <v>0</v>
      </c>
      <c r="O409" t="n">
        <v>0</v>
      </c>
      <c r="P409" t="n">
        <v>0</v>
      </c>
      <c r="Q409" t="n">
        <v>0</v>
      </c>
      <c r="R409" s="2" t="inlineStr"/>
    </row>
    <row r="410" ht="15" customHeight="1">
      <c r="A410" t="inlineStr">
        <is>
          <t>A 22828-2020</t>
        </is>
      </c>
      <c r="B410" s="1" t="n">
        <v>43964</v>
      </c>
      <c r="C410" s="1" t="n">
        <v>45349</v>
      </c>
      <c r="D410" t="inlineStr">
        <is>
          <t>KALMAR LÄN</t>
        </is>
      </c>
      <c r="E410" t="inlineStr">
        <is>
          <t>VIMMERBY</t>
        </is>
      </c>
      <c r="G410" t="n">
        <v>7.5</v>
      </c>
      <c r="H410" t="n">
        <v>0</v>
      </c>
      <c r="I410" t="n">
        <v>0</v>
      </c>
      <c r="J410" t="n">
        <v>0</v>
      </c>
      <c r="K410" t="n">
        <v>0</v>
      </c>
      <c r="L410" t="n">
        <v>0</v>
      </c>
      <c r="M410" t="n">
        <v>0</v>
      </c>
      <c r="N410" t="n">
        <v>0</v>
      </c>
      <c r="O410" t="n">
        <v>0</v>
      </c>
      <c r="P410" t="n">
        <v>0</v>
      </c>
      <c r="Q410" t="n">
        <v>0</v>
      </c>
      <c r="R410" s="2" t="inlineStr"/>
    </row>
    <row r="411" ht="15" customHeight="1">
      <c r="A411" t="inlineStr">
        <is>
          <t>A 23391-2020</t>
        </is>
      </c>
      <c r="B411" s="1" t="n">
        <v>43968</v>
      </c>
      <c r="C411" s="1" t="n">
        <v>45349</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23394-2020</t>
        </is>
      </c>
      <c r="B412" s="1" t="n">
        <v>43968</v>
      </c>
      <c r="C412" s="1" t="n">
        <v>45349</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23705-2020</t>
        </is>
      </c>
      <c r="B413" s="1" t="n">
        <v>43970</v>
      </c>
      <c r="C413" s="1" t="n">
        <v>45349</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23877-2020</t>
        </is>
      </c>
      <c r="B414" s="1" t="n">
        <v>43971</v>
      </c>
      <c r="C414" s="1" t="n">
        <v>45349</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24016-2020</t>
        </is>
      </c>
      <c r="B415" s="1" t="n">
        <v>43971</v>
      </c>
      <c r="C415" s="1" t="n">
        <v>45349</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24770-2020</t>
        </is>
      </c>
      <c r="B416" s="1" t="n">
        <v>43978</v>
      </c>
      <c r="C416" s="1" t="n">
        <v>45349</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24784-2020</t>
        </is>
      </c>
      <c r="B417" s="1" t="n">
        <v>43978</v>
      </c>
      <c r="C417" s="1" t="n">
        <v>45349</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24782-2020</t>
        </is>
      </c>
      <c r="B418" s="1" t="n">
        <v>43978</v>
      </c>
      <c r="C418" s="1" t="n">
        <v>45349</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25761-2020</t>
        </is>
      </c>
      <c r="B419" s="1" t="n">
        <v>43984</v>
      </c>
      <c r="C419" s="1" t="n">
        <v>45349</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26723-2020</t>
        </is>
      </c>
      <c r="B420" s="1" t="n">
        <v>43990</v>
      </c>
      <c r="C420" s="1" t="n">
        <v>45349</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27104-2020</t>
        </is>
      </c>
      <c r="B421" s="1" t="n">
        <v>43991</v>
      </c>
      <c r="C421" s="1" t="n">
        <v>45349</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27212-2020</t>
        </is>
      </c>
      <c r="B422" s="1" t="n">
        <v>43992</v>
      </c>
      <c r="C422" s="1" t="n">
        <v>45349</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27316-2020</t>
        </is>
      </c>
      <c r="B423" s="1" t="n">
        <v>43992</v>
      </c>
      <c r="C423" s="1" t="n">
        <v>45349</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27214-2020</t>
        </is>
      </c>
      <c r="B424" s="1" t="n">
        <v>43992</v>
      </c>
      <c r="C424" s="1" t="n">
        <v>45349</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27213-2020</t>
        </is>
      </c>
      <c r="B425" s="1" t="n">
        <v>43992</v>
      </c>
      <c r="C425" s="1" t="n">
        <v>45349</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27236-2020</t>
        </is>
      </c>
      <c r="B426" s="1" t="n">
        <v>43992</v>
      </c>
      <c r="C426" s="1" t="n">
        <v>45349</v>
      </c>
      <c r="D426" t="inlineStr">
        <is>
          <t>KALMAR LÄN</t>
        </is>
      </c>
      <c r="E426" t="inlineStr">
        <is>
          <t>VIMMERBY</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28853-2020</t>
        </is>
      </c>
      <c r="B427" s="1" t="n">
        <v>44000</v>
      </c>
      <c r="C427" s="1" t="n">
        <v>45349</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28885-2020</t>
        </is>
      </c>
      <c r="B428" s="1" t="n">
        <v>44000</v>
      </c>
      <c r="C428" s="1" t="n">
        <v>45349</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28969-2020</t>
        </is>
      </c>
      <c r="B429" s="1" t="n">
        <v>44000</v>
      </c>
      <c r="C429" s="1" t="n">
        <v>45349</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29235-2020</t>
        </is>
      </c>
      <c r="B430" s="1" t="n">
        <v>44004</v>
      </c>
      <c r="C430" s="1" t="n">
        <v>45349</v>
      </c>
      <c r="D430" t="inlineStr">
        <is>
          <t>KALMAR LÄN</t>
        </is>
      </c>
      <c r="E430" t="inlineStr">
        <is>
          <t>VIMMERBY</t>
        </is>
      </c>
      <c r="G430" t="n">
        <v>3</v>
      </c>
      <c r="H430" t="n">
        <v>0</v>
      </c>
      <c r="I430" t="n">
        <v>0</v>
      </c>
      <c r="J430" t="n">
        <v>0</v>
      </c>
      <c r="K430" t="n">
        <v>0</v>
      </c>
      <c r="L430" t="n">
        <v>0</v>
      </c>
      <c r="M430" t="n">
        <v>0</v>
      </c>
      <c r="N430" t="n">
        <v>0</v>
      </c>
      <c r="O430" t="n">
        <v>0</v>
      </c>
      <c r="P430" t="n">
        <v>0</v>
      </c>
      <c r="Q430" t="n">
        <v>0</v>
      </c>
      <c r="R430" s="2" t="inlineStr"/>
    </row>
    <row r="431" ht="15" customHeight="1">
      <c r="A431" t="inlineStr">
        <is>
          <t>A 29913-2020</t>
        </is>
      </c>
      <c r="B431" s="1" t="n">
        <v>44006</v>
      </c>
      <c r="C431" s="1" t="n">
        <v>45349</v>
      </c>
      <c r="D431" t="inlineStr">
        <is>
          <t>KALMAR LÄN</t>
        </is>
      </c>
      <c r="E431" t="inlineStr">
        <is>
          <t>VIMMERBY</t>
        </is>
      </c>
      <c r="F431" t="inlineStr">
        <is>
          <t>Kommuner</t>
        </is>
      </c>
      <c r="G431" t="n">
        <v>3.8</v>
      </c>
      <c r="H431" t="n">
        <v>0</v>
      </c>
      <c r="I431" t="n">
        <v>0</v>
      </c>
      <c r="J431" t="n">
        <v>0</v>
      </c>
      <c r="K431" t="n">
        <v>0</v>
      </c>
      <c r="L431" t="n">
        <v>0</v>
      </c>
      <c r="M431" t="n">
        <v>0</v>
      </c>
      <c r="N431" t="n">
        <v>0</v>
      </c>
      <c r="O431" t="n">
        <v>0</v>
      </c>
      <c r="P431" t="n">
        <v>0</v>
      </c>
      <c r="Q431" t="n">
        <v>0</v>
      </c>
      <c r="R431" s="2" t="inlineStr"/>
    </row>
    <row r="432" ht="15" customHeight="1">
      <c r="A432" t="inlineStr">
        <is>
          <t>A 29918-2020</t>
        </is>
      </c>
      <c r="B432" s="1" t="n">
        <v>44006</v>
      </c>
      <c r="C432" s="1" t="n">
        <v>45349</v>
      </c>
      <c r="D432" t="inlineStr">
        <is>
          <t>KALMAR LÄN</t>
        </is>
      </c>
      <c r="E432" t="inlineStr">
        <is>
          <t>VIMMERBY</t>
        </is>
      </c>
      <c r="F432" t="inlineStr">
        <is>
          <t>Kommuner</t>
        </is>
      </c>
      <c r="G432" t="n">
        <v>2.5</v>
      </c>
      <c r="H432" t="n">
        <v>0</v>
      </c>
      <c r="I432" t="n">
        <v>0</v>
      </c>
      <c r="J432" t="n">
        <v>0</v>
      </c>
      <c r="K432" t="n">
        <v>0</v>
      </c>
      <c r="L432" t="n">
        <v>0</v>
      </c>
      <c r="M432" t="n">
        <v>0</v>
      </c>
      <c r="N432" t="n">
        <v>0</v>
      </c>
      <c r="O432" t="n">
        <v>0</v>
      </c>
      <c r="P432" t="n">
        <v>0</v>
      </c>
      <c r="Q432" t="n">
        <v>0</v>
      </c>
      <c r="R432" s="2" t="inlineStr"/>
    </row>
    <row r="433" ht="15" customHeight="1">
      <c r="A433" t="inlineStr">
        <is>
          <t>A 29979-2020</t>
        </is>
      </c>
      <c r="B433" s="1" t="n">
        <v>44006</v>
      </c>
      <c r="C433" s="1" t="n">
        <v>45349</v>
      </c>
      <c r="D433" t="inlineStr">
        <is>
          <t>KALMAR LÄN</t>
        </is>
      </c>
      <c r="E433" t="inlineStr">
        <is>
          <t>VIMMERBY</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29935-2020</t>
        </is>
      </c>
      <c r="B434" s="1" t="n">
        <v>44006</v>
      </c>
      <c r="C434" s="1" t="n">
        <v>45349</v>
      </c>
      <c r="D434" t="inlineStr">
        <is>
          <t>KALMAR LÄN</t>
        </is>
      </c>
      <c r="E434" t="inlineStr">
        <is>
          <t>VIMMERBY</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30206-2020</t>
        </is>
      </c>
      <c r="B435" s="1" t="n">
        <v>44007</v>
      </c>
      <c r="C435" s="1" t="n">
        <v>45349</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31289-2020</t>
        </is>
      </c>
      <c r="B436" s="1" t="n">
        <v>44012</v>
      </c>
      <c r="C436" s="1" t="n">
        <v>45349</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33159-2020</t>
        </is>
      </c>
      <c r="B437" s="1" t="n">
        <v>44021</v>
      </c>
      <c r="C437" s="1" t="n">
        <v>45349</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33279-2020</t>
        </is>
      </c>
      <c r="B438" s="1" t="n">
        <v>44022</v>
      </c>
      <c r="C438" s="1" t="n">
        <v>45349</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33856-2020</t>
        </is>
      </c>
      <c r="B439" s="1" t="n">
        <v>44027</v>
      </c>
      <c r="C439" s="1" t="n">
        <v>45349</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34350-2020</t>
        </is>
      </c>
      <c r="B440" s="1" t="n">
        <v>44028</v>
      </c>
      <c r="C440" s="1" t="n">
        <v>45349</v>
      </c>
      <c r="D440" t="inlineStr">
        <is>
          <t>KALMAR LÄN</t>
        </is>
      </c>
      <c r="E440" t="inlineStr">
        <is>
          <t>VIMMERBY</t>
        </is>
      </c>
      <c r="G440" t="n">
        <v>4.3</v>
      </c>
      <c r="H440" t="n">
        <v>0</v>
      </c>
      <c r="I440" t="n">
        <v>0</v>
      </c>
      <c r="J440" t="n">
        <v>0</v>
      </c>
      <c r="K440" t="n">
        <v>0</v>
      </c>
      <c r="L440" t="n">
        <v>0</v>
      </c>
      <c r="M440" t="n">
        <v>0</v>
      </c>
      <c r="N440" t="n">
        <v>0</v>
      </c>
      <c r="O440" t="n">
        <v>0</v>
      </c>
      <c r="P440" t="n">
        <v>0</v>
      </c>
      <c r="Q440" t="n">
        <v>0</v>
      </c>
      <c r="R440" s="2" t="inlineStr"/>
    </row>
    <row r="441" ht="15" customHeight="1">
      <c r="A441" t="inlineStr">
        <is>
          <t>A 34345-2020</t>
        </is>
      </c>
      <c r="B441" s="1" t="n">
        <v>44028</v>
      </c>
      <c r="C441" s="1" t="n">
        <v>45349</v>
      </c>
      <c r="D441" t="inlineStr">
        <is>
          <t>KALMAR LÄN</t>
        </is>
      </c>
      <c r="E441" t="inlineStr">
        <is>
          <t>VIMMERBY</t>
        </is>
      </c>
      <c r="G441" t="n">
        <v>5.1</v>
      </c>
      <c r="H441" t="n">
        <v>0</v>
      </c>
      <c r="I441" t="n">
        <v>0</v>
      </c>
      <c r="J441" t="n">
        <v>0</v>
      </c>
      <c r="K441" t="n">
        <v>0</v>
      </c>
      <c r="L441" t="n">
        <v>0</v>
      </c>
      <c r="M441" t="n">
        <v>0</v>
      </c>
      <c r="N441" t="n">
        <v>0</v>
      </c>
      <c r="O441" t="n">
        <v>0</v>
      </c>
      <c r="P441" t="n">
        <v>0</v>
      </c>
      <c r="Q441" t="n">
        <v>0</v>
      </c>
      <c r="R441" s="2" t="inlineStr"/>
    </row>
    <row r="442" ht="15" customHeight="1">
      <c r="A442" t="inlineStr">
        <is>
          <t>A 34719-2020</t>
        </is>
      </c>
      <c r="B442" s="1" t="n">
        <v>44035</v>
      </c>
      <c r="C442" s="1" t="n">
        <v>45349</v>
      </c>
      <c r="D442" t="inlineStr">
        <is>
          <t>KALMAR LÄN</t>
        </is>
      </c>
      <c r="E442" t="inlineStr">
        <is>
          <t>VIMMERBY</t>
        </is>
      </c>
      <c r="G442" t="n">
        <v>3.5</v>
      </c>
      <c r="H442" t="n">
        <v>0</v>
      </c>
      <c r="I442" t="n">
        <v>0</v>
      </c>
      <c r="J442" t="n">
        <v>0</v>
      </c>
      <c r="K442" t="n">
        <v>0</v>
      </c>
      <c r="L442" t="n">
        <v>0</v>
      </c>
      <c r="M442" t="n">
        <v>0</v>
      </c>
      <c r="N442" t="n">
        <v>0</v>
      </c>
      <c r="O442" t="n">
        <v>0</v>
      </c>
      <c r="P442" t="n">
        <v>0</v>
      </c>
      <c r="Q442" t="n">
        <v>0</v>
      </c>
      <c r="R442" s="2" t="inlineStr"/>
    </row>
    <row r="443" ht="15" customHeight="1">
      <c r="A443" t="inlineStr">
        <is>
          <t>A 34907-2020</t>
        </is>
      </c>
      <c r="B443" s="1" t="n">
        <v>44036</v>
      </c>
      <c r="C443" s="1" t="n">
        <v>45349</v>
      </c>
      <c r="D443" t="inlineStr">
        <is>
          <t>KALMAR LÄN</t>
        </is>
      </c>
      <c r="E443" t="inlineStr">
        <is>
          <t>VIMMERBY</t>
        </is>
      </c>
      <c r="G443" t="n">
        <v>2.8</v>
      </c>
      <c r="H443" t="n">
        <v>0</v>
      </c>
      <c r="I443" t="n">
        <v>0</v>
      </c>
      <c r="J443" t="n">
        <v>0</v>
      </c>
      <c r="K443" t="n">
        <v>0</v>
      </c>
      <c r="L443" t="n">
        <v>0</v>
      </c>
      <c r="M443" t="n">
        <v>0</v>
      </c>
      <c r="N443" t="n">
        <v>0</v>
      </c>
      <c r="O443" t="n">
        <v>0</v>
      </c>
      <c r="P443" t="n">
        <v>0</v>
      </c>
      <c r="Q443" t="n">
        <v>0</v>
      </c>
      <c r="R443" s="2" t="inlineStr"/>
    </row>
    <row r="444" ht="15" customHeight="1">
      <c r="A444" t="inlineStr">
        <is>
          <t>A 35350-2020</t>
        </is>
      </c>
      <c r="B444" s="1" t="n">
        <v>44041</v>
      </c>
      <c r="C444" s="1" t="n">
        <v>45349</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35886-2020</t>
        </is>
      </c>
      <c r="B445" s="1" t="n">
        <v>44047</v>
      </c>
      <c r="C445" s="1" t="n">
        <v>45349</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36085-2020</t>
        </is>
      </c>
      <c r="B446" s="1" t="n">
        <v>44048</v>
      </c>
      <c r="C446" s="1" t="n">
        <v>45349</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36161-2020</t>
        </is>
      </c>
      <c r="B447" s="1" t="n">
        <v>44048</v>
      </c>
      <c r="C447" s="1" t="n">
        <v>45349</v>
      </c>
      <c r="D447" t="inlineStr">
        <is>
          <t>KALMAR LÄN</t>
        </is>
      </c>
      <c r="E447" t="inlineStr">
        <is>
          <t>VIMMERBY</t>
        </is>
      </c>
      <c r="G447" t="n">
        <v>12.5</v>
      </c>
      <c r="H447" t="n">
        <v>0</v>
      </c>
      <c r="I447" t="n">
        <v>0</v>
      </c>
      <c r="J447" t="n">
        <v>0</v>
      </c>
      <c r="K447" t="n">
        <v>0</v>
      </c>
      <c r="L447" t="n">
        <v>0</v>
      </c>
      <c r="M447" t="n">
        <v>0</v>
      </c>
      <c r="N447" t="n">
        <v>0</v>
      </c>
      <c r="O447" t="n">
        <v>0</v>
      </c>
      <c r="P447" t="n">
        <v>0</v>
      </c>
      <c r="Q447" t="n">
        <v>0</v>
      </c>
      <c r="R447" s="2" t="inlineStr"/>
    </row>
    <row r="448" ht="15" customHeight="1">
      <c r="A448" t="inlineStr">
        <is>
          <t>A 37104-2020</t>
        </is>
      </c>
      <c r="B448" s="1" t="n">
        <v>44054</v>
      </c>
      <c r="C448" s="1" t="n">
        <v>45349</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37201-2020</t>
        </is>
      </c>
      <c r="B449" s="1" t="n">
        <v>44054</v>
      </c>
      <c r="C449" s="1" t="n">
        <v>45349</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37078-2020</t>
        </is>
      </c>
      <c r="B450" s="1" t="n">
        <v>44054</v>
      </c>
      <c r="C450" s="1" t="n">
        <v>45349</v>
      </c>
      <c r="D450" t="inlineStr">
        <is>
          <t>KALMAR LÄN</t>
        </is>
      </c>
      <c r="E450" t="inlineStr">
        <is>
          <t>VIMMERBY</t>
        </is>
      </c>
      <c r="G450" t="n">
        <v>4.5</v>
      </c>
      <c r="H450" t="n">
        <v>0</v>
      </c>
      <c r="I450" t="n">
        <v>0</v>
      </c>
      <c r="J450" t="n">
        <v>0</v>
      </c>
      <c r="K450" t="n">
        <v>0</v>
      </c>
      <c r="L450" t="n">
        <v>0</v>
      </c>
      <c r="M450" t="n">
        <v>0</v>
      </c>
      <c r="N450" t="n">
        <v>0</v>
      </c>
      <c r="O450" t="n">
        <v>0</v>
      </c>
      <c r="P450" t="n">
        <v>0</v>
      </c>
      <c r="Q450" t="n">
        <v>0</v>
      </c>
      <c r="R450" s="2" t="inlineStr"/>
    </row>
    <row r="451" ht="15" customHeight="1">
      <c r="A451" t="inlineStr">
        <is>
          <t>A 37362-2020</t>
        </is>
      </c>
      <c r="B451" s="1" t="n">
        <v>44055</v>
      </c>
      <c r="C451" s="1" t="n">
        <v>45349</v>
      </c>
      <c r="D451" t="inlineStr">
        <is>
          <t>KALMAR LÄN</t>
        </is>
      </c>
      <c r="E451" t="inlineStr">
        <is>
          <t>VIMMERBY</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37813-2020</t>
        </is>
      </c>
      <c r="B452" s="1" t="n">
        <v>44057</v>
      </c>
      <c r="C452" s="1" t="n">
        <v>45349</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37973-2020</t>
        </is>
      </c>
      <c r="B453" s="1" t="n">
        <v>44057</v>
      </c>
      <c r="C453" s="1" t="n">
        <v>45349</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38153-2020</t>
        </is>
      </c>
      <c r="B454" s="1" t="n">
        <v>44060</v>
      </c>
      <c r="C454" s="1" t="n">
        <v>45349</v>
      </c>
      <c r="D454" t="inlineStr">
        <is>
          <t>KALMAR LÄN</t>
        </is>
      </c>
      <c r="E454" t="inlineStr">
        <is>
          <t>VIMMERBY</t>
        </is>
      </c>
      <c r="G454" t="n">
        <v>6</v>
      </c>
      <c r="H454" t="n">
        <v>0</v>
      </c>
      <c r="I454" t="n">
        <v>0</v>
      </c>
      <c r="J454" t="n">
        <v>0</v>
      </c>
      <c r="K454" t="n">
        <v>0</v>
      </c>
      <c r="L454" t="n">
        <v>0</v>
      </c>
      <c r="M454" t="n">
        <v>0</v>
      </c>
      <c r="N454" t="n">
        <v>0</v>
      </c>
      <c r="O454" t="n">
        <v>0</v>
      </c>
      <c r="P454" t="n">
        <v>0</v>
      </c>
      <c r="Q454" t="n">
        <v>0</v>
      </c>
      <c r="R454" s="2" t="inlineStr"/>
    </row>
    <row r="455" ht="15" customHeight="1">
      <c r="A455" t="inlineStr">
        <is>
          <t>A 38397-2020</t>
        </is>
      </c>
      <c r="B455" s="1" t="n">
        <v>44060</v>
      </c>
      <c r="C455" s="1" t="n">
        <v>45349</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38530-2020</t>
        </is>
      </c>
      <c r="B456" s="1" t="n">
        <v>44061</v>
      </c>
      <c r="C456" s="1" t="n">
        <v>45349</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38710-2020</t>
        </is>
      </c>
      <c r="B457" s="1" t="n">
        <v>44061</v>
      </c>
      <c r="C457" s="1" t="n">
        <v>45349</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38844-2020</t>
        </is>
      </c>
      <c r="B458" s="1" t="n">
        <v>44062</v>
      </c>
      <c r="C458" s="1" t="n">
        <v>45349</v>
      </c>
      <c r="D458" t="inlineStr">
        <is>
          <t>KALMAR LÄN</t>
        </is>
      </c>
      <c r="E458" t="inlineStr">
        <is>
          <t>VIMMERBY</t>
        </is>
      </c>
      <c r="G458" t="n">
        <v>3</v>
      </c>
      <c r="H458" t="n">
        <v>0</v>
      </c>
      <c r="I458" t="n">
        <v>0</v>
      </c>
      <c r="J458" t="n">
        <v>0</v>
      </c>
      <c r="K458" t="n">
        <v>0</v>
      </c>
      <c r="L458" t="n">
        <v>0</v>
      </c>
      <c r="M458" t="n">
        <v>0</v>
      </c>
      <c r="N458" t="n">
        <v>0</v>
      </c>
      <c r="O458" t="n">
        <v>0</v>
      </c>
      <c r="P458" t="n">
        <v>0</v>
      </c>
      <c r="Q458" t="n">
        <v>0</v>
      </c>
      <c r="R458" s="2" t="inlineStr"/>
    </row>
    <row r="459" ht="15" customHeight="1">
      <c r="A459" t="inlineStr">
        <is>
          <t>A 39191-2020</t>
        </is>
      </c>
      <c r="B459" s="1" t="n">
        <v>44063</v>
      </c>
      <c r="C459" s="1" t="n">
        <v>45349</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39251-2020</t>
        </is>
      </c>
      <c r="B460" s="1" t="n">
        <v>44063</v>
      </c>
      <c r="C460" s="1" t="n">
        <v>45349</v>
      </c>
      <c r="D460" t="inlineStr">
        <is>
          <t>KALMAR LÄN</t>
        </is>
      </c>
      <c r="E460" t="inlineStr">
        <is>
          <t>VIMMERBY</t>
        </is>
      </c>
      <c r="G460" t="n">
        <v>6.1</v>
      </c>
      <c r="H460" t="n">
        <v>0</v>
      </c>
      <c r="I460" t="n">
        <v>0</v>
      </c>
      <c r="J460" t="n">
        <v>0</v>
      </c>
      <c r="K460" t="n">
        <v>0</v>
      </c>
      <c r="L460" t="n">
        <v>0</v>
      </c>
      <c r="M460" t="n">
        <v>0</v>
      </c>
      <c r="N460" t="n">
        <v>0</v>
      </c>
      <c r="O460" t="n">
        <v>0</v>
      </c>
      <c r="P460" t="n">
        <v>0</v>
      </c>
      <c r="Q460" t="n">
        <v>0</v>
      </c>
      <c r="R460" s="2" t="inlineStr"/>
    </row>
    <row r="461" ht="15" customHeight="1">
      <c r="A461" t="inlineStr">
        <is>
          <t>A 39125-2020</t>
        </is>
      </c>
      <c r="B461" s="1" t="n">
        <v>44063</v>
      </c>
      <c r="C461" s="1" t="n">
        <v>45349</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39300-2020</t>
        </is>
      </c>
      <c r="B462" s="1" t="n">
        <v>44063</v>
      </c>
      <c r="C462" s="1" t="n">
        <v>45349</v>
      </c>
      <c r="D462" t="inlineStr">
        <is>
          <t>KALMAR LÄN</t>
        </is>
      </c>
      <c r="E462" t="inlineStr">
        <is>
          <t>VIMMERBY</t>
        </is>
      </c>
      <c r="G462" t="n">
        <v>5.1</v>
      </c>
      <c r="H462" t="n">
        <v>0</v>
      </c>
      <c r="I462" t="n">
        <v>0</v>
      </c>
      <c r="J462" t="n">
        <v>0</v>
      </c>
      <c r="K462" t="n">
        <v>0</v>
      </c>
      <c r="L462" t="n">
        <v>0</v>
      </c>
      <c r="M462" t="n">
        <v>0</v>
      </c>
      <c r="N462" t="n">
        <v>0</v>
      </c>
      <c r="O462" t="n">
        <v>0</v>
      </c>
      <c r="P462" t="n">
        <v>0</v>
      </c>
      <c r="Q462" t="n">
        <v>0</v>
      </c>
      <c r="R462" s="2" t="inlineStr"/>
    </row>
    <row r="463" ht="15" customHeight="1">
      <c r="A463" t="inlineStr">
        <is>
          <t>A 39288-2020</t>
        </is>
      </c>
      <c r="B463" s="1" t="n">
        <v>44063</v>
      </c>
      <c r="C463" s="1" t="n">
        <v>45349</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39508-2020</t>
        </is>
      </c>
      <c r="B464" s="1" t="n">
        <v>44064</v>
      </c>
      <c r="C464" s="1" t="n">
        <v>45349</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39769-2020</t>
        </is>
      </c>
      <c r="B465" s="1" t="n">
        <v>44064</v>
      </c>
      <c r="C465" s="1" t="n">
        <v>45349</v>
      </c>
      <c r="D465" t="inlineStr">
        <is>
          <t>KALMAR LÄN</t>
        </is>
      </c>
      <c r="E465" t="inlineStr">
        <is>
          <t>VIMMERBY</t>
        </is>
      </c>
      <c r="G465" t="n">
        <v>24.6</v>
      </c>
      <c r="H465" t="n">
        <v>0</v>
      </c>
      <c r="I465" t="n">
        <v>0</v>
      </c>
      <c r="J465" t="n">
        <v>0</v>
      </c>
      <c r="K465" t="n">
        <v>0</v>
      </c>
      <c r="L465" t="n">
        <v>0</v>
      </c>
      <c r="M465" t="n">
        <v>0</v>
      </c>
      <c r="N465" t="n">
        <v>0</v>
      </c>
      <c r="O465" t="n">
        <v>0</v>
      </c>
      <c r="P465" t="n">
        <v>0</v>
      </c>
      <c r="Q465" t="n">
        <v>0</v>
      </c>
      <c r="R465" s="2" t="inlineStr"/>
    </row>
    <row r="466" ht="15" customHeight="1">
      <c r="A466" t="inlineStr">
        <is>
          <t>A 40239-2020</t>
        </is>
      </c>
      <c r="B466" s="1" t="n">
        <v>44068</v>
      </c>
      <c r="C466" s="1" t="n">
        <v>45349</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40766-2020</t>
        </is>
      </c>
      <c r="B467" s="1" t="n">
        <v>44070</v>
      </c>
      <c r="C467" s="1" t="n">
        <v>45349</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40890-2020</t>
        </is>
      </c>
      <c r="B468" s="1" t="n">
        <v>44070</v>
      </c>
      <c r="C468" s="1" t="n">
        <v>45349</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40812-2020</t>
        </is>
      </c>
      <c r="B469" s="1" t="n">
        <v>44070</v>
      </c>
      <c r="C469" s="1" t="n">
        <v>45349</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40889-2020</t>
        </is>
      </c>
      <c r="B470" s="1" t="n">
        <v>44070</v>
      </c>
      <c r="C470" s="1" t="n">
        <v>45349</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40818-2020</t>
        </is>
      </c>
      <c r="B471" s="1" t="n">
        <v>44070</v>
      </c>
      <c r="C471" s="1" t="n">
        <v>45349</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40808-2020</t>
        </is>
      </c>
      <c r="B472" s="1" t="n">
        <v>44070</v>
      </c>
      <c r="C472" s="1" t="n">
        <v>45349</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42067-2020</t>
        </is>
      </c>
      <c r="B473" s="1" t="n">
        <v>44075</v>
      </c>
      <c r="C473" s="1" t="n">
        <v>45349</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42494-2020</t>
        </is>
      </c>
      <c r="B474" s="1" t="n">
        <v>44077</v>
      </c>
      <c r="C474" s="1" t="n">
        <v>45349</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44000-2020</t>
        </is>
      </c>
      <c r="B475" s="1" t="n">
        <v>44083</v>
      </c>
      <c r="C475" s="1" t="n">
        <v>45349</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43998-2020</t>
        </is>
      </c>
      <c r="B476" s="1" t="n">
        <v>44083</v>
      </c>
      <c r="C476" s="1" t="n">
        <v>45349</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44605-2020</t>
        </is>
      </c>
      <c r="B477" s="1" t="n">
        <v>44085</v>
      </c>
      <c r="C477" s="1" t="n">
        <v>45349</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45050-2020</t>
        </is>
      </c>
      <c r="B478" s="1" t="n">
        <v>44088</v>
      </c>
      <c r="C478" s="1" t="n">
        <v>45349</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45054-2020</t>
        </is>
      </c>
      <c r="B479" s="1" t="n">
        <v>44088</v>
      </c>
      <c r="C479" s="1" t="n">
        <v>45349</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45528-2020</t>
        </is>
      </c>
      <c r="B480" s="1" t="n">
        <v>44089</v>
      </c>
      <c r="C480" s="1" t="n">
        <v>45349</v>
      </c>
      <c r="D480" t="inlineStr">
        <is>
          <t>KALMAR LÄN</t>
        </is>
      </c>
      <c r="E480" t="inlineStr">
        <is>
          <t>VIMMERBY</t>
        </is>
      </c>
      <c r="G480" t="n">
        <v>3.8</v>
      </c>
      <c r="H480" t="n">
        <v>0</v>
      </c>
      <c r="I480" t="n">
        <v>0</v>
      </c>
      <c r="J480" t="n">
        <v>0</v>
      </c>
      <c r="K480" t="n">
        <v>0</v>
      </c>
      <c r="L480" t="n">
        <v>0</v>
      </c>
      <c r="M480" t="n">
        <v>0</v>
      </c>
      <c r="N480" t="n">
        <v>0</v>
      </c>
      <c r="O480" t="n">
        <v>0</v>
      </c>
      <c r="P480" t="n">
        <v>0</v>
      </c>
      <c r="Q480" t="n">
        <v>0</v>
      </c>
      <c r="R480" s="2" t="inlineStr"/>
    </row>
    <row r="481" ht="15" customHeight="1">
      <c r="A481" t="inlineStr">
        <is>
          <t>A 45678-2020</t>
        </is>
      </c>
      <c r="B481" s="1" t="n">
        <v>44090</v>
      </c>
      <c r="C481" s="1" t="n">
        <v>45349</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46085-2020</t>
        </is>
      </c>
      <c r="B482" s="1" t="n">
        <v>44091</v>
      </c>
      <c r="C482" s="1" t="n">
        <v>45349</v>
      </c>
      <c r="D482" t="inlineStr">
        <is>
          <t>KALMAR LÄN</t>
        </is>
      </c>
      <c r="E482" t="inlineStr">
        <is>
          <t>VIMMERBY</t>
        </is>
      </c>
      <c r="G482" t="n">
        <v>6.1</v>
      </c>
      <c r="H482" t="n">
        <v>0</v>
      </c>
      <c r="I482" t="n">
        <v>0</v>
      </c>
      <c r="J482" t="n">
        <v>0</v>
      </c>
      <c r="K482" t="n">
        <v>0</v>
      </c>
      <c r="L482" t="n">
        <v>0</v>
      </c>
      <c r="M482" t="n">
        <v>0</v>
      </c>
      <c r="N482" t="n">
        <v>0</v>
      </c>
      <c r="O482" t="n">
        <v>0</v>
      </c>
      <c r="P482" t="n">
        <v>0</v>
      </c>
      <c r="Q482" t="n">
        <v>0</v>
      </c>
      <c r="R482" s="2" t="inlineStr"/>
    </row>
    <row r="483" ht="15" customHeight="1">
      <c r="A483" t="inlineStr">
        <is>
          <t>A 46461-2020</t>
        </is>
      </c>
      <c r="B483" s="1" t="n">
        <v>44092</v>
      </c>
      <c r="C483" s="1" t="n">
        <v>45349</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46527-2020</t>
        </is>
      </c>
      <c r="B484" s="1" t="n">
        <v>44095</v>
      </c>
      <c r="C484" s="1" t="n">
        <v>45349</v>
      </c>
      <c r="D484" t="inlineStr">
        <is>
          <t>KALMAR LÄN</t>
        </is>
      </c>
      <c r="E484" t="inlineStr">
        <is>
          <t>VIMMERBY</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47295-2020</t>
        </is>
      </c>
      <c r="B485" s="1" t="n">
        <v>44097</v>
      </c>
      <c r="C485" s="1" t="n">
        <v>45349</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49059-2020</t>
        </is>
      </c>
      <c r="B486" s="1" t="n">
        <v>44102</v>
      </c>
      <c r="C486" s="1" t="n">
        <v>45349</v>
      </c>
      <c r="D486" t="inlineStr">
        <is>
          <t>KALMAR LÄN</t>
        </is>
      </c>
      <c r="E486" t="inlineStr">
        <is>
          <t>VIMMERBY</t>
        </is>
      </c>
      <c r="G486" t="n">
        <v>5.8</v>
      </c>
      <c r="H486" t="n">
        <v>0</v>
      </c>
      <c r="I486" t="n">
        <v>0</v>
      </c>
      <c r="J486" t="n">
        <v>0</v>
      </c>
      <c r="K486" t="n">
        <v>0</v>
      </c>
      <c r="L486" t="n">
        <v>0</v>
      </c>
      <c r="M486" t="n">
        <v>0</v>
      </c>
      <c r="N486" t="n">
        <v>0</v>
      </c>
      <c r="O486" t="n">
        <v>0</v>
      </c>
      <c r="P486" t="n">
        <v>0</v>
      </c>
      <c r="Q486" t="n">
        <v>0</v>
      </c>
      <c r="R486" s="2" t="inlineStr"/>
    </row>
    <row r="487" ht="15" customHeight="1">
      <c r="A487" t="inlineStr">
        <is>
          <t>A 48949-2020</t>
        </is>
      </c>
      <c r="B487" s="1" t="n">
        <v>44102</v>
      </c>
      <c r="C487" s="1" t="n">
        <v>45349</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49186-2020</t>
        </is>
      </c>
      <c r="B488" s="1" t="n">
        <v>44105</v>
      </c>
      <c r="C488" s="1" t="n">
        <v>45349</v>
      </c>
      <c r="D488" t="inlineStr">
        <is>
          <t>KALMAR LÄN</t>
        </is>
      </c>
      <c r="E488" t="inlineStr">
        <is>
          <t>VIMMERBY</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51571-2020</t>
        </is>
      </c>
      <c r="B489" s="1" t="n">
        <v>44109</v>
      </c>
      <c r="C489" s="1" t="n">
        <v>45349</v>
      </c>
      <c r="D489" t="inlineStr">
        <is>
          <t>KALMAR LÄN</t>
        </is>
      </c>
      <c r="E489" t="inlineStr">
        <is>
          <t>VIMMERBY</t>
        </is>
      </c>
      <c r="G489" t="n">
        <v>6.1</v>
      </c>
      <c r="H489" t="n">
        <v>0</v>
      </c>
      <c r="I489" t="n">
        <v>0</v>
      </c>
      <c r="J489" t="n">
        <v>0</v>
      </c>
      <c r="K489" t="n">
        <v>0</v>
      </c>
      <c r="L489" t="n">
        <v>0</v>
      </c>
      <c r="M489" t="n">
        <v>0</v>
      </c>
      <c r="N489" t="n">
        <v>0</v>
      </c>
      <c r="O489" t="n">
        <v>0</v>
      </c>
      <c r="P489" t="n">
        <v>0</v>
      </c>
      <c r="Q489" t="n">
        <v>0</v>
      </c>
      <c r="R489" s="2" t="inlineStr"/>
    </row>
    <row r="490" ht="15" customHeight="1">
      <c r="A490" t="inlineStr">
        <is>
          <t>A 51569-2020</t>
        </is>
      </c>
      <c r="B490" s="1" t="n">
        <v>44109</v>
      </c>
      <c r="C490" s="1" t="n">
        <v>45349</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50764-2020</t>
        </is>
      </c>
      <c r="B491" s="1" t="n">
        <v>44111</v>
      </c>
      <c r="C491" s="1" t="n">
        <v>45349</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51977-2020</t>
        </is>
      </c>
      <c r="B492" s="1" t="n">
        <v>44116</v>
      </c>
      <c r="C492" s="1" t="n">
        <v>45349</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52073-2020</t>
        </is>
      </c>
      <c r="B493" s="1" t="n">
        <v>44117</v>
      </c>
      <c r="C493" s="1" t="n">
        <v>45349</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53100-2020</t>
        </is>
      </c>
      <c r="B494" s="1" t="n">
        <v>44120</v>
      </c>
      <c r="C494" s="1" t="n">
        <v>45349</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53387-2020</t>
        </is>
      </c>
      <c r="B495" s="1" t="n">
        <v>44123</v>
      </c>
      <c r="C495" s="1" t="n">
        <v>45349</v>
      </c>
      <c r="D495" t="inlineStr">
        <is>
          <t>KALMAR LÄN</t>
        </is>
      </c>
      <c r="E495" t="inlineStr">
        <is>
          <t>VIMMERBY</t>
        </is>
      </c>
      <c r="G495" t="n">
        <v>7.2</v>
      </c>
      <c r="H495" t="n">
        <v>0</v>
      </c>
      <c r="I495" t="n">
        <v>0</v>
      </c>
      <c r="J495" t="n">
        <v>0</v>
      </c>
      <c r="K495" t="n">
        <v>0</v>
      </c>
      <c r="L495" t="n">
        <v>0</v>
      </c>
      <c r="M495" t="n">
        <v>0</v>
      </c>
      <c r="N495" t="n">
        <v>0</v>
      </c>
      <c r="O495" t="n">
        <v>0</v>
      </c>
      <c r="P495" t="n">
        <v>0</v>
      </c>
      <c r="Q495" t="n">
        <v>0</v>
      </c>
      <c r="R495" s="2" t="inlineStr"/>
    </row>
    <row r="496" ht="15" customHeight="1">
      <c r="A496" t="inlineStr">
        <is>
          <t>A 53711-2020</t>
        </is>
      </c>
      <c r="B496" s="1" t="n">
        <v>44124</v>
      </c>
      <c r="C496" s="1" t="n">
        <v>45349</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54917-2020</t>
        </is>
      </c>
      <c r="B497" s="1" t="n">
        <v>44127</v>
      </c>
      <c r="C497" s="1" t="n">
        <v>45349</v>
      </c>
      <c r="D497" t="inlineStr">
        <is>
          <t>KALMAR LÄN</t>
        </is>
      </c>
      <c r="E497" t="inlineStr">
        <is>
          <t>VIMMERBY</t>
        </is>
      </c>
      <c r="G497" t="n">
        <v>9.5</v>
      </c>
      <c r="H497" t="n">
        <v>0</v>
      </c>
      <c r="I497" t="n">
        <v>0</v>
      </c>
      <c r="J497" t="n">
        <v>0</v>
      </c>
      <c r="K497" t="n">
        <v>0</v>
      </c>
      <c r="L497" t="n">
        <v>0</v>
      </c>
      <c r="M497" t="n">
        <v>0</v>
      </c>
      <c r="N497" t="n">
        <v>0</v>
      </c>
      <c r="O497" t="n">
        <v>0</v>
      </c>
      <c r="P497" t="n">
        <v>0</v>
      </c>
      <c r="Q497" t="n">
        <v>0</v>
      </c>
      <c r="R497" s="2" t="inlineStr"/>
    </row>
    <row r="498" ht="15" customHeight="1">
      <c r="A498" t="inlineStr">
        <is>
          <t>A 55053-2020</t>
        </is>
      </c>
      <c r="B498" s="1" t="n">
        <v>44130</v>
      </c>
      <c r="C498" s="1" t="n">
        <v>45349</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57948-2020</t>
        </is>
      </c>
      <c r="B499" s="1" t="n">
        <v>44142</v>
      </c>
      <c r="C499" s="1" t="n">
        <v>45349</v>
      </c>
      <c r="D499" t="inlineStr">
        <is>
          <t>KALMAR LÄN</t>
        </is>
      </c>
      <c r="E499" t="inlineStr">
        <is>
          <t>VIMMERBY</t>
        </is>
      </c>
      <c r="G499" t="n">
        <v>7.1</v>
      </c>
      <c r="H499" t="n">
        <v>0</v>
      </c>
      <c r="I499" t="n">
        <v>0</v>
      </c>
      <c r="J499" t="n">
        <v>0</v>
      </c>
      <c r="K499" t="n">
        <v>0</v>
      </c>
      <c r="L499" t="n">
        <v>0</v>
      </c>
      <c r="M499" t="n">
        <v>0</v>
      </c>
      <c r="N499" t="n">
        <v>0</v>
      </c>
      <c r="O499" t="n">
        <v>0</v>
      </c>
      <c r="P499" t="n">
        <v>0</v>
      </c>
      <c r="Q499" t="n">
        <v>0</v>
      </c>
      <c r="R499" s="2" t="inlineStr"/>
    </row>
    <row r="500" ht="15" customHeight="1">
      <c r="A500" t="inlineStr">
        <is>
          <t>A 58026-2020</t>
        </is>
      </c>
      <c r="B500" s="1" t="n">
        <v>44144</v>
      </c>
      <c r="C500" s="1" t="n">
        <v>45349</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58145-2020</t>
        </is>
      </c>
      <c r="B501" s="1" t="n">
        <v>44144</v>
      </c>
      <c r="C501" s="1" t="n">
        <v>45349</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60810-2020</t>
        </is>
      </c>
      <c r="B502" s="1" t="n">
        <v>44154</v>
      </c>
      <c r="C502" s="1" t="n">
        <v>45349</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61878-2020</t>
        </is>
      </c>
      <c r="B503" s="1" t="n">
        <v>44159</v>
      </c>
      <c r="C503" s="1" t="n">
        <v>45349</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64707-2020</t>
        </is>
      </c>
      <c r="B504" s="1" t="n">
        <v>44169</v>
      </c>
      <c r="C504" s="1" t="n">
        <v>45349</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65049-2020</t>
        </is>
      </c>
      <c r="B505" s="1" t="n">
        <v>44172</v>
      </c>
      <c r="C505" s="1" t="n">
        <v>45349</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65564-2020</t>
        </is>
      </c>
      <c r="B506" s="1" t="n">
        <v>44172</v>
      </c>
      <c r="C506" s="1" t="n">
        <v>45349</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65956-2020</t>
        </is>
      </c>
      <c r="B507" s="1" t="n">
        <v>44175</v>
      </c>
      <c r="C507" s="1" t="n">
        <v>45349</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65952-2020</t>
        </is>
      </c>
      <c r="B508" s="1" t="n">
        <v>44175</v>
      </c>
      <c r="C508" s="1" t="n">
        <v>45349</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65961-2020</t>
        </is>
      </c>
      <c r="B509" s="1" t="n">
        <v>44175</v>
      </c>
      <c r="C509" s="1" t="n">
        <v>45349</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65973-2020</t>
        </is>
      </c>
      <c r="B510" s="1" t="n">
        <v>44175</v>
      </c>
      <c r="C510" s="1" t="n">
        <v>45349</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66913-2020</t>
        </is>
      </c>
      <c r="B511" s="1" t="n">
        <v>44175</v>
      </c>
      <c r="C511" s="1" t="n">
        <v>45349</v>
      </c>
      <c r="D511" t="inlineStr">
        <is>
          <t>KALMAR LÄN</t>
        </is>
      </c>
      <c r="E511" t="inlineStr">
        <is>
          <t>VIMMERBY</t>
        </is>
      </c>
      <c r="G511" t="n">
        <v>5.6</v>
      </c>
      <c r="H511" t="n">
        <v>0</v>
      </c>
      <c r="I511" t="n">
        <v>0</v>
      </c>
      <c r="J511" t="n">
        <v>0</v>
      </c>
      <c r="K511" t="n">
        <v>0</v>
      </c>
      <c r="L511" t="n">
        <v>0</v>
      </c>
      <c r="M511" t="n">
        <v>0</v>
      </c>
      <c r="N511" t="n">
        <v>0</v>
      </c>
      <c r="O511" t="n">
        <v>0</v>
      </c>
      <c r="P511" t="n">
        <v>0</v>
      </c>
      <c r="Q511" t="n">
        <v>0</v>
      </c>
      <c r="R511" s="2" t="inlineStr"/>
    </row>
    <row r="512" ht="15" customHeight="1">
      <c r="A512" t="inlineStr">
        <is>
          <t>A 66295-2020</t>
        </is>
      </c>
      <c r="B512" s="1" t="n">
        <v>44176</v>
      </c>
      <c r="C512" s="1" t="n">
        <v>45349</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68744-2020</t>
        </is>
      </c>
      <c r="B513" s="1" t="n">
        <v>44186</v>
      </c>
      <c r="C513" s="1" t="n">
        <v>45349</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68785-2020</t>
        </is>
      </c>
      <c r="B514" s="1" t="n">
        <v>44186</v>
      </c>
      <c r="C514" s="1" t="n">
        <v>45349</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618-2021</t>
        </is>
      </c>
      <c r="B515" s="1" t="n">
        <v>44203</v>
      </c>
      <c r="C515" s="1" t="n">
        <v>45349</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1929-2021</t>
        </is>
      </c>
      <c r="B516" s="1" t="n">
        <v>44210</v>
      </c>
      <c r="C516" s="1" t="n">
        <v>45349</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2555-2021</t>
        </is>
      </c>
      <c r="B517" s="1" t="n">
        <v>44214</v>
      </c>
      <c r="C517" s="1" t="n">
        <v>45349</v>
      </c>
      <c r="D517" t="inlineStr">
        <is>
          <t>KALMAR LÄN</t>
        </is>
      </c>
      <c r="E517" t="inlineStr">
        <is>
          <t>VIMMERBY</t>
        </is>
      </c>
      <c r="G517" t="n">
        <v>7.3</v>
      </c>
      <c r="H517" t="n">
        <v>0</v>
      </c>
      <c r="I517" t="n">
        <v>0</v>
      </c>
      <c r="J517" t="n">
        <v>0</v>
      </c>
      <c r="K517" t="n">
        <v>0</v>
      </c>
      <c r="L517" t="n">
        <v>0</v>
      </c>
      <c r="M517" t="n">
        <v>0</v>
      </c>
      <c r="N517" t="n">
        <v>0</v>
      </c>
      <c r="O517" t="n">
        <v>0</v>
      </c>
      <c r="P517" t="n">
        <v>0</v>
      </c>
      <c r="Q517" t="n">
        <v>0</v>
      </c>
      <c r="R517" s="2" t="inlineStr"/>
    </row>
    <row r="518" ht="15" customHeight="1">
      <c r="A518" t="inlineStr">
        <is>
          <t>A 2654-2021</t>
        </is>
      </c>
      <c r="B518" s="1" t="n">
        <v>44215</v>
      </c>
      <c r="C518" s="1" t="n">
        <v>45349</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3330-2021</t>
        </is>
      </c>
      <c r="B519" s="1" t="n">
        <v>44217</v>
      </c>
      <c r="C519" s="1" t="n">
        <v>45349</v>
      </c>
      <c r="D519" t="inlineStr">
        <is>
          <t>KALMAR LÄN</t>
        </is>
      </c>
      <c r="E519" t="inlineStr">
        <is>
          <t>VIMMERBY</t>
        </is>
      </c>
      <c r="G519" t="n">
        <v>11.1</v>
      </c>
      <c r="H519" t="n">
        <v>0</v>
      </c>
      <c r="I519" t="n">
        <v>0</v>
      </c>
      <c r="J519" t="n">
        <v>0</v>
      </c>
      <c r="K519" t="n">
        <v>0</v>
      </c>
      <c r="L519" t="n">
        <v>0</v>
      </c>
      <c r="M519" t="n">
        <v>0</v>
      </c>
      <c r="N519" t="n">
        <v>0</v>
      </c>
      <c r="O519" t="n">
        <v>0</v>
      </c>
      <c r="P519" t="n">
        <v>0</v>
      </c>
      <c r="Q519" t="n">
        <v>0</v>
      </c>
      <c r="R519" s="2" t="inlineStr"/>
    </row>
    <row r="520" ht="15" customHeight="1">
      <c r="A520" t="inlineStr">
        <is>
          <t>A 3184-2021</t>
        </is>
      </c>
      <c r="B520" s="1" t="n">
        <v>44217</v>
      </c>
      <c r="C520" s="1" t="n">
        <v>45349</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3621-2021</t>
        </is>
      </c>
      <c r="B521" s="1" t="n">
        <v>44221</v>
      </c>
      <c r="C521" s="1" t="n">
        <v>45349</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4762-2021</t>
        </is>
      </c>
      <c r="B522" s="1" t="n">
        <v>44225</v>
      </c>
      <c r="C522" s="1" t="n">
        <v>45349</v>
      </c>
      <c r="D522" t="inlineStr">
        <is>
          <t>KALMAR LÄN</t>
        </is>
      </c>
      <c r="E522" t="inlineStr">
        <is>
          <t>VIMMERBY</t>
        </is>
      </c>
      <c r="G522" t="n">
        <v>5.3</v>
      </c>
      <c r="H522" t="n">
        <v>0</v>
      </c>
      <c r="I522" t="n">
        <v>0</v>
      </c>
      <c r="J522" t="n">
        <v>0</v>
      </c>
      <c r="K522" t="n">
        <v>0</v>
      </c>
      <c r="L522" t="n">
        <v>0</v>
      </c>
      <c r="M522" t="n">
        <v>0</v>
      </c>
      <c r="N522" t="n">
        <v>0</v>
      </c>
      <c r="O522" t="n">
        <v>0</v>
      </c>
      <c r="P522" t="n">
        <v>0</v>
      </c>
      <c r="Q522" t="n">
        <v>0</v>
      </c>
      <c r="R522" s="2" t="inlineStr"/>
    </row>
    <row r="523" ht="15" customHeight="1">
      <c r="A523" t="inlineStr">
        <is>
          <t>A 5689-2021</t>
        </is>
      </c>
      <c r="B523" s="1" t="n">
        <v>44230</v>
      </c>
      <c r="C523" s="1" t="n">
        <v>45349</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5654-2021</t>
        </is>
      </c>
      <c r="B524" s="1" t="n">
        <v>44230</v>
      </c>
      <c r="C524" s="1" t="n">
        <v>45349</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6841-2021</t>
        </is>
      </c>
      <c r="B525" s="1" t="n">
        <v>44236</v>
      </c>
      <c r="C525" s="1" t="n">
        <v>45349</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7072-2021</t>
        </is>
      </c>
      <c r="B526" s="1" t="n">
        <v>44237</v>
      </c>
      <c r="C526" s="1" t="n">
        <v>45349</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7075-2021</t>
        </is>
      </c>
      <c r="B527" s="1" t="n">
        <v>44237</v>
      </c>
      <c r="C527" s="1" t="n">
        <v>45349</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7515-2021</t>
        </is>
      </c>
      <c r="B528" s="1" t="n">
        <v>44238</v>
      </c>
      <c r="C528" s="1" t="n">
        <v>45349</v>
      </c>
      <c r="D528" t="inlineStr">
        <is>
          <t>KALMAR LÄN</t>
        </is>
      </c>
      <c r="E528" t="inlineStr">
        <is>
          <t>VIMMERBY</t>
        </is>
      </c>
      <c r="G528" t="n">
        <v>20.9</v>
      </c>
      <c r="H528" t="n">
        <v>0</v>
      </c>
      <c r="I528" t="n">
        <v>0</v>
      </c>
      <c r="J528" t="n">
        <v>0</v>
      </c>
      <c r="K528" t="n">
        <v>0</v>
      </c>
      <c r="L528" t="n">
        <v>0</v>
      </c>
      <c r="M528" t="n">
        <v>0</v>
      </c>
      <c r="N528" t="n">
        <v>0</v>
      </c>
      <c r="O528" t="n">
        <v>0</v>
      </c>
      <c r="P528" t="n">
        <v>0</v>
      </c>
      <c r="Q528" t="n">
        <v>0</v>
      </c>
      <c r="R528" s="2" t="inlineStr"/>
    </row>
    <row r="529" ht="15" customHeight="1">
      <c r="A529" t="inlineStr">
        <is>
          <t>A 7828-2021</t>
        </is>
      </c>
      <c r="B529" s="1" t="n">
        <v>44242</v>
      </c>
      <c r="C529" s="1" t="n">
        <v>45349</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8121-2021</t>
        </is>
      </c>
      <c r="B530" s="1" t="n">
        <v>44243</v>
      </c>
      <c r="C530" s="1" t="n">
        <v>45349</v>
      </c>
      <c r="D530" t="inlineStr">
        <is>
          <t>KALMAR LÄN</t>
        </is>
      </c>
      <c r="E530" t="inlineStr">
        <is>
          <t>VIMMERBY</t>
        </is>
      </c>
      <c r="G530" t="n">
        <v>1.2</v>
      </c>
      <c r="H530" t="n">
        <v>0</v>
      </c>
      <c r="I530" t="n">
        <v>0</v>
      </c>
      <c r="J530" t="n">
        <v>0</v>
      </c>
      <c r="K530" t="n">
        <v>0</v>
      </c>
      <c r="L530" t="n">
        <v>0</v>
      </c>
      <c r="M530" t="n">
        <v>0</v>
      </c>
      <c r="N530" t="n">
        <v>0</v>
      </c>
      <c r="O530" t="n">
        <v>0</v>
      </c>
      <c r="P530" t="n">
        <v>0</v>
      </c>
      <c r="Q530" t="n">
        <v>0</v>
      </c>
      <c r="R530" s="2" t="inlineStr"/>
    </row>
    <row r="531" ht="15" customHeight="1">
      <c r="A531" t="inlineStr">
        <is>
          <t>A 8086-2021</t>
        </is>
      </c>
      <c r="B531" s="1" t="n">
        <v>44243</v>
      </c>
      <c r="C531" s="1" t="n">
        <v>45349</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8415-2021</t>
        </is>
      </c>
      <c r="B532" s="1" t="n">
        <v>44245</v>
      </c>
      <c r="C532" s="1" t="n">
        <v>45349</v>
      </c>
      <c r="D532" t="inlineStr">
        <is>
          <t>KALMAR LÄN</t>
        </is>
      </c>
      <c r="E532" t="inlineStr">
        <is>
          <t>VIMMERBY</t>
        </is>
      </c>
      <c r="G532" t="n">
        <v>4.7</v>
      </c>
      <c r="H532" t="n">
        <v>0</v>
      </c>
      <c r="I532" t="n">
        <v>0</v>
      </c>
      <c r="J532" t="n">
        <v>0</v>
      </c>
      <c r="K532" t="n">
        <v>0</v>
      </c>
      <c r="L532" t="n">
        <v>0</v>
      </c>
      <c r="M532" t="n">
        <v>0</v>
      </c>
      <c r="N532" t="n">
        <v>0</v>
      </c>
      <c r="O532" t="n">
        <v>0</v>
      </c>
      <c r="P532" t="n">
        <v>0</v>
      </c>
      <c r="Q532" t="n">
        <v>0</v>
      </c>
      <c r="R532" s="2" t="inlineStr"/>
    </row>
    <row r="533" ht="15" customHeight="1">
      <c r="A533" t="inlineStr">
        <is>
          <t>A 9836-2021</t>
        </is>
      </c>
      <c r="B533" s="1" t="n">
        <v>44253</v>
      </c>
      <c r="C533" s="1" t="n">
        <v>45349</v>
      </c>
      <c r="D533" t="inlineStr">
        <is>
          <t>KALMAR LÄN</t>
        </is>
      </c>
      <c r="E533" t="inlineStr">
        <is>
          <t>VIMMERBY</t>
        </is>
      </c>
      <c r="F533" t="inlineStr">
        <is>
          <t>Sveaskog</t>
        </is>
      </c>
      <c r="G533" t="n">
        <v>3.8</v>
      </c>
      <c r="H533" t="n">
        <v>0</v>
      </c>
      <c r="I533" t="n">
        <v>0</v>
      </c>
      <c r="J533" t="n">
        <v>0</v>
      </c>
      <c r="K533" t="n">
        <v>0</v>
      </c>
      <c r="L533" t="n">
        <v>0</v>
      </c>
      <c r="M533" t="n">
        <v>0</v>
      </c>
      <c r="N533" t="n">
        <v>0</v>
      </c>
      <c r="O533" t="n">
        <v>0</v>
      </c>
      <c r="P533" t="n">
        <v>0</v>
      </c>
      <c r="Q533" t="n">
        <v>0</v>
      </c>
      <c r="R533" s="2" t="inlineStr"/>
    </row>
    <row r="534" ht="15" customHeight="1">
      <c r="A534" t="inlineStr">
        <is>
          <t>A 10674-2021</t>
        </is>
      </c>
      <c r="B534" s="1" t="n">
        <v>44258</v>
      </c>
      <c r="C534" s="1" t="n">
        <v>45349</v>
      </c>
      <c r="D534" t="inlineStr">
        <is>
          <t>KALMAR LÄN</t>
        </is>
      </c>
      <c r="E534" t="inlineStr">
        <is>
          <t>VIMMERBY</t>
        </is>
      </c>
      <c r="G534" t="n">
        <v>8.4</v>
      </c>
      <c r="H534" t="n">
        <v>0</v>
      </c>
      <c r="I534" t="n">
        <v>0</v>
      </c>
      <c r="J534" t="n">
        <v>0</v>
      </c>
      <c r="K534" t="n">
        <v>0</v>
      </c>
      <c r="L534" t="n">
        <v>0</v>
      </c>
      <c r="M534" t="n">
        <v>0</v>
      </c>
      <c r="N534" t="n">
        <v>0</v>
      </c>
      <c r="O534" t="n">
        <v>0</v>
      </c>
      <c r="P534" t="n">
        <v>0</v>
      </c>
      <c r="Q534" t="n">
        <v>0</v>
      </c>
      <c r="R534" s="2" t="inlineStr"/>
    </row>
    <row r="535" ht="15" customHeight="1">
      <c r="A535" t="inlineStr">
        <is>
          <t>A 10518-2021</t>
        </is>
      </c>
      <c r="B535" s="1" t="n">
        <v>44258</v>
      </c>
      <c r="C535" s="1" t="n">
        <v>45349</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10744-2021</t>
        </is>
      </c>
      <c r="B536" s="1" t="n">
        <v>44259</v>
      </c>
      <c r="C536" s="1" t="n">
        <v>45349</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10928-2021</t>
        </is>
      </c>
      <c r="B537" s="1" t="n">
        <v>44259</v>
      </c>
      <c r="C537" s="1" t="n">
        <v>45349</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11011-2021</t>
        </is>
      </c>
      <c r="B538" s="1" t="n">
        <v>44260</v>
      </c>
      <c r="C538" s="1" t="n">
        <v>45349</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12241-2021</t>
        </is>
      </c>
      <c r="B539" s="1" t="n">
        <v>44266</v>
      </c>
      <c r="C539" s="1" t="n">
        <v>45349</v>
      </c>
      <c r="D539" t="inlineStr">
        <is>
          <t>KALMAR LÄN</t>
        </is>
      </c>
      <c r="E539" t="inlineStr">
        <is>
          <t>VIMMERBY</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12465-2021</t>
        </is>
      </c>
      <c r="B540" s="1" t="n">
        <v>44267</v>
      </c>
      <c r="C540" s="1" t="n">
        <v>45349</v>
      </c>
      <c r="D540" t="inlineStr">
        <is>
          <t>KALMAR LÄN</t>
        </is>
      </c>
      <c r="E540" t="inlineStr">
        <is>
          <t>VIMMERBY</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12467-2021</t>
        </is>
      </c>
      <c r="B541" s="1" t="n">
        <v>44267</v>
      </c>
      <c r="C541" s="1" t="n">
        <v>45349</v>
      </c>
      <c r="D541" t="inlineStr">
        <is>
          <t>KALMAR LÄN</t>
        </is>
      </c>
      <c r="E541" t="inlineStr">
        <is>
          <t>VIMMERBY</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12586-2021</t>
        </is>
      </c>
      <c r="B542" s="1" t="n">
        <v>44270</v>
      </c>
      <c r="C542" s="1" t="n">
        <v>45349</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12661-2021</t>
        </is>
      </c>
      <c r="B543" s="1" t="n">
        <v>44270</v>
      </c>
      <c r="C543" s="1" t="n">
        <v>45349</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12757-2021</t>
        </is>
      </c>
      <c r="B544" s="1" t="n">
        <v>44270</v>
      </c>
      <c r="C544" s="1" t="n">
        <v>45349</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12585-2021</t>
        </is>
      </c>
      <c r="B545" s="1" t="n">
        <v>44270</v>
      </c>
      <c r="C545" s="1" t="n">
        <v>45349</v>
      </c>
      <c r="D545" t="inlineStr">
        <is>
          <t>KALMAR LÄN</t>
        </is>
      </c>
      <c r="E545" t="inlineStr">
        <is>
          <t>VIMMERBY</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12597-2021</t>
        </is>
      </c>
      <c r="B546" s="1" t="n">
        <v>44270</v>
      </c>
      <c r="C546" s="1" t="n">
        <v>45349</v>
      </c>
      <c r="D546" t="inlineStr">
        <is>
          <t>KALMAR LÄN</t>
        </is>
      </c>
      <c r="E546" t="inlineStr">
        <is>
          <t>VIMMERBY</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12582-2021</t>
        </is>
      </c>
      <c r="B547" s="1" t="n">
        <v>44270</v>
      </c>
      <c r="C547" s="1" t="n">
        <v>45349</v>
      </c>
      <c r="D547" t="inlineStr">
        <is>
          <t>KALMAR LÄN</t>
        </is>
      </c>
      <c r="E547" t="inlineStr">
        <is>
          <t>VIMMERBY</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12596-2021</t>
        </is>
      </c>
      <c r="B548" s="1" t="n">
        <v>44270</v>
      </c>
      <c r="C548" s="1" t="n">
        <v>45349</v>
      </c>
      <c r="D548" t="inlineStr">
        <is>
          <t>KALMAR LÄN</t>
        </is>
      </c>
      <c r="E548" t="inlineStr">
        <is>
          <t>VIMMERBY</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12587-2021</t>
        </is>
      </c>
      <c r="B549" s="1" t="n">
        <v>44270</v>
      </c>
      <c r="C549" s="1" t="n">
        <v>45349</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12595-2021</t>
        </is>
      </c>
      <c r="B550" s="1" t="n">
        <v>44270</v>
      </c>
      <c r="C550" s="1" t="n">
        <v>45349</v>
      </c>
      <c r="D550" t="inlineStr">
        <is>
          <t>KALMAR LÄN</t>
        </is>
      </c>
      <c r="E550" t="inlineStr">
        <is>
          <t>VIMMERBY</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12662-2021</t>
        </is>
      </c>
      <c r="B551" s="1" t="n">
        <v>44270</v>
      </c>
      <c r="C551" s="1" t="n">
        <v>45349</v>
      </c>
      <c r="D551" t="inlineStr">
        <is>
          <t>KALMAR LÄN</t>
        </is>
      </c>
      <c r="E551" t="inlineStr">
        <is>
          <t>VIMMERBY</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12848-2021</t>
        </is>
      </c>
      <c r="B552" s="1" t="n">
        <v>44271</v>
      </c>
      <c r="C552" s="1" t="n">
        <v>45349</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13457-2021</t>
        </is>
      </c>
      <c r="B553" s="1" t="n">
        <v>44273</v>
      </c>
      <c r="C553" s="1" t="n">
        <v>45349</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13492-2021</t>
        </is>
      </c>
      <c r="B554" s="1" t="n">
        <v>44273</v>
      </c>
      <c r="C554" s="1" t="n">
        <v>45349</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14220-2021</t>
        </is>
      </c>
      <c r="B555" s="1" t="n">
        <v>44278</v>
      </c>
      <c r="C555" s="1" t="n">
        <v>45349</v>
      </c>
      <c r="D555" t="inlineStr">
        <is>
          <t>KALMAR LÄN</t>
        </is>
      </c>
      <c r="E555" t="inlineStr">
        <is>
          <t>VIMMERBY</t>
        </is>
      </c>
      <c r="G555" t="n">
        <v>0.3</v>
      </c>
      <c r="H555" t="n">
        <v>0</v>
      </c>
      <c r="I555" t="n">
        <v>0</v>
      </c>
      <c r="J555" t="n">
        <v>0</v>
      </c>
      <c r="K555" t="n">
        <v>0</v>
      </c>
      <c r="L555" t="n">
        <v>0</v>
      </c>
      <c r="M555" t="n">
        <v>0</v>
      </c>
      <c r="N555" t="n">
        <v>0</v>
      </c>
      <c r="O555" t="n">
        <v>0</v>
      </c>
      <c r="P555" t="n">
        <v>0</v>
      </c>
      <c r="Q555" t="n">
        <v>0</v>
      </c>
      <c r="R555" s="2" t="inlineStr"/>
    </row>
    <row r="556" ht="15" customHeight="1">
      <c r="A556" t="inlineStr">
        <is>
          <t>A 14278-2021</t>
        </is>
      </c>
      <c r="B556" s="1" t="n">
        <v>44278</v>
      </c>
      <c r="C556" s="1" t="n">
        <v>45349</v>
      </c>
      <c r="D556" t="inlineStr">
        <is>
          <t>KALMAR LÄN</t>
        </is>
      </c>
      <c r="E556" t="inlineStr">
        <is>
          <t>VIMMERBY</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14347-2021</t>
        </is>
      </c>
      <c r="B557" s="1" t="n">
        <v>44279</v>
      </c>
      <c r="C557" s="1" t="n">
        <v>45349</v>
      </c>
      <c r="D557" t="inlineStr">
        <is>
          <t>KALMAR LÄN</t>
        </is>
      </c>
      <c r="E557" t="inlineStr">
        <is>
          <t>VIMMERBY</t>
        </is>
      </c>
      <c r="G557" t="n">
        <v>6.4</v>
      </c>
      <c r="H557" t="n">
        <v>0</v>
      </c>
      <c r="I557" t="n">
        <v>0</v>
      </c>
      <c r="J557" t="n">
        <v>0</v>
      </c>
      <c r="K557" t="n">
        <v>0</v>
      </c>
      <c r="L557" t="n">
        <v>0</v>
      </c>
      <c r="M557" t="n">
        <v>0</v>
      </c>
      <c r="N557" t="n">
        <v>0</v>
      </c>
      <c r="O557" t="n">
        <v>0</v>
      </c>
      <c r="P557" t="n">
        <v>0</v>
      </c>
      <c r="Q557" t="n">
        <v>0</v>
      </c>
      <c r="R557" s="2" t="inlineStr"/>
    </row>
    <row r="558" ht="15" customHeight="1">
      <c r="A558" t="inlineStr">
        <is>
          <t>A 14451-2021</t>
        </is>
      </c>
      <c r="B558" s="1" t="n">
        <v>44279</v>
      </c>
      <c r="C558" s="1" t="n">
        <v>45349</v>
      </c>
      <c r="D558" t="inlineStr">
        <is>
          <t>KALMAR LÄN</t>
        </is>
      </c>
      <c r="E558" t="inlineStr">
        <is>
          <t>VIMMERBY</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14521-2021</t>
        </is>
      </c>
      <c r="B559" s="1" t="n">
        <v>44279</v>
      </c>
      <c r="C559" s="1" t="n">
        <v>45349</v>
      </c>
      <c r="D559" t="inlineStr">
        <is>
          <t>KALMAR LÄN</t>
        </is>
      </c>
      <c r="E559" t="inlineStr">
        <is>
          <t>VIMMERBY</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15092-2021</t>
        </is>
      </c>
      <c r="B560" s="1" t="n">
        <v>44281</v>
      </c>
      <c r="C560" s="1" t="n">
        <v>45349</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15188-2021</t>
        </is>
      </c>
      <c r="B561" s="1" t="n">
        <v>44284</v>
      </c>
      <c r="C561" s="1" t="n">
        <v>45349</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15191-2021</t>
        </is>
      </c>
      <c r="B562" s="1" t="n">
        <v>44284</v>
      </c>
      <c r="C562" s="1" t="n">
        <v>45349</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15200-2021</t>
        </is>
      </c>
      <c r="B563" s="1" t="n">
        <v>44284</v>
      </c>
      <c r="C563" s="1" t="n">
        <v>45349</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15903-2021</t>
        </is>
      </c>
      <c r="B564" s="1" t="n">
        <v>44287</v>
      </c>
      <c r="C564" s="1" t="n">
        <v>45349</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16288-2021</t>
        </is>
      </c>
      <c r="B565" s="1" t="n">
        <v>44292</v>
      </c>
      <c r="C565" s="1" t="n">
        <v>45349</v>
      </c>
      <c r="D565" t="inlineStr">
        <is>
          <t>KALMAR LÄN</t>
        </is>
      </c>
      <c r="E565" t="inlineStr">
        <is>
          <t>VIMMERBY</t>
        </is>
      </c>
      <c r="F565" t="inlineStr">
        <is>
          <t>Övriga Aktiebolag</t>
        </is>
      </c>
      <c r="G565" t="n">
        <v>27.6</v>
      </c>
      <c r="H565" t="n">
        <v>0</v>
      </c>
      <c r="I565" t="n">
        <v>0</v>
      </c>
      <c r="J565" t="n">
        <v>0</v>
      </c>
      <c r="K565" t="n">
        <v>0</v>
      </c>
      <c r="L565" t="n">
        <v>0</v>
      </c>
      <c r="M565" t="n">
        <v>0</v>
      </c>
      <c r="N565" t="n">
        <v>0</v>
      </c>
      <c r="O565" t="n">
        <v>0</v>
      </c>
      <c r="P565" t="n">
        <v>0</v>
      </c>
      <c r="Q565" t="n">
        <v>0</v>
      </c>
      <c r="R565" s="2" t="inlineStr"/>
    </row>
    <row r="566" ht="15" customHeight="1">
      <c r="A566" t="inlineStr">
        <is>
          <t>A 16602-2021</t>
        </is>
      </c>
      <c r="B566" s="1" t="n">
        <v>44294</v>
      </c>
      <c r="C566" s="1" t="n">
        <v>45349</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16607-2021</t>
        </is>
      </c>
      <c r="B567" s="1" t="n">
        <v>44294</v>
      </c>
      <c r="C567" s="1" t="n">
        <v>45349</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17869-2021</t>
        </is>
      </c>
      <c r="B568" s="1" t="n">
        <v>44301</v>
      </c>
      <c r="C568" s="1" t="n">
        <v>45349</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18411-2021</t>
        </is>
      </c>
      <c r="B569" s="1" t="n">
        <v>44302</v>
      </c>
      <c r="C569" s="1" t="n">
        <v>45349</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18276-2021</t>
        </is>
      </c>
      <c r="B570" s="1" t="n">
        <v>44305</v>
      </c>
      <c r="C570" s="1" t="n">
        <v>45349</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18356-2021</t>
        </is>
      </c>
      <c r="B571" s="1" t="n">
        <v>44305</v>
      </c>
      <c r="C571" s="1" t="n">
        <v>45349</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18756-2021</t>
        </is>
      </c>
      <c r="B572" s="1" t="n">
        <v>44307</v>
      </c>
      <c r="C572" s="1" t="n">
        <v>45349</v>
      </c>
      <c r="D572" t="inlineStr">
        <is>
          <t>KALMAR LÄN</t>
        </is>
      </c>
      <c r="E572" t="inlineStr">
        <is>
          <t>VIMMERBY</t>
        </is>
      </c>
      <c r="G572" t="n">
        <v>7.4</v>
      </c>
      <c r="H572" t="n">
        <v>0</v>
      </c>
      <c r="I572" t="n">
        <v>0</v>
      </c>
      <c r="J572" t="n">
        <v>0</v>
      </c>
      <c r="K572" t="n">
        <v>0</v>
      </c>
      <c r="L572" t="n">
        <v>0</v>
      </c>
      <c r="M572" t="n">
        <v>0</v>
      </c>
      <c r="N572" t="n">
        <v>0</v>
      </c>
      <c r="O572" t="n">
        <v>0</v>
      </c>
      <c r="P572" t="n">
        <v>0</v>
      </c>
      <c r="Q572" t="n">
        <v>0</v>
      </c>
      <c r="R572" s="2" t="inlineStr"/>
    </row>
    <row r="573" ht="15" customHeight="1">
      <c r="A573" t="inlineStr">
        <is>
          <t>A 19445-2021</t>
        </is>
      </c>
      <c r="B573" s="1" t="n">
        <v>44310</v>
      </c>
      <c r="C573" s="1" t="n">
        <v>45349</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19863-2021</t>
        </is>
      </c>
      <c r="B574" s="1" t="n">
        <v>44312</v>
      </c>
      <c r="C574" s="1" t="n">
        <v>45349</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19865-2021</t>
        </is>
      </c>
      <c r="B575" s="1" t="n">
        <v>44312</v>
      </c>
      <c r="C575" s="1" t="n">
        <v>45349</v>
      </c>
      <c r="D575" t="inlineStr">
        <is>
          <t>KALMAR LÄN</t>
        </is>
      </c>
      <c r="E575" t="inlineStr">
        <is>
          <t>VIMMERBY</t>
        </is>
      </c>
      <c r="G575" t="n">
        <v>8.6</v>
      </c>
      <c r="H575" t="n">
        <v>0</v>
      </c>
      <c r="I575" t="n">
        <v>0</v>
      </c>
      <c r="J575" t="n">
        <v>0</v>
      </c>
      <c r="K575" t="n">
        <v>0</v>
      </c>
      <c r="L575" t="n">
        <v>0</v>
      </c>
      <c r="M575" t="n">
        <v>0</v>
      </c>
      <c r="N575" t="n">
        <v>0</v>
      </c>
      <c r="O575" t="n">
        <v>0</v>
      </c>
      <c r="P575" t="n">
        <v>0</v>
      </c>
      <c r="Q575" t="n">
        <v>0</v>
      </c>
      <c r="R575" s="2" t="inlineStr"/>
    </row>
    <row r="576" ht="15" customHeight="1">
      <c r="A576" t="inlineStr">
        <is>
          <t>A 22637-2021</t>
        </is>
      </c>
      <c r="B576" s="1" t="n">
        <v>44327</v>
      </c>
      <c r="C576" s="1" t="n">
        <v>45349</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24369-2021</t>
        </is>
      </c>
      <c r="B577" s="1" t="n">
        <v>44337</v>
      </c>
      <c r="C577" s="1" t="n">
        <v>45349</v>
      </c>
      <c r="D577" t="inlineStr">
        <is>
          <t>KALMAR LÄN</t>
        </is>
      </c>
      <c r="E577" t="inlineStr">
        <is>
          <t>VIMMERBY</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24655-2021</t>
        </is>
      </c>
      <c r="B578" s="1" t="n">
        <v>44340</v>
      </c>
      <c r="C578" s="1" t="n">
        <v>45349</v>
      </c>
      <c r="D578" t="inlineStr">
        <is>
          <t>KALMAR LÄN</t>
        </is>
      </c>
      <c r="E578" t="inlineStr">
        <is>
          <t>VIMMERBY</t>
        </is>
      </c>
      <c r="G578" t="n">
        <v>14.9</v>
      </c>
      <c r="H578" t="n">
        <v>0</v>
      </c>
      <c r="I578" t="n">
        <v>0</v>
      </c>
      <c r="J578" t="n">
        <v>0</v>
      </c>
      <c r="K578" t="n">
        <v>0</v>
      </c>
      <c r="L578" t="n">
        <v>0</v>
      </c>
      <c r="M578" t="n">
        <v>0</v>
      </c>
      <c r="N578" t="n">
        <v>0</v>
      </c>
      <c r="O578" t="n">
        <v>0</v>
      </c>
      <c r="P578" t="n">
        <v>0</v>
      </c>
      <c r="Q578" t="n">
        <v>0</v>
      </c>
      <c r="R578" s="2" t="inlineStr"/>
    </row>
    <row r="579" ht="15" customHeight="1">
      <c r="A579" t="inlineStr">
        <is>
          <t>A 24752-2021</t>
        </is>
      </c>
      <c r="B579" s="1" t="n">
        <v>44340</v>
      </c>
      <c r="C579" s="1" t="n">
        <v>45349</v>
      </c>
      <c r="D579" t="inlineStr">
        <is>
          <t>KALMAR LÄN</t>
        </is>
      </c>
      <c r="E579" t="inlineStr">
        <is>
          <t>VIMMERBY</t>
        </is>
      </c>
      <c r="G579" t="n">
        <v>4.1</v>
      </c>
      <c r="H579" t="n">
        <v>0</v>
      </c>
      <c r="I579" t="n">
        <v>0</v>
      </c>
      <c r="J579" t="n">
        <v>0</v>
      </c>
      <c r="K579" t="n">
        <v>0</v>
      </c>
      <c r="L579" t="n">
        <v>0</v>
      </c>
      <c r="M579" t="n">
        <v>0</v>
      </c>
      <c r="N579" t="n">
        <v>0</v>
      </c>
      <c r="O579" t="n">
        <v>0</v>
      </c>
      <c r="P579" t="n">
        <v>0</v>
      </c>
      <c r="Q579" t="n">
        <v>0</v>
      </c>
      <c r="R579" s="2" t="inlineStr"/>
    </row>
    <row r="580" ht="15" customHeight="1">
      <c r="A580" t="inlineStr">
        <is>
          <t>A 24738-2021</t>
        </is>
      </c>
      <c r="B580" s="1" t="n">
        <v>44340</v>
      </c>
      <c r="C580" s="1" t="n">
        <v>45349</v>
      </c>
      <c r="D580" t="inlineStr">
        <is>
          <t>KALMAR LÄN</t>
        </is>
      </c>
      <c r="E580" t="inlineStr">
        <is>
          <t>VIMMERBY</t>
        </is>
      </c>
      <c r="G580" t="n">
        <v>3.5</v>
      </c>
      <c r="H580" t="n">
        <v>0</v>
      </c>
      <c r="I580" t="n">
        <v>0</v>
      </c>
      <c r="J580" t="n">
        <v>0</v>
      </c>
      <c r="K580" t="n">
        <v>0</v>
      </c>
      <c r="L580" t="n">
        <v>0</v>
      </c>
      <c r="M580" t="n">
        <v>0</v>
      </c>
      <c r="N580" t="n">
        <v>0</v>
      </c>
      <c r="O580" t="n">
        <v>0</v>
      </c>
      <c r="P580" t="n">
        <v>0</v>
      </c>
      <c r="Q580" t="n">
        <v>0</v>
      </c>
      <c r="R580" s="2" t="inlineStr"/>
    </row>
    <row r="581" ht="15" customHeight="1">
      <c r="A581" t="inlineStr">
        <is>
          <t>A 24723-2021</t>
        </is>
      </c>
      <c r="B581" s="1" t="n">
        <v>44340</v>
      </c>
      <c r="C581" s="1" t="n">
        <v>45349</v>
      </c>
      <c r="D581" t="inlineStr">
        <is>
          <t>KALMAR LÄN</t>
        </is>
      </c>
      <c r="E581" t="inlineStr">
        <is>
          <t>VIMMERBY</t>
        </is>
      </c>
      <c r="G581" t="n">
        <v>3.3</v>
      </c>
      <c r="H581" t="n">
        <v>0</v>
      </c>
      <c r="I581" t="n">
        <v>0</v>
      </c>
      <c r="J581" t="n">
        <v>0</v>
      </c>
      <c r="K581" t="n">
        <v>0</v>
      </c>
      <c r="L581" t="n">
        <v>0</v>
      </c>
      <c r="M581" t="n">
        <v>0</v>
      </c>
      <c r="N581" t="n">
        <v>0</v>
      </c>
      <c r="O581" t="n">
        <v>0</v>
      </c>
      <c r="P581" t="n">
        <v>0</v>
      </c>
      <c r="Q581" t="n">
        <v>0</v>
      </c>
      <c r="R581" s="2" t="inlineStr"/>
    </row>
    <row r="582" ht="15" customHeight="1">
      <c r="A582" t="inlineStr">
        <is>
          <t>A 24999-2021</t>
        </is>
      </c>
      <c r="B582" s="1" t="n">
        <v>44341</v>
      </c>
      <c r="C582" s="1" t="n">
        <v>45349</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27100-2021</t>
        </is>
      </c>
      <c r="B583" s="1" t="n">
        <v>44350</v>
      </c>
      <c r="C583" s="1" t="n">
        <v>45349</v>
      </c>
      <c r="D583" t="inlineStr">
        <is>
          <t>KALMAR LÄN</t>
        </is>
      </c>
      <c r="E583" t="inlineStr">
        <is>
          <t>VIMMERBY</t>
        </is>
      </c>
      <c r="G583" t="n">
        <v>9.6</v>
      </c>
      <c r="H583" t="n">
        <v>0</v>
      </c>
      <c r="I583" t="n">
        <v>0</v>
      </c>
      <c r="J583" t="n">
        <v>0</v>
      </c>
      <c r="K583" t="n">
        <v>0</v>
      </c>
      <c r="L583" t="n">
        <v>0</v>
      </c>
      <c r="M583" t="n">
        <v>0</v>
      </c>
      <c r="N583" t="n">
        <v>0</v>
      </c>
      <c r="O583" t="n">
        <v>0</v>
      </c>
      <c r="P583" t="n">
        <v>0</v>
      </c>
      <c r="Q583" t="n">
        <v>0</v>
      </c>
      <c r="R583" s="2" t="inlineStr"/>
    </row>
    <row r="584" ht="15" customHeight="1">
      <c r="A584" t="inlineStr">
        <is>
          <t>A 27086-2021</t>
        </is>
      </c>
      <c r="B584" s="1" t="n">
        <v>44350</v>
      </c>
      <c r="C584" s="1" t="n">
        <v>45349</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27759-2021</t>
        </is>
      </c>
      <c r="B585" s="1" t="n">
        <v>44354</v>
      </c>
      <c r="C585" s="1" t="n">
        <v>45349</v>
      </c>
      <c r="D585" t="inlineStr">
        <is>
          <t>KALMAR LÄN</t>
        </is>
      </c>
      <c r="E585" t="inlineStr">
        <is>
          <t>VIMMERBY</t>
        </is>
      </c>
      <c r="G585" t="n">
        <v>4.6</v>
      </c>
      <c r="H585" t="n">
        <v>0</v>
      </c>
      <c r="I585" t="n">
        <v>0</v>
      </c>
      <c r="J585" t="n">
        <v>0</v>
      </c>
      <c r="K585" t="n">
        <v>0</v>
      </c>
      <c r="L585" t="n">
        <v>0</v>
      </c>
      <c r="M585" t="n">
        <v>0</v>
      </c>
      <c r="N585" t="n">
        <v>0</v>
      </c>
      <c r="O585" t="n">
        <v>0</v>
      </c>
      <c r="P585" t="n">
        <v>0</v>
      </c>
      <c r="Q585" t="n">
        <v>0</v>
      </c>
      <c r="R585" s="2" t="inlineStr"/>
    </row>
    <row r="586" ht="15" customHeight="1">
      <c r="A586" t="inlineStr">
        <is>
          <t>A 27762-2021</t>
        </is>
      </c>
      <c r="B586" s="1" t="n">
        <v>44354</v>
      </c>
      <c r="C586" s="1" t="n">
        <v>45349</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30682-2021</t>
        </is>
      </c>
      <c r="B587" s="1" t="n">
        <v>44365</v>
      </c>
      <c r="C587" s="1" t="n">
        <v>45349</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31660-2021</t>
        </is>
      </c>
      <c r="B588" s="1" t="n">
        <v>44369</v>
      </c>
      <c r="C588" s="1" t="n">
        <v>45349</v>
      </c>
      <c r="D588" t="inlineStr">
        <is>
          <t>KALMAR LÄN</t>
        </is>
      </c>
      <c r="E588" t="inlineStr">
        <is>
          <t>VIMMERBY</t>
        </is>
      </c>
      <c r="G588" t="n">
        <v>4.2</v>
      </c>
      <c r="H588" t="n">
        <v>0</v>
      </c>
      <c r="I588" t="n">
        <v>0</v>
      </c>
      <c r="J588" t="n">
        <v>0</v>
      </c>
      <c r="K588" t="n">
        <v>0</v>
      </c>
      <c r="L588" t="n">
        <v>0</v>
      </c>
      <c r="M588" t="n">
        <v>0</v>
      </c>
      <c r="N588" t="n">
        <v>0</v>
      </c>
      <c r="O588" t="n">
        <v>0</v>
      </c>
      <c r="P588" t="n">
        <v>0</v>
      </c>
      <c r="Q588" t="n">
        <v>0</v>
      </c>
      <c r="R588" s="2" t="inlineStr"/>
    </row>
    <row r="589" ht="15" customHeight="1">
      <c r="A589" t="inlineStr">
        <is>
          <t>A 32386-2021</t>
        </is>
      </c>
      <c r="B589" s="1" t="n">
        <v>44371</v>
      </c>
      <c r="C589" s="1" t="n">
        <v>45349</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32607-2021</t>
        </is>
      </c>
      <c r="B590" s="1" t="n">
        <v>44375</v>
      </c>
      <c r="C590" s="1" t="n">
        <v>45349</v>
      </c>
      <c r="D590" t="inlineStr">
        <is>
          <t>KALMAR LÄN</t>
        </is>
      </c>
      <c r="E590" t="inlineStr">
        <is>
          <t>VIMMERBY</t>
        </is>
      </c>
      <c r="G590" t="n">
        <v>0.4</v>
      </c>
      <c r="H590" t="n">
        <v>0</v>
      </c>
      <c r="I590" t="n">
        <v>0</v>
      </c>
      <c r="J590" t="n">
        <v>0</v>
      </c>
      <c r="K590" t="n">
        <v>0</v>
      </c>
      <c r="L590" t="n">
        <v>0</v>
      </c>
      <c r="M590" t="n">
        <v>0</v>
      </c>
      <c r="N590" t="n">
        <v>0</v>
      </c>
      <c r="O590" t="n">
        <v>0</v>
      </c>
      <c r="P590" t="n">
        <v>0</v>
      </c>
      <c r="Q590" t="n">
        <v>0</v>
      </c>
      <c r="R590" s="2" t="inlineStr"/>
    </row>
    <row r="591" ht="15" customHeight="1">
      <c r="A591" t="inlineStr">
        <is>
          <t>A 32603-2021</t>
        </is>
      </c>
      <c r="B591" s="1" t="n">
        <v>44375</v>
      </c>
      <c r="C591" s="1" t="n">
        <v>45349</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33359-2021</t>
        </is>
      </c>
      <c r="B592" s="1" t="n">
        <v>44377</v>
      </c>
      <c r="C592" s="1" t="n">
        <v>45349</v>
      </c>
      <c r="D592" t="inlineStr">
        <is>
          <t>KALMAR LÄN</t>
        </is>
      </c>
      <c r="E592" t="inlineStr">
        <is>
          <t>VIMMERBY</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45349</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33446-2021</t>
        </is>
      </c>
      <c r="B594" s="1" t="n">
        <v>44377</v>
      </c>
      <c r="C594" s="1" t="n">
        <v>45349</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35198-2021</t>
        </is>
      </c>
      <c r="B595" s="1" t="n">
        <v>44377</v>
      </c>
      <c r="C595" s="1" t="n">
        <v>45349</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34040-2021</t>
        </is>
      </c>
      <c r="B596" s="1" t="n">
        <v>44379</v>
      </c>
      <c r="C596" s="1" t="n">
        <v>45349</v>
      </c>
      <c r="D596" t="inlineStr">
        <is>
          <t>KALMAR LÄN</t>
        </is>
      </c>
      <c r="E596" t="inlineStr">
        <is>
          <t>VIMMERBY</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34036-2021</t>
        </is>
      </c>
      <c r="B597" s="1" t="n">
        <v>44379</v>
      </c>
      <c r="C597" s="1" t="n">
        <v>45349</v>
      </c>
      <c r="D597" t="inlineStr">
        <is>
          <t>KALMAR LÄN</t>
        </is>
      </c>
      <c r="E597" t="inlineStr">
        <is>
          <t>VIMMERBY</t>
        </is>
      </c>
      <c r="F597" t="inlineStr">
        <is>
          <t>Sveaskog</t>
        </is>
      </c>
      <c r="G597" t="n">
        <v>7</v>
      </c>
      <c r="H597" t="n">
        <v>0</v>
      </c>
      <c r="I597" t="n">
        <v>0</v>
      </c>
      <c r="J597" t="n">
        <v>0</v>
      </c>
      <c r="K597" t="n">
        <v>0</v>
      </c>
      <c r="L597" t="n">
        <v>0</v>
      </c>
      <c r="M597" t="n">
        <v>0</v>
      </c>
      <c r="N597" t="n">
        <v>0</v>
      </c>
      <c r="O597" t="n">
        <v>0</v>
      </c>
      <c r="P597" t="n">
        <v>0</v>
      </c>
      <c r="Q597" t="n">
        <v>0</v>
      </c>
      <c r="R597" s="2" t="inlineStr"/>
    </row>
    <row r="598" ht="15" customHeight="1">
      <c r="A598" t="inlineStr">
        <is>
          <t>A 35001-2021</t>
        </is>
      </c>
      <c r="B598" s="1" t="n">
        <v>44383</v>
      </c>
      <c r="C598" s="1" t="n">
        <v>45349</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35316-2021</t>
        </is>
      </c>
      <c r="B599" s="1" t="n">
        <v>44384</v>
      </c>
      <c r="C599" s="1" t="n">
        <v>45349</v>
      </c>
      <c r="D599" t="inlineStr">
        <is>
          <t>KALMAR LÄN</t>
        </is>
      </c>
      <c r="E599" t="inlineStr">
        <is>
          <t>VIMMERBY</t>
        </is>
      </c>
      <c r="G599" t="n">
        <v>3.5</v>
      </c>
      <c r="H599" t="n">
        <v>0</v>
      </c>
      <c r="I599" t="n">
        <v>0</v>
      </c>
      <c r="J599" t="n">
        <v>0</v>
      </c>
      <c r="K599" t="n">
        <v>0</v>
      </c>
      <c r="L599" t="n">
        <v>0</v>
      </c>
      <c r="M599" t="n">
        <v>0</v>
      </c>
      <c r="N599" t="n">
        <v>0</v>
      </c>
      <c r="O599" t="n">
        <v>0</v>
      </c>
      <c r="P599" t="n">
        <v>0</v>
      </c>
      <c r="Q599" t="n">
        <v>0</v>
      </c>
      <c r="R599" s="2" t="inlineStr"/>
    </row>
    <row r="600" ht="15" customHeight="1">
      <c r="A600" t="inlineStr">
        <is>
          <t>A 35531-2021</t>
        </is>
      </c>
      <c r="B600" s="1" t="n">
        <v>44385</v>
      </c>
      <c r="C600" s="1" t="n">
        <v>45349</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35633-2021</t>
        </is>
      </c>
      <c r="B601" s="1" t="n">
        <v>44386</v>
      </c>
      <c r="C601" s="1" t="n">
        <v>45349</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36077-2021</t>
        </is>
      </c>
      <c r="B602" s="1" t="n">
        <v>44386</v>
      </c>
      <c r="C602" s="1" t="n">
        <v>45349</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36117-2021</t>
        </is>
      </c>
      <c r="B603" s="1" t="n">
        <v>44386</v>
      </c>
      <c r="C603" s="1" t="n">
        <v>45349</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36121-2021</t>
        </is>
      </c>
      <c r="B604" s="1" t="n">
        <v>44386</v>
      </c>
      <c r="C604" s="1" t="n">
        <v>45349</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36802-2021</t>
        </is>
      </c>
      <c r="B605" s="1" t="n">
        <v>44392</v>
      </c>
      <c r="C605" s="1" t="n">
        <v>45349</v>
      </c>
      <c r="D605" t="inlineStr">
        <is>
          <t>KALMAR LÄN</t>
        </is>
      </c>
      <c r="E605" t="inlineStr">
        <is>
          <t>VIMMERBY</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38086-2021</t>
        </is>
      </c>
      <c r="B606" s="1" t="n">
        <v>44404</v>
      </c>
      <c r="C606" s="1" t="n">
        <v>45349</v>
      </c>
      <c r="D606" t="inlineStr">
        <is>
          <t>KALMAR LÄN</t>
        </is>
      </c>
      <c r="E606" t="inlineStr">
        <is>
          <t>VIMMERBY</t>
        </is>
      </c>
      <c r="G606" t="n">
        <v>4.4</v>
      </c>
      <c r="H606" t="n">
        <v>0</v>
      </c>
      <c r="I606" t="n">
        <v>0</v>
      </c>
      <c r="J606" t="n">
        <v>0</v>
      </c>
      <c r="K606" t="n">
        <v>0</v>
      </c>
      <c r="L606" t="n">
        <v>0</v>
      </c>
      <c r="M606" t="n">
        <v>0</v>
      </c>
      <c r="N606" t="n">
        <v>0</v>
      </c>
      <c r="O606" t="n">
        <v>0</v>
      </c>
      <c r="P606" t="n">
        <v>0</v>
      </c>
      <c r="Q606" t="n">
        <v>0</v>
      </c>
      <c r="R606" s="2" t="inlineStr"/>
    </row>
    <row r="607" ht="15" customHeight="1">
      <c r="A607" t="inlineStr">
        <is>
          <t>A 38348-2021</t>
        </is>
      </c>
      <c r="B607" s="1" t="n">
        <v>44406</v>
      </c>
      <c r="C607" s="1" t="n">
        <v>45349</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38780-2021</t>
        </is>
      </c>
      <c r="B608" s="1" t="n">
        <v>44410</v>
      </c>
      <c r="C608" s="1" t="n">
        <v>45349</v>
      </c>
      <c r="D608" t="inlineStr">
        <is>
          <t>KALMAR LÄN</t>
        </is>
      </c>
      <c r="E608" t="inlineStr">
        <is>
          <t>VIMMERBY</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38789-2021</t>
        </is>
      </c>
      <c r="B609" s="1" t="n">
        <v>44410</v>
      </c>
      <c r="C609" s="1" t="n">
        <v>45349</v>
      </c>
      <c r="D609" t="inlineStr">
        <is>
          <t>KALMAR LÄN</t>
        </is>
      </c>
      <c r="E609" t="inlineStr">
        <is>
          <t>VIMMERBY</t>
        </is>
      </c>
      <c r="G609" t="n">
        <v>3.7</v>
      </c>
      <c r="H609" t="n">
        <v>0</v>
      </c>
      <c r="I609" t="n">
        <v>0</v>
      </c>
      <c r="J609" t="n">
        <v>0</v>
      </c>
      <c r="K609" t="n">
        <v>0</v>
      </c>
      <c r="L609" t="n">
        <v>0</v>
      </c>
      <c r="M609" t="n">
        <v>0</v>
      </c>
      <c r="N609" t="n">
        <v>0</v>
      </c>
      <c r="O609" t="n">
        <v>0</v>
      </c>
      <c r="P609" t="n">
        <v>0</v>
      </c>
      <c r="Q609" t="n">
        <v>0</v>
      </c>
      <c r="R609" s="2" t="inlineStr"/>
    </row>
    <row r="610" ht="15" customHeight="1">
      <c r="A610" t="inlineStr">
        <is>
          <t>A 40073-2021</t>
        </is>
      </c>
      <c r="B610" s="1" t="n">
        <v>44418</v>
      </c>
      <c r="C610" s="1" t="n">
        <v>45349</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40076-2021</t>
        </is>
      </c>
      <c r="B611" s="1" t="n">
        <v>44418</v>
      </c>
      <c r="C611" s="1" t="n">
        <v>45349</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40071-2021</t>
        </is>
      </c>
      <c r="B612" s="1" t="n">
        <v>44418</v>
      </c>
      <c r="C612" s="1" t="n">
        <v>45349</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40077-2021</t>
        </is>
      </c>
      <c r="B613" s="1" t="n">
        <v>44418</v>
      </c>
      <c r="C613" s="1" t="n">
        <v>45349</v>
      </c>
      <c r="D613" t="inlineStr">
        <is>
          <t>KALMAR LÄN</t>
        </is>
      </c>
      <c r="E613" t="inlineStr">
        <is>
          <t>VIMMERBY</t>
        </is>
      </c>
      <c r="G613" t="n">
        <v>2.9</v>
      </c>
      <c r="H613" t="n">
        <v>0</v>
      </c>
      <c r="I613" t="n">
        <v>0</v>
      </c>
      <c r="J613" t="n">
        <v>0</v>
      </c>
      <c r="K613" t="n">
        <v>0</v>
      </c>
      <c r="L613" t="n">
        <v>0</v>
      </c>
      <c r="M613" t="n">
        <v>0</v>
      </c>
      <c r="N613" t="n">
        <v>0</v>
      </c>
      <c r="O613" t="n">
        <v>0</v>
      </c>
      <c r="P613" t="n">
        <v>0</v>
      </c>
      <c r="Q613" t="n">
        <v>0</v>
      </c>
      <c r="R613" s="2" t="inlineStr"/>
    </row>
    <row r="614" ht="15" customHeight="1">
      <c r="A614" t="inlineStr">
        <is>
          <t>A 40971-2021</t>
        </is>
      </c>
      <c r="B614" s="1" t="n">
        <v>44421</v>
      </c>
      <c r="C614" s="1" t="n">
        <v>45349</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42521-2021</t>
        </is>
      </c>
      <c r="B615" s="1" t="n">
        <v>44427</v>
      </c>
      <c r="C615" s="1" t="n">
        <v>45349</v>
      </c>
      <c r="D615" t="inlineStr">
        <is>
          <t>KALMAR LÄN</t>
        </is>
      </c>
      <c r="E615" t="inlineStr">
        <is>
          <t>VIMMERBY</t>
        </is>
      </c>
      <c r="G615" t="n">
        <v>5.4</v>
      </c>
      <c r="H615" t="n">
        <v>0</v>
      </c>
      <c r="I615" t="n">
        <v>0</v>
      </c>
      <c r="J615" t="n">
        <v>0</v>
      </c>
      <c r="K615" t="n">
        <v>0</v>
      </c>
      <c r="L615" t="n">
        <v>0</v>
      </c>
      <c r="M615" t="n">
        <v>0</v>
      </c>
      <c r="N615" t="n">
        <v>0</v>
      </c>
      <c r="O615" t="n">
        <v>0</v>
      </c>
      <c r="P615" t="n">
        <v>0</v>
      </c>
      <c r="Q615" t="n">
        <v>0</v>
      </c>
      <c r="R615" s="2" t="inlineStr"/>
    </row>
    <row r="616" ht="15" customHeight="1">
      <c r="A616" t="inlineStr">
        <is>
          <t>A 42918-2021</t>
        </is>
      </c>
      <c r="B616" s="1" t="n">
        <v>44431</v>
      </c>
      <c r="C616" s="1" t="n">
        <v>45349</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43186-2021</t>
        </is>
      </c>
      <c r="B617" s="1" t="n">
        <v>44431</v>
      </c>
      <c r="C617" s="1" t="n">
        <v>45349</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45528-2021</t>
        </is>
      </c>
      <c r="B618" s="1" t="n">
        <v>44440</v>
      </c>
      <c r="C618" s="1" t="n">
        <v>45349</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45390-2021</t>
        </is>
      </c>
      <c r="B619" s="1" t="n">
        <v>44440</v>
      </c>
      <c r="C619" s="1" t="n">
        <v>45349</v>
      </c>
      <c r="D619" t="inlineStr">
        <is>
          <t>KALMAR LÄN</t>
        </is>
      </c>
      <c r="E619" t="inlineStr">
        <is>
          <t>VIMMERBY</t>
        </is>
      </c>
      <c r="G619" t="n">
        <v>3.9</v>
      </c>
      <c r="H619" t="n">
        <v>0</v>
      </c>
      <c r="I619" t="n">
        <v>0</v>
      </c>
      <c r="J619" t="n">
        <v>0</v>
      </c>
      <c r="K619" t="n">
        <v>0</v>
      </c>
      <c r="L619" t="n">
        <v>0</v>
      </c>
      <c r="M619" t="n">
        <v>0</v>
      </c>
      <c r="N619" t="n">
        <v>0</v>
      </c>
      <c r="O619" t="n">
        <v>0</v>
      </c>
      <c r="P619" t="n">
        <v>0</v>
      </c>
      <c r="Q619" t="n">
        <v>0</v>
      </c>
      <c r="R619" s="2" t="inlineStr"/>
    </row>
    <row r="620" ht="15" customHeight="1">
      <c r="A620" t="inlineStr">
        <is>
          <t>A 45560-2021</t>
        </is>
      </c>
      <c r="B620" s="1" t="n">
        <v>44440</v>
      </c>
      <c r="C620" s="1" t="n">
        <v>45349</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47208-2021</t>
        </is>
      </c>
      <c r="B621" s="1" t="n">
        <v>44447</v>
      </c>
      <c r="C621" s="1" t="n">
        <v>45349</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47205-2021</t>
        </is>
      </c>
      <c r="B622" s="1" t="n">
        <v>44447</v>
      </c>
      <c r="C622" s="1" t="n">
        <v>45349</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47473-2021</t>
        </is>
      </c>
      <c r="B623" s="1" t="n">
        <v>44447</v>
      </c>
      <c r="C623" s="1" t="n">
        <v>45349</v>
      </c>
      <c r="D623" t="inlineStr">
        <is>
          <t>KALMAR LÄN</t>
        </is>
      </c>
      <c r="E623" t="inlineStr">
        <is>
          <t>VIMMERBY</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48377-2021</t>
        </is>
      </c>
      <c r="B624" s="1" t="n">
        <v>44451</v>
      </c>
      <c r="C624" s="1" t="n">
        <v>45349</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48373-2021</t>
        </is>
      </c>
      <c r="B625" s="1" t="n">
        <v>44451</v>
      </c>
      <c r="C625" s="1" t="n">
        <v>45349</v>
      </c>
      <c r="D625" t="inlineStr">
        <is>
          <t>KALMAR LÄN</t>
        </is>
      </c>
      <c r="E625" t="inlineStr">
        <is>
          <t>VIMMERBY</t>
        </is>
      </c>
      <c r="G625" t="n">
        <v>2.2</v>
      </c>
      <c r="H625" t="n">
        <v>0</v>
      </c>
      <c r="I625" t="n">
        <v>0</v>
      </c>
      <c r="J625" t="n">
        <v>0</v>
      </c>
      <c r="K625" t="n">
        <v>0</v>
      </c>
      <c r="L625" t="n">
        <v>0</v>
      </c>
      <c r="M625" t="n">
        <v>0</v>
      </c>
      <c r="N625" t="n">
        <v>0</v>
      </c>
      <c r="O625" t="n">
        <v>0</v>
      </c>
      <c r="P625" t="n">
        <v>0</v>
      </c>
      <c r="Q625" t="n">
        <v>0</v>
      </c>
      <c r="R625" s="2" t="inlineStr"/>
    </row>
    <row r="626" ht="15" customHeight="1">
      <c r="A626" t="inlineStr">
        <is>
          <t>A 48673-2021</t>
        </is>
      </c>
      <c r="B626" s="1" t="n">
        <v>44452</v>
      </c>
      <c r="C626" s="1" t="n">
        <v>45349</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49039-2021</t>
        </is>
      </c>
      <c r="B627" s="1" t="n">
        <v>44453</v>
      </c>
      <c r="C627" s="1" t="n">
        <v>45349</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51972-2021</t>
        </is>
      </c>
      <c r="B628" s="1" t="n">
        <v>44463</v>
      </c>
      <c r="C628" s="1" t="n">
        <v>45349</v>
      </c>
      <c r="D628" t="inlineStr">
        <is>
          <t>KALMAR LÄN</t>
        </is>
      </c>
      <c r="E628" t="inlineStr">
        <is>
          <t>VIMMERBY</t>
        </is>
      </c>
      <c r="G628" t="n">
        <v>4.5</v>
      </c>
      <c r="H628" t="n">
        <v>0</v>
      </c>
      <c r="I628" t="n">
        <v>0</v>
      </c>
      <c r="J628" t="n">
        <v>0</v>
      </c>
      <c r="K628" t="n">
        <v>0</v>
      </c>
      <c r="L628" t="n">
        <v>0</v>
      </c>
      <c r="M628" t="n">
        <v>0</v>
      </c>
      <c r="N628" t="n">
        <v>0</v>
      </c>
      <c r="O628" t="n">
        <v>0</v>
      </c>
      <c r="P628" t="n">
        <v>0</v>
      </c>
      <c r="Q628" t="n">
        <v>0</v>
      </c>
      <c r="R628" s="2" t="inlineStr"/>
    </row>
    <row r="629" ht="15" customHeight="1">
      <c r="A629" t="inlineStr">
        <is>
          <t>A 52433-2021</t>
        </is>
      </c>
      <c r="B629" s="1" t="n">
        <v>44466</v>
      </c>
      <c r="C629" s="1" t="n">
        <v>45349</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52435-2021</t>
        </is>
      </c>
      <c r="B630" s="1" t="n">
        <v>44466</v>
      </c>
      <c r="C630" s="1" t="n">
        <v>45349</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53083-2021</t>
        </is>
      </c>
      <c r="B631" s="1" t="n">
        <v>44467</v>
      </c>
      <c r="C631" s="1" t="n">
        <v>45349</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53080-2021</t>
        </is>
      </c>
      <c r="B632" s="1" t="n">
        <v>44467</v>
      </c>
      <c r="C632" s="1" t="n">
        <v>45349</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54065-2021</t>
        </is>
      </c>
      <c r="B633" s="1" t="n">
        <v>44470</v>
      </c>
      <c r="C633" s="1" t="n">
        <v>45349</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45349</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55297-2021</t>
        </is>
      </c>
      <c r="B635" s="1" t="n">
        <v>44475</v>
      </c>
      <c r="C635" s="1" t="n">
        <v>45349</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55674-2021</t>
        </is>
      </c>
      <c r="B636" s="1" t="n">
        <v>44476</v>
      </c>
      <c r="C636" s="1" t="n">
        <v>45349</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56029-2021</t>
        </is>
      </c>
      <c r="B637" s="1" t="n">
        <v>44477</v>
      </c>
      <c r="C637" s="1" t="n">
        <v>45349</v>
      </c>
      <c r="D637" t="inlineStr">
        <is>
          <t>KALMAR LÄN</t>
        </is>
      </c>
      <c r="E637" t="inlineStr">
        <is>
          <t>VIMMERBY</t>
        </is>
      </c>
      <c r="G637" t="n">
        <v>3.9</v>
      </c>
      <c r="H637" t="n">
        <v>0</v>
      </c>
      <c r="I637" t="n">
        <v>0</v>
      </c>
      <c r="J637" t="n">
        <v>0</v>
      </c>
      <c r="K637" t="n">
        <v>0</v>
      </c>
      <c r="L637" t="n">
        <v>0</v>
      </c>
      <c r="M637" t="n">
        <v>0</v>
      </c>
      <c r="N637" t="n">
        <v>0</v>
      </c>
      <c r="O637" t="n">
        <v>0</v>
      </c>
      <c r="P637" t="n">
        <v>0</v>
      </c>
      <c r="Q637" t="n">
        <v>0</v>
      </c>
      <c r="R637" s="2" t="inlineStr"/>
    </row>
    <row r="638" ht="15" customHeight="1">
      <c r="A638" t="inlineStr">
        <is>
          <t>A 56343-2021</t>
        </is>
      </c>
      <c r="B638" s="1" t="n">
        <v>44480</v>
      </c>
      <c r="C638" s="1" t="n">
        <v>45349</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56385-2021</t>
        </is>
      </c>
      <c r="B639" s="1" t="n">
        <v>44480</v>
      </c>
      <c r="C639" s="1" t="n">
        <v>45349</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56347-2021</t>
        </is>
      </c>
      <c r="B640" s="1" t="n">
        <v>44480</v>
      </c>
      <c r="C640" s="1" t="n">
        <v>45349</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56378-2021</t>
        </is>
      </c>
      <c r="B641" s="1" t="n">
        <v>44480</v>
      </c>
      <c r="C641" s="1" t="n">
        <v>45349</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56398-2021</t>
        </is>
      </c>
      <c r="B642" s="1" t="n">
        <v>44480</v>
      </c>
      <c r="C642" s="1" t="n">
        <v>45349</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56389-2021</t>
        </is>
      </c>
      <c r="B643" s="1" t="n">
        <v>44480</v>
      </c>
      <c r="C643" s="1" t="n">
        <v>45349</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56754-2021</t>
        </is>
      </c>
      <c r="B644" s="1" t="n">
        <v>44481</v>
      </c>
      <c r="C644" s="1" t="n">
        <v>45349</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57416-2021</t>
        </is>
      </c>
      <c r="B645" s="1" t="n">
        <v>44483</v>
      </c>
      <c r="C645" s="1" t="n">
        <v>45349</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57605-2021</t>
        </is>
      </c>
      <c r="B646" s="1" t="n">
        <v>44483</v>
      </c>
      <c r="C646" s="1" t="n">
        <v>45349</v>
      </c>
      <c r="D646" t="inlineStr">
        <is>
          <t>KALMAR LÄN</t>
        </is>
      </c>
      <c r="E646" t="inlineStr">
        <is>
          <t>VIMMERBY</t>
        </is>
      </c>
      <c r="G646" t="n">
        <v>13.1</v>
      </c>
      <c r="H646" t="n">
        <v>0</v>
      </c>
      <c r="I646" t="n">
        <v>0</v>
      </c>
      <c r="J646" t="n">
        <v>0</v>
      </c>
      <c r="K646" t="n">
        <v>0</v>
      </c>
      <c r="L646" t="n">
        <v>0</v>
      </c>
      <c r="M646" t="n">
        <v>0</v>
      </c>
      <c r="N646" t="n">
        <v>0</v>
      </c>
      <c r="O646" t="n">
        <v>0</v>
      </c>
      <c r="P646" t="n">
        <v>0</v>
      </c>
      <c r="Q646" t="n">
        <v>0</v>
      </c>
      <c r="R646" s="2" t="inlineStr"/>
    </row>
    <row r="647" ht="15" customHeight="1">
      <c r="A647" t="inlineStr">
        <is>
          <t>A 58318-2021</t>
        </is>
      </c>
      <c r="B647" s="1" t="n">
        <v>44488</v>
      </c>
      <c r="C647" s="1" t="n">
        <v>45349</v>
      </c>
      <c r="D647" t="inlineStr">
        <is>
          <t>KALMAR LÄN</t>
        </is>
      </c>
      <c r="E647" t="inlineStr">
        <is>
          <t>VIMMERBY</t>
        </is>
      </c>
      <c r="G647" t="n">
        <v>4</v>
      </c>
      <c r="H647" t="n">
        <v>0</v>
      </c>
      <c r="I647" t="n">
        <v>0</v>
      </c>
      <c r="J647" t="n">
        <v>0</v>
      </c>
      <c r="K647" t="n">
        <v>0</v>
      </c>
      <c r="L647" t="n">
        <v>0</v>
      </c>
      <c r="M647" t="n">
        <v>0</v>
      </c>
      <c r="N647" t="n">
        <v>0</v>
      </c>
      <c r="O647" t="n">
        <v>0</v>
      </c>
      <c r="P647" t="n">
        <v>0</v>
      </c>
      <c r="Q647" t="n">
        <v>0</v>
      </c>
      <c r="R647" s="2" t="inlineStr"/>
    </row>
    <row r="648" ht="15" customHeight="1">
      <c r="A648" t="inlineStr">
        <is>
          <t>A 59070-2021</t>
        </is>
      </c>
      <c r="B648" s="1" t="n">
        <v>44490</v>
      </c>
      <c r="C648" s="1" t="n">
        <v>45349</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59781-2021</t>
        </is>
      </c>
      <c r="B649" s="1" t="n">
        <v>44494</v>
      </c>
      <c r="C649" s="1" t="n">
        <v>45349</v>
      </c>
      <c r="D649" t="inlineStr">
        <is>
          <t>KALMAR LÄN</t>
        </is>
      </c>
      <c r="E649" t="inlineStr">
        <is>
          <t>VIMMERBY</t>
        </is>
      </c>
      <c r="G649" t="n">
        <v>5.6</v>
      </c>
      <c r="H649" t="n">
        <v>0</v>
      </c>
      <c r="I649" t="n">
        <v>0</v>
      </c>
      <c r="J649" t="n">
        <v>0</v>
      </c>
      <c r="K649" t="n">
        <v>0</v>
      </c>
      <c r="L649" t="n">
        <v>0</v>
      </c>
      <c r="M649" t="n">
        <v>0</v>
      </c>
      <c r="N649" t="n">
        <v>0</v>
      </c>
      <c r="O649" t="n">
        <v>0</v>
      </c>
      <c r="P649" t="n">
        <v>0</v>
      </c>
      <c r="Q649" t="n">
        <v>0</v>
      </c>
      <c r="R649" s="2" t="inlineStr"/>
    </row>
    <row r="650" ht="15" customHeight="1">
      <c r="A650" t="inlineStr">
        <is>
          <t>A 59791-2021</t>
        </is>
      </c>
      <c r="B650" s="1" t="n">
        <v>44494</v>
      </c>
      <c r="C650" s="1" t="n">
        <v>45349</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60228-2021</t>
        </is>
      </c>
      <c r="B651" s="1" t="n">
        <v>44495</v>
      </c>
      <c r="C651" s="1" t="n">
        <v>45349</v>
      </c>
      <c r="D651" t="inlineStr">
        <is>
          <t>KALMAR LÄN</t>
        </is>
      </c>
      <c r="E651" t="inlineStr">
        <is>
          <t>VIMMERBY</t>
        </is>
      </c>
      <c r="G651" t="n">
        <v>4.1</v>
      </c>
      <c r="H651" t="n">
        <v>0</v>
      </c>
      <c r="I651" t="n">
        <v>0</v>
      </c>
      <c r="J651" t="n">
        <v>0</v>
      </c>
      <c r="K651" t="n">
        <v>0</v>
      </c>
      <c r="L651" t="n">
        <v>0</v>
      </c>
      <c r="M651" t="n">
        <v>0</v>
      </c>
      <c r="N651" t="n">
        <v>0</v>
      </c>
      <c r="O651" t="n">
        <v>0</v>
      </c>
      <c r="P651" t="n">
        <v>0</v>
      </c>
      <c r="Q651" t="n">
        <v>0</v>
      </c>
      <c r="R651" s="2" t="inlineStr"/>
    </row>
    <row r="652" ht="15" customHeight="1">
      <c r="A652" t="inlineStr">
        <is>
          <t>A 60225-2021</t>
        </is>
      </c>
      <c r="B652" s="1" t="n">
        <v>44495</v>
      </c>
      <c r="C652" s="1" t="n">
        <v>45349</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60994-2021</t>
        </is>
      </c>
      <c r="B653" s="1" t="n">
        <v>44497</v>
      </c>
      <c r="C653" s="1" t="n">
        <v>45349</v>
      </c>
      <c r="D653" t="inlineStr">
        <is>
          <t>KALMAR LÄN</t>
        </is>
      </c>
      <c r="E653" t="inlineStr">
        <is>
          <t>VIMMERBY</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61939-2021</t>
        </is>
      </c>
      <c r="B654" s="1" t="n">
        <v>44502</v>
      </c>
      <c r="C654" s="1" t="n">
        <v>45349</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63244-2021</t>
        </is>
      </c>
      <c r="B655" s="1" t="n">
        <v>44508</v>
      </c>
      <c r="C655" s="1" t="n">
        <v>45349</v>
      </c>
      <c r="D655" t="inlineStr">
        <is>
          <t>KALMAR LÄN</t>
        </is>
      </c>
      <c r="E655" t="inlineStr">
        <is>
          <t>VIMMERBY</t>
        </is>
      </c>
      <c r="F655" t="inlineStr">
        <is>
          <t>Övriga statliga verk och myndigheter</t>
        </is>
      </c>
      <c r="G655" t="n">
        <v>0.6</v>
      </c>
      <c r="H655" t="n">
        <v>0</v>
      </c>
      <c r="I655" t="n">
        <v>0</v>
      </c>
      <c r="J655" t="n">
        <v>0</v>
      </c>
      <c r="K655" t="n">
        <v>0</v>
      </c>
      <c r="L655" t="n">
        <v>0</v>
      </c>
      <c r="M655" t="n">
        <v>0</v>
      </c>
      <c r="N655" t="n">
        <v>0</v>
      </c>
      <c r="O655" t="n">
        <v>0</v>
      </c>
      <c r="P655" t="n">
        <v>0</v>
      </c>
      <c r="Q655" t="n">
        <v>0</v>
      </c>
      <c r="R655" s="2" t="inlineStr"/>
    </row>
    <row r="656" ht="15" customHeight="1">
      <c r="A656" t="inlineStr">
        <is>
          <t>A 63926-2021</t>
        </is>
      </c>
      <c r="B656" s="1" t="n">
        <v>44509</v>
      </c>
      <c r="C656" s="1" t="n">
        <v>45349</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64143-2021</t>
        </is>
      </c>
      <c r="B657" s="1" t="n">
        <v>44510</v>
      </c>
      <c r="C657" s="1" t="n">
        <v>45349</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64203-2021</t>
        </is>
      </c>
      <c r="B658" s="1" t="n">
        <v>44510</v>
      </c>
      <c r="C658" s="1" t="n">
        <v>45349</v>
      </c>
      <c r="D658" t="inlineStr">
        <is>
          <t>KALMAR LÄN</t>
        </is>
      </c>
      <c r="E658" t="inlineStr">
        <is>
          <t>VIMMERBY</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64923-2021</t>
        </is>
      </c>
      <c r="B659" s="1" t="n">
        <v>44512</v>
      </c>
      <c r="C659" s="1" t="n">
        <v>45349</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65670-2021</t>
        </is>
      </c>
      <c r="B660" s="1" t="n">
        <v>44516</v>
      </c>
      <c r="C660" s="1" t="n">
        <v>45349</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65864-2021</t>
        </is>
      </c>
      <c r="B661" s="1" t="n">
        <v>44517</v>
      </c>
      <c r="C661" s="1" t="n">
        <v>45349</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65887-2021</t>
        </is>
      </c>
      <c r="B662" s="1" t="n">
        <v>44517</v>
      </c>
      <c r="C662" s="1" t="n">
        <v>45349</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66022-2021</t>
        </is>
      </c>
      <c r="B663" s="1" t="n">
        <v>44517</v>
      </c>
      <c r="C663" s="1" t="n">
        <v>45349</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67952-2021</t>
        </is>
      </c>
      <c r="B664" s="1" t="n">
        <v>44525</v>
      </c>
      <c r="C664" s="1" t="n">
        <v>45349</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67983-2021</t>
        </is>
      </c>
      <c r="B665" s="1" t="n">
        <v>44525</v>
      </c>
      <c r="C665" s="1" t="n">
        <v>45349</v>
      </c>
      <c r="D665" t="inlineStr">
        <is>
          <t>KALMAR LÄN</t>
        </is>
      </c>
      <c r="E665" t="inlineStr">
        <is>
          <t>VIMMERBY</t>
        </is>
      </c>
      <c r="G665" t="n">
        <v>6.1</v>
      </c>
      <c r="H665" t="n">
        <v>0</v>
      </c>
      <c r="I665" t="n">
        <v>0</v>
      </c>
      <c r="J665" t="n">
        <v>0</v>
      </c>
      <c r="K665" t="n">
        <v>0</v>
      </c>
      <c r="L665" t="n">
        <v>0</v>
      </c>
      <c r="M665" t="n">
        <v>0</v>
      </c>
      <c r="N665" t="n">
        <v>0</v>
      </c>
      <c r="O665" t="n">
        <v>0</v>
      </c>
      <c r="P665" t="n">
        <v>0</v>
      </c>
      <c r="Q665" t="n">
        <v>0</v>
      </c>
      <c r="R665" s="2" t="inlineStr"/>
    </row>
    <row r="666" ht="15" customHeight="1">
      <c r="A666" t="inlineStr">
        <is>
          <t>A 68426-2021</t>
        </is>
      </c>
      <c r="B666" s="1" t="n">
        <v>44529</v>
      </c>
      <c r="C666" s="1" t="n">
        <v>45349</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68840-2021</t>
        </is>
      </c>
      <c r="B667" s="1" t="n">
        <v>44530</v>
      </c>
      <c r="C667" s="1" t="n">
        <v>45349</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71775-2021</t>
        </is>
      </c>
      <c r="B668" s="1" t="n">
        <v>44539</v>
      </c>
      <c r="C668" s="1" t="n">
        <v>45349</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71793-2021</t>
        </is>
      </c>
      <c r="B669" s="1" t="n">
        <v>44539</v>
      </c>
      <c r="C669" s="1" t="n">
        <v>45349</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72067-2021</t>
        </is>
      </c>
      <c r="B670" s="1" t="n">
        <v>44540</v>
      </c>
      <c r="C670" s="1" t="n">
        <v>45349</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71631-2021</t>
        </is>
      </c>
      <c r="B671" s="1" t="n">
        <v>44542</v>
      </c>
      <c r="C671" s="1" t="n">
        <v>45349</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71626-2021</t>
        </is>
      </c>
      <c r="B672" s="1" t="n">
        <v>44542</v>
      </c>
      <c r="C672" s="1" t="n">
        <v>45349</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72701-2021</t>
        </is>
      </c>
      <c r="B673" s="1" t="n">
        <v>44546</v>
      </c>
      <c r="C673" s="1" t="n">
        <v>45349</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73938-2021</t>
        </is>
      </c>
      <c r="B674" s="1" t="n">
        <v>44553</v>
      </c>
      <c r="C674" s="1" t="n">
        <v>45349</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172-2022</t>
        </is>
      </c>
      <c r="B675" s="1" t="n">
        <v>44564</v>
      </c>
      <c r="C675" s="1" t="n">
        <v>45349</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165-2022</t>
        </is>
      </c>
      <c r="B676" s="1" t="n">
        <v>44564</v>
      </c>
      <c r="C676" s="1" t="n">
        <v>45349</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529-2022</t>
        </is>
      </c>
      <c r="B677" s="1" t="n">
        <v>44566</v>
      </c>
      <c r="C677" s="1" t="n">
        <v>45349</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1627-2022</t>
        </is>
      </c>
      <c r="B678" s="1" t="n">
        <v>44573</v>
      </c>
      <c r="C678" s="1" t="n">
        <v>45349</v>
      </c>
      <c r="D678" t="inlineStr">
        <is>
          <t>KALMAR LÄN</t>
        </is>
      </c>
      <c r="E678" t="inlineStr">
        <is>
          <t>VIMMERBY</t>
        </is>
      </c>
      <c r="G678" t="n">
        <v>2.3</v>
      </c>
      <c r="H678" t="n">
        <v>0</v>
      </c>
      <c r="I678" t="n">
        <v>0</v>
      </c>
      <c r="J678" t="n">
        <v>0</v>
      </c>
      <c r="K678" t="n">
        <v>0</v>
      </c>
      <c r="L678" t="n">
        <v>0</v>
      </c>
      <c r="M678" t="n">
        <v>0</v>
      </c>
      <c r="N678" t="n">
        <v>0</v>
      </c>
      <c r="O678" t="n">
        <v>0</v>
      </c>
      <c r="P678" t="n">
        <v>0</v>
      </c>
      <c r="Q678" t="n">
        <v>0</v>
      </c>
      <c r="R678" s="2" t="inlineStr"/>
    </row>
    <row r="679" ht="15" customHeight="1">
      <c r="A679" t="inlineStr">
        <is>
          <t>A 1838-2022</t>
        </is>
      </c>
      <c r="B679" s="1" t="n">
        <v>44574</v>
      </c>
      <c r="C679" s="1" t="n">
        <v>45349</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2069-2022</t>
        </is>
      </c>
      <c r="B680" s="1" t="n">
        <v>44575</v>
      </c>
      <c r="C680" s="1" t="n">
        <v>45349</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2121-2022</t>
        </is>
      </c>
      <c r="B681" s="1" t="n">
        <v>44578</v>
      </c>
      <c r="C681" s="1" t="n">
        <v>45349</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2196-2022</t>
        </is>
      </c>
      <c r="B682" s="1" t="n">
        <v>44578</v>
      </c>
      <c r="C682" s="1" t="n">
        <v>45349</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2183-2022</t>
        </is>
      </c>
      <c r="B683" s="1" t="n">
        <v>44578</v>
      </c>
      <c r="C683" s="1" t="n">
        <v>45349</v>
      </c>
      <c r="D683" t="inlineStr">
        <is>
          <t>KALMAR LÄN</t>
        </is>
      </c>
      <c r="E683" t="inlineStr">
        <is>
          <t>VIMMERBY</t>
        </is>
      </c>
      <c r="G683" t="n">
        <v>4.8</v>
      </c>
      <c r="H683" t="n">
        <v>0</v>
      </c>
      <c r="I683" t="n">
        <v>0</v>
      </c>
      <c r="J683" t="n">
        <v>0</v>
      </c>
      <c r="K683" t="n">
        <v>0</v>
      </c>
      <c r="L683" t="n">
        <v>0</v>
      </c>
      <c r="M683" t="n">
        <v>0</v>
      </c>
      <c r="N683" t="n">
        <v>0</v>
      </c>
      <c r="O683" t="n">
        <v>0</v>
      </c>
      <c r="P683" t="n">
        <v>0</v>
      </c>
      <c r="Q683" t="n">
        <v>0</v>
      </c>
      <c r="R683" s="2" t="inlineStr"/>
    </row>
    <row r="684" ht="15" customHeight="1">
      <c r="A684" t="inlineStr">
        <is>
          <t>A 2260-2022</t>
        </is>
      </c>
      <c r="B684" s="1" t="n">
        <v>44578</v>
      </c>
      <c r="C684" s="1" t="n">
        <v>45349</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2411-2022</t>
        </is>
      </c>
      <c r="B685" s="1" t="n">
        <v>44579</v>
      </c>
      <c r="C685" s="1" t="n">
        <v>45349</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2462-2022</t>
        </is>
      </c>
      <c r="B686" s="1" t="n">
        <v>44579</v>
      </c>
      <c r="C686" s="1" t="n">
        <v>45349</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3425-2022</t>
        </is>
      </c>
      <c r="B687" s="1" t="n">
        <v>44585</v>
      </c>
      <c r="C687" s="1" t="n">
        <v>45349</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v>
      </c>
      <c r="C688" s="1" t="n">
        <v>45349</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3426-2022</t>
        </is>
      </c>
      <c r="B689" s="1" t="n">
        <v>44585</v>
      </c>
      <c r="C689" s="1" t="n">
        <v>45349</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3816-2022</t>
        </is>
      </c>
      <c r="B690" s="1" t="n">
        <v>44587</v>
      </c>
      <c r="C690" s="1" t="n">
        <v>45349</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3902-2022</t>
        </is>
      </c>
      <c r="B691" s="1" t="n">
        <v>44587</v>
      </c>
      <c r="C691" s="1" t="n">
        <v>45349</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4046-2022</t>
        </is>
      </c>
      <c r="B692" s="1" t="n">
        <v>44588</v>
      </c>
      <c r="C692" s="1" t="n">
        <v>45349</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4054-2022</t>
        </is>
      </c>
      <c r="B693" s="1" t="n">
        <v>44588</v>
      </c>
      <c r="C693" s="1" t="n">
        <v>45349</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4118-2022</t>
        </is>
      </c>
      <c r="B694" s="1" t="n">
        <v>44588</v>
      </c>
      <c r="C694" s="1" t="n">
        <v>45349</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4126-2022</t>
        </is>
      </c>
      <c r="B695" s="1" t="n">
        <v>44588</v>
      </c>
      <c r="C695" s="1" t="n">
        <v>45349</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4042-2022</t>
        </is>
      </c>
      <c r="B696" s="1" t="n">
        <v>44588</v>
      </c>
      <c r="C696" s="1" t="n">
        <v>45349</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4076-2022</t>
        </is>
      </c>
      <c r="B697" s="1" t="n">
        <v>44588</v>
      </c>
      <c r="C697" s="1" t="n">
        <v>45349</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4122-2022</t>
        </is>
      </c>
      <c r="B698" s="1" t="n">
        <v>44588</v>
      </c>
      <c r="C698" s="1" t="n">
        <v>45349</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4297-2022</t>
        </is>
      </c>
      <c r="B699" s="1" t="n">
        <v>44588</v>
      </c>
      <c r="C699" s="1" t="n">
        <v>45349</v>
      </c>
      <c r="D699" t="inlineStr">
        <is>
          <t>KALMAR LÄN</t>
        </is>
      </c>
      <c r="E699" t="inlineStr">
        <is>
          <t>VIMMERBY</t>
        </is>
      </c>
      <c r="G699" t="n">
        <v>1</v>
      </c>
      <c r="H699" t="n">
        <v>0</v>
      </c>
      <c r="I699" t="n">
        <v>0</v>
      </c>
      <c r="J699" t="n">
        <v>0</v>
      </c>
      <c r="K699" t="n">
        <v>0</v>
      </c>
      <c r="L699" t="n">
        <v>0</v>
      </c>
      <c r="M699" t="n">
        <v>0</v>
      </c>
      <c r="N699" t="n">
        <v>0</v>
      </c>
      <c r="O699" t="n">
        <v>0</v>
      </c>
      <c r="P699" t="n">
        <v>0</v>
      </c>
      <c r="Q699" t="n">
        <v>0</v>
      </c>
      <c r="R699" s="2" t="inlineStr"/>
    </row>
    <row r="700" ht="15" customHeight="1">
      <c r="A700" t="inlineStr">
        <is>
          <t>A 4296-2022</t>
        </is>
      </c>
      <c r="B700" s="1" t="n">
        <v>44588</v>
      </c>
      <c r="C700" s="1" t="n">
        <v>45349</v>
      </c>
      <c r="D700" t="inlineStr">
        <is>
          <t>KALMAR LÄN</t>
        </is>
      </c>
      <c r="E700" t="inlineStr">
        <is>
          <t>VIMMERBY</t>
        </is>
      </c>
      <c r="G700" t="n">
        <v>1.8</v>
      </c>
      <c r="H700" t="n">
        <v>0</v>
      </c>
      <c r="I700" t="n">
        <v>0</v>
      </c>
      <c r="J700" t="n">
        <v>0</v>
      </c>
      <c r="K700" t="n">
        <v>0</v>
      </c>
      <c r="L700" t="n">
        <v>0</v>
      </c>
      <c r="M700" t="n">
        <v>0</v>
      </c>
      <c r="N700" t="n">
        <v>0</v>
      </c>
      <c r="O700" t="n">
        <v>0</v>
      </c>
      <c r="P700" t="n">
        <v>0</v>
      </c>
      <c r="Q700" t="n">
        <v>0</v>
      </c>
      <c r="R700" s="2" t="inlineStr"/>
    </row>
    <row r="701" ht="15" customHeight="1">
      <c r="A701" t="inlineStr">
        <is>
          <t>A 4532-2022</t>
        </is>
      </c>
      <c r="B701" s="1" t="n">
        <v>44590</v>
      </c>
      <c r="C701" s="1" t="n">
        <v>45349</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5527-2022</t>
        </is>
      </c>
      <c r="B702" s="1" t="n">
        <v>44595</v>
      </c>
      <c r="C702" s="1" t="n">
        <v>45349</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5545-2022</t>
        </is>
      </c>
      <c r="B703" s="1" t="n">
        <v>44595</v>
      </c>
      <c r="C703" s="1" t="n">
        <v>45349</v>
      </c>
      <c r="D703" t="inlineStr">
        <is>
          <t>KALMAR LÄN</t>
        </is>
      </c>
      <c r="E703" t="inlineStr">
        <is>
          <t>VIMMERBY</t>
        </is>
      </c>
      <c r="G703" t="n">
        <v>2.2</v>
      </c>
      <c r="H703" t="n">
        <v>0</v>
      </c>
      <c r="I703" t="n">
        <v>0</v>
      </c>
      <c r="J703" t="n">
        <v>0</v>
      </c>
      <c r="K703" t="n">
        <v>0</v>
      </c>
      <c r="L703" t="n">
        <v>0</v>
      </c>
      <c r="M703" t="n">
        <v>0</v>
      </c>
      <c r="N703" t="n">
        <v>0</v>
      </c>
      <c r="O703" t="n">
        <v>0</v>
      </c>
      <c r="P703" t="n">
        <v>0</v>
      </c>
      <c r="Q703" t="n">
        <v>0</v>
      </c>
      <c r="R703" s="2" t="inlineStr"/>
    </row>
    <row r="704" ht="15" customHeight="1">
      <c r="A704" t="inlineStr">
        <is>
          <t>A 5618-2022</t>
        </is>
      </c>
      <c r="B704" s="1" t="n">
        <v>44595</v>
      </c>
      <c r="C704" s="1" t="n">
        <v>45349</v>
      </c>
      <c r="D704" t="inlineStr">
        <is>
          <t>KALMAR LÄN</t>
        </is>
      </c>
      <c r="E704" t="inlineStr">
        <is>
          <t>VIMMERBY</t>
        </is>
      </c>
      <c r="G704" t="n">
        <v>3.6</v>
      </c>
      <c r="H704" t="n">
        <v>0</v>
      </c>
      <c r="I704" t="n">
        <v>0</v>
      </c>
      <c r="J704" t="n">
        <v>0</v>
      </c>
      <c r="K704" t="n">
        <v>0</v>
      </c>
      <c r="L704" t="n">
        <v>0</v>
      </c>
      <c r="M704" t="n">
        <v>0</v>
      </c>
      <c r="N704" t="n">
        <v>0</v>
      </c>
      <c r="O704" t="n">
        <v>0</v>
      </c>
      <c r="P704" t="n">
        <v>0</v>
      </c>
      <c r="Q704" t="n">
        <v>0</v>
      </c>
      <c r="R704" s="2" t="inlineStr"/>
    </row>
    <row r="705" ht="15" customHeight="1">
      <c r="A705" t="inlineStr">
        <is>
          <t>A 5864-2022</t>
        </is>
      </c>
      <c r="B705" s="1" t="n">
        <v>44596</v>
      </c>
      <c r="C705" s="1" t="n">
        <v>45349</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5925-2022</t>
        </is>
      </c>
      <c r="B706" s="1" t="n">
        <v>44598</v>
      </c>
      <c r="C706" s="1" t="n">
        <v>45349</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5938-2022</t>
        </is>
      </c>
      <c r="B707" s="1" t="n">
        <v>44598</v>
      </c>
      <c r="C707" s="1" t="n">
        <v>45349</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6083-2022</t>
        </is>
      </c>
      <c r="B708" s="1" t="n">
        <v>44599</v>
      </c>
      <c r="C708" s="1" t="n">
        <v>45349</v>
      </c>
      <c r="D708" t="inlineStr">
        <is>
          <t>KALMAR LÄN</t>
        </is>
      </c>
      <c r="E708" t="inlineStr">
        <is>
          <t>VIMMERBY</t>
        </is>
      </c>
      <c r="G708" t="n">
        <v>6.6</v>
      </c>
      <c r="H708" t="n">
        <v>0</v>
      </c>
      <c r="I708" t="n">
        <v>0</v>
      </c>
      <c r="J708" t="n">
        <v>0</v>
      </c>
      <c r="K708" t="n">
        <v>0</v>
      </c>
      <c r="L708" t="n">
        <v>0</v>
      </c>
      <c r="M708" t="n">
        <v>0</v>
      </c>
      <c r="N708" t="n">
        <v>0</v>
      </c>
      <c r="O708" t="n">
        <v>0</v>
      </c>
      <c r="P708" t="n">
        <v>0</v>
      </c>
      <c r="Q708" t="n">
        <v>0</v>
      </c>
      <c r="R708" s="2" t="inlineStr"/>
    </row>
    <row r="709" ht="15" customHeight="1">
      <c r="A709" t="inlineStr">
        <is>
          <t>A 6082-2022</t>
        </is>
      </c>
      <c r="B709" s="1" t="n">
        <v>44599</v>
      </c>
      <c r="C709" s="1" t="n">
        <v>45349</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6358-2022</t>
        </is>
      </c>
      <c r="B710" s="1" t="n">
        <v>44600</v>
      </c>
      <c r="C710" s="1" t="n">
        <v>45349</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6355-2022</t>
        </is>
      </c>
      <c r="B711" s="1" t="n">
        <v>44600</v>
      </c>
      <c r="C711" s="1" t="n">
        <v>45349</v>
      </c>
      <c r="D711" t="inlineStr">
        <is>
          <t>KALMAR LÄN</t>
        </is>
      </c>
      <c r="E711" t="inlineStr">
        <is>
          <t>VIMMERBY</t>
        </is>
      </c>
      <c r="G711" t="n">
        <v>4.9</v>
      </c>
      <c r="H711" t="n">
        <v>0</v>
      </c>
      <c r="I711" t="n">
        <v>0</v>
      </c>
      <c r="J711" t="n">
        <v>0</v>
      </c>
      <c r="K711" t="n">
        <v>0</v>
      </c>
      <c r="L711" t="n">
        <v>0</v>
      </c>
      <c r="M711" t="n">
        <v>0</v>
      </c>
      <c r="N711" t="n">
        <v>0</v>
      </c>
      <c r="O711" t="n">
        <v>0</v>
      </c>
      <c r="P711" t="n">
        <v>0</v>
      </c>
      <c r="Q711" t="n">
        <v>0</v>
      </c>
      <c r="R711" s="2" t="inlineStr"/>
    </row>
    <row r="712" ht="15" customHeight="1">
      <c r="A712" t="inlineStr">
        <is>
          <t>A 7047-2022</t>
        </is>
      </c>
      <c r="B712" s="1" t="n">
        <v>44603</v>
      </c>
      <c r="C712" s="1" t="n">
        <v>45349</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7049-2022</t>
        </is>
      </c>
      <c r="B713" s="1" t="n">
        <v>44603</v>
      </c>
      <c r="C713" s="1" t="n">
        <v>45349</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7167-2022</t>
        </is>
      </c>
      <c r="B714" s="1" t="n">
        <v>44604</v>
      </c>
      <c r="C714" s="1" t="n">
        <v>45349</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7643-2022</t>
        </is>
      </c>
      <c r="B715" s="1" t="n">
        <v>44607</v>
      </c>
      <c r="C715" s="1" t="n">
        <v>45349</v>
      </c>
      <c r="D715" t="inlineStr">
        <is>
          <t>KALMAR LÄN</t>
        </is>
      </c>
      <c r="E715" t="inlineStr">
        <is>
          <t>VIMMERBY</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7804-2022</t>
        </is>
      </c>
      <c r="B716" s="1" t="n">
        <v>44608</v>
      </c>
      <c r="C716" s="1" t="n">
        <v>45349</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7917-2022</t>
        </is>
      </c>
      <c r="B717" s="1" t="n">
        <v>44608</v>
      </c>
      <c r="C717" s="1" t="n">
        <v>45349</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8194-2022</t>
        </is>
      </c>
      <c r="B718" s="1" t="n">
        <v>44609</v>
      </c>
      <c r="C718" s="1" t="n">
        <v>45349</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8454-2022</t>
        </is>
      </c>
      <c r="B719" s="1" t="n">
        <v>44612</v>
      </c>
      <c r="C719" s="1" t="n">
        <v>45349</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8453-2022</t>
        </is>
      </c>
      <c r="B720" s="1" t="n">
        <v>44612</v>
      </c>
      <c r="C720" s="1" t="n">
        <v>45349</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8462-2022</t>
        </is>
      </c>
      <c r="B721" s="1" t="n">
        <v>44612</v>
      </c>
      <c r="C721" s="1" t="n">
        <v>45349</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8650-2022</t>
        </is>
      </c>
      <c r="B722" s="1" t="n">
        <v>44613</v>
      </c>
      <c r="C722" s="1" t="n">
        <v>45349</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8908-2022</t>
        </is>
      </c>
      <c r="B723" s="1" t="n">
        <v>44614</v>
      </c>
      <c r="C723" s="1" t="n">
        <v>45349</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9311-2022</t>
        </is>
      </c>
      <c r="B724" s="1" t="n">
        <v>44616</v>
      </c>
      <c r="C724" s="1" t="n">
        <v>45349</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9918-2022</t>
        </is>
      </c>
      <c r="B725" s="1" t="n">
        <v>44620</v>
      </c>
      <c r="C725" s="1" t="n">
        <v>45349</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10086-2022</t>
        </is>
      </c>
      <c r="B726" s="1" t="n">
        <v>44621</v>
      </c>
      <c r="C726" s="1" t="n">
        <v>45349</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10487-2022</t>
        </is>
      </c>
      <c r="B727" s="1" t="n">
        <v>44623</v>
      </c>
      <c r="C727" s="1" t="n">
        <v>45349</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11429-2022</t>
        </is>
      </c>
      <c r="B728" s="1" t="n">
        <v>44630</v>
      </c>
      <c r="C728" s="1" t="n">
        <v>45349</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11733-2022</t>
        </is>
      </c>
      <c r="B729" s="1" t="n">
        <v>44634</v>
      </c>
      <c r="C729" s="1" t="n">
        <v>45349</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11814-2022</t>
        </is>
      </c>
      <c r="B730" s="1" t="n">
        <v>44634</v>
      </c>
      <c r="C730" s="1" t="n">
        <v>45349</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11928-2022</t>
        </is>
      </c>
      <c r="B731" s="1" t="n">
        <v>44635</v>
      </c>
      <c r="C731" s="1" t="n">
        <v>45349</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11930-2022</t>
        </is>
      </c>
      <c r="B732" s="1" t="n">
        <v>44635</v>
      </c>
      <c r="C732" s="1" t="n">
        <v>45349</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12107-2022</t>
        </is>
      </c>
      <c r="B733" s="1" t="n">
        <v>44636</v>
      </c>
      <c r="C733" s="1" t="n">
        <v>45349</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v>
      </c>
      <c r="C734" s="1" t="n">
        <v>45349</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13015-2022</t>
        </is>
      </c>
      <c r="B735" s="1" t="n">
        <v>44643</v>
      </c>
      <c r="C735" s="1" t="n">
        <v>45349</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13180-2022</t>
        </is>
      </c>
      <c r="B736" s="1" t="n">
        <v>44644</v>
      </c>
      <c r="C736" s="1" t="n">
        <v>45349</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14347-2022</t>
        </is>
      </c>
      <c r="B737" s="1" t="n">
        <v>44652</v>
      </c>
      <c r="C737" s="1" t="n">
        <v>45349</v>
      </c>
      <c r="D737" t="inlineStr">
        <is>
          <t>KALMAR LÄN</t>
        </is>
      </c>
      <c r="E737" t="inlineStr">
        <is>
          <t>VIMMERBY</t>
        </is>
      </c>
      <c r="F737" t="inlineStr">
        <is>
          <t>Sveaskog</t>
        </is>
      </c>
      <c r="G737" t="n">
        <v>7.2</v>
      </c>
      <c r="H737" t="n">
        <v>0</v>
      </c>
      <c r="I737" t="n">
        <v>0</v>
      </c>
      <c r="J737" t="n">
        <v>0</v>
      </c>
      <c r="K737" t="n">
        <v>0</v>
      </c>
      <c r="L737" t="n">
        <v>0</v>
      </c>
      <c r="M737" t="n">
        <v>0</v>
      </c>
      <c r="N737" t="n">
        <v>0</v>
      </c>
      <c r="O737" t="n">
        <v>0</v>
      </c>
      <c r="P737" t="n">
        <v>0</v>
      </c>
      <c r="Q737" t="n">
        <v>0</v>
      </c>
      <c r="R737" s="2" t="inlineStr"/>
    </row>
    <row r="738" ht="15" customHeight="1">
      <c r="A738" t="inlineStr">
        <is>
          <t>A 15146-2022</t>
        </is>
      </c>
      <c r="B738" s="1" t="n">
        <v>44658</v>
      </c>
      <c r="C738" s="1" t="n">
        <v>45349</v>
      </c>
      <c r="D738" t="inlineStr">
        <is>
          <t>KALMAR LÄN</t>
        </is>
      </c>
      <c r="E738" t="inlineStr">
        <is>
          <t>VIMMERBY</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15438-2022</t>
        </is>
      </c>
      <c r="B739" s="1" t="n">
        <v>44659</v>
      </c>
      <c r="C739" s="1" t="n">
        <v>45349</v>
      </c>
      <c r="D739" t="inlineStr">
        <is>
          <t>KALMAR LÄN</t>
        </is>
      </c>
      <c r="E739" t="inlineStr">
        <is>
          <t>VIMMERBY</t>
        </is>
      </c>
      <c r="F739" t="inlineStr">
        <is>
          <t>Kommuner</t>
        </is>
      </c>
      <c r="G739" t="n">
        <v>2.8</v>
      </c>
      <c r="H739" t="n">
        <v>0</v>
      </c>
      <c r="I739" t="n">
        <v>0</v>
      </c>
      <c r="J739" t="n">
        <v>0</v>
      </c>
      <c r="K739" t="n">
        <v>0</v>
      </c>
      <c r="L739" t="n">
        <v>0</v>
      </c>
      <c r="M739" t="n">
        <v>0</v>
      </c>
      <c r="N739" t="n">
        <v>0</v>
      </c>
      <c r="O739" t="n">
        <v>0</v>
      </c>
      <c r="P739" t="n">
        <v>0</v>
      </c>
      <c r="Q739" t="n">
        <v>0</v>
      </c>
      <c r="R739" s="2" t="inlineStr"/>
    </row>
    <row r="740" ht="15" customHeight="1">
      <c r="A740" t="inlineStr">
        <is>
          <t>A 15533-2022</t>
        </is>
      </c>
      <c r="B740" s="1" t="n">
        <v>44662</v>
      </c>
      <c r="C740" s="1" t="n">
        <v>45349</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15535-2022</t>
        </is>
      </c>
      <c r="B741" s="1" t="n">
        <v>44662</v>
      </c>
      <c r="C741" s="1" t="n">
        <v>45349</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16156-2022</t>
        </is>
      </c>
      <c r="B742" s="1" t="n">
        <v>44666</v>
      </c>
      <c r="C742" s="1" t="n">
        <v>45349</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16288-2022</t>
        </is>
      </c>
      <c r="B743" s="1" t="n">
        <v>44670</v>
      </c>
      <c r="C743" s="1" t="n">
        <v>45349</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16283-2022</t>
        </is>
      </c>
      <c r="B744" s="1" t="n">
        <v>44670</v>
      </c>
      <c r="C744" s="1" t="n">
        <v>45349</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16290-2022</t>
        </is>
      </c>
      <c r="B745" s="1" t="n">
        <v>44670</v>
      </c>
      <c r="C745" s="1" t="n">
        <v>45349</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17029-2022</t>
        </is>
      </c>
      <c r="B746" s="1" t="n">
        <v>44676</v>
      </c>
      <c r="C746" s="1" t="n">
        <v>45349</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17253-2022</t>
        </is>
      </c>
      <c r="B747" s="1" t="n">
        <v>44678</v>
      </c>
      <c r="C747" s="1" t="n">
        <v>45349</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19535-2022</t>
        </is>
      </c>
      <c r="B748" s="1" t="n">
        <v>44693</v>
      </c>
      <c r="C748" s="1" t="n">
        <v>45349</v>
      </c>
      <c r="D748" t="inlineStr">
        <is>
          <t>KALMAR LÄN</t>
        </is>
      </c>
      <c r="E748" t="inlineStr">
        <is>
          <t>VIMMERBY</t>
        </is>
      </c>
      <c r="F748" t="inlineStr">
        <is>
          <t>Sveaskog</t>
        </is>
      </c>
      <c r="G748" t="n">
        <v>7.1</v>
      </c>
      <c r="H748" t="n">
        <v>0</v>
      </c>
      <c r="I748" t="n">
        <v>0</v>
      </c>
      <c r="J748" t="n">
        <v>0</v>
      </c>
      <c r="K748" t="n">
        <v>0</v>
      </c>
      <c r="L748" t="n">
        <v>0</v>
      </c>
      <c r="M748" t="n">
        <v>0</v>
      </c>
      <c r="N748" t="n">
        <v>0</v>
      </c>
      <c r="O748" t="n">
        <v>0</v>
      </c>
      <c r="P748" t="n">
        <v>0</v>
      </c>
      <c r="Q748" t="n">
        <v>0</v>
      </c>
      <c r="R748" s="2" t="inlineStr"/>
    </row>
    <row r="749" ht="15" customHeight="1">
      <c r="A749" t="inlineStr">
        <is>
          <t>A 19537-2022</t>
        </is>
      </c>
      <c r="B749" s="1" t="n">
        <v>44693</v>
      </c>
      <c r="C749" s="1" t="n">
        <v>45349</v>
      </c>
      <c r="D749" t="inlineStr">
        <is>
          <t>KALMAR LÄN</t>
        </is>
      </c>
      <c r="E749" t="inlineStr">
        <is>
          <t>VIMMERBY</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23341-2022</t>
        </is>
      </c>
      <c r="B750" s="1" t="n">
        <v>44720</v>
      </c>
      <c r="C750" s="1" t="n">
        <v>45349</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23825-2022</t>
        </is>
      </c>
      <c r="B751" s="1" t="n">
        <v>44722</v>
      </c>
      <c r="C751" s="1" t="n">
        <v>45349</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25049-2022</t>
        </is>
      </c>
      <c r="B752" s="1" t="n">
        <v>44729</v>
      </c>
      <c r="C752" s="1" t="n">
        <v>45349</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25370-2022</t>
        </is>
      </c>
      <c r="B753" s="1" t="n">
        <v>44732</v>
      </c>
      <c r="C753" s="1" t="n">
        <v>45349</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25738-2022</t>
        </is>
      </c>
      <c r="B754" s="1" t="n">
        <v>44733</v>
      </c>
      <c r="C754" s="1" t="n">
        <v>45349</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25859-2022</t>
        </is>
      </c>
      <c r="B755" s="1" t="n">
        <v>44733</v>
      </c>
      <c r="C755" s="1" t="n">
        <v>45349</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25868-2022</t>
        </is>
      </c>
      <c r="B756" s="1" t="n">
        <v>44733</v>
      </c>
      <c r="C756" s="1" t="n">
        <v>45349</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27455-2022</t>
        </is>
      </c>
      <c r="B757" s="1" t="n">
        <v>44742</v>
      </c>
      <c r="C757" s="1" t="n">
        <v>45349</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v>
      </c>
      <c r="C758" s="1" t="n">
        <v>45349</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28034-2022</t>
        </is>
      </c>
      <c r="B759" s="1" t="n">
        <v>44746</v>
      </c>
      <c r="C759" s="1" t="n">
        <v>45349</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28406-2022</t>
        </is>
      </c>
      <c r="B760" s="1" t="n">
        <v>44747</v>
      </c>
      <c r="C760" s="1" t="n">
        <v>45349</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28646-2022</t>
        </is>
      </c>
      <c r="B761" s="1" t="n">
        <v>44748</v>
      </c>
      <c r="C761" s="1" t="n">
        <v>45349</v>
      </c>
      <c r="D761" t="inlineStr">
        <is>
          <t>KALMAR LÄN</t>
        </is>
      </c>
      <c r="E761" t="inlineStr">
        <is>
          <t>VIMMERBY</t>
        </is>
      </c>
      <c r="G761" t="n">
        <v>4.4</v>
      </c>
      <c r="H761" t="n">
        <v>0</v>
      </c>
      <c r="I761" t="n">
        <v>0</v>
      </c>
      <c r="J761" t="n">
        <v>0</v>
      </c>
      <c r="K761" t="n">
        <v>0</v>
      </c>
      <c r="L761" t="n">
        <v>0</v>
      </c>
      <c r="M761" t="n">
        <v>0</v>
      </c>
      <c r="N761" t="n">
        <v>0</v>
      </c>
      <c r="O761" t="n">
        <v>0</v>
      </c>
      <c r="P761" t="n">
        <v>0</v>
      </c>
      <c r="Q761" t="n">
        <v>0</v>
      </c>
      <c r="R761" s="2" t="inlineStr"/>
    </row>
    <row r="762" ht="15" customHeight="1">
      <c r="A762" t="inlineStr">
        <is>
          <t>A 29616-2022</t>
        </is>
      </c>
      <c r="B762" s="1" t="n">
        <v>44754</v>
      </c>
      <c r="C762" s="1" t="n">
        <v>45349</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29910-2022</t>
        </is>
      </c>
      <c r="B763" s="1" t="n">
        <v>44756</v>
      </c>
      <c r="C763" s="1" t="n">
        <v>45349</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31053-2022</t>
        </is>
      </c>
      <c r="B764" s="1" t="n">
        <v>44769</v>
      </c>
      <c r="C764" s="1" t="n">
        <v>45349</v>
      </c>
      <c r="D764" t="inlineStr">
        <is>
          <t>KALMAR LÄN</t>
        </is>
      </c>
      <c r="E764" t="inlineStr">
        <is>
          <t>VIMMERBY</t>
        </is>
      </c>
      <c r="G764" t="n">
        <v>1.9</v>
      </c>
      <c r="H764" t="n">
        <v>0</v>
      </c>
      <c r="I764" t="n">
        <v>0</v>
      </c>
      <c r="J764" t="n">
        <v>0</v>
      </c>
      <c r="K764" t="n">
        <v>0</v>
      </c>
      <c r="L764" t="n">
        <v>0</v>
      </c>
      <c r="M764" t="n">
        <v>0</v>
      </c>
      <c r="N764" t="n">
        <v>0</v>
      </c>
      <c r="O764" t="n">
        <v>0</v>
      </c>
      <c r="P764" t="n">
        <v>0</v>
      </c>
      <c r="Q764" t="n">
        <v>0</v>
      </c>
      <c r="R764" s="2" t="inlineStr"/>
    </row>
    <row r="765" ht="15" customHeight="1">
      <c r="A765" t="inlineStr">
        <is>
          <t>A 31056-2022</t>
        </is>
      </c>
      <c r="B765" s="1" t="n">
        <v>44769</v>
      </c>
      <c r="C765" s="1" t="n">
        <v>45349</v>
      </c>
      <c r="D765" t="inlineStr">
        <is>
          <t>KALMAR LÄN</t>
        </is>
      </c>
      <c r="E765" t="inlineStr">
        <is>
          <t>VIMMERBY</t>
        </is>
      </c>
      <c r="G765" t="n">
        <v>2</v>
      </c>
      <c r="H765" t="n">
        <v>0</v>
      </c>
      <c r="I765" t="n">
        <v>0</v>
      </c>
      <c r="J765" t="n">
        <v>0</v>
      </c>
      <c r="K765" t="n">
        <v>0</v>
      </c>
      <c r="L765" t="n">
        <v>0</v>
      </c>
      <c r="M765" t="n">
        <v>0</v>
      </c>
      <c r="N765" t="n">
        <v>0</v>
      </c>
      <c r="O765" t="n">
        <v>0</v>
      </c>
      <c r="P765" t="n">
        <v>0</v>
      </c>
      <c r="Q765" t="n">
        <v>0</v>
      </c>
      <c r="R765" s="2" t="inlineStr"/>
    </row>
    <row r="766" ht="15" customHeight="1">
      <c r="A766" t="inlineStr">
        <is>
          <t>A 31533-2022</t>
        </is>
      </c>
      <c r="B766" s="1" t="n">
        <v>44774</v>
      </c>
      <c r="C766" s="1" t="n">
        <v>45349</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31824-2022</t>
        </is>
      </c>
      <c r="B767" s="1" t="n">
        <v>44776</v>
      </c>
      <c r="C767" s="1" t="n">
        <v>45349</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32835-2022</t>
        </is>
      </c>
      <c r="B768" s="1" t="n">
        <v>44784</v>
      </c>
      <c r="C768" s="1" t="n">
        <v>45349</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32919-2022</t>
        </is>
      </c>
      <c r="B769" s="1" t="n">
        <v>44784</v>
      </c>
      <c r="C769" s="1" t="n">
        <v>45349</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33051-2022</t>
        </is>
      </c>
      <c r="B770" s="1" t="n">
        <v>44785</v>
      </c>
      <c r="C770" s="1" t="n">
        <v>45349</v>
      </c>
      <c r="D770" t="inlineStr">
        <is>
          <t>KALMAR LÄN</t>
        </is>
      </c>
      <c r="E770" t="inlineStr">
        <is>
          <t>VIMMERBY</t>
        </is>
      </c>
      <c r="G770" t="n">
        <v>0.3</v>
      </c>
      <c r="H770" t="n">
        <v>0</v>
      </c>
      <c r="I770" t="n">
        <v>0</v>
      </c>
      <c r="J770" t="n">
        <v>0</v>
      </c>
      <c r="K770" t="n">
        <v>0</v>
      </c>
      <c r="L770" t="n">
        <v>0</v>
      </c>
      <c r="M770" t="n">
        <v>0</v>
      </c>
      <c r="N770" t="n">
        <v>0</v>
      </c>
      <c r="O770" t="n">
        <v>0</v>
      </c>
      <c r="P770" t="n">
        <v>0</v>
      </c>
      <c r="Q770" t="n">
        <v>0</v>
      </c>
      <c r="R770" s="2" t="inlineStr"/>
    </row>
    <row r="771" ht="15" customHeight="1">
      <c r="A771" t="inlineStr">
        <is>
          <t>A 33352-2022</t>
        </is>
      </c>
      <c r="B771" s="1" t="n">
        <v>44788</v>
      </c>
      <c r="C771" s="1" t="n">
        <v>45349</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33681-2022</t>
        </is>
      </c>
      <c r="B772" s="1" t="n">
        <v>44789</v>
      </c>
      <c r="C772" s="1" t="n">
        <v>45349</v>
      </c>
      <c r="D772" t="inlineStr">
        <is>
          <t>KALMAR LÄN</t>
        </is>
      </c>
      <c r="E772" t="inlineStr">
        <is>
          <t>VIMMERBY</t>
        </is>
      </c>
      <c r="G772" t="n">
        <v>3.2</v>
      </c>
      <c r="H772" t="n">
        <v>0</v>
      </c>
      <c r="I772" t="n">
        <v>0</v>
      </c>
      <c r="J772" t="n">
        <v>0</v>
      </c>
      <c r="K772" t="n">
        <v>0</v>
      </c>
      <c r="L772" t="n">
        <v>0</v>
      </c>
      <c r="M772" t="n">
        <v>0</v>
      </c>
      <c r="N772" t="n">
        <v>0</v>
      </c>
      <c r="O772" t="n">
        <v>0</v>
      </c>
      <c r="P772" t="n">
        <v>0</v>
      </c>
      <c r="Q772" t="n">
        <v>0</v>
      </c>
      <c r="R772" s="2" t="inlineStr"/>
    </row>
    <row r="773" ht="15" customHeight="1">
      <c r="A773" t="inlineStr">
        <is>
          <t>A 33690-2022</t>
        </is>
      </c>
      <c r="B773" s="1" t="n">
        <v>44789</v>
      </c>
      <c r="C773" s="1" t="n">
        <v>45349</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33815-2022</t>
        </is>
      </c>
      <c r="B774" s="1" t="n">
        <v>44790</v>
      </c>
      <c r="C774" s="1" t="n">
        <v>45349</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33829-2022</t>
        </is>
      </c>
      <c r="B775" s="1" t="n">
        <v>44790</v>
      </c>
      <c r="C775" s="1" t="n">
        <v>45349</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33838-2022</t>
        </is>
      </c>
      <c r="B776" s="1" t="n">
        <v>44790</v>
      </c>
      <c r="C776" s="1" t="n">
        <v>45349</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33820-2022</t>
        </is>
      </c>
      <c r="B777" s="1" t="n">
        <v>44790</v>
      </c>
      <c r="C777" s="1" t="n">
        <v>45349</v>
      </c>
      <c r="D777" t="inlineStr">
        <is>
          <t>KALMAR LÄN</t>
        </is>
      </c>
      <c r="E777" t="inlineStr">
        <is>
          <t>VIMMERBY</t>
        </is>
      </c>
      <c r="G777" t="n">
        <v>3</v>
      </c>
      <c r="H777" t="n">
        <v>0</v>
      </c>
      <c r="I777" t="n">
        <v>0</v>
      </c>
      <c r="J777" t="n">
        <v>0</v>
      </c>
      <c r="K777" t="n">
        <v>0</v>
      </c>
      <c r="L777" t="n">
        <v>0</v>
      </c>
      <c r="M777" t="n">
        <v>0</v>
      </c>
      <c r="N777" t="n">
        <v>0</v>
      </c>
      <c r="O777" t="n">
        <v>0</v>
      </c>
      <c r="P777" t="n">
        <v>0</v>
      </c>
      <c r="Q777" t="n">
        <v>0</v>
      </c>
      <c r="R777" s="2" t="inlineStr"/>
    </row>
    <row r="778" ht="15" customHeight="1">
      <c r="A778" t="inlineStr">
        <is>
          <t>A 33831-2022</t>
        </is>
      </c>
      <c r="B778" s="1" t="n">
        <v>44790</v>
      </c>
      <c r="C778" s="1" t="n">
        <v>45349</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33842-2022</t>
        </is>
      </c>
      <c r="B779" s="1" t="n">
        <v>44790</v>
      </c>
      <c r="C779" s="1" t="n">
        <v>45349</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33824-2022</t>
        </is>
      </c>
      <c r="B780" s="1" t="n">
        <v>44790</v>
      </c>
      <c r="C780" s="1" t="n">
        <v>45349</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33840-2022</t>
        </is>
      </c>
      <c r="B781" s="1" t="n">
        <v>44790</v>
      </c>
      <c r="C781" s="1" t="n">
        <v>45349</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34376-2022</t>
        </is>
      </c>
      <c r="B782" s="1" t="n">
        <v>44792</v>
      </c>
      <c r="C782" s="1" t="n">
        <v>45349</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34329-2022</t>
        </is>
      </c>
      <c r="B783" s="1" t="n">
        <v>44792</v>
      </c>
      <c r="C783" s="1" t="n">
        <v>45349</v>
      </c>
      <c r="D783" t="inlineStr">
        <is>
          <t>KALMAR LÄN</t>
        </is>
      </c>
      <c r="E783" t="inlineStr">
        <is>
          <t>VIMMERBY</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34597-2022</t>
        </is>
      </c>
      <c r="B784" s="1" t="n">
        <v>44795</v>
      </c>
      <c r="C784" s="1" t="n">
        <v>45349</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35429-2022</t>
        </is>
      </c>
      <c r="B785" s="1" t="n">
        <v>44798</v>
      </c>
      <c r="C785" s="1" t="n">
        <v>45349</v>
      </c>
      <c r="D785" t="inlineStr">
        <is>
          <t>KALMAR LÄN</t>
        </is>
      </c>
      <c r="E785" t="inlineStr">
        <is>
          <t>VIMMERBY</t>
        </is>
      </c>
      <c r="G785" t="n">
        <v>4.9</v>
      </c>
      <c r="H785" t="n">
        <v>0</v>
      </c>
      <c r="I785" t="n">
        <v>0</v>
      </c>
      <c r="J785" t="n">
        <v>0</v>
      </c>
      <c r="K785" t="n">
        <v>0</v>
      </c>
      <c r="L785" t="n">
        <v>0</v>
      </c>
      <c r="M785" t="n">
        <v>0</v>
      </c>
      <c r="N785" t="n">
        <v>0</v>
      </c>
      <c r="O785" t="n">
        <v>0</v>
      </c>
      <c r="P785" t="n">
        <v>0</v>
      </c>
      <c r="Q785" t="n">
        <v>0</v>
      </c>
      <c r="R785" s="2" t="inlineStr"/>
    </row>
    <row r="786" ht="15" customHeight="1">
      <c r="A786" t="inlineStr">
        <is>
          <t>A 35615-2022</t>
        </is>
      </c>
      <c r="B786" s="1" t="n">
        <v>44799</v>
      </c>
      <c r="C786" s="1" t="n">
        <v>45349</v>
      </c>
      <c r="D786" t="inlineStr">
        <is>
          <t>KALMAR LÄN</t>
        </is>
      </c>
      <c r="E786" t="inlineStr">
        <is>
          <t>VIMMERBY</t>
        </is>
      </c>
      <c r="G786" t="n">
        <v>3.8</v>
      </c>
      <c r="H786" t="n">
        <v>0</v>
      </c>
      <c r="I786" t="n">
        <v>0</v>
      </c>
      <c r="J786" t="n">
        <v>0</v>
      </c>
      <c r="K786" t="n">
        <v>0</v>
      </c>
      <c r="L786" t="n">
        <v>0</v>
      </c>
      <c r="M786" t="n">
        <v>0</v>
      </c>
      <c r="N786" t="n">
        <v>0</v>
      </c>
      <c r="O786" t="n">
        <v>0</v>
      </c>
      <c r="P786" t="n">
        <v>0</v>
      </c>
      <c r="Q786" t="n">
        <v>0</v>
      </c>
      <c r="R786" s="2" t="inlineStr"/>
    </row>
    <row r="787" ht="15" customHeight="1">
      <c r="A787" t="inlineStr">
        <is>
          <t>A 36259-2022</t>
        </is>
      </c>
      <c r="B787" s="1" t="n">
        <v>44803</v>
      </c>
      <c r="C787" s="1" t="n">
        <v>45349</v>
      </c>
      <c r="D787" t="inlineStr">
        <is>
          <t>KALMAR LÄN</t>
        </is>
      </c>
      <c r="E787" t="inlineStr">
        <is>
          <t>VIMMERBY</t>
        </is>
      </c>
      <c r="G787" t="n">
        <v>3.9</v>
      </c>
      <c r="H787" t="n">
        <v>0</v>
      </c>
      <c r="I787" t="n">
        <v>0</v>
      </c>
      <c r="J787" t="n">
        <v>0</v>
      </c>
      <c r="K787" t="n">
        <v>0</v>
      </c>
      <c r="L787" t="n">
        <v>0</v>
      </c>
      <c r="M787" t="n">
        <v>0</v>
      </c>
      <c r="N787" t="n">
        <v>0</v>
      </c>
      <c r="O787" t="n">
        <v>0</v>
      </c>
      <c r="P787" t="n">
        <v>0</v>
      </c>
      <c r="Q787" t="n">
        <v>0</v>
      </c>
      <c r="R787" s="2" t="inlineStr"/>
    </row>
    <row r="788" ht="15" customHeight="1">
      <c r="A788" t="inlineStr">
        <is>
          <t>A 36268-2022</t>
        </is>
      </c>
      <c r="B788" s="1" t="n">
        <v>44803</v>
      </c>
      <c r="C788" s="1" t="n">
        <v>45349</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36320-2022</t>
        </is>
      </c>
      <c r="B789" s="1" t="n">
        <v>44803</v>
      </c>
      <c r="C789" s="1" t="n">
        <v>45349</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39225-2022</t>
        </is>
      </c>
      <c r="B790" s="1" t="n">
        <v>44817</v>
      </c>
      <c r="C790" s="1" t="n">
        <v>45349</v>
      </c>
      <c r="D790" t="inlineStr">
        <is>
          <t>KALMAR LÄN</t>
        </is>
      </c>
      <c r="E790" t="inlineStr">
        <is>
          <t>VIMMERBY</t>
        </is>
      </c>
      <c r="G790" t="n">
        <v>2.2</v>
      </c>
      <c r="H790" t="n">
        <v>0</v>
      </c>
      <c r="I790" t="n">
        <v>0</v>
      </c>
      <c r="J790" t="n">
        <v>0</v>
      </c>
      <c r="K790" t="n">
        <v>0</v>
      </c>
      <c r="L790" t="n">
        <v>0</v>
      </c>
      <c r="M790" t="n">
        <v>0</v>
      </c>
      <c r="N790" t="n">
        <v>0</v>
      </c>
      <c r="O790" t="n">
        <v>0</v>
      </c>
      <c r="P790" t="n">
        <v>0</v>
      </c>
      <c r="Q790" t="n">
        <v>0</v>
      </c>
      <c r="R790" s="2" t="inlineStr"/>
    </row>
    <row r="791" ht="15" customHeight="1">
      <c r="A791" t="inlineStr">
        <is>
          <t>A 39042-2022</t>
        </is>
      </c>
      <c r="B791" s="1" t="n">
        <v>44817</v>
      </c>
      <c r="C791" s="1" t="n">
        <v>45349</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39959-2022</t>
        </is>
      </c>
      <c r="B792" s="1" t="n">
        <v>44819</v>
      </c>
      <c r="C792" s="1" t="n">
        <v>45349</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40095-2022</t>
        </is>
      </c>
      <c r="B793" s="1" t="n">
        <v>44820</v>
      </c>
      <c r="C793" s="1" t="n">
        <v>45349</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40026-2022</t>
        </is>
      </c>
      <c r="B794" s="1" t="n">
        <v>44820</v>
      </c>
      <c r="C794" s="1" t="n">
        <v>45349</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40916-2022</t>
        </is>
      </c>
      <c r="B795" s="1" t="n">
        <v>44820</v>
      </c>
      <c r="C795" s="1" t="n">
        <v>45349</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40472-2022</t>
        </is>
      </c>
      <c r="B796" s="1" t="n">
        <v>44823</v>
      </c>
      <c r="C796" s="1" t="n">
        <v>45349</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40728-2022</t>
        </is>
      </c>
      <c r="B797" s="1" t="n">
        <v>44824</v>
      </c>
      <c r="C797" s="1" t="n">
        <v>45349</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41056-2022</t>
        </is>
      </c>
      <c r="B798" s="1" t="n">
        <v>44824</v>
      </c>
      <c r="C798" s="1" t="n">
        <v>45349</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40929-2022</t>
        </is>
      </c>
      <c r="B799" s="1" t="n">
        <v>44825</v>
      </c>
      <c r="C799" s="1" t="n">
        <v>45349</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40927-2022</t>
        </is>
      </c>
      <c r="B800" s="1" t="n">
        <v>44825</v>
      </c>
      <c r="C800" s="1" t="n">
        <v>45349</v>
      </c>
      <c r="D800" t="inlineStr">
        <is>
          <t>KALMAR LÄN</t>
        </is>
      </c>
      <c r="E800" t="inlineStr">
        <is>
          <t>VIMMERBY</t>
        </is>
      </c>
      <c r="G800" t="n">
        <v>3.2</v>
      </c>
      <c r="H800" t="n">
        <v>0</v>
      </c>
      <c r="I800" t="n">
        <v>0</v>
      </c>
      <c r="J800" t="n">
        <v>0</v>
      </c>
      <c r="K800" t="n">
        <v>0</v>
      </c>
      <c r="L800" t="n">
        <v>0</v>
      </c>
      <c r="M800" t="n">
        <v>0</v>
      </c>
      <c r="N800" t="n">
        <v>0</v>
      </c>
      <c r="O800" t="n">
        <v>0</v>
      </c>
      <c r="P800" t="n">
        <v>0</v>
      </c>
      <c r="Q800" t="n">
        <v>0</v>
      </c>
      <c r="R800" s="2" t="inlineStr"/>
    </row>
    <row r="801" ht="15" customHeight="1">
      <c r="A801" t="inlineStr">
        <is>
          <t>A 41424-2022</t>
        </is>
      </c>
      <c r="B801" s="1" t="n">
        <v>44826</v>
      </c>
      <c r="C801" s="1" t="n">
        <v>45349</v>
      </c>
      <c r="D801" t="inlineStr">
        <is>
          <t>KALMAR LÄN</t>
        </is>
      </c>
      <c r="E801" t="inlineStr">
        <is>
          <t>VIMMERBY</t>
        </is>
      </c>
      <c r="G801" t="n">
        <v>4.8</v>
      </c>
      <c r="H801" t="n">
        <v>0</v>
      </c>
      <c r="I801" t="n">
        <v>0</v>
      </c>
      <c r="J801" t="n">
        <v>0</v>
      </c>
      <c r="K801" t="n">
        <v>0</v>
      </c>
      <c r="L801" t="n">
        <v>0</v>
      </c>
      <c r="M801" t="n">
        <v>0</v>
      </c>
      <c r="N801" t="n">
        <v>0</v>
      </c>
      <c r="O801" t="n">
        <v>0</v>
      </c>
      <c r="P801" t="n">
        <v>0</v>
      </c>
      <c r="Q801" t="n">
        <v>0</v>
      </c>
      <c r="R801" s="2" t="inlineStr"/>
    </row>
    <row r="802" ht="15" customHeight="1">
      <c r="A802" t="inlineStr">
        <is>
          <t>A 41438-2022</t>
        </is>
      </c>
      <c r="B802" s="1" t="n">
        <v>44826</v>
      </c>
      <c r="C802" s="1" t="n">
        <v>45349</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42850-2022</t>
        </is>
      </c>
      <c r="B803" s="1" t="n">
        <v>44832</v>
      </c>
      <c r="C803" s="1" t="n">
        <v>45349</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43038-2022</t>
        </is>
      </c>
      <c r="B804" s="1" t="n">
        <v>44833</v>
      </c>
      <c r="C804" s="1" t="n">
        <v>45349</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43272-2022</t>
        </is>
      </c>
      <c r="B805" s="1" t="n">
        <v>44834</v>
      </c>
      <c r="C805" s="1" t="n">
        <v>45349</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43553-2022</t>
        </is>
      </c>
      <c r="B806" s="1" t="n">
        <v>44837</v>
      </c>
      <c r="C806" s="1" t="n">
        <v>45349</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44179-2022</t>
        </is>
      </c>
      <c r="B807" s="1" t="n">
        <v>44839</v>
      </c>
      <c r="C807" s="1" t="n">
        <v>45349</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44654-2022</t>
        </is>
      </c>
      <c r="B808" s="1" t="n">
        <v>44840</v>
      </c>
      <c r="C808" s="1" t="n">
        <v>45349</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44651-2022</t>
        </is>
      </c>
      <c r="B809" s="1" t="n">
        <v>44840</v>
      </c>
      <c r="C809" s="1" t="n">
        <v>45349</v>
      </c>
      <c r="D809" t="inlineStr">
        <is>
          <t>KALMAR LÄN</t>
        </is>
      </c>
      <c r="E809" t="inlineStr">
        <is>
          <t>VIMMERBY</t>
        </is>
      </c>
      <c r="G809" t="n">
        <v>5.3</v>
      </c>
      <c r="H809" t="n">
        <v>0</v>
      </c>
      <c r="I809" t="n">
        <v>0</v>
      </c>
      <c r="J809" t="n">
        <v>0</v>
      </c>
      <c r="K809" t="n">
        <v>0</v>
      </c>
      <c r="L809" t="n">
        <v>0</v>
      </c>
      <c r="M809" t="n">
        <v>0</v>
      </c>
      <c r="N809" t="n">
        <v>0</v>
      </c>
      <c r="O809" t="n">
        <v>0</v>
      </c>
      <c r="P809" t="n">
        <v>0</v>
      </c>
      <c r="Q809" t="n">
        <v>0</v>
      </c>
      <c r="R809" s="2" t="inlineStr"/>
    </row>
    <row r="810" ht="15" customHeight="1">
      <c r="A810" t="inlineStr">
        <is>
          <t>A 44656-2022</t>
        </is>
      </c>
      <c r="B810" s="1" t="n">
        <v>44840</v>
      </c>
      <c r="C810" s="1" t="n">
        <v>45349</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45861-2022</t>
        </is>
      </c>
      <c r="B811" s="1" t="n">
        <v>44846</v>
      </c>
      <c r="C811" s="1" t="n">
        <v>45349</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45858-2022</t>
        </is>
      </c>
      <c r="B812" s="1" t="n">
        <v>44846</v>
      </c>
      <c r="C812" s="1" t="n">
        <v>45349</v>
      </c>
      <c r="D812" t="inlineStr">
        <is>
          <t>KALMAR LÄN</t>
        </is>
      </c>
      <c r="E812" t="inlineStr">
        <is>
          <t>VIMMERBY</t>
        </is>
      </c>
      <c r="G812" t="n">
        <v>5.9</v>
      </c>
      <c r="H812" t="n">
        <v>0</v>
      </c>
      <c r="I812" t="n">
        <v>0</v>
      </c>
      <c r="J812" t="n">
        <v>0</v>
      </c>
      <c r="K812" t="n">
        <v>0</v>
      </c>
      <c r="L812" t="n">
        <v>0</v>
      </c>
      <c r="M812" t="n">
        <v>0</v>
      </c>
      <c r="N812" t="n">
        <v>0</v>
      </c>
      <c r="O812" t="n">
        <v>0</v>
      </c>
      <c r="P812" t="n">
        <v>0</v>
      </c>
      <c r="Q812" t="n">
        <v>0</v>
      </c>
      <c r="R812" s="2" t="inlineStr"/>
    </row>
    <row r="813" ht="15" customHeight="1">
      <c r="A813" t="inlineStr">
        <is>
          <t>A 46522-2022</t>
        </is>
      </c>
      <c r="B813" s="1" t="n">
        <v>44848</v>
      </c>
      <c r="C813" s="1" t="n">
        <v>45349</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46964-2022</t>
        </is>
      </c>
      <c r="B814" s="1" t="n">
        <v>44852</v>
      </c>
      <c r="C814" s="1" t="n">
        <v>45349</v>
      </c>
      <c r="D814" t="inlineStr">
        <is>
          <t>KALMAR LÄN</t>
        </is>
      </c>
      <c r="E814" t="inlineStr">
        <is>
          <t>VIMMERBY</t>
        </is>
      </c>
      <c r="G814" t="n">
        <v>0.2</v>
      </c>
      <c r="H814" t="n">
        <v>0</v>
      </c>
      <c r="I814" t="n">
        <v>0</v>
      </c>
      <c r="J814" t="n">
        <v>0</v>
      </c>
      <c r="K814" t="n">
        <v>0</v>
      </c>
      <c r="L814" t="n">
        <v>0</v>
      </c>
      <c r="M814" t="n">
        <v>0</v>
      </c>
      <c r="N814" t="n">
        <v>0</v>
      </c>
      <c r="O814" t="n">
        <v>0</v>
      </c>
      <c r="P814" t="n">
        <v>0</v>
      </c>
      <c r="Q814" t="n">
        <v>0</v>
      </c>
      <c r="R814" s="2" t="inlineStr"/>
    </row>
    <row r="815" ht="15" customHeight="1">
      <c r="A815" t="inlineStr">
        <is>
          <t>A 47214-2022</t>
        </is>
      </c>
      <c r="B815" s="1" t="n">
        <v>44852</v>
      </c>
      <c r="C815" s="1" t="n">
        <v>45349</v>
      </c>
      <c r="D815" t="inlineStr">
        <is>
          <t>KALMAR LÄN</t>
        </is>
      </c>
      <c r="E815" t="inlineStr">
        <is>
          <t>VIMMERBY</t>
        </is>
      </c>
      <c r="G815" t="n">
        <v>1.9</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45349</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47708-2022</t>
        </is>
      </c>
      <c r="B817" s="1" t="n">
        <v>44854</v>
      </c>
      <c r="C817" s="1" t="n">
        <v>45349</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47769-2022</t>
        </is>
      </c>
      <c r="B818" s="1" t="n">
        <v>44854</v>
      </c>
      <c r="C818" s="1" t="n">
        <v>45349</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48120-2022</t>
        </is>
      </c>
      <c r="B819" s="1" t="n">
        <v>44857</v>
      </c>
      <c r="C819" s="1" t="n">
        <v>45349</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49313-2022</t>
        </is>
      </c>
      <c r="B820" s="1" t="n">
        <v>44861</v>
      </c>
      <c r="C820" s="1" t="n">
        <v>45349</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49461-2022</t>
        </is>
      </c>
      <c r="B821" s="1" t="n">
        <v>44861</v>
      </c>
      <c r="C821" s="1" t="n">
        <v>45349</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50809-2022</t>
        </is>
      </c>
      <c r="B822" s="1" t="n">
        <v>44862</v>
      </c>
      <c r="C822" s="1" t="n">
        <v>45349</v>
      </c>
      <c r="D822" t="inlineStr">
        <is>
          <t>KALMAR LÄN</t>
        </is>
      </c>
      <c r="E822" t="inlineStr">
        <is>
          <t>VIMMERBY</t>
        </is>
      </c>
      <c r="G822" t="n">
        <v>3.7</v>
      </c>
      <c r="H822" t="n">
        <v>0</v>
      </c>
      <c r="I822" t="n">
        <v>0</v>
      </c>
      <c r="J822" t="n">
        <v>0</v>
      </c>
      <c r="K822" t="n">
        <v>0</v>
      </c>
      <c r="L822" t="n">
        <v>0</v>
      </c>
      <c r="M822" t="n">
        <v>0</v>
      </c>
      <c r="N822" t="n">
        <v>0</v>
      </c>
      <c r="O822" t="n">
        <v>0</v>
      </c>
      <c r="P822" t="n">
        <v>0</v>
      </c>
      <c r="Q822" t="n">
        <v>0</v>
      </c>
      <c r="R822" s="2" t="inlineStr"/>
    </row>
    <row r="823" ht="15" customHeight="1">
      <c r="A823" t="inlineStr">
        <is>
          <t>A 50804-2022</t>
        </is>
      </c>
      <c r="B823" s="1" t="n">
        <v>44862</v>
      </c>
      <c r="C823" s="1" t="n">
        <v>45349</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50535-2022</t>
        </is>
      </c>
      <c r="B824" s="1" t="n">
        <v>44866</v>
      </c>
      <c r="C824" s="1" t="n">
        <v>45349</v>
      </c>
      <c r="D824" t="inlineStr">
        <is>
          <t>KALMAR LÄN</t>
        </is>
      </c>
      <c r="E824" t="inlineStr">
        <is>
          <t>VIMMERBY</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50621-2022</t>
        </is>
      </c>
      <c r="B825" s="1" t="n">
        <v>44866</v>
      </c>
      <c r="C825" s="1" t="n">
        <v>45349</v>
      </c>
      <c r="D825" t="inlineStr">
        <is>
          <t>KALMAR LÄN</t>
        </is>
      </c>
      <c r="E825" t="inlineStr">
        <is>
          <t>VIMMERBY</t>
        </is>
      </c>
      <c r="F825" t="inlineStr">
        <is>
          <t>Övriga Aktiebolag</t>
        </is>
      </c>
      <c r="G825" t="n">
        <v>5.1</v>
      </c>
      <c r="H825" t="n">
        <v>0</v>
      </c>
      <c r="I825" t="n">
        <v>0</v>
      </c>
      <c r="J825" t="n">
        <v>0</v>
      </c>
      <c r="K825" t="n">
        <v>0</v>
      </c>
      <c r="L825" t="n">
        <v>0</v>
      </c>
      <c r="M825" t="n">
        <v>0</v>
      </c>
      <c r="N825" t="n">
        <v>0</v>
      </c>
      <c r="O825" t="n">
        <v>0</v>
      </c>
      <c r="P825" t="n">
        <v>0</v>
      </c>
      <c r="Q825" t="n">
        <v>0</v>
      </c>
      <c r="R825" s="2" t="inlineStr"/>
    </row>
    <row r="826" ht="15" customHeight="1">
      <c r="A826" t="inlineStr">
        <is>
          <t>A 50860-2022</t>
        </is>
      </c>
      <c r="B826" s="1" t="n">
        <v>44867</v>
      </c>
      <c r="C826" s="1" t="n">
        <v>45349</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45349</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50993-2022</t>
        </is>
      </c>
      <c r="B828" s="1" t="n">
        <v>44867</v>
      </c>
      <c r="C828" s="1" t="n">
        <v>45349</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52753-2022</t>
        </is>
      </c>
      <c r="B829" s="1" t="n">
        <v>44875</v>
      </c>
      <c r="C829" s="1" t="n">
        <v>45349</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52755-2022</t>
        </is>
      </c>
      <c r="B830" s="1" t="n">
        <v>44875</v>
      </c>
      <c r="C830" s="1" t="n">
        <v>45349</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53145-2022</t>
        </is>
      </c>
      <c r="B831" s="1" t="n">
        <v>44876</v>
      </c>
      <c r="C831" s="1" t="n">
        <v>45349</v>
      </c>
      <c r="D831" t="inlineStr">
        <is>
          <t>KALMAR LÄN</t>
        </is>
      </c>
      <c r="E831" t="inlineStr">
        <is>
          <t>VIMMERBY</t>
        </is>
      </c>
      <c r="G831" t="n">
        <v>0.4</v>
      </c>
      <c r="H831" t="n">
        <v>0</v>
      </c>
      <c r="I831" t="n">
        <v>0</v>
      </c>
      <c r="J831" t="n">
        <v>0</v>
      </c>
      <c r="K831" t="n">
        <v>0</v>
      </c>
      <c r="L831" t="n">
        <v>0</v>
      </c>
      <c r="M831" t="n">
        <v>0</v>
      </c>
      <c r="N831" t="n">
        <v>0</v>
      </c>
      <c r="O831" t="n">
        <v>0</v>
      </c>
      <c r="P831" t="n">
        <v>0</v>
      </c>
      <c r="Q831" t="n">
        <v>0</v>
      </c>
      <c r="R831" s="2" t="inlineStr"/>
    </row>
    <row r="832" ht="15" customHeight="1">
      <c r="A832" t="inlineStr">
        <is>
          <t>A 53247-2022</t>
        </is>
      </c>
      <c r="B832" s="1" t="n">
        <v>44876</v>
      </c>
      <c r="C832" s="1" t="n">
        <v>45349</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53482-2022</t>
        </is>
      </c>
      <c r="B833" s="1" t="n">
        <v>44879</v>
      </c>
      <c r="C833" s="1" t="n">
        <v>45349</v>
      </c>
      <c r="D833" t="inlineStr">
        <is>
          <t>KALMAR LÄN</t>
        </is>
      </c>
      <c r="E833" t="inlineStr">
        <is>
          <t>VIMMERBY</t>
        </is>
      </c>
      <c r="G833" t="n">
        <v>10.1</v>
      </c>
      <c r="H833" t="n">
        <v>0</v>
      </c>
      <c r="I833" t="n">
        <v>0</v>
      </c>
      <c r="J833" t="n">
        <v>0</v>
      </c>
      <c r="K833" t="n">
        <v>0</v>
      </c>
      <c r="L833" t="n">
        <v>0</v>
      </c>
      <c r="M833" t="n">
        <v>0</v>
      </c>
      <c r="N833" t="n">
        <v>0</v>
      </c>
      <c r="O833" t="n">
        <v>0</v>
      </c>
      <c r="P833" t="n">
        <v>0</v>
      </c>
      <c r="Q833" t="n">
        <v>0</v>
      </c>
      <c r="R833" s="2" t="inlineStr"/>
    </row>
    <row r="834" ht="15" customHeight="1">
      <c r="A834" t="inlineStr">
        <is>
          <t>A 53542-2022</t>
        </is>
      </c>
      <c r="B834" s="1" t="n">
        <v>44879</v>
      </c>
      <c r="C834" s="1" t="n">
        <v>45349</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53483-2022</t>
        </is>
      </c>
      <c r="B835" s="1" t="n">
        <v>44879</v>
      </c>
      <c r="C835" s="1" t="n">
        <v>45349</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54020-2022</t>
        </is>
      </c>
      <c r="B836" s="1" t="n">
        <v>44881</v>
      </c>
      <c r="C836" s="1" t="n">
        <v>45349</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54749-2022</t>
        </is>
      </c>
      <c r="B837" s="1" t="n">
        <v>44883</v>
      </c>
      <c r="C837" s="1" t="n">
        <v>45349</v>
      </c>
      <c r="D837" t="inlineStr">
        <is>
          <t>KALMAR LÄN</t>
        </is>
      </c>
      <c r="E837" t="inlineStr">
        <is>
          <t>VIMMERBY</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54745-2022</t>
        </is>
      </c>
      <c r="B838" s="1" t="n">
        <v>44883</v>
      </c>
      <c r="C838" s="1" t="n">
        <v>45349</v>
      </c>
      <c r="D838" t="inlineStr">
        <is>
          <t>KALMAR LÄN</t>
        </is>
      </c>
      <c r="E838" t="inlineStr">
        <is>
          <t>VIMMERBY</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54877-2022</t>
        </is>
      </c>
      <c r="B839" s="1" t="n">
        <v>44886</v>
      </c>
      <c r="C839" s="1" t="n">
        <v>45349</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55333-2022</t>
        </is>
      </c>
      <c r="B840" s="1" t="n">
        <v>44887</v>
      </c>
      <c r="C840" s="1" t="n">
        <v>45349</v>
      </c>
      <c r="D840" t="inlineStr">
        <is>
          <t>KALMAR LÄN</t>
        </is>
      </c>
      <c r="E840" t="inlineStr">
        <is>
          <t>VIMMERBY</t>
        </is>
      </c>
      <c r="G840" t="n">
        <v>3.4</v>
      </c>
      <c r="H840" t="n">
        <v>0</v>
      </c>
      <c r="I840" t="n">
        <v>0</v>
      </c>
      <c r="J840" t="n">
        <v>0</v>
      </c>
      <c r="K840" t="n">
        <v>0</v>
      </c>
      <c r="L840" t="n">
        <v>0</v>
      </c>
      <c r="M840" t="n">
        <v>0</v>
      </c>
      <c r="N840" t="n">
        <v>0</v>
      </c>
      <c r="O840" t="n">
        <v>0</v>
      </c>
      <c r="P840" t="n">
        <v>0</v>
      </c>
      <c r="Q840" t="n">
        <v>0</v>
      </c>
      <c r="R840" s="2" t="inlineStr"/>
    </row>
    <row r="841" ht="15" customHeight="1">
      <c r="A841" t="inlineStr">
        <is>
          <t>A 57682-2022</t>
        </is>
      </c>
      <c r="B841" s="1" t="n">
        <v>44890</v>
      </c>
      <c r="C841" s="1" t="n">
        <v>45349</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56582-2022</t>
        </is>
      </c>
      <c r="B842" s="1" t="n">
        <v>44893</v>
      </c>
      <c r="C842" s="1" t="n">
        <v>45349</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56536-2022</t>
        </is>
      </c>
      <c r="B843" s="1" t="n">
        <v>44893</v>
      </c>
      <c r="C843" s="1" t="n">
        <v>45349</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56853-2022</t>
        </is>
      </c>
      <c r="B844" s="1" t="n">
        <v>44894</v>
      </c>
      <c r="C844" s="1" t="n">
        <v>45349</v>
      </c>
      <c r="D844" t="inlineStr">
        <is>
          <t>KALMAR LÄN</t>
        </is>
      </c>
      <c r="E844" t="inlineStr">
        <is>
          <t>VIMMERBY</t>
        </is>
      </c>
      <c r="G844" t="n">
        <v>4.3</v>
      </c>
      <c r="H844" t="n">
        <v>0</v>
      </c>
      <c r="I844" t="n">
        <v>0</v>
      </c>
      <c r="J844" t="n">
        <v>0</v>
      </c>
      <c r="K844" t="n">
        <v>0</v>
      </c>
      <c r="L844" t="n">
        <v>0</v>
      </c>
      <c r="M844" t="n">
        <v>0</v>
      </c>
      <c r="N844" t="n">
        <v>0</v>
      </c>
      <c r="O844" t="n">
        <v>0</v>
      </c>
      <c r="P844" t="n">
        <v>0</v>
      </c>
      <c r="Q844" t="n">
        <v>0</v>
      </c>
      <c r="R844" s="2" t="inlineStr"/>
    </row>
    <row r="845" ht="15" customHeight="1">
      <c r="A845" t="inlineStr">
        <is>
          <t>A 57091-2022</t>
        </is>
      </c>
      <c r="B845" s="1" t="n">
        <v>44895</v>
      </c>
      <c r="C845" s="1" t="n">
        <v>45349</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57189-2022</t>
        </is>
      </c>
      <c r="B846" s="1" t="n">
        <v>44895</v>
      </c>
      <c r="C846" s="1" t="n">
        <v>45349</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57190-2022</t>
        </is>
      </c>
      <c r="B847" s="1" t="n">
        <v>44895</v>
      </c>
      <c r="C847" s="1" t="n">
        <v>45349</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58967-2022</t>
        </is>
      </c>
      <c r="B848" s="1" t="n">
        <v>44896</v>
      </c>
      <c r="C848" s="1" t="n">
        <v>45349</v>
      </c>
      <c r="D848" t="inlineStr">
        <is>
          <t>KALMAR LÄN</t>
        </is>
      </c>
      <c r="E848" t="inlineStr">
        <is>
          <t>VIMMERBY</t>
        </is>
      </c>
      <c r="G848" t="n">
        <v>5</v>
      </c>
      <c r="H848" t="n">
        <v>0</v>
      </c>
      <c r="I848" t="n">
        <v>0</v>
      </c>
      <c r="J848" t="n">
        <v>0</v>
      </c>
      <c r="K848" t="n">
        <v>0</v>
      </c>
      <c r="L848" t="n">
        <v>0</v>
      </c>
      <c r="M848" t="n">
        <v>0</v>
      </c>
      <c r="N848" t="n">
        <v>0</v>
      </c>
      <c r="O848" t="n">
        <v>0</v>
      </c>
      <c r="P848" t="n">
        <v>0</v>
      </c>
      <c r="Q848" t="n">
        <v>0</v>
      </c>
      <c r="R848" s="2" t="inlineStr"/>
    </row>
    <row r="849" ht="15" customHeight="1">
      <c r="A849" t="inlineStr">
        <is>
          <t>A 57799-2022</t>
        </is>
      </c>
      <c r="B849" s="1" t="n">
        <v>44897</v>
      </c>
      <c r="C849" s="1" t="n">
        <v>45349</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v>
      </c>
      <c r="C850" s="1" t="n">
        <v>45349</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58750-2022</t>
        </is>
      </c>
      <c r="B851" s="1" t="n">
        <v>44903</v>
      </c>
      <c r="C851" s="1" t="n">
        <v>45349</v>
      </c>
      <c r="D851" t="inlineStr">
        <is>
          <t>KALMAR LÄN</t>
        </is>
      </c>
      <c r="E851" t="inlineStr">
        <is>
          <t>VIMMERBY</t>
        </is>
      </c>
      <c r="G851" t="n">
        <v>3.3</v>
      </c>
      <c r="H851" t="n">
        <v>0</v>
      </c>
      <c r="I851" t="n">
        <v>0</v>
      </c>
      <c r="J851" t="n">
        <v>0</v>
      </c>
      <c r="K851" t="n">
        <v>0</v>
      </c>
      <c r="L851" t="n">
        <v>0</v>
      </c>
      <c r="M851" t="n">
        <v>0</v>
      </c>
      <c r="N851" t="n">
        <v>0</v>
      </c>
      <c r="O851" t="n">
        <v>0</v>
      </c>
      <c r="P851" t="n">
        <v>0</v>
      </c>
      <c r="Q851" t="n">
        <v>0</v>
      </c>
      <c r="R851" s="2" t="inlineStr"/>
    </row>
    <row r="852" ht="15" customHeight="1">
      <c r="A852" t="inlineStr">
        <is>
          <t>A 58962-2022</t>
        </is>
      </c>
      <c r="B852" s="1" t="n">
        <v>44903</v>
      </c>
      <c r="C852" s="1" t="n">
        <v>45349</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60110-2022</t>
        </is>
      </c>
      <c r="B853" s="1" t="n">
        <v>44909</v>
      </c>
      <c r="C853" s="1" t="n">
        <v>45349</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60230-2022</t>
        </is>
      </c>
      <c r="B854" s="1" t="n">
        <v>44910</v>
      </c>
      <c r="C854" s="1" t="n">
        <v>45349</v>
      </c>
      <c r="D854" t="inlineStr">
        <is>
          <t>KALMAR LÄN</t>
        </is>
      </c>
      <c r="E854" t="inlineStr">
        <is>
          <t>VIMMERBY</t>
        </is>
      </c>
      <c r="G854" t="n">
        <v>11.3</v>
      </c>
      <c r="H854" t="n">
        <v>0</v>
      </c>
      <c r="I854" t="n">
        <v>0</v>
      </c>
      <c r="J854" t="n">
        <v>0</v>
      </c>
      <c r="K854" t="n">
        <v>0</v>
      </c>
      <c r="L854" t="n">
        <v>0</v>
      </c>
      <c r="M854" t="n">
        <v>0</v>
      </c>
      <c r="N854" t="n">
        <v>0</v>
      </c>
      <c r="O854" t="n">
        <v>0</v>
      </c>
      <c r="P854" t="n">
        <v>0</v>
      </c>
      <c r="Q854" t="n">
        <v>0</v>
      </c>
      <c r="R854" s="2" t="inlineStr"/>
    </row>
    <row r="855" ht="15" customHeight="1">
      <c r="A855" t="inlineStr">
        <is>
          <t>A 60215-2022</t>
        </is>
      </c>
      <c r="B855" s="1" t="n">
        <v>44910</v>
      </c>
      <c r="C855" s="1" t="n">
        <v>45349</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60292-2022</t>
        </is>
      </c>
      <c r="B856" s="1" t="n">
        <v>44910</v>
      </c>
      <c r="C856" s="1" t="n">
        <v>45349</v>
      </c>
      <c r="D856" t="inlineStr">
        <is>
          <t>KALMAR LÄN</t>
        </is>
      </c>
      <c r="E856" t="inlineStr">
        <is>
          <t>VIMMERBY</t>
        </is>
      </c>
      <c r="G856" t="n">
        <v>4.4</v>
      </c>
      <c r="H856" t="n">
        <v>0</v>
      </c>
      <c r="I856" t="n">
        <v>0</v>
      </c>
      <c r="J856" t="n">
        <v>0</v>
      </c>
      <c r="K856" t="n">
        <v>0</v>
      </c>
      <c r="L856" t="n">
        <v>0</v>
      </c>
      <c r="M856" t="n">
        <v>0</v>
      </c>
      <c r="N856" t="n">
        <v>0</v>
      </c>
      <c r="O856" t="n">
        <v>0</v>
      </c>
      <c r="P856" t="n">
        <v>0</v>
      </c>
      <c r="Q856" t="n">
        <v>0</v>
      </c>
      <c r="R856" s="2" t="inlineStr"/>
    </row>
    <row r="857" ht="15" customHeight="1">
      <c r="A857" t="inlineStr">
        <is>
          <t>A 60339-2022</t>
        </is>
      </c>
      <c r="B857" s="1" t="n">
        <v>44910</v>
      </c>
      <c r="C857" s="1" t="n">
        <v>45349</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61538-2022</t>
        </is>
      </c>
      <c r="B858" s="1" t="n">
        <v>44916</v>
      </c>
      <c r="C858" s="1" t="n">
        <v>45349</v>
      </c>
      <c r="D858" t="inlineStr">
        <is>
          <t>KALMAR LÄN</t>
        </is>
      </c>
      <c r="E858" t="inlineStr">
        <is>
          <t>VIMMERBY</t>
        </is>
      </c>
      <c r="G858" t="n">
        <v>1.5</v>
      </c>
      <c r="H858" t="n">
        <v>0</v>
      </c>
      <c r="I858" t="n">
        <v>0</v>
      </c>
      <c r="J858" t="n">
        <v>0</v>
      </c>
      <c r="K858" t="n">
        <v>0</v>
      </c>
      <c r="L858" t="n">
        <v>0</v>
      </c>
      <c r="M858" t="n">
        <v>0</v>
      </c>
      <c r="N858" t="n">
        <v>0</v>
      </c>
      <c r="O858" t="n">
        <v>0</v>
      </c>
      <c r="P858" t="n">
        <v>0</v>
      </c>
      <c r="Q858" t="n">
        <v>0</v>
      </c>
      <c r="R858" s="2" t="inlineStr"/>
    </row>
    <row r="859" ht="15" customHeight="1">
      <c r="A859" t="inlineStr">
        <is>
          <t>A 62075-2022</t>
        </is>
      </c>
      <c r="B859" s="1" t="n">
        <v>44918</v>
      </c>
      <c r="C859" s="1" t="n">
        <v>45349</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62023-2022</t>
        </is>
      </c>
      <c r="B860" s="1" t="n">
        <v>44918</v>
      </c>
      <c r="C860" s="1" t="n">
        <v>45349</v>
      </c>
      <c r="D860" t="inlineStr">
        <is>
          <t>KALMAR LÄN</t>
        </is>
      </c>
      <c r="E860" t="inlineStr">
        <is>
          <t>VIMMERBY</t>
        </is>
      </c>
      <c r="G860" t="n">
        <v>0.3</v>
      </c>
      <c r="H860" t="n">
        <v>0</v>
      </c>
      <c r="I860" t="n">
        <v>0</v>
      </c>
      <c r="J860" t="n">
        <v>0</v>
      </c>
      <c r="K860" t="n">
        <v>0</v>
      </c>
      <c r="L860" t="n">
        <v>0</v>
      </c>
      <c r="M860" t="n">
        <v>0</v>
      </c>
      <c r="N860" t="n">
        <v>0</v>
      </c>
      <c r="O860" t="n">
        <v>0</v>
      </c>
      <c r="P860" t="n">
        <v>0</v>
      </c>
      <c r="Q860" t="n">
        <v>0</v>
      </c>
      <c r="R860" s="2" t="inlineStr"/>
    </row>
    <row r="861" ht="15" customHeight="1">
      <c r="A861" t="inlineStr">
        <is>
          <t>A 89-2023</t>
        </is>
      </c>
      <c r="B861" s="1" t="n">
        <v>44918</v>
      </c>
      <c r="C861" s="1" t="n">
        <v>45349</v>
      </c>
      <c r="D861" t="inlineStr">
        <is>
          <t>KALMAR LÄN</t>
        </is>
      </c>
      <c r="E861" t="inlineStr">
        <is>
          <t>VIMMERBY</t>
        </is>
      </c>
      <c r="G861" t="n">
        <v>16.1</v>
      </c>
      <c r="H861" t="n">
        <v>0</v>
      </c>
      <c r="I861" t="n">
        <v>0</v>
      </c>
      <c r="J861" t="n">
        <v>0</v>
      </c>
      <c r="K861" t="n">
        <v>0</v>
      </c>
      <c r="L861" t="n">
        <v>0</v>
      </c>
      <c r="M861" t="n">
        <v>0</v>
      </c>
      <c r="N861" t="n">
        <v>0</v>
      </c>
      <c r="O861" t="n">
        <v>0</v>
      </c>
      <c r="P861" t="n">
        <v>0</v>
      </c>
      <c r="Q861" t="n">
        <v>0</v>
      </c>
      <c r="R861" s="2" t="inlineStr"/>
    </row>
    <row r="862" ht="15" customHeight="1">
      <c r="A862" t="inlineStr">
        <is>
          <t>A 346-2023</t>
        </is>
      </c>
      <c r="B862" s="1" t="n">
        <v>44929</v>
      </c>
      <c r="C862" s="1" t="n">
        <v>45349</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343-2023</t>
        </is>
      </c>
      <c r="B863" s="1" t="n">
        <v>44929</v>
      </c>
      <c r="C863" s="1" t="n">
        <v>45349</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502-2023</t>
        </is>
      </c>
      <c r="B864" s="1" t="n">
        <v>44930</v>
      </c>
      <c r="C864" s="1" t="n">
        <v>45349</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508-2023</t>
        </is>
      </c>
      <c r="B865" s="1" t="n">
        <v>44930</v>
      </c>
      <c r="C865" s="1" t="n">
        <v>45349</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845-2023</t>
        </is>
      </c>
      <c r="B866" s="1" t="n">
        <v>44931</v>
      </c>
      <c r="C866" s="1" t="n">
        <v>45349</v>
      </c>
      <c r="D866" t="inlineStr">
        <is>
          <t>KALMAR LÄN</t>
        </is>
      </c>
      <c r="E866" t="inlineStr">
        <is>
          <t>VIMMERBY</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1086-2023</t>
        </is>
      </c>
      <c r="B867" s="1" t="n">
        <v>44935</v>
      </c>
      <c r="C867" s="1" t="n">
        <v>45349</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1081-2023</t>
        </is>
      </c>
      <c r="B868" s="1" t="n">
        <v>44935</v>
      </c>
      <c r="C868" s="1" t="n">
        <v>45349</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1687-2023</t>
        </is>
      </c>
      <c r="B869" s="1" t="n">
        <v>44938</v>
      </c>
      <c r="C869" s="1" t="n">
        <v>45349</v>
      </c>
      <c r="D869" t="inlineStr">
        <is>
          <t>KALMAR LÄN</t>
        </is>
      </c>
      <c r="E869" t="inlineStr">
        <is>
          <t>VIMMERBY</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1667-2023</t>
        </is>
      </c>
      <c r="B870" s="1" t="n">
        <v>44938</v>
      </c>
      <c r="C870" s="1" t="n">
        <v>45349</v>
      </c>
      <c r="D870" t="inlineStr">
        <is>
          <t>KALMAR LÄN</t>
        </is>
      </c>
      <c r="E870" t="inlineStr">
        <is>
          <t>VIMMERBY</t>
        </is>
      </c>
      <c r="G870" t="n">
        <v>3.4</v>
      </c>
      <c r="H870" t="n">
        <v>0</v>
      </c>
      <c r="I870" t="n">
        <v>0</v>
      </c>
      <c r="J870" t="n">
        <v>0</v>
      </c>
      <c r="K870" t="n">
        <v>0</v>
      </c>
      <c r="L870" t="n">
        <v>0</v>
      </c>
      <c r="M870" t="n">
        <v>0</v>
      </c>
      <c r="N870" t="n">
        <v>0</v>
      </c>
      <c r="O870" t="n">
        <v>0</v>
      </c>
      <c r="P870" t="n">
        <v>0</v>
      </c>
      <c r="Q870" t="n">
        <v>0</v>
      </c>
      <c r="R870" s="2" t="inlineStr"/>
    </row>
    <row r="871" ht="15" customHeight="1">
      <c r="A871" t="inlineStr">
        <is>
          <t>A 1955-2023</t>
        </is>
      </c>
      <c r="B871" s="1" t="n">
        <v>44939</v>
      </c>
      <c r="C871" s="1" t="n">
        <v>45349</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2510-2023</t>
        </is>
      </c>
      <c r="B872" s="1" t="n">
        <v>44943</v>
      </c>
      <c r="C872" s="1" t="n">
        <v>45349</v>
      </c>
      <c r="D872" t="inlineStr">
        <is>
          <t>KALMAR LÄN</t>
        </is>
      </c>
      <c r="E872" t="inlineStr">
        <is>
          <t>VIMMERBY</t>
        </is>
      </c>
      <c r="G872" t="n">
        <v>8.6</v>
      </c>
      <c r="H872" t="n">
        <v>0</v>
      </c>
      <c r="I872" t="n">
        <v>0</v>
      </c>
      <c r="J872" t="n">
        <v>0</v>
      </c>
      <c r="K872" t="n">
        <v>0</v>
      </c>
      <c r="L872" t="n">
        <v>0</v>
      </c>
      <c r="M872" t="n">
        <v>0</v>
      </c>
      <c r="N872" t="n">
        <v>0</v>
      </c>
      <c r="O872" t="n">
        <v>0</v>
      </c>
      <c r="P872" t="n">
        <v>0</v>
      </c>
      <c r="Q872" t="n">
        <v>0</v>
      </c>
      <c r="R872" s="2" t="inlineStr"/>
    </row>
    <row r="873" ht="15" customHeight="1">
      <c r="A873" t="inlineStr">
        <is>
          <t>A 2536-2023</t>
        </is>
      </c>
      <c r="B873" s="1" t="n">
        <v>44943</v>
      </c>
      <c r="C873" s="1" t="n">
        <v>45349</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2799-2023</t>
        </is>
      </c>
      <c r="B874" s="1" t="n">
        <v>44944</v>
      </c>
      <c r="C874" s="1" t="n">
        <v>45349</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2797-2023</t>
        </is>
      </c>
      <c r="B875" s="1" t="n">
        <v>44944</v>
      </c>
      <c r="C875" s="1" t="n">
        <v>45349</v>
      </c>
      <c r="D875" t="inlineStr">
        <is>
          <t>KALMAR LÄN</t>
        </is>
      </c>
      <c r="E875" t="inlineStr">
        <is>
          <t>VIMMERBY</t>
        </is>
      </c>
      <c r="G875" t="n">
        <v>3.4</v>
      </c>
      <c r="H875" t="n">
        <v>0</v>
      </c>
      <c r="I875" t="n">
        <v>0</v>
      </c>
      <c r="J875" t="n">
        <v>0</v>
      </c>
      <c r="K875" t="n">
        <v>0</v>
      </c>
      <c r="L875" t="n">
        <v>0</v>
      </c>
      <c r="M875" t="n">
        <v>0</v>
      </c>
      <c r="N875" t="n">
        <v>0</v>
      </c>
      <c r="O875" t="n">
        <v>0</v>
      </c>
      <c r="P875" t="n">
        <v>0</v>
      </c>
      <c r="Q875" t="n">
        <v>0</v>
      </c>
      <c r="R875" s="2" t="inlineStr"/>
    </row>
    <row r="876" ht="15" customHeight="1">
      <c r="A876" t="inlineStr">
        <is>
          <t>A 2801-2023</t>
        </is>
      </c>
      <c r="B876" s="1" t="n">
        <v>44944</v>
      </c>
      <c r="C876" s="1" t="n">
        <v>45349</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3331-2023</t>
        </is>
      </c>
      <c r="B877" s="1" t="n">
        <v>44949</v>
      </c>
      <c r="C877" s="1" t="n">
        <v>45349</v>
      </c>
      <c r="D877" t="inlineStr">
        <is>
          <t>KALMAR LÄN</t>
        </is>
      </c>
      <c r="E877" t="inlineStr">
        <is>
          <t>VIMMERBY</t>
        </is>
      </c>
      <c r="G877" t="n">
        <v>6.2</v>
      </c>
      <c r="H877" t="n">
        <v>0</v>
      </c>
      <c r="I877" t="n">
        <v>0</v>
      </c>
      <c r="J877" t="n">
        <v>0</v>
      </c>
      <c r="K877" t="n">
        <v>0</v>
      </c>
      <c r="L877" t="n">
        <v>0</v>
      </c>
      <c r="M877" t="n">
        <v>0</v>
      </c>
      <c r="N877" t="n">
        <v>0</v>
      </c>
      <c r="O877" t="n">
        <v>0</v>
      </c>
      <c r="P877" t="n">
        <v>0</v>
      </c>
      <c r="Q877" t="n">
        <v>0</v>
      </c>
      <c r="R877" s="2" t="inlineStr"/>
    </row>
    <row r="878" ht="15" customHeight="1">
      <c r="A878" t="inlineStr">
        <is>
          <t>A 3494-2023</t>
        </is>
      </c>
      <c r="B878" s="1" t="n">
        <v>44949</v>
      </c>
      <c r="C878" s="1" t="n">
        <v>45349</v>
      </c>
      <c r="D878" t="inlineStr">
        <is>
          <t>KALMAR LÄN</t>
        </is>
      </c>
      <c r="E878" t="inlineStr">
        <is>
          <t>VIMMERBY</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3587-2023</t>
        </is>
      </c>
      <c r="B879" s="1" t="n">
        <v>44950</v>
      </c>
      <c r="C879" s="1" t="n">
        <v>45349</v>
      </c>
      <c r="D879" t="inlineStr">
        <is>
          <t>KALMAR LÄN</t>
        </is>
      </c>
      <c r="E879" t="inlineStr">
        <is>
          <t>VIMMERBY</t>
        </is>
      </c>
      <c r="G879" t="n">
        <v>6.9</v>
      </c>
      <c r="H879" t="n">
        <v>0</v>
      </c>
      <c r="I879" t="n">
        <v>0</v>
      </c>
      <c r="J879" t="n">
        <v>0</v>
      </c>
      <c r="K879" t="n">
        <v>0</v>
      </c>
      <c r="L879" t="n">
        <v>0</v>
      </c>
      <c r="M879" t="n">
        <v>0</v>
      </c>
      <c r="N879" t="n">
        <v>0</v>
      </c>
      <c r="O879" t="n">
        <v>0</v>
      </c>
      <c r="P879" t="n">
        <v>0</v>
      </c>
      <c r="Q879" t="n">
        <v>0</v>
      </c>
      <c r="R879" s="2" t="inlineStr"/>
    </row>
    <row r="880" ht="15" customHeight="1">
      <c r="A880" t="inlineStr">
        <is>
          <t>A 3938-2023</t>
        </is>
      </c>
      <c r="B880" s="1" t="n">
        <v>44952</v>
      </c>
      <c r="C880" s="1" t="n">
        <v>45349</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3924-2023</t>
        </is>
      </c>
      <c r="B881" s="1" t="n">
        <v>44952</v>
      </c>
      <c r="C881" s="1" t="n">
        <v>45349</v>
      </c>
      <c r="D881" t="inlineStr">
        <is>
          <t>KALMAR LÄN</t>
        </is>
      </c>
      <c r="E881" t="inlineStr">
        <is>
          <t>VIMMERBY</t>
        </is>
      </c>
      <c r="G881" t="n">
        <v>4.7</v>
      </c>
      <c r="H881" t="n">
        <v>0</v>
      </c>
      <c r="I881" t="n">
        <v>0</v>
      </c>
      <c r="J881" t="n">
        <v>0</v>
      </c>
      <c r="K881" t="n">
        <v>0</v>
      </c>
      <c r="L881" t="n">
        <v>0</v>
      </c>
      <c r="M881" t="n">
        <v>0</v>
      </c>
      <c r="N881" t="n">
        <v>0</v>
      </c>
      <c r="O881" t="n">
        <v>0</v>
      </c>
      <c r="P881" t="n">
        <v>0</v>
      </c>
      <c r="Q881" t="n">
        <v>0</v>
      </c>
      <c r="R881" s="2" t="inlineStr"/>
    </row>
    <row r="882" ht="15" customHeight="1">
      <c r="A882" t="inlineStr">
        <is>
          <t>A 4527-2023</t>
        </is>
      </c>
      <c r="B882" s="1" t="n">
        <v>44956</v>
      </c>
      <c r="C882" s="1" t="n">
        <v>45349</v>
      </c>
      <c r="D882" t="inlineStr">
        <is>
          <t>KALMAR LÄN</t>
        </is>
      </c>
      <c r="E882" t="inlineStr">
        <is>
          <t>VIMMERBY</t>
        </is>
      </c>
      <c r="F882" t="inlineStr">
        <is>
          <t>Kommuner</t>
        </is>
      </c>
      <c r="G882" t="n">
        <v>8.5</v>
      </c>
      <c r="H882" t="n">
        <v>0</v>
      </c>
      <c r="I882" t="n">
        <v>0</v>
      </c>
      <c r="J882" t="n">
        <v>0</v>
      </c>
      <c r="K882" t="n">
        <v>0</v>
      </c>
      <c r="L882" t="n">
        <v>0</v>
      </c>
      <c r="M882" t="n">
        <v>0</v>
      </c>
      <c r="N882" t="n">
        <v>0</v>
      </c>
      <c r="O882" t="n">
        <v>0</v>
      </c>
      <c r="P882" t="n">
        <v>0</v>
      </c>
      <c r="Q882" t="n">
        <v>0</v>
      </c>
      <c r="R882" s="2" t="inlineStr"/>
    </row>
    <row r="883" ht="15" customHeight="1">
      <c r="A883" t="inlineStr">
        <is>
          <t>A 5074-2023</t>
        </is>
      </c>
      <c r="B883" s="1" t="n">
        <v>44958</v>
      </c>
      <c r="C883" s="1" t="n">
        <v>45349</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5342-2023</t>
        </is>
      </c>
      <c r="B884" s="1" t="n">
        <v>44959</v>
      </c>
      <c r="C884" s="1" t="n">
        <v>45349</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5382-2023</t>
        </is>
      </c>
      <c r="B885" s="1" t="n">
        <v>44959</v>
      </c>
      <c r="C885" s="1" t="n">
        <v>45349</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5720-2023</t>
        </is>
      </c>
      <c r="B886" s="1" t="n">
        <v>44961</v>
      </c>
      <c r="C886" s="1" t="n">
        <v>45349</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5792-2023</t>
        </is>
      </c>
      <c r="B887" s="1" t="n">
        <v>44963</v>
      </c>
      <c r="C887" s="1" t="n">
        <v>45349</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6028-2023</t>
        </is>
      </c>
      <c r="B888" s="1" t="n">
        <v>44964</v>
      </c>
      <c r="C888" s="1" t="n">
        <v>45349</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6066-2023</t>
        </is>
      </c>
      <c r="B889" s="1" t="n">
        <v>44964</v>
      </c>
      <c r="C889" s="1" t="n">
        <v>45349</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6017-2023</t>
        </is>
      </c>
      <c r="B890" s="1" t="n">
        <v>44964</v>
      </c>
      <c r="C890" s="1" t="n">
        <v>45349</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6368-2023</t>
        </is>
      </c>
      <c r="B891" s="1" t="n">
        <v>44965</v>
      </c>
      <c r="C891" s="1" t="n">
        <v>45349</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6321-2023</t>
        </is>
      </c>
      <c r="B892" s="1" t="n">
        <v>44965</v>
      </c>
      <c r="C892" s="1" t="n">
        <v>45349</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6660-2023</t>
        </is>
      </c>
      <c r="B893" s="1" t="n">
        <v>44966</v>
      </c>
      <c r="C893" s="1" t="n">
        <v>45349</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6574-2023</t>
        </is>
      </c>
      <c r="B894" s="1" t="n">
        <v>44966</v>
      </c>
      <c r="C894" s="1" t="n">
        <v>45349</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6662-2023</t>
        </is>
      </c>
      <c r="B895" s="1" t="n">
        <v>44966</v>
      </c>
      <c r="C895" s="1" t="n">
        <v>45349</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6668-2023</t>
        </is>
      </c>
      <c r="B896" s="1" t="n">
        <v>44966</v>
      </c>
      <c r="C896" s="1" t="n">
        <v>45349</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6538-2023</t>
        </is>
      </c>
      <c r="B897" s="1" t="n">
        <v>44966</v>
      </c>
      <c r="C897" s="1" t="n">
        <v>45349</v>
      </c>
      <c r="D897" t="inlineStr">
        <is>
          <t>KALMAR LÄN</t>
        </is>
      </c>
      <c r="E897" t="inlineStr">
        <is>
          <t>VIMMERBY</t>
        </is>
      </c>
      <c r="G897" t="n">
        <v>4.5</v>
      </c>
      <c r="H897" t="n">
        <v>0</v>
      </c>
      <c r="I897" t="n">
        <v>0</v>
      </c>
      <c r="J897" t="n">
        <v>0</v>
      </c>
      <c r="K897" t="n">
        <v>0</v>
      </c>
      <c r="L897" t="n">
        <v>0</v>
      </c>
      <c r="M897" t="n">
        <v>0</v>
      </c>
      <c r="N897" t="n">
        <v>0</v>
      </c>
      <c r="O897" t="n">
        <v>0</v>
      </c>
      <c r="P897" t="n">
        <v>0</v>
      </c>
      <c r="Q897" t="n">
        <v>0</v>
      </c>
      <c r="R897" s="2" t="inlineStr"/>
    </row>
    <row r="898" ht="15" customHeight="1">
      <c r="A898" t="inlineStr">
        <is>
          <t>A 6857-2023</t>
        </is>
      </c>
      <c r="B898" s="1" t="n">
        <v>44967</v>
      </c>
      <c r="C898" s="1" t="n">
        <v>45349</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6850-2023</t>
        </is>
      </c>
      <c r="B899" s="1" t="n">
        <v>44967</v>
      </c>
      <c r="C899" s="1" t="n">
        <v>45349</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7454-2023</t>
        </is>
      </c>
      <c r="B900" s="1" t="n">
        <v>44971</v>
      </c>
      <c r="C900" s="1" t="n">
        <v>45349</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7557-2023</t>
        </is>
      </c>
      <c r="B901" s="1" t="n">
        <v>44972</v>
      </c>
      <c r="C901" s="1" t="n">
        <v>45349</v>
      </c>
      <c r="D901" t="inlineStr">
        <is>
          <t>KALMAR LÄN</t>
        </is>
      </c>
      <c r="E901" t="inlineStr">
        <is>
          <t>VIMMERBY</t>
        </is>
      </c>
      <c r="G901" t="n">
        <v>4.6</v>
      </c>
      <c r="H901" t="n">
        <v>0</v>
      </c>
      <c r="I901" t="n">
        <v>0</v>
      </c>
      <c r="J901" t="n">
        <v>0</v>
      </c>
      <c r="K901" t="n">
        <v>0</v>
      </c>
      <c r="L901" t="n">
        <v>0</v>
      </c>
      <c r="M901" t="n">
        <v>0</v>
      </c>
      <c r="N901" t="n">
        <v>0</v>
      </c>
      <c r="O901" t="n">
        <v>0</v>
      </c>
      <c r="P901" t="n">
        <v>0</v>
      </c>
      <c r="Q901" t="n">
        <v>0</v>
      </c>
      <c r="R901" s="2" t="inlineStr"/>
    </row>
    <row r="902" ht="15" customHeight="1">
      <c r="A902" t="inlineStr">
        <is>
          <t>A 7594-2023</t>
        </is>
      </c>
      <c r="B902" s="1" t="n">
        <v>44972</v>
      </c>
      <c r="C902" s="1" t="n">
        <v>45349</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7797-2023</t>
        </is>
      </c>
      <c r="B903" s="1" t="n">
        <v>44973</v>
      </c>
      <c r="C903" s="1" t="n">
        <v>45349</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7883-2023</t>
        </is>
      </c>
      <c r="B904" s="1" t="n">
        <v>44973</v>
      </c>
      <c r="C904" s="1" t="n">
        <v>45349</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7885-2023</t>
        </is>
      </c>
      <c r="B905" s="1" t="n">
        <v>44973</v>
      </c>
      <c r="C905" s="1" t="n">
        <v>45349</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row r="906" ht="15" customHeight="1">
      <c r="A906" t="inlineStr">
        <is>
          <t>A 8219-2023</t>
        </is>
      </c>
      <c r="B906" s="1" t="n">
        <v>44974</v>
      </c>
      <c r="C906" s="1" t="n">
        <v>45349</v>
      </c>
      <c r="D906" t="inlineStr">
        <is>
          <t>KALMAR LÄN</t>
        </is>
      </c>
      <c r="E906" t="inlineStr">
        <is>
          <t>VIMMERBY</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8410-2023</t>
        </is>
      </c>
      <c r="B907" s="1" t="n">
        <v>44977</v>
      </c>
      <c r="C907" s="1" t="n">
        <v>45349</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9024-2023</t>
        </is>
      </c>
      <c r="B908" s="1" t="n">
        <v>44979</v>
      </c>
      <c r="C908" s="1" t="n">
        <v>45349</v>
      </c>
      <c r="D908" t="inlineStr">
        <is>
          <t>KALMAR LÄN</t>
        </is>
      </c>
      <c r="E908" t="inlineStr">
        <is>
          <t>VIMMERBY</t>
        </is>
      </c>
      <c r="G908" t="n">
        <v>5.2</v>
      </c>
      <c r="H908" t="n">
        <v>0</v>
      </c>
      <c r="I908" t="n">
        <v>0</v>
      </c>
      <c r="J908" t="n">
        <v>0</v>
      </c>
      <c r="K908" t="n">
        <v>0</v>
      </c>
      <c r="L908" t="n">
        <v>0</v>
      </c>
      <c r="M908" t="n">
        <v>0</v>
      </c>
      <c r="N908" t="n">
        <v>0</v>
      </c>
      <c r="O908" t="n">
        <v>0</v>
      </c>
      <c r="P908" t="n">
        <v>0</v>
      </c>
      <c r="Q908" t="n">
        <v>0</v>
      </c>
      <c r="R908" s="2" t="inlineStr"/>
    </row>
    <row r="909" ht="15" customHeight="1">
      <c r="A909" t="inlineStr">
        <is>
          <t>A 9113-2023</t>
        </is>
      </c>
      <c r="B909" s="1" t="n">
        <v>44979</v>
      </c>
      <c r="C909" s="1" t="n">
        <v>45349</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9475-2023</t>
        </is>
      </c>
      <c r="B910" s="1" t="n">
        <v>44981</v>
      </c>
      <c r="C910" s="1" t="n">
        <v>45349</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9511-2023</t>
        </is>
      </c>
      <c r="B911" s="1" t="n">
        <v>44981</v>
      </c>
      <c r="C911" s="1" t="n">
        <v>45349</v>
      </c>
      <c r="D911" t="inlineStr">
        <is>
          <t>KALMAR LÄN</t>
        </is>
      </c>
      <c r="E911" t="inlineStr">
        <is>
          <t>VIMMERBY</t>
        </is>
      </c>
      <c r="G911" t="n">
        <v>3.5</v>
      </c>
      <c r="H911" t="n">
        <v>0</v>
      </c>
      <c r="I911" t="n">
        <v>0</v>
      </c>
      <c r="J911" t="n">
        <v>0</v>
      </c>
      <c r="K911" t="n">
        <v>0</v>
      </c>
      <c r="L911" t="n">
        <v>0</v>
      </c>
      <c r="M911" t="n">
        <v>0</v>
      </c>
      <c r="N911" t="n">
        <v>0</v>
      </c>
      <c r="O911" t="n">
        <v>0</v>
      </c>
      <c r="P911" t="n">
        <v>0</v>
      </c>
      <c r="Q911" t="n">
        <v>0</v>
      </c>
      <c r="R911" s="2" t="inlineStr"/>
    </row>
    <row r="912" ht="15" customHeight="1">
      <c r="A912" t="inlineStr">
        <is>
          <t>A 9644-2023</t>
        </is>
      </c>
      <c r="B912" s="1" t="n">
        <v>44984</v>
      </c>
      <c r="C912" s="1" t="n">
        <v>45349</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9694-2023</t>
        </is>
      </c>
      <c r="B913" s="1" t="n">
        <v>44984</v>
      </c>
      <c r="C913" s="1" t="n">
        <v>45349</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9710-2023</t>
        </is>
      </c>
      <c r="B914" s="1" t="n">
        <v>44984</v>
      </c>
      <c r="C914" s="1" t="n">
        <v>45349</v>
      </c>
      <c r="D914" t="inlineStr">
        <is>
          <t>KALMAR LÄN</t>
        </is>
      </c>
      <c r="E914" t="inlineStr">
        <is>
          <t>VIMMERBY</t>
        </is>
      </c>
      <c r="G914" t="n">
        <v>3.7</v>
      </c>
      <c r="H914" t="n">
        <v>0</v>
      </c>
      <c r="I914" t="n">
        <v>0</v>
      </c>
      <c r="J914" t="n">
        <v>0</v>
      </c>
      <c r="K914" t="n">
        <v>0</v>
      </c>
      <c r="L914" t="n">
        <v>0</v>
      </c>
      <c r="M914" t="n">
        <v>0</v>
      </c>
      <c r="N914" t="n">
        <v>0</v>
      </c>
      <c r="O914" t="n">
        <v>0</v>
      </c>
      <c r="P914" t="n">
        <v>0</v>
      </c>
      <c r="Q914" t="n">
        <v>0</v>
      </c>
      <c r="R914" s="2" t="inlineStr"/>
    </row>
    <row r="915" ht="15" customHeight="1">
      <c r="A915" t="inlineStr">
        <is>
          <t>A 9720-2023</t>
        </is>
      </c>
      <c r="B915" s="1" t="n">
        <v>44984</v>
      </c>
      <c r="C915" s="1" t="n">
        <v>45349</v>
      </c>
      <c r="D915" t="inlineStr">
        <is>
          <t>KALMAR LÄN</t>
        </is>
      </c>
      <c r="E915" t="inlineStr">
        <is>
          <t>VIMMERBY</t>
        </is>
      </c>
      <c r="G915" t="n">
        <v>4.4</v>
      </c>
      <c r="H915" t="n">
        <v>0</v>
      </c>
      <c r="I915" t="n">
        <v>0</v>
      </c>
      <c r="J915" t="n">
        <v>0</v>
      </c>
      <c r="K915" t="n">
        <v>0</v>
      </c>
      <c r="L915" t="n">
        <v>0</v>
      </c>
      <c r="M915" t="n">
        <v>0</v>
      </c>
      <c r="N915" t="n">
        <v>0</v>
      </c>
      <c r="O915" t="n">
        <v>0</v>
      </c>
      <c r="P915" t="n">
        <v>0</v>
      </c>
      <c r="Q915" t="n">
        <v>0</v>
      </c>
      <c r="R915" s="2" t="inlineStr"/>
    </row>
    <row r="916" ht="15" customHeight="1">
      <c r="A916" t="inlineStr">
        <is>
          <t>A 9643-2023</t>
        </is>
      </c>
      <c r="B916" s="1" t="n">
        <v>44984</v>
      </c>
      <c r="C916" s="1" t="n">
        <v>45349</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10444-2023</t>
        </is>
      </c>
      <c r="B917" s="1" t="n">
        <v>44987</v>
      </c>
      <c r="C917" s="1" t="n">
        <v>45349</v>
      </c>
      <c r="D917" t="inlineStr">
        <is>
          <t>KALMAR LÄN</t>
        </is>
      </c>
      <c r="E917" t="inlineStr">
        <is>
          <t>VIMMERBY</t>
        </is>
      </c>
      <c r="G917" t="n">
        <v>7.4</v>
      </c>
      <c r="H917" t="n">
        <v>0</v>
      </c>
      <c r="I917" t="n">
        <v>0</v>
      </c>
      <c r="J917" t="n">
        <v>0</v>
      </c>
      <c r="K917" t="n">
        <v>0</v>
      </c>
      <c r="L917" t="n">
        <v>0</v>
      </c>
      <c r="M917" t="n">
        <v>0</v>
      </c>
      <c r="N917" t="n">
        <v>0</v>
      </c>
      <c r="O917" t="n">
        <v>0</v>
      </c>
      <c r="P917" t="n">
        <v>0</v>
      </c>
      <c r="Q917" t="n">
        <v>0</v>
      </c>
      <c r="R917" s="2" t="inlineStr"/>
    </row>
    <row r="918" ht="15" customHeight="1">
      <c r="A918" t="inlineStr">
        <is>
          <t>A 10424-2023</t>
        </is>
      </c>
      <c r="B918" s="1" t="n">
        <v>44987</v>
      </c>
      <c r="C918" s="1" t="n">
        <v>45349</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10439-2023</t>
        </is>
      </c>
      <c r="B919" s="1" t="n">
        <v>44987</v>
      </c>
      <c r="C919" s="1" t="n">
        <v>45349</v>
      </c>
      <c r="D919" t="inlineStr">
        <is>
          <t>KALMAR LÄN</t>
        </is>
      </c>
      <c r="E919" t="inlineStr">
        <is>
          <t>VIMMERBY</t>
        </is>
      </c>
      <c r="G919" t="n">
        <v>2.9</v>
      </c>
      <c r="H919" t="n">
        <v>0</v>
      </c>
      <c r="I919" t="n">
        <v>0</v>
      </c>
      <c r="J919" t="n">
        <v>0</v>
      </c>
      <c r="K919" t="n">
        <v>0</v>
      </c>
      <c r="L919" t="n">
        <v>0</v>
      </c>
      <c r="M919" t="n">
        <v>0</v>
      </c>
      <c r="N919" t="n">
        <v>0</v>
      </c>
      <c r="O919" t="n">
        <v>0</v>
      </c>
      <c r="P919" t="n">
        <v>0</v>
      </c>
      <c r="Q919" t="n">
        <v>0</v>
      </c>
      <c r="R919" s="2" t="inlineStr"/>
    </row>
    <row r="920" ht="15" customHeight="1">
      <c r="A920" t="inlineStr">
        <is>
          <t>A 10759-2023</t>
        </is>
      </c>
      <c r="B920" s="1" t="n">
        <v>44988</v>
      </c>
      <c r="C920" s="1" t="n">
        <v>45349</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10800-2023</t>
        </is>
      </c>
      <c r="B921" s="1" t="n">
        <v>44989</v>
      </c>
      <c r="C921" s="1" t="n">
        <v>45349</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10821-2023</t>
        </is>
      </c>
      <c r="B922" s="1" t="n">
        <v>44990</v>
      </c>
      <c r="C922" s="1" t="n">
        <v>45349</v>
      </c>
      <c r="D922" t="inlineStr">
        <is>
          <t>KALMAR LÄN</t>
        </is>
      </c>
      <c r="E922" t="inlineStr">
        <is>
          <t>VIMMERBY</t>
        </is>
      </c>
      <c r="G922" t="n">
        <v>4.3</v>
      </c>
      <c r="H922" t="n">
        <v>0</v>
      </c>
      <c r="I922" t="n">
        <v>0</v>
      </c>
      <c r="J922" t="n">
        <v>0</v>
      </c>
      <c r="K922" t="n">
        <v>0</v>
      </c>
      <c r="L922" t="n">
        <v>0</v>
      </c>
      <c r="M922" t="n">
        <v>0</v>
      </c>
      <c r="N922" t="n">
        <v>0</v>
      </c>
      <c r="O922" t="n">
        <v>0</v>
      </c>
      <c r="P922" t="n">
        <v>0</v>
      </c>
      <c r="Q922" t="n">
        <v>0</v>
      </c>
      <c r="R922" s="2" t="inlineStr"/>
    </row>
    <row r="923" ht="15" customHeight="1">
      <c r="A923" t="inlineStr">
        <is>
          <t>A 10837-2023</t>
        </is>
      </c>
      <c r="B923" s="1" t="n">
        <v>44991</v>
      </c>
      <c r="C923" s="1" t="n">
        <v>45349</v>
      </c>
      <c r="D923" t="inlineStr">
        <is>
          <t>KALMAR LÄN</t>
        </is>
      </c>
      <c r="E923" t="inlineStr">
        <is>
          <t>VIMMERBY</t>
        </is>
      </c>
      <c r="G923" t="n">
        <v>7.3</v>
      </c>
      <c r="H923" t="n">
        <v>0</v>
      </c>
      <c r="I923" t="n">
        <v>0</v>
      </c>
      <c r="J923" t="n">
        <v>0</v>
      </c>
      <c r="K923" t="n">
        <v>0</v>
      </c>
      <c r="L923" t="n">
        <v>0</v>
      </c>
      <c r="M923" t="n">
        <v>0</v>
      </c>
      <c r="N923" t="n">
        <v>0</v>
      </c>
      <c r="O923" t="n">
        <v>0</v>
      </c>
      <c r="P923" t="n">
        <v>0</v>
      </c>
      <c r="Q923" t="n">
        <v>0</v>
      </c>
      <c r="R923" s="2" t="inlineStr"/>
    </row>
    <row r="924" ht="15" customHeight="1">
      <c r="A924" t="inlineStr">
        <is>
          <t>A 10835-2023</t>
        </is>
      </c>
      <c r="B924" s="1" t="n">
        <v>44991</v>
      </c>
      <c r="C924" s="1" t="n">
        <v>45349</v>
      </c>
      <c r="D924" t="inlineStr">
        <is>
          <t>KALMAR LÄN</t>
        </is>
      </c>
      <c r="E924" t="inlineStr">
        <is>
          <t>VIMMERBY</t>
        </is>
      </c>
      <c r="G924" t="n">
        <v>1</v>
      </c>
      <c r="H924" t="n">
        <v>0</v>
      </c>
      <c r="I924" t="n">
        <v>0</v>
      </c>
      <c r="J924" t="n">
        <v>0</v>
      </c>
      <c r="K924" t="n">
        <v>0</v>
      </c>
      <c r="L924" t="n">
        <v>0</v>
      </c>
      <c r="M924" t="n">
        <v>0</v>
      </c>
      <c r="N924" t="n">
        <v>0</v>
      </c>
      <c r="O924" t="n">
        <v>0</v>
      </c>
      <c r="P924" t="n">
        <v>0</v>
      </c>
      <c r="Q924" t="n">
        <v>0</v>
      </c>
      <c r="R924" s="2" t="inlineStr"/>
    </row>
    <row r="925" ht="15" customHeight="1">
      <c r="A925" t="inlineStr">
        <is>
          <t>A 10838-2023</t>
        </is>
      </c>
      <c r="B925" s="1" t="n">
        <v>44991</v>
      </c>
      <c r="C925" s="1" t="n">
        <v>45349</v>
      </c>
      <c r="D925" t="inlineStr">
        <is>
          <t>KALMAR LÄN</t>
        </is>
      </c>
      <c r="E925" t="inlineStr">
        <is>
          <t>VIMMERBY</t>
        </is>
      </c>
      <c r="G925" t="n">
        <v>5.1</v>
      </c>
      <c r="H925" t="n">
        <v>0</v>
      </c>
      <c r="I925" t="n">
        <v>0</v>
      </c>
      <c r="J925" t="n">
        <v>0</v>
      </c>
      <c r="K925" t="n">
        <v>0</v>
      </c>
      <c r="L925" t="n">
        <v>0</v>
      </c>
      <c r="M925" t="n">
        <v>0</v>
      </c>
      <c r="N925" t="n">
        <v>0</v>
      </c>
      <c r="O925" t="n">
        <v>0</v>
      </c>
      <c r="P925" t="n">
        <v>0</v>
      </c>
      <c r="Q925" t="n">
        <v>0</v>
      </c>
      <c r="R925" s="2" t="inlineStr"/>
    </row>
    <row r="926" ht="15" customHeight="1">
      <c r="A926" t="inlineStr">
        <is>
          <t>A 11027-2023</t>
        </is>
      </c>
      <c r="B926" s="1" t="n">
        <v>44991</v>
      </c>
      <c r="C926" s="1" t="n">
        <v>45349</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11076-2023</t>
        </is>
      </c>
      <c r="B927" s="1" t="n">
        <v>44992</v>
      </c>
      <c r="C927" s="1" t="n">
        <v>45349</v>
      </c>
      <c r="D927" t="inlineStr">
        <is>
          <t>KALMAR LÄN</t>
        </is>
      </c>
      <c r="E927" t="inlineStr">
        <is>
          <t>VIMMERBY</t>
        </is>
      </c>
      <c r="G927" t="n">
        <v>6.1</v>
      </c>
      <c r="H927" t="n">
        <v>0</v>
      </c>
      <c r="I927" t="n">
        <v>0</v>
      </c>
      <c r="J927" t="n">
        <v>0</v>
      </c>
      <c r="K927" t="n">
        <v>0</v>
      </c>
      <c r="L927" t="n">
        <v>0</v>
      </c>
      <c r="M927" t="n">
        <v>0</v>
      </c>
      <c r="N927" t="n">
        <v>0</v>
      </c>
      <c r="O927" t="n">
        <v>0</v>
      </c>
      <c r="P927" t="n">
        <v>0</v>
      </c>
      <c r="Q927" t="n">
        <v>0</v>
      </c>
      <c r="R927" s="2" t="inlineStr"/>
    </row>
    <row r="928" ht="15" customHeight="1">
      <c r="A928" t="inlineStr">
        <is>
          <t>A 11073-2023</t>
        </is>
      </c>
      <c r="B928" s="1" t="n">
        <v>44992</v>
      </c>
      <c r="C928" s="1" t="n">
        <v>45349</v>
      </c>
      <c r="D928" t="inlineStr">
        <is>
          <t>KALMAR LÄN</t>
        </is>
      </c>
      <c r="E928" t="inlineStr">
        <is>
          <t>VIMMERBY</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11147-2023</t>
        </is>
      </c>
      <c r="B929" s="1" t="n">
        <v>44992</v>
      </c>
      <c r="C929" s="1" t="n">
        <v>45349</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11111-2023</t>
        </is>
      </c>
      <c r="B930" s="1" t="n">
        <v>44992</v>
      </c>
      <c r="C930" s="1" t="n">
        <v>45349</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11152-2023</t>
        </is>
      </c>
      <c r="B931" s="1" t="n">
        <v>44992</v>
      </c>
      <c r="C931" s="1" t="n">
        <v>45349</v>
      </c>
      <c r="D931" t="inlineStr">
        <is>
          <t>KALMAR LÄN</t>
        </is>
      </c>
      <c r="E931" t="inlineStr">
        <is>
          <t>VIMMERBY</t>
        </is>
      </c>
      <c r="G931" t="n">
        <v>10.6</v>
      </c>
      <c r="H931" t="n">
        <v>0</v>
      </c>
      <c r="I931" t="n">
        <v>0</v>
      </c>
      <c r="J931" t="n">
        <v>0</v>
      </c>
      <c r="K931" t="n">
        <v>0</v>
      </c>
      <c r="L931" t="n">
        <v>0</v>
      </c>
      <c r="M931" t="n">
        <v>0</v>
      </c>
      <c r="N931" t="n">
        <v>0</v>
      </c>
      <c r="O931" t="n">
        <v>0</v>
      </c>
      <c r="P931" t="n">
        <v>0</v>
      </c>
      <c r="Q931" t="n">
        <v>0</v>
      </c>
      <c r="R931" s="2" t="inlineStr"/>
    </row>
    <row r="932" ht="15" customHeight="1">
      <c r="A932" t="inlineStr">
        <is>
          <t>A 11074-2023</t>
        </is>
      </c>
      <c r="B932" s="1" t="n">
        <v>44992</v>
      </c>
      <c r="C932" s="1" t="n">
        <v>45349</v>
      </c>
      <c r="D932" t="inlineStr">
        <is>
          <t>KALMAR LÄN</t>
        </is>
      </c>
      <c r="E932" t="inlineStr">
        <is>
          <t>VIMMERBY</t>
        </is>
      </c>
      <c r="F932" t="inlineStr">
        <is>
          <t>Sveaskog</t>
        </is>
      </c>
      <c r="G932" t="n">
        <v>3.1</v>
      </c>
      <c r="H932" t="n">
        <v>0</v>
      </c>
      <c r="I932" t="n">
        <v>0</v>
      </c>
      <c r="J932" t="n">
        <v>0</v>
      </c>
      <c r="K932" t="n">
        <v>0</v>
      </c>
      <c r="L932" t="n">
        <v>0</v>
      </c>
      <c r="M932" t="n">
        <v>0</v>
      </c>
      <c r="N932" t="n">
        <v>0</v>
      </c>
      <c r="O932" t="n">
        <v>0</v>
      </c>
      <c r="P932" t="n">
        <v>0</v>
      </c>
      <c r="Q932" t="n">
        <v>0</v>
      </c>
      <c r="R932" s="2" t="inlineStr"/>
    </row>
    <row r="933" ht="15" customHeight="1">
      <c r="A933" t="inlineStr">
        <is>
          <t>A 11219-2023</t>
        </is>
      </c>
      <c r="B933" s="1" t="n">
        <v>44992</v>
      </c>
      <c r="C933" s="1" t="n">
        <v>45349</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11416-2023</t>
        </is>
      </c>
      <c r="B934" s="1" t="n">
        <v>44993</v>
      </c>
      <c r="C934" s="1" t="n">
        <v>45349</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11619-2023</t>
        </is>
      </c>
      <c r="B935" s="1" t="n">
        <v>44994</v>
      </c>
      <c r="C935" s="1" t="n">
        <v>45349</v>
      </c>
      <c r="D935" t="inlineStr">
        <is>
          <t>KALMAR LÄN</t>
        </is>
      </c>
      <c r="E935" t="inlineStr">
        <is>
          <t>VIMMERBY</t>
        </is>
      </c>
      <c r="G935" t="n">
        <v>2.5</v>
      </c>
      <c r="H935" t="n">
        <v>0</v>
      </c>
      <c r="I935" t="n">
        <v>0</v>
      </c>
      <c r="J935" t="n">
        <v>0</v>
      </c>
      <c r="K935" t="n">
        <v>0</v>
      </c>
      <c r="L935" t="n">
        <v>0</v>
      </c>
      <c r="M935" t="n">
        <v>0</v>
      </c>
      <c r="N935" t="n">
        <v>0</v>
      </c>
      <c r="O935" t="n">
        <v>0</v>
      </c>
      <c r="P935" t="n">
        <v>0</v>
      </c>
      <c r="Q935" t="n">
        <v>0</v>
      </c>
      <c r="R935" s="2" t="inlineStr"/>
    </row>
    <row r="936" ht="15" customHeight="1">
      <c r="A936" t="inlineStr">
        <is>
          <t>A 11609-2023</t>
        </is>
      </c>
      <c r="B936" s="1" t="n">
        <v>44994</v>
      </c>
      <c r="C936" s="1" t="n">
        <v>45349</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11661-2023</t>
        </is>
      </c>
      <c r="B937" s="1" t="n">
        <v>44994</v>
      </c>
      <c r="C937" s="1" t="n">
        <v>45349</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12008-2023</t>
        </is>
      </c>
      <c r="B938" s="1" t="n">
        <v>44995</v>
      </c>
      <c r="C938" s="1" t="n">
        <v>45349</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11999-2023</t>
        </is>
      </c>
      <c r="B939" s="1" t="n">
        <v>44995</v>
      </c>
      <c r="C939" s="1" t="n">
        <v>45349</v>
      </c>
      <c r="D939" t="inlineStr">
        <is>
          <t>KALMAR LÄN</t>
        </is>
      </c>
      <c r="E939" t="inlineStr">
        <is>
          <t>VIMMERBY</t>
        </is>
      </c>
      <c r="G939" t="n">
        <v>2.2</v>
      </c>
      <c r="H939" t="n">
        <v>0</v>
      </c>
      <c r="I939" t="n">
        <v>0</v>
      </c>
      <c r="J939" t="n">
        <v>0</v>
      </c>
      <c r="K939" t="n">
        <v>0</v>
      </c>
      <c r="L939" t="n">
        <v>0</v>
      </c>
      <c r="M939" t="n">
        <v>0</v>
      </c>
      <c r="N939" t="n">
        <v>0</v>
      </c>
      <c r="O939" t="n">
        <v>0</v>
      </c>
      <c r="P939" t="n">
        <v>0</v>
      </c>
      <c r="Q939" t="n">
        <v>0</v>
      </c>
      <c r="R939" s="2" t="inlineStr"/>
    </row>
    <row r="940" ht="15" customHeight="1">
      <c r="A940" t="inlineStr">
        <is>
          <t>A 12012-2023</t>
        </is>
      </c>
      <c r="B940" s="1" t="n">
        <v>44995</v>
      </c>
      <c r="C940" s="1" t="n">
        <v>45349</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12010-2023</t>
        </is>
      </c>
      <c r="B941" s="1" t="n">
        <v>44995</v>
      </c>
      <c r="C941" s="1" t="n">
        <v>45349</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12325-2023</t>
        </is>
      </c>
      <c r="B942" s="1" t="n">
        <v>44999</v>
      </c>
      <c r="C942" s="1" t="n">
        <v>45349</v>
      </c>
      <c r="D942" t="inlineStr">
        <is>
          <t>KALMAR LÄN</t>
        </is>
      </c>
      <c r="E942" t="inlineStr">
        <is>
          <t>VIMMERBY</t>
        </is>
      </c>
      <c r="G942" t="n">
        <v>3.4</v>
      </c>
      <c r="H942" t="n">
        <v>0</v>
      </c>
      <c r="I942" t="n">
        <v>0</v>
      </c>
      <c r="J942" t="n">
        <v>0</v>
      </c>
      <c r="K942" t="n">
        <v>0</v>
      </c>
      <c r="L942" t="n">
        <v>0</v>
      </c>
      <c r="M942" t="n">
        <v>0</v>
      </c>
      <c r="N942" t="n">
        <v>0</v>
      </c>
      <c r="O942" t="n">
        <v>0</v>
      </c>
      <c r="P942" t="n">
        <v>0</v>
      </c>
      <c r="Q942" t="n">
        <v>0</v>
      </c>
      <c r="R942" s="2" t="inlineStr"/>
    </row>
    <row r="943" ht="15" customHeight="1">
      <c r="A943" t="inlineStr">
        <is>
          <t>A 12327-2023</t>
        </is>
      </c>
      <c r="B943" s="1" t="n">
        <v>44999</v>
      </c>
      <c r="C943" s="1" t="n">
        <v>45349</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12499-2023</t>
        </is>
      </c>
      <c r="B944" s="1" t="n">
        <v>44999</v>
      </c>
      <c r="C944" s="1" t="n">
        <v>45349</v>
      </c>
      <c r="D944" t="inlineStr">
        <is>
          <t>KALMAR LÄN</t>
        </is>
      </c>
      <c r="E944" t="inlineStr">
        <is>
          <t>VIMMERBY</t>
        </is>
      </c>
      <c r="G944" t="n">
        <v>0.8</v>
      </c>
      <c r="H944" t="n">
        <v>0</v>
      </c>
      <c r="I944" t="n">
        <v>0</v>
      </c>
      <c r="J944" t="n">
        <v>0</v>
      </c>
      <c r="K944" t="n">
        <v>0</v>
      </c>
      <c r="L944" t="n">
        <v>0</v>
      </c>
      <c r="M944" t="n">
        <v>0</v>
      </c>
      <c r="N944" t="n">
        <v>0</v>
      </c>
      <c r="O944" t="n">
        <v>0</v>
      </c>
      <c r="P944" t="n">
        <v>0</v>
      </c>
      <c r="Q944" t="n">
        <v>0</v>
      </c>
      <c r="R944" s="2" t="inlineStr"/>
    </row>
    <row r="945" ht="15" customHeight="1">
      <c r="A945" t="inlineStr">
        <is>
          <t>A 12500-2023</t>
        </is>
      </c>
      <c r="B945" s="1" t="n">
        <v>44999</v>
      </c>
      <c r="C945" s="1" t="n">
        <v>45349</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12630-2023</t>
        </is>
      </c>
      <c r="B946" s="1" t="n">
        <v>45000</v>
      </c>
      <c r="C946" s="1" t="n">
        <v>45349</v>
      </c>
      <c r="D946" t="inlineStr">
        <is>
          <t>KALMAR LÄN</t>
        </is>
      </c>
      <c r="E946" t="inlineStr">
        <is>
          <t>VIMMERBY</t>
        </is>
      </c>
      <c r="G946" t="n">
        <v>2.1</v>
      </c>
      <c r="H946" t="n">
        <v>0</v>
      </c>
      <c r="I946" t="n">
        <v>0</v>
      </c>
      <c r="J946" t="n">
        <v>0</v>
      </c>
      <c r="K946" t="n">
        <v>0</v>
      </c>
      <c r="L946" t="n">
        <v>0</v>
      </c>
      <c r="M946" t="n">
        <v>0</v>
      </c>
      <c r="N946" t="n">
        <v>0</v>
      </c>
      <c r="O946" t="n">
        <v>0</v>
      </c>
      <c r="P946" t="n">
        <v>0</v>
      </c>
      <c r="Q946" t="n">
        <v>0</v>
      </c>
      <c r="R946" s="2" t="inlineStr"/>
    </row>
    <row r="947" ht="15" customHeight="1">
      <c r="A947" t="inlineStr">
        <is>
          <t>A 12692-2023</t>
        </is>
      </c>
      <c r="B947" s="1" t="n">
        <v>45000</v>
      </c>
      <c r="C947" s="1" t="n">
        <v>45349</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12810-2023</t>
        </is>
      </c>
      <c r="B948" s="1" t="n">
        <v>45001</v>
      </c>
      <c r="C948" s="1" t="n">
        <v>45349</v>
      </c>
      <c r="D948" t="inlineStr">
        <is>
          <t>KALMAR LÄN</t>
        </is>
      </c>
      <c r="E948" t="inlineStr">
        <is>
          <t>VIMMERBY</t>
        </is>
      </c>
      <c r="G948" t="n">
        <v>1.5</v>
      </c>
      <c r="H948" t="n">
        <v>0</v>
      </c>
      <c r="I948" t="n">
        <v>0</v>
      </c>
      <c r="J948" t="n">
        <v>0</v>
      </c>
      <c r="K948" t="n">
        <v>0</v>
      </c>
      <c r="L948" t="n">
        <v>0</v>
      </c>
      <c r="M948" t="n">
        <v>0</v>
      </c>
      <c r="N948" t="n">
        <v>0</v>
      </c>
      <c r="O948" t="n">
        <v>0</v>
      </c>
      <c r="P948" t="n">
        <v>0</v>
      </c>
      <c r="Q948" t="n">
        <v>0</v>
      </c>
      <c r="R948" s="2" t="inlineStr"/>
    </row>
    <row r="949" ht="15" customHeight="1">
      <c r="A949" t="inlineStr">
        <is>
          <t>A 12890-2023</t>
        </is>
      </c>
      <c r="B949" s="1" t="n">
        <v>45001</v>
      </c>
      <c r="C949" s="1" t="n">
        <v>45349</v>
      </c>
      <c r="D949" t="inlineStr">
        <is>
          <t>KALMAR LÄN</t>
        </is>
      </c>
      <c r="E949" t="inlineStr">
        <is>
          <t>VIMMERBY</t>
        </is>
      </c>
      <c r="G949" t="n">
        <v>2.8</v>
      </c>
      <c r="H949" t="n">
        <v>0</v>
      </c>
      <c r="I949" t="n">
        <v>0</v>
      </c>
      <c r="J949" t="n">
        <v>0</v>
      </c>
      <c r="K949" t="n">
        <v>0</v>
      </c>
      <c r="L949" t="n">
        <v>0</v>
      </c>
      <c r="M949" t="n">
        <v>0</v>
      </c>
      <c r="N949" t="n">
        <v>0</v>
      </c>
      <c r="O949" t="n">
        <v>0</v>
      </c>
      <c r="P949" t="n">
        <v>0</v>
      </c>
      <c r="Q949" t="n">
        <v>0</v>
      </c>
      <c r="R949" s="2" t="inlineStr"/>
    </row>
    <row r="950" ht="15" customHeight="1">
      <c r="A950" t="inlineStr">
        <is>
          <t>A 13015-2023</t>
        </is>
      </c>
      <c r="B950" s="1" t="n">
        <v>45002</v>
      </c>
      <c r="C950" s="1" t="n">
        <v>45349</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13462-2023</t>
        </is>
      </c>
      <c r="B951" s="1" t="n">
        <v>45005</v>
      </c>
      <c r="C951" s="1" t="n">
        <v>45349</v>
      </c>
      <c r="D951" t="inlineStr">
        <is>
          <t>KALMAR LÄN</t>
        </is>
      </c>
      <c r="E951" t="inlineStr">
        <is>
          <t>VIMMERBY</t>
        </is>
      </c>
      <c r="G951" t="n">
        <v>1.9</v>
      </c>
      <c r="H951" t="n">
        <v>0</v>
      </c>
      <c r="I951" t="n">
        <v>0</v>
      </c>
      <c r="J951" t="n">
        <v>0</v>
      </c>
      <c r="K951" t="n">
        <v>0</v>
      </c>
      <c r="L951" t="n">
        <v>0</v>
      </c>
      <c r="M951" t="n">
        <v>0</v>
      </c>
      <c r="N951" t="n">
        <v>0</v>
      </c>
      <c r="O951" t="n">
        <v>0</v>
      </c>
      <c r="P951" t="n">
        <v>0</v>
      </c>
      <c r="Q951" t="n">
        <v>0</v>
      </c>
      <c r="R951" s="2" t="inlineStr"/>
    </row>
    <row r="952" ht="15" customHeight="1">
      <c r="A952" t="inlineStr">
        <is>
          <t>A 13797-2023</t>
        </is>
      </c>
      <c r="B952" s="1" t="n">
        <v>45007</v>
      </c>
      <c r="C952" s="1" t="n">
        <v>45349</v>
      </c>
      <c r="D952" t="inlineStr">
        <is>
          <t>KALMAR LÄN</t>
        </is>
      </c>
      <c r="E952" t="inlineStr">
        <is>
          <t>VIMMERBY</t>
        </is>
      </c>
      <c r="G952" t="n">
        <v>2.2</v>
      </c>
      <c r="H952" t="n">
        <v>0</v>
      </c>
      <c r="I952" t="n">
        <v>0</v>
      </c>
      <c r="J952" t="n">
        <v>0</v>
      </c>
      <c r="K952" t="n">
        <v>0</v>
      </c>
      <c r="L952" t="n">
        <v>0</v>
      </c>
      <c r="M952" t="n">
        <v>0</v>
      </c>
      <c r="N952" t="n">
        <v>0</v>
      </c>
      <c r="O952" t="n">
        <v>0</v>
      </c>
      <c r="P952" t="n">
        <v>0</v>
      </c>
      <c r="Q952" t="n">
        <v>0</v>
      </c>
      <c r="R952" s="2" t="inlineStr"/>
    </row>
    <row r="953" ht="15" customHeight="1">
      <c r="A953" t="inlineStr">
        <is>
          <t>A 14025-2023</t>
        </is>
      </c>
      <c r="B953" s="1" t="n">
        <v>45008</v>
      </c>
      <c r="C953" s="1" t="n">
        <v>45349</v>
      </c>
      <c r="D953" t="inlineStr">
        <is>
          <t>KALMAR LÄN</t>
        </is>
      </c>
      <c r="E953" t="inlineStr">
        <is>
          <t>VIMMERBY</t>
        </is>
      </c>
      <c r="G953" t="n">
        <v>1.1</v>
      </c>
      <c r="H953" t="n">
        <v>0</v>
      </c>
      <c r="I953" t="n">
        <v>0</v>
      </c>
      <c r="J953" t="n">
        <v>0</v>
      </c>
      <c r="K953" t="n">
        <v>0</v>
      </c>
      <c r="L953" t="n">
        <v>0</v>
      </c>
      <c r="M953" t="n">
        <v>0</v>
      </c>
      <c r="N953" t="n">
        <v>0</v>
      </c>
      <c r="O953" t="n">
        <v>0</v>
      </c>
      <c r="P953" t="n">
        <v>0</v>
      </c>
      <c r="Q953" t="n">
        <v>0</v>
      </c>
      <c r="R953" s="2" t="inlineStr"/>
    </row>
    <row r="954" ht="15" customHeight="1">
      <c r="A954" t="inlineStr">
        <is>
          <t>A 14132-2023</t>
        </is>
      </c>
      <c r="B954" s="1" t="n">
        <v>45009</v>
      </c>
      <c r="C954" s="1" t="n">
        <v>45349</v>
      </c>
      <c r="D954" t="inlineStr">
        <is>
          <t>KALMAR LÄN</t>
        </is>
      </c>
      <c r="E954" t="inlineStr">
        <is>
          <t>VIMMERBY</t>
        </is>
      </c>
      <c r="G954" t="n">
        <v>1.6</v>
      </c>
      <c r="H954" t="n">
        <v>0</v>
      </c>
      <c r="I954" t="n">
        <v>0</v>
      </c>
      <c r="J954" t="n">
        <v>0</v>
      </c>
      <c r="K954" t="n">
        <v>0</v>
      </c>
      <c r="L954" t="n">
        <v>0</v>
      </c>
      <c r="M954" t="n">
        <v>0</v>
      </c>
      <c r="N954" t="n">
        <v>0</v>
      </c>
      <c r="O954" t="n">
        <v>0</v>
      </c>
      <c r="P954" t="n">
        <v>0</v>
      </c>
      <c r="Q954" t="n">
        <v>0</v>
      </c>
      <c r="R954" s="2" t="inlineStr"/>
    </row>
    <row r="955" ht="15" customHeight="1">
      <c r="A955" t="inlineStr">
        <is>
          <t>A 14137-2023</t>
        </is>
      </c>
      <c r="B955" s="1" t="n">
        <v>45009</v>
      </c>
      <c r="C955" s="1" t="n">
        <v>45349</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14142-2023</t>
        </is>
      </c>
      <c r="B956" s="1" t="n">
        <v>45009</v>
      </c>
      <c r="C956" s="1" t="n">
        <v>45349</v>
      </c>
      <c r="D956" t="inlineStr">
        <is>
          <t>KALMAR LÄN</t>
        </is>
      </c>
      <c r="E956" t="inlineStr">
        <is>
          <t>VIMMERBY</t>
        </is>
      </c>
      <c r="G956" t="n">
        <v>3</v>
      </c>
      <c r="H956" t="n">
        <v>0</v>
      </c>
      <c r="I956" t="n">
        <v>0</v>
      </c>
      <c r="J956" t="n">
        <v>0</v>
      </c>
      <c r="K956" t="n">
        <v>0</v>
      </c>
      <c r="L956" t="n">
        <v>0</v>
      </c>
      <c r="M956" t="n">
        <v>0</v>
      </c>
      <c r="N956" t="n">
        <v>0</v>
      </c>
      <c r="O956" t="n">
        <v>0</v>
      </c>
      <c r="P956" t="n">
        <v>0</v>
      </c>
      <c r="Q956" t="n">
        <v>0</v>
      </c>
      <c r="R956" s="2" t="inlineStr"/>
    </row>
    <row r="957" ht="15" customHeight="1">
      <c r="A957" t="inlineStr">
        <is>
          <t>A 14248-2023</t>
        </is>
      </c>
      <c r="B957" s="1" t="n">
        <v>45009</v>
      </c>
      <c r="C957" s="1" t="n">
        <v>45349</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14440-2023</t>
        </is>
      </c>
      <c r="B958" s="1" t="n">
        <v>45012</v>
      </c>
      <c r="C958" s="1" t="n">
        <v>45349</v>
      </c>
      <c r="D958" t="inlineStr">
        <is>
          <t>KALMAR LÄN</t>
        </is>
      </c>
      <c r="E958" t="inlineStr">
        <is>
          <t>VIMMERBY</t>
        </is>
      </c>
      <c r="G958" t="n">
        <v>3</v>
      </c>
      <c r="H958" t="n">
        <v>0</v>
      </c>
      <c r="I958" t="n">
        <v>0</v>
      </c>
      <c r="J958" t="n">
        <v>0</v>
      </c>
      <c r="K958" t="n">
        <v>0</v>
      </c>
      <c r="L958" t="n">
        <v>0</v>
      </c>
      <c r="M958" t="n">
        <v>0</v>
      </c>
      <c r="N958" t="n">
        <v>0</v>
      </c>
      <c r="O958" t="n">
        <v>0</v>
      </c>
      <c r="P958" t="n">
        <v>0</v>
      </c>
      <c r="Q958" t="n">
        <v>0</v>
      </c>
      <c r="R958" s="2" t="inlineStr"/>
    </row>
    <row r="959" ht="15" customHeight="1">
      <c r="A959" t="inlineStr">
        <is>
          <t>A 14438-2023</t>
        </is>
      </c>
      <c r="B959" s="1" t="n">
        <v>45012</v>
      </c>
      <c r="C959" s="1" t="n">
        <v>45349</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14996-2023</t>
        </is>
      </c>
      <c r="B960" s="1" t="n">
        <v>45014</v>
      </c>
      <c r="C960" s="1" t="n">
        <v>45349</v>
      </c>
      <c r="D960" t="inlineStr">
        <is>
          <t>KALMAR LÄN</t>
        </is>
      </c>
      <c r="E960" t="inlineStr">
        <is>
          <t>VIMMERBY</t>
        </is>
      </c>
      <c r="G960" t="n">
        <v>6.9</v>
      </c>
      <c r="H960" t="n">
        <v>0</v>
      </c>
      <c r="I960" t="n">
        <v>0</v>
      </c>
      <c r="J960" t="n">
        <v>0</v>
      </c>
      <c r="K960" t="n">
        <v>0</v>
      </c>
      <c r="L960" t="n">
        <v>0</v>
      </c>
      <c r="M960" t="n">
        <v>0</v>
      </c>
      <c r="N960" t="n">
        <v>0</v>
      </c>
      <c r="O960" t="n">
        <v>0</v>
      </c>
      <c r="P960" t="n">
        <v>0</v>
      </c>
      <c r="Q960" t="n">
        <v>0</v>
      </c>
      <c r="R960" s="2" t="inlineStr"/>
    </row>
    <row r="961" ht="15" customHeight="1">
      <c r="A961" t="inlineStr">
        <is>
          <t>A 15493-2023</t>
        </is>
      </c>
      <c r="B961" s="1" t="n">
        <v>45018</v>
      </c>
      <c r="C961" s="1" t="n">
        <v>45349</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15550-2023</t>
        </is>
      </c>
      <c r="B962" s="1" t="n">
        <v>45020</v>
      </c>
      <c r="C962" s="1" t="n">
        <v>45349</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15449-2023</t>
        </is>
      </c>
      <c r="B963" s="1" t="n">
        <v>45020</v>
      </c>
      <c r="C963" s="1" t="n">
        <v>45349</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15486-2023</t>
        </is>
      </c>
      <c r="B964" s="1" t="n">
        <v>45020</v>
      </c>
      <c r="C964" s="1" t="n">
        <v>45349</v>
      </c>
      <c r="D964" t="inlineStr">
        <is>
          <t>KALMAR LÄN</t>
        </is>
      </c>
      <c r="E964" t="inlineStr">
        <is>
          <t>VIMMERBY</t>
        </is>
      </c>
      <c r="G964" t="n">
        <v>1.2</v>
      </c>
      <c r="H964" t="n">
        <v>0</v>
      </c>
      <c r="I964" t="n">
        <v>0</v>
      </c>
      <c r="J964" t="n">
        <v>0</v>
      </c>
      <c r="K964" t="n">
        <v>0</v>
      </c>
      <c r="L964" t="n">
        <v>0</v>
      </c>
      <c r="M964" t="n">
        <v>0</v>
      </c>
      <c r="N964" t="n">
        <v>0</v>
      </c>
      <c r="O964" t="n">
        <v>0</v>
      </c>
      <c r="P964" t="n">
        <v>0</v>
      </c>
      <c r="Q964" t="n">
        <v>0</v>
      </c>
      <c r="R964" s="2" t="inlineStr"/>
    </row>
    <row r="965" ht="15" customHeight="1">
      <c r="A965" t="inlineStr">
        <is>
          <t>A 15490-2023</t>
        </is>
      </c>
      <c r="B965" s="1" t="n">
        <v>45020</v>
      </c>
      <c r="C965" s="1" t="n">
        <v>45349</v>
      </c>
      <c r="D965" t="inlineStr">
        <is>
          <t>KALMAR LÄN</t>
        </is>
      </c>
      <c r="E965" t="inlineStr">
        <is>
          <t>VIMMERBY</t>
        </is>
      </c>
      <c r="G965" t="n">
        <v>1.6</v>
      </c>
      <c r="H965" t="n">
        <v>0</v>
      </c>
      <c r="I965" t="n">
        <v>0</v>
      </c>
      <c r="J965" t="n">
        <v>0</v>
      </c>
      <c r="K965" t="n">
        <v>0</v>
      </c>
      <c r="L965" t="n">
        <v>0</v>
      </c>
      <c r="M965" t="n">
        <v>0</v>
      </c>
      <c r="N965" t="n">
        <v>0</v>
      </c>
      <c r="O965" t="n">
        <v>0</v>
      </c>
      <c r="P965" t="n">
        <v>0</v>
      </c>
      <c r="Q965" t="n">
        <v>0</v>
      </c>
      <c r="R965" s="2" t="inlineStr"/>
    </row>
    <row r="966" ht="15" customHeight="1">
      <c r="A966" t="inlineStr">
        <is>
          <t>A 15740-2023</t>
        </is>
      </c>
      <c r="B966" s="1" t="n">
        <v>45021</v>
      </c>
      <c r="C966" s="1" t="n">
        <v>45349</v>
      </c>
      <c r="D966" t="inlineStr">
        <is>
          <t>KALMAR LÄN</t>
        </is>
      </c>
      <c r="E966" t="inlineStr">
        <is>
          <t>VIMMERBY</t>
        </is>
      </c>
      <c r="G966" t="n">
        <v>1.9</v>
      </c>
      <c r="H966" t="n">
        <v>0</v>
      </c>
      <c r="I966" t="n">
        <v>0</v>
      </c>
      <c r="J966" t="n">
        <v>0</v>
      </c>
      <c r="K966" t="n">
        <v>0</v>
      </c>
      <c r="L966" t="n">
        <v>0</v>
      </c>
      <c r="M966" t="n">
        <v>0</v>
      </c>
      <c r="N966" t="n">
        <v>0</v>
      </c>
      <c r="O966" t="n">
        <v>0</v>
      </c>
      <c r="P966" t="n">
        <v>0</v>
      </c>
      <c r="Q966" t="n">
        <v>0</v>
      </c>
      <c r="R966" s="2" t="inlineStr"/>
    </row>
    <row r="967" ht="15" customHeight="1">
      <c r="A967" t="inlineStr">
        <is>
          <t>A 15993-2023</t>
        </is>
      </c>
      <c r="B967" s="1" t="n">
        <v>45023</v>
      </c>
      <c r="C967" s="1" t="n">
        <v>45349</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16020-2023</t>
        </is>
      </c>
      <c r="B968" s="1" t="n">
        <v>45026</v>
      </c>
      <c r="C968" s="1" t="n">
        <v>45349</v>
      </c>
      <c r="D968" t="inlineStr">
        <is>
          <t>KALMAR LÄN</t>
        </is>
      </c>
      <c r="E968" t="inlineStr">
        <is>
          <t>VIMMERBY</t>
        </is>
      </c>
      <c r="G968" t="n">
        <v>1.1</v>
      </c>
      <c r="H968" t="n">
        <v>0</v>
      </c>
      <c r="I968" t="n">
        <v>0</v>
      </c>
      <c r="J968" t="n">
        <v>0</v>
      </c>
      <c r="K968" t="n">
        <v>0</v>
      </c>
      <c r="L968" t="n">
        <v>0</v>
      </c>
      <c r="M968" t="n">
        <v>0</v>
      </c>
      <c r="N968" t="n">
        <v>0</v>
      </c>
      <c r="O968" t="n">
        <v>0</v>
      </c>
      <c r="P968" t="n">
        <v>0</v>
      </c>
      <c r="Q968" t="n">
        <v>0</v>
      </c>
      <c r="R968" s="2" t="inlineStr"/>
    </row>
    <row r="969" ht="15" customHeight="1">
      <c r="A969" t="inlineStr">
        <is>
          <t>A 16119-2023</t>
        </is>
      </c>
      <c r="B969" s="1" t="n">
        <v>45027</v>
      </c>
      <c r="C969" s="1" t="n">
        <v>45349</v>
      </c>
      <c r="D969" t="inlineStr">
        <is>
          <t>KALMAR LÄN</t>
        </is>
      </c>
      <c r="E969" t="inlineStr">
        <is>
          <t>VIMMERBY</t>
        </is>
      </c>
      <c r="F969" t="inlineStr">
        <is>
          <t>Kommuner</t>
        </is>
      </c>
      <c r="G969" t="n">
        <v>4.4</v>
      </c>
      <c r="H969" t="n">
        <v>0</v>
      </c>
      <c r="I969" t="n">
        <v>0</v>
      </c>
      <c r="J969" t="n">
        <v>0</v>
      </c>
      <c r="K969" t="n">
        <v>0</v>
      </c>
      <c r="L969" t="n">
        <v>0</v>
      </c>
      <c r="M969" t="n">
        <v>0</v>
      </c>
      <c r="N969" t="n">
        <v>0</v>
      </c>
      <c r="O969" t="n">
        <v>0</v>
      </c>
      <c r="P969" t="n">
        <v>0</v>
      </c>
      <c r="Q969" t="n">
        <v>0</v>
      </c>
      <c r="R969" s="2" t="inlineStr"/>
    </row>
    <row r="970" ht="15" customHeight="1">
      <c r="A970" t="inlineStr">
        <is>
          <t>A 16676-2023</t>
        </is>
      </c>
      <c r="B970" s="1" t="n">
        <v>45028</v>
      </c>
      <c r="C970" s="1" t="n">
        <v>45349</v>
      </c>
      <c r="D970" t="inlineStr">
        <is>
          <t>KALMAR LÄN</t>
        </is>
      </c>
      <c r="E970" t="inlineStr">
        <is>
          <t>VIMMERBY</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16516-2023</t>
        </is>
      </c>
      <c r="B971" s="1" t="n">
        <v>45029</v>
      </c>
      <c r="C971" s="1" t="n">
        <v>45349</v>
      </c>
      <c r="D971" t="inlineStr">
        <is>
          <t>KALMAR LÄN</t>
        </is>
      </c>
      <c r="E971" t="inlineStr">
        <is>
          <t>VIMMERBY</t>
        </is>
      </c>
      <c r="G971" t="n">
        <v>4.3</v>
      </c>
      <c r="H971" t="n">
        <v>0</v>
      </c>
      <c r="I971" t="n">
        <v>0</v>
      </c>
      <c r="J971" t="n">
        <v>0</v>
      </c>
      <c r="K971" t="n">
        <v>0</v>
      </c>
      <c r="L971" t="n">
        <v>0</v>
      </c>
      <c r="M971" t="n">
        <v>0</v>
      </c>
      <c r="N971" t="n">
        <v>0</v>
      </c>
      <c r="O971" t="n">
        <v>0</v>
      </c>
      <c r="P971" t="n">
        <v>0</v>
      </c>
      <c r="Q971" t="n">
        <v>0</v>
      </c>
      <c r="R971" s="2" t="inlineStr"/>
    </row>
    <row r="972" ht="15" customHeight="1">
      <c r="A972" t="inlineStr">
        <is>
          <t>A 16734-2023</t>
        </is>
      </c>
      <c r="B972" s="1" t="n">
        <v>45030</v>
      </c>
      <c r="C972" s="1" t="n">
        <v>45349</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16750-2023</t>
        </is>
      </c>
      <c r="B973" s="1" t="n">
        <v>45030</v>
      </c>
      <c r="C973" s="1" t="n">
        <v>45349</v>
      </c>
      <c r="D973" t="inlineStr">
        <is>
          <t>KALMAR LÄN</t>
        </is>
      </c>
      <c r="E973" t="inlineStr">
        <is>
          <t>VIMMERBY</t>
        </is>
      </c>
      <c r="G973" t="n">
        <v>1.2</v>
      </c>
      <c r="H973" t="n">
        <v>0</v>
      </c>
      <c r="I973" t="n">
        <v>0</v>
      </c>
      <c r="J973" t="n">
        <v>0</v>
      </c>
      <c r="K973" t="n">
        <v>0</v>
      </c>
      <c r="L973" t="n">
        <v>0</v>
      </c>
      <c r="M973" t="n">
        <v>0</v>
      </c>
      <c r="N973" t="n">
        <v>0</v>
      </c>
      <c r="O973" t="n">
        <v>0</v>
      </c>
      <c r="P973" t="n">
        <v>0</v>
      </c>
      <c r="Q973" t="n">
        <v>0</v>
      </c>
      <c r="R973" s="2" t="inlineStr"/>
    </row>
    <row r="974" ht="15" customHeight="1">
      <c r="A974" t="inlineStr">
        <is>
          <t>A 16927-2023</t>
        </is>
      </c>
      <c r="B974" s="1" t="n">
        <v>45033</v>
      </c>
      <c r="C974" s="1" t="n">
        <v>45349</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16983-2023</t>
        </is>
      </c>
      <c r="B975" s="1" t="n">
        <v>45033</v>
      </c>
      <c r="C975" s="1" t="n">
        <v>45349</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17758-2023</t>
        </is>
      </c>
      <c r="B976" s="1" t="n">
        <v>45037</v>
      </c>
      <c r="C976" s="1" t="n">
        <v>45349</v>
      </c>
      <c r="D976" t="inlineStr">
        <is>
          <t>KALMAR LÄN</t>
        </is>
      </c>
      <c r="E976" t="inlineStr">
        <is>
          <t>VIMMERBY</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17964-2023</t>
        </is>
      </c>
      <c r="B977" s="1" t="n">
        <v>45040</v>
      </c>
      <c r="C977" s="1" t="n">
        <v>45349</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18209-2023</t>
        </is>
      </c>
      <c r="B978" s="1" t="n">
        <v>45041</v>
      </c>
      <c r="C978" s="1" t="n">
        <v>45349</v>
      </c>
      <c r="D978" t="inlineStr">
        <is>
          <t>KALMAR LÄN</t>
        </is>
      </c>
      <c r="E978" t="inlineStr">
        <is>
          <t>VIMMERBY</t>
        </is>
      </c>
      <c r="G978" t="n">
        <v>2.6</v>
      </c>
      <c r="H978" t="n">
        <v>0</v>
      </c>
      <c r="I978" t="n">
        <v>0</v>
      </c>
      <c r="J978" t="n">
        <v>0</v>
      </c>
      <c r="K978" t="n">
        <v>0</v>
      </c>
      <c r="L978" t="n">
        <v>0</v>
      </c>
      <c r="M978" t="n">
        <v>0</v>
      </c>
      <c r="N978" t="n">
        <v>0</v>
      </c>
      <c r="O978" t="n">
        <v>0</v>
      </c>
      <c r="P978" t="n">
        <v>0</v>
      </c>
      <c r="Q978" t="n">
        <v>0</v>
      </c>
      <c r="R978" s="2" t="inlineStr"/>
    </row>
    <row r="979" ht="15" customHeight="1">
      <c r="A979" t="inlineStr">
        <is>
          <t>A 18330-2023</t>
        </is>
      </c>
      <c r="B979" s="1" t="n">
        <v>45041</v>
      </c>
      <c r="C979" s="1" t="n">
        <v>45349</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18329-2023</t>
        </is>
      </c>
      <c r="B980" s="1" t="n">
        <v>45041</v>
      </c>
      <c r="C980" s="1" t="n">
        <v>45349</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18328-2023</t>
        </is>
      </c>
      <c r="B981" s="1" t="n">
        <v>45041</v>
      </c>
      <c r="C981" s="1" t="n">
        <v>45349</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18609-2023</t>
        </is>
      </c>
      <c r="B982" s="1" t="n">
        <v>45041</v>
      </c>
      <c r="C982" s="1" t="n">
        <v>45349</v>
      </c>
      <c r="D982" t="inlineStr">
        <is>
          <t>KALMAR LÄN</t>
        </is>
      </c>
      <c r="E982" t="inlineStr">
        <is>
          <t>VIMMERBY</t>
        </is>
      </c>
      <c r="G982" t="n">
        <v>3</v>
      </c>
      <c r="H982" t="n">
        <v>0</v>
      </c>
      <c r="I982" t="n">
        <v>0</v>
      </c>
      <c r="J982" t="n">
        <v>0</v>
      </c>
      <c r="K982" t="n">
        <v>0</v>
      </c>
      <c r="L982" t="n">
        <v>0</v>
      </c>
      <c r="M982" t="n">
        <v>0</v>
      </c>
      <c r="N982" t="n">
        <v>0</v>
      </c>
      <c r="O982" t="n">
        <v>0</v>
      </c>
      <c r="P982" t="n">
        <v>0</v>
      </c>
      <c r="Q982" t="n">
        <v>0</v>
      </c>
      <c r="R982" s="2" t="inlineStr"/>
    </row>
    <row r="983" ht="15" customHeight="1">
      <c r="A983" t="inlineStr">
        <is>
          <t>A 18731-2023</t>
        </is>
      </c>
      <c r="B983" s="1" t="n">
        <v>45043</v>
      </c>
      <c r="C983" s="1" t="n">
        <v>45349</v>
      </c>
      <c r="D983" t="inlineStr">
        <is>
          <t>KALMAR LÄN</t>
        </is>
      </c>
      <c r="E983" t="inlineStr">
        <is>
          <t>VIMMERBY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19013-2023</t>
        </is>
      </c>
      <c r="B984" s="1" t="n">
        <v>45045</v>
      </c>
      <c r="C984" s="1" t="n">
        <v>45349</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19162-2023</t>
        </is>
      </c>
      <c r="B985" s="1" t="n">
        <v>45048</v>
      </c>
      <c r="C985" s="1" t="n">
        <v>45349</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19158-2023</t>
        </is>
      </c>
      <c r="B986" s="1" t="n">
        <v>45048</v>
      </c>
      <c r="C986" s="1" t="n">
        <v>45349</v>
      </c>
      <c r="D986" t="inlineStr">
        <is>
          <t>KALMAR LÄN</t>
        </is>
      </c>
      <c r="E986" t="inlineStr">
        <is>
          <t>VIMMERBY</t>
        </is>
      </c>
      <c r="G986" t="n">
        <v>2.2</v>
      </c>
      <c r="H986" t="n">
        <v>0</v>
      </c>
      <c r="I986" t="n">
        <v>0</v>
      </c>
      <c r="J986" t="n">
        <v>0</v>
      </c>
      <c r="K986" t="n">
        <v>0</v>
      </c>
      <c r="L986" t="n">
        <v>0</v>
      </c>
      <c r="M986" t="n">
        <v>0</v>
      </c>
      <c r="N986" t="n">
        <v>0</v>
      </c>
      <c r="O986" t="n">
        <v>0</v>
      </c>
      <c r="P986" t="n">
        <v>0</v>
      </c>
      <c r="Q986" t="n">
        <v>0</v>
      </c>
      <c r="R986" s="2" t="inlineStr"/>
    </row>
    <row r="987" ht="15" customHeight="1">
      <c r="A987" t="inlineStr">
        <is>
          <t>A 19833-2023</t>
        </is>
      </c>
      <c r="B987" s="1" t="n">
        <v>45052</v>
      </c>
      <c r="C987" s="1" t="n">
        <v>45349</v>
      </c>
      <c r="D987" t="inlineStr">
        <is>
          <t>KALMAR LÄN</t>
        </is>
      </c>
      <c r="E987" t="inlineStr">
        <is>
          <t>VIMMERBY</t>
        </is>
      </c>
      <c r="G987" t="n">
        <v>6.7</v>
      </c>
      <c r="H987" t="n">
        <v>0</v>
      </c>
      <c r="I987" t="n">
        <v>0</v>
      </c>
      <c r="J987" t="n">
        <v>0</v>
      </c>
      <c r="K987" t="n">
        <v>0</v>
      </c>
      <c r="L987" t="n">
        <v>0</v>
      </c>
      <c r="M987" t="n">
        <v>0</v>
      </c>
      <c r="N987" t="n">
        <v>0</v>
      </c>
      <c r="O987" t="n">
        <v>0</v>
      </c>
      <c r="P987" t="n">
        <v>0</v>
      </c>
      <c r="Q987" t="n">
        <v>0</v>
      </c>
      <c r="R987" s="2" t="inlineStr"/>
    </row>
    <row r="988" ht="15" customHeight="1">
      <c r="A988" t="inlineStr">
        <is>
          <t>A 20054-2023</t>
        </is>
      </c>
      <c r="B988" s="1" t="n">
        <v>45054</v>
      </c>
      <c r="C988" s="1" t="n">
        <v>45349</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20218-2023</t>
        </is>
      </c>
      <c r="B989" s="1" t="n">
        <v>45055</v>
      </c>
      <c r="C989" s="1" t="n">
        <v>45349</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20117-2023</t>
        </is>
      </c>
      <c r="B990" s="1" t="n">
        <v>45055</v>
      </c>
      <c r="C990" s="1" t="n">
        <v>45349</v>
      </c>
      <c r="D990" t="inlineStr">
        <is>
          <t>KALMAR LÄN</t>
        </is>
      </c>
      <c r="E990" t="inlineStr">
        <is>
          <t>VIMMERBY</t>
        </is>
      </c>
      <c r="G990" t="n">
        <v>1.7</v>
      </c>
      <c r="H990" t="n">
        <v>0</v>
      </c>
      <c r="I990" t="n">
        <v>0</v>
      </c>
      <c r="J990" t="n">
        <v>0</v>
      </c>
      <c r="K990" t="n">
        <v>0</v>
      </c>
      <c r="L990" t="n">
        <v>0</v>
      </c>
      <c r="M990" t="n">
        <v>0</v>
      </c>
      <c r="N990" t="n">
        <v>0</v>
      </c>
      <c r="O990" t="n">
        <v>0</v>
      </c>
      <c r="P990" t="n">
        <v>0</v>
      </c>
      <c r="Q990" t="n">
        <v>0</v>
      </c>
      <c r="R990" s="2" t="inlineStr"/>
    </row>
    <row r="991" ht="15" customHeight="1">
      <c r="A991" t="inlineStr">
        <is>
          <t>A 20215-2023</t>
        </is>
      </c>
      <c r="B991" s="1" t="n">
        <v>45055</v>
      </c>
      <c r="C991" s="1" t="n">
        <v>45349</v>
      </c>
      <c r="D991" t="inlineStr">
        <is>
          <t>KALMAR LÄN</t>
        </is>
      </c>
      <c r="E991" t="inlineStr">
        <is>
          <t>VIMMERBY</t>
        </is>
      </c>
      <c r="G991" t="n">
        <v>1.3</v>
      </c>
      <c r="H991" t="n">
        <v>0</v>
      </c>
      <c r="I991" t="n">
        <v>0</v>
      </c>
      <c r="J991" t="n">
        <v>0</v>
      </c>
      <c r="K991" t="n">
        <v>0</v>
      </c>
      <c r="L991" t="n">
        <v>0</v>
      </c>
      <c r="M991" t="n">
        <v>0</v>
      </c>
      <c r="N991" t="n">
        <v>0</v>
      </c>
      <c r="O991" t="n">
        <v>0</v>
      </c>
      <c r="P991" t="n">
        <v>0</v>
      </c>
      <c r="Q991" t="n">
        <v>0</v>
      </c>
      <c r="R991" s="2" t="inlineStr"/>
    </row>
    <row r="992" ht="15" customHeight="1">
      <c r="A992" t="inlineStr">
        <is>
          <t>A 20216-2023</t>
        </is>
      </c>
      <c r="B992" s="1" t="n">
        <v>45055</v>
      </c>
      <c r="C992" s="1" t="n">
        <v>45349</v>
      </c>
      <c r="D992" t="inlineStr">
        <is>
          <t>KALMAR LÄN</t>
        </is>
      </c>
      <c r="E992" t="inlineStr">
        <is>
          <t>VIMMERBY</t>
        </is>
      </c>
      <c r="G992" t="n">
        <v>3.1</v>
      </c>
      <c r="H992" t="n">
        <v>0</v>
      </c>
      <c r="I992" t="n">
        <v>0</v>
      </c>
      <c r="J992" t="n">
        <v>0</v>
      </c>
      <c r="K992" t="n">
        <v>0</v>
      </c>
      <c r="L992" t="n">
        <v>0</v>
      </c>
      <c r="M992" t="n">
        <v>0</v>
      </c>
      <c r="N992" t="n">
        <v>0</v>
      </c>
      <c r="O992" t="n">
        <v>0</v>
      </c>
      <c r="P992" t="n">
        <v>0</v>
      </c>
      <c r="Q992" t="n">
        <v>0</v>
      </c>
      <c r="R992" s="2" t="inlineStr"/>
    </row>
    <row r="993" ht="15" customHeight="1">
      <c r="A993" t="inlineStr">
        <is>
          <t>A 20421-2023</t>
        </is>
      </c>
      <c r="B993" s="1" t="n">
        <v>45056</v>
      </c>
      <c r="C993" s="1" t="n">
        <v>45349</v>
      </c>
      <c r="D993" t="inlineStr">
        <is>
          <t>KALMAR LÄN</t>
        </is>
      </c>
      <c r="E993" t="inlineStr">
        <is>
          <t>VIMMERBY</t>
        </is>
      </c>
      <c r="G993" t="n">
        <v>5.2</v>
      </c>
      <c r="H993" t="n">
        <v>0</v>
      </c>
      <c r="I993" t="n">
        <v>0</v>
      </c>
      <c r="J993" t="n">
        <v>0</v>
      </c>
      <c r="K993" t="n">
        <v>0</v>
      </c>
      <c r="L993" t="n">
        <v>0</v>
      </c>
      <c r="M993" t="n">
        <v>0</v>
      </c>
      <c r="N993" t="n">
        <v>0</v>
      </c>
      <c r="O993" t="n">
        <v>0</v>
      </c>
      <c r="P993" t="n">
        <v>0</v>
      </c>
      <c r="Q993" t="n">
        <v>0</v>
      </c>
      <c r="R993" s="2" t="inlineStr"/>
    </row>
    <row r="994" ht="15" customHeight="1">
      <c r="A994" t="inlineStr">
        <is>
          <t>A 20542-2023</t>
        </is>
      </c>
      <c r="B994" s="1" t="n">
        <v>45057</v>
      </c>
      <c r="C994" s="1" t="n">
        <v>45349</v>
      </c>
      <c r="D994" t="inlineStr">
        <is>
          <t>KALMAR LÄN</t>
        </is>
      </c>
      <c r="E994" t="inlineStr">
        <is>
          <t>VIMMERBY</t>
        </is>
      </c>
      <c r="G994" t="n">
        <v>4.4</v>
      </c>
      <c r="H994" t="n">
        <v>0</v>
      </c>
      <c r="I994" t="n">
        <v>0</v>
      </c>
      <c r="J994" t="n">
        <v>0</v>
      </c>
      <c r="K994" t="n">
        <v>0</v>
      </c>
      <c r="L994" t="n">
        <v>0</v>
      </c>
      <c r="M994" t="n">
        <v>0</v>
      </c>
      <c r="N994" t="n">
        <v>0</v>
      </c>
      <c r="O994" t="n">
        <v>0</v>
      </c>
      <c r="P994" t="n">
        <v>0</v>
      </c>
      <c r="Q994" t="n">
        <v>0</v>
      </c>
      <c r="R994" s="2" t="inlineStr"/>
    </row>
    <row r="995" ht="15" customHeight="1">
      <c r="A995" t="inlineStr">
        <is>
          <t>A 20699-2023</t>
        </is>
      </c>
      <c r="B995" s="1" t="n">
        <v>45058</v>
      </c>
      <c r="C995" s="1" t="n">
        <v>45349</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20736-2023</t>
        </is>
      </c>
      <c r="B996" s="1" t="n">
        <v>45058</v>
      </c>
      <c r="C996" s="1" t="n">
        <v>45349</v>
      </c>
      <c r="D996" t="inlineStr">
        <is>
          <t>KALMAR LÄN</t>
        </is>
      </c>
      <c r="E996" t="inlineStr">
        <is>
          <t>VIMMERBY</t>
        </is>
      </c>
      <c r="G996" t="n">
        <v>1.9</v>
      </c>
      <c r="H996" t="n">
        <v>0</v>
      </c>
      <c r="I996" t="n">
        <v>0</v>
      </c>
      <c r="J996" t="n">
        <v>0</v>
      </c>
      <c r="K996" t="n">
        <v>0</v>
      </c>
      <c r="L996" t="n">
        <v>0</v>
      </c>
      <c r="M996" t="n">
        <v>0</v>
      </c>
      <c r="N996" t="n">
        <v>0</v>
      </c>
      <c r="O996" t="n">
        <v>0</v>
      </c>
      <c r="P996" t="n">
        <v>0</v>
      </c>
      <c r="Q996" t="n">
        <v>0</v>
      </c>
      <c r="R996" s="2" t="inlineStr"/>
    </row>
    <row r="997" ht="15" customHeight="1">
      <c r="A997" t="inlineStr">
        <is>
          <t>A 21025-2023</t>
        </is>
      </c>
      <c r="B997" s="1" t="n">
        <v>45061</v>
      </c>
      <c r="C997" s="1" t="n">
        <v>45349</v>
      </c>
      <c r="D997" t="inlineStr">
        <is>
          <t>KALMAR LÄN</t>
        </is>
      </c>
      <c r="E997" t="inlineStr">
        <is>
          <t>VIMMERBY</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21028-2023</t>
        </is>
      </c>
      <c r="B998" s="1" t="n">
        <v>45061</v>
      </c>
      <c r="C998" s="1" t="n">
        <v>45349</v>
      </c>
      <c r="D998" t="inlineStr">
        <is>
          <t>KALMAR LÄN</t>
        </is>
      </c>
      <c r="E998" t="inlineStr">
        <is>
          <t>VIMMERBY</t>
        </is>
      </c>
      <c r="F998" t="inlineStr">
        <is>
          <t>Övriga Aktiebolag</t>
        </is>
      </c>
      <c r="G998" t="n">
        <v>0.7</v>
      </c>
      <c r="H998" t="n">
        <v>0</v>
      </c>
      <c r="I998" t="n">
        <v>0</v>
      </c>
      <c r="J998" t="n">
        <v>0</v>
      </c>
      <c r="K998" t="n">
        <v>0</v>
      </c>
      <c r="L998" t="n">
        <v>0</v>
      </c>
      <c r="M998" t="n">
        <v>0</v>
      </c>
      <c r="N998" t="n">
        <v>0</v>
      </c>
      <c r="O998" t="n">
        <v>0</v>
      </c>
      <c r="P998" t="n">
        <v>0</v>
      </c>
      <c r="Q998" t="n">
        <v>0</v>
      </c>
      <c r="R998" s="2" t="inlineStr"/>
    </row>
    <row r="999" ht="15" customHeight="1">
      <c r="A999" t="inlineStr">
        <is>
          <t>A 21496-2023</t>
        </is>
      </c>
      <c r="B999" s="1" t="n">
        <v>45063</v>
      </c>
      <c r="C999" s="1" t="n">
        <v>45349</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21507-2023</t>
        </is>
      </c>
      <c r="B1000" s="1" t="n">
        <v>45063</v>
      </c>
      <c r="C1000" s="1" t="n">
        <v>45349</v>
      </c>
      <c r="D1000" t="inlineStr">
        <is>
          <t>KALMAR LÄN</t>
        </is>
      </c>
      <c r="E1000" t="inlineStr">
        <is>
          <t>VIMMERBY</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21911-2023</t>
        </is>
      </c>
      <c r="B1001" s="1" t="n">
        <v>45068</v>
      </c>
      <c r="C1001" s="1" t="n">
        <v>45349</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22415-2023</t>
        </is>
      </c>
      <c r="B1002" s="1" t="n">
        <v>45070</v>
      </c>
      <c r="C1002" s="1" t="n">
        <v>45349</v>
      </c>
      <c r="D1002" t="inlineStr">
        <is>
          <t>KALMAR LÄN</t>
        </is>
      </c>
      <c r="E1002" t="inlineStr">
        <is>
          <t>VIMMERBY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22264-2023</t>
        </is>
      </c>
      <c r="B1003" s="1" t="n">
        <v>45070</v>
      </c>
      <c r="C1003" s="1" t="n">
        <v>45349</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22421-2023</t>
        </is>
      </c>
      <c r="B1004" s="1" t="n">
        <v>45070</v>
      </c>
      <c r="C1004" s="1" t="n">
        <v>45349</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22266-2023</t>
        </is>
      </c>
      <c r="B1005" s="1" t="n">
        <v>45070</v>
      </c>
      <c r="C1005" s="1" t="n">
        <v>45349</v>
      </c>
      <c r="D1005" t="inlineStr">
        <is>
          <t>KALMAR LÄN</t>
        </is>
      </c>
      <c r="E1005" t="inlineStr">
        <is>
          <t>VIMMERBY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22418-2023</t>
        </is>
      </c>
      <c r="B1006" s="1" t="n">
        <v>45070</v>
      </c>
      <c r="C1006" s="1" t="n">
        <v>45349</v>
      </c>
      <c r="D1006" t="inlineStr">
        <is>
          <t>KALMAR LÄN</t>
        </is>
      </c>
      <c r="E1006" t="inlineStr">
        <is>
          <t>VIMMERBY</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22426-2023</t>
        </is>
      </c>
      <c r="B1007" s="1" t="n">
        <v>45070</v>
      </c>
      <c r="C1007" s="1" t="n">
        <v>45349</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22423-2023</t>
        </is>
      </c>
      <c r="B1008" s="1" t="n">
        <v>45070</v>
      </c>
      <c r="C1008" s="1" t="n">
        <v>45349</v>
      </c>
      <c r="D1008" t="inlineStr">
        <is>
          <t>KALMAR LÄN</t>
        </is>
      </c>
      <c r="E1008" t="inlineStr">
        <is>
          <t>VIMMERBY</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22643-2023</t>
        </is>
      </c>
      <c r="B1009" s="1" t="n">
        <v>45071</v>
      </c>
      <c r="C1009" s="1" t="n">
        <v>45349</v>
      </c>
      <c r="D1009" t="inlineStr">
        <is>
          <t>KALMAR LÄN</t>
        </is>
      </c>
      <c r="E1009" t="inlineStr">
        <is>
          <t>VIMMERBY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22760-2023</t>
        </is>
      </c>
      <c r="B1010" s="1" t="n">
        <v>45072</v>
      </c>
      <c r="C1010" s="1" t="n">
        <v>45349</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23032-2023</t>
        </is>
      </c>
      <c r="B1011" s="1" t="n">
        <v>45074</v>
      </c>
      <c r="C1011" s="1" t="n">
        <v>45349</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23095-2023</t>
        </is>
      </c>
      <c r="B1012" s="1" t="n">
        <v>45075</v>
      </c>
      <c r="C1012" s="1" t="n">
        <v>45349</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23425-2023</t>
        </is>
      </c>
      <c r="B1013" s="1" t="n">
        <v>45076</v>
      </c>
      <c r="C1013" s="1" t="n">
        <v>45349</v>
      </c>
      <c r="D1013" t="inlineStr">
        <is>
          <t>KALMAR LÄN</t>
        </is>
      </c>
      <c r="E1013" t="inlineStr">
        <is>
          <t>VIMMERBY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23539-2023</t>
        </is>
      </c>
      <c r="B1014" s="1" t="n">
        <v>45077</v>
      </c>
      <c r="C1014" s="1" t="n">
        <v>45349</v>
      </c>
      <c r="D1014" t="inlineStr">
        <is>
          <t>KALMAR LÄN</t>
        </is>
      </c>
      <c r="E1014" t="inlineStr">
        <is>
          <t>VIMMERBY</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23695-2023</t>
        </is>
      </c>
      <c r="B1015" s="1" t="n">
        <v>45077</v>
      </c>
      <c r="C1015" s="1" t="n">
        <v>45349</v>
      </c>
      <c r="D1015" t="inlineStr">
        <is>
          <t>KALMAR LÄN</t>
        </is>
      </c>
      <c r="E1015" t="inlineStr">
        <is>
          <t>VIMMERBY</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24283-2023</t>
        </is>
      </c>
      <c r="B1016" s="1" t="n">
        <v>45079</v>
      </c>
      <c r="C1016" s="1" t="n">
        <v>45349</v>
      </c>
      <c r="D1016" t="inlineStr">
        <is>
          <t>KALMAR LÄN</t>
        </is>
      </c>
      <c r="E1016" t="inlineStr">
        <is>
          <t>VIMMERBY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24285-2023</t>
        </is>
      </c>
      <c r="B1017" s="1" t="n">
        <v>45079</v>
      </c>
      <c r="C1017" s="1" t="n">
        <v>45349</v>
      </c>
      <c r="D1017" t="inlineStr">
        <is>
          <t>KALMAR LÄN</t>
        </is>
      </c>
      <c r="E1017" t="inlineStr">
        <is>
          <t>VIMMERBY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24288-2023</t>
        </is>
      </c>
      <c r="B1018" s="1" t="n">
        <v>45080</v>
      </c>
      <c r="C1018" s="1" t="n">
        <v>45349</v>
      </c>
      <c r="D1018" t="inlineStr">
        <is>
          <t>KALMAR LÄN</t>
        </is>
      </c>
      <c r="E1018" t="inlineStr">
        <is>
          <t>VIMMERBY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25109-2023</t>
        </is>
      </c>
      <c r="B1019" s="1" t="n">
        <v>45086</v>
      </c>
      <c r="C1019" s="1" t="n">
        <v>45349</v>
      </c>
      <c r="D1019" t="inlineStr">
        <is>
          <t>KALMAR LÄN</t>
        </is>
      </c>
      <c r="E1019" t="inlineStr">
        <is>
          <t>VIMMERBY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25236-2023</t>
        </is>
      </c>
      <c r="B1020" s="1" t="n">
        <v>45086</v>
      </c>
      <c r="C1020" s="1" t="n">
        <v>45349</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25244-2023</t>
        </is>
      </c>
      <c r="B1021" s="1" t="n">
        <v>45086</v>
      </c>
      <c r="C1021" s="1" t="n">
        <v>45349</v>
      </c>
      <c r="D1021" t="inlineStr">
        <is>
          <t>KALMAR LÄN</t>
        </is>
      </c>
      <c r="E1021" t="inlineStr">
        <is>
          <t>VIMMERBY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25234-2023</t>
        </is>
      </c>
      <c r="B1022" s="1" t="n">
        <v>45086</v>
      </c>
      <c r="C1022" s="1" t="n">
        <v>45349</v>
      </c>
      <c r="D1022" t="inlineStr">
        <is>
          <t>KALMAR LÄN</t>
        </is>
      </c>
      <c r="E1022" t="inlineStr">
        <is>
          <t>VIMMERBY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25885-2023</t>
        </is>
      </c>
      <c r="B1023" s="1" t="n">
        <v>45090</v>
      </c>
      <c r="C1023" s="1" t="n">
        <v>45349</v>
      </c>
      <c r="D1023" t="inlineStr">
        <is>
          <t>KALMAR LÄN</t>
        </is>
      </c>
      <c r="E1023" t="inlineStr">
        <is>
          <t>VIMMERBY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25799-2023</t>
        </is>
      </c>
      <c r="B1024" s="1" t="n">
        <v>45090</v>
      </c>
      <c r="C1024" s="1" t="n">
        <v>45349</v>
      </c>
      <c r="D1024" t="inlineStr">
        <is>
          <t>KALMAR LÄN</t>
        </is>
      </c>
      <c r="E1024" t="inlineStr">
        <is>
          <t>VIMMERBY</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25979-2023</t>
        </is>
      </c>
      <c r="B1025" s="1" t="n">
        <v>45090</v>
      </c>
      <c r="C1025" s="1" t="n">
        <v>45349</v>
      </c>
      <c r="D1025" t="inlineStr">
        <is>
          <t>KALMAR LÄN</t>
        </is>
      </c>
      <c r="E1025" t="inlineStr">
        <is>
          <t>VIMMERBY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25976-2023</t>
        </is>
      </c>
      <c r="B1026" s="1" t="n">
        <v>45090</v>
      </c>
      <c r="C1026" s="1" t="n">
        <v>45349</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25980-2023</t>
        </is>
      </c>
      <c r="B1027" s="1" t="n">
        <v>45090</v>
      </c>
      <c r="C1027" s="1" t="n">
        <v>45349</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25977-2023</t>
        </is>
      </c>
      <c r="B1028" s="1" t="n">
        <v>45090</v>
      </c>
      <c r="C1028" s="1" t="n">
        <v>45349</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26318-2023</t>
        </is>
      </c>
      <c r="B1029" s="1" t="n">
        <v>45091</v>
      </c>
      <c r="C1029" s="1" t="n">
        <v>45349</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26626-2023</t>
        </is>
      </c>
      <c r="B1030" s="1" t="n">
        <v>45092</v>
      </c>
      <c r="C1030" s="1" t="n">
        <v>45349</v>
      </c>
      <c r="D1030" t="inlineStr">
        <is>
          <t>KALMAR LÄN</t>
        </is>
      </c>
      <c r="E1030" t="inlineStr">
        <is>
          <t>VIMMERBY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26937-2023</t>
        </is>
      </c>
      <c r="B1031" s="1" t="n">
        <v>45093</v>
      </c>
      <c r="C1031" s="1" t="n">
        <v>45349</v>
      </c>
      <c r="D1031" t="inlineStr">
        <is>
          <t>KALMAR LÄN</t>
        </is>
      </c>
      <c r="E1031" t="inlineStr">
        <is>
          <t>VIMMERBY</t>
        </is>
      </c>
      <c r="F1031" t="inlineStr">
        <is>
          <t>Sveaskog</t>
        </is>
      </c>
      <c r="G1031" t="n">
        <v>14.5</v>
      </c>
      <c r="H1031" t="n">
        <v>0</v>
      </c>
      <c r="I1031" t="n">
        <v>0</v>
      </c>
      <c r="J1031" t="n">
        <v>0</v>
      </c>
      <c r="K1031" t="n">
        <v>0</v>
      </c>
      <c r="L1031" t="n">
        <v>0</v>
      </c>
      <c r="M1031" t="n">
        <v>0</v>
      </c>
      <c r="N1031" t="n">
        <v>0</v>
      </c>
      <c r="O1031" t="n">
        <v>0</v>
      </c>
      <c r="P1031" t="n">
        <v>0</v>
      </c>
      <c r="Q1031" t="n">
        <v>0</v>
      </c>
      <c r="R1031" s="2" t="inlineStr"/>
    </row>
    <row r="1032" ht="15" customHeight="1">
      <c r="A1032" t="inlineStr">
        <is>
          <t>A 27122-2023</t>
        </is>
      </c>
      <c r="B1032" s="1" t="n">
        <v>45096</v>
      </c>
      <c r="C1032" s="1" t="n">
        <v>45349</v>
      </c>
      <c r="D1032" t="inlineStr">
        <is>
          <t>KALMAR LÄN</t>
        </is>
      </c>
      <c r="E1032" t="inlineStr">
        <is>
          <t>VIMMERBY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27138-2023</t>
        </is>
      </c>
      <c r="B1033" s="1" t="n">
        <v>45096</v>
      </c>
      <c r="C1033" s="1" t="n">
        <v>45349</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28988-2023</t>
        </is>
      </c>
      <c r="B1034" s="1" t="n">
        <v>45096</v>
      </c>
      <c r="C1034" s="1" t="n">
        <v>45349</v>
      </c>
      <c r="D1034" t="inlineStr">
        <is>
          <t>KALMAR LÄN</t>
        </is>
      </c>
      <c r="E1034" t="inlineStr">
        <is>
          <t>VIMMERBY</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27443-2023</t>
        </is>
      </c>
      <c r="B1035" s="1" t="n">
        <v>45097</v>
      </c>
      <c r="C1035" s="1" t="n">
        <v>45349</v>
      </c>
      <c r="D1035" t="inlineStr">
        <is>
          <t>KALMAR LÄN</t>
        </is>
      </c>
      <c r="E1035" t="inlineStr">
        <is>
          <t>VIMMERBY</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27705-2023</t>
        </is>
      </c>
      <c r="B1036" s="1" t="n">
        <v>45098</v>
      </c>
      <c r="C1036" s="1" t="n">
        <v>45349</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28123-2023</t>
        </is>
      </c>
      <c r="B1037" s="1" t="n">
        <v>45099</v>
      </c>
      <c r="C1037" s="1" t="n">
        <v>45349</v>
      </c>
      <c r="D1037" t="inlineStr">
        <is>
          <t>KALMAR LÄN</t>
        </is>
      </c>
      <c r="E1037" t="inlineStr">
        <is>
          <t>VIMMERBY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28129-2023</t>
        </is>
      </c>
      <c r="B1038" s="1" t="n">
        <v>45099</v>
      </c>
      <c r="C1038" s="1" t="n">
        <v>45349</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28395-2023</t>
        </is>
      </c>
      <c r="B1039" s="1" t="n">
        <v>45100</v>
      </c>
      <c r="C1039" s="1" t="n">
        <v>45349</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28403-2023</t>
        </is>
      </c>
      <c r="B1040" s="1" t="n">
        <v>45100</v>
      </c>
      <c r="C1040" s="1" t="n">
        <v>45349</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29093-2023</t>
        </is>
      </c>
      <c r="B1041" s="1" t="n">
        <v>45105</v>
      </c>
      <c r="C1041" s="1" t="n">
        <v>45349</v>
      </c>
      <c r="D1041" t="inlineStr">
        <is>
          <t>KALMAR LÄN</t>
        </is>
      </c>
      <c r="E1041" t="inlineStr">
        <is>
          <t>VIMMERBY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29196-2023</t>
        </is>
      </c>
      <c r="B1042" s="1" t="n">
        <v>45105</v>
      </c>
      <c r="C1042" s="1" t="n">
        <v>45349</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29351-2023</t>
        </is>
      </c>
      <c r="B1043" s="1" t="n">
        <v>45106</v>
      </c>
      <c r="C1043" s="1" t="n">
        <v>45349</v>
      </c>
      <c r="D1043" t="inlineStr">
        <is>
          <t>KALMAR LÄN</t>
        </is>
      </c>
      <c r="E1043" t="inlineStr">
        <is>
          <t>VIMMERBY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29350-2023</t>
        </is>
      </c>
      <c r="B1044" s="1" t="n">
        <v>45106</v>
      </c>
      <c r="C1044" s="1" t="n">
        <v>45349</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29348-2023</t>
        </is>
      </c>
      <c r="B1045" s="1" t="n">
        <v>45106</v>
      </c>
      <c r="C1045" s="1" t="n">
        <v>45349</v>
      </c>
      <c r="D1045" t="inlineStr">
        <is>
          <t>KALMAR LÄN</t>
        </is>
      </c>
      <c r="E1045" t="inlineStr">
        <is>
          <t>VIMMERBY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29349-2023</t>
        </is>
      </c>
      <c r="B1046" s="1" t="n">
        <v>45106</v>
      </c>
      <c r="C1046" s="1" t="n">
        <v>45349</v>
      </c>
      <c r="D1046" t="inlineStr">
        <is>
          <t>KALMAR LÄN</t>
        </is>
      </c>
      <c r="E1046" t="inlineStr">
        <is>
          <t>VIMMERBY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29973-2023</t>
        </is>
      </c>
      <c r="B1047" s="1" t="n">
        <v>45108</v>
      </c>
      <c r="C1047" s="1" t="n">
        <v>45349</v>
      </c>
      <c r="D1047" t="inlineStr">
        <is>
          <t>KALMAR LÄN</t>
        </is>
      </c>
      <c r="E1047" t="inlineStr">
        <is>
          <t>VIMMERBY</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30070-2023</t>
        </is>
      </c>
      <c r="B1048" s="1" t="n">
        <v>45110</v>
      </c>
      <c r="C1048" s="1" t="n">
        <v>45349</v>
      </c>
      <c r="D1048" t="inlineStr">
        <is>
          <t>KALMAR LÄN</t>
        </is>
      </c>
      <c r="E1048" t="inlineStr">
        <is>
          <t>VIMMERBY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30063-2023</t>
        </is>
      </c>
      <c r="B1049" s="1" t="n">
        <v>45110</v>
      </c>
      <c r="C1049" s="1" t="n">
        <v>45349</v>
      </c>
      <c r="D1049" t="inlineStr">
        <is>
          <t>KALMAR LÄN</t>
        </is>
      </c>
      <c r="E1049" t="inlineStr">
        <is>
          <t>VIMMERBY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30090-2023</t>
        </is>
      </c>
      <c r="B1050" s="1" t="n">
        <v>45110</v>
      </c>
      <c r="C1050" s="1" t="n">
        <v>45349</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30503-2023</t>
        </is>
      </c>
      <c r="B1051" s="1" t="n">
        <v>45111</v>
      </c>
      <c r="C1051" s="1" t="n">
        <v>45349</v>
      </c>
      <c r="D1051" t="inlineStr">
        <is>
          <t>KALMAR LÄN</t>
        </is>
      </c>
      <c r="E1051" t="inlineStr">
        <is>
          <t>VIMMERBY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30380-2023</t>
        </is>
      </c>
      <c r="B1052" s="1" t="n">
        <v>45111</v>
      </c>
      <c r="C1052" s="1" t="n">
        <v>45349</v>
      </c>
      <c r="D1052" t="inlineStr">
        <is>
          <t>KALMAR LÄN</t>
        </is>
      </c>
      <c r="E1052" t="inlineStr">
        <is>
          <t>VIMMERBY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30400-2023</t>
        </is>
      </c>
      <c r="B1053" s="1" t="n">
        <v>45111</v>
      </c>
      <c r="C1053" s="1" t="n">
        <v>45349</v>
      </c>
      <c r="D1053" t="inlineStr">
        <is>
          <t>KALMAR LÄN</t>
        </is>
      </c>
      <c r="E1053" t="inlineStr">
        <is>
          <t>VIMMERBY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30318-2023</t>
        </is>
      </c>
      <c r="B1054" s="1" t="n">
        <v>45111</v>
      </c>
      <c r="C1054" s="1" t="n">
        <v>45349</v>
      </c>
      <c r="D1054" t="inlineStr">
        <is>
          <t>KALMAR LÄN</t>
        </is>
      </c>
      <c r="E1054" t="inlineStr">
        <is>
          <t>VIMMERBY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30402-2023</t>
        </is>
      </c>
      <c r="B1055" s="1" t="n">
        <v>45111</v>
      </c>
      <c r="C1055" s="1" t="n">
        <v>45349</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30406-2023</t>
        </is>
      </c>
      <c r="B1056" s="1" t="n">
        <v>45111</v>
      </c>
      <c r="C1056" s="1" t="n">
        <v>45349</v>
      </c>
      <c r="D1056" t="inlineStr">
        <is>
          <t>KALMAR LÄN</t>
        </is>
      </c>
      <c r="E1056" t="inlineStr">
        <is>
          <t>VIMMERBY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30404-2023</t>
        </is>
      </c>
      <c r="B1057" s="1" t="n">
        <v>45111</v>
      </c>
      <c r="C1057" s="1" t="n">
        <v>45349</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30408-2023</t>
        </is>
      </c>
      <c r="B1058" s="1" t="n">
        <v>45111</v>
      </c>
      <c r="C1058" s="1" t="n">
        <v>45349</v>
      </c>
      <c r="D1058" t="inlineStr">
        <is>
          <t>KALMAR LÄN</t>
        </is>
      </c>
      <c r="E1058" t="inlineStr">
        <is>
          <t>VIMMERBY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30586-2023</t>
        </is>
      </c>
      <c r="B1059" s="1" t="n">
        <v>45112</v>
      </c>
      <c r="C1059" s="1" t="n">
        <v>45349</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30588-2023</t>
        </is>
      </c>
      <c r="B1060" s="1" t="n">
        <v>45112</v>
      </c>
      <c r="C1060" s="1" t="n">
        <v>45349</v>
      </c>
      <c r="D1060" t="inlineStr">
        <is>
          <t>KALMAR LÄN</t>
        </is>
      </c>
      <c r="E1060" t="inlineStr">
        <is>
          <t>VIMMERBY</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30896-2023</t>
        </is>
      </c>
      <c r="B1061" s="1" t="n">
        <v>45113</v>
      </c>
      <c r="C1061" s="1" t="n">
        <v>45349</v>
      </c>
      <c r="D1061" t="inlineStr">
        <is>
          <t>KALMAR LÄN</t>
        </is>
      </c>
      <c r="E1061" t="inlineStr">
        <is>
          <t>VIMMERBY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30899-2023</t>
        </is>
      </c>
      <c r="B1062" s="1" t="n">
        <v>45113</v>
      </c>
      <c r="C1062" s="1" t="n">
        <v>45349</v>
      </c>
      <c r="D1062" t="inlineStr">
        <is>
          <t>KALMAR LÄN</t>
        </is>
      </c>
      <c r="E1062" t="inlineStr">
        <is>
          <t>VIMMERBY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30912-2023</t>
        </is>
      </c>
      <c r="B1063" s="1" t="n">
        <v>45113</v>
      </c>
      <c r="C1063" s="1" t="n">
        <v>45349</v>
      </c>
      <c r="D1063" t="inlineStr">
        <is>
          <t>KALMAR LÄN</t>
        </is>
      </c>
      <c r="E1063" t="inlineStr">
        <is>
          <t>VIMMERBY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30920-2023</t>
        </is>
      </c>
      <c r="B1064" s="1" t="n">
        <v>45113</v>
      </c>
      <c r="C1064" s="1" t="n">
        <v>45349</v>
      </c>
      <c r="D1064" t="inlineStr">
        <is>
          <t>KALMAR LÄN</t>
        </is>
      </c>
      <c r="E1064" t="inlineStr">
        <is>
          <t>VIMMERBY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30894-2023</t>
        </is>
      </c>
      <c r="B1065" s="1" t="n">
        <v>45113</v>
      </c>
      <c r="C1065" s="1" t="n">
        <v>45349</v>
      </c>
      <c r="D1065" t="inlineStr">
        <is>
          <t>KALMAR LÄN</t>
        </is>
      </c>
      <c r="E1065" t="inlineStr">
        <is>
          <t>VIMMERBY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30898-2023</t>
        </is>
      </c>
      <c r="B1066" s="1" t="n">
        <v>45113</v>
      </c>
      <c r="C1066" s="1" t="n">
        <v>45349</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31013-2023</t>
        </is>
      </c>
      <c r="B1067" s="1" t="n">
        <v>45113</v>
      </c>
      <c r="C1067" s="1" t="n">
        <v>45349</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31017-2023</t>
        </is>
      </c>
      <c r="B1068" s="1" t="n">
        <v>45113</v>
      </c>
      <c r="C1068" s="1" t="n">
        <v>45349</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31340-2023</t>
        </is>
      </c>
      <c r="B1069" s="1" t="n">
        <v>45114</v>
      </c>
      <c r="C1069" s="1" t="n">
        <v>45349</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31369-2023</t>
        </is>
      </c>
      <c r="B1070" s="1" t="n">
        <v>45114</v>
      </c>
      <c r="C1070" s="1" t="n">
        <v>45349</v>
      </c>
      <c r="D1070" t="inlineStr">
        <is>
          <t>KALMAR LÄN</t>
        </is>
      </c>
      <c r="E1070" t="inlineStr">
        <is>
          <t>VIMMERBY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31377-2023</t>
        </is>
      </c>
      <c r="B1071" s="1" t="n">
        <v>45114</v>
      </c>
      <c r="C1071" s="1" t="n">
        <v>45349</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31382-2023</t>
        </is>
      </c>
      <c r="B1072" s="1" t="n">
        <v>45114</v>
      </c>
      <c r="C1072" s="1" t="n">
        <v>45349</v>
      </c>
      <c r="D1072" t="inlineStr">
        <is>
          <t>KALMAR LÄN</t>
        </is>
      </c>
      <c r="E1072" t="inlineStr">
        <is>
          <t>VIMMERBY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31405-2023</t>
        </is>
      </c>
      <c r="B1073" s="1" t="n">
        <v>45114</v>
      </c>
      <c r="C1073" s="1" t="n">
        <v>45349</v>
      </c>
      <c r="D1073" t="inlineStr">
        <is>
          <t>KALMAR LÄN</t>
        </is>
      </c>
      <c r="E1073" t="inlineStr">
        <is>
          <t>VIMMERBY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31336-2023</t>
        </is>
      </c>
      <c r="B1074" s="1" t="n">
        <v>45114</v>
      </c>
      <c r="C1074" s="1" t="n">
        <v>45349</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31355-2023</t>
        </is>
      </c>
      <c r="B1075" s="1" t="n">
        <v>45114</v>
      </c>
      <c r="C1075" s="1" t="n">
        <v>45349</v>
      </c>
      <c r="D1075" t="inlineStr">
        <is>
          <t>KALMAR LÄN</t>
        </is>
      </c>
      <c r="E1075" t="inlineStr">
        <is>
          <t>VIMMERBY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31390-2023</t>
        </is>
      </c>
      <c r="B1076" s="1" t="n">
        <v>45114</v>
      </c>
      <c r="C1076" s="1" t="n">
        <v>45349</v>
      </c>
      <c r="D1076" t="inlineStr">
        <is>
          <t>KALMAR LÄN</t>
        </is>
      </c>
      <c r="E1076" t="inlineStr">
        <is>
          <t>VIMMERBY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31408-2023</t>
        </is>
      </c>
      <c r="B1077" s="1" t="n">
        <v>45114</v>
      </c>
      <c r="C1077" s="1" t="n">
        <v>45349</v>
      </c>
      <c r="D1077" t="inlineStr">
        <is>
          <t>KALMAR LÄN</t>
        </is>
      </c>
      <c r="E1077" t="inlineStr">
        <is>
          <t>VIMMERBY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31682-2023</t>
        </is>
      </c>
      <c r="B1078" s="1" t="n">
        <v>45117</v>
      </c>
      <c r="C1078" s="1" t="n">
        <v>45349</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32633-2023</t>
        </is>
      </c>
      <c r="B1079" s="1" t="n">
        <v>45121</v>
      </c>
      <c r="C1079" s="1" t="n">
        <v>45349</v>
      </c>
      <c r="D1079" t="inlineStr">
        <is>
          <t>KALMAR LÄN</t>
        </is>
      </c>
      <c r="E1079" t="inlineStr">
        <is>
          <t>VIMMERBY</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32651-2023</t>
        </is>
      </c>
      <c r="B1080" s="1" t="n">
        <v>45121</v>
      </c>
      <c r="C1080" s="1" t="n">
        <v>45349</v>
      </c>
      <c r="D1080" t="inlineStr">
        <is>
          <t>KALMAR LÄN</t>
        </is>
      </c>
      <c r="E1080" t="inlineStr">
        <is>
          <t>VIMMERBY</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32655-2023</t>
        </is>
      </c>
      <c r="B1081" s="1" t="n">
        <v>45121</v>
      </c>
      <c r="C1081" s="1" t="n">
        <v>45349</v>
      </c>
      <c r="D1081" t="inlineStr">
        <is>
          <t>KALMAR LÄN</t>
        </is>
      </c>
      <c r="E1081" t="inlineStr">
        <is>
          <t>VIMMERBY</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32669-2023</t>
        </is>
      </c>
      <c r="B1082" s="1" t="n">
        <v>45121</v>
      </c>
      <c r="C1082" s="1" t="n">
        <v>45349</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32614-2023</t>
        </is>
      </c>
      <c r="B1083" s="1" t="n">
        <v>45121</v>
      </c>
      <c r="C1083" s="1" t="n">
        <v>45349</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32642-2023</t>
        </is>
      </c>
      <c r="B1084" s="1" t="n">
        <v>45121</v>
      </c>
      <c r="C1084" s="1" t="n">
        <v>45349</v>
      </c>
      <c r="D1084" t="inlineStr">
        <is>
          <t>KALMAR LÄN</t>
        </is>
      </c>
      <c r="E1084" t="inlineStr">
        <is>
          <t>VIMMERBY</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32639-2023</t>
        </is>
      </c>
      <c r="B1085" s="1" t="n">
        <v>45121</v>
      </c>
      <c r="C1085" s="1" t="n">
        <v>45349</v>
      </c>
      <c r="D1085" t="inlineStr">
        <is>
          <t>KALMAR LÄN</t>
        </is>
      </c>
      <c r="E1085" t="inlineStr">
        <is>
          <t>VIMMERBY</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32645-2023</t>
        </is>
      </c>
      <c r="B1086" s="1" t="n">
        <v>45121</v>
      </c>
      <c r="C1086" s="1" t="n">
        <v>45349</v>
      </c>
      <c r="D1086" t="inlineStr">
        <is>
          <t>KALMAR LÄN</t>
        </is>
      </c>
      <c r="E1086" t="inlineStr">
        <is>
          <t>VIMMERBY</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32865-2023</t>
        </is>
      </c>
      <c r="B1087" s="1" t="n">
        <v>45124</v>
      </c>
      <c r="C1087" s="1" t="n">
        <v>45349</v>
      </c>
      <c r="D1087" t="inlineStr">
        <is>
          <t>KALMAR LÄN</t>
        </is>
      </c>
      <c r="E1087" t="inlineStr">
        <is>
          <t>VIMMERBY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32984-2023</t>
        </is>
      </c>
      <c r="B1088" s="1" t="n">
        <v>45125</v>
      </c>
      <c r="C1088" s="1" t="n">
        <v>45349</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33236-2023</t>
        </is>
      </c>
      <c r="B1089" s="1" t="n">
        <v>45127</v>
      </c>
      <c r="C1089" s="1" t="n">
        <v>45349</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33340-2023</t>
        </is>
      </c>
      <c r="B1090" s="1" t="n">
        <v>45128</v>
      </c>
      <c r="C1090" s="1" t="n">
        <v>45349</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33383-2023</t>
        </is>
      </c>
      <c r="B1091" s="1" t="n">
        <v>45128</v>
      </c>
      <c r="C1091" s="1" t="n">
        <v>45349</v>
      </c>
      <c r="D1091" t="inlineStr">
        <is>
          <t>KALMAR LÄN</t>
        </is>
      </c>
      <c r="E1091" t="inlineStr">
        <is>
          <t>VIMMERBY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33380-2023</t>
        </is>
      </c>
      <c r="B1092" s="1" t="n">
        <v>45128</v>
      </c>
      <c r="C1092" s="1" t="n">
        <v>45349</v>
      </c>
      <c r="D1092" t="inlineStr">
        <is>
          <t>KALMAR LÄN</t>
        </is>
      </c>
      <c r="E1092" t="inlineStr">
        <is>
          <t>VIMMERBY</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33417-2023</t>
        </is>
      </c>
      <c r="B1093" s="1" t="n">
        <v>45128</v>
      </c>
      <c r="C1093" s="1" t="n">
        <v>45349</v>
      </c>
      <c r="D1093" t="inlineStr">
        <is>
          <t>KALMAR LÄN</t>
        </is>
      </c>
      <c r="E1093" t="inlineStr">
        <is>
          <t>VIMMERBY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33425-2023</t>
        </is>
      </c>
      <c r="B1094" s="1" t="n">
        <v>45129</v>
      </c>
      <c r="C1094" s="1" t="n">
        <v>45349</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33424-2023</t>
        </is>
      </c>
      <c r="B1095" s="1" t="n">
        <v>45129</v>
      </c>
      <c r="C1095" s="1" t="n">
        <v>45349</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33649-2023</t>
        </is>
      </c>
      <c r="B1096" s="1" t="n">
        <v>45132</v>
      </c>
      <c r="C1096" s="1" t="n">
        <v>45349</v>
      </c>
      <c r="D1096" t="inlineStr">
        <is>
          <t>KALMAR LÄN</t>
        </is>
      </c>
      <c r="E1096" t="inlineStr">
        <is>
          <t>VIMMERBY</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34205-2023</t>
        </is>
      </c>
      <c r="B1097" s="1" t="n">
        <v>45138</v>
      </c>
      <c r="C1097" s="1" t="n">
        <v>45349</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34300-2023</t>
        </is>
      </c>
      <c r="B1098" s="1" t="n">
        <v>45138</v>
      </c>
      <c r="C1098" s="1" t="n">
        <v>45349</v>
      </c>
      <c r="D1098" t="inlineStr">
        <is>
          <t>KALMAR LÄN</t>
        </is>
      </c>
      <c r="E1098" t="inlineStr">
        <is>
          <t>VIMMERBY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34956-2023</t>
        </is>
      </c>
      <c r="B1099" s="1" t="n">
        <v>45142</v>
      </c>
      <c r="C1099" s="1" t="n">
        <v>45349</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35190-2023</t>
        </is>
      </c>
      <c r="B1100" s="1" t="n">
        <v>45145</v>
      </c>
      <c r="C1100" s="1" t="n">
        <v>45349</v>
      </c>
      <c r="D1100" t="inlineStr">
        <is>
          <t>KALMAR LÄN</t>
        </is>
      </c>
      <c r="E1100" t="inlineStr">
        <is>
          <t>VIMMERBY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35198-2023</t>
        </is>
      </c>
      <c r="B1101" s="1" t="n">
        <v>45145</v>
      </c>
      <c r="C1101" s="1" t="n">
        <v>45349</v>
      </c>
      <c r="D1101" t="inlineStr">
        <is>
          <t>KALMAR LÄN</t>
        </is>
      </c>
      <c r="E1101" t="inlineStr">
        <is>
          <t>VIMMERBY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35372-2023</t>
        </is>
      </c>
      <c r="B1102" s="1" t="n">
        <v>45146</v>
      </c>
      <c r="C1102" s="1" t="n">
        <v>45349</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35670-2023</t>
        </is>
      </c>
      <c r="B1103" s="1" t="n">
        <v>45147</v>
      </c>
      <c r="C1103" s="1" t="n">
        <v>45349</v>
      </c>
      <c r="D1103" t="inlineStr">
        <is>
          <t>KALMAR LÄN</t>
        </is>
      </c>
      <c r="E1103" t="inlineStr">
        <is>
          <t>VIMMERBY</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35678-2023</t>
        </is>
      </c>
      <c r="B1104" s="1" t="n">
        <v>45147</v>
      </c>
      <c r="C1104" s="1" t="n">
        <v>45349</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35710-2023</t>
        </is>
      </c>
      <c r="B1105" s="1" t="n">
        <v>45147</v>
      </c>
      <c r="C1105" s="1" t="n">
        <v>45349</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35671-2023</t>
        </is>
      </c>
      <c r="B1106" s="1" t="n">
        <v>45147</v>
      </c>
      <c r="C1106" s="1" t="n">
        <v>45349</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35711-2023</t>
        </is>
      </c>
      <c r="B1107" s="1" t="n">
        <v>45147</v>
      </c>
      <c r="C1107" s="1" t="n">
        <v>45349</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35672-2023</t>
        </is>
      </c>
      <c r="B1108" s="1" t="n">
        <v>45147</v>
      </c>
      <c r="C1108" s="1" t="n">
        <v>45349</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35713-2023</t>
        </is>
      </c>
      <c r="B1109" s="1" t="n">
        <v>45147</v>
      </c>
      <c r="C1109" s="1" t="n">
        <v>45349</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35839-2023</t>
        </is>
      </c>
      <c r="B1110" s="1" t="n">
        <v>45148</v>
      </c>
      <c r="C1110" s="1" t="n">
        <v>45349</v>
      </c>
      <c r="D1110" t="inlineStr">
        <is>
          <t>KALMAR LÄN</t>
        </is>
      </c>
      <c r="E1110" t="inlineStr">
        <is>
          <t>VIMMERBY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35846-2023</t>
        </is>
      </c>
      <c r="B1111" s="1" t="n">
        <v>45148</v>
      </c>
      <c r="C1111" s="1" t="n">
        <v>45349</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35913-2023</t>
        </is>
      </c>
      <c r="B1112" s="1" t="n">
        <v>45148</v>
      </c>
      <c r="C1112" s="1" t="n">
        <v>45349</v>
      </c>
      <c r="D1112" t="inlineStr">
        <is>
          <t>KALMAR LÄN</t>
        </is>
      </c>
      <c r="E1112" t="inlineStr">
        <is>
          <t>VIMMERBY</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36155-2023</t>
        </is>
      </c>
      <c r="B1113" s="1" t="n">
        <v>45149</v>
      </c>
      <c r="C1113" s="1" t="n">
        <v>45349</v>
      </c>
      <c r="D1113" t="inlineStr">
        <is>
          <t>KALMAR LÄN</t>
        </is>
      </c>
      <c r="E1113" t="inlineStr">
        <is>
          <t>VIMMERBY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36385-2023</t>
        </is>
      </c>
      <c r="B1114" s="1" t="n">
        <v>45152</v>
      </c>
      <c r="C1114" s="1" t="n">
        <v>45349</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36526-2023</t>
        </is>
      </c>
      <c r="B1115" s="1" t="n">
        <v>45153</v>
      </c>
      <c r="C1115" s="1" t="n">
        <v>45349</v>
      </c>
      <c r="D1115" t="inlineStr">
        <is>
          <t>KALMAR LÄN</t>
        </is>
      </c>
      <c r="E1115" t="inlineStr">
        <is>
          <t>VIMMERBY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36843-2023</t>
        </is>
      </c>
      <c r="B1116" s="1" t="n">
        <v>45154</v>
      </c>
      <c r="C1116" s="1" t="n">
        <v>45349</v>
      </c>
      <c r="D1116" t="inlineStr">
        <is>
          <t>KALMAR LÄN</t>
        </is>
      </c>
      <c r="E1116" t="inlineStr">
        <is>
          <t>VIMMERBY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37373-2023</t>
        </is>
      </c>
      <c r="B1117" s="1" t="n">
        <v>45156</v>
      </c>
      <c r="C1117" s="1" t="n">
        <v>45349</v>
      </c>
      <c r="D1117" t="inlineStr">
        <is>
          <t>KALMAR LÄN</t>
        </is>
      </c>
      <c r="E1117" t="inlineStr">
        <is>
          <t>VIMMERBY</t>
        </is>
      </c>
      <c r="F1117" t="inlineStr">
        <is>
          <t>Övriga Aktiebolag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38254-2023</t>
        </is>
      </c>
      <c r="B1118" s="1" t="n">
        <v>45160</v>
      </c>
      <c r="C1118" s="1" t="n">
        <v>45349</v>
      </c>
      <c r="D1118" t="inlineStr">
        <is>
          <t>KALMAR LÄN</t>
        </is>
      </c>
      <c r="E1118" t="inlineStr">
        <is>
          <t>VIMMERBY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38261-2023</t>
        </is>
      </c>
      <c r="B1119" s="1" t="n">
        <v>45160</v>
      </c>
      <c r="C1119" s="1" t="n">
        <v>45349</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38274-2023</t>
        </is>
      </c>
      <c r="B1120" s="1" t="n">
        <v>45161</v>
      </c>
      <c r="C1120" s="1" t="n">
        <v>45349</v>
      </c>
      <c r="D1120" t="inlineStr">
        <is>
          <t>KALMAR LÄN</t>
        </is>
      </c>
      <c r="E1120" t="inlineStr">
        <is>
          <t>VIMMERBY</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38969-2023</t>
        </is>
      </c>
      <c r="B1121" s="1" t="n">
        <v>45163</v>
      </c>
      <c r="C1121" s="1" t="n">
        <v>45349</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38993-2023</t>
        </is>
      </c>
      <c r="B1122" s="1" t="n">
        <v>45163</v>
      </c>
      <c r="C1122" s="1" t="n">
        <v>45349</v>
      </c>
      <c r="D1122" t="inlineStr">
        <is>
          <t>KALMAR LÄN</t>
        </is>
      </c>
      <c r="E1122" t="inlineStr">
        <is>
          <t>VIMMERBY</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38851-2023</t>
        </is>
      </c>
      <c r="B1123" s="1" t="n">
        <v>45163</v>
      </c>
      <c r="C1123" s="1" t="n">
        <v>45349</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38995-2023</t>
        </is>
      </c>
      <c r="B1124" s="1" t="n">
        <v>45163</v>
      </c>
      <c r="C1124" s="1" t="n">
        <v>45349</v>
      </c>
      <c r="D1124" t="inlineStr">
        <is>
          <t>KALMAR LÄN</t>
        </is>
      </c>
      <c r="E1124" t="inlineStr">
        <is>
          <t>VIMMERBY</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38992-2023</t>
        </is>
      </c>
      <c r="B1125" s="1" t="n">
        <v>45163</v>
      </c>
      <c r="C1125" s="1" t="n">
        <v>45349</v>
      </c>
      <c r="D1125" t="inlineStr">
        <is>
          <t>KALMAR LÄN</t>
        </is>
      </c>
      <c r="E1125" t="inlineStr">
        <is>
          <t>VIMMERBY</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38779-2023</t>
        </is>
      </c>
      <c r="B1126" s="1" t="n">
        <v>45163</v>
      </c>
      <c r="C1126" s="1" t="n">
        <v>45349</v>
      </c>
      <c r="D1126" t="inlineStr">
        <is>
          <t>KALMAR LÄN</t>
        </is>
      </c>
      <c r="E1126" t="inlineStr">
        <is>
          <t>VIMMERBY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38757-2023</t>
        </is>
      </c>
      <c r="B1127" s="1" t="n">
        <v>45163</v>
      </c>
      <c r="C1127" s="1" t="n">
        <v>45349</v>
      </c>
      <c r="D1127" t="inlineStr">
        <is>
          <t>KALMAR LÄN</t>
        </is>
      </c>
      <c r="E1127" t="inlineStr">
        <is>
          <t>VIMMERBY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38799-2023</t>
        </is>
      </c>
      <c r="B1128" s="1" t="n">
        <v>45163</v>
      </c>
      <c r="C1128" s="1" t="n">
        <v>45349</v>
      </c>
      <c r="D1128" t="inlineStr">
        <is>
          <t>KALMAR LÄN</t>
        </is>
      </c>
      <c r="E1128" t="inlineStr">
        <is>
          <t>VIMMERBY</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38803-2023</t>
        </is>
      </c>
      <c r="B1129" s="1" t="n">
        <v>45163</v>
      </c>
      <c r="C1129" s="1" t="n">
        <v>45349</v>
      </c>
      <c r="D1129" t="inlineStr">
        <is>
          <t>KALMAR LÄN</t>
        </is>
      </c>
      <c r="E1129" t="inlineStr">
        <is>
          <t>VIMMERBY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39129-2023</t>
        </is>
      </c>
      <c r="B1130" s="1" t="n">
        <v>45165</v>
      </c>
      <c r="C1130" s="1" t="n">
        <v>45349</v>
      </c>
      <c r="D1130" t="inlineStr">
        <is>
          <t>KALMAR LÄN</t>
        </is>
      </c>
      <c r="E1130" t="inlineStr">
        <is>
          <t>VIMMERBY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39401-2023</t>
        </is>
      </c>
      <c r="B1131" s="1" t="n">
        <v>45166</v>
      </c>
      <c r="C1131" s="1" t="n">
        <v>45349</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40079-2023</t>
        </is>
      </c>
      <c r="B1132" s="1" t="n">
        <v>45168</v>
      </c>
      <c r="C1132" s="1" t="n">
        <v>45349</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40083-2023</t>
        </is>
      </c>
      <c r="B1133" s="1" t="n">
        <v>45168</v>
      </c>
      <c r="C1133" s="1" t="n">
        <v>45349</v>
      </c>
      <c r="D1133" t="inlineStr">
        <is>
          <t>KALMAR LÄN</t>
        </is>
      </c>
      <c r="E1133" t="inlineStr">
        <is>
          <t>VIMMERBY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39912-2023</t>
        </is>
      </c>
      <c r="B1134" s="1" t="n">
        <v>45168</v>
      </c>
      <c r="C1134" s="1" t="n">
        <v>45349</v>
      </c>
      <c r="D1134" t="inlineStr">
        <is>
          <t>KALMAR LÄN</t>
        </is>
      </c>
      <c r="E1134" t="inlineStr">
        <is>
          <t>VIMMERBY</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40084-2023</t>
        </is>
      </c>
      <c r="B1135" s="1" t="n">
        <v>45168</v>
      </c>
      <c r="C1135" s="1" t="n">
        <v>45349</v>
      </c>
      <c r="D1135" t="inlineStr">
        <is>
          <t>KALMAR LÄN</t>
        </is>
      </c>
      <c r="E1135" t="inlineStr">
        <is>
          <t>VIMMERBY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40147-2023</t>
        </is>
      </c>
      <c r="B1136" s="1" t="n">
        <v>45169</v>
      </c>
      <c r="C1136" s="1" t="n">
        <v>45349</v>
      </c>
      <c r="D1136" t="inlineStr">
        <is>
          <t>KALMAR LÄN</t>
        </is>
      </c>
      <c r="E1136" t="inlineStr">
        <is>
          <t>VIMMERBY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40151-2023</t>
        </is>
      </c>
      <c r="B1137" s="1" t="n">
        <v>45169</v>
      </c>
      <c r="C1137" s="1" t="n">
        <v>45349</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40380-2023</t>
        </is>
      </c>
      <c r="B1138" s="1" t="n">
        <v>45169</v>
      </c>
      <c r="C1138" s="1" t="n">
        <v>45349</v>
      </c>
      <c r="D1138" t="inlineStr">
        <is>
          <t>KALMAR LÄN</t>
        </is>
      </c>
      <c r="E1138" t="inlineStr">
        <is>
          <t>VIMMERBY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40472-2023</t>
        </is>
      </c>
      <c r="B1139" s="1" t="n">
        <v>45170</v>
      </c>
      <c r="C1139" s="1" t="n">
        <v>45349</v>
      </c>
      <c r="D1139" t="inlineStr">
        <is>
          <t>KALMAR LÄN</t>
        </is>
      </c>
      <c r="E1139" t="inlineStr">
        <is>
          <t>VIMMERBY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40477-2023</t>
        </is>
      </c>
      <c r="B1140" s="1" t="n">
        <v>45170</v>
      </c>
      <c r="C1140" s="1" t="n">
        <v>45349</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40665-2023</t>
        </is>
      </c>
      <c r="B1141" s="1" t="n">
        <v>45170</v>
      </c>
      <c r="C1141" s="1" t="n">
        <v>45349</v>
      </c>
      <c r="D1141" t="inlineStr">
        <is>
          <t>KALMAR LÄN</t>
        </is>
      </c>
      <c r="E1141" t="inlineStr">
        <is>
          <t>VIMMERBY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40828-2023</t>
        </is>
      </c>
      <c r="B1142" s="1" t="n">
        <v>45172</v>
      </c>
      <c r="C1142" s="1" t="n">
        <v>45349</v>
      </c>
      <c r="D1142" t="inlineStr">
        <is>
          <t>KALMAR LÄN</t>
        </is>
      </c>
      <c r="E1142" t="inlineStr">
        <is>
          <t>VIMMERBY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40823-2023</t>
        </is>
      </c>
      <c r="B1143" s="1" t="n">
        <v>45171</v>
      </c>
      <c r="C1143" s="1" t="n">
        <v>45349</v>
      </c>
      <c r="D1143" t="inlineStr">
        <is>
          <t>KALMAR LÄN</t>
        </is>
      </c>
      <c r="E1143" t="inlineStr">
        <is>
          <t>VIMMERBY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41084-2023</t>
        </is>
      </c>
      <c r="B1144" s="1" t="n">
        <v>45173</v>
      </c>
      <c r="C1144" s="1" t="n">
        <v>45349</v>
      </c>
      <c r="D1144" t="inlineStr">
        <is>
          <t>KALMAR LÄN</t>
        </is>
      </c>
      <c r="E1144" t="inlineStr">
        <is>
          <t>VIMMERBY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41088-2023</t>
        </is>
      </c>
      <c r="B1145" s="1" t="n">
        <v>45173</v>
      </c>
      <c r="C1145" s="1" t="n">
        <v>45349</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41199-2023</t>
        </is>
      </c>
      <c r="B1146" s="1" t="n">
        <v>45174</v>
      </c>
      <c r="C1146" s="1" t="n">
        <v>45349</v>
      </c>
      <c r="D1146" t="inlineStr">
        <is>
          <t>KALMAR LÄN</t>
        </is>
      </c>
      <c r="E1146" t="inlineStr">
        <is>
          <t>VIMMERBY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41311-2023</t>
        </is>
      </c>
      <c r="B1147" s="1" t="n">
        <v>45174</v>
      </c>
      <c r="C1147" s="1" t="n">
        <v>45349</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41158-2023</t>
        </is>
      </c>
      <c r="B1148" s="1" t="n">
        <v>45174</v>
      </c>
      <c r="C1148" s="1" t="n">
        <v>45349</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41202-2023</t>
        </is>
      </c>
      <c r="B1149" s="1" t="n">
        <v>45174</v>
      </c>
      <c r="C1149" s="1" t="n">
        <v>45349</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41894-2023</t>
        </is>
      </c>
      <c r="B1150" s="1" t="n">
        <v>45176</v>
      </c>
      <c r="C1150" s="1" t="n">
        <v>45349</v>
      </c>
      <c r="D1150" t="inlineStr">
        <is>
          <t>KALMAR LÄN</t>
        </is>
      </c>
      <c r="E1150" t="inlineStr">
        <is>
          <t>VIMMERBY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41896-2023</t>
        </is>
      </c>
      <c r="B1151" s="1" t="n">
        <v>45176</v>
      </c>
      <c r="C1151" s="1" t="n">
        <v>45349</v>
      </c>
      <c r="D1151" t="inlineStr">
        <is>
          <t>KALMAR LÄN</t>
        </is>
      </c>
      <c r="E1151" t="inlineStr">
        <is>
          <t>VIMMERBY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42241-2023</t>
        </is>
      </c>
      <c r="B1152" s="1" t="n">
        <v>45180</v>
      </c>
      <c r="C1152" s="1" t="n">
        <v>45349</v>
      </c>
      <c r="D1152" t="inlineStr">
        <is>
          <t>KALMAR LÄN</t>
        </is>
      </c>
      <c r="E1152" t="inlineStr">
        <is>
          <t>VIMMERBY</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42689-2023</t>
        </is>
      </c>
      <c r="B1153" s="1" t="n">
        <v>45181</v>
      </c>
      <c r="C1153" s="1" t="n">
        <v>45349</v>
      </c>
      <c r="D1153" t="inlineStr">
        <is>
          <t>KALMAR LÄN</t>
        </is>
      </c>
      <c r="E1153" t="inlineStr">
        <is>
          <t>VIMMERBY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42644-2023</t>
        </is>
      </c>
      <c r="B1154" s="1" t="n">
        <v>45181</v>
      </c>
      <c r="C1154" s="1" t="n">
        <v>45349</v>
      </c>
      <c r="D1154" t="inlineStr">
        <is>
          <t>KALMAR LÄN</t>
        </is>
      </c>
      <c r="E1154" t="inlineStr">
        <is>
          <t>VIMMERBY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43068-2023</t>
        </is>
      </c>
      <c r="B1155" s="1" t="n">
        <v>45182</v>
      </c>
      <c r="C1155" s="1" t="n">
        <v>45349</v>
      </c>
      <c r="D1155" t="inlineStr">
        <is>
          <t>KALMAR LÄN</t>
        </is>
      </c>
      <c r="E1155" t="inlineStr">
        <is>
          <t>VIMMERBY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43705-2023</t>
        </is>
      </c>
      <c r="B1156" s="1" t="n">
        <v>45187</v>
      </c>
      <c r="C1156" s="1" t="n">
        <v>45349</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43853-2023</t>
        </is>
      </c>
      <c r="B1157" s="1" t="n">
        <v>45187</v>
      </c>
      <c r="C1157" s="1" t="n">
        <v>45349</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43706-2023</t>
        </is>
      </c>
      <c r="B1158" s="1" t="n">
        <v>45187</v>
      </c>
      <c r="C1158" s="1" t="n">
        <v>45349</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43774-2023</t>
        </is>
      </c>
      <c r="B1159" s="1" t="n">
        <v>45187</v>
      </c>
      <c r="C1159" s="1" t="n">
        <v>45349</v>
      </c>
      <c r="D1159" t="inlineStr">
        <is>
          <t>KALMAR LÄN</t>
        </is>
      </c>
      <c r="E1159" t="inlineStr">
        <is>
          <t>VIMMERBY</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44660-2023</t>
        </is>
      </c>
      <c r="B1160" s="1" t="n">
        <v>45189</v>
      </c>
      <c r="C1160" s="1" t="n">
        <v>45349</v>
      </c>
      <c r="D1160" t="inlineStr">
        <is>
          <t>KALMAR LÄN</t>
        </is>
      </c>
      <c r="E1160" t="inlineStr">
        <is>
          <t>VIMMERBY</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44423-2023</t>
        </is>
      </c>
      <c r="B1161" s="1" t="n">
        <v>45189</v>
      </c>
      <c r="C1161" s="1" t="n">
        <v>45349</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44833-2023</t>
        </is>
      </c>
      <c r="B1162" s="1" t="n">
        <v>45190</v>
      </c>
      <c r="C1162" s="1" t="n">
        <v>45349</v>
      </c>
      <c r="D1162" t="inlineStr">
        <is>
          <t>KALMAR LÄN</t>
        </is>
      </c>
      <c r="E1162" t="inlineStr">
        <is>
          <t>VIMMERBY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44962-2023</t>
        </is>
      </c>
      <c r="B1163" s="1" t="n">
        <v>45190</v>
      </c>
      <c r="C1163" s="1" t="n">
        <v>45349</v>
      </c>
      <c r="D1163" t="inlineStr">
        <is>
          <t>KALMAR LÄN</t>
        </is>
      </c>
      <c r="E1163" t="inlineStr">
        <is>
          <t>VIMMERBY</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44887-2023</t>
        </is>
      </c>
      <c r="B1164" s="1" t="n">
        <v>45190</v>
      </c>
      <c r="C1164" s="1" t="n">
        <v>45349</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44884-2023</t>
        </is>
      </c>
      <c r="B1165" s="1" t="n">
        <v>45190</v>
      </c>
      <c r="C1165" s="1" t="n">
        <v>45349</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45838-2023</t>
        </is>
      </c>
      <c r="B1166" s="1" t="n">
        <v>45195</v>
      </c>
      <c r="C1166" s="1" t="n">
        <v>45349</v>
      </c>
      <c r="D1166" t="inlineStr">
        <is>
          <t>KALMAR LÄN</t>
        </is>
      </c>
      <c r="E1166" t="inlineStr">
        <is>
          <t>VIMMERBY</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45846-2023</t>
        </is>
      </c>
      <c r="B1167" s="1" t="n">
        <v>45195</v>
      </c>
      <c r="C1167" s="1" t="n">
        <v>45349</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45731-2023</t>
        </is>
      </c>
      <c r="B1168" s="1" t="n">
        <v>45195</v>
      </c>
      <c r="C1168" s="1" t="n">
        <v>45349</v>
      </c>
      <c r="D1168" t="inlineStr">
        <is>
          <t>KALMAR LÄN</t>
        </is>
      </c>
      <c r="E1168" t="inlineStr">
        <is>
          <t>VIMMERBY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45808-2023</t>
        </is>
      </c>
      <c r="B1169" s="1" t="n">
        <v>45195</v>
      </c>
      <c r="C1169" s="1" t="n">
        <v>45349</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45839-2023</t>
        </is>
      </c>
      <c r="B1170" s="1" t="n">
        <v>45195</v>
      </c>
      <c r="C1170" s="1" t="n">
        <v>45349</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46116-2023</t>
        </is>
      </c>
      <c r="B1171" s="1" t="n">
        <v>45196</v>
      </c>
      <c r="C1171" s="1" t="n">
        <v>45349</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46078-2023</t>
        </is>
      </c>
      <c r="B1172" s="1" t="n">
        <v>45196</v>
      </c>
      <c r="C1172" s="1" t="n">
        <v>45349</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46144-2023</t>
        </is>
      </c>
      <c r="B1173" s="1" t="n">
        <v>45196</v>
      </c>
      <c r="C1173" s="1" t="n">
        <v>45349</v>
      </c>
      <c r="D1173" t="inlineStr">
        <is>
          <t>KALMAR LÄN</t>
        </is>
      </c>
      <c r="E1173" t="inlineStr">
        <is>
          <t>VIMMERBY</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46697-2023</t>
        </is>
      </c>
      <c r="B1174" s="1" t="n">
        <v>45198</v>
      </c>
      <c r="C1174" s="1" t="n">
        <v>45349</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46695-2023</t>
        </is>
      </c>
      <c r="B1175" s="1" t="n">
        <v>45198</v>
      </c>
      <c r="C1175" s="1" t="n">
        <v>45349</v>
      </c>
      <c r="D1175" t="inlineStr">
        <is>
          <t>KALMAR LÄN</t>
        </is>
      </c>
      <c r="E1175" t="inlineStr">
        <is>
          <t>VIMMERBY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46916-2023</t>
        </is>
      </c>
      <c r="B1176" s="1" t="n">
        <v>45201</v>
      </c>
      <c r="C1176" s="1" t="n">
        <v>45349</v>
      </c>
      <c r="D1176" t="inlineStr">
        <is>
          <t>KALMAR LÄN</t>
        </is>
      </c>
      <c r="E1176" t="inlineStr">
        <is>
          <t>VIMMERBY</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46921-2023</t>
        </is>
      </c>
      <c r="B1177" s="1" t="n">
        <v>45201</v>
      </c>
      <c r="C1177" s="1" t="n">
        <v>45349</v>
      </c>
      <c r="D1177" t="inlineStr">
        <is>
          <t>KALMAR LÄN</t>
        </is>
      </c>
      <c r="E1177" t="inlineStr">
        <is>
          <t>VIMMERBY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46941-2023</t>
        </is>
      </c>
      <c r="B1178" s="1" t="n">
        <v>45201</v>
      </c>
      <c r="C1178" s="1" t="n">
        <v>45349</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46979-2023</t>
        </is>
      </c>
      <c r="B1179" s="1" t="n">
        <v>45201</v>
      </c>
      <c r="C1179" s="1" t="n">
        <v>45349</v>
      </c>
      <c r="D1179" t="inlineStr">
        <is>
          <t>KALMAR LÄN</t>
        </is>
      </c>
      <c r="E1179" t="inlineStr">
        <is>
          <t>VIMMERBY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47084-2023</t>
        </is>
      </c>
      <c r="B1180" s="1" t="n">
        <v>45201</v>
      </c>
      <c r="C1180" s="1" t="n">
        <v>45349</v>
      </c>
      <c r="D1180" t="inlineStr">
        <is>
          <t>KALMAR LÄN</t>
        </is>
      </c>
      <c r="E1180" t="inlineStr">
        <is>
          <t>VIMMERBY</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47247-2023</t>
        </is>
      </c>
      <c r="B1181" s="1" t="n">
        <v>45202</v>
      </c>
      <c r="C1181" s="1" t="n">
        <v>45349</v>
      </c>
      <c r="D1181" t="inlineStr">
        <is>
          <t>KALMAR LÄN</t>
        </is>
      </c>
      <c r="E1181" t="inlineStr">
        <is>
          <t>VIMMERBY</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47256-2023</t>
        </is>
      </c>
      <c r="B1182" s="1" t="n">
        <v>45202</v>
      </c>
      <c r="C1182" s="1" t="n">
        <v>45349</v>
      </c>
      <c r="D1182" t="inlineStr">
        <is>
          <t>KALMAR LÄN</t>
        </is>
      </c>
      <c r="E1182" t="inlineStr">
        <is>
          <t>VIMMERBY</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47263-2023</t>
        </is>
      </c>
      <c r="B1183" s="1" t="n">
        <v>45202</v>
      </c>
      <c r="C1183" s="1" t="n">
        <v>45349</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47524-2023</t>
        </is>
      </c>
      <c r="B1184" s="1" t="n">
        <v>45203</v>
      </c>
      <c r="C1184" s="1" t="n">
        <v>45349</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47515-2023</t>
        </is>
      </c>
      <c r="B1185" s="1" t="n">
        <v>45203</v>
      </c>
      <c r="C1185" s="1" t="n">
        <v>45349</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47517-2023</t>
        </is>
      </c>
      <c r="B1186" s="1" t="n">
        <v>45203</v>
      </c>
      <c r="C1186" s="1" t="n">
        <v>45349</v>
      </c>
      <c r="D1186" t="inlineStr">
        <is>
          <t>KALMAR LÄN</t>
        </is>
      </c>
      <c r="E1186" t="inlineStr">
        <is>
          <t>VIMMERBY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47521-2023</t>
        </is>
      </c>
      <c r="B1187" s="1" t="n">
        <v>45203</v>
      </c>
      <c r="C1187" s="1" t="n">
        <v>45349</v>
      </c>
      <c r="D1187" t="inlineStr">
        <is>
          <t>KALMAR LÄN</t>
        </is>
      </c>
      <c r="E1187" t="inlineStr">
        <is>
          <t>VIMMERBY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48346-2023</t>
        </is>
      </c>
      <c r="B1188" s="1" t="n">
        <v>45205</v>
      </c>
      <c r="C1188" s="1" t="n">
        <v>45349</v>
      </c>
      <c r="D1188" t="inlineStr">
        <is>
          <t>KALMAR LÄN</t>
        </is>
      </c>
      <c r="E1188" t="inlineStr">
        <is>
          <t>VIMMERBY</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49382-2023</t>
        </is>
      </c>
      <c r="B1189" s="1" t="n">
        <v>45208</v>
      </c>
      <c r="C1189" s="1" t="n">
        <v>45349</v>
      </c>
      <c r="D1189" t="inlineStr">
        <is>
          <t>KALMAR LÄN</t>
        </is>
      </c>
      <c r="E1189" t="inlineStr">
        <is>
          <t>VIMMERBY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49261-2023</t>
        </is>
      </c>
      <c r="B1190" s="1" t="n">
        <v>45210</v>
      </c>
      <c r="C1190" s="1" t="n">
        <v>45349</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49254-2023</t>
        </is>
      </c>
      <c r="B1191" s="1" t="n">
        <v>45210</v>
      </c>
      <c r="C1191" s="1" t="n">
        <v>45349</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49246-2023</t>
        </is>
      </c>
      <c r="B1192" s="1" t="n">
        <v>45210</v>
      </c>
      <c r="C1192" s="1" t="n">
        <v>45349</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49408-2023</t>
        </is>
      </c>
      <c r="B1193" s="1" t="n">
        <v>45211</v>
      </c>
      <c r="C1193" s="1" t="n">
        <v>45349</v>
      </c>
      <c r="D1193" t="inlineStr">
        <is>
          <t>KALMAR LÄN</t>
        </is>
      </c>
      <c r="E1193" t="inlineStr">
        <is>
          <t>VIMMERBY</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49458-2023</t>
        </is>
      </c>
      <c r="B1194" s="1" t="n">
        <v>45211</v>
      </c>
      <c r="C1194" s="1" t="n">
        <v>45349</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49461-2023</t>
        </is>
      </c>
      <c r="B1195" s="1" t="n">
        <v>45211</v>
      </c>
      <c r="C1195" s="1" t="n">
        <v>45349</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49474-2023</t>
        </is>
      </c>
      <c r="B1196" s="1" t="n">
        <v>45211</v>
      </c>
      <c r="C1196" s="1" t="n">
        <v>45349</v>
      </c>
      <c r="D1196" t="inlineStr">
        <is>
          <t>KALMAR LÄN</t>
        </is>
      </c>
      <c r="E1196" t="inlineStr">
        <is>
          <t>VIMMERBY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49488-2023</t>
        </is>
      </c>
      <c r="B1197" s="1" t="n">
        <v>45211</v>
      </c>
      <c r="C1197" s="1" t="n">
        <v>45349</v>
      </c>
      <c r="D1197" t="inlineStr">
        <is>
          <t>KALMAR LÄN</t>
        </is>
      </c>
      <c r="E1197" t="inlineStr">
        <is>
          <t>VIMMERBY</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49756-2023</t>
        </is>
      </c>
      <c r="B1198" s="1" t="n">
        <v>45212</v>
      </c>
      <c r="C1198" s="1" t="n">
        <v>45349</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50087-2023</t>
        </is>
      </c>
      <c r="B1199" s="1" t="n">
        <v>45215</v>
      </c>
      <c r="C1199" s="1" t="n">
        <v>45349</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50088-2023</t>
        </is>
      </c>
      <c r="B1200" s="1" t="n">
        <v>45215</v>
      </c>
      <c r="C1200" s="1" t="n">
        <v>45349</v>
      </c>
      <c r="D1200" t="inlineStr">
        <is>
          <t>KALMAR LÄN</t>
        </is>
      </c>
      <c r="E1200" t="inlineStr">
        <is>
          <t>VIMMERBY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50093-2023</t>
        </is>
      </c>
      <c r="B1201" s="1" t="n">
        <v>45215</v>
      </c>
      <c r="C1201" s="1" t="n">
        <v>45349</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50091-2023</t>
        </is>
      </c>
      <c r="B1202" s="1" t="n">
        <v>45215</v>
      </c>
      <c r="C1202" s="1" t="n">
        <v>45349</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50085-2023</t>
        </is>
      </c>
      <c r="B1203" s="1" t="n">
        <v>45215</v>
      </c>
      <c r="C1203" s="1" t="n">
        <v>45349</v>
      </c>
      <c r="D1203" t="inlineStr">
        <is>
          <t>KALMAR LÄN</t>
        </is>
      </c>
      <c r="E1203" t="inlineStr">
        <is>
          <t>VIMMERBY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50648-2023</t>
        </is>
      </c>
      <c r="B1204" s="1" t="n">
        <v>45217</v>
      </c>
      <c r="C1204" s="1" t="n">
        <v>45349</v>
      </c>
      <c r="D1204" t="inlineStr">
        <is>
          <t>KALMAR LÄN</t>
        </is>
      </c>
      <c r="E1204" t="inlineStr">
        <is>
          <t>VIMMERBY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52371-2023</t>
        </is>
      </c>
      <c r="B1205" s="1" t="n">
        <v>45217</v>
      </c>
      <c r="C1205" s="1" t="n">
        <v>45349</v>
      </c>
      <c r="D1205" t="inlineStr">
        <is>
          <t>KALMAR LÄN</t>
        </is>
      </c>
      <c r="E1205" t="inlineStr">
        <is>
          <t>VIMMERBY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52257-2023</t>
        </is>
      </c>
      <c r="B1206" s="1" t="n">
        <v>45217</v>
      </c>
      <c r="C1206" s="1" t="n">
        <v>45349</v>
      </c>
      <c r="D1206" t="inlineStr">
        <is>
          <t>KALMAR LÄN</t>
        </is>
      </c>
      <c r="E1206" t="inlineStr">
        <is>
          <t>VIMMERBY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50934-2023</t>
        </is>
      </c>
      <c r="B1207" s="1" t="n">
        <v>45218</v>
      </c>
      <c r="C1207" s="1" t="n">
        <v>45349</v>
      </c>
      <c r="D1207" t="inlineStr">
        <is>
          <t>KALMAR LÄN</t>
        </is>
      </c>
      <c r="E1207" t="inlineStr">
        <is>
          <t>VIMMERBY</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51408-2023</t>
        </is>
      </c>
      <c r="B1208" s="1" t="n">
        <v>45219</v>
      </c>
      <c r="C1208" s="1" t="n">
        <v>45349</v>
      </c>
      <c r="D1208" t="inlineStr">
        <is>
          <t>KALMAR LÄN</t>
        </is>
      </c>
      <c r="E1208" t="inlineStr">
        <is>
          <t>VIMMERBY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51187-2023</t>
        </is>
      </c>
      <c r="B1209" s="1" t="n">
        <v>45219</v>
      </c>
      <c r="C1209" s="1" t="n">
        <v>45349</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51775-2023</t>
        </is>
      </c>
      <c r="B1210" s="1" t="n">
        <v>45222</v>
      </c>
      <c r="C1210" s="1" t="n">
        <v>45349</v>
      </c>
      <c r="D1210" t="inlineStr">
        <is>
          <t>KALMAR LÄN</t>
        </is>
      </c>
      <c r="E1210" t="inlineStr">
        <is>
          <t>VIMMERBY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51552-2023</t>
        </is>
      </c>
      <c r="B1211" s="1" t="n">
        <v>45222</v>
      </c>
      <c r="C1211" s="1" t="n">
        <v>45349</v>
      </c>
      <c r="D1211" t="inlineStr">
        <is>
          <t>KALMAR LÄN</t>
        </is>
      </c>
      <c r="E1211" t="inlineStr">
        <is>
          <t>VIMMERBY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52279-2023</t>
        </is>
      </c>
      <c r="B1212" s="1" t="n">
        <v>45224</v>
      </c>
      <c r="C1212" s="1" t="n">
        <v>45349</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52294-2023</t>
        </is>
      </c>
      <c r="B1213" s="1" t="n">
        <v>45224</v>
      </c>
      <c r="C1213" s="1" t="n">
        <v>45349</v>
      </c>
      <c r="D1213" t="inlineStr">
        <is>
          <t>KALMAR LÄN</t>
        </is>
      </c>
      <c r="E1213" t="inlineStr">
        <is>
          <t>VIMMERBY</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52327-2023</t>
        </is>
      </c>
      <c r="B1214" s="1" t="n">
        <v>45224</v>
      </c>
      <c r="C1214" s="1" t="n">
        <v>45349</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52208-2023</t>
        </is>
      </c>
      <c r="B1215" s="1" t="n">
        <v>45224</v>
      </c>
      <c r="C1215" s="1" t="n">
        <v>45349</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52324-2023</t>
        </is>
      </c>
      <c r="B1216" s="1" t="n">
        <v>45224</v>
      </c>
      <c r="C1216" s="1" t="n">
        <v>45349</v>
      </c>
      <c r="D1216" t="inlineStr">
        <is>
          <t>KALMAR LÄN</t>
        </is>
      </c>
      <c r="E1216" t="inlineStr">
        <is>
          <t>VIMMERBY</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52411-2023</t>
        </is>
      </c>
      <c r="B1217" s="1" t="n">
        <v>45225</v>
      </c>
      <c r="C1217" s="1" t="n">
        <v>45349</v>
      </c>
      <c r="D1217" t="inlineStr">
        <is>
          <t>KALMAR LÄN</t>
        </is>
      </c>
      <c r="E1217" t="inlineStr">
        <is>
          <t>VIMMERBY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52588-2023</t>
        </is>
      </c>
      <c r="B1218" s="1" t="n">
        <v>45225</v>
      </c>
      <c r="C1218" s="1" t="n">
        <v>45349</v>
      </c>
      <c r="D1218" t="inlineStr">
        <is>
          <t>KALMAR LÄN</t>
        </is>
      </c>
      <c r="E1218" t="inlineStr">
        <is>
          <t>VIMMERBY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52616-2023</t>
        </is>
      </c>
      <c r="B1219" s="1" t="n">
        <v>45225</v>
      </c>
      <c r="C1219" s="1" t="n">
        <v>45349</v>
      </c>
      <c r="D1219" t="inlineStr">
        <is>
          <t>KALMAR LÄN</t>
        </is>
      </c>
      <c r="E1219" t="inlineStr">
        <is>
          <t>VIMMERBY</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52623-2023</t>
        </is>
      </c>
      <c r="B1220" s="1" t="n">
        <v>45225</v>
      </c>
      <c r="C1220" s="1" t="n">
        <v>45349</v>
      </c>
      <c r="D1220" t="inlineStr">
        <is>
          <t>KALMAR LÄN</t>
        </is>
      </c>
      <c r="E1220" t="inlineStr">
        <is>
          <t>VIMMERBY</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52703-2023</t>
        </is>
      </c>
      <c r="B1221" s="1" t="n">
        <v>45225</v>
      </c>
      <c r="C1221" s="1" t="n">
        <v>45349</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53220-2023</t>
        </is>
      </c>
      <c r="B1222" s="1" t="n">
        <v>45229</v>
      </c>
      <c r="C1222" s="1" t="n">
        <v>45349</v>
      </c>
      <c r="D1222" t="inlineStr">
        <is>
          <t>KALMAR LÄN</t>
        </is>
      </c>
      <c r="E1222" t="inlineStr">
        <is>
          <t>VIMMERBY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54084-2023</t>
        </is>
      </c>
      <c r="B1223" s="1" t="n">
        <v>45232</v>
      </c>
      <c r="C1223" s="1" t="n">
        <v>45349</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54086-2023</t>
        </is>
      </c>
      <c r="B1224" s="1" t="n">
        <v>45232</v>
      </c>
      <c r="C1224" s="1" t="n">
        <v>45349</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55716-2023</t>
        </is>
      </c>
      <c r="B1225" s="1" t="n">
        <v>45232</v>
      </c>
      <c r="C1225" s="1" t="n">
        <v>45349</v>
      </c>
      <c r="D1225" t="inlineStr">
        <is>
          <t>KALMAR LÄN</t>
        </is>
      </c>
      <c r="E1225" t="inlineStr">
        <is>
          <t>VIMMERBY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54785-2023</t>
        </is>
      </c>
      <c r="B1226" s="1" t="n">
        <v>45236</v>
      </c>
      <c r="C1226" s="1" t="n">
        <v>45349</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54787-2023</t>
        </is>
      </c>
      <c r="B1227" s="1" t="n">
        <v>45236</v>
      </c>
      <c r="C1227" s="1" t="n">
        <v>45349</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55236-2023</t>
        </is>
      </c>
      <c r="B1228" s="1" t="n">
        <v>45237</v>
      </c>
      <c r="C1228" s="1" t="n">
        <v>45349</v>
      </c>
      <c r="D1228" t="inlineStr">
        <is>
          <t>KALMAR LÄN</t>
        </is>
      </c>
      <c r="E1228" t="inlineStr">
        <is>
          <t>VIMMERBY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55245-2023</t>
        </is>
      </c>
      <c r="B1229" s="1" t="n">
        <v>45237</v>
      </c>
      <c r="C1229" s="1" t="n">
        <v>45349</v>
      </c>
      <c r="D1229" t="inlineStr">
        <is>
          <t>KALMAR LÄN</t>
        </is>
      </c>
      <c r="E1229" t="inlineStr">
        <is>
          <t>VIMMERBY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55279-2023</t>
        </is>
      </c>
      <c r="B1230" s="1" t="n">
        <v>45237</v>
      </c>
      <c r="C1230" s="1" t="n">
        <v>45349</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55457-2023</t>
        </is>
      </c>
      <c r="B1231" s="1" t="n">
        <v>45238</v>
      </c>
      <c r="C1231" s="1" t="n">
        <v>45349</v>
      </c>
      <c r="D1231" t="inlineStr">
        <is>
          <t>KALMAR LÄN</t>
        </is>
      </c>
      <c r="E1231" t="inlineStr">
        <is>
          <t>VIMMERBY</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55470-2023</t>
        </is>
      </c>
      <c r="B1232" s="1" t="n">
        <v>45238</v>
      </c>
      <c r="C1232" s="1" t="n">
        <v>45349</v>
      </c>
      <c r="D1232" t="inlineStr">
        <is>
          <t>KALMAR LÄN</t>
        </is>
      </c>
      <c r="E1232" t="inlineStr">
        <is>
          <t>VIMMERBY</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55436-2023</t>
        </is>
      </c>
      <c r="B1233" s="1" t="n">
        <v>45238</v>
      </c>
      <c r="C1233" s="1" t="n">
        <v>45349</v>
      </c>
      <c r="D1233" t="inlineStr">
        <is>
          <t>KALMAR LÄN</t>
        </is>
      </c>
      <c r="E1233" t="inlineStr">
        <is>
          <t>VIMMERBY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55510-2023</t>
        </is>
      </c>
      <c r="B1234" s="1" t="n">
        <v>45238</v>
      </c>
      <c r="C1234" s="1" t="n">
        <v>45349</v>
      </c>
      <c r="D1234" t="inlineStr">
        <is>
          <t>KALMAR LÄN</t>
        </is>
      </c>
      <c r="E1234" t="inlineStr">
        <is>
          <t>VIMMERBY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55442-2023</t>
        </is>
      </c>
      <c r="B1235" s="1" t="n">
        <v>45238</v>
      </c>
      <c r="C1235" s="1" t="n">
        <v>45349</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56657-2023</t>
        </is>
      </c>
      <c r="B1236" s="1" t="n">
        <v>45243</v>
      </c>
      <c r="C1236" s="1" t="n">
        <v>45349</v>
      </c>
      <c r="D1236" t="inlineStr">
        <is>
          <t>KALMAR LÄN</t>
        </is>
      </c>
      <c r="E1236" t="inlineStr">
        <is>
          <t>VIMMERBY</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56659-2023</t>
        </is>
      </c>
      <c r="B1237" s="1" t="n">
        <v>45243</v>
      </c>
      <c r="C1237" s="1" t="n">
        <v>45349</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57036-2023</t>
        </is>
      </c>
      <c r="B1238" s="1" t="n">
        <v>45244</v>
      </c>
      <c r="C1238" s="1" t="n">
        <v>45349</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57040-2023</t>
        </is>
      </c>
      <c r="B1239" s="1" t="n">
        <v>45244</v>
      </c>
      <c r="C1239" s="1" t="n">
        <v>45349</v>
      </c>
      <c r="D1239" t="inlineStr">
        <is>
          <t>KALMAR LÄN</t>
        </is>
      </c>
      <c r="E1239" t="inlineStr">
        <is>
          <t>VIMMERBY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57254-2023</t>
        </is>
      </c>
      <c r="B1240" s="1" t="n">
        <v>45245</v>
      </c>
      <c r="C1240" s="1" t="n">
        <v>45349</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57114-2023</t>
        </is>
      </c>
      <c r="B1241" s="1" t="n">
        <v>45245</v>
      </c>
      <c r="C1241" s="1" t="n">
        <v>45349</v>
      </c>
      <c r="D1241" t="inlineStr">
        <is>
          <t>KALMAR LÄN</t>
        </is>
      </c>
      <c r="E1241" t="inlineStr">
        <is>
          <t>VIMMERBY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57264-2023</t>
        </is>
      </c>
      <c r="B1242" s="1" t="n">
        <v>45245</v>
      </c>
      <c r="C1242" s="1" t="n">
        <v>45349</v>
      </c>
      <c r="D1242" t="inlineStr">
        <is>
          <t>KALMAR LÄN</t>
        </is>
      </c>
      <c r="E1242" t="inlineStr">
        <is>
          <t>VIMMERBY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57311-2023</t>
        </is>
      </c>
      <c r="B1243" s="1" t="n">
        <v>45245</v>
      </c>
      <c r="C1243" s="1" t="n">
        <v>45349</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57256-2023</t>
        </is>
      </c>
      <c r="B1244" s="1" t="n">
        <v>45245</v>
      </c>
      <c r="C1244" s="1" t="n">
        <v>45349</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57269-2023</t>
        </is>
      </c>
      <c r="B1245" s="1" t="n">
        <v>45245</v>
      </c>
      <c r="C1245" s="1" t="n">
        <v>45349</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57317-2023</t>
        </is>
      </c>
      <c r="B1246" s="1" t="n">
        <v>45245</v>
      </c>
      <c r="C1246" s="1" t="n">
        <v>45349</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57329-2023</t>
        </is>
      </c>
      <c r="B1247" s="1" t="n">
        <v>45245</v>
      </c>
      <c r="C1247" s="1" t="n">
        <v>45349</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58278-2023</t>
        </is>
      </c>
      <c r="B1248" s="1" t="n">
        <v>45250</v>
      </c>
      <c r="C1248" s="1" t="n">
        <v>45349</v>
      </c>
      <c r="D1248" t="inlineStr">
        <is>
          <t>KALMAR LÄN</t>
        </is>
      </c>
      <c r="E1248" t="inlineStr">
        <is>
          <t>VIMMERBY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59598-2023</t>
        </is>
      </c>
      <c r="B1249" s="1" t="n">
        <v>45254</v>
      </c>
      <c r="C1249" s="1" t="n">
        <v>45349</v>
      </c>
      <c r="D1249" t="inlineStr">
        <is>
          <t>KALMAR LÄN</t>
        </is>
      </c>
      <c r="E1249" t="inlineStr">
        <is>
          <t>VIMMERBY</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59943-2023</t>
        </is>
      </c>
      <c r="B1250" s="1" t="n">
        <v>45257</v>
      </c>
      <c r="C1250" s="1" t="n">
        <v>45349</v>
      </c>
      <c r="D1250" t="inlineStr">
        <is>
          <t>KALMAR LÄN</t>
        </is>
      </c>
      <c r="E1250" t="inlineStr">
        <is>
          <t>VIMMERBY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59955-2023</t>
        </is>
      </c>
      <c r="B1251" s="1" t="n">
        <v>45257</v>
      </c>
      <c r="C1251" s="1" t="n">
        <v>45349</v>
      </c>
      <c r="D1251" t="inlineStr">
        <is>
          <t>KALMAR LÄN</t>
        </is>
      </c>
      <c r="E1251" t="inlineStr">
        <is>
          <t>VIMMERBY</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60437-2023</t>
        </is>
      </c>
      <c r="B1252" s="1" t="n">
        <v>45259</v>
      </c>
      <c r="C1252" s="1" t="n">
        <v>45349</v>
      </c>
      <c r="D1252" t="inlineStr">
        <is>
          <t>KALMAR LÄN</t>
        </is>
      </c>
      <c r="E1252" t="inlineStr">
        <is>
          <t>VIMMERBY</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60438-2023</t>
        </is>
      </c>
      <c r="B1253" s="1" t="n">
        <v>45259</v>
      </c>
      <c r="C1253" s="1" t="n">
        <v>45349</v>
      </c>
      <c r="D1253" t="inlineStr">
        <is>
          <t>KALMAR LÄN</t>
        </is>
      </c>
      <c r="E1253" t="inlineStr">
        <is>
          <t>VIMMERBY</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60675-2023</t>
        </is>
      </c>
      <c r="B1254" s="1" t="n">
        <v>45260</v>
      </c>
      <c r="C1254" s="1" t="n">
        <v>45349</v>
      </c>
      <c r="D1254" t="inlineStr">
        <is>
          <t>KALMAR LÄN</t>
        </is>
      </c>
      <c r="E1254" t="inlineStr">
        <is>
          <t>VIMMERBY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60951-2023</t>
        </is>
      </c>
      <c r="B1255" s="1" t="n">
        <v>45261</v>
      </c>
      <c r="C1255" s="1" t="n">
        <v>45349</v>
      </c>
      <c r="D1255" t="inlineStr">
        <is>
          <t>KALMAR LÄN</t>
        </is>
      </c>
      <c r="E1255" t="inlineStr">
        <is>
          <t>VIMMERBY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61189-2023</t>
        </is>
      </c>
      <c r="B1256" s="1" t="n">
        <v>45264</v>
      </c>
      <c r="C1256" s="1" t="n">
        <v>45349</v>
      </c>
      <c r="D1256" t="inlineStr">
        <is>
          <t>KALMAR LÄN</t>
        </is>
      </c>
      <c r="E1256" t="inlineStr">
        <is>
          <t>VIMMERBY</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61221-2023</t>
        </is>
      </c>
      <c r="B1257" s="1" t="n">
        <v>45264</v>
      </c>
      <c r="C1257" s="1" t="n">
        <v>45349</v>
      </c>
      <c r="D1257" t="inlineStr">
        <is>
          <t>KALMAR LÄN</t>
        </is>
      </c>
      <c r="E1257" t="inlineStr">
        <is>
          <t>VIMMERBY</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61224-2023</t>
        </is>
      </c>
      <c r="B1258" s="1" t="n">
        <v>45264</v>
      </c>
      <c r="C1258" s="1" t="n">
        <v>45349</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61227-2023</t>
        </is>
      </c>
      <c r="B1259" s="1" t="n">
        <v>45264</v>
      </c>
      <c r="C1259" s="1" t="n">
        <v>45349</v>
      </c>
      <c r="D1259" t="inlineStr">
        <is>
          <t>KALMAR LÄN</t>
        </is>
      </c>
      <c r="E1259" t="inlineStr">
        <is>
          <t>VIMMERBY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61820-2023</t>
        </is>
      </c>
      <c r="B1260" s="1" t="n">
        <v>45266</v>
      </c>
      <c r="C1260" s="1" t="n">
        <v>45349</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61817-2023</t>
        </is>
      </c>
      <c r="B1261" s="1" t="n">
        <v>45266</v>
      </c>
      <c r="C1261" s="1" t="n">
        <v>45349</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61825-2023</t>
        </is>
      </c>
      <c r="B1262" s="1" t="n">
        <v>45266</v>
      </c>
      <c r="C1262" s="1" t="n">
        <v>45349</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62615-2023</t>
        </is>
      </c>
      <c r="B1263" s="1" t="n">
        <v>45271</v>
      </c>
      <c r="C1263" s="1" t="n">
        <v>45349</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62779-2023</t>
        </is>
      </c>
      <c r="B1264" s="1" t="n">
        <v>45271</v>
      </c>
      <c r="C1264" s="1" t="n">
        <v>45349</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62997-2023</t>
        </is>
      </c>
      <c r="B1265" s="1" t="n">
        <v>45272</v>
      </c>
      <c r="C1265" s="1" t="n">
        <v>45349</v>
      </c>
      <c r="D1265" t="inlineStr">
        <is>
          <t>KALMAR LÄN</t>
        </is>
      </c>
      <c r="E1265" t="inlineStr">
        <is>
          <t>VIMMERBY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62852-2023</t>
        </is>
      </c>
      <c r="B1266" s="1" t="n">
        <v>45272</v>
      </c>
      <c r="C1266" s="1" t="n">
        <v>45349</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63284-2023</t>
        </is>
      </c>
      <c r="B1267" s="1" t="n">
        <v>45273</v>
      </c>
      <c r="C1267" s="1" t="n">
        <v>45349</v>
      </c>
      <c r="D1267" t="inlineStr">
        <is>
          <t>KALMAR LÄN</t>
        </is>
      </c>
      <c r="E1267" t="inlineStr">
        <is>
          <t>VIMMERBY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63583-2023</t>
        </is>
      </c>
      <c r="B1268" s="1" t="n">
        <v>45275</v>
      </c>
      <c r="C1268" s="1" t="n">
        <v>45349</v>
      </c>
      <c r="D1268" t="inlineStr">
        <is>
          <t>KALMAR LÄN</t>
        </is>
      </c>
      <c r="E1268" t="inlineStr">
        <is>
          <t>VIMMERBY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63541-2023</t>
        </is>
      </c>
      <c r="B1269" s="1" t="n">
        <v>45275</v>
      </c>
      <c r="C1269" s="1" t="n">
        <v>45349</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63969-2023</t>
        </is>
      </c>
      <c r="B1270" s="1" t="n">
        <v>45278</v>
      </c>
      <c r="C1270" s="1" t="n">
        <v>45349</v>
      </c>
      <c r="D1270" t="inlineStr">
        <is>
          <t>KALMAR LÄN</t>
        </is>
      </c>
      <c r="E1270" t="inlineStr">
        <is>
          <t>VIMMERBY</t>
        </is>
      </c>
      <c r="F1270" t="inlineStr">
        <is>
          <t>Kyrkan</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63950-2023</t>
        </is>
      </c>
      <c r="B1271" s="1" t="n">
        <v>45278</v>
      </c>
      <c r="C1271" s="1" t="n">
        <v>45349</v>
      </c>
      <c r="D1271" t="inlineStr">
        <is>
          <t>KALMAR LÄN</t>
        </is>
      </c>
      <c r="E1271" t="inlineStr">
        <is>
          <t>VIMMERBY</t>
        </is>
      </c>
      <c r="F1271" t="inlineStr">
        <is>
          <t>Kyrkan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64428-2023</t>
        </is>
      </c>
      <c r="B1272" s="1" t="n">
        <v>45280</v>
      </c>
      <c r="C1272" s="1" t="n">
        <v>45349</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65238-2023</t>
        </is>
      </c>
      <c r="B1273" s="1" t="n">
        <v>45289</v>
      </c>
      <c r="C1273" s="1" t="n">
        <v>45349</v>
      </c>
      <c r="D1273" t="inlineStr">
        <is>
          <t>KALMAR LÄN</t>
        </is>
      </c>
      <c r="E1273" t="inlineStr">
        <is>
          <t>VIMMERBY</t>
        </is>
      </c>
      <c r="F1273" t="inlineStr">
        <is>
          <t>Kyrkan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65237-2023</t>
        </is>
      </c>
      <c r="B1274" s="1" t="n">
        <v>45289</v>
      </c>
      <c r="C1274" s="1" t="n">
        <v>45349</v>
      </c>
      <c r="D1274" t="inlineStr">
        <is>
          <t>KALMAR LÄN</t>
        </is>
      </c>
      <c r="E1274" t="inlineStr">
        <is>
          <t>VIMMERBY</t>
        </is>
      </c>
      <c r="F1274" t="inlineStr">
        <is>
          <t>Kyrkan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205-2024</t>
        </is>
      </c>
      <c r="B1275" s="1" t="n">
        <v>45294</v>
      </c>
      <c r="C1275" s="1" t="n">
        <v>45349</v>
      </c>
      <c r="D1275" t="inlineStr">
        <is>
          <t>KALMAR LÄN</t>
        </is>
      </c>
      <c r="E1275" t="inlineStr">
        <is>
          <t>VIMMERBY</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526-2024</t>
        </is>
      </c>
      <c r="B1276" s="1" t="n">
        <v>45299</v>
      </c>
      <c r="C1276" s="1" t="n">
        <v>45349</v>
      </c>
      <c r="D1276" t="inlineStr">
        <is>
          <t>KALMAR LÄN</t>
        </is>
      </c>
      <c r="E1276" t="inlineStr">
        <is>
          <t>VIMMERBY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585-2024</t>
        </is>
      </c>
      <c r="B1277" s="1" t="n">
        <v>45299</v>
      </c>
      <c r="C1277" s="1" t="n">
        <v>45349</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627-2024</t>
        </is>
      </c>
      <c r="B1278" s="1" t="n">
        <v>45299</v>
      </c>
      <c r="C1278" s="1" t="n">
        <v>45349</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527-2024</t>
        </is>
      </c>
      <c r="B1279" s="1" t="n">
        <v>45299</v>
      </c>
      <c r="C1279" s="1" t="n">
        <v>45349</v>
      </c>
      <c r="D1279" t="inlineStr">
        <is>
          <t>KALMAR LÄN</t>
        </is>
      </c>
      <c r="E1279" t="inlineStr">
        <is>
          <t>VIMMERBY</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529-2024</t>
        </is>
      </c>
      <c r="B1280" s="1" t="n">
        <v>45299</v>
      </c>
      <c r="C1280" s="1" t="n">
        <v>45349</v>
      </c>
      <c r="D1280" t="inlineStr">
        <is>
          <t>KALMAR LÄN</t>
        </is>
      </c>
      <c r="E1280" t="inlineStr">
        <is>
          <t>VIMMERBY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690-2024</t>
        </is>
      </c>
      <c r="B1281" s="1" t="n">
        <v>45300</v>
      </c>
      <c r="C1281" s="1" t="n">
        <v>45349</v>
      </c>
      <c r="D1281" t="inlineStr">
        <is>
          <t>KALMAR LÄN</t>
        </is>
      </c>
      <c r="E1281" t="inlineStr">
        <is>
          <t>VIMMERBY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694-2024</t>
        </is>
      </c>
      <c r="B1282" s="1" t="n">
        <v>45300</v>
      </c>
      <c r="C1282" s="1" t="n">
        <v>45349</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1018-2024</t>
        </is>
      </c>
      <c r="B1283" s="1" t="n">
        <v>45301</v>
      </c>
      <c r="C1283" s="1" t="n">
        <v>45349</v>
      </c>
      <c r="D1283" t="inlineStr">
        <is>
          <t>KALMAR LÄN</t>
        </is>
      </c>
      <c r="E1283" t="inlineStr">
        <is>
          <t>VIMMERBY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1017-2024</t>
        </is>
      </c>
      <c r="B1284" s="1" t="n">
        <v>45301</v>
      </c>
      <c r="C1284" s="1" t="n">
        <v>45349</v>
      </c>
      <c r="D1284" t="inlineStr">
        <is>
          <t>KALMAR LÄN</t>
        </is>
      </c>
      <c r="E1284" t="inlineStr">
        <is>
          <t>VIMMERBY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1021-2024</t>
        </is>
      </c>
      <c r="B1285" s="1" t="n">
        <v>45301</v>
      </c>
      <c r="C1285" s="1" t="n">
        <v>45349</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1016-2024</t>
        </is>
      </c>
      <c r="B1286" s="1" t="n">
        <v>45301</v>
      </c>
      <c r="C1286" s="1" t="n">
        <v>45349</v>
      </c>
      <c r="D1286" t="inlineStr">
        <is>
          <t>KALMAR LÄN</t>
        </is>
      </c>
      <c r="E1286" t="inlineStr">
        <is>
          <t>VIMMERBY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1024-2024</t>
        </is>
      </c>
      <c r="B1287" s="1" t="n">
        <v>45301</v>
      </c>
      <c r="C1287" s="1" t="n">
        <v>45349</v>
      </c>
      <c r="D1287" t="inlineStr">
        <is>
          <t>KALMAR LÄN</t>
        </is>
      </c>
      <c r="E1287" t="inlineStr">
        <is>
          <t>VIMMERBY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1015-2024</t>
        </is>
      </c>
      <c r="B1288" s="1" t="n">
        <v>45301</v>
      </c>
      <c r="C1288" s="1" t="n">
        <v>45349</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1023-2024</t>
        </is>
      </c>
      <c r="B1289" s="1" t="n">
        <v>45301</v>
      </c>
      <c r="C1289" s="1" t="n">
        <v>45349</v>
      </c>
      <c r="D1289" t="inlineStr">
        <is>
          <t>KALMAR LÄN</t>
        </is>
      </c>
      <c r="E1289" t="inlineStr">
        <is>
          <t>VIMMERBY</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1225-2024</t>
        </is>
      </c>
      <c r="B1290" s="1" t="n">
        <v>45302</v>
      </c>
      <c r="C1290" s="1" t="n">
        <v>45349</v>
      </c>
      <c r="D1290" t="inlineStr">
        <is>
          <t>KALMAR LÄN</t>
        </is>
      </c>
      <c r="E1290" t="inlineStr">
        <is>
          <t>VIMMERBY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1417-2024</t>
        </is>
      </c>
      <c r="B1291" s="1" t="n">
        <v>45303</v>
      </c>
      <c r="C1291" s="1" t="n">
        <v>45349</v>
      </c>
      <c r="D1291" t="inlineStr">
        <is>
          <t>KALMAR LÄN</t>
        </is>
      </c>
      <c r="E1291" t="inlineStr">
        <is>
          <t>VIMMERBY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1626-2024</t>
        </is>
      </c>
      <c r="B1292" s="1" t="n">
        <v>45306</v>
      </c>
      <c r="C1292" s="1" t="n">
        <v>45349</v>
      </c>
      <c r="D1292" t="inlineStr">
        <is>
          <t>KALMAR LÄN</t>
        </is>
      </c>
      <c r="E1292" t="inlineStr">
        <is>
          <t>VIMMERBY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1628-2024</t>
        </is>
      </c>
      <c r="B1293" s="1" t="n">
        <v>45306</v>
      </c>
      <c r="C1293" s="1" t="n">
        <v>45349</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1987-2024</t>
        </is>
      </c>
      <c r="B1294" s="1" t="n">
        <v>45308</v>
      </c>
      <c r="C1294" s="1" t="n">
        <v>45349</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1985-2024</t>
        </is>
      </c>
      <c r="B1295" s="1" t="n">
        <v>45308</v>
      </c>
      <c r="C1295" s="1" t="n">
        <v>45349</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1986-2024</t>
        </is>
      </c>
      <c r="B1296" s="1" t="n">
        <v>45308</v>
      </c>
      <c r="C1296" s="1" t="n">
        <v>45349</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1978-2024</t>
        </is>
      </c>
      <c r="B1297" s="1" t="n">
        <v>45308</v>
      </c>
      <c r="C1297" s="1" t="n">
        <v>45349</v>
      </c>
      <c r="D1297" t="inlineStr">
        <is>
          <t>KALMAR LÄN</t>
        </is>
      </c>
      <c r="E1297" t="inlineStr">
        <is>
          <t>VIMMERBY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2157-2024</t>
        </is>
      </c>
      <c r="B1298" s="1" t="n">
        <v>45309</v>
      </c>
      <c r="C1298" s="1" t="n">
        <v>45349</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2213-2024</t>
        </is>
      </c>
      <c r="B1299" s="1" t="n">
        <v>45309</v>
      </c>
      <c r="C1299" s="1" t="n">
        <v>45349</v>
      </c>
      <c r="D1299" t="inlineStr">
        <is>
          <t>KALMAR LÄN</t>
        </is>
      </c>
      <c r="E1299" t="inlineStr">
        <is>
          <t>VIMMERBY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2330-2024</t>
        </is>
      </c>
      <c r="B1300" s="1" t="n">
        <v>45310</v>
      </c>
      <c r="C1300" s="1" t="n">
        <v>45349</v>
      </c>
      <c r="D1300" t="inlineStr">
        <is>
          <t>KALMAR LÄN</t>
        </is>
      </c>
      <c r="E1300" t="inlineStr">
        <is>
          <t>VIMMERBY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2331-2024</t>
        </is>
      </c>
      <c r="B1301" s="1" t="n">
        <v>45310</v>
      </c>
      <c r="C1301" s="1" t="n">
        <v>45349</v>
      </c>
      <c r="D1301" t="inlineStr">
        <is>
          <t>KALMAR LÄN</t>
        </is>
      </c>
      <c r="E1301" t="inlineStr">
        <is>
          <t>VIMMERBY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3028-2024</t>
        </is>
      </c>
      <c r="B1302" s="1" t="n">
        <v>45316</v>
      </c>
      <c r="C1302" s="1" t="n">
        <v>45349</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45349</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3031-2024</t>
        </is>
      </c>
      <c r="B1304" s="1" t="n">
        <v>45316</v>
      </c>
      <c r="C1304" s="1" t="n">
        <v>45349</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3156-2024</t>
        </is>
      </c>
      <c r="B1305" s="1" t="n">
        <v>45316</v>
      </c>
      <c r="C1305" s="1" t="n">
        <v>45349</v>
      </c>
      <c r="D1305" t="inlineStr">
        <is>
          <t>KALMAR LÄN</t>
        </is>
      </c>
      <c r="E1305" t="inlineStr">
        <is>
          <t>VIMMERBY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3269-2024</t>
        </is>
      </c>
      <c r="B1306" s="1" t="n">
        <v>45317</v>
      </c>
      <c r="C1306" s="1" t="n">
        <v>45349</v>
      </c>
      <c r="D1306" t="inlineStr">
        <is>
          <t>KALMAR LÄN</t>
        </is>
      </c>
      <c r="E1306" t="inlineStr">
        <is>
          <t>VIMMERBY</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3268-2024</t>
        </is>
      </c>
      <c r="B1307" s="1" t="n">
        <v>45317</v>
      </c>
      <c r="C1307" s="1" t="n">
        <v>45349</v>
      </c>
      <c r="D1307" t="inlineStr">
        <is>
          <t>KALMAR LÄN</t>
        </is>
      </c>
      <c r="E1307" t="inlineStr">
        <is>
          <t>VIMMERBY</t>
        </is>
      </c>
      <c r="F1307" t="inlineStr">
        <is>
          <t>Övriga Aktiebolag</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3373-2024</t>
        </is>
      </c>
      <c r="B1308" s="1" t="n">
        <v>45317</v>
      </c>
      <c r="C1308" s="1" t="n">
        <v>45349</v>
      </c>
      <c r="D1308" t="inlineStr">
        <is>
          <t>KALMAR LÄN</t>
        </is>
      </c>
      <c r="E1308" t="inlineStr">
        <is>
          <t>VIMMERBY</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3609-2024</t>
        </is>
      </c>
      <c r="B1309" s="1" t="n">
        <v>45320</v>
      </c>
      <c r="C1309" s="1" t="n">
        <v>45349</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4058-2024</t>
        </is>
      </c>
      <c r="B1310" s="1" t="n">
        <v>45323</v>
      </c>
      <c r="C1310" s="1" t="n">
        <v>45349</v>
      </c>
      <c r="D1310" t="inlineStr">
        <is>
          <t>KALMAR LÄN</t>
        </is>
      </c>
      <c r="E1310" t="inlineStr">
        <is>
          <t>VIMMERBY</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4359-2024</t>
        </is>
      </c>
      <c r="B1311" s="1" t="n">
        <v>45325</v>
      </c>
      <c r="C1311" s="1" t="n">
        <v>45349</v>
      </c>
      <c r="D1311" t="inlineStr">
        <is>
          <t>KALMAR LÄN</t>
        </is>
      </c>
      <c r="E1311" t="inlineStr">
        <is>
          <t>VIMMERBY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4624-2024</t>
        </is>
      </c>
      <c r="B1312" s="1" t="n">
        <v>45328</v>
      </c>
      <c r="C1312" s="1" t="n">
        <v>45349</v>
      </c>
      <c r="D1312" t="inlineStr">
        <is>
          <t>KALMAR LÄN</t>
        </is>
      </c>
      <c r="E1312" t="inlineStr">
        <is>
          <t>VIMMERBY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4622-2024</t>
        </is>
      </c>
      <c r="B1313" s="1" t="n">
        <v>45328</v>
      </c>
      <c r="C1313" s="1" t="n">
        <v>45349</v>
      </c>
      <c r="D1313" t="inlineStr">
        <is>
          <t>KALMAR LÄN</t>
        </is>
      </c>
      <c r="E1313" t="inlineStr">
        <is>
          <t>VIMMERBY</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4867-2024</t>
        </is>
      </c>
      <c r="B1314" s="1" t="n">
        <v>45329</v>
      </c>
      <c r="C1314" s="1" t="n">
        <v>45349</v>
      </c>
      <c r="D1314" t="inlineStr">
        <is>
          <t>KALMAR LÄN</t>
        </is>
      </c>
      <c r="E1314" t="inlineStr">
        <is>
          <t>VIMMERBY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4861-2024</t>
        </is>
      </c>
      <c r="B1315" s="1" t="n">
        <v>45329</v>
      </c>
      <c r="C1315" s="1" t="n">
        <v>45349</v>
      </c>
      <c r="D1315" t="inlineStr">
        <is>
          <t>KALMAR LÄN</t>
        </is>
      </c>
      <c r="E1315" t="inlineStr">
        <is>
          <t>VIMMERBY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4899-2024</t>
        </is>
      </c>
      <c r="B1316" s="1" t="n">
        <v>45329</v>
      </c>
      <c r="C1316" s="1" t="n">
        <v>45349</v>
      </c>
      <c r="D1316" t="inlineStr">
        <is>
          <t>KALMAR LÄN</t>
        </is>
      </c>
      <c r="E1316" t="inlineStr">
        <is>
          <t>VIMMERBY</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45349</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5206-2024</t>
        </is>
      </c>
      <c r="B1318" s="1" t="n">
        <v>45330</v>
      </c>
      <c r="C1318" s="1" t="n">
        <v>45349</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5146-2024</t>
        </is>
      </c>
      <c r="B1319" s="1" t="n">
        <v>45330</v>
      </c>
      <c r="C1319" s="1" t="n">
        <v>45349</v>
      </c>
      <c r="D1319" t="inlineStr">
        <is>
          <t>KALMAR LÄN</t>
        </is>
      </c>
      <c r="E1319" t="inlineStr">
        <is>
          <t>VIMMERBY</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5200-2024</t>
        </is>
      </c>
      <c r="B1320" s="1" t="n">
        <v>45330</v>
      </c>
      <c r="C1320" s="1" t="n">
        <v>45349</v>
      </c>
      <c r="D1320" t="inlineStr">
        <is>
          <t>KALMAR LÄN</t>
        </is>
      </c>
      <c r="E1320" t="inlineStr">
        <is>
          <t>VIMMERBY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5703-2024</t>
        </is>
      </c>
      <c r="B1321" s="1" t="n">
        <v>45334</v>
      </c>
      <c r="C1321" s="1" t="n">
        <v>45349</v>
      </c>
      <c r="D1321" t="inlineStr">
        <is>
          <t>KALMAR LÄN</t>
        </is>
      </c>
      <c r="E1321" t="inlineStr">
        <is>
          <t>VIMMERBY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5701-2024</t>
        </is>
      </c>
      <c r="B1322" s="1" t="n">
        <v>45334</v>
      </c>
      <c r="C1322" s="1" t="n">
        <v>45349</v>
      </c>
      <c r="D1322" t="inlineStr">
        <is>
          <t>KALMAR LÄN</t>
        </is>
      </c>
      <c r="E1322" t="inlineStr">
        <is>
          <t>VIMMERBY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5704-2024</t>
        </is>
      </c>
      <c r="B1323" s="1" t="n">
        <v>45334</v>
      </c>
      <c r="C1323" s="1" t="n">
        <v>45349</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5708-2024</t>
        </is>
      </c>
      <c r="B1324" s="1" t="n">
        <v>45334</v>
      </c>
      <c r="C1324" s="1" t="n">
        <v>45349</v>
      </c>
      <c r="D1324" t="inlineStr">
        <is>
          <t>KALMAR LÄN</t>
        </is>
      </c>
      <c r="E1324" t="inlineStr">
        <is>
          <t>VIMMERBY</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45349</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45349</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45349</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45349</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7070-2024</t>
        </is>
      </c>
      <c r="B1329" s="1" t="n">
        <v>45343</v>
      </c>
      <c r="C1329" s="1" t="n">
        <v>45349</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7068-2024</t>
        </is>
      </c>
      <c r="B1330" s="1" t="n">
        <v>45343</v>
      </c>
      <c r="C1330" s="1" t="n">
        <v>45349</v>
      </c>
      <c r="D1330" t="inlineStr">
        <is>
          <t>KALMAR LÄN</t>
        </is>
      </c>
      <c r="E1330" t="inlineStr">
        <is>
          <t>VIMMERBY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7456-2024</t>
        </is>
      </c>
      <c r="B1331" s="1" t="n">
        <v>45345</v>
      </c>
      <c r="C1331" s="1" t="n">
        <v>45349</v>
      </c>
      <c r="D1331" t="inlineStr">
        <is>
          <t>KALMAR LÄN</t>
        </is>
      </c>
      <c r="E1331" t="inlineStr">
        <is>
          <t>VIMMERBY</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7450-2024</t>
        </is>
      </c>
      <c r="B1332" s="1" t="n">
        <v>45345</v>
      </c>
      <c r="C1332" s="1" t="n">
        <v>45349</v>
      </c>
      <c r="D1332" t="inlineStr">
        <is>
          <t>KALMAR LÄN</t>
        </is>
      </c>
      <c r="E1332" t="inlineStr">
        <is>
          <t>VIMMERBY</t>
        </is>
      </c>
      <c r="G1332" t="n">
        <v>8.800000000000001</v>
      </c>
      <c r="H1332" t="n">
        <v>0</v>
      </c>
      <c r="I1332" t="n">
        <v>0</v>
      </c>
      <c r="J1332" t="n">
        <v>0</v>
      </c>
      <c r="K1332" t="n">
        <v>0</v>
      </c>
      <c r="L1332" t="n">
        <v>0</v>
      </c>
      <c r="M1332" t="n">
        <v>0</v>
      </c>
      <c r="N1332" t="n">
        <v>0</v>
      </c>
      <c r="O1332" t="n">
        <v>0</v>
      </c>
      <c r="P1332" t="n">
        <v>0</v>
      </c>
      <c r="Q1332" t="n">
        <v>0</v>
      </c>
      <c r="R1332" s="2" t="inlineStr"/>
    </row>
    <row r="1333">
      <c r="A1333" t="inlineStr">
        <is>
          <t>A 7485-2024</t>
        </is>
      </c>
      <c r="B1333" s="1" t="n">
        <v>45346</v>
      </c>
      <c r="C1333" s="1" t="n">
        <v>45349</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2024-02-27T13:08:02Z</dcterms:created>
  <dcterms:modified xmlns:dcterms="http://purl.org/dc/terms/" xmlns:xsi="http://www.w3.org/2001/XMLSchema-instance" xsi:type="dcterms:W3CDTF">2024-02-27T13:08:03Z</dcterms:modified>
</cp:coreProperties>
</file>