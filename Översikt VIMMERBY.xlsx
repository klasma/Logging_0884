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46204</v>
      </c>
      <c r="D2" t="inlineStr">
        <is>
          <t>KALMAR LÄN</t>
        </is>
      </c>
      <c r="E2" t="inlineStr">
        <is>
          <t>VIMMERBY</t>
        </is>
      </c>
      <c r="G2" t="n">
        <v>62.2</v>
      </c>
      <c r="H2" t="n">
        <v>11</v>
      </c>
      <c r="I2" t="n">
        <v>21</v>
      </c>
      <c r="J2" t="n">
        <v>18</v>
      </c>
      <c r="K2" t="n">
        <v>4</v>
      </c>
      <c r="L2" t="n">
        <v>0</v>
      </c>
      <c r="M2" t="n">
        <v>0</v>
      </c>
      <c r="N2" t="n">
        <v>0</v>
      </c>
      <c r="O2" t="n">
        <v>22</v>
      </c>
      <c r="P2" t="n">
        <v>4</v>
      </c>
      <c r="Q2" t="n">
        <v>50</v>
      </c>
      <c r="R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46204</v>
      </c>
      <c r="D3" t="inlineStr">
        <is>
          <t>KALMAR LÄN</t>
        </is>
      </c>
      <c r="E3" t="inlineStr">
        <is>
          <t>VIMMERBY</t>
        </is>
      </c>
      <c r="G3" t="n">
        <v>19.2</v>
      </c>
      <c r="H3" t="n">
        <v>6</v>
      </c>
      <c r="I3" t="n">
        <v>17</v>
      </c>
      <c r="J3" t="n">
        <v>7</v>
      </c>
      <c r="K3" t="n">
        <v>1</v>
      </c>
      <c r="L3" t="n">
        <v>1</v>
      </c>
      <c r="M3" t="n">
        <v>0</v>
      </c>
      <c r="N3" t="n">
        <v>0</v>
      </c>
      <c r="O3" t="n">
        <v>9</v>
      </c>
      <c r="P3" t="n">
        <v>2</v>
      </c>
      <c r="Q3" t="n">
        <v>30</v>
      </c>
      <c r="R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46204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46204</v>
      </c>
      <c r="D5" t="inlineStr">
        <is>
          <t>KALMAR LÄN</t>
        </is>
      </c>
      <c r="E5" t="inlineStr">
        <is>
          <t>VIMMERBY</t>
        </is>
      </c>
      <c r="G5" t="n">
        <v>3.5</v>
      </c>
      <c r="H5" t="n">
        <v>2</v>
      </c>
      <c r="I5" t="n">
        <v>5</v>
      </c>
      <c r="J5" t="n">
        <v>6</v>
      </c>
      <c r="K5" t="n">
        <v>1</v>
      </c>
      <c r="L5" t="n">
        <v>0</v>
      </c>
      <c r="M5" t="n">
        <v>0</v>
      </c>
      <c r="N5" t="n">
        <v>0</v>
      </c>
      <c r="O5" t="n">
        <v>7</v>
      </c>
      <c r="P5" t="n">
        <v>1</v>
      </c>
      <c r="Q5" t="n">
        <v>13</v>
      </c>
      <c r="R5" s="2" t="inlineStr">
        <is>
          <t>Knärot
Dropptaggsvamp
Dvärgbägarlav
Rynkskinn
Rödbrun blekspik
Ullticka
Vedskivlav
Barkticka
Fällmossa
Granbarkgnagare
Gulpudrad spiklav
Sotlav
Spillkråka</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1960-2023</t>
        </is>
      </c>
      <c r="B6" s="1" t="n">
        <v>44939</v>
      </c>
      <c r="C6" s="1" t="n">
        <v>46204</v>
      </c>
      <c r="D6" t="inlineStr">
        <is>
          <t>KALMAR LÄN</t>
        </is>
      </c>
      <c r="E6" t="inlineStr">
        <is>
          <t>VIMMERBY</t>
        </is>
      </c>
      <c r="G6" t="n">
        <v>4.2</v>
      </c>
      <c r="H6" t="n">
        <v>1</v>
      </c>
      <c r="I6" t="n">
        <v>3</v>
      </c>
      <c r="J6" t="n">
        <v>4</v>
      </c>
      <c r="K6" t="n">
        <v>0</v>
      </c>
      <c r="L6" t="n">
        <v>0</v>
      </c>
      <c r="M6" t="n">
        <v>0</v>
      </c>
      <c r="N6" t="n">
        <v>0</v>
      </c>
      <c r="O6" t="n">
        <v>4</v>
      </c>
      <c r="P6" t="n">
        <v>0</v>
      </c>
      <c r="Q6" t="n">
        <v>8</v>
      </c>
      <c r="R6" s="2" t="inlineStr">
        <is>
          <t>Dropptaggsvamp
Tallticka
Ullticka
Vedskivlav
Bågpraktmossa
Guldlockmossa
Tibast
Blåsippa</t>
        </is>
      </c>
      <c r="S6">
        <f>HYPERLINK("https://klasma.github.io/Logging_0884/artfynd/A 1960-2023 artfynd.xlsx", "A 1960-2023")</f>
        <v/>
      </c>
      <c r="T6">
        <f>HYPERLINK("https://klasma.github.io/Logging_0884/kartor/A 1960-2023 karta.png", "A 1960-2023")</f>
        <v/>
      </c>
      <c r="V6">
        <f>HYPERLINK("https://klasma.github.io/Logging_0884/klagomål/A 1960-2023 FSC-klagomål.docx", "A 1960-2023")</f>
        <v/>
      </c>
      <c r="W6">
        <f>HYPERLINK("https://klasma.github.io/Logging_0884/klagomålsmail/A 1960-2023 FSC-klagomål mail.docx", "A 1960-2023")</f>
        <v/>
      </c>
      <c r="X6">
        <f>HYPERLINK("https://klasma.github.io/Logging_0884/tillsyn/A 1960-2023 tillsynsbegäran.docx", "A 1960-2023")</f>
        <v/>
      </c>
      <c r="Y6">
        <f>HYPERLINK("https://klasma.github.io/Logging_0884/tillsynsmail/A 1960-2023 tillsynsbegäran mail.docx", "A 1960-2023")</f>
        <v/>
      </c>
    </row>
    <row r="7" ht="15" customHeight="1">
      <c r="A7" t="inlineStr">
        <is>
          <t>A 37901-2022</t>
        </is>
      </c>
      <c r="B7" s="1" t="n">
        <v>44811</v>
      </c>
      <c r="C7" s="1" t="n">
        <v>46204</v>
      </c>
      <c r="D7" t="inlineStr">
        <is>
          <t>KALMAR LÄN</t>
        </is>
      </c>
      <c r="E7" t="inlineStr">
        <is>
          <t>VIMMERBY</t>
        </is>
      </c>
      <c r="G7" t="n">
        <v>3.9</v>
      </c>
      <c r="H7" t="n">
        <v>1</v>
      </c>
      <c r="I7" t="n">
        <v>3</v>
      </c>
      <c r="J7" t="n">
        <v>1</v>
      </c>
      <c r="K7" t="n">
        <v>0</v>
      </c>
      <c r="L7" t="n">
        <v>0</v>
      </c>
      <c r="M7" t="n">
        <v>0</v>
      </c>
      <c r="N7" t="n">
        <v>0</v>
      </c>
      <c r="O7" t="n">
        <v>1</v>
      </c>
      <c r="P7" t="n">
        <v>0</v>
      </c>
      <c r="Q7" t="n">
        <v>5</v>
      </c>
      <c r="R7" s="2" t="inlineStr">
        <is>
          <t>Tallticka
Dvärgtufs
Kornig nållav
Rävticka
Revlummer</t>
        </is>
      </c>
      <c r="S7">
        <f>HYPERLINK("https://klasma.github.io/Logging_0884/artfynd/A 37901-2022 artfynd.xlsx", "A 37901-2022")</f>
        <v/>
      </c>
      <c r="T7">
        <f>HYPERLINK("https://klasma.github.io/Logging_0884/kartor/A 37901-2022 karta.png", "A 37901-2022")</f>
        <v/>
      </c>
      <c r="V7">
        <f>HYPERLINK("https://klasma.github.io/Logging_0884/klagomål/A 37901-2022 FSC-klagomål.docx", "A 37901-2022")</f>
        <v/>
      </c>
      <c r="W7">
        <f>HYPERLINK("https://klasma.github.io/Logging_0884/klagomålsmail/A 37901-2022 FSC-klagomål mail.docx", "A 37901-2022")</f>
        <v/>
      </c>
      <c r="X7">
        <f>HYPERLINK("https://klasma.github.io/Logging_0884/tillsyn/A 37901-2022 tillsynsbegäran.docx", "A 37901-2022")</f>
        <v/>
      </c>
      <c r="Y7">
        <f>HYPERLINK("https://klasma.github.io/Logging_0884/tillsynsmail/A 37901-2022 tillsynsbegäran mail.docx", "A 37901-2022")</f>
        <v/>
      </c>
    </row>
    <row r="8" ht="15" customHeight="1">
      <c r="A8" t="inlineStr">
        <is>
          <t>A 16954-2025</t>
        </is>
      </c>
      <c r="B8" s="1" t="n">
        <v>45755</v>
      </c>
      <c r="C8" s="1" t="n">
        <v>46204</v>
      </c>
      <c r="D8" t="inlineStr">
        <is>
          <t>KALMAR LÄN</t>
        </is>
      </c>
      <c r="E8" t="inlineStr">
        <is>
          <t>VIMMERBY</t>
        </is>
      </c>
      <c r="G8" t="n">
        <v>3.5</v>
      </c>
      <c r="H8" t="n">
        <v>4</v>
      </c>
      <c r="I8" t="n">
        <v>0</v>
      </c>
      <c r="J8" t="n">
        <v>2</v>
      </c>
      <c r="K8" t="n">
        <v>1</v>
      </c>
      <c r="L8" t="n">
        <v>0</v>
      </c>
      <c r="M8" t="n">
        <v>0</v>
      </c>
      <c r="N8" t="n">
        <v>0</v>
      </c>
      <c r="O8" t="n">
        <v>3</v>
      </c>
      <c r="P8" t="n">
        <v>1</v>
      </c>
      <c r="Q8" t="n">
        <v>5</v>
      </c>
      <c r="R8" s="2" t="inlineStr">
        <is>
          <t>Knärot
Talltita
Ullticka
Spillkråka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32645-2023</t>
        </is>
      </c>
      <c r="B9" s="1" t="n">
        <v>45121</v>
      </c>
      <c r="C9" s="1" t="n">
        <v>46204</v>
      </c>
      <c r="D9" t="inlineStr">
        <is>
          <t>KALMAR LÄN</t>
        </is>
      </c>
      <c r="E9" t="inlineStr">
        <is>
          <t>VIMMERBY</t>
        </is>
      </c>
      <c r="F9" t="inlineStr">
        <is>
          <t>Sveaskog</t>
        </is>
      </c>
      <c r="G9" t="n">
        <v>1.5</v>
      </c>
      <c r="H9" t="n">
        <v>2</v>
      </c>
      <c r="I9" t="n">
        <v>1</v>
      </c>
      <c r="J9" t="n">
        <v>3</v>
      </c>
      <c r="K9" t="n">
        <v>0</v>
      </c>
      <c r="L9" t="n">
        <v>0</v>
      </c>
      <c r="M9" t="n">
        <v>0</v>
      </c>
      <c r="N9" t="n">
        <v>0</v>
      </c>
      <c r="O9" t="n">
        <v>3</v>
      </c>
      <c r="P9" t="n">
        <v>0</v>
      </c>
      <c r="Q9" t="n">
        <v>5</v>
      </c>
      <c r="R9" s="2" t="inlineStr">
        <is>
          <t>Dvärgbägarlav
Talltita
Vedtrappmossa
Mindre märgborre
Spillkråka</t>
        </is>
      </c>
      <c r="S9">
        <f>HYPERLINK("https://klasma.github.io/Logging_0884/artfynd/A 32645-2023 artfynd.xlsx", "A 32645-2023")</f>
        <v/>
      </c>
      <c r="T9">
        <f>HYPERLINK("https://klasma.github.io/Logging_0884/kartor/A 32645-2023 karta.png", "A 32645-2023")</f>
        <v/>
      </c>
      <c r="V9">
        <f>HYPERLINK("https://klasma.github.io/Logging_0884/klagomål/A 32645-2023 FSC-klagomål.docx", "A 32645-2023")</f>
        <v/>
      </c>
      <c r="W9">
        <f>HYPERLINK("https://klasma.github.io/Logging_0884/klagomålsmail/A 32645-2023 FSC-klagomål mail.docx", "A 32645-2023")</f>
        <v/>
      </c>
      <c r="X9">
        <f>HYPERLINK("https://klasma.github.io/Logging_0884/tillsyn/A 32645-2023 tillsynsbegäran.docx", "A 32645-2023")</f>
        <v/>
      </c>
      <c r="Y9">
        <f>HYPERLINK("https://klasma.github.io/Logging_0884/tillsynsmail/A 32645-2023 tillsynsbegäran mail.docx", "A 32645-2023")</f>
        <v/>
      </c>
      <c r="Z9">
        <f>HYPERLINK("https://klasma.github.io/Logging_0884/fåglar/A 32645-2023 prioriterade fågelarter.docx", "A 32645-2023")</f>
        <v/>
      </c>
    </row>
    <row r="10" ht="15" customHeight="1">
      <c r="A10" t="inlineStr">
        <is>
          <t>A 25192-2026</t>
        </is>
      </c>
      <c r="B10" s="1" t="n">
        <v>46175</v>
      </c>
      <c r="C10" s="1" t="n">
        <v>46204</v>
      </c>
      <c r="D10" t="inlineStr">
        <is>
          <t>KALMAR LÄN</t>
        </is>
      </c>
      <c r="E10" t="inlineStr">
        <is>
          <t>VIMMERBY</t>
        </is>
      </c>
      <c r="G10" t="n">
        <v>3.2</v>
      </c>
      <c r="H10" t="n">
        <v>4</v>
      </c>
      <c r="I10" t="n">
        <v>0</v>
      </c>
      <c r="J10" t="n">
        <v>2</v>
      </c>
      <c r="K10" t="n">
        <v>1</v>
      </c>
      <c r="L10" t="n">
        <v>0</v>
      </c>
      <c r="M10" t="n">
        <v>0</v>
      </c>
      <c r="N10" t="n">
        <v>0</v>
      </c>
      <c r="O10" t="n">
        <v>3</v>
      </c>
      <c r="P10" t="n">
        <v>1</v>
      </c>
      <c r="Q10" t="n">
        <v>5</v>
      </c>
      <c r="R10" s="2" t="inlineStr">
        <is>
          <t>Knärot
Grönsångare
Tallticka
Fläcknycklar
Revlummer</t>
        </is>
      </c>
      <c r="S10">
        <f>HYPERLINK("https://klasma.github.io/Logging_0884/artfynd/A 25192-2026 artfynd.xlsx", "A 25192-2026")</f>
        <v/>
      </c>
      <c r="T10">
        <f>HYPERLINK("https://klasma.github.io/Logging_0884/kartor/A 25192-2026 karta.png", "A 25192-2026")</f>
        <v/>
      </c>
      <c r="U10">
        <f>HYPERLINK("https://klasma.github.io/Logging_0884/knärot/A 25192-2026 karta knärot.png", "A 25192-2026")</f>
        <v/>
      </c>
      <c r="V10">
        <f>HYPERLINK("https://klasma.github.io/Logging_0884/klagomål/A 25192-2026 FSC-klagomål.docx", "A 25192-2026")</f>
        <v/>
      </c>
      <c r="W10">
        <f>HYPERLINK("https://klasma.github.io/Logging_0884/klagomålsmail/A 25192-2026 FSC-klagomål mail.docx", "A 25192-2026")</f>
        <v/>
      </c>
      <c r="X10">
        <f>HYPERLINK("https://klasma.github.io/Logging_0884/tillsyn/A 25192-2026 tillsynsbegäran.docx", "A 25192-2026")</f>
        <v/>
      </c>
      <c r="Y10">
        <f>HYPERLINK("https://klasma.github.io/Logging_0884/tillsynsmail/A 25192-2026 tillsynsbegäran mail.docx", "A 25192-2026")</f>
        <v/>
      </c>
      <c r="Z10">
        <f>HYPERLINK("https://klasma.github.io/Logging_0884/fåglar/A 25192-2026 prioriterade fågelarter.docx", "A 25192-2026")</f>
        <v/>
      </c>
    </row>
    <row r="11" ht="15" customHeight="1">
      <c r="A11" t="inlineStr">
        <is>
          <t>A 12081-2024</t>
        </is>
      </c>
      <c r="B11" s="1" t="n">
        <v>45377</v>
      </c>
      <c r="C11" s="1" t="n">
        <v>46204</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1023-2024</t>
        </is>
      </c>
      <c r="B12" s="1" t="n">
        <v>45301</v>
      </c>
      <c r="C12" s="1" t="n">
        <v>46204</v>
      </c>
      <c r="D12" t="inlineStr">
        <is>
          <t>KALMAR LÄN</t>
        </is>
      </c>
      <c r="E12" t="inlineStr">
        <is>
          <t>VIMMERBY</t>
        </is>
      </c>
      <c r="G12" t="n">
        <v>4.4</v>
      </c>
      <c r="H12" t="n">
        <v>4</v>
      </c>
      <c r="I12" t="n">
        <v>0</v>
      </c>
      <c r="J12" t="n">
        <v>2</v>
      </c>
      <c r="K12" t="n">
        <v>1</v>
      </c>
      <c r="L12" t="n">
        <v>0</v>
      </c>
      <c r="M12" t="n">
        <v>0</v>
      </c>
      <c r="N12" t="n">
        <v>0</v>
      </c>
      <c r="O12" t="n">
        <v>3</v>
      </c>
      <c r="P12" t="n">
        <v>1</v>
      </c>
      <c r="Q12" t="n">
        <v>5</v>
      </c>
      <c r="R12" s="2" t="inlineStr">
        <is>
          <t>Knärot
Talltita
Ullticka
Spillkråka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3075-2025</t>
        </is>
      </c>
      <c r="B13" s="1" t="n">
        <v>45678</v>
      </c>
      <c r="C13" s="1" t="n">
        <v>46204</v>
      </c>
      <c r="D13" t="inlineStr">
        <is>
          <t>KALMAR LÄN</t>
        </is>
      </c>
      <c r="E13" t="inlineStr">
        <is>
          <t>VIMMERBY</t>
        </is>
      </c>
      <c r="G13" t="n">
        <v>4.5</v>
      </c>
      <c r="H13" t="n">
        <v>4</v>
      </c>
      <c r="I13" t="n">
        <v>0</v>
      </c>
      <c r="J13" t="n">
        <v>1</v>
      </c>
      <c r="K13" t="n">
        <v>1</v>
      </c>
      <c r="L13" t="n">
        <v>0</v>
      </c>
      <c r="M13" t="n">
        <v>0</v>
      </c>
      <c r="N13" t="n">
        <v>0</v>
      </c>
      <c r="O13" t="n">
        <v>2</v>
      </c>
      <c r="P13" t="n">
        <v>1</v>
      </c>
      <c r="Q13" t="n">
        <v>4</v>
      </c>
      <c r="R13" s="2" t="inlineStr">
        <is>
          <t>Knärot
Talltita
Spillkråka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23602-2023</t>
        </is>
      </c>
      <c r="B14" s="1" t="n">
        <v>45077</v>
      </c>
      <c r="C14" s="1" t="n">
        <v>46204</v>
      </c>
      <c r="D14" t="inlineStr">
        <is>
          <t>KALMAR LÄN</t>
        </is>
      </c>
      <c r="E14" t="inlineStr">
        <is>
          <t>VIMMERBY</t>
        </is>
      </c>
      <c r="G14" t="n">
        <v>1.6</v>
      </c>
      <c r="H14" t="n">
        <v>0</v>
      </c>
      <c r="I14" t="n">
        <v>2</v>
      </c>
      <c r="J14" t="n">
        <v>1</v>
      </c>
      <c r="K14" t="n">
        <v>0</v>
      </c>
      <c r="L14" t="n">
        <v>0</v>
      </c>
      <c r="M14" t="n">
        <v>0</v>
      </c>
      <c r="N14" t="n">
        <v>0</v>
      </c>
      <c r="O14" t="n">
        <v>1</v>
      </c>
      <c r="P14" t="n">
        <v>0</v>
      </c>
      <c r="Q14" t="n">
        <v>3</v>
      </c>
      <c r="R14" s="2" t="inlineStr">
        <is>
          <t>Vedtrappmossa
Terpentinmossa
Vanlig rörsvepemossa</t>
        </is>
      </c>
      <c r="S14">
        <f>HYPERLINK("https://klasma.github.io/Logging_0884/artfynd/A 23602-2023 artfynd.xlsx", "A 23602-2023")</f>
        <v/>
      </c>
      <c r="T14">
        <f>HYPERLINK("https://klasma.github.io/Logging_0884/kartor/A 23602-2023 karta.png", "A 23602-2023")</f>
        <v/>
      </c>
      <c r="V14">
        <f>HYPERLINK("https://klasma.github.io/Logging_0884/klagomål/A 23602-2023 FSC-klagomål.docx", "A 23602-2023")</f>
        <v/>
      </c>
      <c r="W14">
        <f>HYPERLINK("https://klasma.github.io/Logging_0884/klagomålsmail/A 23602-2023 FSC-klagomål mail.docx", "A 23602-2023")</f>
        <v/>
      </c>
      <c r="X14">
        <f>HYPERLINK("https://klasma.github.io/Logging_0884/tillsyn/A 23602-2023 tillsynsbegäran.docx", "A 23602-2023")</f>
        <v/>
      </c>
      <c r="Y14">
        <f>HYPERLINK("https://klasma.github.io/Logging_0884/tillsynsmail/A 23602-2023 tillsynsbegäran mail.docx", "A 23602-2023")</f>
        <v/>
      </c>
    </row>
    <row r="15" ht="15" customHeight="1">
      <c r="A15" t="inlineStr">
        <is>
          <t>A 14426-2026</t>
        </is>
      </c>
      <c r="B15" s="1" t="n">
        <v>46100</v>
      </c>
      <c r="C15" s="1" t="n">
        <v>46204</v>
      </c>
      <c r="D15" t="inlineStr">
        <is>
          <t>KALMAR LÄN</t>
        </is>
      </c>
      <c r="E15" t="inlineStr">
        <is>
          <t>VIMMERBY</t>
        </is>
      </c>
      <c r="F15" t="inlineStr">
        <is>
          <t>Kyrkan</t>
        </is>
      </c>
      <c r="G15" t="n">
        <v>8.6</v>
      </c>
      <c r="H15" t="n">
        <v>1</v>
      </c>
      <c r="I15" t="n">
        <v>0</v>
      </c>
      <c r="J15" t="n">
        <v>1</v>
      </c>
      <c r="K15" t="n">
        <v>1</v>
      </c>
      <c r="L15" t="n">
        <v>0</v>
      </c>
      <c r="M15" t="n">
        <v>0</v>
      </c>
      <c r="N15" t="n">
        <v>0</v>
      </c>
      <c r="O15" t="n">
        <v>2</v>
      </c>
      <c r="P15" t="n">
        <v>1</v>
      </c>
      <c r="Q15" t="n">
        <v>3</v>
      </c>
      <c r="R15" s="2" t="inlineStr">
        <is>
          <t>Knärot
Tallticka
Linnea</t>
        </is>
      </c>
      <c r="S15">
        <f>HYPERLINK("https://klasma.github.io/Logging_0884/artfynd/A 14426-2026 artfynd.xlsx", "A 14426-2026")</f>
        <v/>
      </c>
      <c r="T15">
        <f>HYPERLINK("https://klasma.github.io/Logging_0884/kartor/A 14426-2026 karta.png", "A 14426-2026")</f>
        <v/>
      </c>
      <c r="U15">
        <f>HYPERLINK("https://klasma.github.io/Logging_0884/knärot/A 14426-2026 karta knärot.png", "A 14426-2026")</f>
        <v/>
      </c>
      <c r="V15">
        <f>HYPERLINK("https://klasma.github.io/Logging_0884/klagomål/A 14426-2026 FSC-klagomål.docx", "A 14426-2026")</f>
        <v/>
      </c>
      <c r="W15">
        <f>HYPERLINK("https://klasma.github.io/Logging_0884/klagomålsmail/A 14426-2026 FSC-klagomål mail.docx", "A 14426-2026")</f>
        <v/>
      </c>
      <c r="X15">
        <f>HYPERLINK("https://klasma.github.io/Logging_0884/tillsyn/A 14426-2026 tillsynsbegäran.docx", "A 14426-2026")</f>
        <v/>
      </c>
      <c r="Y15">
        <f>HYPERLINK("https://klasma.github.io/Logging_0884/tillsynsmail/A 14426-2026 tillsynsbegäran mail.docx", "A 14426-2026")</f>
        <v/>
      </c>
    </row>
    <row r="16" ht="15" customHeight="1">
      <c r="A16" t="inlineStr">
        <is>
          <t>A 57053-2025</t>
        </is>
      </c>
      <c r="B16" s="1" t="n">
        <v>45979</v>
      </c>
      <c r="C16" s="1" t="n">
        <v>46204</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57053-2025 artfynd.xlsx", "A 57053-2025")</f>
        <v/>
      </c>
      <c r="T16">
        <f>HYPERLINK("https://klasma.github.io/Logging_0884/kartor/A 57053-2025 karta.png", "A 57053-2025")</f>
        <v/>
      </c>
      <c r="U16">
        <f>HYPERLINK("https://klasma.github.io/Logging_0884/knärot/A 57053-2025 karta knärot.png", "A 57053-2025")</f>
        <v/>
      </c>
      <c r="V16">
        <f>HYPERLINK("https://klasma.github.io/Logging_0884/klagomål/A 57053-2025 FSC-klagomål.docx", "A 57053-2025")</f>
        <v/>
      </c>
      <c r="W16">
        <f>HYPERLINK("https://klasma.github.io/Logging_0884/klagomålsmail/A 57053-2025 FSC-klagomål mail.docx", "A 57053-2025")</f>
        <v/>
      </c>
      <c r="X16">
        <f>HYPERLINK("https://klasma.github.io/Logging_0884/tillsyn/A 57053-2025 tillsynsbegäran.docx", "A 57053-2025")</f>
        <v/>
      </c>
      <c r="Y16">
        <f>HYPERLINK("https://klasma.github.io/Logging_0884/tillsynsmail/A 57053-2025 tillsynsbegäran mail.docx", "A 57053-2025")</f>
        <v/>
      </c>
    </row>
    <row r="17" ht="15" customHeight="1">
      <c r="A17" t="inlineStr">
        <is>
          <t>A 15427-2023</t>
        </is>
      </c>
      <c r="B17" s="1" t="n">
        <v>45020</v>
      </c>
      <c r="C17" s="1" t="n">
        <v>46204</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14584-2025</t>
        </is>
      </c>
      <c r="B18" s="1" t="n">
        <v>45742</v>
      </c>
      <c r="C18" s="1" t="n">
        <v>46204</v>
      </c>
      <c r="D18" t="inlineStr">
        <is>
          <t>KALMAR LÄN</t>
        </is>
      </c>
      <c r="E18" t="inlineStr">
        <is>
          <t>VIMMERBY</t>
        </is>
      </c>
      <c r="G18" t="n">
        <v>5.4</v>
      </c>
      <c r="H18" t="n">
        <v>2</v>
      </c>
      <c r="I18" t="n">
        <v>1</v>
      </c>
      <c r="J18" t="n">
        <v>0</v>
      </c>
      <c r="K18" t="n">
        <v>1</v>
      </c>
      <c r="L18" t="n">
        <v>0</v>
      </c>
      <c r="M18" t="n">
        <v>0</v>
      </c>
      <c r="N18" t="n">
        <v>0</v>
      </c>
      <c r="O18" t="n">
        <v>1</v>
      </c>
      <c r="P18" t="n">
        <v>1</v>
      </c>
      <c r="Q18" t="n">
        <v>3</v>
      </c>
      <c r="R18" s="2" t="inlineStr">
        <is>
          <t>Knärot
Blåmossa
Spillkråka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46824-2025</t>
        </is>
      </c>
      <c r="B19" s="1" t="n">
        <v>45926</v>
      </c>
      <c r="C19" s="1" t="n">
        <v>46204</v>
      </c>
      <c r="D19" t="inlineStr">
        <is>
          <t>KALMAR LÄN</t>
        </is>
      </c>
      <c r="E19" t="inlineStr">
        <is>
          <t>VIMMERBY</t>
        </is>
      </c>
      <c r="G19" t="n">
        <v>2.8</v>
      </c>
      <c r="H19" t="n">
        <v>1</v>
      </c>
      <c r="I19" t="n">
        <v>0</v>
      </c>
      <c r="J19" t="n">
        <v>2</v>
      </c>
      <c r="K19" t="n">
        <v>1</v>
      </c>
      <c r="L19" t="n">
        <v>0</v>
      </c>
      <c r="M19" t="n">
        <v>0</v>
      </c>
      <c r="N19" t="n">
        <v>0</v>
      </c>
      <c r="O19" t="n">
        <v>3</v>
      </c>
      <c r="P19" t="n">
        <v>1</v>
      </c>
      <c r="Q19" t="n">
        <v>3</v>
      </c>
      <c r="R19" s="2" t="inlineStr">
        <is>
          <t>Knärot
Dropptaggsvamp
Fjällig taggsvamp s.str.</t>
        </is>
      </c>
      <c r="S19">
        <f>HYPERLINK("https://klasma.github.io/Logging_0884/artfynd/A 46824-2025 artfynd.xlsx", "A 46824-2025")</f>
        <v/>
      </c>
      <c r="T19">
        <f>HYPERLINK("https://klasma.github.io/Logging_0884/kartor/A 46824-2025 karta.png", "A 46824-2025")</f>
        <v/>
      </c>
      <c r="U19">
        <f>HYPERLINK("https://klasma.github.io/Logging_0884/knärot/A 46824-2025 karta knärot.png", "A 46824-2025")</f>
        <v/>
      </c>
      <c r="V19">
        <f>HYPERLINK("https://klasma.github.io/Logging_0884/klagomål/A 46824-2025 FSC-klagomål.docx", "A 46824-2025")</f>
        <v/>
      </c>
      <c r="W19">
        <f>HYPERLINK("https://klasma.github.io/Logging_0884/klagomålsmail/A 46824-2025 FSC-klagomål mail.docx", "A 46824-2025")</f>
        <v/>
      </c>
      <c r="X19">
        <f>HYPERLINK("https://klasma.github.io/Logging_0884/tillsyn/A 46824-2025 tillsynsbegäran.docx", "A 46824-2025")</f>
        <v/>
      </c>
      <c r="Y19">
        <f>HYPERLINK("https://klasma.github.io/Logging_0884/tillsynsmail/A 46824-2025 tillsynsbegäran mail.docx", "A 46824-2025")</f>
        <v/>
      </c>
    </row>
    <row r="20" ht="15" customHeight="1">
      <c r="A20" t="inlineStr">
        <is>
          <t>A 41398-2021</t>
        </is>
      </c>
      <c r="B20" s="1" t="n">
        <v>44424</v>
      </c>
      <c r="C20" s="1" t="n">
        <v>46204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v>
      </c>
      <c r="C21" s="1" t="n">
        <v>46204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46204</v>
      </c>
      <c r="D22" t="inlineStr">
        <is>
          <t>KALMAR LÄN</t>
        </is>
      </c>
      <c r="E22" t="inlineStr">
        <is>
          <t>VIMMERBY</t>
        </is>
      </c>
      <c r="G22" t="n">
        <v>2</v>
      </c>
      <c r="H22" t="n">
        <v>1</v>
      </c>
      <c r="I22" t="n">
        <v>0</v>
      </c>
      <c r="J22" t="n">
        <v>1</v>
      </c>
      <c r="K22" t="n">
        <v>1</v>
      </c>
      <c r="L22" t="n">
        <v>0</v>
      </c>
      <c r="M22" t="n">
        <v>0</v>
      </c>
      <c r="N22" t="n">
        <v>0</v>
      </c>
      <c r="O22" t="n">
        <v>2</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46204</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40083-2023</t>
        </is>
      </c>
      <c r="B24" s="1" t="n">
        <v>45168</v>
      </c>
      <c r="C24" s="1" t="n">
        <v>46204</v>
      </c>
      <c r="D24" t="inlineStr">
        <is>
          <t>KALMAR LÄN</t>
        </is>
      </c>
      <c r="E24" t="inlineStr">
        <is>
          <t>VIMMERBY</t>
        </is>
      </c>
      <c r="G24" t="n">
        <v>2.2</v>
      </c>
      <c r="H24" t="n">
        <v>2</v>
      </c>
      <c r="I24" t="n">
        <v>0</v>
      </c>
      <c r="J24" t="n">
        <v>1</v>
      </c>
      <c r="K24" t="n">
        <v>0</v>
      </c>
      <c r="L24" t="n">
        <v>0</v>
      </c>
      <c r="M24" t="n">
        <v>0</v>
      </c>
      <c r="N24" t="n">
        <v>0</v>
      </c>
      <c r="O24" t="n">
        <v>1</v>
      </c>
      <c r="P24" t="n">
        <v>0</v>
      </c>
      <c r="Q24" t="n">
        <v>2</v>
      </c>
      <c r="R24" s="2" t="inlineStr">
        <is>
          <t>Grönsångare
Revlummer</t>
        </is>
      </c>
      <c r="S24">
        <f>HYPERLINK("https://klasma.github.io/Logging_0884/artfynd/A 40083-2023 artfynd.xlsx", "A 40083-2023")</f>
        <v/>
      </c>
      <c r="T24">
        <f>HYPERLINK("https://klasma.github.io/Logging_0884/kartor/A 40083-2023 karta.png", "A 40083-2023")</f>
        <v/>
      </c>
      <c r="V24">
        <f>HYPERLINK("https://klasma.github.io/Logging_0884/klagomål/A 40083-2023 FSC-klagomål.docx", "A 40083-2023")</f>
        <v/>
      </c>
      <c r="W24">
        <f>HYPERLINK("https://klasma.github.io/Logging_0884/klagomålsmail/A 40083-2023 FSC-klagomål mail.docx", "A 40083-2023")</f>
        <v/>
      </c>
      <c r="X24">
        <f>HYPERLINK("https://klasma.github.io/Logging_0884/tillsyn/A 40083-2023 tillsynsbegäran.docx", "A 40083-2023")</f>
        <v/>
      </c>
      <c r="Y24">
        <f>HYPERLINK("https://klasma.github.io/Logging_0884/tillsynsmail/A 40083-2023 tillsynsbegäran mail.docx", "A 40083-2023")</f>
        <v/>
      </c>
      <c r="Z24">
        <f>HYPERLINK("https://klasma.github.io/Logging_0884/fåglar/A 40083-2023 prioriterade fågelarter.docx", "A 40083-2023")</f>
        <v/>
      </c>
    </row>
    <row r="25" ht="15" customHeight="1">
      <c r="A25" t="inlineStr">
        <is>
          <t>A 40084-2023</t>
        </is>
      </c>
      <c r="B25" s="1" t="n">
        <v>45168</v>
      </c>
      <c r="C25" s="1" t="n">
        <v>46204</v>
      </c>
      <c r="D25" t="inlineStr">
        <is>
          <t>KALMAR LÄN</t>
        </is>
      </c>
      <c r="E25" t="inlineStr">
        <is>
          <t>VIMMERBY</t>
        </is>
      </c>
      <c r="G25" t="n">
        <v>1.3</v>
      </c>
      <c r="H25" t="n">
        <v>2</v>
      </c>
      <c r="I25" t="n">
        <v>0</v>
      </c>
      <c r="J25" t="n">
        <v>2</v>
      </c>
      <c r="K25" t="n">
        <v>0</v>
      </c>
      <c r="L25" t="n">
        <v>0</v>
      </c>
      <c r="M25" t="n">
        <v>0</v>
      </c>
      <c r="N25" t="n">
        <v>0</v>
      </c>
      <c r="O25" t="n">
        <v>2</v>
      </c>
      <c r="P25" t="n">
        <v>0</v>
      </c>
      <c r="Q25" t="n">
        <v>2</v>
      </c>
      <c r="R25" s="2" t="inlineStr">
        <is>
          <t>Entita
Rödvingetrast</t>
        </is>
      </c>
      <c r="S25">
        <f>HYPERLINK("https://klasma.github.io/Logging_0884/artfynd/A 40084-2023 artfynd.xlsx", "A 40084-2023")</f>
        <v/>
      </c>
      <c r="T25">
        <f>HYPERLINK("https://klasma.github.io/Logging_0884/kartor/A 40084-2023 karta.png", "A 40084-2023")</f>
        <v/>
      </c>
      <c r="V25">
        <f>HYPERLINK("https://klasma.github.io/Logging_0884/klagomål/A 40084-2023 FSC-klagomål.docx", "A 40084-2023")</f>
        <v/>
      </c>
      <c r="W25">
        <f>HYPERLINK("https://klasma.github.io/Logging_0884/klagomålsmail/A 40084-2023 FSC-klagomål mail.docx", "A 40084-2023")</f>
        <v/>
      </c>
      <c r="X25">
        <f>HYPERLINK("https://klasma.github.io/Logging_0884/tillsyn/A 40084-2023 tillsynsbegäran.docx", "A 40084-2023")</f>
        <v/>
      </c>
      <c r="Y25">
        <f>HYPERLINK("https://klasma.github.io/Logging_0884/tillsynsmail/A 40084-2023 tillsynsbegäran mail.docx", "A 40084-2023")</f>
        <v/>
      </c>
      <c r="Z25">
        <f>HYPERLINK("https://klasma.github.io/Logging_0884/fåglar/A 40084-2023 prioriterade fågelarter.docx", "A 40084-2023")</f>
        <v/>
      </c>
    </row>
    <row r="26" ht="15" customHeight="1">
      <c r="A26" t="inlineStr">
        <is>
          <t>A 42802-2025</t>
        </is>
      </c>
      <c r="B26" s="1" t="n">
        <v>45908</v>
      </c>
      <c r="C26" s="1" t="n">
        <v>46204</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22825-2023</t>
        </is>
      </c>
      <c r="B27" s="1" t="n">
        <v>45072</v>
      </c>
      <c r="C27" s="1" t="n">
        <v>46204</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25155-2026</t>
        </is>
      </c>
      <c r="B28" s="1" t="n">
        <v>46175</v>
      </c>
      <c r="C28" s="1" t="n">
        <v>46204</v>
      </c>
      <c r="D28" t="inlineStr">
        <is>
          <t>KALMAR LÄN</t>
        </is>
      </c>
      <c r="E28" t="inlineStr">
        <is>
          <t>VIMMERBY</t>
        </is>
      </c>
      <c r="G28" t="n">
        <v>2.9</v>
      </c>
      <c r="H28" t="n">
        <v>0</v>
      </c>
      <c r="I28" t="n">
        <v>1</v>
      </c>
      <c r="J28" t="n">
        <v>0</v>
      </c>
      <c r="K28" t="n">
        <v>1</v>
      </c>
      <c r="L28" t="n">
        <v>0</v>
      </c>
      <c r="M28" t="n">
        <v>0</v>
      </c>
      <c r="N28" t="n">
        <v>0</v>
      </c>
      <c r="O28" t="n">
        <v>1</v>
      </c>
      <c r="P28" t="n">
        <v>1</v>
      </c>
      <c r="Q28" t="n">
        <v>2</v>
      </c>
      <c r="R28" s="2" t="inlineStr">
        <is>
          <t>Ryl
Grönpyrola</t>
        </is>
      </c>
      <c r="S28">
        <f>HYPERLINK("https://klasma.github.io/Logging_0884/artfynd/A 25155-2026 artfynd.xlsx", "A 25155-2026")</f>
        <v/>
      </c>
      <c r="T28">
        <f>HYPERLINK("https://klasma.github.io/Logging_0884/kartor/A 25155-2026 karta.png", "A 25155-2026")</f>
        <v/>
      </c>
      <c r="V28">
        <f>HYPERLINK("https://klasma.github.io/Logging_0884/klagomål/A 25155-2026 FSC-klagomål.docx", "A 25155-2026")</f>
        <v/>
      </c>
      <c r="W28">
        <f>HYPERLINK("https://klasma.github.io/Logging_0884/klagomålsmail/A 25155-2026 FSC-klagomål mail.docx", "A 25155-2026")</f>
        <v/>
      </c>
      <c r="X28">
        <f>HYPERLINK("https://klasma.github.io/Logging_0884/tillsyn/A 25155-2026 tillsynsbegäran.docx", "A 25155-2026")</f>
        <v/>
      </c>
      <c r="Y28">
        <f>HYPERLINK("https://klasma.github.io/Logging_0884/tillsynsmail/A 25155-2026 tillsynsbegäran mail.docx", "A 25155-2026")</f>
        <v/>
      </c>
    </row>
    <row r="29" ht="15" customHeight="1">
      <c r="A29" t="inlineStr">
        <is>
          <t>A 22396-2025</t>
        </is>
      </c>
      <c r="B29" s="1" t="n">
        <v>45786</v>
      </c>
      <c r="C29" s="1" t="n">
        <v>46204</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row>
    <row r="30" ht="15" customHeight="1">
      <c r="A30" t="inlineStr">
        <is>
          <t>A 2604-2025</t>
        </is>
      </c>
      <c r="B30" s="1" t="n">
        <v>45674</v>
      </c>
      <c r="C30" s="1" t="n">
        <v>46204</v>
      </c>
      <c r="D30" t="inlineStr">
        <is>
          <t>KALMAR LÄN</t>
        </is>
      </c>
      <c r="E30" t="inlineStr">
        <is>
          <t>VIMMERBY</t>
        </is>
      </c>
      <c r="G30" t="n">
        <v>7.6</v>
      </c>
      <c r="H30" t="n">
        <v>0</v>
      </c>
      <c r="I30" t="n">
        <v>0</v>
      </c>
      <c r="J30" t="n">
        <v>2</v>
      </c>
      <c r="K30" t="n">
        <v>0</v>
      </c>
      <c r="L30" t="n">
        <v>0</v>
      </c>
      <c r="M30" t="n">
        <v>0</v>
      </c>
      <c r="N30" t="n">
        <v>0</v>
      </c>
      <c r="O30" t="n">
        <v>2</v>
      </c>
      <c r="P30" t="n">
        <v>0</v>
      </c>
      <c r="Q30" t="n">
        <v>2</v>
      </c>
      <c r="R30" s="2" t="inlineStr">
        <is>
          <t>Långfibbla
Spretfibbla</t>
        </is>
      </c>
      <c r="S30">
        <f>HYPERLINK("https://klasma.github.io/Logging_0884/artfynd/A 2604-2025 artfynd.xlsx", "A 2604-2025")</f>
        <v/>
      </c>
      <c r="T30">
        <f>HYPERLINK("https://klasma.github.io/Logging_0884/kartor/A 2604-2025 karta.png", "A 2604-2025")</f>
        <v/>
      </c>
      <c r="V30">
        <f>HYPERLINK("https://klasma.github.io/Logging_0884/klagomål/A 2604-2025 FSC-klagomål.docx", "A 2604-2025")</f>
        <v/>
      </c>
      <c r="W30">
        <f>HYPERLINK("https://klasma.github.io/Logging_0884/klagomålsmail/A 2604-2025 FSC-klagomål mail.docx", "A 2604-2025")</f>
        <v/>
      </c>
      <c r="X30">
        <f>HYPERLINK("https://klasma.github.io/Logging_0884/tillsyn/A 2604-2025 tillsynsbegäran.docx", "A 2604-2025")</f>
        <v/>
      </c>
      <c r="Y30">
        <f>HYPERLINK("https://klasma.github.io/Logging_0884/tillsynsmail/A 2604-2025 tillsynsbegäran mail.docx", "A 2604-2025")</f>
        <v/>
      </c>
    </row>
    <row r="31" ht="15" customHeight="1">
      <c r="A31" t="inlineStr">
        <is>
          <t>A 37930-2021</t>
        </is>
      </c>
      <c r="B31" s="1" t="n">
        <v>44403</v>
      </c>
      <c r="C31" s="1" t="n">
        <v>46204</v>
      </c>
      <c r="D31" t="inlineStr">
        <is>
          <t>KALMAR LÄN</t>
        </is>
      </c>
      <c r="E31" t="inlineStr">
        <is>
          <t>VIMMERBY</t>
        </is>
      </c>
      <c r="G31" t="n">
        <v>4.4</v>
      </c>
      <c r="H31" t="n">
        <v>1</v>
      </c>
      <c r="I31" t="n">
        <v>1</v>
      </c>
      <c r="J31" t="n">
        <v>1</v>
      </c>
      <c r="K31" t="n">
        <v>0</v>
      </c>
      <c r="L31" t="n">
        <v>0</v>
      </c>
      <c r="M31" t="n">
        <v>0</v>
      </c>
      <c r="N31" t="n">
        <v>0</v>
      </c>
      <c r="O31" t="n">
        <v>1</v>
      </c>
      <c r="P31" t="n">
        <v>0</v>
      </c>
      <c r="Q31" t="n">
        <v>2</v>
      </c>
      <c r="R31" s="2" t="inlineStr">
        <is>
          <t>Spindelört
Grön sköldmossa</t>
        </is>
      </c>
      <c r="S31">
        <f>HYPERLINK("https://klasma.github.io/Logging_0884/artfynd/A 37930-2021 artfynd.xlsx", "A 37930-2021")</f>
        <v/>
      </c>
      <c r="T31">
        <f>HYPERLINK("https://klasma.github.io/Logging_0884/kartor/A 37930-2021 karta.png", "A 37930-2021")</f>
        <v/>
      </c>
      <c r="V31">
        <f>HYPERLINK("https://klasma.github.io/Logging_0884/klagomål/A 37930-2021 FSC-klagomål.docx", "A 37930-2021")</f>
        <v/>
      </c>
      <c r="W31">
        <f>HYPERLINK("https://klasma.github.io/Logging_0884/klagomålsmail/A 37930-2021 FSC-klagomål mail.docx", "A 37930-2021")</f>
        <v/>
      </c>
      <c r="X31">
        <f>HYPERLINK("https://klasma.github.io/Logging_0884/tillsyn/A 37930-2021 tillsynsbegäran.docx", "A 37930-2021")</f>
        <v/>
      </c>
      <c r="Y31">
        <f>HYPERLINK("https://klasma.github.io/Logging_0884/tillsynsmail/A 37930-2021 tillsynsbegäran mail.docx", "A 37930-2021")</f>
        <v/>
      </c>
    </row>
    <row r="32" ht="15" customHeight="1">
      <c r="A32" t="inlineStr">
        <is>
          <t>A 14024-2023</t>
        </is>
      </c>
      <c r="B32" s="1" t="n">
        <v>45008</v>
      </c>
      <c r="C32" s="1" t="n">
        <v>46204</v>
      </c>
      <c r="D32" t="inlineStr">
        <is>
          <t>KALMAR LÄN</t>
        </is>
      </c>
      <c r="E32" t="inlineStr">
        <is>
          <t>VIMMERBY</t>
        </is>
      </c>
      <c r="G32" t="n">
        <v>3.2</v>
      </c>
      <c r="H32" t="n">
        <v>1</v>
      </c>
      <c r="I32" t="n">
        <v>1</v>
      </c>
      <c r="J32" t="n">
        <v>0</v>
      </c>
      <c r="K32" t="n">
        <v>1</v>
      </c>
      <c r="L32" t="n">
        <v>0</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v>
      </c>
      <c r="C33" s="1" t="n">
        <v>46204</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46204</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16288-2022</t>
        </is>
      </c>
      <c r="B35" s="1" t="n">
        <v>44670</v>
      </c>
      <c r="C35" s="1" t="n">
        <v>46204</v>
      </c>
      <c r="D35" t="inlineStr">
        <is>
          <t>KALMAR LÄN</t>
        </is>
      </c>
      <c r="E35" t="inlineStr">
        <is>
          <t>VIMMERBY</t>
        </is>
      </c>
      <c r="G35" t="n">
        <v>1.7</v>
      </c>
      <c r="H35" t="n">
        <v>0</v>
      </c>
      <c r="I35" t="n">
        <v>1</v>
      </c>
      <c r="J35" t="n">
        <v>0</v>
      </c>
      <c r="K35" t="n">
        <v>0</v>
      </c>
      <c r="L35" t="n">
        <v>0</v>
      </c>
      <c r="M35" t="n">
        <v>0</v>
      </c>
      <c r="N35" t="n">
        <v>0</v>
      </c>
      <c r="O35" t="n">
        <v>0</v>
      </c>
      <c r="P35" t="n">
        <v>0</v>
      </c>
      <c r="Q35" t="n">
        <v>1</v>
      </c>
      <c r="R35" s="2" t="inlineStr">
        <is>
          <t>Sotlav</t>
        </is>
      </c>
      <c r="S35">
        <f>HYPERLINK("https://klasma.github.io/Logging_0884/artfynd/A 16288-2022 artfynd.xlsx", "A 16288-2022")</f>
        <v/>
      </c>
      <c r="T35">
        <f>HYPERLINK("https://klasma.github.io/Logging_0884/kartor/A 16288-2022 karta.png", "A 16288-2022")</f>
        <v/>
      </c>
      <c r="V35">
        <f>HYPERLINK("https://klasma.github.io/Logging_0884/klagomål/A 16288-2022 FSC-klagomål.docx", "A 16288-2022")</f>
        <v/>
      </c>
      <c r="W35">
        <f>HYPERLINK("https://klasma.github.io/Logging_0884/klagomålsmail/A 16288-2022 FSC-klagomål mail.docx", "A 16288-2022")</f>
        <v/>
      </c>
      <c r="X35">
        <f>HYPERLINK("https://klasma.github.io/Logging_0884/tillsyn/A 16288-2022 tillsynsbegäran.docx", "A 16288-2022")</f>
        <v/>
      </c>
      <c r="Y35">
        <f>HYPERLINK("https://klasma.github.io/Logging_0884/tillsynsmail/A 16288-2022 tillsynsbegäran mail.docx", "A 16288-2022")</f>
        <v/>
      </c>
    </row>
    <row r="36" ht="15" customHeight="1">
      <c r="A36" t="inlineStr">
        <is>
          <t>A 47473-2021</t>
        </is>
      </c>
      <c r="B36" s="1" t="n">
        <v>44447</v>
      </c>
      <c r="C36" s="1" t="n">
        <v>46204</v>
      </c>
      <c r="D36" t="inlineStr">
        <is>
          <t>KALMAR LÄN</t>
        </is>
      </c>
      <c r="E36" t="inlineStr">
        <is>
          <t>VIMMERBY</t>
        </is>
      </c>
      <c r="F36" t="inlineStr">
        <is>
          <t>Sveaskog</t>
        </is>
      </c>
      <c r="G36" t="n">
        <v>1.7</v>
      </c>
      <c r="H36" t="n">
        <v>0</v>
      </c>
      <c r="I36" t="n">
        <v>0</v>
      </c>
      <c r="J36" t="n">
        <v>1</v>
      </c>
      <c r="K36" t="n">
        <v>0</v>
      </c>
      <c r="L36" t="n">
        <v>0</v>
      </c>
      <c r="M36" t="n">
        <v>0</v>
      </c>
      <c r="N36" t="n">
        <v>0</v>
      </c>
      <c r="O36" t="n">
        <v>1</v>
      </c>
      <c r="P36" t="n">
        <v>0</v>
      </c>
      <c r="Q36" t="n">
        <v>1</v>
      </c>
      <c r="R36" s="2" t="inlineStr">
        <is>
          <t>Svart skogssnigel</t>
        </is>
      </c>
      <c r="S36">
        <f>HYPERLINK("https://klasma.github.io/Logging_0884/artfynd/A 47473-2021 artfynd.xlsx", "A 47473-2021")</f>
        <v/>
      </c>
      <c r="T36">
        <f>HYPERLINK("https://klasma.github.io/Logging_0884/kartor/A 47473-2021 karta.png", "A 47473-2021")</f>
        <v/>
      </c>
      <c r="V36">
        <f>HYPERLINK("https://klasma.github.io/Logging_0884/klagomål/A 47473-2021 FSC-klagomål.docx", "A 47473-2021")</f>
        <v/>
      </c>
      <c r="W36">
        <f>HYPERLINK("https://klasma.github.io/Logging_0884/klagomålsmail/A 47473-2021 FSC-klagomål mail.docx", "A 47473-2021")</f>
        <v/>
      </c>
      <c r="X36">
        <f>HYPERLINK("https://klasma.github.io/Logging_0884/tillsyn/A 47473-2021 tillsynsbegäran.docx", "A 47473-2021")</f>
        <v/>
      </c>
      <c r="Y36">
        <f>HYPERLINK("https://klasma.github.io/Logging_0884/tillsynsmail/A 47473-2021 tillsynsbegäran mail.docx", "A 47473-2021")</f>
        <v/>
      </c>
    </row>
    <row r="37" ht="15" customHeight="1">
      <c r="A37" t="inlineStr">
        <is>
          <t>A 28852-2023</t>
        </is>
      </c>
      <c r="B37" s="1" t="n">
        <v>45104</v>
      </c>
      <c r="C37" s="1" t="n">
        <v>46204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46204</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13015-2023</t>
        </is>
      </c>
      <c r="B39" s="1" t="n">
        <v>45002</v>
      </c>
      <c r="C39" s="1" t="n">
        <v>46204</v>
      </c>
      <c r="D39" t="inlineStr">
        <is>
          <t>KALMAR LÄN</t>
        </is>
      </c>
      <c r="E39" t="inlineStr">
        <is>
          <t>VIMMERBY</t>
        </is>
      </c>
      <c r="G39" t="n">
        <v>3.2</v>
      </c>
      <c r="H39" t="n">
        <v>0</v>
      </c>
      <c r="I39" t="n">
        <v>0</v>
      </c>
      <c r="J39" t="n">
        <v>0</v>
      </c>
      <c r="K39" t="n">
        <v>1</v>
      </c>
      <c r="L39" t="n">
        <v>0</v>
      </c>
      <c r="M39" t="n">
        <v>0</v>
      </c>
      <c r="N39" t="n">
        <v>0</v>
      </c>
      <c r="O39" t="n">
        <v>1</v>
      </c>
      <c r="P39" t="n">
        <v>1</v>
      </c>
      <c r="Q39" t="n">
        <v>1</v>
      </c>
      <c r="R39" s="2" t="inlineStr">
        <is>
          <t>Bredbrämad bastardsvärmare</t>
        </is>
      </c>
      <c r="S39">
        <f>HYPERLINK("https://klasma.github.io/Logging_0884/artfynd/A 13015-2023 artfynd.xlsx", "A 13015-2023")</f>
        <v/>
      </c>
      <c r="T39">
        <f>HYPERLINK("https://klasma.github.io/Logging_0884/kartor/A 13015-2023 karta.png", "A 13015-2023")</f>
        <v/>
      </c>
      <c r="V39">
        <f>HYPERLINK("https://klasma.github.io/Logging_0884/klagomål/A 13015-2023 FSC-klagomål.docx", "A 13015-2023")</f>
        <v/>
      </c>
      <c r="W39">
        <f>HYPERLINK("https://klasma.github.io/Logging_0884/klagomålsmail/A 13015-2023 FSC-klagomål mail.docx", "A 13015-2023")</f>
        <v/>
      </c>
      <c r="X39">
        <f>HYPERLINK("https://klasma.github.io/Logging_0884/tillsyn/A 13015-2023 tillsynsbegäran.docx", "A 13015-2023")</f>
        <v/>
      </c>
      <c r="Y39">
        <f>HYPERLINK("https://klasma.github.io/Logging_0884/tillsynsmail/A 13015-2023 tillsynsbegäran mail.docx", "A 13015-2023")</f>
        <v/>
      </c>
    </row>
    <row r="40" ht="15" customHeight="1">
      <c r="A40" t="inlineStr">
        <is>
          <t>A 5527-2022</t>
        </is>
      </c>
      <c r="B40" s="1" t="n">
        <v>44595</v>
      </c>
      <c r="C40" s="1" t="n">
        <v>46204</v>
      </c>
      <c r="D40" t="inlineStr">
        <is>
          <t>KALMAR LÄN</t>
        </is>
      </c>
      <c r="E40" t="inlineStr">
        <is>
          <t>VIMMERBY</t>
        </is>
      </c>
      <c r="G40" t="n">
        <v>3.6</v>
      </c>
      <c r="H40" t="n">
        <v>0</v>
      </c>
      <c r="I40" t="n">
        <v>0</v>
      </c>
      <c r="J40" t="n">
        <v>1</v>
      </c>
      <c r="K40" t="n">
        <v>0</v>
      </c>
      <c r="L40" t="n">
        <v>0</v>
      </c>
      <c r="M40" t="n">
        <v>0</v>
      </c>
      <c r="N40" t="n">
        <v>0</v>
      </c>
      <c r="O40" t="n">
        <v>1</v>
      </c>
      <c r="P40" t="n">
        <v>0</v>
      </c>
      <c r="Q40" t="n">
        <v>1</v>
      </c>
      <c r="R40" s="2" t="inlineStr">
        <is>
          <t>Koralltaggsvamp</t>
        </is>
      </c>
      <c r="S40">
        <f>HYPERLINK("https://klasma.github.io/Logging_0884/artfynd/A 5527-2022 artfynd.xlsx", "A 5527-2022")</f>
        <v/>
      </c>
      <c r="T40">
        <f>HYPERLINK("https://klasma.github.io/Logging_0884/kartor/A 5527-2022 karta.png", "A 5527-2022")</f>
        <v/>
      </c>
      <c r="V40">
        <f>HYPERLINK("https://klasma.github.io/Logging_0884/klagomål/A 5527-2022 FSC-klagomål.docx", "A 5527-2022")</f>
        <v/>
      </c>
      <c r="W40">
        <f>HYPERLINK("https://klasma.github.io/Logging_0884/klagomålsmail/A 5527-2022 FSC-klagomål mail.docx", "A 5527-2022")</f>
        <v/>
      </c>
      <c r="X40">
        <f>HYPERLINK("https://klasma.github.io/Logging_0884/tillsyn/A 5527-2022 tillsynsbegäran.docx", "A 5527-2022")</f>
        <v/>
      </c>
      <c r="Y40">
        <f>HYPERLINK("https://klasma.github.io/Logging_0884/tillsynsmail/A 5527-2022 tillsynsbegäran mail.docx", "A 5527-2022")</f>
        <v/>
      </c>
    </row>
    <row r="41" ht="15" customHeight="1">
      <c r="A41" t="inlineStr">
        <is>
          <t>A 22266-2023</t>
        </is>
      </c>
      <c r="B41" s="1" t="n">
        <v>45070</v>
      </c>
      <c r="C41" s="1" t="n">
        <v>46204</v>
      </c>
      <c r="D41" t="inlineStr">
        <is>
          <t>KALMAR LÄN</t>
        </is>
      </c>
      <c r="E41" t="inlineStr">
        <is>
          <t>VIMMERBY</t>
        </is>
      </c>
      <c r="G41" t="n">
        <v>0.5</v>
      </c>
      <c r="H41" t="n">
        <v>0</v>
      </c>
      <c r="I41" t="n">
        <v>1</v>
      </c>
      <c r="J41" t="n">
        <v>0</v>
      </c>
      <c r="K41" t="n">
        <v>0</v>
      </c>
      <c r="L41" t="n">
        <v>0</v>
      </c>
      <c r="M41" t="n">
        <v>0</v>
      </c>
      <c r="N41" t="n">
        <v>0</v>
      </c>
      <c r="O41" t="n">
        <v>0</v>
      </c>
      <c r="P41" t="n">
        <v>0</v>
      </c>
      <c r="Q41" t="n">
        <v>1</v>
      </c>
      <c r="R41" s="2" t="inlineStr">
        <is>
          <t>Vätteros</t>
        </is>
      </c>
      <c r="S41">
        <f>HYPERLINK("https://klasma.github.io/Logging_0884/artfynd/A 22266-2023 artfynd.xlsx", "A 22266-2023")</f>
        <v/>
      </c>
      <c r="T41">
        <f>HYPERLINK("https://klasma.github.io/Logging_0884/kartor/A 22266-2023 karta.png", "A 22266-2023")</f>
        <v/>
      </c>
      <c r="V41">
        <f>HYPERLINK("https://klasma.github.io/Logging_0884/klagomål/A 22266-2023 FSC-klagomål.docx", "A 22266-2023")</f>
        <v/>
      </c>
      <c r="W41">
        <f>HYPERLINK("https://klasma.github.io/Logging_0884/klagomålsmail/A 22266-2023 FSC-klagomål mail.docx", "A 22266-2023")</f>
        <v/>
      </c>
      <c r="X41">
        <f>HYPERLINK("https://klasma.github.io/Logging_0884/tillsyn/A 22266-2023 tillsynsbegäran.docx", "A 22266-2023")</f>
        <v/>
      </c>
      <c r="Y41">
        <f>HYPERLINK("https://klasma.github.io/Logging_0884/tillsynsmail/A 22266-2023 tillsynsbegäran mail.docx", "A 22266-2023")</f>
        <v/>
      </c>
    </row>
    <row r="42" ht="15" customHeight="1">
      <c r="A42" t="inlineStr">
        <is>
          <t>A 53404-2025</t>
        </is>
      </c>
      <c r="B42" s="1" t="n">
        <v>45959</v>
      </c>
      <c r="C42" s="1" t="n">
        <v>46204</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53404-2025 artfynd.xlsx", "A 53404-2025")</f>
        <v/>
      </c>
      <c r="T42">
        <f>HYPERLINK("https://klasma.github.io/Logging_0884/kartor/A 53404-2025 karta.png", "A 53404-2025")</f>
        <v/>
      </c>
      <c r="U42">
        <f>HYPERLINK("https://klasma.github.io/Logging_0884/knärot/A 53404-2025 karta knärot.png", "A 53404-2025")</f>
        <v/>
      </c>
      <c r="V42">
        <f>HYPERLINK("https://klasma.github.io/Logging_0884/klagomål/A 53404-2025 FSC-klagomål.docx", "A 53404-2025")</f>
        <v/>
      </c>
      <c r="W42">
        <f>HYPERLINK("https://klasma.github.io/Logging_0884/klagomålsmail/A 53404-2025 FSC-klagomål mail.docx", "A 53404-2025")</f>
        <v/>
      </c>
      <c r="X42">
        <f>HYPERLINK("https://klasma.github.io/Logging_0884/tillsyn/A 53404-2025 tillsynsbegäran.docx", "A 53404-2025")</f>
        <v/>
      </c>
      <c r="Y42">
        <f>HYPERLINK("https://klasma.github.io/Logging_0884/tillsynsmail/A 53404-2025 tillsynsbegäran mail.docx", "A 53404-2025")</f>
        <v/>
      </c>
    </row>
    <row r="43" ht="15" customHeight="1">
      <c r="A43" t="inlineStr">
        <is>
          <t>A 61860-2024</t>
        </is>
      </c>
      <c r="B43" s="1" t="n">
        <v>45649</v>
      </c>
      <c r="C43" s="1" t="n">
        <v>46204</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32985-2023</t>
        </is>
      </c>
      <c r="B44" s="1" t="n">
        <v>45125</v>
      </c>
      <c r="C44" s="1" t="n">
        <v>46204</v>
      </c>
      <c r="D44" t="inlineStr">
        <is>
          <t>KALMAR LÄN</t>
        </is>
      </c>
      <c r="E44" t="inlineStr">
        <is>
          <t>VIMMERBY</t>
        </is>
      </c>
      <c r="G44" t="n">
        <v>1.9</v>
      </c>
      <c r="H44" t="n">
        <v>0</v>
      </c>
      <c r="I44" t="n">
        <v>0</v>
      </c>
      <c r="J44" t="n">
        <v>0</v>
      </c>
      <c r="K44" t="n">
        <v>1</v>
      </c>
      <c r="L44" t="n">
        <v>0</v>
      </c>
      <c r="M44" t="n">
        <v>0</v>
      </c>
      <c r="N44" t="n">
        <v>0</v>
      </c>
      <c r="O44" t="n">
        <v>1</v>
      </c>
      <c r="P44" t="n">
        <v>1</v>
      </c>
      <c r="Q44" t="n">
        <v>1</v>
      </c>
      <c r="R44" s="2" t="inlineStr">
        <is>
          <t>Ryl</t>
        </is>
      </c>
      <c r="S44">
        <f>HYPERLINK("https://klasma.github.io/Logging_0884/artfynd/A 32985-2023 artfynd.xlsx", "A 32985-2023")</f>
        <v/>
      </c>
      <c r="T44">
        <f>HYPERLINK("https://klasma.github.io/Logging_0884/kartor/A 32985-2023 karta.png", "A 32985-2023")</f>
        <v/>
      </c>
      <c r="V44">
        <f>HYPERLINK("https://klasma.github.io/Logging_0884/klagomål/A 32985-2023 FSC-klagomål.docx", "A 32985-2023")</f>
        <v/>
      </c>
      <c r="W44">
        <f>HYPERLINK("https://klasma.github.io/Logging_0884/klagomålsmail/A 32985-2023 FSC-klagomål mail.docx", "A 32985-2023")</f>
        <v/>
      </c>
      <c r="X44">
        <f>HYPERLINK("https://klasma.github.io/Logging_0884/tillsyn/A 32985-2023 tillsynsbegäran.docx", "A 32985-2023")</f>
        <v/>
      </c>
      <c r="Y44">
        <f>HYPERLINK("https://klasma.github.io/Logging_0884/tillsynsmail/A 32985-2023 tillsynsbegäran mail.docx", "A 32985-2023")</f>
        <v/>
      </c>
    </row>
    <row r="45" ht="15" customHeight="1">
      <c r="A45" t="inlineStr">
        <is>
          <t>A 57062-2025</t>
        </is>
      </c>
      <c r="B45" s="1" t="n">
        <v>45979</v>
      </c>
      <c r="C45" s="1" t="n">
        <v>46204</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15122-2024</t>
        </is>
      </c>
      <c r="B46" s="1" t="n">
        <v>45399</v>
      </c>
      <c r="C46" s="1" t="n">
        <v>46204</v>
      </c>
      <c r="D46" t="inlineStr">
        <is>
          <t>KALMAR LÄN</t>
        </is>
      </c>
      <c r="E46" t="inlineStr">
        <is>
          <t>VIMMERBY</t>
        </is>
      </c>
      <c r="G46" t="n">
        <v>1.7</v>
      </c>
      <c r="H46" t="n">
        <v>0</v>
      </c>
      <c r="I46" t="n">
        <v>0</v>
      </c>
      <c r="J46" t="n">
        <v>0</v>
      </c>
      <c r="K46" t="n">
        <v>1</v>
      </c>
      <c r="L46" t="n">
        <v>0</v>
      </c>
      <c r="M46" t="n">
        <v>0</v>
      </c>
      <c r="N46" t="n">
        <v>0</v>
      </c>
      <c r="O46" t="n">
        <v>1</v>
      </c>
      <c r="P46" t="n">
        <v>1</v>
      </c>
      <c r="Q46" t="n">
        <v>1</v>
      </c>
      <c r="R46" s="2" t="inlineStr">
        <is>
          <t>Sågfibbla</t>
        </is>
      </c>
      <c r="S46">
        <f>HYPERLINK("https://klasma.github.io/Logging_0884/artfynd/A 15122-2024 artfynd.xlsx", "A 15122-2024")</f>
        <v/>
      </c>
      <c r="T46">
        <f>HYPERLINK("https://klasma.github.io/Logging_0884/kartor/A 15122-2024 karta.png", "A 15122-2024")</f>
        <v/>
      </c>
      <c r="V46">
        <f>HYPERLINK("https://klasma.github.io/Logging_0884/klagomål/A 15122-2024 FSC-klagomål.docx", "A 15122-2024")</f>
        <v/>
      </c>
      <c r="W46">
        <f>HYPERLINK("https://klasma.github.io/Logging_0884/klagomålsmail/A 15122-2024 FSC-klagomål mail.docx", "A 15122-2024")</f>
        <v/>
      </c>
      <c r="X46">
        <f>HYPERLINK("https://klasma.github.io/Logging_0884/tillsyn/A 15122-2024 tillsynsbegäran.docx", "A 15122-2024")</f>
        <v/>
      </c>
      <c r="Y46">
        <f>HYPERLINK("https://klasma.github.io/Logging_0884/tillsynsmail/A 15122-2024 tillsynsbegäran mail.docx", "A 15122-2024")</f>
        <v/>
      </c>
    </row>
    <row r="47" ht="15" customHeight="1">
      <c r="A47" t="inlineStr">
        <is>
          <t>A 17511-2024</t>
        </is>
      </c>
      <c r="B47" s="1" t="n">
        <v>45415</v>
      </c>
      <c r="C47" s="1" t="n">
        <v>46204</v>
      </c>
      <c r="D47" t="inlineStr">
        <is>
          <t>KALMAR LÄN</t>
        </is>
      </c>
      <c r="E47" t="inlineStr">
        <is>
          <t>VIMMERBY</t>
        </is>
      </c>
      <c r="G47" t="n">
        <v>5.3</v>
      </c>
      <c r="H47" t="n">
        <v>0</v>
      </c>
      <c r="I47" t="n">
        <v>0</v>
      </c>
      <c r="J47" t="n">
        <v>1</v>
      </c>
      <c r="K47" t="n">
        <v>0</v>
      </c>
      <c r="L47" t="n">
        <v>0</v>
      </c>
      <c r="M47" t="n">
        <v>0</v>
      </c>
      <c r="N47" t="n">
        <v>0</v>
      </c>
      <c r="O47" t="n">
        <v>1</v>
      </c>
      <c r="P47" t="n">
        <v>0</v>
      </c>
      <c r="Q47" t="n">
        <v>1</v>
      </c>
      <c r="R47" s="2" t="inlineStr">
        <is>
          <t>Sydspärgel</t>
        </is>
      </c>
      <c r="S47">
        <f>HYPERLINK("https://klasma.github.io/Logging_0884/artfynd/A 17511-2024 artfynd.xlsx", "A 17511-2024")</f>
        <v/>
      </c>
      <c r="T47">
        <f>HYPERLINK("https://klasma.github.io/Logging_0884/kartor/A 17511-2024 karta.png", "A 17511-2024")</f>
        <v/>
      </c>
      <c r="V47">
        <f>HYPERLINK("https://klasma.github.io/Logging_0884/klagomål/A 17511-2024 FSC-klagomål.docx", "A 17511-2024")</f>
        <v/>
      </c>
      <c r="W47">
        <f>HYPERLINK("https://klasma.github.io/Logging_0884/klagomålsmail/A 17511-2024 FSC-klagomål mail.docx", "A 17511-2024")</f>
        <v/>
      </c>
      <c r="X47">
        <f>HYPERLINK("https://klasma.github.io/Logging_0884/tillsyn/A 17511-2024 tillsynsbegäran.docx", "A 17511-2024")</f>
        <v/>
      </c>
      <c r="Y47">
        <f>HYPERLINK("https://klasma.github.io/Logging_0884/tillsynsmail/A 17511-2024 tillsynsbegäran mail.docx", "A 17511-2024")</f>
        <v/>
      </c>
    </row>
    <row r="48" ht="15" customHeight="1">
      <c r="A48" t="inlineStr">
        <is>
          <t>A 6358-2022</t>
        </is>
      </c>
      <c r="B48" s="1" t="n">
        <v>44600</v>
      </c>
      <c r="C48" s="1" t="n">
        <v>46204</v>
      </c>
      <c r="D48" t="inlineStr">
        <is>
          <t>KALMAR LÄN</t>
        </is>
      </c>
      <c r="E48" t="inlineStr">
        <is>
          <t>VIMMERBY</t>
        </is>
      </c>
      <c r="G48" t="n">
        <v>1.7</v>
      </c>
      <c r="H48" t="n">
        <v>1</v>
      </c>
      <c r="I48" t="n">
        <v>1</v>
      </c>
      <c r="J48" t="n">
        <v>0</v>
      </c>
      <c r="K48" t="n">
        <v>0</v>
      </c>
      <c r="L48" t="n">
        <v>0</v>
      </c>
      <c r="M48" t="n">
        <v>0</v>
      </c>
      <c r="N48" t="n">
        <v>0</v>
      </c>
      <c r="O48" t="n">
        <v>0</v>
      </c>
      <c r="P48" t="n">
        <v>0</v>
      </c>
      <c r="Q48" t="n">
        <v>1</v>
      </c>
      <c r="R48" s="2" t="inlineStr">
        <is>
          <t>Ekoxe</t>
        </is>
      </c>
      <c r="S48">
        <f>HYPERLINK("https://klasma.github.io/Logging_0884/artfynd/A 6358-2022 artfynd.xlsx", "A 6358-2022")</f>
        <v/>
      </c>
      <c r="T48">
        <f>HYPERLINK("https://klasma.github.io/Logging_0884/kartor/A 6358-2022 karta.png", "A 6358-2022")</f>
        <v/>
      </c>
      <c r="V48">
        <f>HYPERLINK("https://klasma.github.io/Logging_0884/klagomål/A 6358-2022 FSC-klagomål.docx", "A 6358-2022")</f>
        <v/>
      </c>
      <c r="W48">
        <f>HYPERLINK("https://klasma.github.io/Logging_0884/klagomålsmail/A 6358-2022 FSC-klagomål mail.docx", "A 6358-2022")</f>
        <v/>
      </c>
      <c r="X48">
        <f>HYPERLINK("https://klasma.github.io/Logging_0884/tillsyn/A 6358-2022 tillsynsbegäran.docx", "A 6358-2022")</f>
        <v/>
      </c>
      <c r="Y48">
        <f>HYPERLINK("https://klasma.github.io/Logging_0884/tillsynsmail/A 6358-2022 tillsynsbegäran mail.docx", "A 6358-2022")</f>
        <v/>
      </c>
    </row>
    <row r="49" ht="15" customHeight="1">
      <c r="A49" t="inlineStr">
        <is>
          <t>A 1201-2025</t>
        </is>
      </c>
      <c r="B49" s="1" t="n">
        <v>45667</v>
      </c>
      <c r="C49" s="1" t="n">
        <v>46204</v>
      </c>
      <c r="D49" t="inlineStr">
        <is>
          <t>KALMAR LÄN</t>
        </is>
      </c>
      <c r="E49" t="inlineStr">
        <is>
          <t>VIMMERBY</t>
        </is>
      </c>
      <c r="G49" t="n">
        <v>6.4</v>
      </c>
      <c r="H49" t="n">
        <v>1</v>
      </c>
      <c r="I49" t="n">
        <v>0</v>
      </c>
      <c r="J49" t="n">
        <v>0</v>
      </c>
      <c r="K49" t="n">
        <v>1</v>
      </c>
      <c r="L49" t="n">
        <v>0</v>
      </c>
      <c r="M49" t="n">
        <v>0</v>
      </c>
      <c r="N49" t="n">
        <v>0</v>
      </c>
      <c r="O49" t="n">
        <v>1</v>
      </c>
      <c r="P49" t="n">
        <v>1</v>
      </c>
      <c r="Q49" t="n">
        <v>1</v>
      </c>
      <c r="R49" s="2" t="inlineStr">
        <is>
          <t>Knärot</t>
        </is>
      </c>
      <c r="S49">
        <f>HYPERLINK("https://klasma.github.io/Logging_0884/artfynd/A 1201-2025 artfynd.xlsx", "A 1201-2025")</f>
        <v/>
      </c>
      <c r="T49">
        <f>HYPERLINK("https://klasma.github.io/Logging_0884/kartor/A 1201-2025 karta.png", "A 1201-2025")</f>
        <v/>
      </c>
      <c r="U49">
        <f>HYPERLINK("https://klasma.github.io/Logging_0884/knärot/A 1201-2025 karta knärot.png", "A 1201-2025")</f>
        <v/>
      </c>
      <c r="V49">
        <f>HYPERLINK("https://klasma.github.io/Logging_0884/klagomål/A 1201-2025 FSC-klagomål.docx", "A 1201-2025")</f>
        <v/>
      </c>
      <c r="W49">
        <f>HYPERLINK("https://klasma.github.io/Logging_0884/klagomålsmail/A 1201-2025 FSC-klagomål mail.docx", "A 1201-2025")</f>
        <v/>
      </c>
      <c r="X49">
        <f>HYPERLINK("https://klasma.github.io/Logging_0884/tillsyn/A 1201-2025 tillsynsbegäran.docx", "A 1201-2025")</f>
        <v/>
      </c>
      <c r="Y49">
        <f>HYPERLINK("https://klasma.github.io/Logging_0884/tillsynsmail/A 1201-2025 tillsynsbegäran mail.docx", "A 1201-2025")</f>
        <v/>
      </c>
    </row>
    <row r="50" ht="15" customHeight="1">
      <c r="A50" t="inlineStr">
        <is>
          <t>A 44515-2024</t>
        </is>
      </c>
      <c r="B50" s="1" t="n">
        <v>45574</v>
      </c>
      <c r="C50" s="1" t="n">
        <v>46204</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29238-2026</t>
        </is>
      </c>
      <c r="B51" s="1" t="n">
        <v>46202</v>
      </c>
      <c r="C51" s="1" t="n">
        <v>46204</v>
      </c>
      <c r="D51" t="inlineStr">
        <is>
          <t>KALMAR LÄN</t>
        </is>
      </c>
      <c r="E51" t="inlineStr">
        <is>
          <t>VIMMERBY</t>
        </is>
      </c>
      <c r="G51" t="n">
        <v>2.2</v>
      </c>
      <c r="H51" t="n">
        <v>0</v>
      </c>
      <c r="I51" t="n">
        <v>1</v>
      </c>
      <c r="J51" t="n">
        <v>0</v>
      </c>
      <c r="K51" t="n">
        <v>0</v>
      </c>
      <c r="L51" t="n">
        <v>0</v>
      </c>
      <c r="M51" t="n">
        <v>0</v>
      </c>
      <c r="N51" t="n">
        <v>0</v>
      </c>
      <c r="O51" t="n">
        <v>0</v>
      </c>
      <c r="P51" t="n">
        <v>0</v>
      </c>
      <c r="Q51" t="n">
        <v>1</v>
      </c>
      <c r="R51" s="2" t="inlineStr">
        <is>
          <t>Springkorn</t>
        </is>
      </c>
      <c r="S51">
        <f>HYPERLINK("https://klasma.github.io/Logging_0884/artfynd/A 29238-2026 artfynd.xlsx", "A 29238-2026")</f>
        <v/>
      </c>
      <c r="T51">
        <f>HYPERLINK("https://klasma.github.io/Logging_0884/kartor/A 29238-2026 karta.png", "A 29238-2026")</f>
        <v/>
      </c>
      <c r="V51">
        <f>HYPERLINK("https://klasma.github.io/Logging_0884/klagomål/A 29238-2026 FSC-klagomål.docx", "A 29238-2026")</f>
        <v/>
      </c>
      <c r="W51">
        <f>HYPERLINK("https://klasma.github.io/Logging_0884/klagomålsmail/A 29238-2026 FSC-klagomål mail.docx", "A 29238-2026")</f>
        <v/>
      </c>
      <c r="X51">
        <f>HYPERLINK("https://klasma.github.io/Logging_0884/tillsyn/A 29238-2026 tillsynsbegäran.docx", "A 29238-2026")</f>
        <v/>
      </c>
      <c r="Y51">
        <f>HYPERLINK("https://klasma.github.io/Logging_0884/tillsynsmail/A 29238-2026 tillsynsbegäran mail.docx", "A 29238-2026")</f>
        <v/>
      </c>
    </row>
    <row r="52" ht="15" customHeight="1">
      <c r="A52" t="inlineStr">
        <is>
          <t>A 56754-2021</t>
        </is>
      </c>
      <c r="B52" s="1" t="n">
        <v>44481</v>
      </c>
      <c r="C52" s="1" t="n">
        <v>46204</v>
      </c>
      <c r="D52" t="inlineStr">
        <is>
          <t>KALMAR LÄN</t>
        </is>
      </c>
      <c r="E52" t="inlineStr">
        <is>
          <t>VIMMERBY</t>
        </is>
      </c>
      <c r="G52" t="n">
        <v>1.4</v>
      </c>
      <c r="H52" t="n">
        <v>0</v>
      </c>
      <c r="I52" t="n">
        <v>0</v>
      </c>
      <c r="J52" t="n">
        <v>0</v>
      </c>
      <c r="K52" t="n">
        <v>0</v>
      </c>
      <c r="L52" t="n">
        <v>0</v>
      </c>
      <c r="M52" t="n">
        <v>0</v>
      </c>
      <c r="N52" t="n">
        <v>0</v>
      </c>
      <c r="O52" t="n">
        <v>0</v>
      </c>
      <c r="P52" t="n">
        <v>0</v>
      </c>
      <c r="Q52" t="n">
        <v>0</v>
      </c>
      <c r="R52" s="2" t="inlineStr"/>
    </row>
    <row r="53" ht="15" customHeight="1">
      <c r="A53" t="inlineStr">
        <is>
          <t>A 47205-2021</t>
        </is>
      </c>
      <c r="B53" s="1" t="n">
        <v>44447</v>
      </c>
      <c r="C53" s="1" t="n">
        <v>46204</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59070-2021</t>
        </is>
      </c>
      <c r="B54" s="1" t="n">
        <v>44490</v>
      </c>
      <c r="C54" s="1" t="n">
        <v>46204</v>
      </c>
      <c r="D54" t="inlineStr">
        <is>
          <t>KALMAR LÄN</t>
        </is>
      </c>
      <c r="E54" t="inlineStr">
        <is>
          <t>VIMMERBY</t>
        </is>
      </c>
      <c r="G54" t="n">
        <v>1.7</v>
      </c>
      <c r="H54" t="n">
        <v>0</v>
      </c>
      <c r="I54" t="n">
        <v>0</v>
      </c>
      <c r="J54" t="n">
        <v>0</v>
      </c>
      <c r="K54" t="n">
        <v>0</v>
      </c>
      <c r="L54" t="n">
        <v>0</v>
      </c>
      <c r="M54" t="n">
        <v>0</v>
      </c>
      <c r="N54" t="n">
        <v>0</v>
      </c>
      <c r="O54" t="n">
        <v>0</v>
      </c>
      <c r="P54" t="n">
        <v>0</v>
      </c>
      <c r="Q54" t="n">
        <v>0</v>
      </c>
      <c r="R54" s="2" t="inlineStr"/>
    </row>
    <row r="55" ht="15" customHeight="1">
      <c r="A55" t="inlineStr">
        <is>
          <t>A 8908-2022</t>
        </is>
      </c>
      <c r="B55" s="1" t="n">
        <v>44614</v>
      </c>
      <c r="C55" s="1" t="n">
        <v>46204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16283-2022</t>
        </is>
      </c>
      <c r="B56" s="1" t="n">
        <v>44670</v>
      </c>
      <c r="C56" s="1" t="n">
        <v>46204</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38348-2021</t>
        </is>
      </c>
      <c r="B57" s="1" t="n">
        <v>44406</v>
      </c>
      <c r="C57" s="1" t="n">
        <v>46204</v>
      </c>
      <c r="D57" t="inlineStr">
        <is>
          <t>KALMAR LÄN</t>
        </is>
      </c>
      <c r="E57" t="inlineStr">
        <is>
          <t>VIMMERBY</t>
        </is>
      </c>
      <c r="G57" t="n">
        <v>2.2</v>
      </c>
      <c r="H57" t="n">
        <v>0</v>
      </c>
      <c r="I57" t="n">
        <v>0</v>
      </c>
      <c r="J57" t="n">
        <v>0</v>
      </c>
      <c r="K57" t="n">
        <v>0</v>
      </c>
      <c r="L57" t="n">
        <v>0</v>
      </c>
      <c r="M57" t="n">
        <v>0</v>
      </c>
      <c r="N57" t="n">
        <v>0</v>
      </c>
      <c r="O57" t="n">
        <v>0</v>
      </c>
      <c r="P57" t="n">
        <v>0</v>
      </c>
      <c r="Q57" t="n">
        <v>0</v>
      </c>
      <c r="R57" s="2" t="inlineStr"/>
    </row>
    <row r="58" ht="15" customHeight="1">
      <c r="A58" t="inlineStr">
        <is>
          <t>A 63926-2021</t>
        </is>
      </c>
      <c r="B58" s="1" t="n">
        <v>44509</v>
      </c>
      <c r="C58" s="1" t="n">
        <v>46204</v>
      </c>
      <c r="D58" t="inlineStr">
        <is>
          <t>KALMAR LÄN</t>
        </is>
      </c>
      <c r="E58" t="inlineStr">
        <is>
          <t>VIMMERBY</t>
        </is>
      </c>
      <c r="G58" t="n">
        <v>0.7</v>
      </c>
      <c r="H58" t="n">
        <v>0</v>
      </c>
      <c r="I58" t="n">
        <v>0</v>
      </c>
      <c r="J58" t="n">
        <v>0</v>
      </c>
      <c r="K58" t="n">
        <v>0</v>
      </c>
      <c r="L58" t="n">
        <v>0</v>
      </c>
      <c r="M58" t="n">
        <v>0</v>
      </c>
      <c r="N58" t="n">
        <v>0</v>
      </c>
      <c r="O58" t="n">
        <v>0</v>
      </c>
      <c r="P58" t="n">
        <v>0</v>
      </c>
      <c r="Q58" t="n">
        <v>0</v>
      </c>
      <c r="R58" s="2" t="inlineStr"/>
    </row>
    <row r="59" ht="15" customHeight="1">
      <c r="A59" t="inlineStr">
        <is>
          <t>A 56378-2021</t>
        </is>
      </c>
      <c r="B59" s="1" t="n">
        <v>44480</v>
      </c>
      <c r="C59" s="1" t="n">
        <v>46204</v>
      </c>
      <c r="D59" t="inlineStr">
        <is>
          <t>KALMAR LÄN</t>
        </is>
      </c>
      <c r="E59" t="inlineStr">
        <is>
          <t>VIMMERBY</t>
        </is>
      </c>
      <c r="G59" t="n">
        <v>1.1</v>
      </c>
      <c r="H59" t="n">
        <v>0</v>
      </c>
      <c r="I59" t="n">
        <v>0</v>
      </c>
      <c r="J59" t="n">
        <v>0</v>
      </c>
      <c r="K59" t="n">
        <v>0</v>
      </c>
      <c r="L59" t="n">
        <v>0</v>
      </c>
      <c r="M59" t="n">
        <v>0</v>
      </c>
      <c r="N59" t="n">
        <v>0</v>
      </c>
      <c r="O59" t="n">
        <v>0</v>
      </c>
      <c r="P59" t="n">
        <v>0</v>
      </c>
      <c r="Q59" t="n">
        <v>0</v>
      </c>
      <c r="R59" s="2" t="inlineStr"/>
    </row>
    <row r="60" ht="15" customHeight="1">
      <c r="A60" t="inlineStr">
        <is>
          <t>A 3426-2022</t>
        </is>
      </c>
      <c r="B60" s="1" t="n">
        <v>44585</v>
      </c>
      <c r="C60" s="1" t="n">
        <v>46204</v>
      </c>
      <c r="D60" t="inlineStr">
        <is>
          <t>KALMAR LÄN</t>
        </is>
      </c>
      <c r="E60" t="inlineStr">
        <is>
          <t>VIMMERBY</t>
        </is>
      </c>
      <c r="G60" t="n">
        <v>1.8</v>
      </c>
      <c r="H60" t="n">
        <v>0</v>
      </c>
      <c r="I60" t="n">
        <v>0</v>
      </c>
      <c r="J60" t="n">
        <v>0</v>
      </c>
      <c r="K60" t="n">
        <v>0</v>
      </c>
      <c r="L60" t="n">
        <v>0</v>
      </c>
      <c r="M60" t="n">
        <v>0</v>
      </c>
      <c r="N60" t="n">
        <v>0</v>
      </c>
      <c r="O60" t="n">
        <v>0</v>
      </c>
      <c r="P60" t="n">
        <v>0</v>
      </c>
      <c r="Q60" t="n">
        <v>0</v>
      </c>
      <c r="R60" s="2" t="inlineStr"/>
    </row>
    <row r="61" ht="15" customHeight="1">
      <c r="A61" t="inlineStr">
        <is>
          <t>A 40728-2022</t>
        </is>
      </c>
      <c r="B61" s="1" t="n">
        <v>44824</v>
      </c>
      <c r="C61" s="1" t="n">
        <v>46204</v>
      </c>
      <c r="D61" t="inlineStr">
        <is>
          <t>KALMAR LÄN</t>
        </is>
      </c>
      <c r="E61" t="inlineStr">
        <is>
          <t>VIMMERBY</t>
        </is>
      </c>
      <c r="G61" t="n">
        <v>1.1</v>
      </c>
      <c r="H61" t="n">
        <v>0</v>
      </c>
      <c r="I61" t="n">
        <v>0</v>
      </c>
      <c r="J61" t="n">
        <v>0</v>
      </c>
      <c r="K61" t="n">
        <v>0</v>
      </c>
      <c r="L61" t="n">
        <v>0</v>
      </c>
      <c r="M61" t="n">
        <v>0</v>
      </c>
      <c r="N61" t="n">
        <v>0</v>
      </c>
      <c r="O61" t="n">
        <v>0</v>
      </c>
      <c r="P61" t="n">
        <v>0</v>
      </c>
      <c r="Q61" t="n">
        <v>0</v>
      </c>
      <c r="R61" s="2" t="inlineStr"/>
    </row>
    <row r="62" ht="15" customHeight="1">
      <c r="A62" t="inlineStr">
        <is>
          <t>A 40073-2021</t>
        </is>
      </c>
      <c r="B62" s="1" t="n">
        <v>44418</v>
      </c>
      <c r="C62" s="1" t="n">
        <v>46204</v>
      </c>
      <c r="D62" t="inlineStr">
        <is>
          <t>KALMAR LÄN</t>
        </is>
      </c>
      <c r="E62" t="inlineStr">
        <is>
          <t>VIMMERBY</t>
        </is>
      </c>
      <c r="G62" t="n">
        <v>1</v>
      </c>
      <c r="H62" t="n">
        <v>0</v>
      </c>
      <c r="I62" t="n">
        <v>0</v>
      </c>
      <c r="J62" t="n">
        <v>0</v>
      </c>
      <c r="K62" t="n">
        <v>0</v>
      </c>
      <c r="L62" t="n">
        <v>0</v>
      </c>
      <c r="M62" t="n">
        <v>0</v>
      </c>
      <c r="N62" t="n">
        <v>0</v>
      </c>
      <c r="O62" t="n">
        <v>0</v>
      </c>
      <c r="P62" t="n">
        <v>0</v>
      </c>
      <c r="Q62" t="n">
        <v>0</v>
      </c>
      <c r="R62" s="2" t="inlineStr"/>
    </row>
    <row r="63" ht="15" customHeight="1">
      <c r="A63" t="inlineStr">
        <is>
          <t>A 33051-2022</t>
        </is>
      </c>
      <c r="B63" s="1" t="n">
        <v>44785</v>
      </c>
      <c r="C63" s="1" t="n">
        <v>46204</v>
      </c>
      <c r="D63" t="inlineStr">
        <is>
          <t>KALMAR LÄN</t>
        </is>
      </c>
      <c r="E63" t="inlineStr">
        <is>
          <t>VIMMERBY</t>
        </is>
      </c>
      <c r="G63" t="n">
        <v>0.3</v>
      </c>
      <c r="H63" t="n">
        <v>0</v>
      </c>
      <c r="I63" t="n">
        <v>0</v>
      </c>
      <c r="J63" t="n">
        <v>0</v>
      </c>
      <c r="K63" t="n">
        <v>0</v>
      </c>
      <c r="L63" t="n">
        <v>0</v>
      </c>
      <c r="M63" t="n">
        <v>0</v>
      </c>
      <c r="N63" t="n">
        <v>0</v>
      </c>
      <c r="O63" t="n">
        <v>0</v>
      </c>
      <c r="P63" t="n">
        <v>0</v>
      </c>
      <c r="Q63" t="n">
        <v>0</v>
      </c>
      <c r="R63" s="2" t="inlineStr"/>
    </row>
    <row r="64" ht="15" customHeight="1">
      <c r="A64" t="inlineStr">
        <is>
          <t>A 2183-2022</t>
        </is>
      </c>
      <c r="B64" s="1" t="n">
        <v>44578</v>
      </c>
      <c r="C64" s="1" t="n">
        <v>46204</v>
      </c>
      <c r="D64" t="inlineStr">
        <is>
          <t>KALMAR LÄN</t>
        </is>
      </c>
      <c r="E64" t="inlineStr">
        <is>
          <t>VIMMERBY</t>
        </is>
      </c>
      <c r="G64" t="n">
        <v>4.8</v>
      </c>
      <c r="H64" t="n">
        <v>0</v>
      </c>
      <c r="I64" t="n">
        <v>0</v>
      </c>
      <c r="J64" t="n">
        <v>0</v>
      </c>
      <c r="K64" t="n">
        <v>0</v>
      </c>
      <c r="L64" t="n">
        <v>0</v>
      </c>
      <c r="M64" t="n">
        <v>0</v>
      </c>
      <c r="N64" t="n">
        <v>0</v>
      </c>
      <c r="O64" t="n">
        <v>0</v>
      </c>
      <c r="P64" t="n">
        <v>0</v>
      </c>
      <c r="Q64" t="n">
        <v>0</v>
      </c>
      <c r="R64" s="2" t="inlineStr"/>
    </row>
    <row r="65" ht="15" customHeight="1">
      <c r="A65" t="inlineStr">
        <is>
          <t>A 65670-2021</t>
        </is>
      </c>
      <c r="B65" s="1" t="n">
        <v>44516</v>
      </c>
      <c r="C65" s="1" t="n">
        <v>46204</v>
      </c>
      <c r="D65" t="inlineStr">
        <is>
          <t>KALMAR LÄN</t>
        </is>
      </c>
      <c r="E65" t="inlineStr">
        <is>
          <t>VIMMERBY</t>
        </is>
      </c>
      <c r="G65" t="n">
        <v>1.9</v>
      </c>
      <c r="H65" t="n">
        <v>0</v>
      </c>
      <c r="I65" t="n">
        <v>0</v>
      </c>
      <c r="J65" t="n">
        <v>0</v>
      </c>
      <c r="K65" t="n">
        <v>0</v>
      </c>
      <c r="L65" t="n">
        <v>0</v>
      </c>
      <c r="M65" t="n">
        <v>0</v>
      </c>
      <c r="N65" t="n">
        <v>0</v>
      </c>
      <c r="O65" t="n">
        <v>0</v>
      </c>
      <c r="P65" t="n">
        <v>0</v>
      </c>
      <c r="Q65" t="n">
        <v>0</v>
      </c>
      <c r="R65" s="2" t="inlineStr"/>
    </row>
    <row r="66" ht="15" customHeight="1">
      <c r="A66" t="inlineStr">
        <is>
          <t>A 41438-2022</t>
        </is>
      </c>
      <c r="B66" s="1" t="n">
        <v>44826</v>
      </c>
      <c r="C66" s="1" t="n">
        <v>46204</v>
      </c>
      <c r="D66" t="inlineStr">
        <is>
          <t>KALMAR LÄN</t>
        </is>
      </c>
      <c r="E66" t="inlineStr">
        <is>
          <t>VIMMERBY</t>
        </is>
      </c>
      <c r="G66" t="n">
        <v>3.1</v>
      </c>
      <c r="H66" t="n">
        <v>0</v>
      </c>
      <c r="I66" t="n">
        <v>0</v>
      </c>
      <c r="J66" t="n">
        <v>0</v>
      </c>
      <c r="K66" t="n">
        <v>0</v>
      </c>
      <c r="L66" t="n">
        <v>0</v>
      </c>
      <c r="M66" t="n">
        <v>0</v>
      </c>
      <c r="N66" t="n">
        <v>0</v>
      </c>
      <c r="O66" t="n">
        <v>0</v>
      </c>
      <c r="P66" t="n">
        <v>0</v>
      </c>
      <c r="Q66" t="n">
        <v>0</v>
      </c>
      <c r="R66" s="2" t="inlineStr"/>
    </row>
    <row r="67" ht="15" customHeight="1">
      <c r="A67" t="inlineStr">
        <is>
          <t>A 50809-2022</t>
        </is>
      </c>
      <c r="B67" s="1" t="n">
        <v>44862</v>
      </c>
      <c r="C67" s="1" t="n">
        <v>46204</v>
      </c>
      <c r="D67" t="inlineStr">
        <is>
          <t>KALMAR LÄN</t>
        </is>
      </c>
      <c r="E67" t="inlineStr">
        <is>
          <t>VIMMERBY</t>
        </is>
      </c>
      <c r="G67" t="n">
        <v>3.7</v>
      </c>
      <c r="H67" t="n">
        <v>0</v>
      </c>
      <c r="I67" t="n">
        <v>0</v>
      </c>
      <c r="J67" t="n">
        <v>0</v>
      </c>
      <c r="K67" t="n">
        <v>0</v>
      </c>
      <c r="L67" t="n">
        <v>0</v>
      </c>
      <c r="M67" t="n">
        <v>0</v>
      </c>
      <c r="N67" t="n">
        <v>0</v>
      </c>
      <c r="O67" t="n">
        <v>0</v>
      </c>
      <c r="P67" t="n">
        <v>0</v>
      </c>
      <c r="Q67" t="n">
        <v>0</v>
      </c>
      <c r="R67" s="2" t="inlineStr"/>
    </row>
    <row r="68" ht="15" customHeight="1">
      <c r="A68" t="inlineStr">
        <is>
          <t>A 7049-2022</t>
        </is>
      </c>
      <c r="B68" s="1" t="n">
        <v>44603</v>
      </c>
      <c r="C68" s="1" t="n">
        <v>46204</v>
      </c>
      <c r="D68" t="inlineStr">
        <is>
          <t>KALMAR LÄN</t>
        </is>
      </c>
      <c r="E68" t="inlineStr">
        <is>
          <t>VIMMERBY</t>
        </is>
      </c>
      <c r="G68" t="n">
        <v>2.3</v>
      </c>
      <c r="H68" t="n">
        <v>0</v>
      </c>
      <c r="I68" t="n">
        <v>0</v>
      </c>
      <c r="J68" t="n">
        <v>0</v>
      </c>
      <c r="K68" t="n">
        <v>0</v>
      </c>
      <c r="L68" t="n">
        <v>0</v>
      </c>
      <c r="M68" t="n">
        <v>0</v>
      </c>
      <c r="N68" t="n">
        <v>0</v>
      </c>
      <c r="O68" t="n">
        <v>0</v>
      </c>
      <c r="P68" t="n">
        <v>0</v>
      </c>
      <c r="Q68" t="n">
        <v>0</v>
      </c>
      <c r="R68" s="2" t="inlineStr"/>
    </row>
    <row r="69" ht="15" customHeight="1">
      <c r="A69" t="inlineStr">
        <is>
          <t>A 4296-2022</t>
        </is>
      </c>
      <c r="B69" s="1" t="n">
        <v>44588</v>
      </c>
      <c r="C69" s="1" t="n">
        <v>46204</v>
      </c>
      <c r="D69" t="inlineStr">
        <is>
          <t>KALMAR LÄN</t>
        </is>
      </c>
      <c r="E69" t="inlineStr">
        <is>
          <t>VIMMERBY</t>
        </is>
      </c>
      <c r="G69" t="n">
        <v>1.8</v>
      </c>
      <c r="H69" t="n">
        <v>0</v>
      </c>
      <c r="I69" t="n">
        <v>0</v>
      </c>
      <c r="J69" t="n">
        <v>0</v>
      </c>
      <c r="K69" t="n">
        <v>0</v>
      </c>
      <c r="L69" t="n">
        <v>0</v>
      </c>
      <c r="M69" t="n">
        <v>0</v>
      </c>
      <c r="N69" t="n">
        <v>0</v>
      </c>
      <c r="O69" t="n">
        <v>0</v>
      </c>
      <c r="P69" t="n">
        <v>0</v>
      </c>
      <c r="Q69" t="n">
        <v>0</v>
      </c>
      <c r="R69" s="2" t="inlineStr"/>
    </row>
    <row r="70" ht="15" customHeight="1">
      <c r="A70" t="inlineStr">
        <is>
          <t>A 38086-2021</t>
        </is>
      </c>
      <c r="B70" s="1" t="n">
        <v>44404</v>
      </c>
      <c r="C70" s="1" t="n">
        <v>46204</v>
      </c>
      <c r="D70" t="inlineStr">
        <is>
          <t>KALMAR LÄN</t>
        </is>
      </c>
      <c r="E70" t="inlineStr">
        <is>
          <t>VIMMERBY</t>
        </is>
      </c>
      <c r="G70" t="n">
        <v>4.4</v>
      </c>
      <c r="H70" t="n">
        <v>0</v>
      </c>
      <c r="I70" t="n">
        <v>0</v>
      </c>
      <c r="J70" t="n">
        <v>0</v>
      </c>
      <c r="K70" t="n">
        <v>0</v>
      </c>
      <c r="L70" t="n">
        <v>0</v>
      </c>
      <c r="M70" t="n">
        <v>0</v>
      </c>
      <c r="N70" t="n">
        <v>0</v>
      </c>
      <c r="O70" t="n">
        <v>0</v>
      </c>
      <c r="P70" t="n">
        <v>0</v>
      </c>
      <c r="Q70" t="n">
        <v>0</v>
      </c>
      <c r="R70" s="2" t="inlineStr"/>
    </row>
    <row r="71" ht="15" customHeight="1">
      <c r="A71" t="inlineStr">
        <is>
          <t>A 57416-2021</t>
        </is>
      </c>
      <c r="B71" s="1" t="n">
        <v>44483</v>
      </c>
      <c r="C71" s="1" t="n">
        <v>46204</v>
      </c>
      <c r="D71" t="inlineStr">
        <is>
          <t>KALMAR LÄN</t>
        </is>
      </c>
      <c r="E71" t="inlineStr">
        <is>
          <t>VIMMERBY</t>
        </is>
      </c>
      <c r="G71" t="n">
        <v>2.9</v>
      </c>
      <c r="H71" t="n">
        <v>0</v>
      </c>
      <c r="I71" t="n">
        <v>0</v>
      </c>
      <c r="J71" t="n">
        <v>0</v>
      </c>
      <c r="K71" t="n">
        <v>0</v>
      </c>
      <c r="L71" t="n">
        <v>0</v>
      </c>
      <c r="M71" t="n">
        <v>0</v>
      </c>
      <c r="N71" t="n">
        <v>0</v>
      </c>
      <c r="O71" t="n">
        <v>0</v>
      </c>
      <c r="P71" t="n">
        <v>0</v>
      </c>
      <c r="Q71" t="n">
        <v>0</v>
      </c>
      <c r="R71" s="2" t="inlineStr"/>
    </row>
    <row r="72" ht="15" customHeight="1">
      <c r="A72" t="inlineStr">
        <is>
          <t>A 59791-2021</t>
        </is>
      </c>
      <c r="B72" s="1" t="n">
        <v>44494</v>
      </c>
      <c r="C72" s="1" t="n">
        <v>46204</v>
      </c>
      <c r="D72" t="inlineStr">
        <is>
          <t>KALMAR LÄN</t>
        </is>
      </c>
      <c r="E72" t="inlineStr">
        <is>
          <t>VIMMERBY</t>
        </is>
      </c>
      <c r="G72" t="n">
        <v>0.5</v>
      </c>
      <c r="H72" t="n">
        <v>0</v>
      </c>
      <c r="I72" t="n">
        <v>0</v>
      </c>
      <c r="J72" t="n">
        <v>0</v>
      </c>
      <c r="K72" t="n">
        <v>0</v>
      </c>
      <c r="L72" t="n">
        <v>0</v>
      </c>
      <c r="M72" t="n">
        <v>0</v>
      </c>
      <c r="N72" t="n">
        <v>0</v>
      </c>
      <c r="O72" t="n">
        <v>0</v>
      </c>
      <c r="P72" t="n">
        <v>0</v>
      </c>
      <c r="Q72" t="n">
        <v>0</v>
      </c>
      <c r="R72" s="2" t="inlineStr"/>
    </row>
    <row r="73" ht="15" customHeight="1">
      <c r="A73" t="inlineStr">
        <is>
          <t>A 71626-2021</t>
        </is>
      </c>
      <c r="B73" s="1" t="n">
        <v>44542</v>
      </c>
      <c r="C73" s="1" t="n">
        <v>46204</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64923-2021</t>
        </is>
      </c>
      <c r="B74" s="1" t="n">
        <v>44512</v>
      </c>
      <c r="C74" s="1" t="n">
        <v>46204</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33829-2022</t>
        </is>
      </c>
      <c r="B75" s="1" t="n">
        <v>44790</v>
      </c>
      <c r="C75" s="1" t="n">
        <v>46204</v>
      </c>
      <c r="D75" t="inlineStr">
        <is>
          <t>KALMAR LÄN</t>
        </is>
      </c>
      <c r="E75" t="inlineStr">
        <is>
          <t>VIMMERBY</t>
        </is>
      </c>
      <c r="G75" t="n">
        <v>1.6</v>
      </c>
      <c r="H75" t="n">
        <v>0</v>
      </c>
      <c r="I75" t="n">
        <v>0</v>
      </c>
      <c r="J75" t="n">
        <v>0</v>
      </c>
      <c r="K75" t="n">
        <v>0</v>
      </c>
      <c r="L75" t="n">
        <v>0</v>
      </c>
      <c r="M75" t="n">
        <v>0</v>
      </c>
      <c r="N75" t="n">
        <v>0</v>
      </c>
      <c r="O75" t="n">
        <v>0</v>
      </c>
      <c r="P75" t="n">
        <v>0</v>
      </c>
      <c r="Q75" t="n">
        <v>0</v>
      </c>
      <c r="R75" s="2" t="inlineStr"/>
    </row>
    <row r="76" ht="15" customHeight="1">
      <c r="A76" t="inlineStr">
        <is>
          <t>A 68840-2021</t>
        </is>
      </c>
      <c r="B76" s="1" t="n">
        <v>44530</v>
      </c>
      <c r="C76" s="1" t="n">
        <v>46204</v>
      </c>
      <c r="D76" t="inlineStr">
        <is>
          <t>KALMAR LÄN</t>
        </is>
      </c>
      <c r="E76" t="inlineStr">
        <is>
          <t>VIMMERBY</t>
        </is>
      </c>
      <c r="G76" t="n">
        <v>1.4</v>
      </c>
      <c r="H76" t="n">
        <v>0</v>
      </c>
      <c r="I76" t="n">
        <v>0</v>
      </c>
      <c r="J76" t="n">
        <v>0</v>
      </c>
      <c r="K76" t="n">
        <v>0</v>
      </c>
      <c r="L76" t="n">
        <v>0</v>
      </c>
      <c r="M76" t="n">
        <v>0</v>
      </c>
      <c r="N76" t="n">
        <v>0</v>
      </c>
      <c r="O76" t="n">
        <v>0</v>
      </c>
      <c r="P76" t="n">
        <v>0</v>
      </c>
      <c r="Q76" t="n">
        <v>0</v>
      </c>
      <c r="R76" s="2" t="inlineStr"/>
    </row>
    <row r="77" ht="15" customHeight="1">
      <c r="A77" t="inlineStr">
        <is>
          <t>A 4118-2022</t>
        </is>
      </c>
      <c r="B77" s="1" t="n">
        <v>44588</v>
      </c>
      <c r="C77" s="1" t="n">
        <v>46204</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4126-2022</t>
        </is>
      </c>
      <c r="B78" s="1" t="n">
        <v>44588</v>
      </c>
      <c r="C78" s="1" t="n">
        <v>46204</v>
      </c>
      <c r="D78" t="inlineStr">
        <is>
          <t>KALMAR LÄN</t>
        </is>
      </c>
      <c r="E78" t="inlineStr">
        <is>
          <t>VIMMERBY</t>
        </is>
      </c>
      <c r="G78" t="n">
        <v>0.6</v>
      </c>
      <c r="H78" t="n">
        <v>0</v>
      </c>
      <c r="I78" t="n">
        <v>0</v>
      </c>
      <c r="J78" t="n">
        <v>0</v>
      </c>
      <c r="K78" t="n">
        <v>0</v>
      </c>
      <c r="L78" t="n">
        <v>0</v>
      </c>
      <c r="M78" t="n">
        <v>0</v>
      </c>
      <c r="N78" t="n">
        <v>0</v>
      </c>
      <c r="O78" t="n">
        <v>0</v>
      </c>
      <c r="P78" t="n">
        <v>0</v>
      </c>
      <c r="Q78" t="n">
        <v>0</v>
      </c>
      <c r="R78" s="2" t="inlineStr"/>
    </row>
    <row r="79" ht="15" customHeight="1">
      <c r="A79" t="inlineStr">
        <is>
          <t>A 33820-2022</t>
        </is>
      </c>
      <c r="B79" s="1" t="n">
        <v>44790</v>
      </c>
      <c r="C79" s="1" t="n">
        <v>46204</v>
      </c>
      <c r="D79" t="inlineStr">
        <is>
          <t>KALMAR LÄN</t>
        </is>
      </c>
      <c r="E79" t="inlineStr">
        <is>
          <t>VIMMERBY</t>
        </is>
      </c>
      <c r="G79" t="n">
        <v>3</v>
      </c>
      <c r="H79" t="n">
        <v>0</v>
      </c>
      <c r="I79" t="n">
        <v>0</v>
      </c>
      <c r="J79" t="n">
        <v>0</v>
      </c>
      <c r="K79" t="n">
        <v>0</v>
      </c>
      <c r="L79" t="n">
        <v>0</v>
      </c>
      <c r="M79" t="n">
        <v>0</v>
      </c>
      <c r="N79" t="n">
        <v>0</v>
      </c>
      <c r="O79" t="n">
        <v>0</v>
      </c>
      <c r="P79" t="n">
        <v>0</v>
      </c>
      <c r="Q79" t="n">
        <v>0</v>
      </c>
      <c r="R79" s="2" t="inlineStr"/>
    </row>
    <row r="80" ht="15" customHeight="1">
      <c r="A80" t="inlineStr">
        <is>
          <t>A 33824-2022</t>
        </is>
      </c>
      <c r="B80" s="1" t="n">
        <v>44790</v>
      </c>
      <c r="C80" s="1" t="n">
        <v>46204</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55297-2021</t>
        </is>
      </c>
      <c r="B81" s="1" t="n">
        <v>44475</v>
      </c>
      <c r="C81" s="1" t="n">
        <v>46204</v>
      </c>
      <c r="D81" t="inlineStr">
        <is>
          <t>KALMAR LÄN</t>
        </is>
      </c>
      <c r="E81" t="inlineStr">
        <is>
          <t>VIMMERBY</t>
        </is>
      </c>
      <c r="G81" t="n">
        <v>4.1</v>
      </c>
      <c r="H81" t="n">
        <v>0</v>
      </c>
      <c r="I81" t="n">
        <v>0</v>
      </c>
      <c r="J81" t="n">
        <v>0</v>
      </c>
      <c r="K81" t="n">
        <v>0</v>
      </c>
      <c r="L81" t="n">
        <v>0</v>
      </c>
      <c r="M81" t="n">
        <v>0</v>
      </c>
      <c r="N81" t="n">
        <v>0</v>
      </c>
      <c r="O81" t="n">
        <v>0</v>
      </c>
      <c r="P81" t="n">
        <v>0</v>
      </c>
      <c r="Q81" t="n">
        <v>0</v>
      </c>
      <c r="R81" s="2" t="inlineStr"/>
    </row>
    <row r="82" ht="15" customHeight="1">
      <c r="A82" t="inlineStr">
        <is>
          <t>A 35531-2021</t>
        </is>
      </c>
      <c r="B82" s="1" t="n">
        <v>44385</v>
      </c>
      <c r="C82" s="1" t="n">
        <v>46204</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38789-2021</t>
        </is>
      </c>
      <c r="B83" s="1" t="n">
        <v>44410</v>
      </c>
      <c r="C83" s="1" t="n">
        <v>46204</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16290-2022</t>
        </is>
      </c>
      <c r="B84" s="1" t="n">
        <v>44670</v>
      </c>
      <c r="C84" s="1" t="n">
        <v>46204</v>
      </c>
      <c r="D84" t="inlineStr">
        <is>
          <t>KALMAR LÄN</t>
        </is>
      </c>
      <c r="E84" t="inlineStr">
        <is>
          <t>VIMMERBY</t>
        </is>
      </c>
      <c r="G84" t="n">
        <v>1.2</v>
      </c>
      <c r="H84" t="n">
        <v>0</v>
      </c>
      <c r="I84" t="n">
        <v>0</v>
      </c>
      <c r="J84" t="n">
        <v>0</v>
      </c>
      <c r="K84" t="n">
        <v>0</v>
      </c>
      <c r="L84" t="n">
        <v>0</v>
      </c>
      <c r="M84" t="n">
        <v>0</v>
      </c>
      <c r="N84" t="n">
        <v>0</v>
      </c>
      <c r="O84" t="n">
        <v>0</v>
      </c>
      <c r="P84" t="n">
        <v>0</v>
      </c>
      <c r="Q84" t="n">
        <v>0</v>
      </c>
      <c r="R84" s="2" t="inlineStr"/>
    </row>
    <row r="85" ht="15" customHeight="1">
      <c r="A85" t="inlineStr">
        <is>
          <t>A 25049-2022</t>
        </is>
      </c>
      <c r="B85" s="1" t="n">
        <v>44729</v>
      </c>
      <c r="C85" s="1" t="n">
        <v>46204</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31533-2022</t>
        </is>
      </c>
      <c r="B86" s="1" t="n">
        <v>44774</v>
      </c>
      <c r="C86" s="1" t="n">
        <v>46204</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25859-2022</t>
        </is>
      </c>
      <c r="B87" s="1" t="n">
        <v>44733</v>
      </c>
      <c r="C87" s="1" t="n">
        <v>46204</v>
      </c>
      <c r="D87" t="inlineStr">
        <is>
          <t>KALMAR LÄN</t>
        </is>
      </c>
      <c r="E87" t="inlineStr">
        <is>
          <t>VIMMERBY</t>
        </is>
      </c>
      <c r="G87" t="n">
        <v>0.5</v>
      </c>
      <c r="H87" t="n">
        <v>0</v>
      </c>
      <c r="I87" t="n">
        <v>0</v>
      </c>
      <c r="J87" t="n">
        <v>0</v>
      </c>
      <c r="K87" t="n">
        <v>0</v>
      </c>
      <c r="L87" t="n">
        <v>0</v>
      </c>
      <c r="M87" t="n">
        <v>0</v>
      </c>
      <c r="N87" t="n">
        <v>0</v>
      </c>
      <c r="O87" t="n">
        <v>0</v>
      </c>
      <c r="P87" t="n">
        <v>0</v>
      </c>
      <c r="Q87" t="n">
        <v>0</v>
      </c>
      <c r="R87" s="2" t="inlineStr"/>
    </row>
    <row r="88" ht="15" customHeight="1">
      <c r="A88" t="inlineStr">
        <is>
          <t>A 25868-2022</t>
        </is>
      </c>
      <c r="B88" s="1" t="n">
        <v>44733</v>
      </c>
      <c r="C88" s="1" t="n">
        <v>46204</v>
      </c>
      <c r="D88" t="inlineStr">
        <is>
          <t>KALMAR LÄN</t>
        </is>
      </c>
      <c r="E88" t="inlineStr">
        <is>
          <t>VIMMERBY</t>
        </is>
      </c>
      <c r="G88" t="n">
        <v>1.7</v>
      </c>
      <c r="H88" t="n">
        <v>0</v>
      </c>
      <c r="I88" t="n">
        <v>0</v>
      </c>
      <c r="J88" t="n">
        <v>0</v>
      </c>
      <c r="K88" t="n">
        <v>0</v>
      </c>
      <c r="L88" t="n">
        <v>0</v>
      </c>
      <c r="M88" t="n">
        <v>0</v>
      </c>
      <c r="N88" t="n">
        <v>0</v>
      </c>
      <c r="O88" t="n">
        <v>0</v>
      </c>
      <c r="P88" t="n">
        <v>0</v>
      </c>
      <c r="Q88" t="n">
        <v>0</v>
      </c>
      <c r="R88" s="2" t="inlineStr"/>
    </row>
    <row r="89" ht="15" customHeight="1">
      <c r="A89" t="inlineStr">
        <is>
          <t>A 35633-2021</t>
        </is>
      </c>
      <c r="B89" s="1" t="n">
        <v>44386</v>
      </c>
      <c r="C89" s="1" t="n">
        <v>46204</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56343-2021</t>
        </is>
      </c>
      <c r="B90" s="1" t="n">
        <v>44480</v>
      </c>
      <c r="C90" s="1" t="n">
        <v>46204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51972-2021</t>
        </is>
      </c>
      <c r="B91" s="1" t="n">
        <v>44463</v>
      </c>
      <c r="C91" s="1" t="n">
        <v>46204</v>
      </c>
      <c r="D91" t="inlineStr">
        <is>
          <t>KALMAR LÄN</t>
        </is>
      </c>
      <c r="E91" t="inlineStr">
        <is>
          <t>VIMMERBY</t>
        </is>
      </c>
      <c r="G91" t="n">
        <v>4.5</v>
      </c>
      <c r="H91" t="n">
        <v>0</v>
      </c>
      <c r="I91" t="n">
        <v>0</v>
      </c>
      <c r="J91" t="n">
        <v>0</v>
      </c>
      <c r="K91" t="n">
        <v>0</v>
      </c>
      <c r="L91" t="n">
        <v>0</v>
      </c>
      <c r="M91" t="n">
        <v>0</v>
      </c>
      <c r="N91" t="n">
        <v>0</v>
      </c>
      <c r="O91" t="n">
        <v>0</v>
      </c>
      <c r="P91" t="n">
        <v>0</v>
      </c>
      <c r="Q91" t="n">
        <v>0</v>
      </c>
      <c r="R91" s="2" t="inlineStr"/>
    </row>
    <row r="92" ht="15" customHeight="1">
      <c r="A92" t="inlineStr">
        <is>
          <t>A 4042-2022</t>
        </is>
      </c>
      <c r="B92" s="1" t="n">
        <v>44588</v>
      </c>
      <c r="C92" s="1" t="n">
        <v>46204</v>
      </c>
      <c r="D92" t="inlineStr">
        <is>
          <t>KALMAR LÄN</t>
        </is>
      </c>
      <c r="E92" t="inlineStr">
        <is>
          <t>VIMMERBY</t>
        </is>
      </c>
      <c r="G92" t="n">
        <v>4.7</v>
      </c>
      <c r="H92" t="n">
        <v>0</v>
      </c>
      <c r="I92" t="n">
        <v>0</v>
      </c>
      <c r="J92" t="n">
        <v>0</v>
      </c>
      <c r="K92" t="n">
        <v>0</v>
      </c>
      <c r="L92" t="n">
        <v>0</v>
      </c>
      <c r="M92" t="n">
        <v>0</v>
      </c>
      <c r="N92" t="n">
        <v>0</v>
      </c>
      <c r="O92" t="n">
        <v>0</v>
      </c>
      <c r="P92" t="n">
        <v>0</v>
      </c>
      <c r="Q92" t="n">
        <v>0</v>
      </c>
      <c r="R92" s="2" t="inlineStr"/>
    </row>
    <row r="93" ht="15" customHeight="1">
      <c r="A93" t="inlineStr">
        <is>
          <t>A 33690-2022</t>
        </is>
      </c>
      <c r="B93" s="1" t="n">
        <v>44789</v>
      </c>
      <c r="C93" s="1" t="n">
        <v>46204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63244-2021</t>
        </is>
      </c>
      <c r="B94" s="1" t="n">
        <v>44508</v>
      </c>
      <c r="C94" s="1" t="n">
        <v>46204</v>
      </c>
      <c r="D94" t="inlineStr">
        <is>
          <t>KALMAR LÄN</t>
        </is>
      </c>
      <c r="E94" t="inlineStr">
        <is>
          <t>VIMMERBY</t>
        </is>
      </c>
      <c r="F94" t="inlineStr">
        <is>
          <t>Övriga statliga verk och myndigheter</t>
        </is>
      </c>
      <c r="G94" t="n">
        <v>0.6</v>
      </c>
      <c r="H94" t="n">
        <v>0</v>
      </c>
      <c r="I94" t="n">
        <v>0</v>
      </c>
      <c r="J94" t="n">
        <v>0</v>
      </c>
      <c r="K94" t="n">
        <v>0</v>
      </c>
      <c r="L94" t="n">
        <v>0</v>
      </c>
      <c r="M94" t="n">
        <v>0</v>
      </c>
      <c r="N94" t="n">
        <v>0</v>
      </c>
      <c r="O94" t="n">
        <v>0</v>
      </c>
      <c r="P94" t="n">
        <v>0</v>
      </c>
      <c r="Q94" t="n">
        <v>0</v>
      </c>
      <c r="R94" s="2" t="inlineStr"/>
    </row>
    <row r="95" ht="15" customHeight="1">
      <c r="A95" t="inlineStr">
        <is>
          <t>A 11814-2022</t>
        </is>
      </c>
      <c r="B95" s="1" t="n">
        <v>44634</v>
      </c>
      <c r="C95" s="1" t="n">
        <v>46204</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56385-2021</t>
        </is>
      </c>
      <c r="B96" s="1" t="n">
        <v>44480</v>
      </c>
      <c r="C96" s="1" t="n">
        <v>46204</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31053-2022</t>
        </is>
      </c>
      <c r="B97" s="1" t="n">
        <v>44769</v>
      </c>
      <c r="C97" s="1" t="n">
        <v>46204</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8454-2022</t>
        </is>
      </c>
      <c r="B98" s="1" t="n">
        <v>44612</v>
      </c>
      <c r="C98" s="1" t="n">
        <v>46204</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65887-2021</t>
        </is>
      </c>
      <c r="B99" s="1" t="n">
        <v>44517</v>
      </c>
      <c r="C99" s="1" t="n">
        <v>46204</v>
      </c>
      <c r="D99" t="inlineStr">
        <is>
          <t>KALMAR LÄN</t>
        </is>
      </c>
      <c r="E99" t="inlineStr">
        <is>
          <t>VIMMERBY</t>
        </is>
      </c>
      <c r="G99" t="n">
        <v>1.4</v>
      </c>
      <c r="H99" t="n">
        <v>0</v>
      </c>
      <c r="I99" t="n">
        <v>0</v>
      </c>
      <c r="J99" t="n">
        <v>0</v>
      </c>
      <c r="K99" t="n">
        <v>0</v>
      </c>
      <c r="L99" t="n">
        <v>0</v>
      </c>
      <c r="M99" t="n">
        <v>0</v>
      </c>
      <c r="N99" t="n">
        <v>0</v>
      </c>
      <c r="O99" t="n">
        <v>0</v>
      </c>
      <c r="P99" t="n">
        <v>0</v>
      </c>
      <c r="Q99" t="n">
        <v>0</v>
      </c>
      <c r="R99" s="2" t="inlineStr"/>
    </row>
    <row r="100" ht="15" customHeight="1">
      <c r="A100" t="inlineStr">
        <is>
          <t>A 39959-2022</t>
        </is>
      </c>
      <c r="B100" s="1" t="n">
        <v>44819</v>
      </c>
      <c r="C100" s="1" t="n">
        <v>46204</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7917-2022</t>
        </is>
      </c>
      <c r="B101" s="1" t="n">
        <v>44608</v>
      </c>
      <c r="C101" s="1" t="n">
        <v>46204</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47208-2021</t>
        </is>
      </c>
      <c r="B102" s="1" t="n">
        <v>44447</v>
      </c>
      <c r="C102" s="1" t="n">
        <v>46204</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56389-2021</t>
        </is>
      </c>
      <c r="B103" s="1" t="n">
        <v>44480</v>
      </c>
      <c r="C103" s="1" t="n">
        <v>46204</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67952-2021</t>
        </is>
      </c>
      <c r="B104" s="1" t="n">
        <v>44525</v>
      </c>
      <c r="C104" s="1" t="n">
        <v>46204</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15533-2022</t>
        </is>
      </c>
      <c r="B105" s="1" t="n">
        <v>44662</v>
      </c>
      <c r="C105" s="1" t="n">
        <v>46204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165-2022</t>
        </is>
      </c>
      <c r="B106" s="1" t="n">
        <v>44564</v>
      </c>
      <c r="C106" s="1" t="n">
        <v>46204</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34040-2021</t>
        </is>
      </c>
      <c r="B107" s="1" t="n">
        <v>44379</v>
      </c>
      <c r="C107" s="1" t="n">
        <v>46204</v>
      </c>
      <c r="D107" t="inlineStr">
        <is>
          <t>KALMAR LÄN</t>
        </is>
      </c>
      <c r="E107" t="inlineStr">
        <is>
          <t>VIMMERBY</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12107-2022</t>
        </is>
      </c>
      <c r="B108" s="1" t="n">
        <v>44636</v>
      </c>
      <c r="C108" s="1" t="n">
        <v>46204</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39225-2022</t>
        </is>
      </c>
      <c r="B109" s="1" t="n">
        <v>44817</v>
      </c>
      <c r="C109" s="1" t="n">
        <v>46204</v>
      </c>
      <c r="D109" t="inlineStr">
        <is>
          <t>KALMAR LÄN</t>
        </is>
      </c>
      <c r="E109" t="inlineStr">
        <is>
          <t>VIMMERBY</t>
        </is>
      </c>
      <c r="G109" t="n">
        <v>2.2</v>
      </c>
      <c r="H109" t="n">
        <v>0</v>
      </c>
      <c r="I109" t="n">
        <v>0</v>
      </c>
      <c r="J109" t="n">
        <v>0</v>
      </c>
      <c r="K109" t="n">
        <v>0</v>
      </c>
      <c r="L109" t="n">
        <v>0</v>
      </c>
      <c r="M109" t="n">
        <v>0</v>
      </c>
      <c r="N109" t="n">
        <v>0</v>
      </c>
      <c r="O109" t="n">
        <v>0</v>
      </c>
      <c r="P109" t="n">
        <v>0</v>
      </c>
      <c r="Q109" t="n">
        <v>0</v>
      </c>
      <c r="R109" s="2" t="inlineStr"/>
    </row>
    <row r="110" ht="15" customHeight="1">
      <c r="A110" t="inlineStr">
        <is>
          <t>A 17029-2022</t>
        </is>
      </c>
      <c r="B110" s="1" t="n">
        <v>44676</v>
      </c>
      <c r="C110" s="1" t="n">
        <v>46204</v>
      </c>
      <c r="D110" t="inlineStr">
        <is>
          <t>KALMAR LÄN</t>
        </is>
      </c>
      <c r="E110" t="inlineStr">
        <is>
          <t>VIMMERBY</t>
        </is>
      </c>
      <c r="G110" t="n">
        <v>0.6</v>
      </c>
      <c r="H110" t="n">
        <v>0</v>
      </c>
      <c r="I110" t="n">
        <v>0</v>
      </c>
      <c r="J110" t="n">
        <v>0</v>
      </c>
      <c r="K110" t="n">
        <v>0</v>
      </c>
      <c r="L110" t="n">
        <v>0</v>
      </c>
      <c r="M110" t="n">
        <v>0</v>
      </c>
      <c r="N110" t="n">
        <v>0</v>
      </c>
      <c r="O110" t="n">
        <v>0</v>
      </c>
      <c r="P110" t="n">
        <v>0</v>
      </c>
      <c r="Q110" t="n">
        <v>0</v>
      </c>
      <c r="R110" s="2" t="inlineStr"/>
    </row>
    <row r="111" ht="15" customHeight="1">
      <c r="A111" t="inlineStr">
        <is>
          <t>A 7167-2022</t>
        </is>
      </c>
      <c r="B111" s="1" t="n">
        <v>44604</v>
      </c>
      <c r="C111" s="1" t="n">
        <v>46204</v>
      </c>
      <c r="D111" t="inlineStr">
        <is>
          <t>KALMAR LÄN</t>
        </is>
      </c>
      <c r="E111" t="inlineStr">
        <is>
          <t>VIMMERBY</t>
        </is>
      </c>
      <c r="G111" t="n">
        <v>1.7</v>
      </c>
      <c r="H111" t="n">
        <v>0</v>
      </c>
      <c r="I111" t="n">
        <v>0</v>
      </c>
      <c r="J111" t="n">
        <v>0</v>
      </c>
      <c r="K111" t="n">
        <v>0</v>
      </c>
      <c r="L111" t="n">
        <v>0</v>
      </c>
      <c r="M111" t="n">
        <v>0</v>
      </c>
      <c r="N111" t="n">
        <v>0</v>
      </c>
      <c r="O111" t="n">
        <v>0</v>
      </c>
      <c r="P111" t="n">
        <v>0</v>
      </c>
      <c r="Q111" t="n">
        <v>0</v>
      </c>
      <c r="R111" s="2" t="inlineStr"/>
    </row>
    <row r="112" ht="15" customHeight="1">
      <c r="A112" t="inlineStr">
        <is>
          <t>A 35001-2021</t>
        </is>
      </c>
      <c r="B112" s="1" t="n">
        <v>44383</v>
      </c>
      <c r="C112" s="1" t="n">
        <v>46204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55674-2021</t>
        </is>
      </c>
      <c r="B113" s="1" t="n">
        <v>44476</v>
      </c>
      <c r="C113" s="1" t="n">
        <v>46204</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40077-2021</t>
        </is>
      </c>
      <c r="B114" s="1" t="n">
        <v>44418</v>
      </c>
      <c r="C114" s="1" t="n">
        <v>46204</v>
      </c>
      <c r="D114" t="inlineStr">
        <is>
          <t>KALMAR LÄN</t>
        </is>
      </c>
      <c r="E114" t="inlineStr">
        <is>
          <t>VIMMERBY</t>
        </is>
      </c>
      <c r="G114" t="n">
        <v>2.9</v>
      </c>
      <c r="H114" t="n">
        <v>0</v>
      </c>
      <c r="I114" t="n">
        <v>0</v>
      </c>
      <c r="J114" t="n">
        <v>0</v>
      </c>
      <c r="K114" t="n">
        <v>0</v>
      </c>
      <c r="L114" t="n">
        <v>0</v>
      </c>
      <c r="M114" t="n">
        <v>0</v>
      </c>
      <c r="N114" t="n">
        <v>0</v>
      </c>
      <c r="O114" t="n">
        <v>0</v>
      </c>
      <c r="P114" t="n">
        <v>0</v>
      </c>
      <c r="Q114" t="n">
        <v>0</v>
      </c>
      <c r="R114" s="2" t="inlineStr"/>
    </row>
    <row r="115" ht="15" customHeight="1">
      <c r="A115" t="inlineStr">
        <is>
          <t>A 47769-2022</t>
        </is>
      </c>
      <c r="B115" s="1" t="n">
        <v>44854</v>
      </c>
      <c r="C115" s="1" t="n">
        <v>46204</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48377-2021</t>
        </is>
      </c>
      <c r="B116" s="1" t="n">
        <v>44451</v>
      </c>
      <c r="C116" s="1" t="n">
        <v>46204</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40472-2022</t>
        </is>
      </c>
      <c r="B117" s="1" t="n">
        <v>44823</v>
      </c>
      <c r="C117" s="1" t="n">
        <v>46204</v>
      </c>
      <c r="D117" t="inlineStr">
        <is>
          <t>KALMAR LÄN</t>
        </is>
      </c>
      <c r="E117" t="inlineStr">
        <is>
          <t>VIMMERBY</t>
        </is>
      </c>
      <c r="G117" t="n">
        <v>2</v>
      </c>
      <c r="H117" t="n">
        <v>0</v>
      </c>
      <c r="I117" t="n">
        <v>0</v>
      </c>
      <c r="J117" t="n">
        <v>0</v>
      </c>
      <c r="K117" t="n">
        <v>0</v>
      </c>
      <c r="L117" t="n">
        <v>0</v>
      </c>
      <c r="M117" t="n">
        <v>0</v>
      </c>
      <c r="N117" t="n">
        <v>0</v>
      </c>
      <c r="O117" t="n">
        <v>0</v>
      </c>
      <c r="P117" t="n">
        <v>0</v>
      </c>
      <c r="Q117" t="n">
        <v>0</v>
      </c>
      <c r="R117" s="2" t="inlineStr"/>
    </row>
    <row r="118" ht="15" customHeight="1">
      <c r="A118" t="inlineStr">
        <is>
          <t>A 35316-2021</t>
        </is>
      </c>
      <c r="B118" s="1" t="n">
        <v>44384</v>
      </c>
      <c r="C118" s="1" t="n">
        <v>46204</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33831-2022</t>
        </is>
      </c>
      <c r="B119" s="1" t="n">
        <v>44790</v>
      </c>
      <c r="C119" s="1" t="n">
        <v>46204</v>
      </c>
      <c r="D119" t="inlineStr">
        <is>
          <t>KALMAR LÄN</t>
        </is>
      </c>
      <c r="E119" t="inlineStr">
        <is>
          <t>VIMMERBY</t>
        </is>
      </c>
      <c r="G119" t="n">
        <v>1.1</v>
      </c>
      <c r="H119" t="n">
        <v>0</v>
      </c>
      <c r="I119" t="n">
        <v>0</v>
      </c>
      <c r="J119" t="n">
        <v>0</v>
      </c>
      <c r="K119" t="n">
        <v>0</v>
      </c>
      <c r="L119" t="n">
        <v>0</v>
      </c>
      <c r="M119" t="n">
        <v>0</v>
      </c>
      <c r="N119" t="n">
        <v>0</v>
      </c>
      <c r="O119" t="n">
        <v>0</v>
      </c>
      <c r="P119" t="n">
        <v>0</v>
      </c>
      <c r="Q119" t="n">
        <v>0</v>
      </c>
      <c r="R119" s="2" t="inlineStr"/>
    </row>
    <row r="120" ht="15" customHeight="1">
      <c r="A120" t="inlineStr">
        <is>
          <t>A 9918-2022</t>
        </is>
      </c>
      <c r="B120" s="1" t="n">
        <v>44620</v>
      </c>
      <c r="C120" s="1" t="n">
        <v>46204</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47708-2022</t>
        </is>
      </c>
      <c r="B121" s="1" t="n">
        <v>44854</v>
      </c>
      <c r="C121" s="1" t="n">
        <v>46204</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23825-2022</t>
        </is>
      </c>
      <c r="B122" s="1" t="n">
        <v>44722</v>
      </c>
      <c r="C122" s="1" t="n">
        <v>46204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41056-2022</t>
        </is>
      </c>
      <c r="B123" s="1" t="n">
        <v>44824</v>
      </c>
      <c r="C123" s="1" t="n">
        <v>46204</v>
      </c>
      <c r="D123" t="inlineStr">
        <is>
          <t>KALMAR LÄN</t>
        </is>
      </c>
      <c r="E123" t="inlineStr">
        <is>
          <t>VIMMERBY</t>
        </is>
      </c>
      <c r="G123" t="n">
        <v>0.8</v>
      </c>
      <c r="H123" t="n">
        <v>0</v>
      </c>
      <c r="I123" t="n">
        <v>0</v>
      </c>
      <c r="J123" t="n">
        <v>0</v>
      </c>
      <c r="K123" t="n">
        <v>0</v>
      </c>
      <c r="L123" t="n">
        <v>0</v>
      </c>
      <c r="M123" t="n">
        <v>0</v>
      </c>
      <c r="N123" t="n">
        <v>0</v>
      </c>
      <c r="O123" t="n">
        <v>0</v>
      </c>
      <c r="P123" t="n">
        <v>0</v>
      </c>
      <c r="Q123" t="n">
        <v>0</v>
      </c>
      <c r="R123" s="2" t="inlineStr"/>
    </row>
    <row r="124" ht="15" customHeight="1">
      <c r="A124" t="inlineStr">
        <is>
          <t>A 27455-2022</t>
        </is>
      </c>
      <c r="B124" s="1" t="n">
        <v>44742</v>
      </c>
      <c r="C124" s="1" t="n">
        <v>46204</v>
      </c>
      <c r="D124" t="inlineStr">
        <is>
          <t>KALMAR LÄN</t>
        </is>
      </c>
      <c r="E124" t="inlineStr">
        <is>
          <t>VIMMERBY</t>
        </is>
      </c>
      <c r="G124" t="n">
        <v>1.6</v>
      </c>
      <c r="H124" t="n">
        <v>0</v>
      </c>
      <c r="I124" t="n">
        <v>0</v>
      </c>
      <c r="J124" t="n">
        <v>0</v>
      </c>
      <c r="K124" t="n">
        <v>0</v>
      </c>
      <c r="L124" t="n">
        <v>0</v>
      </c>
      <c r="M124" t="n">
        <v>0</v>
      </c>
      <c r="N124" t="n">
        <v>0</v>
      </c>
      <c r="O124" t="n">
        <v>0</v>
      </c>
      <c r="P124" t="n">
        <v>0</v>
      </c>
      <c r="Q124" t="n">
        <v>0</v>
      </c>
      <c r="R124" s="2" t="inlineStr"/>
    </row>
    <row r="125" ht="15" customHeight="1">
      <c r="A125" t="inlineStr">
        <is>
          <t>A 36117-2021</t>
        </is>
      </c>
      <c r="B125" s="1" t="n">
        <v>44386</v>
      </c>
      <c r="C125" s="1" t="n">
        <v>46204</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42521-2021</t>
        </is>
      </c>
      <c r="B126" s="1" t="n">
        <v>44427</v>
      </c>
      <c r="C126" s="1" t="n">
        <v>46204</v>
      </c>
      <c r="D126" t="inlineStr">
        <is>
          <t>KALMAR LÄN</t>
        </is>
      </c>
      <c r="E126" t="inlineStr">
        <is>
          <t>VIMMERBY</t>
        </is>
      </c>
      <c r="G126" t="n">
        <v>5.4</v>
      </c>
      <c r="H126" t="n">
        <v>0</v>
      </c>
      <c r="I126" t="n">
        <v>0</v>
      </c>
      <c r="J126" t="n">
        <v>0</v>
      </c>
      <c r="K126" t="n">
        <v>0</v>
      </c>
      <c r="L126" t="n">
        <v>0</v>
      </c>
      <c r="M126" t="n">
        <v>0</v>
      </c>
      <c r="N126" t="n">
        <v>0</v>
      </c>
      <c r="O126" t="n">
        <v>0</v>
      </c>
      <c r="P126" t="n">
        <v>0</v>
      </c>
      <c r="Q126" t="n">
        <v>0</v>
      </c>
      <c r="R126" s="2" t="inlineStr"/>
    </row>
    <row r="127" ht="15" customHeight="1">
      <c r="A127" t="inlineStr">
        <is>
          <t>A 46964-2022</t>
        </is>
      </c>
      <c r="B127" s="1" t="n">
        <v>44851</v>
      </c>
      <c r="C127" s="1" t="n">
        <v>46204</v>
      </c>
      <c r="D127" t="inlineStr">
        <is>
          <t>KALMAR LÄN</t>
        </is>
      </c>
      <c r="E127" t="inlineStr">
        <is>
          <t>VIMMERBY</t>
        </is>
      </c>
      <c r="G127" t="n">
        <v>0.2</v>
      </c>
      <c r="H127" t="n">
        <v>0</v>
      </c>
      <c r="I127" t="n">
        <v>0</v>
      </c>
      <c r="J127" t="n">
        <v>0</v>
      </c>
      <c r="K127" t="n">
        <v>0</v>
      </c>
      <c r="L127" t="n">
        <v>0</v>
      </c>
      <c r="M127" t="n">
        <v>0</v>
      </c>
      <c r="N127" t="n">
        <v>0</v>
      </c>
      <c r="O127" t="n">
        <v>0</v>
      </c>
      <c r="P127" t="n">
        <v>0</v>
      </c>
      <c r="Q127" t="n">
        <v>0</v>
      </c>
      <c r="R127" s="2" t="inlineStr"/>
    </row>
    <row r="128" ht="15" customHeight="1">
      <c r="A128" t="inlineStr">
        <is>
          <t>A 13180-2022</t>
        </is>
      </c>
      <c r="B128" s="1" t="n">
        <v>44644</v>
      </c>
      <c r="C128" s="1" t="n">
        <v>46204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10086-2022</t>
        </is>
      </c>
      <c r="B129" s="1" t="n">
        <v>44621</v>
      </c>
      <c r="C129" s="1" t="n">
        <v>46204</v>
      </c>
      <c r="D129" t="inlineStr">
        <is>
          <t>KALMAR LÄN</t>
        </is>
      </c>
      <c r="E129" t="inlineStr">
        <is>
          <t>VIMMERBY</t>
        </is>
      </c>
      <c r="G129" t="n">
        <v>1.2</v>
      </c>
      <c r="H129" t="n">
        <v>0</v>
      </c>
      <c r="I129" t="n">
        <v>0</v>
      </c>
      <c r="J129" t="n">
        <v>0</v>
      </c>
      <c r="K129" t="n">
        <v>0</v>
      </c>
      <c r="L129" t="n">
        <v>0</v>
      </c>
      <c r="M129" t="n">
        <v>0</v>
      </c>
      <c r="N129" t="n">
        <v>0</v>
      </c>
      <c r="O129" t="n">
        <v>0</v>
      </c>
      <c r="P129" t="n">
        <v>0</v>
      </c>
      <c r="Q129" t="n">
        <v>0</v>
      </c>
      <c r="R129" s="2" t="inlineStr"/>
    </row>
    <row r="130" ht="15" customHeight="1">
      <c r="A130" t="inlineStr">
        <is>
          <t>A 53145-2022</t>
        </is>
      </c>
      <c r="B130" s="1" t="n">
        <v>44876</v>
      </c>
      <c r="C130" s="1" t="n">
        <v>46204</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25738-2022</t>
        </is>
      </c>
      <c r="B131" s="1" t="n">
        <v>44733</v>
      </c>
      <c r="C131" s="1" t="n">
        <v>46204</v>
      </c>
      <c r="D131" t="inlineStr">
        <is>
          <t>KALMAR LÄN</t>
        </is>
      </c>
      <c r="E131" t="inlineStr">
        <is>
          <t>VIMMERBY</t>
        </is>
      </c>
      <c r="G131" t="n">
        <v>1</v>
      </c>
      <c r="H131" t="n">
        <v>0</v>
      </c>
      <c r="I131" t="n">
        <v>0</v>
      </c>
      <c r="J131" t="n">
        <v>0</v>
      </c>
      <c r="K131" t="n">
        <v>0</v>
      </c>
      <c r="L131" t="n">
        <v>0</v>
      </c>
      <c r="M131" t="n">
        <v>0</v>
      </c>
      <c r="N131" t="n">
        <v>0</v>
      </c>
      <c r="O131" t="n">
        <v>0</v>
      </c>
      <c r="P131" t="n">
        <v>0</v>
      </c>
      <c r="Q131" t="n">
        <v>0</v>
      </c>
      <c r="R131" s="2" t="inlineStr"/>
    </row>
    <row r="132" ht="15" customHeight="1">
      <c r="A132" t="inlineStr">
        <is>
          <t>A 8194-2022</t>
        </is>
      </c>
      <c r="B132" s="1" t="n">
        <v>44609</v>
      </c>
      <c r="C132" s="1" t="n">
        <v>46204</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40971-2021</t>
        </is>
      </c>
      <c r="B133" s="1" t="n">
        <v>44421</v>
      </c>
      <c r="C133" s="1" t="n">
        <v>46204</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8453-2022</t>
        </is>
      </c>
      <c r="B134" s="1" t="n">
        <v>44612</v>
      </c>
      <c r="C134" s="1" t="n">
        <v>46204</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52433-2021</t>
        </is>
      </c>
      <c r="B135" s="1" t="n">
        <v>44466</v>
      </c>
      <c r="C135" s="1" t="n">
        <v>46204</v>
      </c>
      <c r="D135" t="inlineStr">
        <is>
          <t>KALMAR LÄN</t>
        </is>
      </c>
      <c r="E135" t="inlineStr">
        <is>
          <t>VIMMERBY</t>
        </is>
      </c>
      <c r="G135" t="n">
        <v>3.5</v>
      </c>
      <c r="H135" t="n">
        <v>0</v>
      </c>
      <c r="I135" t="n">
        <v>0</v>
      </c>
      <c r="J135" t="n">
        <v>0</v>
      </c>
      <c r="K135" t="n">
        <v>0</v>
      </c>
      <c r="L135" t="n">
        <v>0</v>
      </c>
      <c r="M135" t="n">
        <v>0</v>
      </c>
      <c r="N135" t="n">
        <v>0</v>
      </c>
      <c r="O135" t="n">
        <v>0</v>
      </c>
      <c r="P135" t="n">
        <v>0</v>
      </c>
      <c r="Q135" t="n">
        <v>0</v>
      </c>
      <c r="R135" s="2" t="inlineStr"/>
    </row>
    <row r="136" ht="15" customHeight="1">
      <c r="A136" t="inlineStr">
        <is>
          <t>A 54065-2021</t>
        </is>
      </c>
      <c r="B136" s="1" t="n">
        <v>44470</v>
      </c>
      <c r="C136" s="1" t="n">
        <v>46204</v>
      </c>
      <c r="D136" t="inlineStr">
        <is>
          <t>KALMAR LÄN</t>
        </is>
      </c>
      <c r="E136" t="inlineStr">
        <is>
          <t>VIMMERBY</t>
        </is>
      </c>
      <c r="G136" t="n">
        <v>0.9</v>
      </c>
      <c r="H136" t="n">
        <v>0</v>
      </c>
      <c r="I136" t="n">
        <v>0</v>
      </c>
      <c r="J136" t="n">
        <v>0</v>
      </c>
      <c r="K136" t="n">
        <v>0</v>
      </c>
      <c r="L136" t="n">
        <v>0</v>
      </c>
      <c r="M136" t="n">
        <v>0</v>
      </c>
      <c r="N136" t="n">
        <v>0</v>
      </c>
      <c r="O136" t="n">
        <v>0</v>
      </c>
      <c r="P136" t="n">
        <v>0</v>
      </c>
      <c r="Q136" t="n">
        <v>0</v>
      </c>
      <c r="R136" s="2" t="inlineStr"/>
    </row>
    <row r="137" ht="15" customHeight="1">
      <c r="A137" t="inlineStr">
        <is>
          <t>A 50621-2022</t>
        </is>
      </c>
      <c r="B137" s="1" t="n">
        <v>44866</v>
      </c>
      <c r="C137" s="1" t="n">
        <v>46204</v>
      </c>
      <c r="D137" t="inlineStr">
        <is>
          <t>KALMAR LÄN</t>
        </is>
      </c>
      <c r="E137" t="inlineStr">
        <is>
          <t>VIMMERBY</t>
        </is>
      </c>
      <c r="F137" t="inlineStr">
        <is>
          <t>Övriga Aktiebolag</t>
        </is>
      </c>
      <c r="G137" t="n">
        <v>5.1</v>
      </c>
      <c r="H137" t="n">
        <v>0</v>
      </c>
      <c r="I137" t="n">
        <v>0</v>
      </c>
      <c r="J137" t="n">
        <v>0</v>
      </c>
      <c r="K137" t="n">
        <v>0</v>
      </c>
      <c r="L137" t="n">
        <v>0</v>
      </c>
      <c r="M137" t="n">
        <v>0</v>
      </c>
      <c r="N137" t="n">
        <v>0</v>
      </c>
      <c r="O137" t="n">
        <v>0</v>
      </c>
      <c r="P137" t="n">
        <v>0</v>
      </c>
      <c r="Q137" t="n">
        <v>0</v>
      </c>
      <c r="R137" s="2" t="inlineStr"/>
    </row>
    <row r="138" ht="15" customHeight="1">
      <c r="A138" t="inlineStr">
        <is>
          <t>A 31824-2022</t>
        </is>
      </c>
      <c r="B138" s="1" t="n">
        <v>44776</v>
      </c>
      <c r="C138" s="1" t="n">
        <v>46204</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7804-2022</t>
        </is>
      </c>
      <c r="B139" s="1" t="n">
        <v>44608</v>
      </c>
      <c r="C139" s="1" t="n">
        <v>46204</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39042-2022</t>
        </is>
      </c>
      <c r="B140" s="1" t="n">
        <v>44817</v>
      </c>
      <c r="C140" s="1" t="n">
        <v>46204</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11733-2022</t>
        </is>
      </c>
      <c r="B141" s="1" t="n">
        <v>44634</v>
      </c>
      <c r="C141" s="1" t="n">
        <v>46204</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4076-2022</t>
        </is>
      </c>
      <c r="B142" s="1" t="n">
        <v>44588</v>
      </c>
      <c r="C142" s="1" t="n">
        <v>46204</v>
      </c>
      <c r="D142" t="inlineStr">
        <is>
          <t>KALMAR LÄN</t>
        </is>
      </c>
      <c r="E142" t="inlineStr">
        <is>
          <t>VIMMERBY</t>
        </is>
      </c>
      <c r="G142" t="n">
        <v>3</v>
      </c>
      <c r="H142" t="n">
        <v>0</v>
      </c>
      <c r="I142" t="n">
        <v>0</v>
      </c>
      <c r="J142" t="n">
        <v>0</v>
      </c>
      <c r="K142" t="n">
        <v>0</v>
      </c>
      <c r="L142" t="n">
        <v>0</v>
      </c>
      <c r="M142" t="n">
        <v>0</v>
      </c>
      <c r="N142" t="n">
        <v>0</v>
      </c>
      <c r="O142" t="n">
        <v>0</v>
      </c>
      <c r="P142" t="n">
        <v>0</v>
      </c>
      <c r="Q142" t="n">
        <v>0</v>
      </c>
      <c r="R142" s="2" t="inlineStr"/>
    </row>
    <row r="143" ht="15" customHeight="1">
      <c r="A143" t="inlineStr">
        <is>
          <t>A 4122-2022</t>
        </is>
      </c>
      <c r="B143" s="1" t="n">
        <v>44588</v>
      </c>
      <c r="C143" s="1" t="n">
        <v>46204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16983-2023</t>
        </is>
      </c>
      <c r="B144" s="1" t="n">
        <v>45033</v>
      </c>
      <c r="C144" s="1" t="n">
        <v>46204</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11609-2023</t>
        </is>
      </c>
      <c r="B145" s="1" t="n">
        <v>44994</v>
      </c>
      <c r="C145" s="1" t="n">
        <v>46204</v>
      </c>
      <c r="D145" t="inlineStr">
        <is>
          <t>KALMAR LÄN</t>
        </is>
      </c>
      <c r="E145" t="inlineStr">
        <is>
          <t>VIMMERBY</t>
        </is>
      </c>
      <c r="G145" t="n">
        <v>4.9</v>
      </c>
      <c r="H145" t="n">
        <v>0</v>
      </c>
      <c r="I145" t="n">
        <v>0</v>
      </c>
      <c r="J145" t="n">
        <v>0</v>
      </c>
      <c r="K145" t="n">
        <v>0</v>
      </c>
      <c r="L145" t="n">
        <v>0</v>
      </c>
      <c r="M145" t="n">
        <v>0</v>
      </c>
      <c r="N145" t="n">
        <v>0</v>
      </c>
      <c r="O145" t="n">
        <v>0</v>
      </c>
      <c r="P145" t="n">
        <v>0</v>
      </c>
      <c r="Q145" t="n">
        <v>0</v>
      </c>
      <c r="R145" s="2" t="inlineStr"/>
    </row>
    <row r="146" ht="15" customHeight="1">
      <c r="A146" t="inlineStr">
        <is>
          <t>A 46144-2023</t>
        </is>
      </c>
      <c r="B146" s="1" t="n">
        <v>45196</v>
      </c>
      <c r="C146" s="1" t="n">
        <v>46204</v>
      </c>
      <c r="D146" t="inlineStr">
        <is>
          <t>KALMAR LÄN</t>
        </is>
      </c>
      <c r="E146" t="inlineStr">
        <is>
          <t>VIMMERBY</t>
        </is>
      </c>
      <c r="G146" t="n">
        <v>6.5</v>
      </c>
      <c r="H146" t="n">
        <v>0</v>
      </c>
      <c r="I146" t="n">
        <v>0</v>
      </c>
      <c r="J146" t="n">
        <v>0</v>
      </c>
      <c r="K146" t="n">
        <v>0</v>
      </c>
      <c r="L146" t="n">
        <v>0</v>
      </c>
      <c r="M146" t="n">
        <v>0</v>
      </c>
      <c r="N146" t="n">
        <v>0</v>
      </c>
      <c r="O146" t="n">
        <v>0</v>
      </c>
      <c r="P146" t="n">
        <v>0</v>
      </c>
      <c r="Q146" t="n">
        <v>0</v>
      </c>
      <c r="R146" s="2" t="inlineStr"/>
    </row>
    <row r="147" ht="15" customHeight="1">
      <c r="A147" t="inlineStr">
        <is>
          <t>A 56213-2024</t>
        </is>
      </c>
      <c r="B147" s="1" t="n">
        <v>45624</v>
      </c>
      <c r="C147" s="1" t="n">
        <v>46204</v>
      </c>
      <c r="D147" t="inlineStr">
        <is>
          <t>KALMAR LÄN</t>
        </is>
      </c>
      <c r="E147" t="inlineStr">
        <is>
          <t>VIMMERBY</t>
        </is>
      </c>
      <c r="G147" t="n">
        <v>1</v>
      </c>
      <c r="H147" t="n">
        <v>0</v>
      </c>
      <c r="I147" t="n">
        <v>0</v>
      </c>
      <c r="J147" t="n">
        <v>0</v>
      </c>
      <c r="K147" t="n">
        <v>0</v>
      </c>
      <c r="L147" t="n">
        <v>0</v>
      </c>
      <c r="M147" t="n">
        <v>0</v>
      </c>
      <c r="N147" t="n">
        <v>0</v>
      </c>
      <c r="O147" t="n">
        <v>0</v>
      </c>
      <c r="P147" t="n">
        <v>0</v>
      </c>
      <c r="Q147" t="n">
        <v>0</v>
      </c>
      <c r="R147" s="2" t="inlineStr"/>
    </row>
    <row r="148" ht="15" customHeight="1">
      <c r="A148" t="inlineStr">
        <is>
          <t>A 54409-2024</t>
        </is>
      </c>
      <c r="B148" s="1" t="n">
        <v>45617</v>
      </c>
      <c r="C148" s="1" t="n">
        <v>46204</v>
      </c>
      <c r="D148" t="inlineStr">
        <is>
          <t>KALMAR LÄN</t>
        </is>
      </c>
      <c r="E148" t="inlineStr">
        <is>
          <t>VIMMERBY</t>
        </is>
      </c>
      <c r="G148" t="n">
        <v>4.3</v>
      </c>
      <c r="H148" t="n">
        <v>0</v>
      </c>
      <c r="I148" t="n">
        <v>0</v>
      </c>
      <c r="J148" t="n">
        <v>0</v>
      </c>
      <c r="K148" t="n">
        <v>0</v>
      </c>
      <c r="L148" t="n">
        <v>0</v>
      </c>
      <c r="M148" t="n">
        <v>0</v>
      </c>
      <c r="N148" t="n">
        <v>0</v>
      </c>
      <c r="O148" t="n">
        <v>0</v>
      </c>
      <c r="P148" t="n">
        <v>0</v>
      </c>
      <c r="Q148" t="n">
        <v>0</v>
      </c>
      <c r="R148" s="2" t="inlineStr"/>
    </row>
    <row r="149" ht="15" customHeight="1">
      <c r="A149" t="inlineStr">
        <is>
          <t>A 7643-2022</t>
        </is>
      </c>
      <c r="B149" s="1" t="n">
        <v>44607</v>
      </c>
      <c r="C149" s="1" t="n">
        <v>46204</v>
      </c>
      <c r="D149" t="inlineStr">
        <is>
          <t>KALMAR LÄN</t>
        </is>
      </c>
      <c r="E149" t="inlineStr">
        <is>
          <t>VIMMERBY</t>
        </is>
      </c>
      <c r="G149" t="n">
        <v>8.699999999999999</v>
      </c>
      <c r="H149" t="n">
        <v>0</v>
      </c>
      <c r="I149" t="n">
        <v>0</v>
      </c>
      <c r="J149" t="n">
        <v>0</v>
      </c>
      <c r="K149" t="n">
        <v>0</v>
      </c>
      <c r="L149" t="n">
        <v>0</v>
      </c>
      <c r="M149" t="n">
        <v>0</v>
      </c>
      <c r="N149" t="n">
        <v>0</v>
      </c>
      <c r="O149" t="n">
        <v>0</v>
      </c>
      <c r="P149" t="n">
        <v>0</v>
      </c>
      <c r="Q149" t="n">
        <v>0</v>
      </c>
      <c r="R149" s="2" t="inlineStr"/>
    </row>
    <row r="150" ht="15" customHeight="1">
      <c r="A150" t="inlineStr">
        <is>
          <t>A 16825-2024</t>
        </is>
      </c>
      <c r="B150" s="1" t="n">
        <v>45411</v>
      </c>
      <c r="C150" s="1" t="n">
        <v>46204</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31382-2023</t>
        </is>
      </c>
      <c r="B151" s="1" t="n">
        <v>45114</v>
      </c>
      <c r="C151" s="1" t="n">
        <v>46204</v>
      </c>
      <c r="D151" t="inlineStr">
        <is>
          <t>KALMAR LÄN</t>
        </is>
      </c>
      <c r="E151" t="inlineStr">
        <is>
          <t>VIMMERBY</t>
        </is>
      </c>
      <c r="G151" t="n">
        <v>3.7</v>
      </c>
      <c r="H151" t="n">
        <v>0</v>
      </c>
      <c r="I151" t="n">
        <v>0</v>
      </c>
      <c r="J151" t="n">
        <v>0</v>
      </c>
      <c r="K151" t="n">
        <v>0</v>
      </c>
      <c r="L151" t="n">
        <v>0</v>
      </c>
      <c r="M151" t="n">
        <v>0</v>
      </c>
      <c r="N151" t="n">
        <v>0</v>
      </c>
      <c r="O151" t="n">
        <v>0</v>
      </c>
      <c r="P151" t="n">
        <v>0</v>
      </c>
      <c r="Q151" t="n">
        <v>0</v>
      </c>
      <c r="R151" s="2" t="inlineStr"/>
    </row>
    <row r="152" ht="15" customHeight="1">
      <c r="A152" t="inlineStr">
        <is>
          <t>A 58962-2022</t>
        </is>
      </c>
      <c r="B152" s="1" t="n">
        <v>44903</v>
      </c>
      <c r="C152" s="1" t="n">
        <v>46204</v>
      </c>
      <c r="D152" t="inlineStr">
        <is>
          <t>KALMAR LÄN</t>
        </is>
      </c>
      <c r="E152" t="inlineStr">
        <is>
          <t>VIMMERBY</t>
        </is>
      </c>
      <c r="G152" t="n">
        <v>1.1</v>
      </c>
      <c r="H152" t="n">
        <v>0</v>
      </c>
      <c r="I152" t="n">
        <v>0</v>
      </c>
      <c r="J152" t="n">
        <v>0</v>
      </c>
      <c r="K152" t="n">
        <v>0</v>
      </c>
      <c r="L152" t="n">
        <v>0</v>
      </c>
      <c r="M152" t="n">
        <v>0</v>
      </c>
      <c r="N152" t="n">
        <v>0</v>
      </c>
      <c r="O152" t="n">
        <v>0</v>
      </c>
      <c r="P152" t="n">
        <v>0</v>
      </c>
      <c r="Q152" t="n">
        <v>0</v>
      </c>
      <c r="R152" s="2" t="inlineStr"/>
    </row>
    <row r="153" ht="15" customHeight="1">
      <c r="A153" t="inlineStr">
        <is>
          <t>A 11027-2023</t>
        </is>
      </c>
      <c r="B153" s="1" t="n">
        <v>44991</v>
      </c>
      <c r="C153" s="1" t="n">
        <v>46204</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10837-2023</t>
        </is>
      </c>
      <c r="B154" s="1" t="n">
        <v>44991</v>
      </c>
      <c r="C154" s="1" t="n">
        <v>46204</v>
      </c>
      <c r="D154" t="inlineStr">
        <is>
          <t>KALMAR LÄN</t>
        </is>
      </c>
      <c r="E154" t="inlineStr">
        <is>
          <t>VIMMERBY</t>
        </is>
      </c>
      <c r="G154" t="n">
        <v>7.3</v>
      </c>
      <c r="H154" t="n">
        <v>0</v>
      </c>
      <c r="I154" t="n">
        <v>0</v>
      </c>
      <c r="J154" t="n">
        <v>0</v>
      </c>
      <c r="K154" t="n">
        <v>0</v>
      </c>
      <c r="L154" t="n">
        <v>0</v>
      </c>
      <c r="M154" t="n">
        <v>0</v>
      </c>
      <c r="N154" t="n">
        <v>0</v>
      </c>
      <c r="O154" t="n">
        <v>0</v>
      </c>
      <c r="P154" t="n">
        <v>0</v>
      </c>
      <c r="Q154" t="n">
        <v>0</v>
      </c>
      <c r="R154" s="2" t="inlineStr"/>
    </row>
    <row r="155" ht="15" customHeight="1">
      <c r="A155" t="inlineStr">
        <is>
          <t>A 10838-2023</t>
        </is>
      </c>
      <c r="B155" s="1" t="n">
        <v>44991</v>
      </c>
      <c r="C155" s="1" t="n">
        <v>46204</v>
      </c>
      <c r="D155" t="inlineStr">
        <is>
          <t>KALMAR LÄN</t>
        </is>
      </c>
      <c r="E155" t="inlineStr">
        <is>
          <t>VIMMERBY</t>
        </is>
      </c>
      <c r="G155" t="n">
        <v>5.1</v>
      </c>
      <c r="H155" t="n">
        <v>0</v>
      </c>
      <c r="I155" t="n">
        <v>0</v>
      </c>
      <c r="J155" t="n">
        <v>0</v>
      </c>
      <c r="K155" t="n">
        <v>0</v>
      </c>
      <c r="L155" t="n">
        <v>0</v>
      </c>
      <c r="M155" t="n">
        <v>0</v>
      </c>
      <c r="N155" t="n">
        <v>0</v>
      </c>
      <c r="O155" t="n">
        <v>0</v>
      </c>
      <c r="P155" t="n">
        <v>0</v>
      </c>
      <c r="Q155" t="n">
        <v>0</v>
      </c>
      <c r="R155" s="2" t="inlineStr"/>
    </row>
    <row r="156" ht="15" customHeight="1">
      <c r="A156" t="inlineStr">
        <is>
          <t>A 53483-2022</t>
        </is>
      </c>
      <c r="B156" s="1" t="n">
        <v>44879</v>
      </c>
      <c r="C156" s="1" t="n">
        <v>46204</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60951-2023</t>
        </is>
      </c>
      <c r="B157" s="1" t="n">
        <v>45261</v>
      </c>
      <c r="C157" s="1" t="n">
        <v>46204</v>
      </c>
      <c r="D157" t="inlineStr">
        <is>
          <t>KALMAR LÄN</t>
        </is>
      </c>
      <c r="E157" t="inlineStr">
        <is>
          <t>VIMMERBY</t>
        </is>
      </c>
      <c r="G157" t="n">
        <v>4.3</v>
      </c>
      <c r="H157" t="n">
        <v>0</v>
      </c>
      <c r="I157" t="n">
        <v>0</v>
      </c>
      <c r="J157" t="n">
        <v>0</v>
      </c>
      <c r="K157" t="n">
        <v>0</v>
      </c>
      <c r="L157" t="n">
        <v>0</v>
      </c>
      <c r="M157" t="n">
        <v>0</v>
      </c>
      <c r="N157" t="n">
        <v>0</v>
      </c>
      <c r="O157" t="n">
        <v>0</v>
      </c>
      <c r="P157" t="n">
        <v>0</v>
      </c>
      <c r="Q157" t="n">
        <v>0</v>
      </c>
      <c r="R157" s="2" t="inlineStr"/>
    </row>
    <row r="158" ht="15" customHeight="1">
      <c r="A158" t="inlineStr">
        <is>
          <t>A 60292-2022</t>
        </is>
      </c>
      <c r="B158" s="1" t="n">
        <v>44910</v>
      </c>
      <c r="C158" s="1" t="n">
        <v>46204</v>
      </c>
      <c r="D158" t="inlineStr">
        <is>
          <t>KALMAR LÄN</t>
        </is>
      </c>
      <c r="E158" t="inlineStr">
        <is>
          <t>VIMMERBY</t>
        </is>
      </c>
      <c r="G158" t="n">
        <v>4.4</v>
      </c>
      <c r="H158" t="n">
        <v>0</v>
      </c>
      <c r="I158" t="n">
        <v>0</v>
      </c>
      <c r="J158" t="n">
        <v>0</v>
      </c>
      <c r="K158" t="n">
        <v>0</v>
      </c>
      <c r="L158" t="n">
        <v>0</v>
      </c>
      <c r="M158" t="n">
        <v>0</v>
      </c>
      <c r="N158" t="n">
        <v>0</v>
      </c>
      <c r="O158" t="n">
        <v>0</v>
      </c>
      <c r="P158" t="n">
        <v>0</v>
      </c>
      <c r="Q158" t="n">
        <v>0</v>
      </c>
      <c r="R158" s="2" t="inlineStr"/>
    </row>
    <row r="159" ht="15" customHeight="1">
      <c r="A159" t="inlineStr">
        <is>
          <t>A 19537-2022</t>
        </is>
      </c>
      <c r="B159" s="1" t="n">
        <v>44693</v>
      </c>
      <c r="C159" s="1" t="n">
        <v>46204</v>
      </c>
      <c r="D159" t="inlineStr">
        <is>
          <t>KALMAR LÄN</t>
        </is>
      </c>
      <c r="E159" t="inlineStr">
        <is>
          <t>VIMMERBY</t>
        </is>
      </c>
      <c r="F159" t="inlineStr">
        <is>
          <t>Sveaskog</t>
        </is>
      </c>
      <c r="G159" t="n">
        <v>1.7</v>
      </c>
      <c r="H159" t="n">
        <v>0</v>
      </c>
      <c r="I159" t="n">
        <v>0</v>
      </c>
      <c r="J159" t="n">
        <v>0</v>
      </c>
      <c r="K159" t="n">
        <v>0</v>
      </c>
      <c r="L159" t="n">
        <v>0</v>
      </c>
      <c r="M159" t="n">
        <v>0</v>
      </c>
      <c r="N159" t="n">
        <v>0</v>
      </c>
      <c r="O159" t="n">
        <v>0</v>
      </c>
      <c r="P159" t="n">
        <v>0</v>
      </c>
      <c r="Q159" t="n">
        <v>0</v>
      </c>
      <c r="R159" s="2" t="inlineStr"/>
    </row>
    <row r="160" ht="15" customHeight="1">
      <c r="A160" t="inlineStr">
        <is>
          <t>A 19162-2023</t>
        </is>
      </c>
      <c r="B160" s="1" t="n">
        <v>45048</v>
      </c>
      <c r="C160" s="1" t="n">
        <v>46204</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7485-2024</t>
        </is>
      </c>
      <c r="B161" s="1" t="n">
        <v>45346</v>
      </c>
      <c r="C161" s="1" t="n">
        <v>46204</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9475-2023</t>
        </is>
      </c>
      <c r="B162" s="1" t="n">
        <v>44981</v>
      </c>
      <c r="C162" s="1" t="n">
        <v>46204</v>
      </c>
      <c r="D162" t="inlineStr">
        <is>
          <t>KALMAR LÄN</t>
        </is>
      </c>
      <c r="E162" t="inlineStr">
        <is>
          <t>VIMMERBY</t>
        </is>
      </c>
      <c r="G162" t="n">
        <v>2</v>
      </c>
      <c r="H162" t="n">
        <v>0</v>
      </c>
      <c r="I162" t="n">
        <v>0</v>
      </c>
      <c r="J162" t="n">
        <v>0</v>
      </c>
      <c r="K162" t="n">
        <v>0</v>
      </c>
      <c r="L162" t="n">
        <v>0</v>
      </c>
      <c r="M162" t="n">
        <v>0</v>
      </c>
      <c r="N162" t="n">
        <v>0</v>
      </c>
      <c r="O162" t="n">
        <v>0</v>
      </c>
      <c r="P162" t="n">
        <v>0</v>
      </c>
      <c r="Q162" t="n">
        <v>0</v>
      </c>
      <c r="R162" s="2" t="inlineStr"/>
    </row>
    <row r="163" ht="15" customHeight="1">
      <c r="A163" t="inlineStr">
        <is>
          <t>A 12590-2025</t>
        </is>
      </c>
      <c r="B163" s="1" t="n">
        <v>45732</v>
      </c>
      <c r="C163" s="1" t="n">
        <v>46204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35710-2023</t>
        </is>
      </c>
      <c r="B164" s="1" t="n">
        <v>45147</v>
      </c>
      <c r="C164" s="1" t="n">
        <v>46204</v>
      </c>
      <c r="D164" t="inlineStr">
        <is>
          <t>KALMAR LÄN</t>
        </is>
      </c>
      <c r="E164" t="inlineStr">
        <is>
          <t>VIMMERBY</t>
        </is>
      </c>
      <c r="G164" t="n">
        <v>3.1</v>
      </c>
      <c r="H164" t="n">
        <v>0</v>
      </c>
      <c r="I164" t="n">
        <v>0</v>
      </c>
      <c r="J164" t="n">
        <v>0</v>
      </c>
      <c r="K164" t="n">
        <v>0</v>
      </c>
      <c r="L164" t="n">
        <v>0</v>
      </c>
      <c r="M164" t="n">
        <v>0</v>
      </c>
      <c r="N164" t="n">
        <v>0</v>
      </c>
      <c r="O164" t="n">
        <v>0</v>
      </c>
      <c r="P164" t="n">
        <v>0</v>
      </c>
      <c r="Q164" t="n">
        <v>0</v>
      </c>
      <c r="R164" s="2" t="inlineStr"/>
    </row>
    <row r="165" ht="15" customHeight="1">
      <c r="A165" t="inlineStr">
        <is>
          <t>A 52823-2024</t>
        </is>
      </c>
      <c r="B165" s="1" t="n">
        <v>45610</v>
      </c>
      <c r="C165" s="1" t="n">
        <v>46204</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30402-2023</t>
        </is>
      </c>
      <c r="B166" s="1" t="n">
        <v>45111</v>
      </c>
      <c r="C166" s="1" t="n">
        <v>46204</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23252-2024</t>
        </is>
      </c>
      <c r="B167" s="1" t="n">
        <v>45453</v>
      </c>
      <c r="C167" s="1" t="n">
        <v>46204</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14548-2024</t>
        </is>
      </c>
      <c r="B168" s="1" t="n">
        <v>45394</v>
      </c>
      <c r="C168" s="1" t="n">
        <v>46204</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15550-2023</t>
        </is>
      </c>
      <c r="B169" s="1" t="n">
        <v>45020</v>
      </c>
      <c r="C169" s="1" t="n">
        <v>46204</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11147-2023</t>
        </is>
      </c>
      <c r="B170" s="1" t="n">
        <v>44992</v>
      </c>
      <c r="C170" s="1" t="n">
        <v>46204</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585-2024</t>
        </is>
      </c>
      <c r="B171" s="1" t="n">
        <v>45299</v>
      </c>
      <c r="C171" s="1" t="n">
        <v>46204</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19833-2023</t>
        </is>
      </c>
      <c r="B172" s="1" t="n">
        <v>45052</v>
      </c>
      <c r="C172" s="1" t="n">
        <v>46204</v>
      </c>
      <c r="D172" t="inlineStr">
        <is>
          <t>KALMAR LÄN</t>
        </is>
      </c>
      <c r="E172" t="inlineStr">
        <is>
          <t>VIMMERBY</t>
        </is>
      </c>
      <c r="G172" t="n">
        <v>6.7</v>
      </c>
      <c r="H172" t="n">
        <v>0</v>
      </c>
      <c r="I172" t="n">
        <v>0</v>
      </c>
      <c r="J172" t="n">
        <v>0</v>
      </c>
      <c r="K172" t="n">
        <v>0</v>
      </c>
      <c r="L172" t="n">
        <v>0</v>
      </c>
      <c r="M172" t="n">
        <v>0</v>
      </c>
      <c r="N172" t="n">
        <v>0</v>
      </c>
      <c r="O172" t="n">
        <v>0</v>
      </c>
      <c r="P172" t="n">
        <v>0</v>
      </c>
      <c r="Q172" t="n">
        <v>0</v>
      </c>
      <c r="R172" s="2" t="inlineStr"/>
    </row>
    <row r="173" ht="15" customHeight="1">
      <c r="A173" t="inlineStr">
        <is>
          <t>A 47855-2024</t>
        </is>
      </c>
      <c r="B173" s="1" t="n">
        <v>45588</v>
      </c>
      <c r="C173" s="1" t="n">
        <v>46204</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56020-2024</t>
        </is>
      </c>
      <c r="B174" s="1" t="n">
        <v>45623</v>
      </c>
      <c r="C174" s="1" t="n">
        <v>46204</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11219-2023</t>
        </is>
      </c>
      <c r="B175" s="1" t="n">
        <v>44992</v>
      </c>
      <c r="C175" s="1" t="n">
        <v>46204</v>
      </c>
      <c r="D175" t="inlineStr">
        <is>
          <t>KALMAR LÄN</t>
        </is>
      </c>
      <c r="E175" t="inlineStr">
        <is>
          <t>VIMMERBY</t>
        </is>
      </c>
      <c r="G175" t="n">
        <v>2.5</v>
      </c>
      <c r="H175" t="n">
        <v>0</v>
      </c>
      <c r="I175" t="n">
        <v>0</v>
      </c>
      <c r="J175" t="n">
        <v>0</v>
      </c>
      <c r="K175" t="n">
        <v>0</v>
      </c>
      <c r="L175" t="n">
        <v>0</v>
      </c>
      <c r="M175" t="n">
        <v>0</v>
      </c>
      <c r="N175" t="n">
        <v>0</v>
      </c>
      <c r="O175" t="n">
        <v>0</v>
      </c>
      <c r="P175" t="n">
        <v>0</v>
      </c>
      <c r="Q175" t="n">
        <v>0</v>
      </c>
      <c r="R175" s="2" t="inlineStr"/>
    </row>
    <row r="176" ht="15" customHeight="1">
      <c r="A176" t="inlineStr">
        <is>
          <t>A 52324-2023</t>
        </is>
      </c>
      <c r="B176" s="1" t="n">
        <v>45224</v>
      </c>
      <c r="C176" s="1" t="n">
        <v>46204</v>
      </c>
      <c r="D176" t="inlineStr">
        <is>
          <t>KALMAR LÄN</t>
        </is>
      </c>
      <c r="E176" t="inlineStr">
        <is>
          <t>VIMMERBY</t>
        </is>
      </c>
      <c r="F176" t="inlineStr">
        <is>
          <t>Sveaskog</t>
        </is>
      </c>
      <c r="G176" t="n">
        <v>2.9</v>
      </c>
      <c r="H176" t="n">
        <v>0</v>
      </c>
      <c r="I176" t="n">
        <v>0</v>
      </c>
      <c r="J176" t="n">
        <v>0</v>
      </c>
      <c r="K176" t="n">
        <v>0</v>
      </c>
      <c r="L176" t="n">
        <v>0</v>
      </c>
      <c r="M176" t="n">
        <v>0</v>
      </c>
      <c r="N176" t="n">
        <v>0</v>
      </c>
      <c r="O176" t="n">
        <v>0</v>
      </c>
      <c r="P176" t="n">
        <v>0</v>
      </c>
      <c r="Q176" t="n">
        <v>0</v>
      </c>
      <c r="R176" s="2" t="inlineStr"/>
    </row>
    <row r="177" ht="15" customHeight="1">
      <c r="A177" t="inlineStr">
        <is>
          <t>A 16734-2023</t>
        </is>
      </c>
      <c r="B177" s="1" t="n">
        <v>45030</v>
      </c>
      <c r="C177" s="1" t="n">
        <v>46204</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23341-2022</t>
        </is>
      </c>
      <c r="B178" s="1" t="n">
        <v>44720</v>
      </c>
      <c r="C178" s="1" t="n">
        <v>46204</v>
      </c>
      <c r="D178" t="inlineStr">
        <is>
          <t>KALMAR LÄN</t>
        </is>
      </c>
      <c r="E178" t="inlineStr">
        <is>
          <t>VIMMERBY</t>
        </is>
      </c>
      <c r="G178" t="n">
        <v>0.8</v>
      </c>
      <c r="H178" t="n">
        <v>0</v>
      </c>
      <c r="I178" t="n">
        <v>0</v>
      </c>
      <c r="J178" t="n">
        <v>0</v>
      </c>
      <c r="K178" t="n">
        <v>0</v>
      </c>
      <c r="L178" t="n">
        <v>0</v>
      </c>
      <c r="M178" t="n">
        <v>0</v>
      </c>
      <c r="N178" t="n">
        <v>0</v>
      </c>
      <c r="O178" t="n">
        <v>0</v>
      </c>
      <c r="P178" t="n">
        <v>0</v>
      </c>
      <c r="Q178" t="n">
        <v>0</v>
      </c>
      <c r="R178" s="2" t="inlineStr"/>
    </row>
    <row r="179" ht="15" customHeight="1">
      <c r="A179" t="inlineStr">
        <is>
          <t>A 55236-2023</t>
        </is>
      </c>
      <c r="B179" s="1" t="n">
        <v>45237</v>
      </c>
      <c r="C179" s="1" t="n">
        <v>46204</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55245-2023</t>
        </is>
      </c>
      <c r="B180" s="1" t="n">
        <v>45237</v>
      </c>
      <c r="C180" s="1" t="n">
        <v>46204</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37028-2024</t>
        </is>
      </c>
      <c r="B181" s="1" t="n">
        <v>45539</v>
      </c>
      <c r="C181" s="1" t="n">
        <v>46204</v>
      </c>
      <c r="D181" t="inlineStr">
        <is>
          <t>KALMAR LÄN</t>
        </is>
      </c>
      <c r="E181" t="inlineStr">
        <is>
          <t>VIMMERBY</t>
        </is>
      </c>
      <c r="G181" t="n">
        <v>5.2</v>
      </c>
      <c r="H181" t="n">
        <v>0</v>
      </c>
      <c r="I181" t="n">
        <v>0</v>
      </c>
      <c r="J181" t="n">
        <v>0</v>
      </c>
      <c r="K181" t="n">
        <v>0</v>
      </c>
      <c r="L181" t="n">
        <v>0</v>
      </c>
      <c r="M181" t="n">
        <v>0</v>
      </c>
      <c r="N181" t="n">
        <v>0</v>
      </c>
      <c r="O181" t="n">
        <v>0</v>
      </c>
      <c r="P181" t="n">
        <v>0</v>
      </c>
      <c r="Q181" t="n">
        <v>0</v>
      </c>
      <c r="R181" s="2" t="inlineStr"/>
    </row>
    <row r="182" ht="15" customHeight="1">
      <c r="A182" t="inlineStr">
        <is>
          <t>A 36055-2024</t>
        </is>
      </c>
      <c r="B182" s="1" t="n">
        <v>45533</v>
      </c>
      <c r="C182" s="1" t="n">
        <v>46204</v>
      </c>
      <c r="D182" t="inlineStr">
        <is>
          <t>KALMAR LÄN</t>
        </is>
      </c>
      <c r="E182" t="inlineStr">
        <is>
          <t>VIMMERBY</t>
        </is>
      </c>
      <c r="F182" t="inlineStr">
        <is>
          <t>Kommuner</t>
        </is>
      </c>
      <c r="G182" t="n">
        <v>1.9</v>
      </c>
      <c r="H182" t="n">
        <v>0</v>
      </c>
      <c r="I182" t="n">
        <v>0</v>
      </c>
      <c r="J182" t="n">
        <v>0</v>
      </c>
      <c r="K182" t="n">
        <v>0</v>
      </c>
      <c r="L182" t="n">
        <v>0</v>
      </c>
      <c r="M182" t="n">
        <v>0</v>
      </c>
      <c r="N182" t="n">
        <v>0</v>
      </c>
      <c r="O182" t="n">
        <v>0</v>
      </c>
      <c r="P182" t="n">
        <v>0</v>
      </c>
      <c r="Q182" t="n">
        <v>0</v>
      </c>
      <c r="R182" s="2" t="inlineStr"/>
    </row>
    <row r="183" ht="15" customHeight="1">
      <c r="A183" t="inlineStr">
        <is>
          <t>A 27443-2023</t>
        </is>
      </c>
      <c r="B183" s="1" t="n">
        <v>45097</v>
      </c>
      <c r="C183" s="1" t="n">
        <v>46204</v>
      </c>
      <c r="D183" t="inlineStr">
        <is>
          <t>KALMAR LÄN</t>
        </is>
      </c>
      <c r="E183" t="inlineStr">
        <is>
          <t>VIMMERBY</t>
        </is>
      </c>
      <c r="F183" t="inlineStr">
        <is>
          <t>Övriga Aktiebolag</t>
        </is>
      </c>
      <c r="G183" t="n">
        <v>2.3</v>
      </c>
      <c r="H183" t="n">
        <v>0</v>
      </c>
      <c r="I183" t="n">
        <v>0</v>
      </c>
      <c r="J183" t="n">
        <v>0</v>
      </c>
      <c r="K183" t="n">
        <v>0</v>
      </c>
      <c r="L183" t="n">
        <v>0</v>
      </c>
      <c r="M183" t="n">
        <v>0</v>
      </c>
      <c r="N183" t="n">
        <v>0</v>
      </c>
      <c r="O183" t="n">
        <v>0</v>
      </c>
      <c r="P183" t="n">
        <v>0</v>
      </c>
      <c r="Q183" t="n">
        <v>0</v>
      </c>
      <c r="R183" s="2" t="inlineStr"/>
    </row>
    <row r="184" ht="15" customHeight="1">
      <c r="A184" t="inlineStr">
        <is>
          <t>A 6668-2023</t>
        </is>
      </c>
      <c r="B184" s="1" t="n">
        <v>44966</v>
      </c>
      <c r="C184" s="1" t="n">
        <v>46204</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29168-2024</t>
        </is>
      </c>
      <c r="B185" s="1" t="n">
        <v>45482</v>
      </c>
      <c r="C185" s="1" t="n">
        <v>46204</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845-2023</t>
        </is>
      </c>
      <c r="B186" s="1" t="n">
        <v>44931</v>
      </c>
      <c r="C186" s="1" t="n">
        <v>46204</v>
      </c>
      <c r="D186" t="inlineStr">
        <is>
          <t>KALMAR LÄN</t>
        </is>
      </c>
      <c r="E186" t="inlineStr">
        <is>
          <t>VIMMERBY</t>
        </is>
      </c>
      <c r="F186" t="inlineStr">
        <is>
          <t>Övriga Aktiebolag</t>
        </is>
      </c>
      <c r="G186" t="n">
        <v>19</v>
      </c>
      <c r="H186" t="n">
        <v>0</v>
      </c>
      <c r="I186" t="n">
        <v>0</v>
      </c>
      <c r="J186" t="n">
        <v>0</v>
      </c>
      <c r="K186" t="n">
        <v>0</v>
      </c>
      <c r="L186" t="n">
        <v>0</v>
      </c>
      <c r="M186" t="n">
        <v>0</v>
      </c>
      <c r="N186" t="n">
        <v>0</v>
      </c>
      <c r="O186" t="n">
        <v>0</v>
      </c>
      <c r="P186" t="n">
        <v>0</v>
      </c>
      <c r="Q186" t="n">
        <v>0</v>
      </c>
      <c r="R186" s="2" t="inlineStr"/>
    </row>
    <row r="187" ht="15" customHeight="1">
      <c r="A187" t="inlineStr">
        <is>
          <t>A 40730-2024</t>
        </is>
      </c>
      <c r="B187" s="1" t="n">
        <v>45558</v>
      </c>
      <c r="C187" s="1" t="n">
        <v>46204</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39584-2024</t>
        </is>
      </c>
      <c r="B188" s="1" t="n">
        <v>45552</v>
      </c>
      <c r="C188" s="1" t="n">
        <v>46204</v>
      </c>
      <c r="D188" t="inlineStr">
        <is>
          <t>KALMAR LÄN</t>
        </is>
      </c>
      <c r="E188" t="inlineStr">
        <is>
          <t>VIMMERBY</t>
        </is>
      </c>
      <c r="G188" t="n">
        <v>1.9</v>
      </c>
      <c r="H188" t="n">
        <v>0</v>
      </c>
      <c r="I188" t="n">
        <v>0</v>
      </c>
      <c r="J188" t="n">
        <v>0</v>
      </c>
      <c r="K188" t="n">
        <v>0</v>
      </c>
      <c r="L188" t="n">
        <v>0</v>
      </c>
      <c r="M188" t="n">
        <v>0</v>
      </c>
      <c r="N188" t="n">
        <v>0</v>
      </c>
      <c r="O188" t="n">
        <v>0</v>
      </c>
      <c r="P188" t="n">
        <v>0</v>
      </c>
      <c r="Q188" t="n">
        <v>0</v>
      </c>
      <c r="R188" s="2" t="inlineStr"/>
    </row>
    <row r="189" ht="15" customHeight="1">
      <c r="A189" t="inlineStr">
        <is>
          <t>A 51881-2024</t>
        </is>
      </c>
      <c r="B189" s="1" t="n">
        <v>45607</v>
      </c>
      <c r="C189" s="1" t="n">
        <v>46204</v>
      </c>
      <c r="D189" t="inlineStr">
        <is>
          <t>KALMAR LÄN</t>
        </is>
      </c>
      <c r="E189" t="inlineStr">
        <is>
          <t>VIMMERBY</t>
        </is>
      </c>
      <c r="G189" t="n">
        <v>3.4</v>
      </c>
      <c r="H189" t="n">
        <v>0</v>
      </c>
      <c r="I189" t="n">
        <v>0</v>
      </c>
      <c r="J189" t="n">
        <v>0</v>
      </c>
      <c r="K189" t="n">
        <v>0</v>
      </c>
      <c r="L189" t="n">
        <v>0</v>
      </c>
      <c r="M189" t="n">
        <v>0</v>
      </c>
      <c r="N189" t="n">
        <v>0</v>
      </c>
      <c r="O189" t="n">
        <v>0</v>
      </c>
      <c r="P189" t="n">
        <v>0</v>
      </c>
      <c r="Q189" t="n">
        <v>0</v>
      </c>
      <c r="R189" s="2" t="inlineStr"/>
    </row>
    <row r="190" ht="15" customHeight="1">
      <c r="A190" t="inlineStr">
        <is>
          <t>A 2596-2025</t>
        </is>
      </c>
      <c r="B190" s="1" t="n">
        <v>45674</v>
      </c>
      <c r="C190" s="1" t="n">
        <v>46204</v>
      </c>
      <c r="D190" t="inlineStr">
        <is>
          <t>KALMAR LÄN</t>
        </is>
      </c>
      <c r="E190" t="inlineStr">
        <is>
          <t>VIMMERBY</t>
        </is>
      </c>
      <c r="G190" t="n">
        <v>9</v>
      </c>
      <c r="H190" t="n">
        <v>0</v>
      </c>
      <c r="I190" t="n">
        <v>0</v>
      </c>
      <c r="J190" t="n">
        <v>0</v>
      </c>
      <c r="K190" t="n">
        <v>0</v>
      </c>
      <c r="L190" t="n">
        <v>0</v>
      </c>
      <c r="M190" t="n">
        <v>0</v>
      </c>
      <c r="N190" t="n">
        <v>0</v>
      </c>
      <c r="O190" t="n">
        <v>0</v>
      </c>
      <c r="P190" t="n">
        <v>0</v>
      </c>
      <c r="Q190" t="n">
        <v>0</v>
      </c>
      <c r="R190" s="2" t="inlineStr"/>
    </row>
    <row r="191" ht="15" customHeight="1">
      <c r="A191" t="inlineStr">
        <is>
          <t>A 6321-2023</t>
        </is>
      </c>
      <c r="B191" s="1" t="n">
        <v>44965</v>
      </c>
      <c r="C191" s="1" t="n">
        <v>46204</v>
      </c>
      <c r="D191" t="inlineStr">
        <is>
          <t>KALMAR LÄN</t>
        </is>
      </c>
      <c r="E191" t="inlineStr">
        <is>
          <t>VIMMERBY</t>
        </is>
      </c>
      <c r="G191" t="n">
        <v>1.8</v>
      </c>
      <c r="H191" t="n">
        <v>0</v>
      </c>
      <c r="I191" t="n">
        <v>0</v>
      </c>
      <c r="J191" t="n">
        <v>0</v>
      </c>
      <c r="K191" t="n">
        <v>0</v>
      </c>
      <c r="L191" t="n">
        <v>0</v>
      </c>
      <c r="M191" t="n">
        <v>0</v>
      </c>
      <c r="N191" t="n">
        <v>0</v>
      </c>
      <c r="O191" t="n">
        <v>0</v>
      </c>
      <c r="P191" t="n">
        <v>0</v>
      </c>
      <c r="Q191" t="n">
        <v>0</v>
      </c>
      <c r="R191" s="2" t="inlineStr"/>
    </row>
    <row r="192" ht="15" customHeight="1">
      <c r="A192" t="inlineStr">
        <is>
          <t>A 4624-2024</t>
        </is>
      </c>
      <c r="B192" s="1" t="n">
        <v>45328</v>
      </c>
      <c r="C192" s="1" t="n">
        <v>46204</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2157-2024</t>
        </is>
      </c>
      <c r="B193" s="1" t="n">
        <v>45309</v>
      </c>
      <c r="C193" s="1" t="n">
        <v>46204</v>
      </c>
      <c r="D193" t="inlineStr">
        <is>
          <t>KALMAR LÄN</t>
        </is>
      </c>
      <c r="E193" t="inlineStr">
        <is>
          <t>VIMMERBY</t>
        </is>
      </c>
      <c r="G193" t="n">
        <v>0.7</v>
      </c>
      <c r="H193" t="n">
        <v>0</v>
      </c>
      <c r="I193" t="n">
        <v>0</v>
      </c>
      <c r="J193" t="n">
        <v>0</v>
      </c>
      <c r="K193" t="n">
        <v>0</v>
      </c>
      <c r="L193" t="n">
        <v>0</v>
      </c>
      <c r="M193" t="n">
        <v>0</v>
      </c>
      <c r="N193" t="n">
        <v>0</v>
      </c>
      <c r="O193" t="n">
        <v>0</v>
      </c>
      <c r="P193" t="n">
        <v>0</v>
      </c>
      <c r="Q193" t="n">
        <v>0</v>
      </c>
      <c r="R193" s="2" t="inlineStr"/>
    </row>
    <row r="194" ht="15" customHeight="1">
      <c r="A194" t="inlineStr">
        <is>
          <t>A 49461-2022</t>
        </is>
      </c>
      <c r="B194" s="1" t="n">
        <v>44861</v>
      </c>
      <c r="C194" s="1" t="n">
        <v>46204</v>
      </c>
      <c r="D194" t="inlineStr">
        <is>
          <t>KALMAR LÄN</t>
        </is>
      </c>
      <c r="E194" t="inlineStr">
        <is>
          <t>VIMMERBY</t>
        </is>
      </c>
      <c r="G194" t="n">
        <v>3.2</v>
      </c>
      <c r="H194" t="n">
        <v>0</v>
      </c>
      <c r="I194" t="n">
        <v>0</v>
      </c>
      <c r="J194" t="n">
        <v>0</v>
      </c>
      <c r="K194" t="n">
        <v>0</v>
      </c>
      <c r="L194" t="n">
        <v>0</v>
      </c>
      <c r="M194" t="n">
        <v>0</v>
      </c>
      <c r="N194" t="n">
        <v>0</v>
      </c>
      <c r="O194" t="n">
        <v>0</v>
      </c>
      <c r="P194" t="n">
        <v>0</v>
      </c>
      <c r="Q194" t="n">
        <v>0</v>
      </c>
      <c r="R194" s="2" t="inlineStr"/>
    </row>
    <row r="195" ht="15" customHeight="1">
      <c r="A195" t="inlineStr">
        <is>
          <t>A 694-2024</t>
        </is>
      </c>
      <c r="B195" s="1" t="n">
        <v>45300</v>
      </c>
      <c r="C195" s="1" t="n">
        <v>46204</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35198-2023</t>
        </is>
      </c>
      <c r="B196" s="1" t="n">
        <v>45145</v>
      </c>
      <c r="C196" s="1" t="n">
        <v>46204</v>
      </c>
      <c r="D196" t="inlineStr">
        <is>
          <t>KALMAR LÄN</t>
        </is>
      </c>
      <c r="E196" t="inlineStr">
        <is>
          <t>VIMMERBY</t>
        </is>
      </c>
      <c r="G196" t="n">
        <v>1.6</v>
      </c>
      <c r="H196" t="n">
        <v>0</v>
      </c>
      <c r="I196" t="n">
        <v>0</v>
      </c>
      <c r="J196" t="n">
        <v>0</v>
      </c>
      <c r="K196" t="n">
        <v>0</v>
      </c>
      <c r="L196" t="n">
        <v>0</v>
      </c>
      <c r="M196" t="n">
        <v>0</v>
      </c>
      <c r="N196" t="n">
        <v>0</v>
      </c>
      <c r="O196" t="n">
        <v>0</v>
      </c>
      <c r="P196" t="n">
        <v>0</v>
      </c>
      <c r="Q196" t="n">
        <v>0</v>
      </c>
      <c r="R196" s="2" t="inlineStr"/>
    </row>
    <row r="197" ht="15" customHeight="1">
      <c r="A197" t="inlineStr">
        <is>
          <t>A 59598-2023</t>
        </is>
      </c>
      <c r="B197" s="1" t="n">
        <v>45254</v>
      </c>
      <c r="C197" s="1" t="n">
        <v>46204</v>
      </c>
      <c r="D197" t="inlineStr">
        <is>
          <t>KALMAR LÄN</t>
        </is>
      </c>
      <c r="E197" t="inlineStr">
        <is>
          <t>VIMMERBY</t>
        </is>
      </c>
      <c r="F197" t="inlineStr">
        <is>
          <t>Övriga Aktiebolag</t>
        </is>
      </c>
      <c r="G197" t="n">
        <v>4</v>
      </c>
      <c r="H197" t="n">
        <v>0</v>
      </c>
      <c r="I197" t="n">
        <v>0</v>
      </c>
      <c r="J197" t="n">
        <v>0</v>
      </c>
      <c r="K197" t="n">
        <v>0</v>
      </c>
      <c r="L197" t="n">
        <v>0</v>
      </c>
      <c r="M197" t="n">
        <v>0</v>
      </c>
      <c r="N197" t="n">
        <v>0</v>
      </c>
      <c r="O197" t="n">
        <v>0</v>
      </c>
      <c r="P197" t="n">
        <v>0</v>
      </c>
      <c r="Q197" t="n">
        <v>0</v>
      </c>
      <c r="R197" s="2" t="inlineStr"/>
    </row>
    <row r="198" ht="15" customHeight="1">
      <c r="A198" t="inlineStr">
        <is>
          <t>A 7944-2024</t>
        </is>
      </c>
      <c r="B198" s="1" t="n">
        <v>45350</v>
      </c>
      <c r="C198" s="1" t="n">
        <v>46204</v>
      </c>
      <c r="D198" t="inlineStr">
        <is>
          <t>KALMAR LÄN</t>
        </is>
      </c>
      <c r="E198" t="inlineStr">
        <is>
          <t>VIMMERBY</t>
        </is>
      </c>
      <c r="G198" t="n">
        <v>1.2</v>
      </c>
      <c r="H198" t="n">
        <v>0</v>
      </c>
      <c r="I198" t="n">
        <v>0</v>
      </c>
      <c r="J198" t="n">
        <v>0</v>
      </c>
      <c r="K198" t="n">
        <v>0</v>
      </c>
      <c r="L198" t="n">
        <v>0</v>
      </c>
      <c r="M198" t="n">
        <v>0</v>
      </c>
      <c r="N198" t="n">
        <v>0</v>
      </c>
      <c r="O198" t="n">
        <v>0</v>
      </c>
      <c r="P198" t="n">
        <v>0</v>
      </c>
      <c r="Q198" t="n">
        <v>0</v>
      </c>
      <c r="R198" s="2" t="inlineStr"/>
    </row>
    <row r="199" ht="15" customHeight="1">
      <c r="A199" t="inlineStr">
        <is>
          <t>A 43853-2023</t>
        </is>
      </c>
      <c r="B199" s="1" t="n">
        <v>45187</v>
      </c>
      <c r="C199" s="1" t="n">
        <v>46204</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38757-2023</t>
        </is>
      </c>
      <c r="B200" s="1" t="n">
        <v>45163</v>
      </c>
      <c r="C200" s="1" t="n">
        <v>46204</v>
      </c>
      <c r="D200" t="inlineStr">
        <is>
          <t>KALMAR LÄN</t>
        </is>
      </c>
      <c r="E200" t="inlineStr">
        <is>
          <t>VIMMERBY</t>
        </is>
      </c>
      <c r="G200" t="n">
        <v>2.5</v>
      </c>
      <c r="H200" t="n">
        <v>0</v>
      </c>
      <c r="I200" t="n">
        <v>0</v>
      </c>
      <c r="J200" t="n">
        <v>0</v>
      </c>
      <c r="K200" t="n">
        <v>0</v>
      </c>
      <c r="L200" t="n">
        <v>0</v>
      </c>
      <c r="M200" t="n">
        <v>0</v>
      </c>
      <c r="N200" t="n">
        <v>0</v>
      </c>
      <c r="O200" t="n">
        <v>0</v>
      </c>
      <c r="P200" t="n">
        <v>0</v>
      </c>
      <c r="Q200" t="n">
        <v>0</v>
      </c>
      <c r="R200" s="2" t="inlineStr"/>
    </row>
    <row r="201" ht="15" customHeight="1">
      <c r="A201" t="inlineStr">
        <is>
          <t>A 9511-2023</t>
        </is>
      </c>
      <c r="B201" s="1" t="n">
        <v>44981</v>
      </c>
      <c r="C201" s="1" t="n">
        <v>46204</v>
      </c>
      <c r="D201" t="inlineStr">
        <is>
          <t>KALMAR LÄN</t>
        </is>
      </c>
      <c r="E201" t="inlineStr">
        <is>
          <t>VIMMERBY</t>
        </is>
      </c>
      <c r="G201" t="n">
        <v>3.5</v>
      </c>
      <c r="H201" t="n">
        <v>0</v>
      </c>
      <c r="I201" t="n">
        <v>0</v>
      </c>
      <c r="J201" t="n">
        <v>0</v>
      </c>
      <c r="K201" t="n">
        <v>0</v>
      </c>
      <c r="L201" t="n">
        <v>0</v>
      </c>
      <c r="M201" t="n">
        <v>0</v>
      </c>
      <c r="N201" t="n">
        <v>0</v>
      </c>
      <c r="O201" t="n">
        <v>0</v>
      </c>
      <c r="P201" t="n">
        <v>0</v>
      </c>
      <c r="Q201" t="n">
        <v>0</v>
      </c>
      <c r="R201" s="2" t="inlineStr"/>
    </row>
    <row r="202" ht="15" customHeight="1">
      <c r="A202" t="inlineStr">
        <is>
          <t>A 21496-2023</t>
        </is>
      </c>
      <c r="B202" s="1" t="n">
        <v>45063</v>
      </c>
      <c r="C202" s="1" t="n">
        <v>46204</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40076-2021</t>
        </is>
      </c>
      <c r="B203" s="1" t="n">
        <v>44418</v>
      </c>
      <c r="C203" s="1" t="n">
        <v>46204</v>
      </c>
      <c r="D203" t="inlineStr">
        <is>
          <t>KALMAR LÄN</t>
        </is>
      </c>
      <c r="E203" t="inlineStr">
        <is>
          <t>VIMMERBY</t>
        </is>
      </c>
      <c r="G203" t="n">
        <v>2</v>
      </c>
      <c r="H203" t="n">
        <v>0</v>
      </c>
      <c r="I203" t="n">
        <v>0</v>
      </c>
      <c r="J203" t="n">
        <v>0</v>
      </c>
      <c r="K203" t="n">
        <v>0</v>
      </c>
      <c r="L203" t="n">
        <v>0</v>
      </c>
      <c r="M203" t="n">
        <v>0</v>
      </c>
      <c r="N203" t="n">
        <v>0</v>
      </c>
      <c r="O203" t="n">
        <v>0</v>
      </c>
      <c r="P203" t="n">
        <v>0</v>
      </c>
      <c r="Q203" t="n">
        <v>0</v>
      </c>
      <c r="R203" s="2" t="inlineStr"/>
    </row>
    <row r="204" ht="15" customHeight="1">
      <c r="A204" t="inlineStr">
        <is>
          <t>A 50648-2023</t>
        </is>
      </c>
      <c r="B204" s="1" t="n">
        <v>45217</v>
      </c>
      <c r="C204" s="1" t="n">
        <v>46204</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64143-2021</t>
        </is>
      </c>
      <c r="B205" s="1" t="n">
        <v>44510</v>
      </c>
      <c r="C205" s="1" t="n">
        <v>46204</v>
      </c>
      <c r="D205" t="inlineStr">
        <is>
          <t>KALMAR LÄN</t>
        </is>
      </c>
      <c r="E205" t="inlineStr">
        <is>
          <t>VIMMERBY</t>
        </is>
      </c>
      <c r="G205" t="n">
        <v>1.6</v>
      </c>
      <c r="H205" t="n">
        <v>0</v>
      </c>
      <c r="I205" t="n">
        <v>0</v>
      </c>
      <c r="J205" t="n">
        <v>0</v>
      </c>
      <c r="K205" t="n">
        <v>0</v>
      </c>
      <c r="L205" t="n">
        <v>0</v>
      </c>
      <c r="M205" t="n">
        <v>0</v>
      </c>
      <c r="N205" t="n">
        <v>0</v>
      </c>
      <c r="O205" t="n">
        <v>0</v>
      </c>
      <c r="P205" t="n">
        <v>0</v>
      </c>
      <c r="Q205" t="n">
        <v>0</v>
      </c>
      <c r="R205" s="2" t="inlineStr"/>
    </row>
    <row r="206" ht="15" customHeight="1">
      <c r="A206" t="inlineStr">
        <is>
          <t>A 529-2022</t>
        </is>
      </c>
      <c r="B206" s="1" t="n">
        <v>44566</v>
      </c>
      <c r="C206" s="1" t="n">
        <v>46204</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58318-2021</t>
        </is>
      </c>
      <c r="B207" s="1" t="n">
        <v>44488</v>
      </c>
      <c r="C207" s="1" t="n">
        <v>46204</v>
      </c>
      <c r="D207" t="inlineStr">
        <is>
          <t>KALMAR LÄN</t>
        </is>
      </c>
      <c r="E207" t="inlineStr">
        <is>
          <t>VIMMERBY</t>
        </is>
      </c>
      <c r="G207" t="n">
        <v>4</v>
      </c>
      <c r="H207" t="n">
        <v>0</v>
      </c>
      <c r="I207" t="n">
        <v>0</v>
      </c>
      <c r="J207" t="n">
        <v>0</v>
      </c>
      <c r="K207" t="n">
        <v>0</v>
      </c>
      <c r="L207" t="n">
        <v>0</v>
      </c>
      <c r="M207" t="n">
        <v>0</v>
      </c>
      <c r="N207" t="n">
        <v>0</v>
      </c>
      <c r="O207" t="n">
        <v>0</v>
      </c>
      <c r="P207" t="n">
        <v>0</v>
      </c>
      <c r="Q207" t="n">
        <v>0</v>
      </c>
      <c r="R207" s="2" t="inlineStr"/>
    </row>
    <row r="208" ht="15" customHeight="1">
      <c r="A208" t="inlineStr">
        <is>
          <t>A 73938-2021</t>
        </is>
      </c>
      <c r="B208" s="1" t="n">
        <v>44553</v>
      </c>
      <c r="C208" s="1" t="n">
        <v>46204</v>
      </c>
      <c r="D208" t="inlineStr">
        <is>
          <t>KALMAR LÄN</t>
        </is>
      </c>
      <c r="E208" t="inlineStr">
        <is>
          <t>VIMMERBY</t>
        </is>
      </c>
      <c r="G208" t="n">
        <v>3.2</v>
      </c>
      <c r="H208" t="n">
        <v>0</v>
      </c>
      <c r="I208" t="n">
        <v>0</v>
      </c>
      <c r="J208" t="n">
        <v>0</v>
      </c>
      <c r="K208" t="n">
        <v>0</v>
      </c>
      <c r="L208" t="n">
        <v>0</v>
      </c>
      <c r="M208" t="n">
        <v>0</v>
      </c>
      <c r="N208" t="n">
        <v>0</v>
      </c>
      <c r="O208" t="n">
        <v>0</v>
      </c>
      <c r="P208" t="n">
        <v>0</v>
      </c>
      <c r="Q208" t="n">
        <v>0</v>
      </c>
      <c r="R208" s="2" t="inlineStr"/>
    </row>
    <row r="209" ht="15" customHeight="1">
      <c r="A209" t="inlineStr">
        <is>
          <t>A 89-2023</t>
        </is>
      </c>
      <c r="B209" s="1" t="n">
        <v>44918</v>
      </c>
      <c r="C209" s="1" t="n">
        <v>46204</v>
      </c>
      <c r="D209" t="inlineStr">
        <is>
          <t>KALMAR LÄN</t>
        </is>
      </c>
      <c r="E209" t="inlineStr">
        <is>
          <t>VIMMERBY</t>
        </is>
      </c>
      <c r="G209" t="n">
        <v>16.1</v>
      </c>
      <c r="H209" t="n">
        <v>0</v>
      </c>
      <c r="I209" t="n">
        <v>0</v>
      </c>
      <c r="J209" t="n">
        <v>0</v>
      </c>
      <c r="K209" t="n">
        <v>0</v>
      </c>
      <c r="L209" t="n">
        <v>0</v>
      </c>
      <c r="M209" t="n">
        <v>0</v>
      </c>
      <c r="N209" t="n">
        <v>0</v>
      </c>
      <c r="O209" t="n">
        <v>0</v>
      </c>
      <c r="P209" t="n">
        <v>0</v>
      </c>
      <c r="Q209" t="n">
        <v>0</v>
      </c>
      <c r="R209" s="2" t="inlineStr"/>
    </row>
    <row r="210" ht="15" customHeight="1">
      <c r="A210" t="inlineStr">
        <is>
          <t>A 23088-2024</t>
        </is>
      </c>
      <c r="B210" s="1" t="n">
        <v>45450</v>
      </c>
      <c r="C210" s="1" t="n">
        <v>46204</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63583-2023</t>
        </is>
      </c>
      <c r="B211" s="1" t="n">
        <v>45275</v>
      </c>
      <c r="C211" s="1" t="n">
        <v>46204</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39578-2024</t>
        </is>
      </c>
      <c r="B212" s="1" t="n">
        <v>45552</v>
      </c>
      <c r="C212" s="1" t="n">
        <v>46204</v>
      </c>
      <c r="D212" t="inlineStr">
        <is>
          <t>KALMAR LÄN</t>
        </is>
      </c>
      <c r="E212" t="inlineStr">
        <is>
          <t>VIMMERBY</t>
        </is>
      </c>
      <c r="G212" t="n">
        <v>1.5</v>
      </c>
      <c r="H212" t="n">
        <v>0</v>
      </c>
      <c r="I212" t="n">
        <v>0</v>
      </c>
      <c r="J212" t="n">
        <v>0</v>
      </c>
      <c r="K212" t="n">
        <v>0</v>
      </c>
      <c r="L212" t="n">
        <v>0</v>
      </c>
      <c r="M212" t="n">
        <v>0</v>
      </c>
      <c r="N212" t="n">
        <v>0</v>
      </c>
      <c r="O212" t="n">
        <v>0</v>
      </c>
      <c r="P212" t="n">
        <v>0</v>
      </c>
      <c r="Q212" t="n">
        <v>0</v>
      </c>
      <c r="R212" s="2" t="inlineStr"/>
    </row>
    <row r="213" ht="15" customHeight="1">
      <c r="A213" t="inlineStr">
        <is>
          <t>A 24707-2024</t>
        </is>
      </c>
      <c r="B213" s="1" t="n">
        <v>45460</v>
      </c>
      <c r="C213" s="1" t="n">
        <v>46204</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40079-2023</t>
        </is>
      </c>
      <c r="B214" s="1" t="n">
        <v>45168</v>
      </c>
      <c r="C214" s="1" t="n">
        <v>46204</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38851-2023</t>
        </is>
      </c>
      <c r="B215" s="1" t="n">
        <v>45163</v>
      </c>
      <c r="C215" s="1" t="n">
        <v>46204</v>
      </c>
      <c r="D215" t="inlineStr">
        <is>
          <t>KALMAR LÄN</t>
        </is>
      </c>
      <c r="E215" t="inlineStr">
        <is>
          <t>VIMMERBY</t>
        </is>
      </c>
      <c r="G215" t="n">
        <v>4.3</v>
      </c>
      <c r="H215" t="n">
        <v>0</v>
      </c>
      <c r="I215" t="n">
        <v>0</v>
      </c>
      <c r="J215" t="n">
        <v>0</v>
      </c>
      <c r="K215" t="n">
        <v>0</v>
      </c>
      <c r="L215" t="n">
        <v>0</v>
      </c>
      <c r="M215" t="n">
        <v>0</v>
      </c>
      <c r="N215" t="n">
        <v>0</v>
      </c>
      <c r="O215" t="n">
        <v>0</v>
      </c>
      <c r="P215" t="n">
        <v>0</v>
      </c>
      <c r="Q215" t="n">
        <v>0</v>
      </c>
      <c r="R215" s="2" t="inlineStr"/>
    </row>
    <row r="216" ht="15" customHeight="1">
      <c r="A216" t="inlineStr">
        <is>
          <t>A 10759-2023</t>
        </is>
      </c>
      <c r="B216" s="1" t="n">
        <v>44988</v>
      </c>
      <c r="C216" s="1" t="n">
        <v>46204</v>
      </c>
      <c r="D216" t="inlineStr">
        <is>
          <t>KALMAR LÄN</t>
        </is>
      </c>
      <c r="E216" t="inlineStr">
        <is>
          <t>VIMMERBY</t>
        </is>
      </c>
      <c r="G216" t="n">
        <v>0.4</v>
      </c>
      <c r="H216" t="n">
        <v>0</v>
      </c>
      <c r="I216" t="n">
        <v>0</v>
      </c>
      <c r="J216" t="n">
        <v>0</v>
      </c>
      <c r="K216" t="n">
        <v>0</v>
      </c>
      <c r="L216" t="n">
        <v>0</v>
      </c>
      <c r="M216" t="n">
        <v>0</v>
      </c>
      <c r="N216" t="n">
        <v>0</v>
      </c>
      <c r="O216" t="n">
        <v>0</v>
      </c>
      <c r="P216" t="n">
        <v>0</v>
      </c>
      <c r="Q216" t="n">
        <v>0</v>
      </c>
      <c r="R216" s="2" t="inlineStr"/>
    </row>
    <row r="217" ht="15" customHeight="1">
      <c r="A217" t="inlineStr">
        <is>
          <t>A 43774-2023</t>
        </is>
      </c>
      <c r="B217" s="1" t="n">
        <v>45187</v>
      </c>
      <c r="C217" s="1" t="n">
        <v>46204</v>
      </c>
      <c r="D217" t="inlineStr">
        <is>
          <t>KALMAR LÄN</t>
        </is>
      </c>
      <c r="E217" t="inlineStr">
        <is>
          <t>VIMMERBY</t>
        </is>
      </c>
      <c r="G217" t="n">
        <v>3.4</v>
      </c>
      <c r="H217" t="n">
        <v>0</v>
      </c>
      <c r="I217" t="n">
        <v>0</v>
      </c>
      <c r="J217" t="n">
        <v>0</v>
      </c>
      <c r="K217" t="n">
        <v>0</v>
      </c>
      <c r="L217" t="n">
        <v>0</v>
      </c>
      <c r="M217" t="n">
        <v>0</v>
      </c>
      <c r="N217" t="n">
        <v>0</v>
      </c>
      <c r="O217" t="n">
        <v>0</v>
      </c>
      <c r="P217" t="n">
        <v>0</v>
      </c>
      <c r="Q217" t="n">
        <v>0</v>
      </c>
      <c r="R217" s="2" t="inlineStr"/>
    </row>
    <row r="218" ht="15" customHeight="1">
      <c r="A218" t="inlineStr">
        <is>
          <t>A 29616-2022</t>
        </is>
      </c>
      <c r="B218" s="1" t="n">
        <v>44754</v>
      </c>
      <c r="C218" s="1" t="n">
        <v>46204</v>
      </c>
      <c r="D218" t="inlineStr">
        <is>
          <t>KALMAR LÄN</t>
        </is>
      </c>
      <c r="E218" t="inlineStr">
        <is>
          <t>VIMMERBY</t>
        </is>
      </c>
      <c r="G218" t="n">
        <v>1.1</v>
      </c>
      <c r="H218" t="n">
        <v>0</v>
      </c>
      <c r="I218" t="n">
        <v>0</v>
      </c>
      <c r="J218" t="n">
        <v>0</v>
      </c>
      <c r="K218" t="n">
        <v>0</v>
      </c>
      <c r="L218" t="n">
        <v>0</v>
      </c>
      <c r="M218" t="n">
        <v>0</v>
      </c>
      <c r="N218" t="n">
        <v>0</v>
      </c>
      <c r="O218" t="n">
        <v>0</v>
      </c>
      <c r="P218" t="n">
        <v>0</v>
      </c>
      <c r="Q218" t="n">
        <v>0</v>
      </c>
      <c r="R218" s="2" t="inlineStr"/>
    </row>
    <row r="219" ht="15" customHeight="1">
      <c r="A219" t="inlineStr">
        <is>
          <t>A 40828-2023</t>
        </is>
      </c>
      <c r="B219" s="1" t="n">
        <v>45171</v>
      </c>
      <c r="C219" s="1" t="n">
        <v>46204</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8650-2022</t>
        </is>
      </c>
      <c r="B220" s="1" t="n">
        <v>44613</v>
      </c>
      <c r="C220" s="1" t="n">
        <v>46204</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33340-2023</t>
        </is>
      </c>
      <c r="B221" s="1" t="n">
        <v>45128</v>
      </c>
      <c r="C221" s="1" t="n">
        <v>46204</v>
      </c>
      <c r="D221" t="inlineStr">
        <is>
          <t>KALMAR LÄN</t>
        </is>
      </c>
      <c r="E221" t="inlineStr">
        <is>
          <t>VIMMERBY</t>
        </is>
      </c>
      <c r="G221" t="n">
        <v>1.5</v>
      </c>
      <c r="H221" t="n">
        <v>0</v>
      </c>
      <c r="I221" t="n">
        <v>0</v>
      </c>
      <c r="J221" t="n">
        <v>0</v>
      </c>
      <c r="K221" t="n">
        <v>0</v>
      </c>
      <c r="L221" t="n">
        <v>0</v>
      </c>
      <c r="M221" t="n">
        <v>0</v>
      </c>
      <c r="N221" t="n">
        <v>0</v>
      </c>
      <c r="O221" t="n">
        <v>0</v>
      </c>
      <c r="P221" t="n">
        <v>0</v>
      </c>
      <c r="Q221" t="n">
        <v>0</v>
      </c>
      <c r="R221" s="2" t="inlineStr"/>
    </row>
    <row r="222" ht="15" customHeight="1">
      <c r="A222" t="inlineStr">
        <is>
          <t>A 31056-2022</t>
        </is>
      </c>
      <c r="B222" s="1" t="n">
        <v>44769</v>
      </c>
      <c r="C222" s="1" t="n">
        <v>46204</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61861-2024</t>
        </is>
      </c>
      <c r="B223" s="1" t="n">
        <v>45650</v>
      </c>
      <c r="C223" s="1" t="n">
        <v>46204</v>
      </c>
      <c r="D223" t="inlineStr">
        <is>
          <t>KALMAR LÄN</t>
        </is>
      </c>
      <c r="E223" t="inlineStr">
        <is>
          <t>VIMMERBY</t>
        </is>
      </c>
      <c r="G223" t="n">
        <v>1</v>
      </c>
      <c r="H223" t="n">
        <v>0</v>
      </c>
      <c r="I223" t="n">
        <v>0</v>
      </c>
      <c r="J223" t="n">
        <v>0</v>
      </c>
      <c r="K223" t="n">
        <v>0</v>
      </c>
      <c r="L223" t="n">
        <v>0</v>
      </c>
      <c r="M223" t="n">
        <v>0</v>
      </c>
      <c r="N223" t="n">
        <v>0</v>
      </c>
      <c r="O223" t="n">
        <v>0</v>
      </c>
      <c r="P223" t="n">
        <v>0</v>
      </c>
      <c r="Q223" t="n">
        <v>0</v>
      </c>
      <c r="R223" s="2" t="inlineStr"/>
    </row>
    <row r="224" ht="15" customHeight="1">
      <c r="A224" t="inlineStr">
        <is>
          <t>A 33383-2023</t>
        </is>
      </c>
      <c r="B224" s="1" t="n">
        <v>45128</v>
      </c>
      <c r="C224" s="1" t="n">
        <v>46204</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18501-2024</t>
        </is>
      </c>
      <c r="B225" s="1" t="n">
        <v>45425</v>
      </c>
      <c r="C225" s="1" t="n">
        <v>46204</v>
      </c>
      <c r="D225" t="inlineStr">
        <is>
          <t>KALMAR LÄN</t>
        </is>
      </c>
      <c r="E225" t="inlineStr">
        <is>
          <t>VIMMERBY</t>
        </is>
      </c>
      <c r="G225" t="n">
        <v>2</v>
      </c>
      <c r="H225" t="n">
        <v>0</v>
      </c>
      <c r="I225" t="n">
        <v>0</v>
      </c>
      <c r="J225" t="n">
        <v>0</v>
      </c>
      <c r="K225" t="n">
        <v>0</v>
      </c>
      <c r="L225" t="n">
        <v>0</v>
      </c>
      <c r="M225" t="n">
        <v>0</v>
      </c>
      <c r="N225" t="n">
        <v>0</v>
      </c>
      <c r="O225" t="n">
        <v>0</v>
      </c>
      <c r="P225" t="n">
        <v>0</v>
      </c>
      <c r="Q225" t="n">
        <v>0</v>
      </c>
      <c r="R225" s="2" t="inlineStr"/>
    </row>
    <row r="226" ht="15" customHeight="1">
      <c r="A226" t="inlineStr">
        <is>
          <t>A 27758-2024</t>
        </is>
      </c>
      <c r="B226" s="1" t="n">
        <v>45475</v>
      </c>
      <c r="C226" s="1" t="n">
        <v>46204</v>
      </c>
      <c r="D226" t="inlineStr">
        <is>
          <t>KALMAR LÄN</t>
        </is>
      </c>
      <c r="E226" t="inlineStr">
        <is>
          <t>VIMMERBY</t>
        </is>
      </c>
      <c r="G226" t="n">
        <v>2.6</v>
      </c>
      <c r="H226" t="n">
        <v>0</v>
      </c>
      <c r="I226" t="n">
        <v>0</v>
      </c>
      <c r="J226" t="n">
        <v>0</v>
      </c>
      <c r="K226" t="n">
        <v>0</v>
      </c>
      <c r="L226" t="n">
        <v>0</v>
      </c>
      <c r="M226" t="n">
        <v>0</v>
      </c>
      <c r="N226" t="n">
        <v>0</v>
      </c>
      <c r="O226" t="n">
        <v>0</v>
      </c>
      <c r="P226" t="n">
        <v>0</v>
      </c>
      <c r="Q226" t="n">
        <v>0</v>
      </c>
      <c r="R226" s="2" t="inlineStr"/>
    </row>
    <row r="227" ht="15" customHeight="1">
      <c r="A227" t="inlineStr">
        <is>
          <t>A 44423-2023</t>
        </is>
      </c>
      <c r="B227" s="1" t="n">
        <v>45189</v>
      </c>
      <c r="C227" s="1" t="n">
        <v>46204</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18329-2023</t>
        </is>
      </c>
      <c r="B228" s="1" t="n">
        <v>45041</v>
      </c>
      <c r="C228" s="1" t="n">
        <v>46204</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55716-2023</t>
        </is>
      </c>
      <c r="B229" s="1" t="n">
        <v>45232</v>
      </c>
      <c r="C229" s="1" t="n">
        <v>46204</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29186-2024</t>
        </is>
      </c>
      <c r="B230" s="1" t="n">
        <v>45482</v>
      </c>
      <c r="C230" s="1" t="n">
        <v>46204</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50993-2022</t>
        </is>
      </c>
      <c r="B231" s="1" t="n">
        <v>44867</v>
      </c>
      <c r="C231" s="1" t="n">
        <v>46204</v>
      </c>
      <c r="D231" t="inlineStr">
        <is>
          <t>KALMAR LÄN</t>
        </is>
      </c>
      <c r="E231" t="inlineStr">
        <is>
          <t>VIMMERBY</t>
        </is>
      </c>
      <c r="G231" t="n">
        <v>1.7</v>
      </c>
      <c r="H231" t="n">
        <v>0</v>
      </c>
      <c r="I231" t="n">
        <v>0</v>
      </c>
      <c r="J231" t="n">
        <v>0</v>
      </c>
      <c r="K231" t="n">
        <v>0</v>
      </c>
      <c r="L231" t="n">
        <v>0</v>
      </c>
      <c r="M231" t="n">
        <v>0</v>
      </c>
      <c r="N231" t="n">
        <v>0</v>
      </c>
      <c r="O231" t="n">
        <v>0</v>
      </c>
      <c r="P231" t="n">
        <v>0</v>
      </c>
      <c r="Q231" t="n">
        <v>0</v>
      </c>
      <c r="R231" s="2" t="inlineStr"/>
    </row>
    <row r="232" ht="15" customHeight="1">
      <c r="A232" t="inlineStr">
        <is>
          <t>A 37323-2024</t>
        </is>
      </c>
      <c r="B232" s="1" t="n">
        <v>45540</v>
      </c>
      <c r="C232" s="1" t="n">
        <v>46204</v>
      </c>
      <c r="D232" t="inlineStr">
        <is>
          <t>KALMAR LÄN</t>
        </is>
      </c>
      <c r="E232" t="inlineStr">
        <is>
          <t>VIMMERBY</t>
        </is>
      </c>
      <c r="G232" t="n">
        <v>1.2</v>
      </c>
      <c r="H232" t="n">
        <v>0</v>
      </c>
      <c r="I232" t="n">
        <v>0</v>
      </c>
      <c r="J232" t="n">
        <v>0</v>
      </c>
      <c r="K232" t="n">
        <v>0</v>
      </c>
      <c r="L232" t="n">
        <v>0</v>
      </c>
      <c r="M232" t="n">
        <v>0</v>
      </c>
      <c r="N232" t="n">
        <v>0</v>
      </c>
      <c r="O232" t="n">
        <v>0</v>
      </c>
      <c r="P232" t="n">
        <v>0</v>
      </c>
      <c r="Q232" t="n">
        <v>0</v>
      </c>
      <c r="R232" s="2" t="inlineStr"/>
    </row>
    <row r="233" ht="15" customHeight="1">
      <c r="A233" t="inlineStr">
        <is>
          <t>A 30293-2025</t>
        </is>
      </c>
      <c r="B233" s="1" t="n">
        <v>45827</v>
      </c>
      <c r="C233" s="1" t="n">
        <v>46204</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54787-2023</t>
        </is>
      </c>
      <c r="B234" s="1" t="n">
        <v>45236</v>
      </c>
      <c r="C234" s="1" t="n">
        <v>46204</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32614-2023</t>
        </is>
      </c>
      <c r="B235" s="1" t="n">
        <v>45121</v>
      </c>
      <c r="C235" s="1" t="n">
        <v>46204</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6850-2023</t>
        </is>
      </c>
      <c r="B236" s="1" t="n">
        <v>44967</v>
      </c>
      <c r="C236" s="1" t="n">
        <v>46204</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58750-2022</t>
        </is>
      </c>
      <c r="B237" s="1" t="n">
        <v>44903</v>
      </c>
      <c r="C237" s="1" t="n">
        <v>46204</v>
      </c>
      <c r="D237" t="inlineStr">
        <is>
          <t>KALMAR LÄN</t>
        </is>
      </c>
      <c r="E237" t="inlineStr">
        <is>
          <t>VIMMERBY</t>
        </is>
      </c>
      <c r="G237" t="n">
        <v>3.3</v>
      </c>
      <c r="H237" t="n">
        <v>0</v>
      </c>
      <c r="I237" t="n">
        <v>0</v>
      </c>
      <c r="J237" t="n">
        <v>0</v>
      </c>
      <c r="K237" t="n">
        <v>0</v>
      </c>
      <c r="L237" t="n">
        <v>0</v>
      </c>
      <c r="M237" t="n">
        <v>0</v>
      </c>
      <c r="N237" t="n">
        <v>0</v>
      </c>
      <c r="O237" t="n">
        <v>0</v>
      </c>
      <c r="P237" t="n">
        <v>0</v>
      </c>
      <c r="Q237" t="n">
        <v>0</v>
      </c>
      <c r="R237" s="2" t="inlineStr"/>
    </row>
    <row r="238" ht="15" customHeight="1">
      <c r="A238" t="inlineStr">
        <is>
          <t>A 41158-2023</t>
        </is>
      </c>
      <c r="B238" s="1" t="n">
        <v>45174</v>
      </c>
      <c r="C238" s="1" t="n">
        <v>46204</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3269-2024</t>
        </is>
      </c>
      <c r="B239" s="1" t="n">
        <v>45317</v>
      </c>
      <c r="C239" s="1" t="n">
        <v>46204</v>
      </c>
      <c r="D239" t="inlineStr">
        <is>
          <t>KALMAR LÄN</t>
        </is>
      </c>
      <c r="E239" t="inlineStr">
        <is>
          <t>VIMMERBY</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48120-2022</t>
        </is>
      </c>
      <c r="B240" s="1" t="n">
        <v>44857</v>
      </c>
      <c r="C240" s="1" t="n">
        <v>46204</v>
      </c>
      <c r="D240" t="inlineStr">
        <is>
          <t>KALMAR LÄN</t>
        </is>
      </c>
      <c r="E240" t="inlineStr">
        <is>
          <t>VIMMERBY</t>
        </is>
      </c>
      <c r="G240" t="n">
        <v>1.7</v>
      </c>
      <c r="H240" t="n">
        <v>0</v>
      </c>
      <c r="I240" t="n">
        <v>0</v>
      </c>
      <c r="J240" t="n">
        <v>0</v>
      </c>
      <c r="K240" t="n">
        <v>0</v>
      </c>
      <c r="L240" t="n">
        <v>0</v>
      </c>
      <c r="M240" t="n">
        <v>0</v>
      </c>
      <c r="N240" t="n">
        <v>0</v>
      </c>
      <c r="O240" t="n">
        <v>0</v>
      </c>
      <c r="P240" t="n">
        <v>0</v>
      </c>
      <c r="Q240" t="n">
        <v>0</v>
      </c>
      <c r="R240" s="2" t="inlineStr"/>
    </row>
    <row r="241" ht="15" customHeight="1">
      <c r="A241" t="inlineStr">
        <is>
          <t>A 6368-2023</t>
        </is>
      </c>
      <c r="B241" s="1" t="n">
        <v>44965</v>
      </c>
      <c r="C241" s="1" t="n">
        <v>46204</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9416-2024</t>
        </is>
      </c>
      <c r="B242" s="1" t="n">
        <v>45359</v>
      </c>
      <c r="C242" s="1" t="n">
        <v>46204</v>
      </c>
      <c r="D242" t="inlineStr">
        <is>
          <t>KALMAR LÄN</t>
        </is>
      </c>
      <c r="E242" t="inlineStr">
        <is>
          <t>VIMMERBY</t>
        </is>
      </c>
      <c r="G242" t="n">
        <v>3.2</v>
      </c>
      <c r="H242" t="n">
        <v>0</v>
      </c>
      <c r="I242" t="n">
        <v>0</v>
      </c>
      <c r="J242" t="n">
        <v>0</v>
      </c>
      <c r="K242" t="n">
        <v>0</v>
      </c>
      <c r="L242" t="n">
        <v>0</v>
      </c>
      <c r="M242" t="n">
        <v>0</v>
      </c>
      <c r="N242" t="n">
        <v>0</v>
      </c>
      <c r="O242" t="n">
        <v>0</v>
      </c>
      <c r="P242" t="n">
        <v>0</v>
      </c>
      <c r="Q242" t="n">
        <v>0</v>
      </c>
      <c r="R242" s="2" t="inlineStr"/>
    </row>
    <row r="243" ht="15" customHeight="1">
      <c r="A243" t="inlineStr">
        <is>
          <t>A 30971-2025</t>
        </is>
      </c>
      <c r="B243" s="1" t="n">
        <v>45832</v>
      </c>
      <c r="C243" s="1" t="n">
        <v>46204</v>
      </c>
      <c r="D243" t="inlineStr">
        <is>
          <t>KALMAR LÄN</t>
        </is>
      </c>
      <c r="E243" t="inlineStr">
        <is>
          <t>VIMMERBY</t>
        </is>
      </c>
      <c r="G243" t="n">
        <v>1.2</v>
      </c>
      <c r="H243" t="n">
        <v>0</v>
      </c>
      <c r="I243" t="n">
        <v>0</v>
      </c>
      <c r="J243" t="n">
        <v>0</v>
      </c>
      <c r="K243" t="n">
        <v>0</v>
      </c>
      <c r="L243" t="n">
        <v>0</v>
      </c>
      <c r="M243" t="n">
        <v>0</v>
      </c>
      <c r="N243" t="n">
        <v>0</v>
      </c>
      <c r="O243" t="n">
        <v>0</v>
      </c>
      <c r="P243" t="n">
        <v>0</v>
      </c>
      <c r="Q243" t="n">
        <v>0</v>
      </c>
      <c r="R243" s="2" t="inlineStr"/>
    </row>
    <row r="244" ht="15" customHeight="1">
      <c r="A244" t="inlineStr">
        <is>
          <t>A 31551-2025</t>
        </is>
      </c>
      <c r="B244" s="1" t="n">
        <v>45833</v>
      </c>
      <c r="C244" s="1" t="n">
        <v>46204</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30882-2025</t>
        </is>
      </c>
      <c r="B245" s="1" t="n">
        <v>45832</v>
      </c>
      <c r="C245" s="1" t="n">
        <v>46204</v>
      </c>
      <c r="D245" t="inlineStr">
        <is>
          <t>KALMAR LÄN</t>
        </is>
      </c>
      <c r="E245" t="inlineStr">
        <is>
          <t>VIMMERBY</t>
        </is>
      </c>
      <c r="G245" t="n">
        <v>0.7</v>
      </c>
      <c r="H245" t="n">
        <v>0</v>
      </c>
      <c r="I245" t="n">
        <v>0</v>
      </c>
      <c r="J245" t="n">
        <v>0</v>
      </c>
      <c r="K245" t="n">
        <v>0</v>
      </c>
      <c r="L245" t="n">
        <v>0</v>
      </c>
      <c r="M245" t="n">
        <v>0</v>
      </c>
      <c r="N245" t="n">
        <v>0</v>
      </c>
      <c r="O245" t="n">
        <v>0</v>
      </c>
      <c r="P245" t="n">
        <v>0</v>
      </c>
      <c r="Q245" t="n">
        <v>0</v>
      </c>
      <c r="R245" s="2" t="inlineStr"/>
    </row>
    <row r="246" ht="15" customHeight="1">
      <c r="A246" t="inlineStr">
        <is>
          <t>A 38604-2025</t>
        </is>
      </c>
      <c r="B246" s="1" t="n">
        <v>45884</v>
      </c>
      <c r="C246" s="1" t="n">
        <v>46204</v>
      </c>
      <c r="D246" t="inlineStr">
        <is>
          <t>KALMAR LÄN</t>
        </is>
      </c>
      <c r="E246" t="inlineStr">
        <is>
          <t>VIMMERBY</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2797-2023</t>
        </is>
      </c>
      <c r="B247" s="1" t="n">
        <v>44944</v>
      </c>
      <c r="C247" s="1" t="n">
        <v>46204</v>
      </c>
      <c r="D247" t="inlineStr">
        <is>
          <t>KALMAR LÄN</t>
        </is>
      </c>
      <c r="E247" t="inlineStr">
        <is>
          <t>VIMMERBY</t>
        </is>
      </c>
      <c r="G247" t="n">
        <v>3.4</v>
      </c>
      <c r="H247" t="n">
        <v>0</v>
      </c>
      <c r="I247" t="n">
        <v>0</v>
      </c>
      <c r="J247" t="n">
        <v>0</v>
      </c>
      <c r="K247" t="n">
        <v>0</v>
      </c>
      <c r="L247" t="n">
        <v>0</v>
      </c>
      <c r="M247" t="n">
        <v>0</v>
      </c>
      <c r="N247" t="n">
        <v>0</v>
      </c>
      <c r="O247" t="n">
        <v>0</v>
      </c>
      <c r="P247" t="n">
        <v>0</v>
      </c>
      <c r="Q247" t="n">
        <v>0</v>
      </c>
      <c r="R247" s="2" t="inlineStr"/>
    </row>
    <row r="248" ht="15" customHeight="1">
      <c r="A248" t="inlineStr">
        <is>
          <t>A 2799-2023</t>
        </is>
      </c>
      <c r="B248" s="1" t="n">
        <v>44944</v>
      </c>
      <c r="C248" s="1" t="n">
        <v>46204</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25987-2024</t>
        </is>
      </c>
      <c r="B249" s="1" t="n">
        <v>45467</v>
      </c>
      <c r="C249" s="1" t="n">
        <v>46204</v>
      </c>
      <c r="D249" t="inlineStr">
        <is>
          <t>KALMAR LÄN</t>
        </is>
      </c>
      <c r="E249" t="inlineStr">
        <is>
          <t>VIMMERBY</t>
        </is>
      </c>
      <c r="G249" t="n">
        <v>0.8</v>
      </c>
      <c r="H249" t="n">
        <v>0</v>
      </c>
      <c r="I249" t="n">
        <v>0</v>
      </c>
      <c r="J249" t="n">
        <v>0</v>
      </c>
      <c r="K249" t="n">
        <v>0</v>
      </c>
      <c r="L249" t="n">
        <v>0</v>
      </c>
      <c r="M249" t="n">
        <v>0</v>
      </c>
      <c r="N249" t="n">
        <v>0</v>
      </c>
      <c r="O249" t="n">
        <v>0</v>
      </c>
      <c r="P249" t="n">
        <v>0</v>
      </c>
      <c r="Q249" t="n">
        <v>0</v>
      </c>
      <c r="R249" s="2" t="inlineStr"/>
    </row>
    <row r="250" ht="15" customHeight="1">
      <c r="A250" t="inlineStr">
        <is>
          <t>A 8559-2025</t>
        </is>
      </c>
      <c r="B250" s="1" t="n">
        <v>45709</v>
      </c>
      <c r="C250" s="1" t="n">
        <v>46204</v>
      </c>
      <c r="D250" t="inlineStr">
        <is>
          <t>KALMAR LÄN</t>
        </is>
      </c>
      <c r="E250" t="inlineStr">
        <is>
          <t>VIMMERBY</t>
        </is>
      </c>
      <c r="G250" t="n">
        <v>8.9</v>
      </c>
      <c r="H250" t="n">
        <v>0</v>
      </c>
      <c r="I250" t="n">
        <v>0</v>
      </c>
      <c r="J250" t="n">
        <v>0</v>
      </c>
      <c r="K250" t="n">
        <v>0</v>
      </c>
      <c r="L250" t="n">
        <v>0</v>
      </c>
      <c r="M250" t="n">
        <v>0</v>
      </c>
      <c r="N250" t="n">
        <v>0</v>
      </c>
      <c r="O250" t="n">
        <v>0</v>
      </c>
      <c r="P250" t="n">
        <v>0</v>
      </c>
      <c r="Q250" t="n">
        <v>0</v>
      </c>
      <c r="R250" s="2" t="inlineStr"/>
    </row>
    <row r="251" ht="15" customHeight="1">
      <c r="A251" t="inlineStr">
        <is>
          <t>A 32116-2025</t>
        </is>
      </c>
      <c r="B251" s="1" t="n">
        <v>45835</v>
      </c>
      <c r="C251" s="1" t="n">
        <v>46204</v>
      </c>
      <c r="D251" t="inlineStr">
        <is>
          <t>KALMAR LÄN</t>
        </is>
      </c>
      <c r="E251" t="inlineStr">
        <is>
          <t>VIMMERBY</t>
        </is>
      </c>
      <c r="G251" t="n">
        <v>0.9</v>
      </c>
      <c r="H251" t="n">
        <v>0</v>
      </c>
      <c r="I251" t="n">
        <v>0</v>
      </c>
      <c r="J251" t="n">
        <v>0</v>
      </c>
      <c r="K251" t="n">
        <v>0</v>
      </c>
      <c r="L251" t="n">
        <v>0</v>
      </c>
      <c r="M251" t="n">
        <v>0</v>
      </c>
      <c r="N251" t="n">
        <v>0</v>
      </c>
      <c r="O251" t="n">
        <v>0</v>
      </c>
      <c r="P251" t="n">
        <v>0</v>
      </c>
      <c r="Q251" t="n">
        <v>0</v>
      </c>
      <c r="R251" s="2" t="inlineStr"/>
    </row>
    <row r="252" ht="15" customHeight="1">
      <c r="A252" t="inlineStr">
        <is>
          <t>A 12630-2023</t>
        </is>
      </c>
      <c r="B252" s="1" t="n">
        <v>45000</v>
      </c>
      <c r="C252" s="1" t="n">
        <v>46204</v>
      </c>
      <c r="D252" t="inlineStr">
        <is>
          <t>KALMAR LÄN</t>
        </is>
      </c>
      <c r="E252" t="inlineStr">
        <is>
          <t>VIMMERBY</t>
        </is>
      </c>
      <c r="G252" t="n">
        <v>2.1</v>
      </c>
      <c r="H252" t="n">
        <v>0</v>
      </c>
      <c r="I252" t="n">
        <v>0</v>
      </c>
      <c r="J252" t="n">
        <v>0</v>
      </c>
      <c r="K252" t="n">
        <v>0</v>
      </c>
      <c r="L252" t="n">
        <v>0</v>
      </c>
      <c r="M252" t="n">
        <v>0</v>
      </c>
      <c r="N252" t="n">
        <v>0</v>
      </c>
      <c r="O252" t="n">
        <v>0</v>
      </c>
      <c r="P252" t="n">
        <v>0</v>
      </c>
      <c r="Q252" t="n">
        <v>0</v>
      </c>
      <c r="R252" s="2" t="inlineStr"/>
    </row>
    <row r="253" ht="15" customHeight="1">
      <c r="A253" t="inlineStr">
        <is>
          <t>A 21109-2024</t>
        </is>
      </c>
      <c r="B253" s="1" t="n">
        <v>45440</v>
      </c>
      <c r="C253" s="1" t="n">
        <v>46204</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30634-2024</t>
        </is>
      </c>
      <c r="B254" s="1" t="n">
        <v>45495</v>
      </c>
      <c r="C254" s="1" t="n">
        <v>46204</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40260-2024</t>
        </is>
      </c>
      <c r="B255" s="1" t="n">
        <v>45554</v>
      </c>
      <c r="C255" s="1" t="n">
        <v>46204</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59943-2023</t>
        </is>
      </c>
      <c r="B256" s="1" t="n">
        <v>45257</v>
      </c>
      <c r="C256" s="1" t="n">
        <v>46204</v>
      </c>
      <c r="D256" t="inlineStr">
        <is>
          <t>KALMAR LÄN</t>
        </is>
      </c>
      <c r="E256" t="inlineStr">
        <is>
          <t>VIMMERBY</t>
        </is>
      </c>
      <c r="G256" t="n">
        <v>6.4</v>
      </c>
      <c r="H256" t="n">
        <v>0</v>
      </c>
      <c r="I256" t="n">
        <v>0</v>
      </c>
      <c r="J256" t="n">
        <v>0</v>
      </c>
      <c r="K256" t="n">
        <v>0</v>
      </c>
      <c r="L256" t="n">
        <v>0</v>
      </c>
      <c r="M256" t="n">
        <v>0</v>
      </c>
      <c r="N256" t="n">
        <v>0</v>
      </c>
      <c r="O256" t="n">
        <v>0</v>
      </c>
      <c r="P256" t="n">
        <v>0</v>
      </c>
      <c r="Q256" t="n">
        <v>0</v>
      </c>
      <c r="R256" s="2" t="inlineStr"/>
    </row>
    <row r="257" ht="15" customHeight="1">
      <c r="A257" t="inlineStr">
        <is>
          <t>A 32380-2025</t>
        </is>
      </c>
      <c r="B257" s="1" t="n">
        <v>45837</v>
      </c>
      <c r="C257" s="1" t="n">
        <v>46204</v>
      </c>
      <c r="D257" t="inlineStr">
        <is>
          <t>KALMAR LÄN</t>
        </is>
      </c>
      <c r="E257" t="inlineStr">
        <is>
          <t>VIMMERBY</t>
        </is>
      </c>
      <c r="G257" t="n">
        <v>3.1</v>
      </c>
      <c r="H257" t="n">
        <v>0</v>
      </c>
      <c r="I257" t="n">
        <v>0</v>
      </c>
      <c r="J257" t="n">
        <v>0</v>
      </c>
      <c r="K257" t="n">
        <v>0</v>
      </c>
      <c r="L257" t="n">
        <v>0</v>
      </c>
      <c r="M257" t="n">
        <v>0</v>
      </c>
      <c r="N257" t="n">
        <v>0</v>
      </c>
      <c r="O257" t="n">
        <v>0</v>
      </c>
      <c r="P257" t="n">
        <v>0</v>
      </c>
      <c r="Q257" t="n">
        <v>0</v>
      </c>
      <c r="R257" s="2" t="inlineStr"/>
    </row>
    <row r="258" ht="15" customHeight="1">
      <c r="A258" t="inlineStr">
        <is>
          <t>A 33186-2025</t>
        </is>
      </c>
      <c r="B258" s="1" t="n">
        <v>45840</v>
      </c>
      <c r="C258" s="1" t="n">
        <v>46204</v>
      </c>
      <c r="D258" t="inlineStr">
        <is>
          <t>KALMAR LÄN</t>
        </is>
      </c>
      <c r="E258" t="inlineStr">
        <is>
          <t>VIMMERBY</t>
        </is>
      </c>
      <c r="G258" t="n">
        <v>2.6</v>
      </c>
      <c r="H258" t="n">
        <v>0</v>
      </c>
      <c r="I258" t="n">
        <v>0</v>
      </c>
      <c r="J258" t="n">
        <v>0</v>
      </c>
      <c r="K258" t="n">
        <v>0</v>
      </c>
      <c r="L258" t="n">
        <v>0</v>
      </c>
      <c r="M258" t="n">
        <v>0</v>
      </c>
      <c r="N258" t="n">
        <v>0</v>
      </c>
      <c r="O258" t="n">
        <v>0</v>
      </c>
      <c r="P258" t="n">
        <v>0</v>
      </c>
      <c r="Q258" t="n">
        <v>0</v>
      </c>
      <c r="R258" s="2" t="inlineStr"/>
    </row>
    <row r="259" ht="15" customHeight="1">
      <c r="A259" t="inlineStr">
        <is>
          <t>A 12325-2023</t>
        </is>
      </c>
      <c r="B259" s="1" t="n">
        <v>44999</v>
      </c>
      <c r="C259" s="1" t="n">
        <v>46204</v>
      </c>
      <c r="D259" t="inlineStr">
        <is>
          <t>KALMAR LÄN</t>
        </is>
      </c>
      <c r="E259" t="inlineStr">
        <is>
          <t>VIMMERBY</t>
        </is>
      </c>
      <c r="G259" t="n">
        <v>3.4</v>
      </c>
      <c r="H259" t="n">
        <v>0</v>
      </c>
      <c r="I259" t="n">
        <v>0</v>
      </c>
      <c r="J259" t="n">
        <v>0</v>
      </c>
      <c r="K259" t="n">
        <v>0</v>
      </c>
      <c r="L259" t="n">
        <v>0</v>
      </c>
      <c r="M259" t="n">
        <v>0</v>
      </c>
      <c r="N259" t="n">
        <v>0</v>
      </c>
      <c r="O259" t="n">
        <v>0</v>
      </c>
      <c r="P259" t="n">
        <v>0</v>
      </c>
      <c r="Q259" t="n">
        <v>0</v>
      </c>
      <c r="R259" s="2" t="inlineStr"/>
    </row>
    <row r="260" ht="15" customHeight="1">
      <c r="A260" t="inlineStr">
        <is>
          <t>A 30977-2025</t>
        </is>
      </c>
      <c r="B260" s="1" t="n">
        <v>45832</v>
      </c>
      <c r="C260" s="1" t="n">
        <v>46204</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1016-2024</t>
        </is>
      </c>
      <c r="B261" s="1" t="n">
        <v>45301</v>
      </c>
      <c r="C261" s="1" t="n">
        <v>46204</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8595-2026</t>
        </is>
      </c>
      <c r="B262" s="1" t="n">
        <v>46065</v>
      </c>
      <c r="C262" s="1" t="n">
        <v>46204</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26956-2025</t>
        </is>
      </c>
      <c r="B263" s="1" t="n">
        <v>45811</v>
      </c>
      <c r="C263" s="1" t="n">
        <v>46204</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33681-2022</t>
        </is>
      </c>
      <c r="B264" s="1" t="n">
        <v>44789</v>
      </c>
      <c r="C264" s="1" t="n">
        <v>46204</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28702-2025</t>
        </is>
      </c>
      <c r="B265" s="1" t="n">
        <v>45820</v>
      </c>
      <c r="C265" s="1" t="n">
        <v>46204</v>
      </c>
      <c r="D265" t="inlineStr">
        <is>
          <t>KALMAR LÄN</t>
        </is>
      </c>
      <c r="E265" t="inlineStr">
        <is>
          <t>VIMMERBY</t>
        </is>
      </c>
      <c r="G265" t="n">
        <v>2.1</v>
      </c>
      <c r="H265" t="n">
        <v>0</v>
      </c>
      <c r="I265" t="n">
        <v>0</v>
      </c>
      <c r="J265" t="n">
        <v>0</v>
      </c>
      <c r="K265" t="n">
        <v>0</v>
      </c>
      <c r="L265" t="n">
        <v>0</v>
      </c>
      <c r="M265" t="n">
        <v>0</v>
      </c>
      <c r="N265" t="n">
        <v>0</v>
      </c>
      <c r="O265" t="n">
        <v>0</v>
      </c>
      <c r="P265" t="n">
        <v>0</v>
      </c>
      <c r="Q265" t="n">
        <v>0</v>
      </c>
      <c r="R265" s="2" t="inlineStr"/>
    </row>
    <row r="266" ht="15" customHeight="1">
      <c r="A266" t="inlineStr">
        <is>
          <t>A 39807-2025</t>
        </is>
      </c>
      <c r="B266" s="1" t="n">
        <v>45891</v>
      </c>
      <c r="C266" s="1" t="n">
        <v>46204</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39736-2025</t>
        </is>
      </c>
      <c r="B267" s="1" t="n">
        <v>45891</v>
      </c>
      <c r="C267" s="1" t="n">
        <v>46204</v>
      </c>
      <c r="D267" t="inlineStr">
        <is>
          <t>KALMAR LÄN</t>
        </is>
      </c>
      <c r="E267" t="inlineStr">
        <is>
          <t>VIMMERBY</t>
        </is>
      </c>
      <c r="G267" t="n">
        <v>12.8</v>
      </c>
      <c r="H267" t="n">
        <v>0</v>
      </c>
      <c r="I267" t="n">
        <v>0</v>
      </c>
      <c r="J267" t="n">
        <v>0</v>
      </c>
      <c r="K267" t="n">
        <v>0</v>
      </c>
      <c r="L267" t="n">
        <v>0</v>
      </c>
      <c r="M267" t="n">
        <v>0</v>
      </c>
      <c r="N267" t="n">
        <v>0</v>
      </c>
      <c r="O267" t="n">
        <v>0</v>
      </c>
      <c r="P267" t="n">
        <v>0</v>
      </c>
      <c r="Q267" t="n">
        <v>0</v>
      </c>
      <c r="R267" s="2" t="inlineStr"/>
    </row>
    <row r="268" ht="15" customHeight="1">
      <c r="A268" t="inlineStr">
        <is>
          <t>A 39803-2025</t>
        </is>
      </c>
      <c r="B268" s="1" t="n">
        <v>45891</v>
      </c>
      <c r="C268" s="1" t="n">
        <v>46204</v>
      </c>
      <c r="D268" t="inlineStr">
        <is>
          <t>KALMAR LÄN</t>
        </is>
      </c>
      <c r="E268" t="inlineStr">
        <is>
          <t>VIMMERBY</t>
        </is>
      </c>
      <c r="G268" t="n">
        <v>0.5</v>
      </c>
      <c r="H268" t="n">
        <v>0</v>
      </c>
      <c r="I268" t="n">
        <v>0</v>
      </c>
      <c r="J268" t="n">
        <v>0</v>
      </c>
      <c r="K268" t="n">
        <v>0</v>
      </c>
      <c r="L268" t="n">
        <v>0</v>
      </c>
      <c r="M268" t="n">
        <v>0</v>
      </c>
      <c r="N268" t="n">
        <v>0</v>
      </c>
      <c r="O268" t="n">
        <v>0</v>
      </c>
      <c r="P268" t="n">
        <v>0</v>
      </c>
      <c r="Q268" t="n">
        <v>0</v>
      </c>
      <c r="R268" s="2" t="inlineStr"/>
    </row>
    <row r="269" ht="15" customHeight="1">
      <c r="A269" t="inlineStr">
        <is>
          <t>A 5074-2023</t>
        </is>
      </c>
      <c r="B269" s="1" t="n">
        <v>44958</v>
      </c>
      <c r="C269" s="1" t="n">
        <v>46204</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51187-2023</t>
        </is>
      </c>
      <c r="B270" s="1" t="n">
        <v>45219</v>
      </c>
      <c r="C270" s="1" t="n">
        <v>46204</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15715-2022</t>
        </is>
      </c>
      <c r="B271" s="1" t="n">
        <v>44663</v>
      </c>
      <c r="C271" s="1" t="n">
        <v>46204</v>
      </c>
      <c r="D271" t="inlineStr">
        <is>
          <t>KALMAR LÄN</t>
        </is>
      </c>
      <c r="E271" t="inlineStr">
        <is>
          <t>VIMMERBY</t>
        </is>
      </c>
      <c r="G271" t="n">
        <v>2.3</v>
      </c>
      <c r="H271" t="n">
        <v>0</v>
      </c>
      <c r="I271" t="n">
        <v>0</v>
      </c>
      <c r="J271" t="n">
        <v>0</v>
      </c>
      <c r="K271" t="n">
        <v>0</v>
      </c>
      <c r="L271" t="n">
        <v>0</v>
      </c>
      <c r="M271" t="n">
        <v>0</v>
      </c>
      <c r="N271" t="n">
        <v>0</v>
      </c>
      <c r="O271" t="n">
        <v>0</v>
      </c>
      <c r="P271" t="n">
        <v>0</v>
      </c>
      <c r="Q271" t="n">
        <v>0</v>
      </c>
      <c r="R271" s="2" t="inlineStr"/>
    </row>
    <row r="272" ht="15" customHeight="1">
      <c r="A272" t="inlineStr">
        <is>
          <t>A 43093-2024</t>
        </is>
      </c>
      <c r="B272" s="1" t="n">
        <v>45567</v>
      </c>
      <c r="C272" s="1" t="n">
        <v>46204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56022-2024</t>
        </is>
      </c>
      <c r="B273" s="1" t="n">
        <v>45623</v>
      </c>
      <c r="C273" s="1" t="n">
        <v>46204</v>
      </c>
      <c r="D273" t="inlineStr">
        <is>
          <t>KALMAR LÄN</t>
        </is>
      </c>
      <c r="E273" t="inlineStr">
        <is>
          <t>VIMMERBY</t>
        </is>
      </c>
      <c r="G273" t="n">
        <v>0.3</v>
      </c>
      <c r="H273" t="n">
        <v>0</v>
      </c>
      <c r="I273" t="n">
        <v>0</v>
      </c>
      <c r="J273" t="n">
        <v>0</v>
      </c>
      <c r="K273" t="n">
        <v>0</v>
      </c>
      <c r="L273" t="n">
        <v>0</v>
      </c>
      <c r="M273" t="n">
        <v>0</v>
      </c>
      <c r="N273" t="n">
        <v>0</v>
      </c>
      <c r="O273" t="n">
        <v>0</v>
      </c>
      <c r="P273" t="n">
        <v>0</v>
      </c>
      <c r="Q273" t="n">
        <v>0</v>
      </c>
      <c r="R273" s="2" t="inlineStr"/>
    </row>
    <row r="274" ht="15" customHeight="1">
      <c r="A274" t="inlineStr">
        <is>
          <t>A 34628-2025</t>
        </is>
      </c>
      <c r="B274" s="1" t="n">
        <v>45847</v>
      </c>
      <c r="C274" s="1" t="n">
        <v>46204</v>
      </c>
      <c r="D274" t="inlineStr">
        <is>
          <t>KALMAR LÄN</t>
        </is>
      </c>
      <c r="E274" t="inlineStr">
        <is>
          <t>VIMMERBY</t>
        </is>
      </c>
      <c r="G274" t="n">
        <v>4.2</v>
      </c>
      <c r="H274" t="n">
        <v>0</v>
      </c>
      <c r="I274" t="n">
        <v>0</v>
      </c>
      <c r="J274" t="n">
        <v>0</v>
      </c>
      <c r="K274" t="n">
        <v>0</v>
      </c>
      <c r="L274" t="n">
        <v>0</v>
      </c>
      <c r="M274" t="n">
        <v>0</v>
      </c>
      <c r="N274" t="n">
        <v>0</v>
      </c>
      <c r="O274" t="n">
        <v>0</v>
      </c>
      <c r="P274" t="n">
        <v>0</v>
      </c>
      <c r="Q274" t="n">
        <v>0</v>
      </c>
      <c r="R274" s="2" t="inlineStr"/>
    </row>
    <row r="275" ht="15" customHeight="1">
      <c r="A275" t="inlineStr">
        <is>
          <t>A 18330-2023</t>
        </is>
      </c>
      <c r="B275" s="1" t="n">
        <v>45041</v>
      </c>
      <c r="C275" s="1" t="n">
        <v>46204</v>
      </c>
      <c r="D275" t="inlineStr">
        <is>
          <t>KALMAR LÄN</t>
        </is>
      </c>
      <c r="E275" t="inlineStr">
        <is>
          <t>VIMMERBY</t>
        </is>
      </c>
      <c r="G275" t="n">
        <v>1.7</v>
      </c>
      <c r="H275" t="n">
        <v>0</v>
      </c>
      <c r="I275" t="n">
        <v>0</v>
      </c>
      <c r="J275" t="n">
        <v>0</v>
      </c>
      <c r="K275" t="n">
        <v>0</v>
      </c>
      <c r="L275" t="n">
        <v>0</v>
      </c>
      <c r="M275" t="n">
        <v>0</v>
      </c>
      <c r="N275" t="n">
        <v>0</v>
      </c>
      <c r="O275" t="n">
        <v>0</v>
      </c>
      <c r="P275" t="n">
        <v>0</v>
      </c>
      <c r="Q275" t="n">
        <v>0</v>
      </c>
      <c r="R275" s="2" t="inlineStr"/>
    </row>
    <row r="276" ht="15" customHeight="1">
      <c r="A276" t="inlineStr">
        <is>
          <t>A 46921-2023</t>
        </is>
      </c>
      <c r="B276" s="1" t="n">
        <v>45201</v>
      </c>
      <c r="C276" s="1" t="n">
        <v>46204</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41591-2025</t>
        </is>
      </c>
      <c r="B277" s="1" t="n">
        <v>45901</v>
      </c>
      <c r="C277" s="1" t="n">
        <v>46204</v>
      </c>
      <c r="D277" t="inlineStr">
        <is>
          <t>KALMAR LÄN</t>
        </is>
      </c>
      <c r="E277" t="inlineStr">
        <is>
          <t>VIMMERBY</t>
        </is>
      </c>
      <c r="G277" t="n">
        <v>0.5</v>
      </c>
      <c r="H277" t="n">
        <v>0</v>
      </c>
      <c r="I277" t="n">
        <v>0</v>
      </c>
      <c r="J277" t="n">
        <v>0</v>
      </c>
      <c r="K277" t="n">
        <v>0</v>
      </c>
      <c r="L277" t="n">
        <v>0</v>
      </c>
      <c r="M277" t="n">
        <v>0</v>
      </c>
      <c r="N277" t="n">
        <v>0</v>
      </c>
      <c r="O277" t="n">
        <v>0</v>
      </c>
      <c r="P277" t="n">
        <v>0</v>
      </c>
      <c r="Q277" t="n">
        <v>0</v>
      </c>
      <c r="R277" s="2" t="inlineStr"/>
    </row>
    <row r="278" ht="15" customHeight="1">
      <c r="A278" t="inlineStr">
        <is>
          <t>A 40971-2025</t>
        </is>
      </c>
      <c r="B278" s="1" t="n">
        <v>45897</v>
      </c>
      <c r="C278" s="1" t="n">
        <v>46204</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41589-2025</t>
        </is>
      </c>
      <c r="B279" s="1" t="n">
        <v>45901</v>
      </c>
      <c r="C279" s="1" t="n">
        <v>46204</v>
      </c>
      <c r="D279" t="inlineStr">
        <is>
          <t>KALMAR LÄN</t>
        </is>
      </c>
      <c r="E279" t="inlineStr">
        <is>
          <t>VIMMERBY</t>
        </is>
      </c>
      <c r="G279" t="n">
        <v>1.7</v>
      </c>
      <c r="H279" t="n">
        <v>0</v>
      </c>
      <c r="I279" t="n">
        <v>0</v>
      </c>
      <c r="J279" t="n">
        <v>0</v>
      </c>
      <c r="K279" t="n">
        <v>0</v>
      </c>
      <c r="L279" t="n">
        <v>0</v>
      </c>
      <c r="M279" t="n">
        <v>0</v>
      </c>
      <c r="N279" t="n">
        <v>0</v>
      </c>
      <c r="O279" t="n">
        <v>0</v>
      </c>
      <c r="P279" t="n">
        <v>0</v>
      </c>
      <c r="Q279" t="n">
        <v>0</v>
      </c>
      <c r="R279" s="2" t="inlineStr"/>
    </row>
    <row r="280" ht="15" customHeight="1">
      <c r="A280" t="inlineStr">
        <is>
          <t>A 40970-2025</t>
        </is>
      </c>
      <c r="B280" s="1" t="n">
        <v>45897</v>
      </c>
      <c r="C280" s="1" t="n">
        <v>46204</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40973-2025</t>
        </is>
      </c>
      <c r="B281" s="1" t="n">
        <v>45897</v>
      </c>
      <c r="C281" s="1" t="n">
        <v>46204</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25236-2023</t>
        </is>
      </c>
      <c r="B282" s="1" t="n">
        <v>45086</v>
      </c>
      <c r="C282" s="1" t="n">
        <v>46204</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35271-2025</t>
        </is>
      </c>
      <c r="B283" s="1" t="n">
        <v>45853</v>
      </c>
      <c r="C283" s="1" t="n">
        <v>46204</v>
      </c>
      <c r="D283" t="inlineStr">
        <is>
          <t>KALMAR LÄN</t>
        </is>
      </c>
      <c r="E283" t="inlineStr">
        <is>
          <t>VIMMERBY</t>
        </is>
      </c>
      <c r="G283" t="n">
        <v>0.4</v>
      </c>
      <c r="H283" t="n">
        <v>0</v>
      </c>
      <c r="I283" t="n">
        <v>0</v>
      </c>
      <c r="J283" t="n">
        <v>0</v>
      </c>
      <c r="K283" t="n">
        <v>0</v>
      </c>
      <c r="L283" t="n">
        <v>0</v>
      </c>
      <c r="M283" t="n">
        <v>0</v>
      </c>
      <c r="N283" t="n">
        <v>0</v>
      </c>
      <c r="O283" t="n">
        <v>0</v>
      </c>
      <c r="P283" t="n">
        <v>0</v>
      </c>
      <c r="Q283" t="n">
        <v>0</v>
      </c>
      <c r="R283" s="2" t="inlineStr"/>
    </row>
    <row r="284" ht="15" customHeight="1">
      <c r="A284" t="inlineStr">
        <is>
          <t>A 16953-2025</t>
        </is>
      </c>
      <c r="B284" s="1" t="n">
        <v>45755</v>
      </c>
      <c r="C284" s="1" t="n">
        <v>46204</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6082-2022</t>
        </is>
      </c>
      <c r="B285" s="1" t="n">
        <v>44599</v>
      </c>
      <c r="C285" s="1" t="n">
        <v>46204</v>
      </c>
      <c r="D285" t="inlineStr">
        <is>
          <t>KALMAR LÄN</t>
        </is>
      </c>
      <c r="E285" t="inlineStr">
        <is>
          <t>VIMMERBY</t>
        </is>
      </c>
      <c r="G285" t="n">
        <v>0.6</v>
      </c>
      <c r="H285" t="n">
        <v>0</v>
      </c>
      <c r="I285" t="n">
        <v>0</v>
      </c>
      <c r="J285" t="n">
        <v>0</v>
      </c>
      <c r="K285" t="n">
        <v>0</v>
      </c>
      <c r="L285" t="n">
        <v>0</v>
      </c>
      <c r="M285" t="n">
        <v>0</v>
      </c>
      <c r="N285" t="n">
        <v>0</v>
      </c>
      <c r="O285" t="n">
        <v>0</v>
      </c>
      <c r="P285" t="n">
        <v>0</v>
      </c>
      <c r="Q285" t="n">
        <v>0</v>
      </c>
      <c r="R285" s="2" t="inlineStr"/>
    </row>
    <row r="286" ht="15" customHeight="1">
      <c r="A286" t="inlineStr">
        <is>
          <t>A 2801-2023</t>
        </is>
      </c>
      <c r="B286" s="1" t="n">
        <v>44944</v>
      </c>
      <c r="C286" s="1" t="n">
        <v>46204</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5146-2024</t>
        </is>
      </c>
      <c r="B287" s="1" t="n">
        <v>45330</v>
      </c>
      <c r="C287" s="1" t="n">
        <v>46204</v>
      </c>
      <c r="D287" t="inlineStr">
        <is>
          <t>KALMAR LÄN</t>
        </is>
      </c>
      <c r="E287" t="inlineStr">
        <is>
          <t>VIMMERBY</t>
        </is>
      </c>
      <c r="G287" t="n">
        <v>5.3</v>
      </c>
      <c r="H287" t="n">
        <v>0</v>
      </c>
      <c r="I287" t="n">
        <v>0</v>
      </c>
      <c r="J287" t="n">
        <v>0</v>
      </c>
      <c r="K287" t="n">
        <v>0</v>
      </c>
      <c r="L287" t="n">
        <v>0</v>
      </c>
      <c r="M287" t="n">
        <v>0</v>
      </c>
      <c r="N287" t="n">
        <v>0</v>
      </c>
      <c r="O287" t="n">
        <v>0</v>
      </c>
      <c r="P287" t="n">
        <v>0</v>
      </c>
      <c r="Q287" t="n">
        <v>0</v>
      </c>
      <c r="R287" s="2" t="inlineStr"/>
    </row>
    <row r="288" ht="15" customHeight="1">
      <c r="A288" t="inlineStr">
        <is>
          <t>A 5148-2024</t>
        </is>
      </c>
      <c r="B288" s="1" t="n">
        <v>45330</v>
      </c>
      <c r="C288" s="1" t="n">
        <v>46204</v>
      </c>
      <c r="D288" t="inlineStr">
        <is>
          <t>KALMAR LÄN</t>
        </is>
      </c>
      <c r="E288" t="inlineStr">
        <is>
          <t>VIMMERBY</t>
        </is>
      </c>
      <c r="G288" t="n">
        <v>5.6</v>
      </c>
      <c r="H288" t="n">
        <v>0</v>
      </c>
      <c r="I288" t="n">
        <v>0</v>
      </c>
      <c r="J288" t="n">
        <v>0</v>
      </c>
      <c r="K288" t="n">
        <v>0</v>
      </c>
      <c r="L288" t="n">
        <v>0</v>
      </c>
      <c r="M288" t="n">
        <v>0</v>
      </c>
      <c r="N288" t="n">
        <v>0</v>
      </c>
      <c r="O288" t="n">
        <v>0</v>
      </c>
      <c r="P288" t="n">
        <v>0</v>
      </c>
      <c r="Q288" t="n">
        <v>0</v>
      </c>
      <c r="R288" s="2" t="inlineStr"/>
    </row>
    <row r="289" ht="15" customHeight="1">
      <c r="A289" t="inlineStr">
        <is>
          <t>A 58278-2023</t>
        </is>
      </c>
      <c r="B289" s="1" t="n">
        <v>45250</v>
      </c>
      <c r="C289" s="1" t="n">
        <v>46204</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36297-2025</t>
        </is>
      </c>
      <c r="B290" s="1" t="n">
        <v>45867</v>
      </c>
      <c r="C290" s="1" t="n">
        <v>46204</v>
      </c>
      <c r="D290" t="inlineStr">
        <is>
          <t>KALMAR LÄN</t>
        </is>
      </c>
      <c r="E290" t="inlineStr">
        <is>
          <t>VIMMERBY</t>
        </is>
      </c>
      <c r="G290" t="n">
        <v>4.9</v>
      </c>
      <c r="H290" t="n">
        <v>0</v>
      </c>
      <c r="I290" t="n">
        <v>0</v>
      </c>
      <c r="J290" t="n">
        <v>0</v>
      </c>
      <c r="K290" t="n">
        <v>0</v>
      </c>
      <c r="L290" t="n">
        <v>0</v>
      </c>
      <c r="M290" t="n">
        <v>0</v>
      </c>
      <c r="N290" t="n">
        <v>0</v>
      </c>
      <c r="O290" t="n">
        <v>0</v>
      </c>
      <c r="P290" t="n">
        <v>0</v>
      </c>
      <c r="Q290" t="n">
        <v>0</v>
      </c>
      <c r="R290" s="2" t="inlineStr"/>
    </row>
    <row r="291" ht="15" customHeight="1">
      <c r="A291" t="inlineStr">
        <is>
          <t>A 52588-2023</t>
        </is>
      </c>
      <c r="B291" s="1" t="n">
        <v>45225</v>
      </c>
      <c r="C291" s="1" t="n">
        <v>46204</v>
      </c>
      <c r="D291" t="inlineStr">
        <is>
          <t>KALMAR LÄN</t>
        </is>
      </c>
      <c r="E291" t="inlineStr">
        <is>
          <t>VIMMERBY</t>
        </is>
      </c>
      <c r="G291" t="n">
        <v>2.9</v>
      </c>
      <c r="H291" t="n">
        <v>0</v>
      </c>
      <c r="I291" t="n">
        <v>0</v>
      </c>
      <c r="J291" t="n">
        <v>0</v>
      </c>
      <c r="K291" t="n">
        <v>0</v>
      </c>
      <c r="L291" t="n">
        <v>0</v>
      </c>
      <c r="M291" t="n">
        <v>0</v>
      </c>
      <c r="N291" t="n">
        <v>0</v>
      </c>
      <c r="O291" t="n">
        <v>0</v>
      </c>
      <c r="P291" t="n">
        <v>0</v>
      </c>
      <c r="Q291" t="n">
        <v>0</v>
      </c>
      <c r="R291" s="2" t="inlineStr"/>
    </row>
    <row r="292" ht="15" customHeight="1">
      <c r="A292" t="inlineStr">
        <is>
          <t>A 19502-2025</t>
        </is>
      </c>
      <c r="B292" s="1" t="n">
        <v>45769</v>
      </c>
      <c r="C292" s="1" t="n">
        <v>46204</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36299-2025</t>
        </is>
      </c>
      <c r="B293" s="1" t="n">
        <v>45867</v>
      </c>
      <c r="C293" s="1" t="n">
        <v>46204</v>
      </c>
      <c r="D293" t="inlineStr">
        <is>
          <t>KALMAR LÄN</t>
        </is>
      </c>
      <c r="E293" t="inlineStr">
        <is>
          <t>VIMMERBY</t>
        </is>
      </c>
      <c r="G293" t="n">
        <v>7.6</v>
      </c>
      <c r="H293" t="n">
        <v>0</v>
      </c>
      <c r="I293" t="n">
        <v>0</v>
      </c>
      <c r="J293" t="n">
        <v>0</v>
      </c>
      <c r="K293" t="n">
        <v>0</v>
      </c>
      <c r="L293" t="n">
        <v>0</v>
      </c>
      <c r="M293" t="n">
        <v>0</v>
      </c>
      <c r="N293" t="n">
        <v>0</v>
      </c>
      <c r="O293" t="n">
        <v>0</v>
      </c>
      <c r="P293" t="n">
        <v>0</v>
      </c>
      <c r="Q293" t="n">
        <v>0</v>
      </c>
      <c r="R293" s="2" t="inlineStr"/>
    </row>
    <row r="294" ht="15" customHeight="1">
      <c r="A294" t="inlineStr">
        <is>
          <t>A 6802-2025</t>
        </is>
      </c>
      <c r="B294" s="1" t="n">
        <v>45700</v>
      </c>
      <c r="C294" s="1" t="n">
        <v>46204</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71793-2021</t>
        </is>
      </c>
      <c r="B295" s="1" t="n">
        <v>44539</v>
      </c>
      <c r="C295" s="1" t="n">
        <v>46204</v>
      </c>
      <c r="D295" t="inlineStr">
        <is>
          <t>KALMAR LÄN</t>
        </is>
      </c>
      <c r="E295" t="inlineStr">
        <is>
          <t>VIMMERBY</t>
        </is>
      </c>
      <c r="G295" t="n">
        <v>2.7</v>
      </c>
      <c r="H295" t="n">
        <v>0</v>
      </c>
      <c r="I295" t="n">
        <v>0</v>
      </c>
      <c r="J295" t="n">
        <v>0</v>
      </c>
      <c r="K295" t="n">
        <v>0</v>
      </c>
      <c r="L295" t="n">
        <v>0</v>
      </c>
      <c r="M295" t="n">
        <v>0</v>
      </c>
      <c r="N295" t="n">
        <v>0</v>
      </c>
      <c r="O295" t="n">
        <v>0</v>
      </c>
      <c r="P295" t="n">
        <v>0</v>
      </c>
      <c r="Q295" t="n">
        <v>0</v>
      </c>
      <c r="R295" s="2" t="inlineStr"/>
    </row>
    <row r="296" ht="15" customHeight="1">
      <c r="A296" t="inlineStr">
        <is>
          <t>A 36538-2025</t>
        </is>
      </c>
      <c r="B296" s="1" t="n">
        <v>45869</v>
      </c>
      <c r="C296" s="1" t="n">
        <v>46204</v>
      </c>
      <c r="D296" t="inlineStr">
        <is>
          <t>KALMAR LÄN</t>
        </is>
      </c>
      <c r="E296" t="inlineStr">
        <is>
          <t>VIMMERBY</t>
        </is>
      </c>
      <c r="G296" t="n">
        <v>2.6</v>
      </c>
      <c r="H296" t="n">
        <v>0</v>
      </c>
      <c r="I296" t="n">
        <v>0</v>
      </c>
      <c r="J296" t="n">
        <v>0</v>
      </c>
      <c r="K296" t="n">
        <v>0</v>
      </c>
      <c r="L296" t="n">
        <v>0</v>
      </c>
      <c r="M296" t="n">
        <v>0</v>
      </c>
      <c r="N296" t="n">
        <v>0</v>
      </c>
      <c r="O296" t="n">
        <v>0</v>
      </c>
      <c r="P296" t="n">
        <v>0</v>
      </c>
      <c r="Q296" t="n">
        <v>0</v>
      </c>
      <c r="R296" s="2" t="inlineStr"/>
    </row>
    <row r="297" ht="15" customHeight="1">
      <c r="A297" t="inlineStr">
        <is>
          <t>A 527-2024</t>
        </is>
      </c>
      <c r="B297" s="1" t="n">
        <v>45299</v>
      </c>
      <c r="C297" s="1" t="n">
        <v>46204</v>
      </c>
      <c r="D297" t="inlineStr">
        <is>
          <t>KALMAR LÄN</t>
        </is>
      </c>
      <c r="E297" t="inlineStr">
        <is>
          <t>VIMMERBY</t>
        </is>
      </c>
      <c r="G297" t="n">
        <v>2.2</v>
      </c>
      <c r="H297" t="n">
        <v>0</v>
      </c>
      <c r="I297" t="n">
        <v>0</v>
      </c>
      <c r="J297" t="n">
        <v>0</v>
      </c>
      <c r="K297" t="n">
        <v>0</v>
      </c>
      <c r="L297" t="n">
        <v>0</v>
      </c>
      <c r="M297" t="n">
        <v>0</v>
      </c>
      <c r="N297" t="n">
        <v>0</v>
      </c>
      <c r="O297" t="n">
        <v>0</v>
      </c>
      <c r="P297" t="n">
        <v>0</v>
      </c>
      <c r="Q297" t="n">
        <v>0</v>
      </c>
      <c r="R297" s="2" t="inlineStr"/>
    </row>
    <row r="298" ht="15" customHeight="1">
      <c r="A298" t="inlineStr">
        <is>
          <t>A 60230-2022</t>
        </is>
      </c>
      <c r="B298" s="1" t="n">
        <v>44910</v>
      </c>
      <c r="C298" s="1" t="n">
        <v>46204</v>
      </c>
      <c r="D298" t="inlineStr">
        <is>
          <t>KALMAR LÄN</t>
        </is>
      </c>
      <c r="E298" t="inlineStr">
        <is>
          <t>VIMMERBY</t>
        </is>
      </c>
      <c r="G298" t="n">
        <v>11.3</v>
      </c>
      <c r="H298" t="n">
        <v>0</v>
      </c>
      <c r="I298" t="n">
        <v>0</v>
      </c>
      <c r="J298" t="n">
        <v>0</v>
      </c>
      <c r="K298" t="n">
        <v>0</v>
      </c>
      <c r="L298" t="n">
        <v>0</v>
      </c>
      <c r="M298" t="n">
        <v>0</v>
      </c>
      <c r="N298" t="n">
        <v>0</v>
      </c>
      <c r="O298" t="n">
        <v>0</v>
      </c>
      <c r="P298" t="n">
        <v>0</v>
      </c>
      <c r="Q298" t="n">
        <v>0</v>
      </c>
      <c r="R298" s="2" t="inlineStr"/>
    </row>
    <row r="299" ht="15" customHeight="1">
      <c r="A299" t="inlineStr">
        <is>
          <t>A 5925-2022</t>
        </is>
      </c>
      <c r="B299" s="1" t="n">
        <v>44598</v>
      </c>
      <c r="C299" s="1" t="n">
        <v>46204</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44095-2025</t>
        </is>
      </c>
      <c r="B300" s="1" t="n">
        <v>45915</v>
      </c>
      <c r="C300" s="1" t="n">
        <v>46204</v>
      </c>
      <c r="D300" t="inlineStr">
        <is>
          <t>KALMAR LÄN</t>
        </is>
      </c>
      <c r="E300" t="inlineStr">
        <is>
          <t>VIMMERBY</t>
        </is>
      </c>
      <c r="G300" t="n">
        <v>2.4</v>
      </c>
      <c r="H300" t="n">
        <v>0</v>
      </c>
      <c r="I300" t="n">
        <v>0</v>
      </c>
      <c r="J300" t="n">
        <v>0</v>
      </c>
      <c r="K300" t="n">
        <v>0</v>
      </c>
      <c r="L300" t="n">
        <v>0</v>
      </c>
      <c r="M300" t="n">
        <v>0</v>
      </c>
      <c r="N300" t="n">
        <v>0</v>
      </c>
      <c r="O300" t="n">
        <v>0</v>
      </c>
      <c r="P300" t="n">
        <v>0</v>
      </c>
      <c r="Q300" t="n">
        <v>0</v>
      </c>
      <c r="R300" s="2" t="inlineStr"/>
    </row>
    <row r="301" ht="15" customHeight="1">
      <c r="A301" t="inlineStr">
        <is>
          <t>A 46522-2022</t>
        </is>
      </c>
      <c r="B301" s="1" t="n">
        <v>44848</v>
      </c>
      <c r="C301" s="1" t="n">
        <v>46204</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36603-2025</t>
        </is>
      </c>
      <c r="B302" s="1" t="n">
        <v>45870</v>
      </c>
      <c r="C302" s="1" t="n">
        <v>46204</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44091-2025</t>
        </is>
      </c>
      <c r="B303" s="1" t="n">
        <v>45915</v>
      </c>
      <c r="C303" s="1" t="n">
        <v>46204</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36601-2025</t>
        </is>
      </c>
      <c r="B304" s="1" t="n">
        <v>45870</v>
      </c>
      <c r="C304" s="1" t="n">
        <v>46204</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41066-2024</t>
        </is>
      </c>
      <c r="B305" s="1" t="n">
        <v>45559</v>
      </c>
      <c r="C305" s="1" t="n">
        <v>46204</v>
      </c>
      <c r="D305" t="inlineStr">
        <is>
          <t>KALMAR LÄN</t>
        </is>
      </c>
      <c r="E305" t="inlineStr">
        <is>
          <t>VIMMERBY</t>
        </is>
      </c>
      <c r="G305" t="n">
        <v>2.4</v>
      </c>
      <c r="H305" t="n">
        <v>0</v>
      </c>
      <c r="I305" t="n">
        <v>0</v>
      </c>
      <c r="J305" t="n">
        <v>0</v>
      </c>
      <c r="K305" t="n">
        <v>0</v>
      </c>
      <c r="L305" t="n">
        <v>0</v>
      </c>
      <c r="M305" t="n">
        <v>0</v>
      </c>
      <c r="N305" t="n">
        <v>0</v>
      </c>
      <c r="O305" t="n">
        <v>0</v>
      </c>
      <c r="P305" t="n">
        <v>0</v>
      </c>
      <c r="Q305" t="n">
        <v>0</v>
      </c>
      <c r="R305" s="2" t="inlineStr"/>
    </row>
    <row r="306" ht="15" customHeight="1">
      <c r="A306" t="inlineStr">
        <is>
          <t>A 52279-2023</t>
        </is>
      </c>
      <c r="B306" s="1" t="n">
        <v>45224</v>
      </c>
      <c r="C306" s="1" t="n">
        <v>46204</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17486-2024</t>
        </is>
      </c>
      <c r="B307" s="1" t="n">
        <v>45415</v>
      </c>
      <c r="C307" s="1" t="n">
        <v>46204</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71631-2021</t>
        </is>
      </c>
      <c r="B308" s="1" t="n">
        <v>44542</v>
      </c>
      <c r="C308" s="1" t="n">
        <v>46204</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9694-2023</t>
        </is>
      </c>
      <c r="B309" s="1" t="n">
        <v>44984</v>
      </c>
      <c r="C309" s="1" t="n">
        <v>46204</v>
      </c>
      <c r="D309" t="inlineStr">
        <is>
          <t>KALMAR LÄN</t>
        </is>
      </c>
      <c r="E309" t="inlineStr">
        <is>
          <t>VIMMERBY</t>
        </is>
      </c>
      <c r="G309" t="n">
        <v>2.1</v>
      </c>
      <c r="H309" t="n">
        <v>0</v>
      </c>
      <c r="I309" t="n">
        <v>0</v>
      </c>
      <c r="J309" t="n">
        <v>0</v>
      </c>
      <c r="K309" t="n">
        <v>0</v>
      </c>
      <c r="L309" t="n">
        <v>0</v>
      </c>
      <c r="M309" t="n">
        <v>0</v>
      </c>
      <c r="N309" t="n">
        <v>0</v>
      </c>
      <c r="O309" t="n">
        <v>0</v>
      </c>
      <c r="P309" t="n">
        <v>0</v>
      </c>
      <c r="Q309" t="n">
        <v>0</v>
      </c>
      <c r="R309" s="2" t="inlineStr"/>
    </row>
    <row r="310" ht="15" customHeight="1">
      <c r="A310" t="inlineStr">
        <is>
          <t>A 37578-2025</t>
        </is>
      </c>
      <c r="B310" s="1" t="n">
        <v>45880</v>
      </c>
      <c r="C310" s="1" t="n">
        <v>46204</v>
      </c>
      <c r="D310" t="inlineStr">
        <is>
          <t>KALMAR LÄN</t>
        </is>
      </c>
      <c r="E310" t="inlineStr">
        <is>
          <t>VIMMERBY</t>
        </is>
      </c>
      <c r="G310" t="n">
        <v>0.7</v>
      </c>
      <c r="H310" t="n">
        <v>0</v>
      </c>
      <c r="I310" t="n">
        <v>0</v>
      </c>
      <c r="J310" t="n">
        <v>0</v>
      </c>
      <c r="K310" t="n">
        <v>0</v>
      </c>
      <c r="L310" t="n">
        <v>0</v>
      </c>
      <c r="M310" t="n">
        <v>0</v>
      </c>
      <c r="N310" t="n">
        <v>0</v>
      </c>
      <c r="O310" t="n">
        <v>0</v>
      </c>
      <c r="P310" t="n">
        <v>0</v>
      </c>
      <c r="Q310" t="n">
        <v>0</v>
      </c>
      <c r="R310" s="2" t="inlineStr"/>
    </row>
    <row r="311" ht="15" customHeight="1">
      <c r="A311" t="inlineStr">
        <is>
          <t>A 57311-2023</t>
        </is>
      </c>
      <c r="B311" s="1" t="n">
        <v>45245</v>
      </c>
      <c r="C311" s="1" t="n">
        <v>46204</v>
      </c>
      <c r="D311" t="inlineStr">
        <is>
          <t>KALMAR LÄN</t>
        </is>
      </c>
      <c r="E311" t="inlineStr">
        <is>
          <t>VIMMERBY</t>
        </is>
      </c>
      <c r="G311" t="n">
        <v>1.6</v>
      </c>
      <c r="H311" t="n">
        <v>0</v>
      </c>
      <c r="I311" t="n">
        <v>0</v>
      </c>
      <c r="J311" t="n">
        <v>0</v>
      </c>
      <c r="K311" t="n">
        <v>0</v>
      </c>
      <c r="L311" t="n">
        <v>0</v>
      </c>
      <c r="M311" t="n">
        <v>0</v>
      </c>
      <c r="N311" t="n">
        <v>0</v>
      </c>
      <c r="O311" t="n">
        <v>0</v>
      </c>
      <c r="P311" t="n">
        <v>0</v>
      </c>
      <c r="Q311" t="n">
        <v>0</v>
      </c>
      <c r="R311" s="2" t="inlineStr"/>
    </row>
    <row r="312" ht="15" customHeight="1">
      <c r="A312" t="inlineStr">
        <is>
          <t>A 12588-2025</t>
        </is>
      </c>
      <c r="B312" s="1" t="n">
        <v>45732</v>
      </c>
      <c r="C312" s="1" t="n">
        <v>46204</v>
      </c>
      <c r="D312" t="inlineStr">
        <is>
          <t>KALMAR LÄN</t>
        </is>
      </c>
      <c r="E312" t="inlineStr">
        <is>
          <t>VIMMERBY</t>
        </is>
      </c>
      <c r="G312" t="n">
        <v>1.6</v>
      </c>
      <c r="H312" t="n">
        <v>0</v>
      </c>
      <c r="I312" t="n">
        <v>0</v>
      </c>
      <c r="J312" t="n">
        <v>0</v>
      </c>
      <c r="K312" t="n">
        <v>0</v>
      </c>
      <c r="L312" t="n">
        <v>0</v>
      </c>
      <c r="M312" t="n">
        <v>0</v>
      </c>
      <c r="N312" t="n">
        <v>0</v>
      </c>
      <c r="O312" t="n">
        <v>0</v>
      </c>
      <c r="P312" t="n">
        <v>0</v>
      </c>
      <c r="Q312" t="n">
        <v>0</v>
      </c>
      <c r="R312" s="2" t="inlineStr"/>
    </row>
    <row r="313" ht="15" customHeight="1">
      <c r="A313" t="inlineStr">
        <is>
          <t>A 37668-2025</t>
        </is>
      </c>
      <c r="B313" s="1" t="n">
        <v>45880</v>
      </c>
      <c r="C313" s="1" t="n">
        <v>46204</v>
      </c>
      <c r="D313" t="inlineStr">
        <is>
          <t>KALMAR LÄN</t>
        </is>
      </c>
      <c r="E313" t="inlineStr">
        <is>
          <t>VIMMERBY</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7932-2025</t>
        </is>
      </c>
      <c r="B314" s="1" t="n">
        <v>45707</v>
      </c>
      <c r="C314" s="1" t="n">
        <v>46204</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2121-2022</t>
        </is>
      </c>
      <c r="B315" s="1" t="n">
        <v>44578</v>
      </c>
      <c r="C315" s="1" t="n">
        <v>46204</v>
      </c>
      <c r="D315" t="inlineStr">
        <is>
          <t>KALMAR LÄN</t>
        </is>
      </c>
      <c r="E315" t="inlineStr">
        <is>
          <t>VIMMERBY</t>
        </is>
      </c>
      <c r="G315" t="n">
        <v>2</v>
      </c>
      <c r="H315" t="n">
        <v>0</v>
      </c>
      <c r="I315" t="n">
        <v>0</v>
      </c>
      <c r="J315" t="n">
        <v>0</v>
      </c>
      <c r="K315" t="n">
        <v>0</v>
      </c>
      <c r="L315" t="n">
        <v>0</v>
      </c>
      <c r="M315" t="n">
        <v>0</v>
      </c>
      <c r="N315" t="n">
        <v>0</v>
      </c>
      <c r="O315" t="n">
        <v>0</v>
      </c>
      <c r="P315" t="n">
        <v>0</v>
      </c>
      <c r="Q315" t="n">
        <v>0</v>
      </c>
      <c r="R315" s="2" t="inlineStr"/>
    </row>
    <row r="316" ht="15" customHeight="1">
      <c r="A316" t="inlineStr">
        <is>
          <t>A 34386-2024</t>
        </is>
      </c>
      <c r="B316" s="1" t="n">
        <v>45525</v>
      </c>
      <c r="C316" s="1" t="n">
        <v>46204</v>
      </c>
      <c r="D316" t="inlineStr">
        <is>
          <t>KALMAR LÄN</t>
        </is>
      </c>
      <c r="E316" t="inlineStr">
        <is>
          <t>VIMMERBY</t>
        </is>
      </c>
      <c r="G316" t="n">
        <v>0.3</v>
      </c>
      <c r="H316" t="n">
        <v>0</v>
      </c>
      <c r="I316" t="n">
        <v>0</v>
      </c>
      <c r="J316" t="n">
        <v>0</v>
      </c>
      <c r="K316" t="n">
        <v>0</v>
      </c>
      <c r="L316" t="n">
        <v>0</v>
      </c>
      <c r="M316" t="n">
        <v>0</v>
      </c>
      <c r="N316" t="n">
        <v>0</v>
      </c>
      <c r="O316" t="n">
        <v>0</v>
      </c>
      <c r="P316" t="n">
        <v>0</v>
      </c>
      <c r="Q316" t="n">
        <v>0</v>
      </c>
      <c r="R316" s="2" t="inlineStr"/>
    </row>
    <row r="317" ht="15" customHeight="1">
      <c r="A317" t="inlineStr">
        <is>
          <t>A 6069-2023</t>
        </is>
      </c>
      <c r="B317" s="1" t="n">
        <v>44964</v>
      </c>
      <c r="C317" s="1" t="n">
        <v>46204</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47227-2025</t>
        </is>
      </c>
      <c r="B318" s="1" t="n">
        <v>45930</v>
      </c>
      <c r="C318" s="1" t="n">
        <v>46204</v>
      </c>
      <c r="D318" t="inlineStr">
        <is>
          <t>KALMAR LÄN</t>
        </is>
      </c>
      <c r="E318" t="inlineStr">
        <is>
          <t>VIMMERBY</t>
        </is>
      </c>
      <c r="G318" t="n">
        <v>1.3</v>
      </c>
      <c r="H318" t="n">
        <v>0</v>
      </c>
      <c r="I318" t="n">
        <v>0</v>
      </c>
      <c r="J318" t="n">
        <v>0</v>
      </c>
      <c r="K318" t="n">
        <v>0</v>
      </c>
      <c r="L318" t="n">
        <v>0</v>
      </c>
      <c r="M318" t="n">
        <v>0</v>
      </c>
      <c r="N318" t="n">
        <v>0</v>
      </c>
      <c r="O318" t="n">
        <v>0</v>
      </c>
      <c r="P318" t="n">
        <v>0</v>
      </c>
      <c r="Q318" t="n">
        <v>0</v>
      </c>
      <c r="R318" s="2" t="inlineStr"/>
    </row>
    <row r="319" ht="15" customHeight="1">
      <c r="A319" t="inlineStr">
        <is>
          <t>A 32633-2023</t>
        </is>
      </c>
      <c r="B319" s="1" t="n">
        <v>45121</v>
      </c>
      <c r="C319" s="1" t="n">
        <v>46204</v>
      </c>
      <c r="D319" t="inlineStr">
        <is>
          <t>KALMAR LÄN</t>
        </is>
      </c>
      <c r="E319" t="inlineStr">
        <is>
          <t>VIMMERBY</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11415-2026</t>
        </is>
      </c>
      <c r="B320" s="1" t="n">
        <v>46083</v>
      </c>
      <c r="C320" s="1" t="n">
        <v>46204</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49461-2023</t>
        </is>
      </c>
      <c r="B321" s="1" t="n">
        <v>45211</v>
      </c>
      <c r="C321" s="1" t="n">
        <v>46204</v>
      </c>
      <c r="D321" t="inlineStr">
        <is>
          <t>KALMAR LÄN</t>
        </is>
      </c>
      <c r="E321" t="inlineStr">
        <is>
          <t>VIMMERBY</t>
        </is>
      </c>
      <c r="G321" t="n">
        <v>1.5</v>
      </c>
      <c r="H321" t="n">
        <v>0</v>
      </c>
      <c r="I321" t="n">
        <v>0</v>
      </c>
      <c r="J321" t="n">
        <v>0</v>
      </c>
      <c r="K321" t="n">
        <v>0</v>
      </c>
      <c r="L321" t="n">
        <v>0</v>
      </c>
      <c r="M321" t="n">
        <v>0</v>
      </c>
      <c r="N321" t="n">
        <v>0</v>
      </c>
      <c r="O321" t="n">
        <v>0</v>
      </c>
      <c r="P321" t="n">
        <v>0</v>
      </c>
      <c r="Q321" t="n">
        <v>0</v>
      </c>
      <c r="R321" s="2" t="inlineStr"/>
    </row>
    <row r="322" ht="15" customHeight="1">
      <c r="A322" t="inlineStr">
        <is>
          <t>A 11407-2026</t>
        </is>
      </c>
      <c r="B322" s="1" t="n">
        <v>46083</v>
      </c>
      <c r="C322" s="1" t="n">
        <v>46204</v>
      </c>
      <c r="D322" t="inlineStr">
        <is>
          <t>KALMAR LÄN</t>
        </is>
      </c>
      <c r="E322" t="inlineStr">
        <is>
          <t>VIMMERBY</t>
        </is>
      </c>
      <c r="G322" t="n">
        <v>2.3</v>
      </c>
      <c r="H322" t="n">
        <v>0</v>
      </c>
      <c r="I322" t="n">
        <v>0</v>
      </c>
      <c r="J322" t="n">
        <v>0</v>
      </c>
      <c r="K322" t="n">
        <v>0</v>
      </c>
      <c r="L322" t="n">
        <v>0</v>
      </c>
      <c r="M322" t="n">
        <v>0</v>
      </c>
      <c r="N322" t="n">
        <v>0</v>
      </c>
      <c r="O322" t="n">
        <v>0</v>
      </c>
      <c r="P322" t="n">
        <v>0</v>
      </c>
      <c r="Q322" t="n">
        <v>0</v>
      </c>
      <c r="R322" s="2" t="inlineStr"/>
    </row>
    <row r="323" ht="15" customHeight="1">
      <c r="A323" t="inlineStr">
        <is>
          <t>A 23095-2023</t>
        </is>
      </c>
      <c r="B323" s="1" t="n">
        <v>45075</v>
      </c>
      <c r="C323" s="1" t="n">
        <v>46204</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11429-2022</t>
        </is>
      </c>
      <c r="B324" s="1" t="n">
        <v>44630</v>
      </c>
      <c r="C324" s="1" t="n">
        <v>46204</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11141-2024</t>
        </is>
      </c>
      <c r="B325" s="1" t="n">
        <v>45371</v>
      </c>
      <c r="C325" s="1" t="n">
        <v>46204</v>
      </c>
      <c r="D325" t="inlineStr">
        <is>
          <t>KALMAR LÄN</t>
        </is>
      </c>
      <c r="E325" t="inlineStr">
        <is>
          <t>VIMMERBY</t>
        </is>
      </c>
      <c r="G325" t="n">
        <v>0.7</v>
      </c>
      <c r="H325" t="n">
        <v>0</v>
      </c>
      <c r="I325" t="n">
        <v>0</v>
      </c>
      <c r="J325" t="n">
        <v>0</v>
      </c>
      <c r="K325" t="n">
        <v>0</v>
      </c>
      <c r="L325" t="n">
        <v>0</v>
      </c>
      <c r="M325" t="n">
        <v>0</v>
      </c>
      <c r="N325" t="n">
        <v>0</v>
      </c>
      <c r="O325" t="n">
        <v>0</v>
      </c>
      <c r="P325" t="n">
        <v>0</v>
      </c>
      <c r="Q325" t="n">
        <v>0</v>
      </c>
      <c r="R325" s="2" t="inlineStr"/>
    </row>
    <row r="326" ht="15" customHeight="1">
      <c r="A326" t="inlineStr">
        <is>
          <t>A 28395-2023</t>
        </is>
      </c>
      <c r="B326" s="1" t="n">
        <v>45100</v>
      </c>
      <c r="C326" s="1" t="n">
        <v>46204</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48408-2025</t>
        </is>
      </c>
      <c r="B327" s="1" t="n">
        <v>45934</v>
      </c>
      <c r="C327" s="1" t="n">
        <v>46204</v>
      </c>
      <c r="D327" t="inlineStr">
        <is>
          <t>KALMAR LÄN</t>
        </is>
      </c>
      <c r="E327" t="inlineStr">
        <is>
          <t>VIMMERBY</t>
        </is>
      </c>
      <c r="G327" t="n">
        <v>2.4</v>
      </c>
      <c r="H327" t="n">
        <v>0</v>
      </c>
      <c r="I327" t="n">
        <v>0</v>
      </c>
      <c r="J327" t="n">
        <v>0</v>
      </c>
      <c r="K327" t="n">
        <v>0</v>
      </c>
      <c r="L327" t="n">
        <v>0</v>
      </c>
      <c r="M327" t="n">
        <v>0</v>
      </c>
      <c r="N327" t="n">
        <v>0</v>
      </c>
      <c r="O327" t="n">
        <v>0</v>
      </c>
      <c r="P327" t="n">
        <v>0</v>
      </c>
      <c r="Q327" t="n">
        <v>0</v>
      </c>
      <c r="R327" s="2" t="inlineStr"/>
    </row>
    <row r="328" ht="15" customHeight="1">
      <c r="A328" t="inlineStr">
        <is>
          <t>A 34597-2022</t>
        </is>
      </c>
      <c r="B328" s="1" t="n">
        <v>44795</v>
      </c>
      <c r="C328" s="1" t="n">
        <v>46204</v>
      </c>
      <c r="D328" t="inlineStr">
        <is>
          <t>KALMAR LÄN</t>
        </is>
      </c>
      <c r="E328" t="inlineStr">
        <is>
          <t>VIMMERBY</t>
        </is>
      </c>
      <c r="G328" t="n">
        <v>2.2</v>
      </c>
      <c r="H328" t="n">
        <v>0</v>
      </c>
      <c r="I328" t="n">
        <v>0</v>
      </c>
      <c r="J328" t="n">
        <v>0</v>
      </c>
      <c r="K328" t="n">
        <v>0</v>
      </c>
      <c r="L328" t="n">
        <v>0</v>
      </c>
      <c r="M328" t="n">
        <v>0</v>
      </c>
      <c r="N328" t="n">
        <v>0</v>
      </c>
      <c r="O328" t="n">
        <v>0</v>
      </c>
      <c r="P328" t="n">
        <v>0</v>
      </c>
      <c r="Q328" t="n">
        <v>0</v>
      </c>
      <c r="R328" s="2" t="inlineStr"/>
    </row>
    <row r="329" ht="15" customHeight="1">
      <c r="A329" t="inlineStr">
        <is>
          <t>A 64428-2023</t>
        </is>
      </c>
      <c r="B329" s="1" t="n">
        <v>45280</v>
      </c>
      <c r="C329" s="1" t="n">
        <v>46204</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30588-2023</t>
        </is>
      </c>
      <c r="B330" s="1" t="n">
        <v>45112</v>
      </c>
      <c r="C330" s="1" t="n">
        <v>46204</v>
      </c>
      <c r="D330" t="inlineStr">
        <is>
          <t>KALMAR LÄN</t>
        </is>
      </c>
      <c r="E330" t="inlineStr">
        <is>
          <t>VIMMERBY</t>
        </is>
      </c>
      <c r="G330" t="n">
        <v>2.7</v>
      </c>
      <c r="H330" t="n">
        <v>0</v>
      </c>
      <c r="I330" t="n">
        <v>0</v>
      </c>
      <c r="J330" t="n">
        <v>0</v>
      </c>
      <c r="K330" t="n">
        <v>0</v>
      </c>
      <c r="L330" t="n">
        <v>0</v>
      </c>
      <c r="M330" t="n">
        <v>0</v>
      </c>
      <c r="N330" t="n">
        <v>0</v>
      </c>
      <c r="O330" t="n">
        <v>0</v>
      </c>
      <c r="P330" t="n">
        <v>0</v>
      </c>
      <c r="Q330" t="n">
        <v>0</v>
      </c>
      <c r="R330" s="2" t="inlineStr"/>
    </row>
    <row r="331" ht="15" customHeight="1">
      <c r="A331" t="inlineStr">
        <is>
          <t>A 30503-2023</t>
        </is>
      </c>
      <c r="B331" s="1" t="n">
        <v>45111</v>
      </c>
      <c r="C331" s="1" t="n">
        <v>46204</v>
      </c>
      <c r="D331" t="inlineStr">
        <is>
          <t>KALMAR LÄN</t>
        </is>
      </c>
      <c r="E331" t="inlineStr">
        <is>
          <t>VIMMERBY</t>
        </is>
      </c>
      <c r="G331" t="n">
        <v>0.5</v>
      </c>
      <c r="H331" t="n">
        <v>0</v>
      </c>
      <c r="I331" t="n">
        <v>0</v>
      </c>
      <c r="J331" t="n">
        <v>0</v>
      </c>
      <c r="K331" t="n">
        <v>0</v>
      </c>
      <c r="L331" t="n">
        <v>0</v>
      </c>
      <c r="M331" t="n">
        <v>0</v>
      </c>
      <c r="N331" t="n">
        <v>0</v>
      </c>
      <c r="O331" t="n">
        <v>0</v>
      </c>
      <c r="P331" t="n">
        <v>0</v>
      </c>
      <c r="Q331" t="n">
        <v>0</v>
      </c>
      <c r="R331" s="2" t="inlineStr"/>
    </row>
    <row r="332" ht="15" customHeight="1">
      <c r="A332" t="inlineStr">
        <is>
          <t>A 12730-2026</t>
        </is>
      </c>
      <c r="B332" s="1" t="n">
        <v>46091</v>
      </c>
      <c r="C332" s="1" t="n">
        <v>46204</v>
      </c>
      <c r="D332" t="inlineStr">
        <is>
          <t>KALMAR LÄN</t>
        </is>
      </c>
      <c r="E332" t="inlineStr">
        <is>
          <t>VIMMERBY</t>
        </is>
      </c>
      <c r="G332" t="n">
        <v>1</v>
      </c>
      <c r="H332" t="n">
        <v>0</v>
      </c>
      <c r="I332" t="n">
        <v>0</v>
      </c>
      <c r="J332" t="n">
        <v>0</v>
      </c>
      <c r="K332" t="n">
        <v>0</v>
      </c>
      <c r="L332" t="n">
        <v>0</v>
      </c>
      <c r="M332" t="n">
        <v>0</v>
      </c>
      <c r="N332" t="n">
        <v>0</v>
      </c>
      <c r="O332" t="n">
        <v>0</v>
      </c>
      <c r="P332" t="n">
        <v>0</v>
      </c>
      <c r="Q332" t="n">
        <v>0</v>
      </c>
      <c r="R332" s="2" t="inlineStr"/>
    </row>
    <row r="333" ht="15" customHeight="1">
      <c r="A333" t="inlineStr">
        <is>
          <t>A 12820-2026</t>
        </is>
      </c>
      <c r="B333" s="1" t="n">
        <v>46092</v>
      </c>
      <c r="C333" s="1" t="n">
        <v>46204</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12821-2026</t>
        </is>
      </c>
      <c r="B334" s="1" t="n">
        <v>46092</v>
      </c>
      <c r="C334" s="1" t="n">
        <v>46204</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12825-2026</t>
        </is>
      </c>
      <c r="B335" s="1" t="n">
        <v>46092</v>
      </c>
      <c r="C335" s="1" t="n">
        <v>46204</v>
      </c>
      <c r="D335" t="inlineStr">
        <is>
          <t>KALMAR LÄN</t>
        </is>
      </c>
      <c r="E335" t="inlineStr">
        <is>
          <t>VIMMERBY</t>
        </is>
      </c>
      <c r="G335" t="n">
        <v>2.6</v>
      </c>
      <c r="H335" t="n">
        <v>0</v>
      </c>
      <c r="I335" t="n">
        <v>0</v>
      </c>
      <c r="J335" t="n">
        <v>0</v>
      </c>
      <c r="K335" t="n">
        <v>0</v>
      </c>
      <c r="L335" t="n">
        <v>0</v>
      </c>
      <c r="M335" t="n">
        <v>0</v>
      </c>
      <c r="N335" t="n">
        <v>0</v>
      </c>
      <c r="O335" t="n">
        <v>0</v>
      </c>
      <c r="P335" t="n">
        <v>0</v>
      </c>
      <c r="Q335" t="n">
        <v>0</v>
      </c>
      <c r="R335" s="2" t="inlineStr"/>
    </row>
    <row r="336" ht="15" customHeight="1">
      <c r="A336" t="inlineStr">
        <is>
          <t>A 47263-2023</t>
        </is>
      </c>
      <c r="B336" s="1" t="n">
        <v>45202</v>
      </c>
      <c r="C336" s="1" t="n">
        <v>46204</v>
      </c>
      <c r="D336" t="inlineStr">
        <is>
          <t>KALMAR LÄN</t>
        </is>
      </c>
      <c r="E336" t="inlineStr">
        <is>
          <t>VIMMERBY</t>
        </is>
      </c>
      <c r="G336" t="n">
        <v>1.8</v>
      </c>
      <c r="H336" t="n">
        <v>0</v>
      </c>
      <c r="I336" t="n">
        <v>0</v>
      </c>
      <c r="J336" t="n">
        <v>0</v>
      </c>
      <c r="K336" t="n">
        <v>0</v>
      </c>
      <c r="L336" t="n">
        <v>0</v>
      </c>
      <c r="M336" t="n">
        <v>0</v>
      </c>
      <c r="N336" t="n">
        <v>0</v>
      </c>
      <c r="O336" t="n">
        <v>0</v>
      </c>
      <c r="P336" t="n">
        <v>0</v>
      </c>
      <c r="Q336" t="n">
        <v>0</v>
      </c>
      <c r="R336" s="2" t="inlineStr"/>
    </row>
    <row r="337" ht="15" customHeight="1">
      <c r="A337" t="inlineStr">
        <is>
          <t>A 58100-2024</t>
        </is>
      </c>
      <c r="B337" s="1" t="n">
        <v>45632</v>
      </c>
      <c r="C337" s="1" t="n">
        <v>46204</v>
      </c>
      <c r="D337" t="inlineStr">
        <is>
          <t>KALMAR LÄN</t>
        </is>
      </c>
      <c r="E337" t="inlineStr">
        <is>
          <t>VIMMERBY</t>
        </is>
      </c>
      <c r="G337" t="n">
        <v>0.9</v>
      </c>
      <c r="H337" t="n">
        <v>0</v>
      </c>
      <c r="I337" t="n">
        <v>0</v>
      </c>
      <c r="J337" t="n">
        <v>0</v>
      </c>
      <c r="K337" t="n">
        <v>0</v>
      </c>
      <c r="L337" t="n">
        <v>0</v>
      </c>
      <c r="M337" t="n">
        <v>0</v>
      </c>
      <c r="N337" t="n">
        <v>0</v>
      </c>
      <c r="O337" t="n">
        <v>0</v>
      </c>
      <c r="P337" t="n">
        <v>0</v>
      </c>
      <c r="Q337" t="n">
        <v>0</v>
      </c>
      <c r="R337" s="2" t="inlineStr"/>
    </row>
    <row r="338" ht="15" customHeight="1">
      <c r="A338" t="inlineStr">
        <is>
          <t>A 57114-2023</t>
        </is>
      </c>
      <c r="B338" s="1" t="n">
        <v>45245</v>
      </c>
      <c r="C338" s="1" t="n">
        <v>46204</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3423-2022</t>
        </is>
      </c>
      <c r="B339" s="1" t="n">
        <v>44585</v>
      </c>
      <c r="C339" s="1" t="n">
        <v>46204</v>
      </c>
      <c r="D339" t="inlineStr">
        <is>
          <t>KALMAR LÄN</t>
        </is>
      </c>
      <c r="E339" t="inlineStr">
        <is>
          <t>VIMMERBY</t>
        </is>
      </c>
      <c r="G339" t="n">
        <v>1.7</v>
      </c>
      <c r="H339" t="n">
        <v>0</v>
      </c>
      <c r="I339" t="n">
        <v>0</v>
      </c>
      <c r="J339" t="n">
        <v>0</v>
      </c>
      <c r="K339" t="n">
        <v>0</v>
      </c>
      <c r="L339" t="n">
        <v>0</v>
      </c>
      <c r="M339" t="n">
        <v>0</v>
      </c>
      <c r="N339" t="n">
        <v>0</v>
      </c>
      <c r="O339" t="n">
        <v>0</v>
      </c>
      <c r="P339" t="n">
        <v>0</v>
      </c>
      <c r="Q339" t="n">
        <v>0</v>
      </c>
      <c r="R339" s="2" t="inlineStr"/>
    </row>
    <row r="340" ht="15" customHeight="1">
      <c r="A340" t="inlineStr">
        <is>
          <t>A 40665-2023</t>
        </is>
      </c>
      <c r="B340" s="1" t="n">
        <v>45170</v>
      </c>
      <c r="C340" s="1" t="n">
        <v>46204</v>
      </c>
      <c r="D340" t="inlineStr">
        <is>
          <t>KALMAR LÄN</t>
        </is>
      </c>
      <c r="E340" t="inlineStr">
        <is>
          <t>VIMMERBY</t>
        </is>
      </c>
      <c r="G340" t="n">
        <v>2.6</v>
      </c>
      <c r="H340" t="n">
        <v>0</v>
      </c>
      <c r="I340" t="n">
        <v>0</v>
      </c>
      <c r="J340" t="n">
        <v>0</v>
      </c>
      <c r="K340" t="n">
        <v>0</v>
      </c>
      <c r="L340" t="n">
        <v>0</v>
      </c>
      <c r="M340" t="n">
        <v>0</v>
      </c>
      <c r="N340" t="n">
        <v>0</v>
      </c>
      <c r="O340" t="n">
        <v>0</v>
      </c>
      <c r="P340" t="n">
        <v>0</v>
      </c>
      <c r="Q340" t="n">
        <v>0</v>
      </c>
      <c r="R340" s="2" t="inlineStr"/>
    </row>
    <row r="341" ht="15" customHeight="1">
      <c r="A341" t="inlineStr">
        <is>
          <t>A 50860-2022</t>
        </is>
      </c>
      <c r="B341" s="1" t="n">
        <v>44867</v>
      </c>
      <c r="C341" s="1" t="n">
        <v>46204</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51062-2025</t>
        </is>
      </c>
      <c r="B342" s="1" t="n">
        <v>45947</v>
      </c>
      <c r="C342" s="1" t="n">
        <v>46204</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25370-2022</t>
        </is>
      </c>
      <c r="B343" s="1" t="n">
        <v>44732</v>
      </c>
      <c r="C343" s="1" t="n">
        <v>46204</v>
      </c>
      <c r="D343" t="inlineStr">
        <is>
          <t>KALMAR LÄN</t>
        </is>
      </c>
      <c r="E343" t="inlineStr">
        <is>
          <t>VIMMERBY</t>
        </is>
      </c>
      <c r="G343" t="n">
        <v>1.2</v>
      </c>
      <c r="H343" t="n">
        <v>0</v>
      </c>
      <c r="I343" t="n">
        <v>0</v>
      </c>
      <c r="J343" t="n">
        <v>0</v>
      </c>
      <c r="K343" t="n">
        <v>0</v>
      </c>
      <c r="L343" t="n">
        <v>0</v>
      </c>
      <c r="M343" t="n">
        <v>0</v>
      </c>
      <c r="N343" t="n">
        <v>0</v>
      </c>
      <c r="O343" t="n">
        <v>0</v>
      </c>
      <c r="P343" t="n">
        <v>0</v>
      </c>
      <c r="Q343" t="n">
        <v>0</v>
      </c>
      <c r="R343" s="2" t="inlineStr"/>
    </row>
    <row r="344" ht="15" customHeight="1">
      <c r="A344" t="inlineStr">
        <is>
          <t>A 58577-2024</t>
        </is>
      </c>
      <c r="B344" s="1" t="n">
        <v>45635</v>
      </c>
      <c r="C344" s="1" t="n">
        <v>46204</v>
      </c>
      <c r="D344" t="inlineStr">
        <is>
          <t>KALMAR LÄN</t>
        </is>
      </c>
      <c r="E344" t="inlineStr">
        <is>
          <t>VIMMERBY</t>
        </is>
      </c>
      <c r="G344" t="n">
        <v>1.1</v>
      </c>
      <c r="H344" t="n">
        <v>0</v>
      </c>
      <c r="I344" t="n">
        <v>0</v>
      </c>
      <c r="J344" t="n">
        <v>0</v>
      </c>
      <c r="K344" t="n">
        <v>0</v>
      </c>
      <c r="L344" t="n">
        <v>0</v>
      </c>
      <c r="M344" t="n">
        <v>0</v>
      </c>
      <c r="N344" t="n">
        <v>0</v>
      </c>
      <c r="O344" t="n">
        <v>0</v>
      </c>
      <c r="P344" t="n">
        <v>0</v>
      </c>
      <c r="Q344" t="n">
        <v>0</v>
      </c>
      <c r="R344" s="2" t="inlineStr"/>
    </row>
    <row r="345" ht="15" customHeight="1">
      <c r="A345" t="inlineStr">
        <is>
          <t>A 13793-2026</t>
        </is>
      </c>
      <c r="B345" s="1" t="n">
        <v>46097</v>
      </c>
      <c r="C345" s="1" t="n">
        <v>46204</v>
      </c>
      <c r="D345" t="inlineStr">
        <is>
          <t>KALMAR LÄN</t>
        </is>
      </c>
      <c r="E345" t="inlineStr">
        <is>
          <t>VIMMERBY</t>
        </is>
      </c>
      <c r="G345" t="n">
        <v>2.9</v>
      </c>
      <c r="H345" t="n">
        <v>0</v>
      </c>
      <c r="I345" t="n">
        <v>0</v>
      </c>
      <c r="J345" t="n">
        <v>0</v>
      </c>
      <c r="K345" t="n">
        <v>0</v>
      </c>
      <c r="L345" t="n">
        <v>0</v>
      </c>
      <c r="M345" t="n">
        <v>0</v>
      </c>
      <c r="N345" t="n">
        <v>0</v>
      </c>
      <c r="O345" t="n">
        <v>0</v>
      </c>
      <c r="P345" t="n">
        <v>0</v>
      </c>
      <c r="Q345" t="n">
        <v>0</v>
      </c>
      <c r="R345" s="2" t="inlineStr"/>
    </row>
    <row r="346" ht="15" customHeight="1">
      <c r="A346" t="inlineStr">
        <is>
          <t>A 29440-2024</t>
        </is>
      </c>
      <c r="B346" s="1" t="n">
        <v>45483</v>
      </c>
      <c r="C346" s="1" t="n">
        <v>46204</v>
      </c>
      <c r="D346" t="inlineStr">
        <is>
          <t>KALMAR LÄN</t>
        </is>
      </c>
      <c r="E346" t="inlineStr">
        <is>
          <t>VIMMERBY</t>
        </is>
      </c>
      <c r="G346" t="n">
        <v>4.5</v>
      </c>
      <c r="H346" t="n">
        <v>0</v>
      </c>
      <c r="I346" t="n">
        <v>0</v>
      </c>
      <c r="J346" t="n">
        <v>0</v>
      </c>
      <c r="K346" t="n">
        <v>0</v>
      </c>
      <c r="L346" t="n">
        <v>0</v>
      </c>
      <c r="M346" t="n">
        <v>0</v>
      </c>
      <c r="N346" t="n">
        <v>0</v>
      </c>
      <c r="O346" t="n">
        <v>0</v>
      </c>
      <c r="P346" t="n">
        <v>0</v>
      </c>
      <c r="Q346" t="n">
        <v>0</v>
      </c>
      <c r="R346" s="2" t="inlineStr"/>
    </row>
    <row r="347" ht="15" customHeight="1">
      <c r="A347" t="inlineStr">
        <is>
          <t>A 9129-2025</t>
        </is>
      </c>
      <c r="B347" s="1" t="n">
        <v>45713</v>
      </c>
      <c r="C347" s="1" t="n">
        <v>46204</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53752-2024</t>
        </is>
      </c>
      <c r="B348" s="1" t="n">
        <v>45615</v>
      </c>
      <c r="C348" s="1" t="n">
        <v>46204</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51990-2025</t>
        </is>
      </c>
      <c r="B349" s="1" t="n">
        <v>45952</v>
      </c>
      <c r="C349" s="1" t="n">
        <v>46204</v>
      </c>
      <c r="D349" t="inlineStr">
        <is>
          <t>KALMAR LÄN</t>
        </is>
      </c>
      <c r="E349" t="inlineStr">
        <is>
          <t>VIMMERBY</t>
        </is>
      </c>
      <c r="G349" t="n">
        <v>2.4</v>
      </c>
      <c r="H349" t="n">
        <v>0</v>
      </c>
      <c r="I349" t="n">
        <v>0</v>
      </c>
      <c r="J349" t="n">
        <v>0</v>
      </c>
      <c r="K349" t="n">
        <v>0</v>
      </c>
      <c r="L349" t="n">
        <v>0</v>
      </c>
      <c r="M349" t="n">
        <v>0</v>
      </c>
      <c r="N349" t="n">
        <v>0</v>
      </c>
      <c r="O349" t="n">
        <v>0</v>
      </c>
      <c r="P349" t="n">
        <v>0</v>
      </c>
      <c r="Q349" t="n">
        <v>0</v>
      </c>
      <c r="R349" s="2" t="inlineStr"/>
    </row>
    <row r="350" ht="15" customHeight="1">
      <c r="A350" t="inlineStr">
        <is>
          <t>A 14318-2026</t>
        </is>
      </c>
      <c r="B350" s="1" t="n">
        <v>46099</v>
      </c>
      <c r="C350" s="1" t="n">
        <v>46204</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14279-2026</t>
        </is>
      </c>
      <c r="B351" s="1" t="n">
        <v>46099</v>
      </c>
      <c r="C351" s="1" t="n">
        <v>46204</v>
      </c>
      <c r="D351" t="inlineStr">
        <is>
          <t>KALMAR LÄN</t>
        </is>
      </c>
      <c r="E351" t="inlineStr">
        <is>
          <t>VIMMERBY</t>
        </is>
      </c>
      <c r="G351" t="n">
        <v>2.8</v>
      </c>
      <c r="H351" t="n">
        <v>0</v>
      </c>
      <c r="I351" t="n">
        <v>0</v>
      </c>
      <c r="J351" t="n">
        <v>0</v>
      </c>
      <c r="K351" t="n">
        <v>0</v>
      </c>
      <c r="L351" t="n">
        <v>0</v>
      </c>
      <c r="M351" t="n">
        <v>0</v>
      </c>
      <c r="N351" t="n">
        <v>0</v>
      </c>
      <c r="O351" t="n">
        <v>0</v>
      </c>
      <c r="P351" t="n">
        <v>0</v>
      </c>
      <c r="Q351" t="n">
        <v>0</v>
      </c>
      <c r="R351" s="2" t="inlineStr"/>
    </row>
    <row r="352" ht="15" customHeight="1">
      <c r="A352" t="inlineStr">
        <is>
          <t>A 9710-2023</t>
        </is>
      </c>
      <c r="B352" s="1" t="n">
        <v>44984</v>
      </c>
      <c r="C352" s="1" t="n">
        <v>46204</v>
      </c>
      <c r="D352" t="inlineStr">
        <is>
          <t>KALMAR LÄN</t>
        </is>
      </c>
      <c r="E352" t="inlineStr">
        <is>
          <t>VIMMERBY</t>
        </is>
      </c>
      <c r="G352" t="n">
        <v>3.7</v>
      </c>
      <c r="H352" t="n">
        <v>0</v>
      </c>
      <c r="I352" t="n">
        <v>0</v>
      </c>
      <c r="J352" t="n">
        <v>0</v>
      </c>
      <c r="K352" t="n">
        <v>0</v>
      </c>
      <c r="L352" t="n">
        <v>0</v>
      </c>
      <c r="M352" t="n">
        <v>0</v>
      </c>
      <c r="N352" t="n">
        <v>0</v>
      </c>
      <c r="O352" t="n">
        <v>0</v>
      </c>
      <c r="P352" t="n">
        <v>0</v>
      </c>
      <c r="Q352" t="n">
        <v>0</v>
      </c>
      <c r="R352" s="2" t="inlineStr"/>
    </row>
    <row r="353" ht="15" customHeight="1">
      <c r="A353" t="inlineStr">
        <is>
          <t>A 9720-2023</t>
        </is>
      </c>
      <c r="B353" s="1" t="n">
        <v>44984</v>
      </c>
      <c r="C353" s="1" t="n">
        <v>46204</v>
      </c>
      <c r="D353" t="inlineStr">
        <is>
          <t>KALMAR LÄN</t>
        </is>
      </c>
      <c r="E353" t="inlineStr">
        <is>
          <t>VIMMERBY</t>
        </is>
      </c>
      <c r="G353" t="n">
        <v>4.4</v>
      </c>
      <c r="H353" t="n">
        <v>0</v>
      </c>
      <c r="I353" t="n">
        <v>0</v>
      </c>
      <c r="J353" t="n">
        <v>0</v>
      </c>
      <c r="K353" t="n">
        <v>0</v>
      </c>
      <c r="L353" t="n">
        <v>0</v>
      </c>
      <c r="M353" t="n">
        <v>0</v>
      </c>
      <c r="N353" t="n">
        <v>0</v>
      </c>
      <c r="O353" t="n">
        <v>0</v>
      </c>
      <c r="P353" t="n">
        <v>0</v>
      </c>
      <c r="Q353" t="n">
        <v>0</v>
      </c>
      <c r="R353" s="2" t="inlineStr"/>
    </row>
    <row r="354" ht="15" customHeight="1">
      <c r="A354" t="inlineStr">
        <is>
          <t>A 15493-2023</t>
        </is>
      </c>
      <c r="B354" s="1" t="n">
        <v>45018</v>
      </c>
      <c r="C354" s="1" t="n">
        <v>46204</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52466-2025</t>
        </is>
      </c>
      <c r="B355" s="1" t="n">
        <v>45954</v>
      </c>
      <c r="C355" s="1" t="n">
        <v>46204</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14320-2026</t>
        </is>
      </c>
      <c r="B356" s="1" t="n">
        <v>46099</v>
      </c>
      <c r="C356" s="1" t="n">
        <v>46204</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53396-2025</t>
        </is>
      </c>
      <c r="B357" s="1" t="n">
        <v>45959</v>
      </c>
      <c r="C357" s="1" t="n">
        <v>46204</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53398-2025</t>
        </is>
      </c>
      <c r="B358" s="1" t="n">
        <v>45959</v>
      </c>
      <c r="C358" s="1" t="n">
        <v>46204</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53397-2025</t>
        </is>
      </c>
      <c r="B359" s="1" t="n">
        <v>45959</v>
      </c>
      <c r="C359" s="1" t="n">
        <v>46204</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29093-2023</t>
        </is>
      </c>
      <c r="B360" s="1" t="n">
        <v>45105</v>
      </c>
      <c r="C360" s="1" t="n">
        <v>46204</v>
      </c>
      <c r="D360" t="inlineStr">
        <is>
          <t>KALMAR LÄN</t>
        </is>
      </c>
      <c r="E360" t="inlineStr">
        <is>
          <t>VIMMERBY</t>
        </is>
      </c>
      <c r="G360" t="n">
        <v>2.9</v>
      </c>
      <c r="H360" t="n">
        <v>0</v>
      </c>
      <c r="I360" t="n">
        <v>0</v>
      </c>
      <c r="J360" t="n">
        <v>0</v>
      </c>
      <c r="K360" t="n">
        <v>0</v>
      </c>
      <c r="L360" t="n">
        <v>0</v>
      </c>
      <c r="M360" t="n">
        <v>0</v>
      </c>
      <c r="N360" t="n">
        <v>0</v>
      </c>
      <c r="O360" t="n">
        <v>0</v>
      </c>
      <c r="P360" t="n">
        <v>0</v>
      </c>
      <c r="Q360" t="n">
        <v>0</v>
      </c>
      <c r="R360" s="2" t="inlineStr"/>
    </row>
    <row r="361" ht="15" customHeight="1">
      <c r="A361" t="inlineStr">
        <is>
          <t>A 33352-2022</t>
        </is>
      </c>
      <c r="B361" s="1" t="n">
        <v>44788</v>
      </c>
      <c r="C361" s="1" t="n">
        <v>46204</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53920-2025</t>
        </is>
      </c>
      <c r="B362" s="1" t="n">
        <v>45961</v>
      </c>
      <c r="C362" s="1" t="n">
        <v>46204</v>
      </c>
      <c r="D362" t="inlineStr">
        <is>
          <t>KALMAR LÄN</t>
        </is>
      </c>
      <c r="E362" t="inlineStr">
        <is>
          <t>VIMMERBY</t>
        </is>
      </c>
      <c r="G362" t="n">
        <v>1.4</v>
      </c>
      <c r="H362" t="n">
        <v>0</v>
      </c>
      <c r="I362" t="n">
        <v>0</v>
      </c>
      <c r="J362" t="n">
        <v>0</v>
      </c>
      <c r="K362" t="n">
        <v>0</v>
      </c>
      <c r="L362" t="n">
        <v>0</v>
      </c>
      <c r="M362" t="n">
        <v>0</v>
      </c>
      <c r="N362" t="n">
        <v>0</v>
      </c>
      <c r="O362" t="n">
        <v>0</v>
      </c>
      <c r="P362" t="n">
        <v>0</v>
      </c>
      <c r="Q362" t="n">
        <v>0</v>
      </c>
      <c r="R362" s="2" t="inlineStr"/>
    </row>
    <row r="363" ht="15" customHeight="1">
      <c r="A363" t="inlineStr">
        <is>
          <t>A 22264-2023</t>
        </is>
      </c>
      <c r="B363" s="1" t="n">
        <v>45070</v>
      </c>
      <c r="C363" s="1" t="n">
        <v>46204</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16676-2023</t>
        </is>
      </c>
      <c r="B364" s="1" t="n">
        <v>45028</v>
      </c>
      <c r="C364" s="1" t="n">
        <v>46204</v>
      </c>
      <c r="D364" t="inlineStr">
        <is>
          <t>KALMAR LÄN</t>
        </is>
      </c>
      <c r="E364" t="inlineStr">
        <is>
          <t>VIMMERBY</t>
        </is>
      </c>
      <c r="G364" t="n">
        <v>9.699999999999999</v>
      </c>
      <c r="H364" t="n">
        <v>0</v>
      </c>
      <c r="I364" t="n">
        <v>0</v>
      </c>
      <c r="J364" t="n">
        <v>0</v>
      </c>
      <c r="K364" t="n">
        <v>0</v>
      </c>
      <c r="L364" t="n">
        <v>0</v>
      </c>
      <c r="M364" t="n">
        <v>0</v>
      </c>
      <c r="N364" t="n">
        <v>0</v>
      </c>
      <c r="O364" t="n">
        <v>0</v>
      </c>
      <c r="P364" t="n">
        <v>0</v>
      </c>
      <c r="Q364" t="n">
        <v>0</v>
      </c>
      <c r="R364" s="2" t="inlineStr"/>
    </row>
    <row r="365" ht="15" customHeight="1">
      <c r="A365" t="inlineStr">
        <is>
          <t>A 53933-2025</t>
        </is>
      </c>
      <c r="B365" s="1" t="n">
        <v>45961</v>
      </c>
      <c r="C365" s="1" t="n">
        <v>46204</v>
      </c>
      <c r="D365" t="inlineStr">
        <is>
          <t>KALMAR LÄN</t>
        </is>
      </c>
      <c r="E365" t="inlineStr">
        <is>
          <t>VIMMERBY</t>
        </is>
      </c>
      <c r="G365" t="n">
        <v>0.9</v>
      </c>
      <c r="H365" t="n">
        <v>0</v>
      </c>
      <c r="I365" t="n">
        <v>0</v>
      </c>
      <c r="J365" t="n">
        <v>0</v>
      </c>
      <c r="K365" t="n">
        <v>0</v>
      </c>
      <c r="L365" t="n">
        <v>0</v>
      </c>
      <c r="M365" t="n">
        <v>0</v>
      </c>
      <c r="N365" t="n">
        <v>0</v>
      </c>
      <c r="O365" t="n">
        <v>0</v>
      </c>
      <c r="P365" t="n">
        <v>0</v>
      </c>
      <c r="Q365" t="n">
        <v>0</v>
      </c>
      <c r="R365" s="2" t="inlineStr"/>
    </row>
    <row r="366" ht="15" customHeight="1">
      <c r="A366" t="inlineStr">
        <is>
          <t>A 14793-2026</t>
        </is>
      </c>
      <c r="B366" s="1" t="n">
        <v>46101</v>
      </c>
      <c r="C366" s="1" t="n">
        <v>46204</v>
      </c>
      <c r="D366" t="inlineStr">
        <is>
          <t>KALMAR LÄN</t>
        </is>
      </c>
      <c r="E366" t="inlineStr">
        <is>
          <t>VIMMERBY</t>
        </is>
      </c>
      <c r="G366" t="n">
        <v>5.7</v>
      </c>
      <c r="H366" t="n">
        <v>0</v>
      </c>
      <c r="I366" t="n">
        <v>0</v>
      </c>
      <c r="J366" t="n">
        <v>0</v>
      </c>
      <c r="K366" t="n">
        <v>0</v>
      </c>
      <c r="L366" t="n">
        <v>0</v>
      </c>
      <c r="M366" t="n">
        <v>0</v>
      </c>
      <c r="N366" t="n">
        <v>0</v>
      </c>
      <c r="O366" t="n">
        <v>0</v>
      </c>
      <c r="P366" t="n">
        <v>0</v>
      </c>
      <c r="Q366" t="n">
        <v>0</v>
      </c>
      <c r="R366" s="2" t="inlineStr"/>
    </row>
    <row r="367" ht="15" customHeight="1">
      <c r="A367" t="inlineStr">
        <is>
          <t>A 24096-2024</t>
        </is>
      </c>
      <c r="B367" s="1" t="n">
        <v>45456</v>
      </c>
      <c r="C367" s="1" t="n">
        <v>46204</v>
      </c>
      <c r="D367" t="inlineStr">
        <is>
          <t>KALMAR LÄN</t>
        </is>
      </c>
      <c r="E367" t="inlineStr">
        <is>
          <t>VIMMERBY</t>
        </is>
      </c>
      <c r="G367" t="n">
        <v>2.3</v>
      </c>
      <c r="H367" t="n">
        <v>0</v>
      </c>
      <c r="I367" t="n">
        <v>0</v>
      </c>
      <c r="J367" t="n">
        <v>0</v>
      </c>
      <c r="K367" t="n">
        <v>0</v>
      </c>
      <c r="L367" t="n">
        <v>0</v>
      </c>
      <c r="M367" t="n">
        <v>0</v>
      </c>
      <c r="N367" t="n">
        <v>0</v>
      </c>
      <c r="O367" t="n">
        <v>0</v>
      </c>
      <c r="P367" t="n">
        <v>0</v>
      </c>
      <c r="Q367" t="n">
        <v>0</v>
      </c>
      <c r="R367" s="2" t="inlineStr"/>
    </row>
    <row r="368" ht="15" customHeight="1">
      <c r="A368" t="inlineStr">
        <is>
          <t>A 14792-2026</t>
        </is>
      </c>
      <c r="B368" s="1" t="n">
        <v>46101</v>
      </c>
      <c r="C368" s="1" t="n">
        <v>46204</v>
      </c>
      <c r="D368" t="inlineStr">
        <is>
          <t>KALMAR LÄN</t>
        </is>
      </c>
      <c r="E368" t="inlineStr">
        <is>
          <t>VIMMERBY</t>
        </is>
      </c>
      <c r="G368" t="n">
        <v>0.7</v>
      </c>
      <c r="H368" t="n">
        <v>0</v>
      </c>
      <c r="I368" t="n">
        <v>0</v>
      </c>
      <c r="J368" t="n">
        <v>0</v>
      </c>
      <c r="K368" t="n">
        <v>0</v>
      </c>
      <c r="L368" t="n">
        <v>0</v>
      </c>
      <c r="M368" t="n">
        <v>0</v>
      </c>
      <c r="N368" t="n">
        <v>0</v>
      </c>
      <c r="O368" t="n">
        <v>0</v>
      </c>
      <c r="P368" t="n">
        <v>0</v>
      </c>
      <c r="Q368" t="n">
        <v>0</v>
      </c>
      <c r="R368" s="2" t="inlineStr"/>
    </row>
    <row r="369" ht="15" customHeight="1">
      <c r="A369" t="inlineStr">
        <is>
          <t>A 29013-2024</t>
        </is>
      </c>
      <c r="B369" s="1" t="n">
        <v>45481</v>
      </c>
      <c r="C369" s="1" t="n">
        <v>46204</v>
      </c>
      <c r="D369" t="inlineStr">
        <is>
          <t>KALMAR LÄN</t>
        </is>
      </c>
      <c r="E369" t="inlineStr">
        <is>
          <t>VIMMERBY</t>
        </is>
      </c>
      <c r="G369" t="n">
        <v>3.4</v>
      </c>
      <c r="H369" t="n">
        <v>0</v>
      </c>
      <c r="I369" t="n">
        <v>0</v>
      </c>
      <c r="J369" t="n">
        <v>0</v>
      </c>
      <c r="K369" t="n">
        <v>0</v>
      </c>
      <c r="L369" t="n">
        <v>0</v>
      </c>
      <c r="M369" t="n">
        <v>0</v>
      </c>
      <c r="N369" t="n">
        <v>0</v>
      </c>
      <c r="O369" t="n">
        <v>0</v>
      </c>
      <c r="P369" t="n">
        <v>0</v>
      </c>
      <c r="Q369" t="n">
        <v>0</v>
      </c>
      <c r="R369" s="2" t="inlineStr"/>
    </row>
    <row r="370" ht="15" customHeight="1">
      <c r="A370" t="inlineStr">
        <is>
          <t>A 6066-2023</t>
        </is>
      </c>
      <c r="B370" s="1" t="n">
        <v>44964</v>
      </c>
      <c r="C370" s="1" t="n">
        <v>46204</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59955-2023</t>
        </is>
      </c>
      <c r="B371" s="1" t="n">
        <v>45257</v>
      </c>
      <c r="C371" s="1" t="n">
        <v>46204</v>
      </c>
      <c r="D371" t="inlineStr">
        <is>
          <t>KALMAR LÄN</t>
        </is>
      </c>
      <c r="E371" t="inlineStr">
        <is>
          <t>VIMMERBY</t>
        </is>
      </c>
      <c r="G371" t="n">
        <v>13.8</v>
      </c>
      <c r="H371" t="n">
        <v>0</v>
      </c>
      <c r="I371" t="n">
        <v>0</v>
      </c>
      <c r="J371" t="n">
        <v>0</v>
      </c>
      <c r="K371" t="n">
        <v>0</v>
      </c>
      <c r="L371" t="n">
        <v>0</v>
      </c>
      <c r="M371" t="n">
        <v>0</v>
      </c>
      <c r="N371" t="n">
        <v>0</v>
      </c>
      <c r="O371" t="n">
        <v>0</v>
      </c>
      <c r="P371" t="n">
        <v>0</v>
      </c>
      <c r="Q371" t="n">
        <v>0</v>
      </c>
      <c r="R371" s="2" t="inlineStr"/>
    </row>
    <row r="372" ht="15" customHeight="1">
      <c r="A372" t="inlineStr">
        <is>
          <t>A 36040-2024</t>
        </is>
      </c>
      <c r="B372" s="1" t="n">
        <v>45533</v>
      </c>
      <c r="C372" s="1" t="n">
        <v>46204</v>
      </c>
      <c r="D372" t="inlineStr">
        <is>
          <t>KALMAR LÄN</t>
        </is>
      </c>
      <c r="E372" t="inlineStr">
        <is>
          <t>VIMMERBY</t>
        </is>
      </c>
      <c r="F372" t="inlineStr">
        <is>
          <t>Kommuner</t>
        </is>
      </c>
      <c r="G372" t="n">
        <v>3.6</v>
      </c>
      <c r="H372" t="n">
        <v>0</v>
      </c>
      <c r="I372" t="n">
        <v>0</v>
      </c>
      <c r="J372" t="n">
        <v>0</v>
      </c>
      <c r="K372" t="n">
        <v>0</v>
      </c>
      <c r="L372" t="n">
        <v>0</v>
      </c>
      <c r="M372" t="n">
        <v>0</v>
      </c>
      <c r="N372" t="n">
        <v>0</v>
      </c>
      <c r="O372" t="n">
        <v>0</v>
      </c>
      <c r="P372" t="n">
        <v>0</v>
      </c>
      <c r="Q372" t="n">
        <v>0</v>
      </c>
      <c r="R372" s="2" t="inlineStr"/>
    </row>
    <row r="373" ht="15" customHeight="1">
      <c r="A373" t="inlineStr">
        <is>
          <t>A 36043-2024</t>
        </is>
      </c>
      <c r="B373" s="1" t="n">
        <v>45533</v>
      </c>
      <c r="C373" s="1" t="n">
        <v>46204</v>
      </c>
      <c r="D373" t="inlineStr">
        <is>
          <t>KALMAR LÄN</t>
        </is>
      </c>
      <c r="E373" t="inlineStr">
        <is>
          <t>VIMMERBY</t>
        </is>
      </c>
      <c r="F373" t="inlineStr">
        <is>
          <t>Kommuner</t>
        </is>
      </c>
      <c r="G373" t="n">
        <v>1.5</v>
      </c>
      <c r="H373" t="n">
        <v>0</v>
      </c>
      <c r="I373" t="n">
        <v>0</v>
      </c>
      <c r="J373" t="n">
        <v>0</v>
      </c>
      <c r="K373" t="n">
        <v>0</v>
      </c>
      <c r="L373" t="n">
        <v>0</v>
      </c>
      <c r="M373" t="n">
        <v>0</v>
      </c>
      <c r="N373" t="n">
        <v>0</v>
      </c>
      <c r="O373" t="n">
        <v>0</v>
      </c>
      <c r="P373" t="n">
        <v>0</v>
      </c>
      <c r="Q373" t="n">
        <v>0</v>
      </c>
      <c r="R373" s="2" t="inlineStr"/>
    </row>
    <row r="374" ht="15" customHeight="1">
      <c r="A374" t="inlineStr">
        <is>
          <t>A 12890-2023</t>
        </is>
      </c>
      <c r="B374" s="1" t="n">
        <v>45001</v>
      </c>
      <c r="C374" s="1" t="n">
        <v>46204</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43594-2024</t>
        </is>
      </c>
      <c r="B375" s="1" t="n">
        <v>45569</v>
      </c>
      <c r="C375" s="1" t="n">
        <v>46204</v>
      </c>
      <c r="D375" t="inlineStr">
        <is>
          <t>KALMAR LÄN</t>
        </is>
      </c>
      <c r="E375" t="inlineStr">
        <is>
          <t>VIMMERBY</t>
        </is>
      </c>
      <c r="G375" t="n">
        <v>3.9</v>
      </c>
      <c r="H375" t="n">
        <v>0</v>
      </c>
      <c r="I375" t="n">
        <v>0</v>
      </c>
      <c r="J375" t="n">
        <v>0</v>
      </c>
      <c r="K375" t="n">
        <v>0</v>
      </c>
      <c r="L375" t="n">
        <v>0</v>
      </c>
      <c r="M375" t="n">
        <v>0</v>
      </c>
      <c r="N375" t="n">
        <v>0</v>
      </c>
      <c r="O375" t="n">
        <v>0</v>
      </c>
      <c r="P375" t="n">
        <v>0</v>
      </c>
      <c r="Q375" t="n">
        <v>0</v>
      </c>
      <c r="R375" s="2" t="inlineStr"/>
    </row>
    <row r="376" ht="15" customHeight="1">
      <c r="A376" t="inlineStr">
        <is>
          <t>A 53482-2022</t>
        </is>
      </c>
      <c r="B376" s="1" t="n">
        <v>44879</v>
      </c>
      <c r="C376" s="1" t="n">
        <v>46204</v>
      </c>
      <c r="D376" t="inlineStr">
        <is>
          <t>KALMAR LÄN</t>
        </is>
      </c>
      <c r="E376" t="inlineStr">
        <is>
          <t>VIMMERBY</t>
        </is>
      </c>
      <c r="G376" t="n">
        <v>10.1</v>
      </c>
      <c r="H376" t="n">
        <v>0</v>
      </c>
      <c r="I376" t="n">
        <v>0</v>
      </c>
      <c r="J376" t="n">
        <v>0</v>
      </c>
      <c r="K376" t="n">
        <v>0</v>
      </c>
      <c r="L376" t="n">
        <v>0</v>
      </c>
      <c r="M376" t="n">
        <v>0</v>
      </c>
      <c r="N376" t="n">
        <v>0</v>
      </c>
      <c r="O376" t="n">
        <v>0</v>
      </c>
      <c r="P376" t="n">
        <v>0</v>
      </c>
      <c r="Q376" t="n">
        <v>0</v>
      </c>
      <c r="R376" s="2" t="inlineStr"/>
    </row>
    <row r="377" ht="15" customHeight="1">
      <c r="A377" t="inlineStr">
        <is>
          <t>A 27761-2024</t>
        </is>
      </c>
      <c r="B377" s="1" t="n">
        <v>45475</v>
      </c>
      <c r="C377" s="1" t="n">
        <v>46204</v>
      </c>
      <c r="D377" t="inlineStr">
        <is>
          <t>KALMAR LÄN</t>
        </is>
      </c>
      <c r="E377" t="inlineStr">
        <is>
          <t>VIMMERBY</t>
        </is>
      </c>
      <c r="G377" t="n">
        <v>0.6</v>
      </c>
      <c r="H377" t="n">
        <v>0</v>
      </c>
      <c r="I377" t="n">
        <v>0</v>
      </c>
      <c r="J377" t="n">
        <v>0</v>
      </c>
      <c r="K377" t="n">
        <v>0</v>
      </c>
      <c r="L377" t="n">
        <v>0</v>
      </c>
      <c r="M377" t="n">
        <v>0</v>
      </c>
      <c r="N377" t="n">
        <v>0</v>
      </c>
      <c r="O377" t="n">
        <v>0</v>
      </c>
      <c r="P377" t="n">
        <v>0</v>
      </c>
      <c r="Q377" t="n">
        <v>0</v>
      </c>
      <c r="R377" s="2" t="inlineStr"/>
    </row>
    <row r="378" ht="15" customHeight="1">
      <c r="A378" t="inlineStr">
        <is>
          <t>A 64203-2021</t>
        </is>
      </c>
      <c r="B378" s="1" t="n">
        <v>44510</v>
      </c>
      <c r="C378" s="1" t="n">
        <v>46204</v>
      </c>
      <c r="D378" t="inlineStr">
        <is>
          <t>KALMAR LÄN</t>
        </is>
      </c>
      <c r="E378" t="inlineStr">
        <is>
          <t>VIMMERBY</t>
        </is>
      </c>
      <c r="F378" t="inlineStr">
        <is>
          <t>Övriga Aktiebolag</t>
        </is>
      </c>
      <c r="G378" t="n">
        <v>5.4</v>
      </c>
      <c r="H378" t="n">
        <v>0</v>
      </c>
      <c r="I378" t="n">
        <v>0</v>
      </c>
      <c r="J378" t="n">
        <v>0</v>
      </c>
      <c r="K378" t="n">
        <v>0</v>
      </c>
      <c r="L378" t="n">
        <v>0</v>
      </c>
      <c r="M378" t="n">
        <v>0</v>
      </c>
      <c r="N378" t="n">
        <v>0</v>
      </c>
      <c r="O378" t="n">
        <v>0</v>
      </c>
      <c r="P378" t="n">
        <v>0</v>
      </c>
      <c r="Q378" t="n">
        <v>0</v>
      </c>
      <c r="R378" s="2" t="inlineStr"/>
    </row>
    <row r="379" ht="15" customHeight="1">
      <c r="A379" t="inlineStr">
        <is>
          <t>A 5720-2023</t>
        </is>
      </c>
      <c r="B379" s="1" t="n">
        <v>44961</v>
      </c>
      <c r="C379" s="1" t="n">
        <v>46204</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9643-2023</t>
        </is>
      </c>
      <c r="B380" s="1" t="n">
        <v>44984</v>
      </c>
      <c r="C380" s="1" t="n">
        <v>46204</v>
      </c>
      <c r="D380" t="inlineStr">
        <is>
          <t>KALMAR LÄN</t>
        </is>
      </c>
      <c r="E380" t="inlineStr">
        <is>
          <t>VIMMERBY</t>
        </is>
      </c>
      <c r="G380" t="n">
        <v>2</v>
      </c>
      <c r="H380" t="n">
        <v>0</v>
      </c>
      <c r="I380" t="n">
        <v>0</v>
      </c>
      <c r="J380" t="n">
        <v>0</v>
      </c>
      <c r="K380" t="n">
        <v>0</v>
      </c>
      <c r="L380" t="n">
        <v>0</v>
      </c>
      <c r="M380" t="n">
        <v>0</v>
      </c>
      <c r="N380" t="n">
        <v>0</v>
      </c>
      <c r="O380" t="n">
        <v>0</v>
      </c>
      <c r="P380" t="n">
        <v>0</v>
      </c>
      <c r="Q380" t="n">
        <v>0</v>
      </c>
      <c r="R380" s="2" t="inlineStr"/>
    </row>
    <row r="381" ht="15" customHeight="1">
      <c r="A381" t="inlineStr">
        <is>
          <t>A 25728-2023</t>
        </is>
      </c>
      <c r="B381" s="1" t="n">
        <v>45090</v>
      </c>
      <c r="C381" s="1" t="n">
        <v>46204</v>
      </c>
      <c r="D381" t="inlineStr">
        <is>
          <t>KALMAR LÄN</t>
        </is>
      </c>
      <c r="E381" t="inlineStr">
        <is>
          <t>VIMMERBY</t>
        </is>
      </c>
      <c r="G381" t="n">
        <v>1.1</v>
      </c>
      <c r="H381" t="n">
        <v>0</v>
      </c>
      <c r="I381" t="n">
        <v>0</v>
      </c>
      <c r="J381" t="n">
        <v>0</v>
      </c>
      <c r="K381" t="n">
        <v>0</v>
      </c>
      <c r="L381" t="n">
        <v>0</v>
      </c>
      <c r="M381" t="n">
        <v>0</v>
      </c>
      <c r="N381" t="n">
        <v>0</v>
      </c>
      <c r="O381" t="n">
        <v>0</v>
      </c>
      <c r="P381" t="n">
        <v>0</v>
      </c>
      <c r="Q381" t="n">
        <v>0</v>
      </c>
      <c r="R381" s="2" t="inlineStr"/>
    </row>
    <row r="382" ht="15" customHeight="1">
      <c r="A382" t="inlineStr">
        <is>
          <t>A 55603-2025</t>
        </is>
      </c>
      <c r="B382" s="1" t="n">
        <v>45971</v>
      </c>
      <c r="C382" s="1" t="n">
        <v>46204</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15205-2026</t>
        </is>
      </c>
      <c r="B383" s="1" t="n">
        <v>46105</v>
      </c>
      <c r="C383" s="1" t="n">
        <v>46204</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55385-2025</t>
        </is>
      </c>
      <c r="B384" s="1" t="n">
        <v>45971</v>
      </c>
      <c r="C384" s="1" t="n">
        <v>46204</v>
      </c>
      <c r="D384" t="inlineStr">
        <is>
          <t>KALMAR LÄN</t>
        </is>
      </c>
      <c r="E384" t="inlineStr">
        <is>
          <t>VIMMERBY</t>
        </is>
      </c>
      <c r="G384" t="n">
        <v>5</v>
      </c>
      <c r="H384" t="n">
        <v>0</v>
      </c>
      <c r="I384" t="n">
        <v>0</v>
      </c>
      <c r="J384" t="n">
        <v>0</v>
      </c>
      <c r="K384" t="n">
        <v>0</v>
      </c>
      <c r="L384" t="n">
        <v>0</v>
      </c>
      <c r="M384" t="n">
        <v>0</v>
      </c>
      <c r="N384" t="n">
        <v>0</v>
      </c>
      <c r="O384" t="n">
        <v>0</v>
      </c>
      <c r="P384" t="n">
        <v>0</v>
      </c>
      <c r="Q384" t="n">
        <v>0</v>
      </c>
      <c r="R384" s="2" t="inlineStr"/>
    </row>
    <row r="385" ht="15" customHeight="1">
      <c r="A385" t="inlineStr">
        <is>
          <t>A 41311-2023</t>
        </is>
      </c>
      <c r="B385" s="1" t="n">
        <v>45174</v>
      </c>
      <c r="C385" s="1" t="n">
        <v>46204</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26318-2023</t>
        </is>
      </c>
      <c r="B386" s="1" t="n">
        <v>45091</v>
      </c>
      <c r="C386" s="1" t="n">
        <v>46204</v>
      </c>
      <c r="D386" t="inlineStr">
        <is>
          <t>KALMAR LÄN</t>
        </is>
      </c>
      <c r="E386" t="inlineStr">
        <is>
          <t>VIMMERBY</t>
        </is>
      </c>
      <c r="G386" t="n">
        <v>3.8</v>
      </c>
      <c r="H386" t="n">
        <v>0</v>
      </c>
      <c r="I386" t="n">
        <v>0</v>
      </c>
      <c r="J386" t="n">
        <v>0</v>
      </c>
      <c r="K386" t="n">
        <v>0</v>
      </c>
      <c r="L386" t="n">
        <v>0</v>
      </c>
      <c r="M386" t="n">
        <v>0</v>
      </c>
      <c r="N386" t="n">
        <v>0</v>
      </c>
      <c r="O386" t="n">
        <v>0</v>
      </c>
      <c r="P386" t="n">
        <v>0</v>
      </c>
      <c r="Q386" t="n">
        <v>0</v>
      </c>
      <c r="R386" s="2" t="inlineStr"/>
    </row>
    <row r="387" ht="15" customHeight="1">
      <c r="A387" t="inlineStr">
        <is>
          <t>A 61355-2024</t>
        </is>
      </c>
      <c r="B387" s="1" t="n">
        <v>45646</v>
      </c>
      <c r="C387" s="1" t="n">
        <v>46204</v>
      </c>
      <c r="D387" t="inlineStr">
        <is>
          <t>KALMAR LÄN</t>
        </is>
      </c>
      <c r="E387" t="inlineStr">
        <is>
          <t>VIMMERBY</t>
        </is>
      </c>
      <c r="G387" t="n">
        <v>2.7</v>
      </c>
      <c r="H387" t="n">
        <v>0</v>
      </c>
      <c r="I387" t="n">
        <v>0</v>
      </c>
      <c r="J387" t="n">
        <v>0</v>
      </c>
      <c r="K387" t="n">
        <v>0</v>
      </c>
      <c r="L387" t="n">
        <v>0</v>
      </c>
      <c r="M387" t="n">
        <v>0</v>
      </c>
      <c r="N387" t="n">
        <v>0</v>
      </c>
      <c r="O387" t="n">
        <v>0</v>
      </c>
      <c r="P387" t="n">
        <v>0</v>
      </c>
      <c r="Q387" t="n">
        <v>0</v>
      </c>
      <c r="R387" s="2" t="inlineStr"/>
    </row>
    <row r="388" ht="15" customHeight="1">
      <c r="A388" t="inlineStr">
        <is>
          <t>A 36802-2021</t>
        </is>
      </c>
      <c r="B388" s="1" t="n">
        <v>44392</v>
      </c>
      <c r="C388" s="1" t="n">
        <v>46204</v>
      </c>
      <c r="D388" t="inlineStr">
        <is>
          <t>KALMAR LÄN</t>
        </is>
      </c>
      <c r="E388" t="inlineStr">
        <is>
          <t>VIMMERBY</t>
        </is>
      </c>
      <c r="F388" t="inlineStr">
        <is>
          <t>Sveaskog</t>
        </is>
      </c>
      <c r="G388" t="n">
        <v>4.6</v>
      </c>
      <c r="H388" t="n">
        <v>0</v>
      </c>
      <c r="I388" t="n">
        <v>0</v>
      </c>
      <c r="J388" t="n">
        <v>0</v>
      </c>
      <c r="K388" t="n">
        <v>0</v>
      </c>
      <c r="L388" t="n">
        <v>0</v>
      </c>
      <c r="M388" t="n">
        <v>0</v>
      </c>
      <c r="N388" t="n">
        <v>0</v>
      </c>
      <c r="O388" t="n">
        <v>0</v>
      </c>
      <c r="P388" t="n">
        <v>0</v>
      </c>
      <c r="Q388" t="n">
        <v>0</v>
      </c>
      <c r="R388" s="2" t="inlineStr"/>
    </row>
    <row r="389" ht="15" customHeight="1">
      <c r="A389" t="inlineStr">
        <is>
          <t>A 38198-2024</t>
        </is>
      </c>
      <c r="B389" s="1" t="n">
        <v>45545</v>
      </c>
      <c r="C389" s="1" t="n">
        <v>46204</v>
      </c>
      <c r="D389" t="inlineStr">
        <is>
          <t>KALMAR LÄN</t>
        </is>
      </c>
      <c r="E389" t="inlineStr">
        <is>
          <t>VIMMERBY</t>
        </is>
      </c>
      <c r="G389" t="n">
        <v>7.9</v>
      </c>
      <c r="H389" t="n">
        <v>0</v>
      </c>
      <c r="I389" t="n">
        <v>0</v>
      </c>
      <c r="J389" t="n">
        <v>0</v>
      </c>
      <c r="K389" t="n">
        <v>0</v>
      </c>
      <c r="L389" t="n">
        <v>0</v>
      </c>
      <c r="M389" t="n">
        <v>0</v>
      </c>
      <c r="N389" t="n">
        <v>0</v>
      </c>
      <c r="O389" t="n">
        <v>0</v>
      </c>
      <c r="P389" t="n">
        <v>0</v>
      </c>
      <c r="Q389" t="n">
        <v>0</v>
      </c>
      <c r="R389" s="2" t="inlineStr"/>
    </row>
    <row r="390" ht="15" customHeight="1">
      <c r="A390" t="inlineStr">
        <is>
          <t>A 9623-2024</t>
        </is>
      </c>
      <c r="B390" s="1" t="n">
        <v>45361</v>
      </c>
      <c r="C390" s="1" t="n">
        <v>46204</v>
      </c>
      <c r="D390" t="inlineStr">
        <is>
          <t>KALMAR LÄN</t>
        </is>
      </c>
      <c r="E390" t="inlineStr">
        <is>
          <t>VIMMERBY</t>
        </is>
      </c>
      <c r="G390" t="n">
        <v>1.6</v>
      </c>
      <c r="H390" t="n">
        <v>0</v>
      </c>
      <c r="I390" t="n">
        <v>0</v>
      </c>
      <c r="J390" t="n">
        <v>0</v>
      </c>
      <c r="K390" t="n">
        <v>0</v>
      </c>
      <c r="L390" t="n">
        <v>0</v>
      </c>
      <c r="M390" t="n">
        <v>0</v>
      </c>
      <c r="N390" t="n">
        <v>0</v>
      </c>
      <c r="O390" t="n">
        <v>0</v>
      </c>
      <c r="P390" t="n">
        <v>0</v>
      </c>
      <c r="Q390" t="n">
        <v>0</v>
      </c>
      <c r="R390" s="2" t="inlineStr"/>
    </row>
    <row r="391" ht="15" customHeight="1">
      <c r="A391" t="inlineStr">
        <is>
          <t>A 58967-2022</t>
        </is>
      </c>
      <c r="B391" s="1" t="n">
        <v>44896</v>
      </c>
      <c r="C391" s="1" t="n">
        <v>46204</v>
      </c>
      <c r="D391" t="inlineStr">
        <is>
          <t>KALMAR LÄN</t>
        </is>
      </c>
      <c r="E391" t="inlineStr">
        <is>
          <t>VIMMERBY</t>
        </is>
      </c>
      <c r="G391" t="n">
        <v>5</v>
      </c>
      <c r="H391" t="n">
        <v>0</v>
      </c>
      <c r="I391" t="n">
        <v>0</v>
      </c>
      <c r="J391" t="n">
        <v>0</v>
      </c>
      <c r="K391" t="n">
        <v>0</v>
      </c>
      <c r="L391" t="n">
        <v>0</v>
      </c>
      <c r="M391" t="n">
        <v>0</v>
      </c>
      <c r="N391" t="n">
        <v>0</v>
      </c>
      <c r="O391" t="n">
        <v>0</v>
      </c>
      <c r="P391" t="n">
        <v>0</v>
      </c>
      <c r="Q391" t="n">
        <v>0</v>
      </c>
      <c r="R391" s="2" t="inlineStr"/>
    </row>
    <row r="392" ht="15" customHeight="1">
      <c r="A392" t="inlineStr">
        <is>
          <t>A 6399-2025</t>
        </is>
      </c>
      <c r="B392" s="1" t="n">
        <v>45699</v>
      </c>
      <c r="C392" s="1" t="n">
        <v>46204</v>
      </c>
      <c r="D392" t="inlineStr">
        <is>
          <t>KALMAR LÄN</t>
        </is>
      </c>
      <c r="E392" t="inlineStr">
        <is>
          <t>VIMMERBY</t>
        </is>
      </c>
      <c r="G392" t="n">
        <v>3.1</v>
      </c>
      <c r="H392" t="n">
        <v>0</v>
      </c>
      <c r="I392" t="n">
        <v>0</v>
      </c>
      <c r="J392" t="n">
        <v>0</v>
      </c>
      <c r="K392" t="n">
        <v>0</v>
      </c>
      <c r="L392" t="n">
        <v>0</v>
      </c>
      <c r="M392" t="n">
        <v>0</v>
      </c>
      <c r="N392" t="n">
        <v>0</v>
      </c>
      <c r="O392" t="n">
        <v>0</v>
      </c>
      <c r="P392" t="n">
        <v>0</v>
      </c>
      <c r="Q392" t="n">
        <v>0</v>
      </c>
      <c r="R392" s="2" t="inlineStr"/>
    </row>
    <row r="393" ht="15" customHeight="1">
      <c r="A393" t="inlineStr">
        <is>
          <t>A 31355-2023</t>
        </is>
      </c>
      <c r="B393" s="1" t="n">
        <v>45114</v>
      </c>
      <c r="C393" s="1" t="n">
        <v>46204</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58503-2025</t>
        </is>
      </c>
      <c r="B394" s="1" t="n">
        <v>45985</v>
      </c>
      <c r="C394" s="1" t="n">
        <v>46204</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30400-2023</t>
        </is>
      </c>
      <c r="B395" s="1" t="n">
        <v>45111</v>
      </c>
      <c r="C395" s="1" t="n">
        <v>46204</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30404-2023</t>
        </is>
      </c>
      <c r="B396" s="1" t="n">
        <v>45111</v>
      </c>
      <c r="C396" s="1" t="n">
        <v>46204</v>
      </c>
      <c r="D396" t="inlineStr">
        <is>
          <t>KALMAR LÄN</t>
        </is>
      </c>
      <c r="E396" t="inlineStr">
        <is>
          <t>VIMMERBY</t>
        </is>
      </c>
      <c r="G396" t="n">
        <v>0.6</v>
      </c>
      <c r="H396" t="n">
        <v>0</v>
      </c>
      <c r="I396" t="n">
        <v>0</v>
      </c>
      <c r="J396" t="n">
        <v>0</v>
      </c>
      <c r="K396" t="n">
        <v>0</v>
      </c>
      <c r="L396" t="n">
        <v>0</v>
      </c>
      <c r="M396" t="n">
        <v>0</v>
      </c>
      <c r="N396" t="n">
        <v>0</v>
      </c>
      <c r="O396" t="n">
        <v>0</v>
      </c>
      <c r="P396" t="n">
        <v>0</v>
      </c>
      <c r="Q396" t="n">
        <v>0</v>
      </c>
      <c r="R396" s="2" t="inlineStr"/>
    </row>
    <row r="397" ht="15" customHeight="1">
      <c r="A397" t="inlineStr">
        <is>
          <t>A 58498-2025</t>
        </is>
      </c>
      <c r="B397" s="1" t="n">
        <v>45985</v>
      </c>
      <c r="C397" s="1" t="n">
        <v>46204</v>
      </c>
      <c r="D397" t="inlineStr">
        <is>
          <t>KALMAR LÄN</t>
        </is>
      </c>
      <c r="E397" t="inlineStr">
        <is>
          <t>VIMMERBY</t>
        </is>
      </c>
      <c r="G397" t="n">
        <v>2.1</v>
      </c>
      <c r="H397" t="n">
        <v>0</v>
      </c>
      <c r="I397" t="n">
        <v>0</v>
      </c>
      <c r="J397" t="n">
        <v>0</v>
      </c>
      <c r="K397" t="n">
        <v>0</v>
      </c>
      <c r="L397" t="n">
        <v>0</v>
      </c>
      <c r="M397" t="n">
        <v>0</v>
      </c>
      <c r="N397" t="n">
        <v>0</v>
      </c>
      <c r="O397" t="n">
        <v>0</v>
      </c>
      <c r="P397" t="n">
        <v>0</v>
      </c>
      <c r="Q397" t="n">
        <v>0</v>
      </c>
      <c r="R397" s="2" t="inlineStr"/>
    </row>
    <row r="398" ht="15" customHeight="1">
      <c r="A398" t="inlineStr">
        <is>
          <t>A 58501-2025</t>
        </is>
      </c>
      <c r="B398" s="1" t="n">
        <v>45985</v>
      </c>
      <c r="C398" s="1" t="n">
        <v>46204</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27705-2023</t>
        </is>
      </c>
      <c r="B399" s="1" t="n">
        <v>45098</v>
      </c>
      <c r="C399" s="1" t="n">
        <v>46204</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58446-2025</t>
        </is>
      </c>
      <c r="B400" s="1" t="n">
        <v>45985</v>
      </c>
      <c r="C400" s="1" t="n">
        <v>46204</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58500-2025</t>
        </is>
      </c>
      <c r="B401" s="1" t="n">
        <v>45985</v>
      </c>
      <c r="C401" s="1" t="n">
        <v>46204</v>
      </c>
      <c r="D401" t="inlineStr">
        <is>
          <t>KALMAR LÄN</t>
        </is>
      </c>
      <c r="E401" t="inlineStr">
        <is>
          <t>VIMMERBY</t>
        </is>
      </c>
      <c r="G401" t="n">
        <v>1.8</v>
      </c>
      <c r="H401" t="n">
        <v>0</v>
      </c>
      <c r="I401" t="n">
        <v>0</v>
      </c>
      <c r="J401" t="n">
        <v>0</v>
      </c>
      <c r="K401" t="n">
        <v>0</v>
      </c>
      <c r="L401" t="n">
        <v>0</v>
      </c>
      <c r="M401" t="n">
        <v>0</v>
      </c>
      <c r="N401" t="n">
        <v>0</v>
      </c>
      <c r="O401" t="n">
        <v>0</v>
      </c>
      <c r="P401" t="n">
        <v>0</v>
      </c>
      <c r="Q401" t="n">
        <v>0</v>
      </c>
      <c r="R401" s="2" t="inlineStr"/>
    </row>
    <row r="402" ht="15" customHeight="1">
      <c r="A402" t="inlineStr">
        <is>
          <t>A 58841-2025</t>
        </is>
      </c>
      <c r="B402" s="1" t="n">
        <v>45987</v>
      </c>
      <c r="C402" s="1" t="n">
        <v>46204</v>
      </c>
      <c r="D402" t="inlineStr">
        <is>
          <t>KALMAR LÄN</t>
        </is>
      </c>
      <c r="E402" t="inlineStr">
        <is>
          <t>VIMMERBY</t>
        </is>
      </c>
      <c r="G402" t="n">
        <v>3.5</v>
      </c>
      <c r="H402" t="n">
        <v>0</v>
      </c>
      <c r="I402" t="n">
        <v>0</v>
      </c>
      <c r="J402" t="n">
        <v>0</v>
      </c>
      <c r="K402" t="n">
        <v>0</v>
      </c>
      <c r="L402" t="n">
        <v>0</v>
      </c>
      <c r="M402" t="n">
        <v>0</v>
      </c>
      <c r="N402" t="n">
        <v>0</v>
      </c>
      <c r="O402" t="n">
        <v>0</v>
      </c>
      <c r="P402" t="n">
        <v>0</v>
      </c>
      <c r="Q402" t="n">
        <v>0</v>
      </c>
      <c r="R402" s="2" t="inlineStr"/>
    </row>
    <row r="403" ht="15" customHeight="1">
      <c r="A403" t="inlineStr">
        <is>
          <t>A 36843-2023</t>
        </is>
      </c>
      <c r="B403" s="1" t="n">
        <v>45154</v>
      </c>
      <c r="C403" s="1" t="n">
        <v>46204</v>
      </c>
      <c r="D403" t="inlineStr">
        <is>
          <t>KALMAR LÄN</t>
        </is>
      </c>
      <c r="E403" t="inlineStr">
        <is>
          <t>VIMMERBY</t>
        </is>
      </c>
      <c r="G403" t="n">
        <v>2</v>
      </c>
      <c r="H403" t="n">
        <v>0</v>
      </c>
      <c r="I403" t="n">
        <v>0</v>
      </c>
      <c r="J403" t="n">
        <v>0</v>
      </c>
      <c r="K403" t="n">
        <v>0</v>
      </c>
      <c r="L403" t="n">
        <v>0</v>
      </c>
      <c r="M403" t="n">
        <v>0</v>
      </c>
      <c r="N403" t="n">
        <v>0</v>
      </c>
      <c r="O403" t="n">
        <v>0</v>
      </c>
      <c r="P403" t="n">
        <v>0</v>
      </c>
      <c r="Q403" t="n">
        <v>0</v>
      </c>
      <c r="R403" s="2" t="inlineStr"/>
    </row>
    <row r="404" ht="15" customHeight="1">
      <c r="A404" t="inlineStr">
        <is>
          <t>A 10785-2025</t>
        </is>
      </c>
      <c r="B404" s="1" t="n">
        <v>45722</v>
      </c>
      <c r="C404" s="1" t="n">
        <v>46204</v>
      </c>
      <c r="D404" t="inlineStr">
        <is>
          <t>KALMAR LÄN</t>
        </is>
      </c>
      <c r="E404" t="inlineStr">
        <is>
          <t>VIMMERBY</t>
        </is>
      </c>
      <c r="G404" t="n">
        <v>0.5</v>
      </c>
      <c r="H404" t="n">
        <v>0</v>
      </c>
      <c r="I404" t="n">
        <v>0</v>
      </c>
      <c r="J404" t="n">
        <v>0</v>
      </c>
      <c r="K404" t="n">
        <v>0</v>
      </c>
      <c r="L404" t="n">
        <v>0</v>
      </c>
      <c r="M404" t="n">
        <v>0</v>
      </c>
      <c r="N404" t="n">
        <v>0</v>
      </c>
      <c r="O404" t="n">
        <v>0</v>
      </c>
      <c r="P404" t="n">
        <v>0</v>
      </c>
      <c r="Q404" t="n">
        <v>0</v>
      </c>
      <c r="R404" s="2" t="inlineStr"/>
    </row>
    <row r="405" ht="15" customHeight="1">
      <c r="A405" t="inlineStr">
        <is>
          <t>A 29017-2024</t>
        </is>
      </c>
      <c r="B405" s="1" t="n">
        <v>45481</v>
      </c>
      <c r="C405" s="1" t="n">
        <v>46204</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16183-2026</t>
        </is>
      </c>
      <c r="B406" s="1" t="n">
        <v>46111</v>
      </c>
      <c r="C406" s="1" t="n">
        <v>46204</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23263-2024</t>
        </is>
      </c>
      <c r="B407" s="1" t="n">
        <v>45453</v>
      </c>
      <c r="C407" s="1" t="n">
        <v>46204</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11074-2023</t>
        </is>
      </c>
      <c r="B408" s="1" t="n">
        <v>44992</v>
      </c>
      <c r="C408" s="1" t="n">
        <v>46204</v>
      </c>
      <c r="D408" t="inlineStr">
        <is>
          <t>KALMAR LÄN</t>
        </is>
      </c>
      <c r="E408" t="inlineStr">
        <is>
          <t>VIMMERBY</t>
        </is>
      </c>
      <c r="F408" t="inlineStr">
        <is>
          <t>Sveaskog</t>
        </is>
      </c>
      <c r="G408" t="n">
        <v>3.1</v>
      </c>
      <c r="H408" t="n">
        <v>0</v>
      </c>
      <c r="I408" t="n">
        <v>0</v>
      </c>
      <c r="J408" t="n">
        <v>0</v>
      </c>
      <c r="K408" t="n">
        <v>0</v>
      </c>
      <c r="L408" t="n">
        <v>0</v>
      </c>
      <c r="M408" t="n">
        <v>0</v>
      </c>
      <c r="N408" t="n">
        <v>0</v>
      </c>
      <c r="O408" t="n">
        <v>0</v>
      </c>
      <c r="P408" t="n">
        <v>0</v>
      </c>
      <c r="Q408" t="n">
        <v>0</v>
      </c>
      <c r="R408" s="2" t="inlineStr"/>
    </row>
    <row r="409" ht="15" customHeight="1">
      <c r="A409" t="inlineStr">
        <is>
          <t>A 16648-2026</t>
        </is>
      </c>
      <c r="B409" s="1" t="n">
        <v>46112</v>
      </c>
      <c r="C409" s="1" t="n">
        <v>46204</v>
      </c>
      <c r="D409" t="inlineStr">
        <is>
          <t>KALMAR LÄN</t>
        </is>
      </c>
      <c r="E409" t="inlineStr">
        <is>
          <t>VIMMERBY</t>
        </is>
      </c>
      <c r="F409" t="inlineStr">
        <is>
          <t>Kommuner</t>
        </is>
      </c>
      <c r="G409" t="n">
        <v>0.9</v>
      </c>
      <c r="H409" t="n">
        <v>0</v>
      </c>
      <c r="I409" t="n">
        <v>0</v>
      </c>
      <c r="J409" t="n">
        <v>0</v>
      </c>
      <c r="K409" t="n">
        <v>0</v>
      </c>
      <c r="L409" t="n">
        <v>0</v>
      </c>
      <c r="M409" t="n">
        <v>0</v>
      </c>
      <c r="N409" t="n">
        <v>0</v>
      </c>
      <c r="O409" t="n">
        <v>0</v>
      </c>
      <c r="P409" t="n">
        <v>0</v>
      </c>
      <c r="Q409" t="n">
        <v>0</v>
      </c>
      <c r="R409" s="2" t="inlineStr"/>
    </row>
    <row r="410" ht="15" customHeight="1">
      <c r="A410" t="inlineStr">
        <is>
          <t>A 16656-2026</t>
        </is>
      </c>
      <c r="B410" s="1" t="n">
        <v>46112</v>
      </c>
      <c r="C410" s="1" t="n">
        <v>46204</v>
      </c>
      <c r="D410" t="inlineStr">
        <is>
          <t>KALMAR LÄN</t>
        </is>
      </c>
      <c r="E410" t="inlineStr">
        <is>
          <t>VIMMERBY</t>
        </is>
      </c>
      <c r="F410" t="inlineStr">
        <is>
          <t>Kommuner</t>
        </is>
      </c>
      <c r="G410" t="n">
        <v>5.5</v>
      </c>
      <c r="H410" t="n">
        <v>0</v>
      </c>
      <c r="I410" t="n">
        <v>0</v>
      </c>
      <c r="J410" t="n">
        <v>0</v>
      </c>
      <c r="K410" t="n">
        <v>0</v>
      </c>
      <c r="L410" t="n">
        <v>0</v>
      </c>
      <c r="M410" t="n">
        <v>0</v>
      </c>
      <c r="N410" t="n">
        <v>0</v>
      </c>
      <c r="O410" t="n">
        <v>0</v>
      </c>
      <c r="P410" t="n">
        <v>0</v>
      </c>
      <c r="Q410" t="n">
        <v>0</v>
      </c>
      <c r="R410" s="2" t="inlineStr"/>
    </row>
    <row r="411" ht="15" customHeight="1">
      <c r="A411" t="inlineStr">
        <is>
          <t>A 61939-2021</t>
        </is>
      </c>
      <c r="B411" s="1" t="n">
        <v>44502</v>
      </c>
      <c r="C411" s="1" t="n">
        <v>46204</v>
      </c>
      <c r="D411" t="inlineStr">
        <is>
          <t>KALMAR LÄN</t>
        </is>
      </c>
      <c r="E411" t="inlineStr">
        <is>
          <t>VIMMERBY</t>
        </is>
      </c>
      <c r="G411" t="n">
        <v>2.7</v>
      </c>
      <c r="H411" t="n">
        <v>0</v>
      </c>
      <c r="I411" t="n">
        <v>0</v>
      </c>
      <c r="J411" t="n">
        <v>0</v>
      </c>
      <c r="K411" t="n">
        <v>0</v>
      </c>
      <c r="L411" t="n">
        <v>0</v>
      </c>
      <c r="M411" t="n">
        <v>0</v>
      </c>
      <c r="N411" t="n">
        <v>0</v>
      </c>
      <c r="O411" t="n">
        <v>0</v>
      </c>
      <c r="P411" t="n">
        <v>0</v>
      </c>
      <c r="Q411" t="n">
        <v>0</v>
      </c>
      <c r="R411" s="2" t="inlineStr"/>
    </row>
    <row r="412" ht="15" customHeight="1">
      <c r="A412" t="inlineStr">
        <is>
          <t>A 16617-2026</t>
        </is>
      </c>
      <c r="B412" s="1" t="n">
        <v>46112</v>
      </c>
      <c r="C412" s="1" t="n">
        <v>46204</v>
      </c>
      <c r="D412" t="inlineStr">
        <is>
          <t>KALMAR LÄN</t>
        </is>
      </c>
      <c r="E412" t="inlineStr">
        <is>
          <t>VIMMERBY</t>
        </is>
      </c>
      <c r="F412" t="inlineStr">
        <is>
          <t>Kommuner</t>
        </is>
      </c>
      <c r="G412" t="n">
        <v>0.6</v>
      </c>
      <c r="H412" t="n">
        <v>0</v>
      </c>
      <c r="I412" t="n">
        <v>0</v>
      </c>
      <c r="J412" t="n">
        <v>0</v>
      </c>
      <c r="K412" t="n">
        <v>0</v>
      </c>
      <c r="L412" t="n">
        <v>0</v>
      </c>
      <c r="M412" t="n">
        <v>0</v>
      </c>
      <c r="N412" t="n">
        <v>0</v>
      </c>
      <c r="O412" t="n">
        <v>0</v>
      </c>
      <c r="P412" t="n">
        <v>0</v>
      </c>
      <c r="Q412" t="n">
        <v>0</v>
      </c>
      <c r="R412" s="2" t="inlineStr"/>
    </row>
    <row r="413" ht="15" customHeight="1">
      <c r="A413" t="inlineStr">
        <is>
          <t>A 12215-2024</t>
        </is>
      </c>
      <c r="B413" s="1" t="n">
        <v>45378</v>
      </c>
      <c r="C413" s="1" t="n">
        <v>46204</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59039-2025</t>
        </is>
      </c>
      <c r="B414" s="1" t="n">
        <v>45988</v>
      </c>
      <c r="C414" s="1" t="n">
        <v>46204</v>
      </c>
      <c r="D414" t="inlineStr">
        <is>
          <t>KALMAR LÄN</t>
        </is>
      </c>
      <c r="E414" t="inlineStr">
        <is>
          <t>VIMMERBY</t>
        </is>
      </c>
      <c r="F414" t="inlineStr">
        <is>
          <t>Sveaskog</t>
        </is>
      </c>
      <c r="G414" t="n">
        <v>3.2</v>
      </c>
      <c r="H414" t="n">
        <v>0</v>
      </c>
      <c r="I414" t="n">
        <v>0</v>
      </c>
      <c r="J414" t="n">
        <v>0</v>
      </c>
      <c r="K414" t="n">
        <v>0</v>
      </c>
      <c r="L414" t="n">
        <v>0</v>
      </c>
      <c r="M414" t="n">
        <v>0</v>
      </c>
      <c r="N414" t="n">
        <v>0</v>
      </c>
      <c r="O414" t="n">
        <v>0</v>
      </c>
      <c r="P414" t="n">
        <v>0</v>
      </c>
      <c r="Q414" t="n">
        <v>0</v>
      </c>
      <c r="R414" s="2" t="inlineStr"/>
    </row>
    <row r="415" ht="15" customHeight="1">
      <c r="A415" t="inlineStr">
        <is>
          <t>A 16672-2026</t>
        </is>
      </c>
      <c r="B415" s="1" t="n">
        <v>46112</v>
      </c>
      <c r="C415" s="1" t="n">
        <v>46204</v>
      </c>
      <c r="D415" t="inlineStr">
        <is>
          <t>KALMAR LÄN</t>
        </is>
      </c>
      <c r="E415" t="inlineStr">
        <is>
          <t>VIMMERBY</t>
        </is>
      </c>
      <c r="F415" t="inlineStr">
        <is>
          <t>Kommuner</t>
        </is>
      </c>
      <c r="G415" t="n">
        <v>1.4</v>
      </c>
      <c r="H415" t="n">
        <v>0</v>
      </c>
      <c r="I415" t="n">
        <v>0</v>
      </c>
      <c r="J415" t="n">
        <v>0</v>
      </c>
      <c r="K415" t="n">
        <v>0</v>
      </c>
      <c r="L415" t="n">
        <v>0</v>
      </c>
      <c r="M415" t="n">
        <v>0</v>
      </c>
      <c r="N415" t="n">
        <v>0</v>
      </c>
      <c r="O415" t="n">
        <v>0</v>
      </c>
      <c r="P415" t="n">
        <v>0</v>
      </c>
      <c r="Q415" t="n">
        <v>0</v>
      </c>
      <c r="R415" s="2" t="inlineStr"/>
    </row>
    <row r="416" ht="15" customHeight="1">
      <c r="A416" t="inlineStr">
        <is>
          <t>A 59034-2025</t>
        </is>
      </c>
      <c r="B416" s="1" t="n">
        <v>45988</v>
      </c>
      <c r="C416" s="1" t="n">
        <v>46204</v>
      </c>
      <c r="D416" t="inlineStr">
        <is>
          <t>KALMAR LÄN</t>
        </is>
      </c>
      <c r="E416" t="inlineStr">
        <is>
          <t>VIMMERBY</t>
        </is>
      </c>
      <c r="F416" t="inlineStr">
        <is>
          <t>Sveaskog</t>
        </is>
      </c>
      <c r="G416" t="n">
        <v>0.9</v>
      </c>
      <c r="H416" t="n">
        <v>0</v>
      </c>
      <c r="I416" t="n">
        <v>0</v>
      </c>
      <c r="J416" t="n">
        <v>0</v>
      </c>
      <c r="K416" t="n">
        <v>0</v>
      </c>
      <c r="L416" t="n">
        <v>0</v>
      </c>
      <c r="M416" t="n">
        <v>0</v>
      </c>
      <c r="N416" t="n">
        <v>0</v>
      </c>
      <c r="O416" t="n">
        <v>0</v>
      </c>
      <c r="P416" t="n">
        <v>0</v>
      </c>
      <c r="Q416" t="n">
        <v>0</v>
      </c>
      <c r="R416" s="2" t="inlineStr"/>
    </row>
    <row r="417" ht="15" customHeight="1">
      <c r="A417" t="inlineStr">
        <is>
          <t>A 16653-2026</t>
        </is>
      </c>
      <c r="B417" s="1" t="n">
        <v>46112</v>
      </c>
      <c r="C417" s="1" t="n">
        <v>46204</v>
      </c>
      <c r="D417" t="inlineStr">
        <is>
          <t>KALMAR LÄN</t>
        </is>
      </c>
      <c r="E417" t="inlineStr">
        <is>
          <t>VIMMERBY</t>
        </is>
      </c>
      <c r="F417" t="inlineStr">
        <is>
          <t>Kommuner</t>
        </is>
      </c>
      <c r="G417" t="n">
        <v>4.4</v>
      </c>
      <c r="H417" t="n">
        <v>0</v>
      </c>
      <c r="I417" t="n">
        <v>0</v>
      </c>
      <c r="J417" t="n">
        <v>0</v>
      </c>
      <c r="K417" t="n">
        <v>0</v>
      </c>
      <c r="L417" t="n">
        <v>0</v>
      </c>
      <c r="M417" t="n">
        <v>0</v>
      </c>
      <c r="N417" t="n">
        <v>0</v>
      </c>
      <c r="O417" t="n">
        <v>0</v>
      </c>
      <c r="P417" t="n">
        <v>0</v>
      </c>
      <c r="Q417" t="n">
        <v>0</v>
      </c>
      <c r="R417" s="2" t="inlineStr"/>
    </row>
    <row r="418" ht="15" customHeight="1">
      <c r="A418" t="inlineStr">
        <is>
          <t>A 12033-2024</t>
        </is>
      </c>
      <c r="B418" s="1" t="n">
        <v>45377</v>
      </c>
      <c r="C418" s="1" t="n">
        <v>46204</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51408-2023</t>
        </is>
      </c>
      <c r="B419" s="1" t="n">
        <v>45219</v>
      </c>
      <c r="C419" s="1" t="n">
        <v>46204</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59037-2025</t>
        </is>
      </c>
      <c r="B420" s="1" t="n">
        <v>45988</v>
      </c>
      <c r="C420" s="1" t="n">
        <v>46204</v>
      </c>
      <c r="D420" t="inlineStr">
        <is>
          <t>KALMAR LÄN</t>
        </is>
      </c>
      <c r="E420" t="inlineStr">
        <is>
          <t>VIMMERBY</t>
        </is>
      </c>
      <c r="F420" t="inlineStr">
        <is>
          <t>Sveaskog</t>
        </is>
      </c>
      <c r="G420" t="n">
        <v>4</v>
      </c>
      <c r="H420" t="n">
        <v>0</v>
      </c>
      <c r="I420" t="n">
        <v>0</v>
      </c>
      <c r="J420" t="n">
        <v>0</v>
      </c>
      <c r="K420" t="n">
        <v>0</v>
      </c>
      <c r="L420" t="n">
        <v>0</v>
      </c>
      <c r="M420" t="n">
        <v>0</v>
      </c>
      <c r="N420" t="n">
        <v>0</v>
      </c>
      <c r="O420" t="n">
        <v>0</v>
      </c>
      <c r="P420" t="n">
        <v>0</v>
      </c>
      <c r="Q420" t="n">
        <v>0</v>
      </c>
      <c r="R420" s="2" t="inlineStr"/>
    </row>
    <row r="421" ht="15" customHeight="1">
      <c r="A421" t="inlineStr">
        <is>
          <t>A 16675-2026</t>
        </is>
      </c>
      <c r="B421" s="1" t="n">
        <v>46112</v>
      </c>
      <c r="C421" s="1" t="n">
        <v>46204</v>
      </c>
      <c r="D421" t="inlineStr">
        <is>
          <t>KALMAR LÄN</t>
        </is>
      </c>
      <c r="E421" t="inlineStr">
        <is>
          <t>VIMMERBY</t>
        </is>
      </c>
      <c r="F421" t="inlineStr">
        <is>
          <t>Kommuner</t>
        </is>
      </c>
      <c r="G421" t="n">
        <v>0.8</v>
      </c>
      <c r="H421" t="n">
        <v>0</v>
      </c>
      <c r="I421" t="n">
        <v>0</v>
      </c>
      <c r="J421" t="n">
        <v>0</v>
      </c>
      <c r="K421" t="n">
        <v>0</v>
      </c>
      <c r="L421" t="n">
        <v>0</v>
      </c>
      <c r="M421" t="n">
        <v>0</v>
      </c>
      <c r="N421" t="n">
        <v>0</v>
      </c>
      <c r="O421" t="n">
        <v>0</v>
      </c>
      <c r="P421" t="n">
        <v>0</v>
      </c>
      <c r="Q421" t="n">
        <v>0</v>
      </c>
      <c r="R421" s="2" t="inlineStr"/>
    </row>
    <row r="422" ht="15" customHeight="1">
      <c r="A422" t="inlineStr">
        <is>
          <t>A 49488-2023</t>
        </is>
      </c>
      <c r="B422" s="1" t="n">
        <v>45211</v>
      </c>
      <c r="C422" s="1" t="n">
        <v>46204</v>
      </c>
      <c r="D422" t="inlineStr">
        <is>
          <t>KALMAR LÄN</t>
        </is>
      </c>
      <c r="E422" t="inlineStr">
        <is>
          <t>VIMMERBY</t>
        </is>
      </c>
      <c r="F422" t="inlineStr">
        <is>
          <t>Sveaskog</t>
        </is>
      </c>
      <c r="G422" t="n">
        <v>6.2</v>
      </c>
      <c r="H422" t="n">
        <v>0</v>
      </c>
      <c r="I422" t="n">
        <v>0</v>
      </c>
      <c r="J422" t="n">
        <v>0</v>
      </c>
      <c r="K422" t="n">
        <v>0</v>
      </c>
      <c r="L422" t="n">
        <v>0</v>
      </c>
      <c r="M422" t="n">
        <v>0</v>
      </c>
      <c r="N422" t="n">
        <v>0</v>
      </c>
      <c r="O422" t="n">
        <v>0</v>
      </c>
      <c r="P422" t="n">
        <v>0</v>
      </c>
      <c r="Q422" t="n">
        <v>0</v>
      </c>
      <c r="R422" s="2" t="inlineStr"/>
    </row>
    <row r="423" ht="15" customHeight="1">
      <c r="A423" t="inlineStr">
        <is>
          <t>A 16632-2026</t>
        </is>
      </c>
      <c r="B423" s="1" t="n">
        <v>46112</v>
      </c>
      <c r="C423" s="1" t="n">
        <v>46204</v>
      </c>
      <c r="D423" t="inlineStr">
        <is>
          <t>KALMAR LÄN</t>
        </is>
      </c>
      <c r="E423" t="inlineStr">
        <is>
          <t>VIMMERBY</t>
        </is>
      </c>
      <c r="G423" t="n">
        <v>2.1</v>
      </c>
      <c r="H423" t="n">
        <v>0</v>
      </c>
      <c r="I423" t="n">
        <v>0</v>
      </c>
      <c r="J423" t="n">
        <v>0</v>
      </c>
      <c r="K423" t="n">
        <v>0</v>
      </c>
      <c r="L423" t="n">
        <v>0</v>
      </c>
      <c r="M423" t="n">
        <v>0</v>
      </c>
      <c r="N423" t="n">
        <v>0</v>
      </c>
      <c r="O423" t="n">
        <v>0</v>
      </c>
      <c r="P423" t="n">
        <v>0</v>
      </c>
      <c r="Q423" t="n">
        <v>0</v>
      </c>
      <c r="R423" s="2" t="inlineStr"/>
    </row>
    <row r="424" ht="15" customHeight="1">
      <c r="A424" t="inlineStr">
        <is>
          <t>A 16678-2026</t>
        </is>
      </c>
      <c r="B424" s="1" t="n">
        <v>46112</v>
      </c>
      <c r="C424" s="1" t="n">
        <v>46204</v>
      </c>
      <c r="D424" t="inlineStr">
        <is>
          <t>KALMAR LÄN</t>
        </is>
      </c>
      <c r="E424" t="inlineStr">
        <is>
          <t>VIMMERBY</t>
        </is>
      </c>
      <c r="F424" t="inlineStr">
        <is>
          <t>Kommuner</t>
        </is>
      </c>
      <c r="G424" t="n">
        <v>1.6</v>
      </c>
      <c r="H424" t="n">
        <v>0</v>
      </c>
      <c r="I424" t="n">
        <v>0</v>
      </c>
      <c r="J424" t="n">
        <v>0</v>
      </c>
      <c r="K424" t="n">
        <v>0</v>
      </c>
      <c r="L424" t="n">
        <v>0</v>
      </c>
      <c r="M424" t="n">
        <v>0</v>
      </c>
      <c r="N424" t="n">
        <v>0</v>
      </c>
      <c r="O424" t="n">
        <v>0</v>
      </c>
      <c r="P424" t="n">
        <v>0</v>
      </c>
      <c r="Q424" t="n">
        <v>0</v>
      </c>
      <c r="R424" s="2" t="inlineStr"/>
    </row>
    <row r="425" ht="15" customHeight="1">
      <c r="A425" t="inlineStr">
        <is>
          <t>A 8410-2023</t>
        </is>
      </c>
      <c r="B425" s="1" t="n">
        <v>44977</v>
      </c>
      <c r="C425" s="1" t="n">
        <v>46204</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30920-2024</t>
        </is>
      </c>
      <c r="B426" s="1" t="n">
        <v>45498</v>
      </c>
      <c r="C426" s="1" t="n">
        <v>46204</v>
      </c>
      <c r="D426" t="inlineStr">
        <is>
          <t>KALMAR LÄN</t>
        </is>
      </c>
      <c r="E426" t="inlineStr">
        <is>
          <t>VIMMERBY</t>
        </is>
      </c>
      <c r="G426" t="n">
        <v>1.3</v>
      </c>
      <c r="H426" t="n">
        <v>0</v>
      </c>
      <c r="I426" t="n">
        <v>0</v>
      </c>
      <c r="J426" t="n">
        <v>0</v>
      </c>
      <c r="K426" t="n">
        <v>0</v>
      </c>
      <c r="L426" t="n">
        <v>0</v>
      </c>
      <c r="M426" t="n">
        <v>0</v>
      </c>
      <c r="N426" t="n">
        <v>0</v>
      </c>
      <c r="O426" t="n">
        <v>0</v>
      </c>
      <c r="P426" t="n">
        <v>0</v>
      </c>
      <c r="Q426" t="n">
        <v>0</v>
      </c>
      <c r="R426" s="2" t="inlineStr"/>
    </row>
    <row r="427" ht="15" customHeight="1">
      <c r="A427" t="inlineStr">
        <is>
          <t>A 16799-2026</t>
        </is>
      </c>
      <c r="B427" s="1" t="n">
        <v>46113</v>
      </c>
      <c r="C427" s="1" t="n">
        <v>46204</v>
      </c>
      <c r="D427" t="inlineStr">
        <is>
          <t>KALMAR LÄN</t>
        </is>
      </c>
      <c r="E427" t="inlineStr">
        <is>
          <t>VIMMERBY</t>
        </is>
      </c>
      <c r="G427" t="n">
        <v>1</v>
      </c>
      <c r="H427" t="n">
        <v>0</v>
      </c>
      <c r="I427" t="n">
        <v>0</v>
      </c>
      <c r="J427" t="n">
        <v>0</v>
      </c>
      <c r="K427" t="n">
        <v>0</v>
      </c>
      <c r="L427" t="n">
        <v>0</v>
      </c>
      <c r="M427" t="n">
        <v>0</v>
      </c>
      <c r="N427" t="n">
        <v>0</v>
      </c>
      <c r="O427" t="n">
        <v>0</v>
      </c>
      <c r="P427" t="n">
        <v>0</v>
      </c>
      <c r="Q427" t="n">
        <v>0</v>
      </c>
      <c r="R427" s="2" t="inlineStr"/>
    </row>
    <row r="428" ht="15" customHeight="1">
      <c r="A428" t="inlineStr">
        <is>
          <t>A 40929-2022</t>
        </is>
      </c>
      <c r="B428" s="1" t="n">
        <v>44825</v>
      </c>
      <c r="C428" s="1" t="n">
        <v>46204</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50091-2023</t>
        </is>
      </c>
      <c r="B429" s="1" t="n">
        <v>45215</v>
      </c>
      <c r="C429" s="1" t="n">
        <v>46204</v>
      </c>
      <c r="D429" t="inlineStr">
        <is>
          <t>KALMAR LÄN</t>
        </is>
      </c>
      <c r="E429" t="inlineStr">
        <is>
          <t>VIMMERBY</t>
        </is>
      </c>
      <c r="G429" t="n">
        <v>1.7</v>
      </c>
      <c r="H429" t="n">
        <v>0</v>
      </c>
      <c r="I429" t="n">
        <v>0</v>
      </c>
      <c r="J429" t="n">
        <v>0</v>
      </c>
      <c r="K429" t="n">
        <v>0</v>
      </c>
      <c r="L429" t="n">
        <v>0</v>
      </c>
      <c r="M429" t="n">
        <v>0</v>
      </c>
      <c r="N429" t="n">
        <v>0</v>
      </c>
      <c r="O429" t="n">
        <v>0</v>
      </c>
      <c r="P429" t="n">
        <v>0</v>
      </c>
      <c r="Q429" t="n">
        <v>0</v>
      </c>
      <c r="R429" s="2" t="inlineStr"/>
    </row>
    <row r="430" ht="15" customHeight="1">
      <c r="A430" t="inlineStr">
        <is>
          <t>A 36008-2024</t>
        </is>
      </c>
      <c r="B430" s="1" t="n">
        <v>45533</v>
      </c>
      <c r="C430" s="1" t="n">
        <v>46204</v>
      </c>
      <c r="D430" t="inlineStr">
        <is>
          <t>KALMAR LÄN</t>
        </is>
      </c>
      <c r="E430" t="inlineStr">
        <is>
          <t>VIMMERBY</t>
        </is>
      </c>
      <c r="G430" t="n">
        <v>3.7</v>
      </c>
      <c r="H430" t="n">
        <v>0</v>
      </c>
      <c r="I430" t="n">
        <v>0</v>
      </c>
      <c r="J430" t="n">
        <v>0</v>
      </c>
      <c r="K430" t="n">
        <v>0</v>
      </c>
      <c r="L430" t="n">
        <v>0</v>
      </c>
      <c r="M430" t="n">
        <v>0</v>
      </c>
      <c r="N430" t="n">
        <v>0</v>
      </c>
      <c r="O430" t="n">
        <v>0</v>
      </c>
      <c r="P430" t="n">
        <v>0</v>
      </c>
      <c r="Q430" t="n">
        <v>0</v>
      </c>
      <c r="R430" s="2" t="inlineStr"/>
    </row>
    <row r="431" ht="15" customHeight="1">
      <c r="A431" t="inlineStr">
        <is>
          <t>A 60180-2025</t>
        </is>
      </c>
      <c r="B431" s="1" t="n">
        <v>45994</v>
      </c>
      <c r="C431" s="1" t="n">
        <v>46204</v>
      </c>
      <c r="D431" t="inlineStr">
        <is>
          <t>KALMAR LÄN</t>
        </is>
      </c>
      <c r="E431" t="inlineStr">
        <is>
          <t>VIMMERBY</t>
        </is>
      </c>
      <c r="G431" t="n">
        <v>6.8</v>
      </c>
      <c r="H431" t="n">
        <v>0</v>
      </c>
      <c r="I431" t="n">
        <v>0</v>
      </c>
      <c r="J431" t="n">
        <v>0</v>
      </c>
      <c r="K431" t="n">
        <v>0</v>
      </c>
      <c r="L431" t="n">
        <v>0</v>
      </c>
      <c r="M431" t="n">
        <v>0</v>
      </c>
      <c r="N431" t="n">
        <v>0</v>
      </c>
      <c r="O431" t="n">
        <v>0</v>
      </c>
      <c r="P431" t="n">
        <v>0</v>
      </c>
      <c r="Q431" t="n">
        <v>0</v>
      </c>
      <c r="R431" s="2" t="inlineStr"/>
    </row>
    <row r="432" ht="15" customHeight="1">
      <c r="A432" t="inlineStr">
        <is>
          <t>A 16823-2026</t>
        </is>
      </c>
      <c r="B432" s="1" t="n">
        <v>46113</v>
      </c>
      <c r="C432" s="1" t="n">
        <v>46204</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16622-2025</t>
        </is>
      </c>
      <c r="B433" s="1" t="n">
        <v>45754</v>
      </c>
      <c r="C433" s="1" t="n">
        <v>46204</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43705-2023</t>
        </is>
      </c>
      <c r="B434" s="1" t="n">
        <v>45187</v>
      </c>
      <c r="C434" s="1" t="n">
        <v>46204</v>
      </c>
      <c r="D434" t="inlineStr">
        <is>
          <t>KALMAR LÄN</t>
        </is>
      </c>
      <c r="E434" t="inlineStr">
        <is>
          <t>VIMMERBY</t>
        </is>
      </c>
      <c r="G434" t="n">
        <v>1.2</v>
      </c>
      <c r="H434" t="n">
        <v>0</v>
      </c>
      <c r="I434" t="n">
        <v>0</v>
      </c>
      <c r="J434" t="n">
        <v>0</v>
      </c>
      <c r="K434" t="n">
        <v>0</v>
      </c>
      <c r="L434" t="n">
        <v>0</v>
      </c>
      <c r="M434" t="n">
        <v>0</v>
      </c>
      <c r="N434" t="n">
        <v>0</v>
      </c>
      <c r="O434" t="n">
        <v>0</v>
      </c>
      <c r="P434" t="n">
        <v>0</v>
      </c>
      <c r="Q434" t="n">
        <v>0</v>
      </c>
      <c r="R434" s="2" t="inlineStr"/>
    </row>
    <row r="435" ht="15" customHeight="1">
      <c r="A435" t="inlineStr">
        <is>
          <t>A 16870-2026</t>
        </is>
      </c>
      <c r="B435" s="1" t="n">
        <v>46113</v>
      </c>
      <c r="C435" s="1" t="n">
        <v>46204</v>
      </c>
      <c r="D435" t="inlineStr">
        <is>
          <t>KALMAR LÄN</t>
        </is>
      </c>
      <c r="E435" t="inlineStr">
        <is>
          <t>VIMMERBY</t>
        </is>
      </c>
      <c r="G435" t="n">
        <v>2</v>
      </c>
      <c r="H435" t="n">
        <v>0</v>
      </c>
      <c r="I435" t="n">
        <v>0</v>
      </c>
      <c r="J435" t="n">
        <v>0</v>
      </c>
      <c r="K435" t="n">
        <v>0</v>
      </c>
      <c r="L435" t="n">
        <v>0</v>
      </c>
      <c r="M435" t="n">
        <v>0</v>
      </c>
      <c r="N435" t="n">
        <v>0</v>
      </c>
      <c r="O435" t="n">
        <v>0</v>
      </c>
      <c r="P435" t="n">
        <v>0</v>
      </c>
      <c r="Q435" t="n">
        <v>0</v>
      </c>
      <c r="R435" s="2" t="inlineStr"/>
    </row>
    <row r="436" ht="15" customHeight="1">
      <c r="A436" t="inlineStr">
        <is>
          <t>A 55300-2021</t>
        </is>
      </c>
      <c r="B436" s="1" t="n">
        <v>44475</v>
      </c>
      <c r="C436" s="1" t="n">
        <v>46204</v>
      </c>
      <c r="D436" t="inlineStr">
        <is>
          <t>KALMAR LÄN</t>
        </is>
      </c>
      <c r="E436" t="inlineStr">
        <is>
          <t>VIMMERBY</t>
        </is>
      </c>
      <c r="G436" t="n">
        <v>3.4</v>
      </c>
      <c r="H436" t="n">
        <v>0</v>
      </c>
      <c r="I436" t="n">
        <v>0</v>
      </c>
      <c r="J436" t="n">
        <v>0</v>
      </c>
      <c r="K436" t="n">
        <v>0</v>
      </c>
      <c r="L436" t="n">
        <v>0</v>
      </c>
      <c r="M436" t="n">
        <v>0</v>
      </c>
      <c r="N436" t="n">
        <v>0</v>
      </c>
      <c r="O436" t="n">
        <v>0</v>
      </c>
      <c r="P436" t="n">
        <v>0</v>
      </c>
      <c r="Q436" t="n">
        <v>0</v>
      </c>
      <c r="R436" s="2" t="inlineStr"/>
    </row>
    <row r="437" ht="15" customHeight="1">
      <c r="A437" t="inlineStr">
        <is>
          <t>A 16801-2026</t>
        </is>
      </c>
      <c r="B437" s="1" t="n">
        <v>46113</v>
      </c>
      <c r="C437" s="1" t="n">
        <v>46204</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44179-2022</t>
        </is>
      </c>
      <c r="B438" s="1" t="n">
        <v>44839</v>
      </c>
      <c r="C438" s="1" t="n">
        <v>46204</v>
      </c>
      <c r="D438" t="inlineStr">
        <is>
          <t>KALMAR LÄN</t>
        </is>
      </c>
      <c r="E438" t="inlineStr">
        <is>
          <t>VIMMERBY</t>
        </is>
      </c>
      <c r="G438" t="n">
        <v>2.8</v>
      </c>
      <c r="H438" t="n">
        <v>0</v>
      </c>
      <c r="I438" t="n">
        <v>0</v>
      </c>
      <c r="J438" t="n">
        <v>0</v>
      </c>
      <c r="K438" t="n">
        <v>0</v>
      </c>
      <c r="L438" t="n">
        <v>0</v>
      </c>
      <c r="M438" t="n">
        <v>0</v>
      </c>
      <c r="N438" t="n">
        <v>0</v>
      </c>
      <c r="O438" t="n">
        <v>0</v>
      </c>
      <c r="P438" t="n">
        <v>0</v>
      </c>
      <c r="Q438" t="n">
        <v>0</v>
      </c>
      <c r="R438" s="2" t="inlineStr"/>
    </row>
    <row r="439" ht="15" customHeight="1">
      <c r="A439" t="inlineStr">
        <is>
          <t>A 16795-2026</t>
        </is>
      </c>
      <c r="B439" s="1" t="n">
        <v>46113</v>
      </c>
      <c r="C439" s="1" t="n">
        <v>46204</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52755-2022</t>
        </is>
      </c>
      <c r="B440" s="1" t="n">
        <v>44875</v>
      </c>
      <c r="C440" s="1" t="n">
        <v>46204</v>
      </c>
      <c r="D440" t="inlineStr">
        <is>
          <t>KALMAR LÄN</t>
        </is>
      </c>
      <c r="E440" t="inlineStr">
        <is>
          <t>VIMMERBY</t>
        </is>
      </c>
      <c r="G440" t="n">
        <v>1.1</v>
      </c>
      <c r="H440" t="n">
        <v>0</v>
      </c>
      <c r="I440" t="n">
        <v>0</v>
      </c>
      <c r="J440" t="n">
        <v>0</v>
      </c>
      <c r="K440" t="n">
        <v>0</v>
      </c>
      <c r="L440" t="n">
        <v>0</v>
      </c>
      <c r="M440" t="n">
        <v>0</v>
      </c>
      <c r="N440" t="n">
        <v>0</v>
      </c>
      <c r="O440" t="n">
        <v>0</v>
      </c>
      <c r="P440" t="n">
        <v>0</v>
      </c>
      <c r="Q440" t="n">
        <v>0</v>
      </c>
      <c r="R440" s="2" t="inlineStr"/>
    </row>
    <row r="441" ht="15" customHeight="1">
      <c r="A441" t="inlineStr">
        <is>
          <t>A 35998-2024</t>
        </is>
      </c>
      <c r="B441" s="1" t="n">
        <v>45533</v>
      </c>
      <c r="C441" s="1" t="n">
        <v>46204</v>
      </c>
      <c r="D441" t="inlineStr">
        <is>
          <t>KALMAR LÄN</t>
        </is>
      </c>
      <c r="E441" t="inlineStr">
        <is>
          <t>VIMMERBY</t>
        </is>
      </c>
      <c r="G441" t="n">
        <v>8.6</v>
      </c>
      <c r="H441" t="n">
        <v>0</v>
      </c>
      <c r="I441" t="n">
        <v>0</v>
      </c>
      <c r="J441" t="n">
        <v>0</v>
      </c>
      <c r="K441" t="n">
        <v>0</v>
      </c>
      <c r="L441" t="n">
        <v>0</v>
      </c>
      <c r="M441" t="n">
        <v>0</v>
      </c>
      <c r="N441" t="n">
        <v>0</v>
      </c>
      <c r="O441" t="n">
        <v>0</v>
      </c>
      <c r="P441" t="n">
        <v>0</v>
      </c>
      <c r="Q441" t="n">
        <v>0</v>
      </c>
      <c r="R441" s="2" t="inlineStr"/>
    </row>
    <row r="442" ht="15" customHeight="1">
      <c r="A442" t="inlineStr">
        <is>
          <t>A 7797-2023</t>
        </is>
      </c>
      <c r="B442" s="1" t="n">
        <v>44973</v>
      </c>
      <c r="C442" s="1" t="n">
        <v>46204</v>
      </c>
      <c r="D442" t="inlineStr">
        <is>
          <t>KALMAR LÄN</t>
        </is>
      </c>
      <c r="E442" t="inlineStr">
        <is>
          <t>VIMMERBY</t>
        </is>
      </c>
      <c r="G442" t="n">
        <v>0.6</v>
      </c>
      <c r="H442" t="n">
        <v>0</v>
      </c>
      <c r="I442" t="n">
        <v>0</v>
      </c>
      <c r="J442" t="n">
        <v>0</v>
      </c>
      <c r="K442" t="n">
        <v>0</v>
      </c>
      <c r="L442" t="n">
        <v>0</v>
      </c>
      <c r="M442" t="n">
        <v>0</v>
      </c>
      <c r="N442" t="n">
        <v>0</v>
      </c>
      <c r="O442" t="n">
        <v>0</v>
      </c>
      <c r="P442" t="n">
        <v>0</v>
      </c>
      <c r="Q442" t="n">
        <v>0</v>
      </c>
      <c r="R442" s="2" t="inlineStr"/>
    </row>
    <row r="443" ht="15" customHeight="1">
      <c r="A443" t="inlineStr">
        <is>
          <t>A 29351-2023</t>
        </is>
      </c>
      <c r="B443" s="1" t="n">
        <v>45106</v>
      </c>
      <c r="C443" s="1" t="n">
        <v>46204</v>
      </c>
      <c r="D443" t="inlineStr">
        <is>
          <t>KALMAR LÄN</t>
        </is>
      </c>
      <c r="E443" t="inlineStr">
        <is>
          <t>VIMMERBY</t>
        </is>
      </c>
      <c r="G443" t="n">
        <v>0.4</v>
      </c>
      <c r="H443" t="n">
        <v>0</v>
      </c>
      <c r="I443" t="n">
        <v>0</v>
      </c>
      <c r="J443" t="n">
        <v>0</v>
      </c>
      <c r="K443" t="n">
        <v>0</v>
      </c>
      <c r="L443" t="n">
        <v>0</v>
      </c>
      <c r="M443" t="n">
        <v>0</v>
      </c>
      <c r="N443" t="n">
        <v>0</v>
      </c>
      <c r="O443" t="n">
        <v>0</v>
      </c>
      <c r="P443" t="n">
        <v>0</v>
      </c>
      <c r="Q443" t="n">
        <v>0</v>
      </c>
      <c r="R443" s="2" t="inlineStr"/>
    </row>
    <row r="444" ht="15" customHeight="1">
      <c r="A444" t="inlineStr">
        <is>
          <t>A 1024-2024</t>
        </is>
      </c>
      <c r="B444" s="1" t="n">
        <v>45301</v>
      </c>
      <c r="C444" s="1" t="n">
        <v>46204</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61725-2025</t>
        </is>
      </c>
      <c r="B445" s="1" t="n">
        <v>46002</v>
      </c>
      <c r="C445" s="1" t="n">
        <v>46204</v>
      </c>
      <c r="D445" t="inlineStr">
        <is>
          <t>KALMAR LÄN</t>
        </is>
      </c>
      <c r="E445" t="inlineStr">
        <is>
          <t>VIMMERBY</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10787-2025</t>
        </is>
      </c>
      <c r="B446" s="1" t="n">
        <v>45722</v>
      </c>
      <c r="C446" s="1" t="n">
        <v>46204</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61790-2025</t>
        </is>
      </c>
      <c r="B447" s="1" t="n">
        <v>46002</v>
      </c>
      <c r="C447" s="1" t="n">
        <v>46204</v>
      </c>
      <c r="D447" t="inlineStr">
        <is>
          <t>KALMAR LÄN</t>
        </is>
      </c>
      <c r="E447" t="inlineStr">
        <is>
          <t>VIMMERBY</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29350-2023</t>
        </is>
      </c>
      <c r="B448" s="1" t="n">
        <v>45106</v>
      </c>
      <c r="C448" s="1" t="n">
        <v>46204</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61726-2025</t>
        </is>
      </c>
      <c r="B449" s="1" t="n">
        <v>46002</v>
      </c>
      <c r="C449" s="1" t="n">
        <v>46204</v>
      </c>
      <c r="D449" t="inlineStr">
        <is>
          <t>KALMAR LÄN</t>
        </is>
      </c>
      <c r="E449" t="inlineStr">
        <is>
          <t>VIMMERBY</t>
        </is>
      </c>
      <c r="F449" t="inlineStr">
        <is>
          <t>Sveaskog</t>
        </is>
      </c>
      <c r="G449" t="n">
        <v>0.2</v>
      </c>
      <c r="H449" t="n">
        <v>0</v>
      </c>
      <c r="I449" t="n">
        <v>0</v>
      </c>
      <c r="J449" t="n">
        <v>0</v>
      </c>
      <c r="K449" t="n">
        <v>0</v>
      </c>
      <c r="L449" t="n">
        <v>0</v>
      </c>
      <c r="M449" t="n">
        <v>0</v>
      </c>
      <c r="N449" t="n">
        <v>0</v>
      </c>
      <c r="O449" t="n">
        <v>0</v>
      </c>
      <c r="P449" t="n">
        <v>0</v>
      </c>
      <c r="Q449" t="n">
        <v>0</v>
      </c>
      <c r="R449" s="2" t="inlineStr"/>
    </row>
    <row r="450" ht="15" customHeight="1">
      <c r="A450" t="inlineStr">
        <is>
          <t>A 14855-2025</t>
        </is>
      </c>
      <c r="B450" s="1" t="n">
        <v>45743</v>
      </c>
      <c r="C450" s="1" t="n">
        <v>46204</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43601-2024</t>
        </is>
      </c>
      <c r="B451" s="1" t="n">
        <v>45569</v>
      </c>
      <c r="C451" s="1" t="n">
        <v>46204</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35913-2023</t>
        </is>
      </c>
      <c r="B452" s="1" t="n">
        <v>45148</v>
      </c>
      <c r="C452" s="1" t="n">
        <v>46204</v>
      </c>
      <c r="D452" t="inlineStr">
        <is>
          <t>KALMAR LÄN</t>
        </is>
      </c>
      <c r="E452" t="inlineStr">
        <is>
          <t>VIMMERBY</t>
        </is>
      </c>
      <c r="G452" t="n">
        <v>6.9</v>
      </c>
      <c r="H452" t="n">
        <v>0</v>
      </c>
      <c r="I452" t="n">
        <v>0</v>
      </c>
      <c r="J452" t="n">
        <v>0</v>
      </c>
      <c r="K452" t="n">
        <v>0</v>
      </c>
      <c r="L452" t="n">
        <v>0</v>
      </c>
      <c r="M452" t="n">
        <v>0</v>
      </c>
      <c r="N452" t="n">
        <v>0</v>
      </c>
      <c r="O452" t="n">
        <v>0</v>
      </c>
      <c r="P452" t="n">
        <v>0</v>
      </c>
      <c r="Q452" t="n">
        <v>0</v>
      </c>
      <c r="R452" s="2" t="inlineStr"/>
    </row>
    <row r="453" ht="15" customHeight="1">
      <c r="A453" t="inlineStr">
        <is>
          <t>A 9624-2024</t>
        </is>
      </c>
      <c r="B453" s="1" t="n">
        <v>45361</v>
      </c>
      <c r="C453" s="1" t="n">
        <v>46204</v>
      </c>
      <c r="D453" t="inlineStr">
        <is>
          <t>KALMAR LÄN</t>
        </is>
      </c>
      <c r="E453" t="inlineStr">
        <is>
          <t>VIMMERBY</t>
        </is>
      </c>
      <c r="G453" t="n">
        <v>3.8</v>
      </c>
      <c r="H453" t="n">
        <v>0</v>
      </c>
      <c r="I453" t="n">
        <v>0</v>
      </c>
      <c r="J453" t="n">
        <v>0</v>
      </c>
      <c r="K453" t="n">
        <v>0</v>
      </c>
      <c r="L453" t="n">
        <v>0</v>
      </c>
      <c r="M453" t="n">
        <v>0</v>
      </c>
      <c r="N453" t="n">
        <v>0</v>
      </c>
      <c r="O453" t="n">
        <v>0</v>
      </c>
      <c r="P453" t="n">
        <v>0</v>
      </c>
      <c r="Q453" t="n">
        <v>0</v>
      </c>
      <c r="R453" s="2" t="inlineStr"/>
    </row>
    <row r="454" ht="15" customHeight="1">
      <c r="A454" t="inlineStr">
        <is>
          <t>A 3938-2023</t>
        </is>
      </c>
      <c r="B454" s="1" t="n">
        <v>44952</v>
      </c>
      <c r="C454" s="1" t="n">
        <v>46204</v>
      </c>
      <c r="D454" t="inlineStr">
        <is>
          <t>KALMAR LÄN</t>
        </is>
      </c>
      <c r="E454" t="inlineStr">
        <is>
          <t>VIMMERBY</t>
        </is>
      </c>
      <c r="G454" t="n">
        <v>0.9</v>
      </c>
      <c r="H454" t="n">
        <v>0</v>
      </c>
      <c r="I454" t="n">
        <v>0</v>
      </c>
      <c r="J454" t="n">
        <v>0</v>
      </c>
      <c r="K454" t="n">
        <v>0</v>
      </c>
      <c r="L454" t="n">
        <v>0</v>
      </c>
      <c r="M454" t="n">
        <v>0</v>
      </c>
      <c r="N454" t="n">
        <v>0</v>
      </c>
      <c r="O454" t="n">
        <v>0</v>
      </c>
      <c r="P454" t="n">
        <v>0</v>
      </c>
      <c r="Q454" t="n">
        <v>0</v>
      </c>
      <c r="R454" s="2" t="inlineStr"/>
    </row>
    <row r="455" ht="15" customHeight="1">
      <c r="A455" t="inlineStr">
        <is>
          <t>A 39053-2024</t>
        </is>
      </c>
      <c r="B455" s="1" t="n">
        <v>45548</v>
      </c>
      <c r="C455" s="1" t="n">
        <v>46204</v>
      </c>
      <c r="D455" t="inlineStr">
        <is>
          <t>KALMAR LÄN</t>
        </is>
      </c>
      <c r="E455" t="inlineStr">
        <is>
          <t>VIMMERBY</t>
        </is>
      </c>
      <c r="G455" t="n">
        <v>5</v>
      </c>
      <c r="H455" t="n">
        <v>0</v>
      </c>
      <c r="I455" t="n">
        <v>0</v>
      </c>
      <c r="J455" t="n">
        <v>0</v>
      </c>
      <c r="K455" t="n">
        <v>0</v>
      </c>
      <c r="L455" t="n">
        <v>0</v>
      </c>
      <c r="M455" t="n">
        <v>0</v>
      </c>
      <c r="N455" t="n">
        <v>0</v>
      </c>
      <c r="O455" t="n">
        <v>0</v>
      </c>
      <c r="P455" t="n">
        <v>0</v>
      </c>
      <c r="Q455" t="n">
        <v>0</v>
      </c>
      <c r="R455" s="2" t="inlineStr"/>
    </row>
    <row r="456" ht="15" customHeight="1">
      <c r="A456" t="inlineStr">
        <is>
          <t>A 14451-2024</t>
        </is>
      </c>
      <c r="B456" s="1" t="n">
        <v>45394</v>
      </c>
      <c r="C456" s="1" t="n">
        <v>46204</v>
      </c>
      <c r="D456" t="inlineStr">
        <is>
          <t>KALMAR LÄN</t>
        </is>
      </c>
      <c r="E456" t="inlineStr">
        <is>
          <t>VIMMERBY</t>
        </is>
      </c>
      <c r="G456" t="n">
        <v>1.9</v>
      </c>
      <c r="H456" t="n">
        <v>0</v>
      </c>
      <c r="I456" t="n">
        <v>0</v>
      </c>
      <c r="J456" t="n">
        <v>0</v>
      </c>
      <c r="K456" t="n">
        <v>0</v>
      </c>
      <c r="L456" t="n">
        <v>0</v>
      </c>
      <c r="M456" t="n">
        <v>0</v>
      </c>
      <c r="N456" t="n">
        <v>0</v>
      </c>
      <c r="O456" t="n">
        <v>0</v>
      </c>
      <c r="P456" t="n">
        <v>0</v>
      </c>
      <c r="Q456" t="n">
        <v>0</v>
      </c>
      <c r="R456" s="2" t="inlineStr"/>
    </row>
    <row r="457" ht="15" customHeight="1">
      <c r="A457" t="inlineStr">
        <is>
          <t>A 34205-2023</t>
        </is>
      </c>
      <c r="B457" s="1" t="n">
        <v>45138</v>
      </c>
      <c r="C457" s="1" t="n">
        <v>46204</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3268-2024</t>
        </is>
      </c>
      <c r="B458" s="1" t="n">
        <v>45317</v>
      </c>
      <c r="C458" s="1" t="n">
        <v>46204</v>
      </c>
      <c r="D458" t="inlineStr">
        <is>
          <t>KALMAR LÄN</t>
        </is>
      </c>
      <c r="E458" t="inlineStr">
        <is>
          <t>VIMMERBY</t>
        </is>
      </c>
      <c r="F458" t="inlineStr">
        <is>
          <t>Övriga Aktiebolag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12819-2024</t>
        </is>
      </c>
      <c r="B459" s="1" t="n">
        <v>45384</v>
      </c>
      <c r="C459" s="1" t="n">
        <v>46204</v>
      </c>
      <c r="D459" t="inlineStr">
        <is>
          <t>KALMAR LÄN</t>
        </is>
      </c>
      <c r="E459" t="inlineStr">
        <is>
          <t>VIMMERBY</t>
        </is>
      </c>
      <c r="G459" t="n">
        <v>5.1</v>
      </c>
      <c r="H459" t="n">
        <v>0</v>
      </c>
      <c r="I459" t="n">
        <v>0</v>
      </c>
      <c r="J459" t="n">
        <v>0</v>
      </c>
      <c r="K459" t="n">
        <v>0</v>
      </c>
      <c r="L459" t="n">
        <v>0</v>
      </c>
      <c r="M459" t="n">
        <v>0</v>
      </c>
      <c r="N459" t="n">
        <v>0</v>
      </c>
      <c r="O459" t="n">
        <v>0</v>
      </c>
      <c r="P459" t="n">
        <v>0</v>
      </c>
      <c r="Q459" t="n">
        <v>0</v>
      </c>
      <c r="R459" s="2" t="inlineStr"/>
    </row>
    <row r="460" ht="15" customHeight="1">
      <c r="A460" t="inlineStr">
        <is>
          <t>A 32569-2024</t>
        </is>
      </c>
      <c r="B460" s="1" t="n">
        <v>45513</v>
      </c>
      <c r="C460" s="1" t="n">
        <v>46204</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32575-2024</t>
        </is>
      </c>
      <c r="B461" s="1" t="n">
        <v>45513</v>
      </c>
      <c r="C461" s="1" t="n">
        <v>46204</v>
      </c>
      <c r="D461" t="inlineStr">
        <is>
          <t>KALMAR LÄN</t>
        </is>
      </c>
      <c r="E461" t="inlineStr">
        <is>
          <t>VIMMERBY</t>
        </is>
      </c>
      <c r="G461" t="n">
        <v>1.5</v>
      </c>
      <c r="H461" t="n">
        <v>0</v>
      </c>
      <c r="I461" t="n">
        <v>0</v>
      </c>
      <c r="J461" t="n">
        <v>0</v>
      </c>
      <c r="K461" t="n">
        <v>0</v>
      </c>
      <c r="L461" t="n">
        <v>0</v>
      </c>
      <c r="M461" t="n">
        <v>0</v>
      </c>
      <c r="N461" t="n">
        <v>0</v>
      </c>
      <c r="O461" t="n">
        <v>0</v>
      </c>
      <c r="P461" t="n">
        <v>0</v>
      </c>
      <c r="Q461" t="n">
        <v>0</v>
      </c>
      <c r="R461" s="2" t="inlineStr"/>
    </row>
    <row r="462" ht="15" customHeight="1">
      <c r="A462" t="inlineStr">
        <is>
          <t>A 59300-2024</t>
        </is>
      </c>
      <c r="B462" s="1" t="n">
        <v>45637</v>
      </c>
      <c r="C462" s="1" t="n">
        <v>46204</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17713-2026</t>
        </is>
      </c>
      <c r="B463" s="1" t="n">
        <v>46121</v>
      </c>
      <c r="C463" s="1" t="n">
        <v>46204</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63758-2025</t>
        </is>
      </c>
      <c r="B464" s="1" t="n">
        <v>46018</v>
      </c>
      <c r="C464" s="1" t="n">
        <v>46204</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63848-2025</t>
        </is>
      </c>
      <c r="B465" s="1" t="n">
        <v>46020</v>
      </c>
      <c r="C465" s="1" t="n">
        <v>46204</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36526-2023</t>
        </is>
      </c>
      <c r="B466" s="1" t="n">
        <v>45153</v>
      </c>
      <c r="C466" s="1" t="n">
        <v>46204</v>
      </c>
      <c r="D466" t="inlineStr">
        <is>
          <t>KALMAR LÄN</t>
        </is>
      </c>
      <c r="E466" t="inlineStr">
        <is>
          <t>VIMMERBY</t>
        </is>
      </c>
      <c r="G466" t="n">
        <v>2.7</v>
      </c>
      <c r="H466" t="n">
        <v>0</v>
      </c>
      <c r="I466" t="n">
        <v>0</v>
      </c>
      <c r="J466" t="n">
        <v>0</v>
      </c>
      <c r="K466" t="n">
        <v>0</v>
      </c>
      <c r="L466" t="n">
        <v>0</v>
      </c>
      <c r="M466" t="n">
        <v>0</v>
      </c>
      <c r="N466" t="n">
        <v>0</v>
      </c>
      <c r="O466" t="n">
        <v>0</v>
      </c>
      <c r="P466" t="n">
        <v>0</v>
      </c>
      <c r="Q466" t="n">
        <v>0</v>
      </c>
      <c r="R466" s="2" t="inlineStr"/>
    </row>
    <row r="467" ht="15" customHeight="1">
      <c r="A467" t="inlineStr">
        <is>
          <t>A 58728-2024</t>
        </is>
      </c>
      <c r="B467" s="1" t="n">
        <v>45635</v>
      </c>
      <c r="C467" s="1" t="n">
        <v>46204</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49474-2023</t>
        </is>
      </c>
      <c r="B468" s="1" t="n">
        <v>45211</v>
      </c>
      <c r="C468" s="1" t="n">
        <v>46204</v>
      </c>
      <c r="D468" t="inlineStr">
        <is>
          <t>KALMAR LÄN</t>
        </is>
      </c>
      <c r="E468" t="inlineStr">
        <is>
          <t>VIMMERBY</t>
        </is>
      </c>
      <c r="G468" t="n">
        <v>3.6</v>
      </c>
      <c r="H468" t="n">
        <v>0</v>
      </c>
      <c r="I468" t="n">
        <v>0</v>
      </c>
      <c r="J468" t="n">
        <v>0</v>
      </c>
      <c r="K468" t="n">
        <v>0</v>
      </c>
      <c r="L468" t="n">
        <v>0</v>
      </c>
      <c r="M468" t="n">
        <v>0</v>
      </c>
      <c r="N468" t="n">
        <v>0</v>
      </c>
      <c r="O468" t="n">
        <v>0</v>
      </c>
      <c r="P468" t="n">
        <v>0</v>
      </c>
      <c r="Q468" t="n">
        <v>0</v>
      </c>
      <c r="R468" s="2" t="inlineStr"/>
    </row>
    <row r="469" ht="15" customHeight="1">
      <c r="A469" t="inlineStr">
        <is>
          <t>A 57682-2022</t>
        </is>
      </c>
      <c r="B469" s="1" t="n">
        <v>44890</v>
      </c>
      <c r="C469" s="1" t="n">
        <v>46204</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579-2026</t>
        </is>
      </c>
      <c r="B470" s="1" t="n">
        <v>46029</v>
      </c>
      <c r="C470" s="1" t="n">
        <v>46204</v>
      </c>
      <c r="D470" t="inlineStr">
        <is>
          <t>KALMAR LÄN</t>
        </is>
      </c>
      <c r="E470" t="inlineStr">
        <is>
          <t>VIMMERBY</t>
        </is>
      </c>
      <c r="G470" t="n">
        <v>3</v>
      </c>
      <c r="H470" t="n">
        <v>0</v>
      </c>
      <c r="I470" t="n">
        <v>0</v>
      </c>
      <c r="J470" t="n">
        <v>0</v>
      </c>
      <c r="K470" t="n">
        <v>0</v>
      </c>
      <c r="L470" t="n">
        <v>0</v>
      </c>
      <c r="M470" t="n">
        <v>0</v>
      </c>
      <c r="N470" t="n">
        <v>0</v>
      </c>
      <c r="O470" t="n">
        <v>0</v>
      </c>
      <c r="P470" t="n">
        <v>0</v>
      </c>
      <c r="Q470" t="n">
        <v>0</v>
      </c>
      <c r="R470" s="2" t="inlineStr"/>
    </row>
    <row r="471" ht="15" customHeight="1">
      <c r="A471" t="inlineStr">
        <is>
          <t>A 63950-2023</t>
        </is>
      </c>
      <c r="B471" s="1" t="n">
        <v>45278</v>
      </c>
      <c r="C471" s="1" t="n">
        <v>46204</v>
      </c>
      <c r="D471" t="inlineStr">
        <is>
          <t>KALMAR LÄN</t>
        </is>
      </c>
      <c r="E471" t="inlineStr">
        <is>
          <t>VIMMERBY</t>
        </is>
      </c>
      <c r="F471" t="inlineStr">
        <is>
          <t>Kyrkan</t>
        </is>
      </c>
      <c r="G471" t="n">
        <v>2.7</v>
      </c>
      <c r="H471" t="n">
        <v>0</v>
      </c>
      <c r="I471" t="n">
        <v>0</v>
      </c>
      <c r="J471" t="n">
        <v>0</v>
      </c>
      <c r="K471" t="n">
        <v>0</v>
      </c>
      <c r="L471" t="n">
        <v>0</v>
      </c>
      <c r="M471" t="n">
        <v>0</v>
      </c>
      <c r="N471" t="n">
        <v>0</v>
      </c>
      <c r="O471" t="n">
        <v>0</v>
      </c>
      <c r="P471" t="n">
        <v>0</v>
      </c>
      <c r="Q471" t="n">
        <v>0</v>
      </c>
      <c r="R471" s="2" t="inlineStr"/>
    </row>
    <row r="472" ht="15" customHeight="1">
      <c r="A472" t="inlineStr">
        <is>
          <t>A 409-2026</t>
        </is>
      </c>
      <c r="B472" s="1" t="n">
        <v>46028</v>
      </c>
      <c r="C472" s="1" t="n">
        <v>46204</v>
      </c>
      <c r="D472" t="inlineStr">
        <is>
          <t>KALMAR LÄN</t>
        </is>
      </c>
      <c r="E472" t="inlineStr">
        <is>
          <t>VIMMERBY</t>
        </is>
      </c>
      <c r="G472" t="n">
        <v>2.2</v>
      </c>
      <c r="H472" t="n">
        <v>0</v>
      </c>
      <c r="I472" t="n">
        <v>0</v>
      </c>
      <c r="J472" t="n">
        <v>0</v>
      </c>
      <c r="K472" t="n">
        <v>0</v>
      </c>
      <c r="L472" t="n">
        <v>0</v>
      </c>
      <c r="M472" t="n">
        <v>0</v>
      </c>
      <c r="N472" t="n">
        <v>0</v>
      </c>
      <c r="O472" t="n">
        <v>0</v>
      </c>
      <c r="P472" t="n">
        <v>0</v>
      </c>
      <c r="Q472" t="n">
        <v>0</v>
      </c>
      <c r="R472" s="2" t="inlineStr"/>
    </row>
    <row r="473" ht="15" customHeight="1">
      <c r="A473" t="inlineStr">
        <is>
          <t>A 406-2026</t>
        </is>
      </c>
      <c r="B473" s="1" t="n">
        <v>46028</v>
      </c>
      <c r="C473" s="1" t="n">
        <v>46204</v>
      </c>
      <c r="D473" t="inlineStr">
        <is>
          <t>KALMAR LÄN</t>
        </is>
      </c>
      <c r="E473" t="inlineStr">
        <is>
          <t>VIMMERBY</t>
        </is>
      </c>
      <c r="G473" t="n">
        <v>1.8</v>
      </c>
      <c r="H473" t="n">
        <v>0</v>
      </c>
      <c r="I473" t="n">
        <v>0</v>
      </c>
      <c r="J473" t="n">
        <v>0</v>
      </c>
      <c r="K473" t="n">
        <v>0</v>
      </c>
      <c r="L473" t="n">
        <v>0</v>
      </c>
      <c r="M473" t="n">
        <v>0</v>
      </c>
      <c r="N473" t="n">
        <v>0</v>
      </c>
      <c r="O473" t="n">
        <v>0</v>
      </c>
      <c r="P473" t="n">
        <v>0</v>
      </c>
      <c r="Q473" t="n">
        <v>0</v>
      </c>
      <c r="R473" s="2" t="inlineStr"/>
    </row>
    <row r="474" ht="15" customHeight="1">
      <c r="A474" t="inlineStr">
        <is>
          <t>A 16516-2023</t>
        </is>
      </c>
      <c r="B474" s="1" t="n">
        <v>45029</v>
      </c>
      <c r="C474" s="1" t="n">
        <v>46204</v>
      </c>
      <c r="D474" t="inlineStr">
        <is>
          <t>KALMAR LÄN</t>
        </is>
      </c>
      <c r="E474" t="inlineStr">
        <is>
          <t>VIMMERBY</t>
        </is>
      </c>
      <c r="G474" t="n">
        <v>4.3</v>
      </c>
      <c r="H474" t="n">
        <v>0</v>
      </c>
      <c r="I474" t="n">
        <v>0</v>
      </c>
      <c r="J474" t="n">
        <v>0</v>
      </c>
      <c r="K474" t="n">
        <v>0</v>
      </c>
      <c r="L474" t="n">
        <v>0</v>
      </c>
      <c r="M474" t="n">
        <v>0</v>
      </c>
      <c r="N474" t="n">
        <v>0</v>
      </c>
      <c r="O474" t="n">
        <v>0</v>
      </c>
      <c r="P474" t="n">
        <v>0</v>
      </c>
      <c r="Q474" t="n">
        <v>0</v>
      </c>
      <c r="R474" s="2" t="inlineStr"/>
    </row>
    <row r="475" ht="15" customHeight="1">
      <c r="A475" t="inlineStr">
        <is>
          <t>A 47842-2024</t>
        </is>
      </c>
      <c r="B475" s="1" t="n">
        <v>45588</v>
      </c>
      <c r="C475" s="1" t="n">
        <v>46204</v>
      </c>
      <c r="D475" t="inlineStr">
        <is>
          <t>KALMAR LÄN</t>
        </is>
      </c>
      <c r="E475" t="inlineStr">
        <is>
          <t>VIMMERBY</t>
        </is>
      </c>
      <c r="G475" t="n">
        <v>2.4</v>
      </c>
      <c r="H475" t="n">
        <v>0</v>
      </c>
      <c r="I475" t="n">
        <v>0</v>
      </c>
      <c r="J475" t="n">
        <v>0</v>
      </c>
      <c r="K475" t="n">
        <v>0</v>
      </c>
      <c r="L475" t="n">
        <v>0</v>
      </c>
      <c r="M475" t="n">
        <v>0</v>
      </c>
      <c r="N475" t="n">
        <v>0</v>
      </c>
      <c r="O475" t="n">
        <v>0</v>
      </c>
      <c r="P475" t="n">
        <v>0</v>
      </c>
      <c r="Q475" t="n">
        <v>0</v>
      </c>
      <c r="R475" s="2" t="inlineStr"/>
    </row>
    <row r="476" ht="15" customHeight="1">
      <c r="A476" t="inlineStr">
        <is>
          <t>A 842-2026</t>
        </is>
      </c>
      <c r="B476" s="1" t="n">
        <v>46030</v>
      </c>
      <c r="C476" s="1" t="n">
        <v>46204</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6408-2025</t>
        </is>
      </c>
      <c r="B477" s="1" t="n">
        <v>45699</v>
      </c>
      <c r="C477" s="1" t="n">
        <v>46204</v>
      </c>
      <c r="D477" t="inlineStr">
        <is>
          <t>KALMAR LÄN</t>
        </is>
      </c>
      <c r="E477" t="inlineStr">
        <is>
          <t>VIMMERBY</t>
        </is>
      </c>
      <c r="G477" t="n">
        <v>1</v>
      </c>
      <c r="H477" t="n">
        <v>0</v>
      </c>
      <c r="I477" t="n">
        <v>0</v>
      </c>
      <c r="J477" t="n">
        <v>0</v>
      </c>
      <c r="K477" t="n">
        <v>0</v>
      </c>
      <c r="L477" t="n">
        <v>0</v>
      </c>
      <c r="M477" t="n">
        <v>0</v>
      </c>
      <c r="N477" t="n">
        <v>0</v>
      </c>
      <c r="O477" t="n">
        <v>0</v>
      </c>
      <c r="P477" t="n">
        <v>0</v>
      </c>
      <c r="Q477" t="n">
        <v>0</v>
      </c>
      <c r="R477" s="2" t="inlineStr"/>
    </row>
    <row r="478" ht="15" customHeight="1">
      <c r="A478" t="inlineStr">
        <is>
          <t>A 25109-2023</t>
        </is>
      </c>
      <c r="B478" s="1" t="n">
        <v>45086</v>
      </c>
      <c r="C478" s="1" t="n">
        <v>46204</v>
      </c>
      <c r="D478" t="inlineStr">
        <is>
          <t>KALMAR LÄN</t>
        </is>
      </c>
      <c r="E478" t="inlineStr">
        <is>
          <t>VIMMERBY</t>
        </is>
      </c>
      <c r="G478" t="n">
        <v>1.5</v>
      </c>
      <c r="H478" t="n">
        <v>0</v>
      </c>
      <c r="I478" t="n">
        <v>0</v>
      </c>
      <c r="J478" t="n">
        <v>0</v>
      </c>
      <c r="K478" t="n">
        <v>0</v>
      </c>
      <c r="L478" t="n">
        <v>0</v>
      </c>
      <c r="M478" t="n">
        <v>0</v>
      </c>
      <c r="N478" t="n">
        <v>0</v>
      </c>
      <c r="O478" t="n">
        <v>0</v>
      </c>
      <c r="P478" t="n">
        <v>0</v>
      </c>
      <c r="Q478" t="n">
        <v>0</v>
      </c>
      <c r="R478" s="2" t="inlineStr"/>
    </row>
    <row r="479" ht="15" customHeight="1">
      <c r="A479" t="inlineStr">
        <is>
          <t>A 1069-2026</t>
        </is>
      </c>
      <c r="B479" s="1" t="n">
        <v>46030</v>
      </c>
      <c r="C479" s="1" t="n">
        <v>46204</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33380-2023</t>
        </is>
      </c>
      <c r="B480" s="1" t="n">
        <v>45128</v>
      </c>
      <c r="C480" s="1" t="n">
        <v>46204</v>
      </c>
      <c r="D480" t="inlineStr">
        <is>
          <t>KALMAR LÄN</t>
        </is>
      </c>
      <c r="E480" t="inlineStr">
        <is>
          <t>VIMMERBY</t>
        </is>
      </c>
      <c r="G480" t="n">
        <v>5.2</v>
      </c>
      <c r="H480" t="n">
        <v>0</v>
      </c>
      <c r="I480" t="n">
        <v>0</v>
      </c>
      <c r="J480" t="n">
        <v>0</v>
      </c>
      <c r="K480" t="n">
        <v>0</v>
      </c>
      <c r="L480" t="n">
        <v>0</v>
      </c>
      <c r="M480" t="n">
        <v>0</v>
      </c>
      <c r="N480" t="n">
        <v>0</v>
      </c>
      <c r="O480" t="n">
        <v>0</v>
      </c>
      <c r="P480" t="n">
        <v>0</v>
      </c>
      <c r="Q480" t="n">
        <v>0</v>
      </c>
      <c r="R480" s="2" t="inlineStr"/>
    </row>
    <row r="481" ht="15" customHeight="1">
      <c r="A481" t="inlineStr">
        <is>
          <t>A 1743-2026</t>
        </is>
      </c>
      <c r="B481" s="1" t="n">
        <v>46034</v>
      </c>
      <c r="C481" s="1" t="n">
        <v>46204</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1748-2026</t>
        </is>
      </c>
      <c r="B482" s="1" t="n">
        <v>46034</v>
      </c>
      <c r="C482" s="1" t="n">
        <v>46204</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11928-2022</t>
        </is>
      </c>
      <c r="B483" s="1" t="n">
        <v>44635</v>
      </c>
      <c r="C483" s="1" t="n">
        <v>46204</v>
      </c>
      <c r="D483" t="inlineStr">
        <is>
          <t>KALMAR LÄN</t>
        </is>
      </c>
      <c r="E483" t="inlineStr">
        <is>
          <t>VIMMERBY</t>
        </is>
      </c>
      <c r="G483" t="n">
        <v>2.8</v>
      </c>
      <c r="H483" t="n">
        <v>0</v>
      </c>
      <c r="I483" t="n">
        <v>0</v>
      </c>
      <c r="J483" t="n">
        <v>0</v>
      </c>
      <c r="K483" t="n">
        <v>0</v>
      </c>
      <c r="L483" t="n">
        <v>0</v>
      </c>
      <c r="M483" t="n">
        <v>0</v>
      </c>
      <c r="N483" t="n">
        <v>0</v>
      </c>
      <c r="O483" t="n">
        <v>0</v>
      </c>
      <c r="P483" t="n">
        <v>0</v>
      </c>
      <c r="Q483" t="n">
        <v>0</v>
      </c>
      <c r="R483" s="2" t="inlineStr"/>
    </row>
    <row r="484" ht="15" customHeight="1">
      <c r="A484" t="inlineStr">
        <is>
          <t>A 1862-2026</t>
        </is>
      </c>
      <c r="B484" s="1" t="n">
        <v>46035</v>
      </c>
      <c r="C484" s="1" t="n">
        <v>46204</v>
      </c>
      <c r="D484" t="inlineStr">
        <is>
          <t>KALMAR LÄN</t>
        </is>
      </c>
      <c r="E484" t="inlineStr">
        <is>
          <t>VIMMERBY</t>
        </is>
      </c>
      <c r="G484" t="n">
        <v>3.1</v>
      </c>
      <c r="H484" t="n">
        <v>0</v>
      </c>
      <c r="I484" t="n">
        <v>0</v>
      </c>
      <c r="J484" t="n">
        <v>0</v>
      </c>
      <c r="K484" t="n">
        <v>0</v>
      </c>
      <c r="L484" t="n">
        <v>0</v>
      </c>
      <c r="M484" t="n">
        <v>0</v>
      </c>
      <c r="N484" t="n">
        <v>0</v>
      </c>
      <c r="O484" t="n">
        <v>0</v>
      </c>
      <c r="P484" t="n">
        <v>0</v>
      </c>
      <c r="Q484" t="n">
        <v>0</v>
      </c>
      <c r="R484" s="2" t="inlineStr"/>
    </row>
    <row r="485" ht="15" customHeight="1">
      <c r="A485" t="inlineStr">
        <is>
          <t>A 2518-2026</t>
        </is>
      </c>
      <c r="B485" s="1" t="n">
        <v>46037</v>
      </c>
      <c r="C485" s="1" t="n">
        <v>46204</v>
      </c>
      <c r="D485" t="inlineStr">
        <is>
          <t>KALMAR LÄN</t>
        </is>
      </c>
      <c r="E485" t="inlineStr">
        <is>
          <t>VIMMERBY</t>
        </is>
      </c>
      <c r="G485" t="n">
        <v>1.2</v>
      </c>
      <c r="H485" t="n">
        <v>0</v>
      </c>
      <c r="I485" t="n">
        <v>0</v>
      </c>
      <c r="J485" t="n">
        <v>0</v>
      </c>
      <c r="K485" t="n">
        <v>0</v>
      </c>
      <c r="L485" t="n">
        <v>0</v>
      </c>
      <c r="M485" t="n">
        <v>0</v>
      </c>
      <c r="N485" t="n">
        <v>0</v>
      </c>
      <c r="O485" t="n">
        <v>0</v>
      </c>
      <c r="P485" t="n">
        <v>0</v>
      </c>
      <c r="Q485" t="n">
        <v>0</v>
      </c>
      <c r="R485" s="2" t="inlineStr"/>
    </row>
    <row r="486" ht="15" customHeight="1">
      <c r="A486" t="inlineStr">
        <is>
          <t>A 18122-2026</t>
        </is>
      </c>
      <c r="B486" s="1" t="n">
        <v>46125</v>
      </c>
      <c r="C486" s="1" t="n">
        <v>46204</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2514-2026</t>
        </is>
      </c>
      <c r="B487" s="1" t="n">
        <v>46037</v>
      </c>
      <c r="C487" s="1" t="n">
        <v>46204</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7068-2024</t>
        </is>
      </c>
      <c r="B488" s="1" t="n">
        <v>45343</v>
      </c>
      <c r="C488" s="1" t="n">
        <v>46204</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2523-2026</t>
        </is>
      </c>
      <c r="B489" s="1" t="n">
        <v>46037</v>
      </c>
      <c r="C489" s="1" t="n">
        <v>46204</v>
      </c>
      <c r="D489" t="inlineStr">
        <is>
          <t>KALMAR LÄN</t>
        </is>
      </c>
      <c r="E489" t="inlineStr">
        <is>
          <t>VIMMERBY</t>
        </is>
      </c>
      <c r="G489" t="n">
        <v>1.1</v>
      </c>
      <c r="H489" t="n">
        <v>0</v>
      </c>
      <c r="I489" t="n">
        <v>0</v>
      </c>
      <c r="J489" t="n">
        <v>0</v>
      </c>
      <c r="K489" t="n">
        <v>0</v>
      </c>
      <c r="L489" t="n">
        <v>0</v>
      </c>
      <c r="M489" t="n">
        <v>0</v>
      </c>
      <c r="N489" t="n">
        <v>0</v>
      </c>
      <c r="O489" t="n">
        <v>0</v>
      </c>
      <c r="P489" t="n">
        <v>0</v>
      </c>
      <c r="Q489" t="n">
        <v>0</v>
      </c>
      <c r="R489" s="2" t="inlineStr"/>
    </row>
    <row r="490" ht="15" customHeight="1">
      <c r="A490" t="inlineStr">
        <is>
          <t>A 46234-2024</t>
        </is>
      </c>
      <c r="B490" s="1" t="n">
        <v>45581</v>
      </c>
      <c r="C490" s="1" t="n">
        <v>46204</v>
      </c>
      <c r="D490" t="inlineStr">
        <is>
          <t>KALMAR LÄN</t>
        </is>
      </c>
      <c r="E490" t="inlineStr">
        <is>
          <t>VIMMERBY</t>
        </is>
      </c>
      <c r="G490" t="n">
        <v>0.6</v>
      </c>
      <c r="H490" t="n">
        <v>0</v>
      </c>
      <c r="I490" t="n">
        <v>0</v>
      </c>
      <c r="J490" t="n">
        <v>0</v>
      </c>
      <c r="K490" t="n">
        <v>0</v>
      </c>
      <c r="L490" t="n">
        <v>0</v>
      </c>
      <c r="M490" t="n">
        <v>0</v>
      </c>
      <c r="N490" t="n">
        <v>0</v>
      </c>
      <c r="O490" t="n">
        <v>0</v>
      </c>
      <c r="P490" t="n">
        <v>0</v>
      </c>
      <c r="Q490" t="n">
        <v>0</v>
      </c>
      <c r="R490" s="2" t="inlineStr"/>
    </row>
    <row r="491" ht="15" customHeight="1">
      <c r="A491" t="inlineStr">
        <is>
          <t>A 18633-2026</t>
        </is>
      </c>
      <c r="B491" s="1" t="n">
        <v>46128</v>
      </c>
      <c r="C491" s="1" t="n">
        <v>46204</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37187-2024</t>
        </is>
      </c>
      <c r="B492" s="1" t="n">
        <v>45539</v>
      </c>
      <c r="C492" s="1" t="n">
        <v>46204</v>
      </c>
      <c r="D492" t="inlineStr">
        <is>
          <t>KALMAR LÄN</t>
        </is>
      </c>
      <c r="E492" t="inlineStr">
        <is>
          <t>VIMMERBY</t>
        </is>
      </c>
      <c r="G492" t="n">
        <v>2.7</v>
      </c>
      <c r="H492" t="n">
        <v>0</v>
      </c>
      <c r="I492" t="n">
        <v>0</v>
      </c>
      <c r="J492" t="n">
        <v>0</v>
      </c>
      <c r="K492" t="n">
        <v>0</v>
      </c>
      <c r="L492" t="n">
        <v>0</v>
      </c>
      <c r="M492" t="n">
        <v>0</v>
      </c>
      <c r="N492" t="n">
        <v>0</v>
      </c>
      <c r="O492" t="n">
        <v>0</v>
      </c>
      <c r="P492" t="n">
        <v>0</v>
      </c>
      <c r="Q492" t="n">
        <v>0</v>
      </c>
      <c r="R492" s="2" t="inlineStr"/>
    </row>
    <row r="493" ht="15" customHeight="1">
      <c r="A493" t="inlineStr">
        <is>
          <t>A 1021-2024</t>
        </is>
      </c>
      <c r="B493" s="1" t="n">
        <v>45301</v>
      </c>
      <c r="C493" s="1" t="n">
        <v>46204</v>
      </c>
      <c r="D493" t="inlineStr">
        <is>
          <t>KALMAR LÄN</t>
        </is>
      </c>
      <c r="E493" t="inlineStr">
        <is>
          <t>VIMMERBY</t>
        </is>
      </c>
      <c r="G493" t="n">
        <v>1</v>
      </c>
      <c r="H493" t="n">
        <v>0</v>
      </c>
      <c r="I493" t="n">
        <v>0</v>
      </c>
      <c r="J493" t="n">
        <v>0</v>
      </c>
      <c r="K493" t="n">
        <v>0</v>
      </c>
      <c r="L493" t="n">
        <v>0</v>
      </c>
      <c r="M493" t="n">
        <v>0</v>
      </c>
      <c r="N493" t="n">
        <v>0</v>
      </c>
      <c r="O493" t="n">
        <v>0</v>
      </c>
      <c r="P493" t="n">
        <v>0</v>
      </c>
      <c r="Q493" t="n">
        <v>0</v>
      </c>
      <c r="R493" s="2" t="inlineStr"/>
    </row>
    <row r="494" ht="15" customHeight="1">
      <c r="A494" t="inlineStr">
        <is>
          <t>A 3868-2026</t>
        </is>
      </c>
      <c r="B494" s="1" t="n">
        <v>46043</v>
      </c>
      <c r="C494" s="1" t="n">
        <v>46204</v>
      </c>
      <c r="D494" t="inlineStr">
        <is>
          <t>KALMAR LÄN</t>
        </is>
      </c>
      <c r="E494" t="inlineStr">
        <is>
          <t>VIMMERBY</t>
        </is>
      </c>
      <c r="G494" t="n">
        <v>0.9</v>
      </c>
      <c r="H494" t="n">
        <v>0</v>
      </c>
      <c r="I494" t="n">
        <v>0</v>
      </c>
      <c r="J494" t="n">
        <v>0</v>
      </c>
      <c r="K494" t="n">
        <v>0</v>
      </c>
      <c r="L494" t="n">
        <v>0</v>
      </c>
      <c r="M494" t="n">
        <v>0</v>
      </c>
      <c r="N494" t="n">
        <v>0</v>
      </c>
      <c r="O494" t="n">
        <v>0</v>
      </c>
      <c r="P494" t="n">
        <v>0</v>
      </c>
      <c r="Q494" t="n">
        <v>0</v>
      </c>
      <c r="R494" s="2" t="inlineStr"/>
    </row>
    <row r="495" ht="15" customHeight="1">
      <c r="A495" t="inlineStr">
        <is>
          <t>A 3869-2026</t>
        </is>
      </c>
      <c r="B495" s="1" t="n">
        <v>46043</v>
      </c>
      <c r="C495" s="1" t="n">
        <v>46204</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72701-2021</t>
        </is>
      </c>
      <c r="B496" s="1" t="n">
        <v>44546</v>
      </c>
      <c r="C496" s="1" t="n">
        <v>46204</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10807-2024</t>
        </is>
      </c>
      <c r="B497" s="1" t="n">
        <v>45369</v>
      </c>
      <c r="C497" s="1" t="n">
        <v>46204</v>
      </c>
      <c r="D497" t="inlineStr">
        <is>
          <t>KALMAR LÄN</t>
        </is>
      </c>
      <c r="E497" t="inlineStr">
        <is>
          <t>VIMMERBY</t>
        </is>
      </c>
      <c r="G497" t="n">
        <v>0.7</v>
      </c>
      <c r="H497" t="n">
        <v>0</v>
      </c>
      <c r="I497" t="n">
        <v>0</v>
      </c>
      <c r="J497" t="n">
        <v>0</v>
      </c>
      <c r="K497" t="n">
        <v>0</v>
      </c>
      <c r="L497" t="n">
        <v>0</v>
      </c>
      <c r="M497" t="n">
        <v>0</v>
      </c>
      <c r="N497" t="n">
        <v>0</v>
      </c>
      <c r="O497" t="n">
        <v>0</v>
      </c>
      <c r="P497" t="n">
        <v>0</v>
      </c>
      <c r="Q497" t="n">
        <v>0</v>
      </c>
      <c r="R497" s="2" t="inlineStr"/>
    </row>
    <row r="498" ht="15" customHeight="1">
      <c r="A498" t="inlineStr">
        <is>
          <t>A 3965-2026</t>
        </is>
      </c>
      <c r="B498" s="1" t="n">
        <v>46044</v>
      </c>
      <c r="C498" s="1" t="n">
        <v>46204</v>
      </c>
      <c r="D498" t="inlineStr">
        <is>
          <t>KALMAR LÄN</t>
        </is>
      </c>
      <c r="E498" t="inlineStr">
        <is>
          <t>VIMMERBY</t>
        </is>
      </c>
      <c r="G498" t="n">
        <v>2.6</v>
      </c>
      <c r="H498" t="n">
        <v>0</v>
      </c>
      <c r="I498" t="n">
        <v>0</v>
      </c>
      <c r="J498" t="n">
        <v>0</v>
      </c>
      <c r="K498" t="n">
        <v>0</v>
      </c>
      <c r="L498" t="n">
        <v>0</v>
      </c>
      <c r="M498" t="n">
        <v>0</v>
      </c>
      <c r="N498" t="n">
        <v>0</v>
      </c>
      <c r="O498" t="n">
        <v>0</v>
      </c>
      <c r="P498" t="n">
        <v>0</v>
      </c>
      <c r="Q498" t="n">
        <v>0</v>
      </c>
      <c r="R498" s="2" t="inlineStr"/>
    </row>
    <row r="499" ht="15" customHeight="1">
      <c r="A499" t="inlineStr">
        <is>
          <t>A 34588-2024</t>
        </is>
      </c>
      <c r="B499" s="1" t="n">
        <v>45526</v>
      </c>
      <c r="C499" s="1" t="n">
        <v>46204</v>
      </c>
      <c r="D499" t="inlineStr">
        <is>
          <t>KALMAR LÄN</t>
        </is>
      </c>
      <c r="E499" t="inlineStr">
        <is>
          <t>VIMMERBY</t>
        </is>
      </c>
      <c r="F499" t="inlineStr">
        <is>
          <t>Övriga Aktiebolag</t>
        </is>
      </c>
      <c r="G499" t="n">
        <v>3.3</v>
      </c>
      <c r="H499" t="n">
        <v>0</v>
      </c>
      <c r="I499" t="n">
        <v>0</v>
      </c>
      <c r="J499" t="n">
        <v>0</v>
      </c>
      <c r="K499" t="n">
        <v>0</v>
      </c>
      <c r="L499" t="n">
        <v>0</v>
      </c>
      <c r="M499" t="n">
        <v>0</v>
      </c>
      <c r="N499" t="n">
        <v>0</v>
      </c>
      <c r="O499" t="n">
        <v>0</v>
      </c>
      <c r="P499" t="n">
        <v>0</v>
      </c>
      <c r="Q499" t="n">
        <v>0</v>
      </c>
      <c r="R499" s="2" t="inlineStr"/>
    </row>
    <row r="500" ht="15" customHeight="1">
      <c r="A500" t="inlineStr">
        <is>
          <t>A 14359-2025</t>
        </is>
      </c>
      <c r="B500" s="1" t="n">
        <v>45741</v>
      </c>
      <c r="C500" s="1" t="n">
        <v>46204</v>
      </c>
      <c r="D500" t="inlineStr">
        <is>
          <t>KALMAR LÄN</t>
        </is>
      </c>
      <c r="E500" t="inlineStr">
        <is>
          <t>VIMMERBY</t>
        </is>
      </c>
      <c r="G500" t="n">
        <v>2</v>
      </c>
      <c r="H500" t="n">
        <v>0</v>
      </c>
      <c r="I500" t="n">
        <v>0</v>
      </c>
      <c r="J500" t="n">
        <v>0</v>
      </c>
      <c r="K500" t="n">
        <v>0</v>
      </c>
      <c r="L500" t="n">
        <v>0</v>
      </c>
      <c r="M500" t="n">
        <v>0</v>
      </c>
      <c r="N500" t="n">
        <v>0</v>
      </c>
      <c r="O500" t="n">
        <v>0</v>
      </c>
      <c r="P500" t="n">
        <v>0</v>
      </c>
      <c r="Q500" t="n">
        <v>0</v>
      </c>
      <c r="R500" s="2" t="inlineStr"/>
    </row>
    <row r="501" ht="15" customHeight="1">
      <c r="A501" t="inlineStr">
        <is>
          <t>A 55605-2024</t>
        </is>
      </c>
      <c r="B501" s="1" t="n">
        <v>45622</v>
      </c>
      <c r="C501" s="1" t="n">
        <v>46204</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44464-2024</t>
        </is>
      </c>
      <c r="B502" s="1" t="n">
        <v>45574</v>
      </c>
      <c r="C502" s="1" t="n">
        <v>46204</v>
      </c>
      <c r="D502" t="inlineStr">
        <is>
          <t>KALMAR LÄN</t>
        </is>
      </c>
      <c r="E502" t="inlineStr">
        <is>
          <t>VIMMERBY</t>
        </is>
      </c>
      <c r="G502" t="n">
        <v>0.7</v>
      </c>
      <c r="H502" t="n">
        <v>0</v>
      </c>
      <c r="I502" t="n">
        <v>0</v>
      </c>
      <c r="J502" t="n">
        <v>0</v>
      </c>
      <c r="K502" t="n">
        <v>0</v>
      </c>
      <c r="L502" t="n">
        <v>0</v>
      </c>
      <c r="M502" t="n">
        <v>0</v>
      </c>
      <c r="N502" t="n">
        <v>0</v>
      </c>
      <c r="O502" t="n">
        <v>0</v>
      </c>
      <c r="P502" t="n">
        <v>0</v>
      </c>
      <c r="Q502" t="n">
        <v>0</v>
      </c>
      <c r="R502" s="2" t="inlineStr"/>
    </row>
    <row r="503" ht="15" customHeight="1">
      <c r="A503" t="inlineStr">
        <is>
          <t>A 36049-2024</t>
        </is>
      </c>
      <c r="B503" s="1" t="n">
        <v>45533</v>
      </c>
      <c r="C503" s="1" t="n">
        <v>46204</v>
      </c>
      <c r="D503" t="inlineStr">
        <is>
          <t>KALMAR LÄN</t>
        </is>
      </c>
      <c r="E503" t="inlineStr">
        <is>
          <t>VIMMERBY</t>
        </is>
      </c>
      <c r="F503" t="inlineStr">
        <is>
          <t>Kommuner</t>
        </is>
      </c>
      <c r="G503" t="n">
        <v>2.6</v>
      </c>
      <c r="H503" t="n">
        <v>0</v>
      </c>
      <c r="I503" t="n">
        <v>0</v>
      </c>
      <c r="J503" t="n">
        <v>0</v>
      </c>
      <c r="K503" t="n">
        <v>0</v>
      </c>
      <c r="L503" t="n">
        <v>0</v>
      </c>
      <c r="M503" t="n">
        <v>0</v>
      </c>
      <c r="N503" t="n">
        <v>0</v>
      </c>
      <c r="O503" t="n">
        <v>0</v>
      </c>
      <c r="P503" t="n">
        <v>0</v>
      </c>
      <c r="Q503" t="n">
        <v>0</v>
      </c>
      <c r="R503" s="2" t="inlineStr"/>
    </row>
    <row r="504" ht="15" customHeight="1">
      <c r="A504" t="inlineStr">
        <is>
          <t>A 6817-2026</t>
        </is>
      </c>
      <c r="B504" s="1" t="n">
        <v>46057</v>
      </c>
      <c r="C504" s="1" t="n">
        <v>46204</v>
      </c>
      <c r="D504" t="inlineStr">
        <is>
          <t>KALMAR LÄN</t>
        </is>
      </c>
      <c r="E504" t="inlineStr">
        <is>
          <t>VIMMERBY</t>
        </is>
      </c>
      <c r="G504" t="n">
        <v>0.7</v>
      </c>
      <c r="H504" t="n">
        <v>0</v>
      </c>
      <c r="I504" t="n">
        <v>0</v>
      </c>
      <c r="J504" t="n">
        <v>0</v>
      </c>
      <c r="K504" t="n">
        <v>0</v>
      </c>
      <c r="L504" t="n">
        <v>0</v>
      </c>
      <c r="M504" t="n">
        <v>0</v>
      </c>
      <c r="N504" t="n">
        <v>0</v>
      </c>
      <c r="O504" t="n">
        <v>0</v>
      </c>
      <c r="P504" t="n">
        <v>0</v>
      </c>
      <c r="Q504" t="n">
        <v>0</v>
      </c>
      <c r="R504" s="2" t="inlineStr"/>
    </row>
    <row r="505" ht="15" customHeight="1">
      <c r="A505" t="inlineStr">
        <is>
          <t>A 24932-2026</t>
        </is>
      </c>
      <c r="B505" s="1" t="n">
        <v>46174</v>
      </c>
      <c r="C505" s="1" t="n">
        <v>46204</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43038-2022</t>
        </is>
      </c>
      <c r="B506" s="1" t="n">
        <v>44833</v>
      </c>
      <c r="C506" s="1" t="n">
        <v>46204</v>
      </c>
      <c r="D506" t="inlineStr">
        <is>
          <t>KALMAR LÄN</t>
        </is>
      </c>
      <c r="E506" t="inlineStr">
        <is>
          <t>VIMMERBY</t>
        </is>
      </c>
      <c r="G506" t="n">
        <v>4.2</v>
      </c>
      <c r="H506" t="n">
        <v>0</v>
      </c>
      <c r="I506" t="n">
        <v>0</v>
      </c>
      <c r="J506" t="n">
        <v>0</v>
      </c>
      <c r="K506" t="n">
        <v>0</v>
      </c>
      <c r="L506" t="n">
        <v>0</v>
      </c>
      <c r="M506" t="n">
        <v>0</v>
      </c>
      <c r="N506" t="n">
        <v>0</v>
      </c>
      <c r="O506" t="n">
        <v>0</v>
      </c>
      <c r="P506" t="n">
        <v>0</v>
      </c>
      <c r="Q506" t="n">
        <v>0</v>
      </c>
      <c r="R506" s="2" t="inlineStr"/>
    </row>
    <row r="507" ht="15" customHeight="1">
      <c r="A507" t="inlineStr">
        <is>
          <t>A 25106-2026</t>
        </is>
      </c>
      <c r="B507" s="1" t="n">
        <v>46175</v>
      </c>
      <c r="C507" s="1" t="n">
        <v>46204</v>
      </c>
      <c r="D507" t="inlineStr">
        <is>
          <t>KALMAR LÄN</t>
        </is>
      </c>
      <c r="E507" t="inlineStr">
        <is>
          <t>VIMMERBY</t>
        </is>
      </c>
      <c r="G507" t="n">
        <v>1.2</v>
      </c>
      <c r="H507" t="n">
        <v>0</v>
      </c>
      <c r="I507" t="n">
        <v>0</v>
      </c>
      <c r="J507" t="n">
        <v>0</v>
      </c>
      <c r="K507" t="n">
        <v>0</v>
      </c>
      <c r="L507" t="n">
        <v>0</v>
      </c>
      <c r="M507" t="n">
        <v>0</v>
      </c>
      <c r="N507" t="n">
        <v>0</v>
      </c>
      <c r="O507" t="n">
        <v>0</v>
      </c>
      <c r="P507" t="n">
        <v>0</v>
      </c>
      <c r="Q507" t="n">
        <v>0</v>
      </c>
      <c r="R507" s="2" t="inlineStr"/>
    </row>
    <row r="508" ht="15" customHeight="1">
      <c r="A508" t="inlineStr">
        <is>
          <t>A 25105-2026</t>
        </is>
      </c>
      <c r="B508" s="1" t="n">
        <v>46175</v>
      </c>
      <c r="C508" s="1" t="n">
        <v>46204</v>
      </c>
      <c r="D508" t="inlineStr">
        <is>
          <t>KALMAR LÄN</t>
        </is>
      </c>
      <c r="E508" t="inlineStr">
        <is>
          <t>VIMMERBY</t>
        </is>
      </c>
      <c r="G508" t="n">
        <v>0.9</v>
      </c>
      <c r="H508" t="n">
        <v>0</v>
      </c>
      <c r="I508" t="n">
        <v>0</v>
      </c>
      <c r="J508" t="n">
        <v>0</v>
      </c>
      <c r="K508" t="n">
        <v>0</v>
      </c>
      <c r="L508" t="n">
        <v>0</v>
      </c>
      <c r="M508" t="n">
        <v>0</v>
      </c>
      <c r="N508" t="n">
        <v>0</v>
      </c>
      <c r="O508" t="n">
        <v>0</v>
      </c>
      <c r="P508" t="n">
        <v>0</v>
      </c>
      <c r="Q508" t="n">
        <v>0</v>
      </c>
      <c r="R508" s="2" t="inlineStr"/>
    </row>
    <row r="509" ht="15" customHeight="1">
      <c r="A509" t="inlineStr">
        <is>
          <t>A 25158-2026</t>
        </is>
      </c>
      <c r="B509" s="1" t="n">
        <v>46175</v>
      </c>
      <c r="C509" s="1" t="n">
        <v>46204</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25194-2026</t>
        </is>
      </c>
      <c r="B510" s="1" t="n">
        <v>46175</v>
      </c>
      <c r="C510" s="1" t="n">
        <v>46204</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24930-2026</t>
        </is>
      </c>
      <c r="B511" s="1" t="n">
        <v>46174</v>
      </c>
      <c r="C511" s="1" t="n">
        <v>46204</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57799-2022</t>
        </is>
      </c>
      <c r="B512" s="1" t="n">
        <v>44897</v>
      </c>
      <c r="C512" s="1" t="n">
        <v>46204</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30921-2024</t>
        </is>
      </c>
      <c r="B513" s="1" t="n">
        <v>45498</v>
      </c>
      <c r="C513" s="1" t="n">
        <v>46204</v>
      </c>
      <c r="D513" t="inlineStr">
        <is>
          <t>KALMAR LÄN</t>
        </is>
      </c>
      <c r="E513" t="inlineStr">
        <is>
          <t>VIMMERBY</t>
        </is>
      </c>
      <c r="G513" t="n">
        <v>1.6</v>
      </c>
      <c r="H513" t="n">
        <v>0</v>
      </c>
      <c r="I513" t="n">
        <v>0</v>
      </c>
      <c r="J513" t="n">
        <v>0</v>
      </c>
      <c r="K513" t="n">
        <v>0</v>
      </c>
      <c r="L513" t="n">
        <v>0</v>
      </c>
      <c r="M513" t="n">
        <v>0</v>
      </c>
      <c r="N513" t="n">
        <v>0</v>
      </c>
      <c r="O513" t="n">
        <v>0</v>
      </c>
      <c r="P513" t="n">
        <v>0</v>
      </c>
      <c r="Q513" t="n">
        <v>0</v>
      </c>
      <c r="R513" s="2" t="inlineStr"/>
    </row>
    <row r="514" ht="15" customHeight="1">
      <c r="A514" t="inlineStr">
        <is>
          <t>A 14137-2023</t>
        </is>
      </c>
      <c r="B514" s="1" t="n">
        <v>45009</v>
      </c>
      <c r="C514" s="1" t="n">
        <v>46204</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11152-2023</t>
        </is>
      </c>
      <c r="B515" s="1" t="n">
        <v>44992</v>
      </c>
      <c r="C515" s="1" t="n">
        <v>46204</v>
      </c>
      <c r="D515" t="inlineStr">
        <is>
          <t>KALMAR LÄN</t>
        </is>
      </c>
      <c r="E515" t="inlineStr">
        <is>
          <t>VIMMERBY</t>
        </is>
      </c>
      <c r="G515" t="n">
        <v>10.6</v>
      </c>
      <c r="H515" t="n">
        <v>0</v>
      </c>
      <c r="I515" t="n">
        <v>0</v>
      </c>
      <c r="J515" t="n">
        <v>0</v>
      </c>
      <c r="K515" t="n">
        <v>0</v>
      </c>
      <c r="L515" t="n">
        <v>0</v>
      </c>
      <c r="M515" t="n">
        <v>0</v>
      </c>
      <c r="N515" t="n">
        <v>0</v>
      </c>
      <c r="O515" t="n">
        <v>0</v>
      </c>
      <c r="P515" t="n">
        <v>0</v>
      </c>
      <c r="Q515" t="n">
        <v>0</v>
      </c>
      <c r="R515" s="2" t="inlineStr"/>
    </row>
    <row r="516" ht="15" customHeight="1">
      <c r="A516" t="inlineStr">
        <is>
          <t>A 12499-2023</t>
        </is>
      </c>
      <c r="B516" s="1" t="n">
        <v>44999</v>
      </c>
      <c r="C516" s="1" t="n">
        <v>46204</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12500-2023</t>
        </is>
      </c>
      <c r="B517" s="1" t="n">
        <v>44999</v>
      </c>
      <c r="C517" s="1" t="n">
        <v>46204</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35846-2023</t>
        </is>
      </c>
      <c r="B518" s="1" t="n">
        <v>45148</v>
      </c>
      <c r="C518" s="1" t="n">
        <v>46204</v>
      </c>
      <c r="D518" t="inlineStr">
        <is>
          <t>KALMAR LÄN</t>
        </is>
      </c>
      <c r="E518" t="inlineStr">
        <is>
          <t>VIMMERBY</t>
        </is>
      </c>
      <c r="G518" t="n">
        <v>1</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46204</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60215-2022</t>
        </is>
      </c>
      <c r="B520" s="1" t="n">
        <v>44910</v>
      </c>
      <c r="C520" s="1" t="n">
        <v>46204</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25395-2026</t>
        </is>
      </c>
      <c r="B521" s="1" t="n">
        <v>46176</v>
      </c>
      <c r="C521" s="1" t="n">
        <v>46204</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25830-2025</t>
        </is>
      </c>
      <c r="B522" s="1" t="n">
        <v>45804</v>
      </c>
      <c r="C522" s="1" t="n">
        <v>46204</v>
      </c>
      <c r="D522" t="inlineStr">
        <is>
          <t>KALMAR LÄN</t>
        </is>
      </c>
      <c r="E522" t="inlineStr">
        <is>
          <t>VIMMERBY</t>
        </is>
      </c>
      <c r="G522" t="n">
        <v>4.9</v>
      </c>
      <c r="H522" t="n">
        <v>0</v>
      </c>
      <c r="I522" t="n">
        <v>0</v>
      </c>
      <c r="J522" t="n">
        <v>0</v>
      </c>
      <c r="K522" t="n">
        <v>0</v>
      </c>
      <c r="L522" t="n">
        <v>0</v>
      </c>
      <c r="M522" t="n">
        <v>0</v>
      </c>
      <c r="N522" t="n">
        <v>0</v>
      </c>
      <c r="O522" t="n">
        <v>0</v>
      </c>
      <c r="P522" t="n">
        <v>0</v>
      </c>
      <c r="Q522" t="n">
        <v>0</v>
      </c>
      <c r="R522" s="2" t="inlineStr"/>
    </row>
    <row r="523" ht="15" customHeight="1">
      <c r="A523" t="inlineStr">
        <is>
          <t>A 46224-2024</t>
        </is>
      </c>
      <c r="B523" s="1" t="n">
        <v>45581</v>
      </c>
      <c r="C523" s="1" t="n">
        <v>46204</v>
      </c>
      <c r="D523" t="inlineStr">
        <is>
          <t>KALMAR LÄN</t>
        </is>
      </c>
      <c r="E523" t="inlineStr">
        <is>
          <t>VIMMERBY</t>
        </is>
      </c>
      <c r="G523" t="n">
        <v>3.1</v>
      </c>
      <c r="H523" t="n">
        <v>0</v>
      </c>
      <c r="I523" t="n">
        <v>0</v>
      </c>
      <c r="J523" t="n">
        <v>0</v>
      </c>
      <c r="K523" t="n">
        <v>0</v>
      </c>
      <c r="L523" t="n">
        <v>0</v>
      </c>
      <c r="M523" t="n">
        <v>0</v>
      </c>
      <c r="N523" t="n">
        <v>0</v>
      </c>
      <c r="O523" t="n">
        <v>0</v>
      </c>
      <c r="P523" t="n">
        <v>0</v>
      </c>
      <c r="Q523" t="n">
        <v>0</v>
      </c>
      <c r="R523" s="2" t="inlineStr"/>
    </row>
    <row r="524" ht="15" customHeight="1">
      <c r="A524" t="inlineStr">
        <is>
          <t>A 30633-2024</t>
        </is>
      </c>
      <c r="B524" s="1" t="n">
        <v>45495</v>
      </c>
      <c r="C524" s="1" t="n">
        <v>46204</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54838-2024</t>
        </is>
      </c>
      <c r="B525" s="1" t="n">
        <v>45618</v>
      </c>
      <c r="C525" s="1" t="n">
        <v>46204</v>
      </c>
      <c r="D525" t="inlineStr">
        <is>
          <t>KALMAR LÄN</t>
        </is>
      </c>
      <c r="E525" t="inlineStr">
        <is>
          <t>VIMMERBY</t>
        </is>
      </c>
      <c r="G525" t="n">
        <v>3.3</v>
      </c>
      <c r="H525" t="n">
        <v>0</v>
      </c>
      <c r="I525" t="n">
        <v>0</v>
      </c>
      <c r="J525" t="n">
        <v>0</v>
      </c>
      <c r="K525" t="n">
        <v>0</v>
      </c>
      <c r="L525" t="n">
        <v>0</v>
      </c>
      <c r="M525" t="n">
        <v>0</v>
      </c>
      <c r="N525" t="n">
        <v>0</v>
      </c>
      <c r="O525" t="n">
        <v>0</v>
      </c>
      <c r="P525" t="n">
        <v>0</v>
      </c>
      <c r="Q525" t="n">
        <v>0</v>
      </c>
      <c r="R525" s="2" t="inlineStr"/>
    </row>
    <row r="526" ht="15" customHeight="1">
      <c r="A526" t="inlineStr">
        <is>
          <t>A 6405-2025</t>
        </is>
      </c>
      <c r="B526" s="1" t="n">
        <v>45699</v>
      </c>
      <c r="C526" s="1" t="n">
        <v>46204</v>
      </c>
      <c r="D526" t="inlineStr">
        <is>
          <t>KALMAR LÄN</t>
        </is>
      </c>
      <c r="E526" t="inlineStr">
        <is>
          <t>VIMMERBY</t>
        </is>
      </c>
      <c r="G526" t="n">
        <v>1.2</v>
      </c>
      <c r="H526" t="n">
        <v>0</v>
      </c>
      <c r="I526" t="n">
        <v>0</v>
      </c>
      <c r="J526" t="n">
        <v>0</v>
      </c>
      <c r="K526" t="n">
        <v>0</v>
      </c>
      <c r="L526" t="n">
        <v>0</v>
      </c>
      <c r="M526" t="n">
        <v>0</v>
      </c>
      <c r="N526" t="n">
        <v>0</v>
      </c>
      <c r="O526" t="n">
        <v>0</v>
      </c>
      <c r="P526" t="n">
        <v>0</v>
      </c>
      <c r="Q526" t="n">
        <v>0</v>
      </c>
      <c r="R526" s="2" t="inlineStr"/>
    </row>
    <row r="527" ht="15" customHeight="1">
      <c r="A527" t="inlineStr">
        <is>
          <t>A 25345-2026</t>
        </is>
      </c>
      <c r="B527" s="1" t="n">
        <v>46176</v>
      </c>
      <c r="C527" s="1" t="n">
        <v>46204</v>
      </c>
      <c r="D527" t="inlineStr">
        <is>
          <t>KALMAR LÄN</t>
        </is>
      </c>
      <c r="E527" t="inlineStr">
        <is>
          <t>VIMMERBY</t>
        </is>
      </c>
      <c r="G527" t="n">
        <v>1.9</v>
      </c>
      <c r="H527" t="n">
        <v>0</v>
      </c>
      <c r="I527" t="n">
        <v>0</v>
      </c>
      <c r="J527" t="n">
        <v>0</v>
      </c>
      <c r="K527" t="n">
        <v>0</v>
      </c>
      <c r="L527" t="n">
        <v>0</v>
      </c>
      <c r="M527" t="n">
        <v>0</v>
      </c>
      <c r="N527" t="n">
        <v>0</v>
      </c>
      <c r="O527" t="n">
        <v>0</v>
      </c>
      <c r="P527" t="n">
        <v>0</v>
      </c>
      <c r="Q527" t="n">
        <v>0</v>
      </c>
      <c r="R527" s="2" t="inlineStr"/>
    </row>
    <row r="528" ht="15" customHeight="1">
      <c r="A528" t="inlineStr">
        <is>
          <t>A 25284-2026</t>
        </is>
      </c>
      <c r="B528" s="1" t="n">
        <v>46176</v>
      </c>
      <c r="C528" s="1" t="n">
        <v>46204</v>
      </c>
      <c r="D528" t="inlineStr">
        <is>
          <t>KALMAR LÄN</t>
        </is>
      </c>
      <c r="E528" t="inlineStr">
        <is>
          <t>VIMMERBY</t>
        </is>
      </c>
      <c r="G528" t="n">
        <v>1.6</v>
      </c>
      <c r="H528" t="n">
        <v>0</v>
      </c>
      <c r="I528" t="n">
        <v>0</v>
      </c>
      <c r="J528" t="n">
        <v>0</v>
      </c>
      <c r="K528" t="n">
        <v>0</v>
      </c>
      <c r="L528" t="n">
        <v>0</v>
      </c>
      <c r="M528" t="n">
        <v>0</v>
      </c>
      <c r="N528" t="n">
        <v>0</v>
      </c>
      <c r="O528" t="n">
        <v>0</v>
      </c>
      <c r="P528" t="n">
        <v>0</v>
      </c>
      <c r="Q528" t="n">
        <v>0</v>
      </c>
      <c r="R528" s="2" t="inlineStr"/>
    </row>
    <row r="529" ht="15" customHeight="1">
      <c r="A529" t="inlineStr">
        <is>
          <t>A 60437-2023</t>
        </is>
      </c>
      <c r="B529" s="1" t="n">
        <v>45259</v>
      </c>
      <c r="C529" s="1" t="n">
        <v>46204</v>
      </c>
      <c r="D529" t="inlineStr">
        <is>
          <t>KALMAR LÄN</t>
        </is>
      </c>
      <c r="E529" t="inlineStr">
        <is>
          <t>VIMMERBY</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60438-2023</t>
        </is>
      </c>
      <c r="B530" s="1" t="n">
        <v>45259</v>
      </c>
      <c r="C530" s="1" t="n">
        <v>46204</v>
      </c>
      <c r="D530" t="inlineStr">
        <is>
          <t>KALMAR LÄN</t>
        </is>
      </c>
      <c r="E530" t="inlineStr">
        <is>
          <t>VIMMERBY</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42165-2024</t>
        </is>
      </c>
      <c r="B531" s="1" t="n">
        <v>45562</v>
      </c>
      <c r="C531" s="1" t="n">
        <v>46204</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25244-2023</t>
        </is>
      </c>
      <c r="B532" s="1" t="n">
        <v>45086</v>
      </c>
      <c r="C532" s="1" t="n">
        <v>46204</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59579-2025</t>
        </is>
      </c>
      <c r="B533" s="1" t="n">
        <v>45992</v>
      </c>
      <c r="C533" s="1" t="n">
        <v>46204</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66022-2021</t>
        </is>
      </c>
      <c r="B534" s="1" t="n">
        <v>44517</v>
      </c>
      <c r="C534" s="1" t="n">
        <v>46204</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35895-2024</t>
        </is>
      </c>
      <c r="B535" s="1" t="n">
        <v>45533</v>
      </c>
      <c r="C535" s="1" t="n">
        <v>46204</v>
      </c>
      <c r="D535" t="inlineStr">
        <is>
          <t>KALMAR LÄN</t>
        </is>
      </c>
      <c r="E535" t="inlineStr">
        <is>
          <t>VIMMERBY</t>
        </is>
      </c>
      <c r="G535" t="n">
        <v>1.4</v>
      </c>
      <c r="H535" t="n">
        <v>0</v>
      </c>
      <c r="I535" t="n">
        <v>0</v>
      </c>
      <c r="J535" t="n">
        <v>0</v>
      </c>
      <c r="K535" t="n">
        <v>0</v>
      </c>
      <c r="L535" t="n">
        <v>0</v>
      </c>
      <c r="M535" t="n">
        <v>0</v>
      </c>
      <c r="N535" t="n">
        <v>0</v>
      </c>
      <c r="O535" t="n">
        <v>0</v>
      </c>
      <c r="P535" t="n">
        <v>0</v>
      </c>
      <c r="Q535" t="n">
        <v>0</v>
      </c>
      <c r="R535" s="2" t="inlineStr"/>
    </row>
    <row r="536" ht="15" customHeight="1">
      <c r="A536" t="inlineStr">
        <is>
          <t>A 11073-2023</t>
        </is>
      </c>
      <c r="B536" s="1" t="n">
        <v>44992</v>
      </c>
      <c r="C536" s="1" t="n">
        <v>46204</v>
      </c>
      <c r="D536" t="inlineStr">
        <is>
          <t>KALMAR LÄN</t>
        </is>
      </c>
      <c r="E536" t="inlineStr">
        <is>
          <t>VIMMERBY</t>
        </is>
      </c>
      <c r="F536" t="inlineStr">
        <is>
          <t>Sveaskog</t>
        </is>
      </c>
      <c r="G536" t="n">
        <v>1.2</v>
      </c>
      <c r="H536" t="n">
        <v>0</v>
      </c>
      <c r="I536" t="n">
        <v>0</v>
      </c>
      <c r="J536" t="n">
        <v>0</v>
      </c>
      <c r="K536" t="n">
        <v>0</v>
      </c>
      <c r="L536" t="n">
        <v>0</v>
      </c>
      <c r="M536" t="n">
        <v>0</v>
      </c>
      <c r="N536" t="n">
        <v>0</v>
      </c>
      <c r="O536" t="n">
        <v>0</v>
      </c>
      <c r="P536" t="n">
        <v>0</v>
      </c>
      <c r="Q536" t="n">
        <v>0</v>
      </c>
      <c r="R536" s="2" t="inlineStr"/>
    </row>
    <row r="537" ht="15" customHeight="1">
      <c r="A537" t="inlineStr">
        <is>
          <t>A 32655-2023</t>
        </is>
      </c>
      <c r="B537" s="1" t="n">
        <v>45121</v>
      </c>
      <c r="C537" s="1" t="n">
        <v>46204</v>
      </c>
      <c r="D537" t="inlineStr">
        <is>
          <t>KALMAR LÄN</t>
        </is>
      </c>
      <c r="E537" t="inlineStr">
        <is>
          <t>VIMMERBY</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52294-2023</t>
        </is>
      </c>
      <c r="B538" s="1" t="n">
        <v>45224</v>
      </c>
      <c r="C538" s="1" t="n">
        <v>46204</v>
      </c>
      <c r="D538" t="inlineStr">
        <is>
          <t>KALMAR LÄN</t>
        </is>
      </c>
      <c r="E538" t="inlineStr">
        <is>
          <t>VIMMERBY</t>
        </is>
      </c>
      <c r="F538" t="inlineStr">
        <is>
          <t>Sveaskog</t>
        </is>
      </c>
      <c r="G538" t="n">
        <v>2.5</v>
      </c>
      <c r="H538" t="n">
        <v>0</v>
      </c>
      <c r="I538" t="n">
        <v>0</v>
      </c>
      <c r="J538" t="n">
        <v>0</v>
      </c>
      <c r="K538" t="n">
        <v>0</v>
      </c>
      <c r="L538" t="n">
        <v>0</v>
      </c>
      <c r="M538" t="n">
        <v>0</v>
      </c>
      <c r="N538" t="n">
        <v>0</v>
      </c>
      <c r="O538" t="n">
        <v>0</v>
      </c>
      <c r="P538" t="n">
        <v>0</v>
      </c>
      <c r="Q538" t="n">
        <v>0</v>
      </c>
      <c r="R538" s="2" t="inlineStr"/>
    </row>
    <row r="539" ht="15" customHeight="1">
      <c r="A539" t="inlineStr">
        <is>
          <t>A 63541-2023</t>
        </is>
      </c>
      <c r="B539" s="1" t="n">
        <v>45275</v>
      </c>
      <c r="C539" s="1" t="n">
        <v>46204</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36273-2025</t>
        </is>
      </c>
      <c r="B540" s="1" t="n">
        <v>45867</v>
      </c>
      <c r="C540" s="1" t="n">
        <v>46204</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36282-2025</t>
        </is>
      </c>
      <c r="B541" s="1" t="n">
        <v>45867</v>
      </c>
      <c r="C541" s="1" t="n">
        <v>46204</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29783-2024</t>
        </is>
      </c>
      <c r="B542" s="1" t="n">
        <v>45485</v>
      </c>
      <c r="C542" s="1" t="n">
        <v>46204</v>
      </c>
      <c r="D542" t="inlineStr">
        <is>
          <t>KALMAR LÄN</t>
        </is>
      </c>
      <c r="E542" t="inlineStr">
        <is>
          <t>VIMMERBY</t>
        </is>
      </c>
      <c r="G542" t="n">
        <v>3.1</v>
      </c>
      <c r="H542" t="n">
        <v>0</v>
      </c>
      <c r="I542" t="n">
        <v>0</v>
      </c>
      <c r="J542" t="n">
        <v>0</v>
      </c>
      <c r="K542" t="n">
        <v>0</v>
      </c>
      <c r="L542" t="n">
        <v>0</v>
      </c>
      <c r="M542" t="n">
        <v>0</v>
      </c>
      <c r="N542" t="n">
        <v>0</v>
      </c>
      <c r="O542" t="n">
        <v>0</v>
      </c>
      <c r="P542" t="n">
        <v>0</v>
      </c>
      <c r="Q542" t="n">
        <v>0</v>
      </c>
      <c r="R542" s="2" t="inlineStr"/>
    </row>
    <row r="543" ht="15" customHeight="1">
      <c r="A543" t="inlineStr">
        <is>
          <t>A 28034-2022</t>
        </is>
      </c>
      <c r="B543" s="1" t="n">
        <v>44746</v>
      </c>
      <c r="C543" s="1" t="n">
        <v>46204</v>
      </c>
      <c r="D543" t="inlineStr">
        <is>
          <t>KALMAR LÄN</t>
        </is>
      </c>
      <c r="E543" t="inlineStr">
        <is>
          <t>VIMMERBY</t>
        </is>
      </c>
      <c r="G543" t="n">
        <v>2</v>
      </c>
      <c r="H543" t="n">
        <v>0</v>
      </c>
      <c r="I543" t="n">
        <v>0</v>
      </c>
      <c r="J543" t="n">
        <v>0</v>
      </c>
      <c r="K543" t="n">
        <v>0</v>
      </c>
      <c r="L543" t="n">
        <v>0</v>
      </c>
      <c r="M543" t="n">
        <v>0</v>
      </c>
      <c r="N543" t="n">
        <v>0</v>
      </c>
      <c r="O543" t="n">
        <v>0</v>
      </c>
      <c r="P543" t="n">
        <v>0</v>
      </c>
      <c r="Q543" t="n">
        <v>0</v>
      </c>
      <c r="R543" s="2" t="inlineStr"/>
    </row>
    <row r="544" ht="15" customHeight="1">
      <c r="A544" t="inlineStr">
        <is>
          <t>A 5938-2022</t>
        </is>
      </c>
      <c r="B544" s="1" t="n">
        <v>44598</v>
      </c>
      <c r="C544" s="1" t="n">
        <v>46204</v>
      </c>
      <c r="D544" t="inlineStr">
        <is>
          <t>KALMAR LÄN</t>
        </is>
      </c>
      <c r="E544" t="inlineStr">
        <is>
          <t>VIMMERBY</t>
        </is>
      </c>
      <c r="G544" t="n">
        <v>2.4</v>
      </c>
      <c r="H544" t="n">
        <v>0</v>
      </c>
      <c r="I544" t="n">
        <v>0</v>
      </c>
      <c r="J544" t="n">
        <v>0</v>
      </c>
      <c r="K544" t="n">
        <v>0</v>
      </c>
      <c r="L544" t="n">
        <v>0</v>
      </c>
      <c r="M544" t="n">
        <v>0</v>
      </c>
      <c r="N544" t="n">
        <v>0</v>
      </c>
      <c r="O544" t="n">
        <v>0</v>
      </c>
      <c r="P544" t="n">
        <v>0</v>
      </c>
      <c r="Q544" t="n">
        <v>0</v>
      </c>
      <c r="R544" s="2" t="inlineStr"/>
    </row>
    <row r="545" ht="15" customHeight="1">
      <c r="A545" t="inlineStr">
        <is>
          <t>A 24283-2023</t>
        </is>
      </c>
      <c r="B545" s="1" t="n">
        <v>45079</v>
      </c>
      <c r="C545" s="1" t="n">
        <v>46204</v>
      </c>
      <c r="D545" t="inlineStr">
        <is>
          <t>KALMAR LÄN</t>
        </is>
      </c>
      <c r="E545" t="inlineStr">
        <is>
          <t>VIMMERBY</t>
        </is>
      </c>
      <c r="G545" t="n">
        <v>2</v>
      </c>
      <c r="H545" t="n">
        <v>0</v>
      </c>
      <c r="I545" t="n">
        <v>0</v>
      </c>
      <c r="J545" t="n">
        <v>0</v>
      </c>
      <c r="K545" t="n">
        <v>0</v>
      </c>
      <c r="L545" t="n">
        <v>0</v>
      </c>
      <c r="M545" t="n">
        <v>0</v>
      </c>
      <c r="N545" t="n">
        <v>0</v>
      </c>
      <c r="O545" t="n">
        <v>0</v>
      </c>
      <c r="P545" t="n">
        <v>0</v>
      </c>
      <c r="Q545" t="n">
        <v>0</v>
      </c>
      <c r="R545" s="2" t="inlineStr"/>
    </row>
    <row r="546" ht="15" customHeight="1">
      <c r="A546" t="inlineStr">
        <is>
          <t>A 2462-2022</t>
        </is>
      </c>
      <c r="B546" s="1" t="n">
        <v>44579</v>
      </c>
      <c r="C546" s="1" t="n">
        <v>46204</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46204</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25979-2023</t>
        </is>
      </c>
      <c r="B548" s="1" t="n">
        <v>45090</v>
      </c>
      <c r="C548" s="1" t="n">
        <v>46204</v>
      </c>
      <c r="D548" t="inlineStr">
        <is>
          <t>KALMAR LÄN</t>
        </is>
      </c>
      <c r="E548" t="inlineStr">
        <is>
          <t>VIMMERBY</t>
        </is>
      </c>
      <c r="G548" t="n">
        <v>2</v>
      </c>
      <c r="H548" t="n">
        <v>0</v>
      </c>
      <c r="I548" t="n">
        <v>0</v>
      </c>
      <c r="J548" t="n">
        <v>0</v>
      </c>
      <c r="K548" t="n">
        <v>0</v>
      </c>
      <c r="L548" t="n">
        <v>0</v>
      </c>
      <c r="M548" t="n">
        <v>0</v>
      </c>
      <c r="N548" t="n">
        <v>0</v>
      </c>
      <c r="O548" t="n">
        <v>0</v>
      </c>
      <c r="P548" t="n">
        <v>0</v>
      </c>
      <c r="Q548" t="n">
        <v>0</v>
      </c>
      <c r="R548" s="2" t="inlineStr"/>
    </row>
    <row r="549" ht="15" customHeight="1">
      <c r="A549" t="inlineStr">
        <is>
          <t>A 25980-2023</t>
        </is>
      </c>
      <c r="B549" s="1" t="n">
        <v>45090</v>
      </c>
      <c r="C549" s="1" t="n">
        <v>46204</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12510-2022</t>
        </is>
      </c>
      <c r="B550" s="1" t="n">
        <v>44638</v>
      </c>
      <c r="C550" s="1" t="n">
        <v>46204</v>
      </c>
      <c r="D550" t="inlineStr">
        <is>
          <t>KALMAR LÄN</t>
        </is>
      </c>
      <c r="E550" t="inlineStr">
        <is>
          <t>VIMMERBY</t>
        </is>
      </c>
      <c r="G550" t="n">
        <v>2.4</v>
      </c>
      <c r="H550" t="n">
        <v>0</v>
      </c>
      <c r="I550" t="n">
        <v>0</v>
      </c>
      <c r="J550" t="n">
        <v>0</v>
      </c>
      <c r="K550" t="n">
        <v>0</v>
      </c>
      <c r="L550" t="n">
        <v>0</v>
      </c>
      <c r="M550" t="n">
        <v>0</v>
      </c>
      <c r="N550" t="n">
        <v>0</v>
      </c>
      <c r="O550" t="n">
        <v>0</v>
      </c>
      <c r="P550" t="n">
        <v>0</v>
      </c>
      <c r="Q550" t="n">
        <v>0</v>
      </c>
      <c r="R550" s="2" t="inlineStr"/>
    </row>
    <row r="551" ht="15" customHeight="1">
      <c r="A551" t="inlineStr">
        <is>
          <t>A 52465-2025</t>
        </is>
      </c>
      <c r="B551" s="1" t="n">
        <v>45954</v>
      </c>
      <c r="C551" s="1" t="n">
        <v>46204</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37866-2025</t>
        </is>
      </c>
      <c r="B552" s="1" t="n">
        <v>45881</v>
      </c>
      <c r="C552" s="1" t="n">
        <v>46204</v>
      </c>
      <c r="D552" t="inlineStr">
        <is>
          <t>KALMAR LÄN</t>
        </is>
      </c>
      <c r="E552" t="inlineStr">
        <is>
          <t>VIMMERBY</t>
        </is>
      </c>
      <c r="G552" t="n">
        <v>3.4</v>
      </c>
      <c r="H552" t="n">
        <v>0</v>
      </c>
      <c r="I552" t="n">
        <v>0</v>
      </c>
      <c r="J552" t="n">
        <v>0</v>
      </c>
      <c r="K552" t="n">
        <v>0</v>
      </c>
      <c r="L552" t="n">
        <v>0</v>
      </c>
      <c r="M552" t="n">
        <v>0</v>
      </c>
      <c r="N552" t="n">
        <v>0</v>
      </c>
      <c r="O552" t="n">
        <v>0</v>
      </c>
      <c r="P552" t="n">
        <v>0</v>
      </c>
      <c r="Q552" t="n">
        <v>0</v>
      </c>
      <c r="R552" s="2" t="inlineStr"/>
    </row>
    <row r="553" ht="15" customHeight="1">
      <c r="A553" t="inlineStr">
        <is>
          <t>A 20-2025</t>
        </is>
      </c>
      <c r="B553" s="1" t="n">
        <v>45658</v>
      </c>
      <c r="C553" s="1" t="n">
        <v>46204</v>
      </c>
      <c r="D553" t="inlineStr">
        <is>
          <t>KALMAR LÄN</t>
        </is>
      </c>
      <c r="E553" t="inlineStr">
        <is>
          <t>VIMMERBY</t>
        </is>
      </c>
      <c r="G553" t="n">
        <v>1.3</v>
      </c>
      <c r="H553" t="n">
        <v>0</v>
      </c>
      <c r="I553" t="n">
        <v>0</v>
      </c>
      <c r="J553" t="n">
        <v>0</v>
      </c>
      <c r="K553" t="n">
        <v>0</v>
      </c>
      <c r="L553" t="n">
        <v>0</v>
      </c>
      <c r="M553" t="n">
        <v>0</v>
      </c>
      <c r="N553" t="n">
        <v>0</v>
      </c>
      <c r="O553" t="n">
        <v>0</v>
      </c>
      <c r="P553" t="n">
        <v>0</v>
      </c>
      <c r="Q553" t="n">
        <v>0</v>
      </c>
      <c r="R553" s="2" t="inlineStr"/>
    </row>
    <row r="554" ht="15" customHeight="1">
      <c r="A554" t="inlineStr">
        <is>
          <t>A 48373-2021</t>
        </is>
      </c>
      <c r="B554" s="1" t="n">
        <v>44451</v>
      </c>
      <c r="C554" s="1" t="n">
        <v>46204</v>
      </c>
      <c r="D554" t="inlineStr">
        <is>
          <t>KALMAR LÄN</t>
        </is>
      </c>
      <c r="E554" t="inlineStr">
        <is>
          <t>VIMMERBY</t>
        </is>
      </c>
      <c r="G554" t="n">
        <v>2.2</v>
      </c>
      <c r="H554" t="n">
        <v>0</v>
      </c>
      <c r="I554" t="n">
        <v>0</v>
      </c>
      <c r="J554" t="n">
        <v>0</v>
      </c>
      <c r="K554" t="n">
        <v>0</v>
      </c>
      <c r="L554" t="n">
        <v>0</v>
      </c>
      <c r="M554" t="n">
        <v>0</v>
      </c>
      <c r="N554" t="n">
        <v>0</v>
      </c>
      <c r="O554" t="n">
        <v>0</v>
      </c>
      <c r="P554" t="n">
        <v>0</v>
      </c>
      <c r="Q554" t="n">
        <v>0</v>
      </c>
      <c r="R554" s="2" t="inlineStr"/>
    </row>
    <row r="555" ht="15" customHeight="1">
      <c r="A555" t="inlineStr">
        <is>
          <t>A 20018-2026</t>
        </is>
      </c>
      <c r="B555" s="1" t="n">
        <v>46136</v>
      </c>
      <c r="C555" s="1" t="n">
        <v>46204</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57256-2023</t>
        </is>
      </c>
      <c r="B556" s="1" t="n">
        <v>45245</v>
      </c>
      <c r="C556" s="1" t="n">
        <v>46204</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17482-2024</t>
        </is>
      </c>
      <c r="B557" s="1" t="n">
        <v>45415</v>
      </c>
      <c r="C557" s="1" t="n">
        <v>46204</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55123-2024</t>
        </is>
      </c>
      <c r="B558" s="1" t="n">
        <v>45621</v>
      </c>
      <c r="C558" s="1" t="n">
        <v>46204</v>
      </c>
      <c r="D558" t="inlineStr">
        <is>
          <t>KALMAR LÄN</t>
        </is>
      </c>
      <c r="E558" t="inlineStr">
        <is>
          <t>VIMMERBY</t>
        </is>
      </c>
      <c r="G558" t="n">
        <v>3.1</v>
      </c>
      <c r="H558" t="n">
        <v>0</v>
      </c>
      <c r="I558" t="n">
        <v>0</v>
      </c>
      <c r="J558" t="n">
        <v>0</v>
      </c>
      <c r="K558" t="n">
        <v>0</v>
      </c>
      <c r="L558" t="n">
        <v>0</v>
      </c>
      <c r="M558" t="n">
        <v>0</v>
      </c>
      <c r="N558" t="n">
        <v>0</v>
      </c>
      <c r="O558" t="n">
        <v>0</v>
      </c>
      <c r="P558" t="n">
        <v>0</v>
      </c>
      <c r="Q558" t="n">
        <v>0</v>
      </c>
      <c r="R558" s="2" t="inlineStr"/>
    </row>
    <row r="559" ht="15" customHeight="1">
      <c r="A559" t="inlineStr">
        <is>
          <t>A 29727-2025</t>
        </is>
      </c>
      <c r="B559" s="1" t="n">
        <v>45825</v>
      </c>
      <c r="C559" s="1" t="n">
        <v>46204</v>
      </c>
      <c r="D559" t="inlineStr">
        <is>
          <t>KALMAR LÄN</t>
        </is>
      </c>
      <c r="E559" t="inlineStr">
        <is>
          <t>VIMMERBY</t>
        </is>
      </c>
      <c r="G559" t="n">
        <v>1.3</v>
      </c>
      <c r="H559" t="n">
        <v>0</v>
      </c>
      <c r="I559" t="n">
        <v>0</v>
      </c>
      <c r="J559" t="n">
        <v>0</v>
      </c>
      <c r="K559" t="n">
        <v>0</v>
      </c>
      <c r="L559" t="n">
        <v>0</v>
      </c>
      <c r="M559" t="n">
        <v>0</v>
      </c>
      <c r="N559" t="n">
        <v>0</v>
      </c>
      <c r="O559" t="n">
        <v>0</v>
      </c>
      <c r="P559" t="n">
        <v>0</v>
      </c>
      <c r="Q559" t="n">
        <v>0</v>
      </c>
      <c r="R559" s="2" t="inlineStr"/>
    </row>
    <row r="560" ht="15" customHeight="1">
      <c r="A560" t="inlineStr">
        <is>
          <t>A 49313-2022</t>
        </is>
      </c>
      <c r="B560" s="1" t="n">
        <v>44861</v>
      </c>
      <c r="C560" s="1" t="n">
        <v>46204</v>
      </c>
      <c r="D560" t="inlineStr">
        <is>
          <t>KALMAR LÄN</t>
        </is>
      </c>
      <c r="E560" t="inlineStr">
        <is>
          <t>VIMMERBY</t>
        </is>
      </c>
      <c r="G560" t="n">
        <v>1.9</v>
      </c>
      <c r="H560" t="n">
        <v>0</v>
      </c>
      <c r="I560" t="n">
        <v>0</v>
      </c>
      <c r="J560" t="n">
        <v>0</v>
      </c>
      <c r="K560" t="n">
        <v>0</v>
      </c>
      <c r="L560" t="n">
        <v>0</v>
      </c>
      <c r="M560" t="n">
        <v>0</v>
      </c>
      <c r="N560" t="n">
        <v>0</v>
      </c>
      <c r="O560" t="n">
        <v>0</v>
      </c>
      <c r="P560" t="n">
        <v>0</v>
      </c>
      <c r="Q560" t="n">
        <v>0</v>
      </c>
      <c r="R560" s="2" t="inlineStr"/>
    </row>
    <row r="561" ht="15" customHeight="1">
      <c r="A561" t="inlineStr">
        <is>
          <t>A 1987-2024</t>
        </is>
      </c>
      <c r="B561" s="1" t="n">
        <v>45308</v>
      </c>
      <c r="C561" s="1" t="n">
        <v>46204</v>
      </c>
      <c r="D561" t="inlineStr">
        <is>
          <t>KALMAR LÄN</t>
        </is>
      </c>
      <c r="E561" t="inlineStr">
        <is>
          <t>VIMMERBY</t>
        </is>
      </c>
      <c r="G561" t="n">
        <v>3</v>
      </c>
      <c r="H561" t="n">
        <v>0</v>
      </c>
      <c r="I561" t="n">
        <v>0</v>
      </c>
      <c r="J561" t="n">
        <v>0</v>
      </c>
      <c r="K561" t="n">
        <v>0</v>
      </c>
      <c r="L561" t="n">
        <v>0</v>
      </c>
      <c r="M561" t="n">
        <v>0</v>
      </c>
      <c r="N561" t="n">
        <v>0</v>
      </c>
      <c r="O561" t="n">
        <v>0</v>
      </c>
      <c r="P561" t="n">
        <v>0</v>
      </c>
      <c r="Q561" t="n">
        <v>0</v>
      </c>
      <c r="R561" s="2" t="inlineStr"/>
    </row>
    <row r="562" ht="15" customHeight="1">
      <c r="A562" t="inlineStr">
        <is>
          <t>A 26029-2026</t>
        </is>
      </c>
      <c r="B562" s="1" t="n">
        <v>46181</v>
      </c>
      <c r="C562" s="1" t="n">
        <v>46204</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21507-2023</t>
        </is>
      </c>
      <c r="B563" s="1" t="n">
        <v>45063</v>
      </c>
      <c r="C563" s="1" t="n">
        <v>46204</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57189-2022</t>
        </is>
      </c>
      <c r="B564" s="1" t="n">
        <v>44895</v>
      </c>
      <c r="C564" s="1" t="n">
        <v>46204</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48673-2021</t>
        </is>
      </c>
      <c r="B565" s="1" t="n">
        <v>44452</v>
      </c>
      <c r="C565" s="1" t="n">
        <v>46204</v>
      </c>
      <c r="D565" t="inlineStr">
        <is>
          <t>KALMAR LÄN</t>
        </is>
      </c>
      <c r="E565" t="inlineStr">
        <is>
          <t>VIMMERBY</t>
        </is>
      </c>
      <c r="G565" t="n">
        <v>1.3</v>
      </c>
      <c r="H565" t="n">
        <v>0</v>
      </c>
      <c r="I565" t="n">
        <v>0</v>
      </c>
      <c r="J565" t="n">
        <v>0</v>
      </c>
      <c r="K565" t="n">
        <v>0</v>
      </c>
      <c r="L565" t="n">
        <v>0</v>
      </c>
      <c r="M565" t="n">
        <v>0</v>
      </c>
      <c r="N565" t="n">
        <v>0</v>
      </c>
      <c r="O565" t="n">
        <v>0</v>
      </c>
      <c r="P565" t="n">
        <v>0</v>
      </c>
      <c r="Q565" t="n">
        <v>0</v>
      </c>
      <c r="R565" s="2" t="inlineStr"/>
    </row>
    <row r="566" ht="15" customHeight="1">
      <c r="A566" t="inlineStr">
        <is>
          <t>A 14248-2023</t>
        </is>
      </c>
      <c r="B566" s="1" t="n">
        <v>45009</v>
      </c>
      <c r="C566" s="1" t="n">
        <v>46204</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16015-2025</t>
        </is>
      </c>
      <c r="B567" s="1" t="n">
        <v>45749</v>
      </c>
      <c r="C567" s="1" t="n">
        <v>46204</v>
      </c>
      <c r="D567" t="inlineStr">
        <is>
          <t>KALMAR LÄN</t>
        </is>
      </c>
      <c r="E567" t="inlineStr">
        <is>
          <t>VIMMERBY</t>
        </is>
      </c>
      <c r="F567" t="inlineStr">
        <is>
          <t>Kyrkan</t>
        </is>
      </c>
      <c r="G567" t="n">
        <v>2.7</v>
      </c>
      <c r="H567" t="n">
        <v>0</v>
      </c>
      <c r="I567" t="n">
        <v>0</v>
      </c>
      <c r="J567" t="n">
        <v>0</v>
      </c>
      <c r="K567" t="n">
        <v>0</v>
      </c>
      <c r="L567" t="n">
        <v>0</v>
      </c>
      <c r="M567" t="n">
        <v>0</v>
      </c>
      <c r="N567" t="n">
        <v>0</v>
      </c>
      <c r="O567" t="n">
        <v>0</v>
      </c>
      <c r="P567" t="n">
        <v>0</v>
      </c>
      <c r="Q567" t="n">
        <v>0</v>
      </c>
      <c r="R567" s="2" t="inlineStr"/>
    </row>
    <row r="568" ht="15" customHeight="1">
      <c r="A568" t="inlineStr">
        <is>
          <t>A 40095-2022</t>
        </is>
      </c>
      <c r="B568" s="1" t="n">
        <v>44820</v>
      </c>
      <c r="C568" s="1" t="n">
        <v>46204</v>
      </c>
      <c r="D568" t="inlineStr">
        <is>
          <t>KALMAR LÄN</t>
        </is>
      </c>
      <c r="E568" t="inlineStr">
        <is>
          <t>VIMMERBY</t>
        </is>
      </c>
      <c r="G568" t="n">
        <v>2.4</v>
      </c>
      <c r="H568" t="n">
        <v>0</v>
      </c>
      <c r="I568" t="n">
        <v>0</v>
      </c>
      <c r="J568" t="n">
        <v>0</v>
      </c>
      <c r="K568" t="n">
        <v>0</v>
      </c>
      <c r="L568" t="n">
        <v>0</v>
      </c>
      <c r="M568" t="n">
        <v>0</v>
      </c>
      <c r="N568" t="n">
        <v>0</v>
      </c>
      <c r="O568" t="n">
        <v>0</v>
      </c>
      <c r="P568" t="n">
        <v>0</v>
      </c>
      <c r="Q568" t="n">
        <v>0</v>
      </c>
      <c r="R568" s="2" t="inlineStr"/>
    </row>
    <row r="569" ht="15" customHeight="1">
      <c r="A569" t="inlineStr">
        <is>
          <t>A 37088-2025</t>
        </is>
      </c>
      <c r="B569" s="1" t="n">
        <v>45875</v>
      </c>
      <c r="C569" s="1" t="n">
        <v>46204</v>
      </c>
      <c r="D569" t="inlineStr">
        <is>
          <t>KALMAR LÄN</t>
        </is>
      </c>
      <c r="E569" t="inlineStr">
        <is>
          <t>VIMMERBY</t>
        </is>
      </c>
      <c r="G569" t="n">
        <v>1.3</v>
      </c>
      <c r="H569" t="n">
        <v>0</v>
      </c>
      <c r="I569" t="n">
        <v>0</v>
      </c>
      <c r="J569" t="n">
        <v>0</v>
      </c>
      <c r="K569" t="n">
        <v>0</v>
      </c>
      <c r="L569" t="n">
        <v>0</v>
      </c>
      <c r="M569" t="n">
        <v>0</v>
      </c>
      <c r="N569" t="n">
        <v>0</v>
      </c>
      <c r="O569" t="n">
        <v>0</v>
      </c>
      <c r="P569" t="n">
        <v>0</v>
      </c>
      <c r="Q569" t="n">
        <v>0</v>
      </c>
      <c r="R569" s="2" t="inlineStr"/>
    </row>
    <row r="570" ht="15" customHeight="1">
      <c r="A570" t="inlineStr">
        <is>
          <t>A 37102-2025</t>
        </is>
      </c>
      <c r="B570" s="1" t="n">
        <v>45875</v>
      </c>
      <c r="C570" s="1" t="n">
        <v>46204</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50085-2023</t>
        </is>
      </c>
      <c r="B571" s="1" t="n">
        <v>45215</v>
      </c>
      <c r="C571" s="1" t="n">
        <v>46204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50087-2023</t>
        </is>
      </c>
      <c r="B572" s="1" t="n">
        <v>45215</v>
      </c>
      <c r="C572" s="1" t="n">
        <v>46204</v>
      </c>
      <c r="D572" t="inlineStr">
        <is>
          <t>KALMAR LÄN</t>
        </is>
      </c>
      <c r="E572" t="inlineStr">
        <is>
          <t>VIMMERBY</t>
        </is>
      </c>
      <c r="G572" t="n">
        <v>0.9</v>
      </c>
      <c r="H572" t="n">
        <v>0</v>
      </c>
      <c r="I572" t="n">
        <v>0</v>
      </c>
      <c r="J572" t="n">
        <v>0</v>
      </c>
      <c r="K572" t="n">
        <v>0</v>
      </c>
      <c r="L572" t="n">
        <v>0</v>
      </c>
      <c r="M572" t="n">
        <v>0</v>
      </c>
      <c r="N572" t="n">
        <v>0</v>
      </c>
      <c r="O572" t="n">
        <v>0</v>
      </c>
      <c r="P572" t="n">
        <v>0</v>
      </c>
      <c r="Q572" t="n">
        <v>0</v>
      </c>
      <c r="R572" s="2" t="inlineStr"/>
    </row>
    <row r="573" ht="15" customHeight="1">
      <c r="A573" t="inlineStr">
        <is>
          <t>A 8167-2024</t>
        </is>
      </c>
      <c r="B573" s="1" t="n">
        <v>45351</v>
      </c>
      <c r="C573" s="1" t="n">
        <v>46204</v>
      </c>
      <c r="D573" t="inlineStr">
        <is>
          <t>KALMAR LÄN</t>
        </is>
      </c>
      <c r="E573" t="inlineStr">
        <is>
          <t>VIMMERBY</t>
        </is>
      </c>
      <c r="G573" t="n">
        <v>3.8</v>
      </c>
      <c r="H573" t="n">
        <v>0</v>
      </c>
      <c r="I573" t="n">
        <v>0</v>
      </c>
      <c r="J573" t="n">
        <v>0</v>
      </c>
      <c r="K573" t="n">
        <v>0</v>
      </c>
      <c r="L573" t="n">
        <v>0</v>
      </c>
      <c r="M573" t="n">
        <v>0</v>
      </c>
      <c r="N573" t="n">
        <v>0</v>
      </c>
      <c r="O573" t="n">
        <v>0</v>
      </c>
      <c r="P573" t="n">
        <v>0</v>
      </c>
      <c r="Q573" t="n">
        <v>0</v>
      </c>
      <c r="R573" s="2" t="inlineStr"/>
    </row>
    <row r="574" ht="15" customHeight="1">
      <c r="A574" t="inlineStr">
        <is>
          <t>A 20017-2026</t>
        </is>
      </c>
      <c r="B574" s="1" t="n">
        <v>46136</v>
      </c>
      <c r="C574" s="1" t="n">
        <v>46204</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28282-2025</t>
        </is>
      </c>
      <c r="B575" s="1" t="n">
        <v>45818</v>
      </c>
      <c r="C575" s="1" t="n">
        <v>46204</v>
      </c>
      <c r="D575" t="inlineStr">
        <is>
          <t>KALMAR LÄN</t>
        </is>
      </c>
      <c r="E575" t="inlineStr">
        <is>
          <t>VIMMERBY</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45854-2025</t>
        </is>
      </c>
      <c r="B576" s="1" t="n">
        <v>45923</v>
      </c>
      <c r="C576" s="1" t="n">
        <v>46204</v>
      </c>
      <c r="D576" t="inlineStr">
        <is>
          <t>KALMAR LÄN</t>
        </is>
      </c>
      <c r="E576" t="inlineStr">
        <is>
          <t>VIMMERBY</t>
        </is>
      </c>
      <c r="G576" t="n">
        <v>2.2</v>
      </c>
      <c r="H576" t="n">
        <v>0</v>
      </c>
      <c r="I576" t="n">
        <v>0</v>
      </c>
      <c r="J576" t="n">
        <v>0</v>
      </c>
      <c r="K576" t="n">
        <v>0</v>
      </c>
      <c r="L576" t="n">
        <v>0</v>
      </c>
      <c r="M576" t="n">
        <v>0</v>
      </c>
      <c r="N576" t="n">
        <v>0</v>
      </c>
      <c r="O576" t="n">
        <v>0</v>
      </c>
      <c r="P576" t="n">
        <v>0</v>
      </c>
      <c r="Q576" t="n">
        <v>0</v>
      </c>
      <c r="R576" s="2" t="inlineStr"/>
    </row>
    <row r="577" ht="15" customHeight="1">
      <c r="A577" t="inlineStr">
        <is>
          <t>A 37192-2024</t>
        </is>
      </c>
      <c r="B577" s="1" t="n">
        <v>45539</v>
      </c>
      <c r="C577" s="1" t="n">
        <v>46204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46118-2025</t>
        </is>
      </c>
      <c r="B578" s="1" t="n">
        <v>45924</v>
      </c>
      <c r="C578" s="1" t="n">
        <v>46204</v>
      </c>
      <c r="D578" t="inlineStr">
        <is>
          <t>KALMAR LÄN</t>
        </is>
      </c>
      <c r="E578" t="inlineStr">
        <is>
          <t>VIMMERBY</t>
        </is>
      </c>
      <c r="G578" t="n">
        <v>2.9</v>
      </c>
      <c r="H578" t="n">
        <v>0</v>
      </c>
      <c r="I578" t="n">
        <v>0</v>
      </c>
      <c r="J578" t="n">
        <v>0</v>
      </c>
      <c r="K578" t="n">
        <v>0</v>
      </c>
      <c r="L578" t="n">
        <v>0</v>
      </c>
      <c r="M578" t="n">
        <v>0</v>
      </c>
      <c r="N578" t="n">
        <v>0</v>
      </c>
      <c r="O578" t="n">
        <v>0</v>
      </c>
      <c r="P578" t="n">
        <v>0</v>
      </c>
      <c r="Q578" t="n">
        <v>0</v>
      </c>
      <c r="R578" s="2" t="inlineStr"/>
    </row>
    <row r="579" ht="15" customHeight="1">
      <c r="A579" t="inlineStr">
        <is>
          <t>A 42429-2024</t>
        </is>
      </c>
      <c r="B579" s="1" t="n">
        <v>45565</v>
      </c>
      <c r="C579" s="1" t="n">
        <v>46204</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45114-2025</t>
        </is>
      </c>
      <c r="B580" s="1" t="n">
        <v>45919</v>
      </c>
      <c r="C580" s="1" t="n">
        <v>46204</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26254-2025</t>
        </is>
      </c>
      <c r="B581" s="1" t="n">
        <v>45805</v>
      </c>
      <c r="C581" s="1" t="n">
        <v>46204</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29180-2024</t>
        </is>
      </c>
      <c r="B582" s="1" t="n">
        <v>45482</v>
      </c>
      <c r="C582" s="1" t="n">
        <v>46204</v>
      </c>
      <c r="D582" t="inlineStr">
        <is>
          <t>KALMAR LÄN</t>
        </is>
      </c>
      <c r="E582" t="inlineStr">
        <is>
          <t>VIMMERBY</t>
        </is>
      </c>
      <c r="G582" t="n">
        <v>3.8</v>
      </c>
      <c r="H582" t="n">
        <v>0</v>
      </c>
      <c r="I582" t="n">
        <v>0</v>
      </c>
      <c r="J582" t="n">
        <v>0</v>
      </c>
      <c r="K582" t="n">
        <v>0</v>
      </c>
      <c r="L582" t="n">
        <v>0</v>
      </c>
      <c r="M582" t="n">
        <v>0</v>
      </c>
      <c r="N582" t="n">
        <v>0</v>
      </c>
      <c r="O582" t="n">
        <v>0</v>
      </c>
      <c r="P582" t="n">
        <v>0</v>
      </c>
      <c r="Q582" t="n">
        <v>0</v>
      </c>
      <c r="R582" s="2" t="inlineStr"/>
    </row>
    <row r="583" ht="15" customHeight="1">
      <c r="A583" t="inlineStr">
        <is>
          <t>A 31876-2025</t>
        </is>
      </c>
      <c r="B583" s="1" t="n">
        <v>45834</v>
      </c>
      <c r="C583" s="1" t="n">
        <v>46204</v>
      </c>
      <c r="D583" t="inlineStr">
        <is>
          <t>KALMAR LÄN</t>
        </is>
      </c>
      <c r="E583" t="inlineStr">
        <is>
          <t>VIMMERBY</t>
        </is>
      </c>
      <c r="F583" t="inlineStr">
        <is>
          <t>Sveaskog</t>
        </is>
      </c>
      <c r="G583" t="n">
        <v>3.3</v>
      </c>
      <c r="H583" t="n">
        <v>0</v>
      </c>
      <c r="I583" t="n">
        <v>0</v>
      </c>
      <c r="J583" t="n">
        <v>0</v>
      </c>
      <c r="K583" t="n">
        <v>0</v>
      </c>
      <c r="L583" t="n">
        <v>0</v>
      </c>
      <c r="M583" t="n">
        <v>0</v>
      </c>
      <c r="N583" t="n">
        <v>0</v>
      </c>
      <c r="O583" t="n">
        <v>0</v>
      </c>
      <c r="P583" t="n">
        <v>0</v>
      </c>
      <c r="Q583" t="n">
        <v>0</v>
      </c>
      <c r="R583" s="2" t="inlineStr"/>
    </row>
    <row r="584" ht="15" customHeight="1">
      <c r="A584" t="inlineStr">
        <is>
          <t>A 58159-2024</t>
        </is>
      </c>
      <c r="B584" s="1" t="n">
        <v>45632</v>
      </c>
      <c r="C584" s="1" t="n">
        <v>46204</v>
      </c>
      <c r="D584" t="inlineStr">
        <is>
          <t>KALMAR LÄN</t>
        </is>
      </c>
      <c r="E584" t="inlineStr">
        <is>
          <t>VIMMERBY</t>
        </is>
      </c>
      <c r="G584" t="n">
        <v>7.5</v>
      </c>
      <c r="H584" t="n">
        <v>0</v>
      </c>
      <c r="I584" t="n">
        <v>0</v>
      </c>
      <c r="J584" t="n">
        <v>0</v>
      </c>
      <c r="K584" t="n">
        <v>0</v>
      </c>
      <c r="L584" t="n">
        <v>0</v>
      </c>
      <c r="M584" t="n">
        <v>0</v>
      </c>
      <c r="N584" t="n">
        <v>0</v>
      </c>
      <c r="O584" t="n">
        <v>0</v>
      </c>
      <c r="P584" t="n">
        <v>0</v>
      </c>
      <c r="Q584" t="n">
        <v>0</v>
      </c>
      <c r="R584" s="2" t="inlineStr"/>
    </row>
    <row r="585" ht="15" customHeight="1">
      <c r="A585" t="inlineStr">
        <is>
          <t>A 45846-2023</t>
        </is>
      </c>
      <c r="B585" s="1" t="n">
        <v>45195</v>
      </c>
      <c r="C585" s="1" t="n">
        <v>46204</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16020-2023</t>
        </is>
      </c>
      <c r="B586" s="1" t="n">
        <v>45026</v>
      </c>
      <c r="C586" s="1" t="n">
        <v>46204</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6028-2023</t>
        </is>
      </c>
      <c r="B587" s="1" t="n">
        <v>44964</v>
      </c>
      <c r="C587" s="1" t="n">
        <v>46204</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61820-2023</t>
        </is>
      </c>
      <c r="B588" s="1" t="n">
        <v>45266</v>
      </c>
      <c r="C588" s="1" t="n">
        <v>46204</v>
      </c>
      <c r="D588" t="inlineStr">
        <is>
          <t>KALMAR LÄN</t>
        </is>
      </c>
      <c r="E588" t="inlineStr">
        <is>
          <t>VIMMERBY</t>
        </is>
      </c>
      <c r="G588" t="n">
        <v>0.8</v>
      </c>
      <c r="H588" t="n">
        <v>0</v>
      </c>
      <c r="I588" t="n">
        <v>0</v>
      </c>
      <c r="J588" t="n">
        <v>0</v>
      </c>
      <c r="K588" t="n">
        <v>0</v>
      </c>
      <c r="L588" t="n">
        <v>0</v>
      </c>
      <c r="M588" t="n">
        <v>0</v>
      </c>
      <c r="N588" t="n">
        <v>0</v>
      </c>
      <c r="O588" t="n">
        <v>0</v>
      </c>
      <c r="P588" t="n">
        <v>0</v>
      </c>
      <c r="Q588" t="n">
        <v>0</v>
      </c>
      <c r="R588" s="2" t="inlineStr"/>
    </row>
    <row r="589" ht="15" customHeight="1">
      <c r="A589" t="inlineStr">
        <is>
          <t>A 42850-2022</t>
        </is>
      </c>
      <c r="B589" s="1" t="n">
        <v>44832</v>
      </c>
      <c r="C589" s="1" t="n">
        <v>46204</v>
      </c>
      <c r="D589" t="inlineStr">
        <is>
          <t>KALMAR LÄN</t>
        </is>
      </c>
      <c r="E589" t="inlineStr">
        <is>
          <t>VIMMERBY</t>
        </is>
      </c>
      <c r="G589" t="n">
        <v>5.9</v>
      </c>
      <c r="H589" t="n">
        <v>0</v>
      </c>
      <c r="I589" t="n">
        <v>0</v>
      </c>
      <c r="J589" t="n">
        <v>0</v>
      </c>
      <c r="K589" t="n">
        <v>0</v>
      </c>
      <c r="L589" t="n">
        <v>0</v>
      </c>
      <c r="M589" t="n">
        <v>0</v>
      </c>
      <c r="N589" t="n">
        <v>0</v>
      </c>
      <c r="O589" t="n">
        <v>0</v>
      </c>
      <c r="P589" t="n">
        <v>0</v>
      </c>
      <c r="Q589" t="n">
        <v>0</v>
      </c>
      <c r="R589" s="2" t="inlineStr"/>
    </row>
    <row r="590" ht="15" customHeight="1">
      <c r="A590" t="inlineStr">
        <is>
          <t>A 45560-2021</t>
        </is>
      </c>
      <c r="B590" s="1" t="n">
        <v>44440</v>
      </c>
      <c r="C590" s="1" t="n">
        <v>46204</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40256-2024</t>
        </is>
      </c>
      <c r="B591" s="1" t="n">
        <v>45554</v>
      </c>
      <c r="C591" s="1" t="n">
        <v>46204</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58104-2024</t>
        </is>
      </c>
      <c r="B592" s="1" t="n">
        <v>45632</v>
      </c>
      <c r="C592" s="1" t="n">
        <v>46204</v>
      </c>
      <c r="D592" t="inlineStr">
        <is>
          <t>KALMAR LÄN</t>
        </is>
      </c>
      <c r="E592" t="inlineStr">
        <is>
          <t>VIMMERBY</t>
        </is>
      </c>
      <c r="G592" t="n">
        <v>5</v>
      </c>
      <c r="H592" t="n">
        <v>0</v>
      </c>
      <c r="I592" t="n">
        <v>0</v>
      </c>
      <c r="J592" t="n">
        <v>0</v>
      </c>
      <c r="K592" t="n">
        <v>0</v>
      </c>
      <c r="L592" t="n">
        <v>0</v>
      </c>
      <c r="M592" t="n">
        <v>0</v>
      </c>
      <c r="N592" t="n">
        <v>0</v>
      </c>
      <c r="O592" t="n">
        <v>0</v>
      </c>
      <c r="P592" t="n">
        <v>0</v>
      </c>
      <c r="Q592" t="n">
        <v>0</v>
      </c>
      <c r="R592" s="2" t="inlineStr"/>
    </row>
    <row r="593" ht="15" customHeight="1">
      <c r="A593" t="inlineStr">
        <is>
          <t>A 36259-2022</t>
        </is>
      </c>
      <c r="B593" s="1" t="n">
        <v>44803</v>
      </c>
      <c r="C593" s="1" t="n">
        <v>46204</v>
      </c>
      <c r="D593" t="inlineStr">
        <is>
          <t>KALMAR LÄN</t>
        </is>
      </c>
      <c r="E593" t="inlineStr">
        <is>
          <t>VIMMERBY</t>
        </is>
      </c>
      <c r="G593" t="n">
        <v>3.9</v>
      </c>
      <c r="H593" t="n">
        <v>0</v>
      </c>
      <c r="I593" t="n">
        <v>0</v>
      </c>
      <c r="J593" t="n">
        <v>0</v>
      </c>
      <c r="K593" t="n">
        <v>0</v>
      </c>
      <c r="L593" t="n">
        <v>0</v>
      </c>
      <c r="M593" t="n">
        <v>0</v>
      </c>
      <c r="N593" t="n">
        <v>0</v>
      </c>
      <c r="O593" t="n">
        <v>0</v>
      </c>
      <c r="P593" t="n">
        <v>0</v>
      </c>
      <c r="Q593" t="n">
        <v>0</v>
      </c>
      <c r="R593" s="2" t="inlineStr"/>
    </row>
    <row r="594" ht="15" customHeight="1">
      <c r="A594" t="inlineStr">
        <is>
          <t>A 43034-2024</t>
        </is>
      </c>
      <c r="B594" s="1" t="n">
        <v>45567</v>
      </c>
      <c r="C594" s="1" t="n">
        <v>46204</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3902-2022</t>
        </is>
      </c>
      <c r="B595" s="1" t="n">
        <v>44587</v>
      </c>
      <c r="C595" s="1" t="n">
        <v>46204</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30070-2023</t>
        </is>
      </c>
      <c r="B596" s="1" t="n">
        <v>45110</v>
      </c>
      <c r="C596" s="1" t="n">
        <v>46204</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23394-2025</t>
        </is>
      </c>
      <c r="B597" s="1" t="n">
        <v>45791</v>
      </c>
      <c r="C597" s="1" t="n">
        <v>46204</v>
      </c>
      <c r="D597" t="inlineStr">
        <is>
          <t>KALMAR LÄN</t>
        </is>
      </c>
      <c r="E597" t="inlineStr">
        <is>
          <t>VIMMERBY</t>
        </is>
      </c>
      <c r="G597" t="n">
        <v>3.1</v>
      </c>
      <c r="H597" t="n">
        <v>0</v>
      </c>
      <c r="I597" t="n">
        <v>0</v>
      </c>
      <c r="J597" t="n">
        <v>0</v>
      </c>
      <c r="K597" t="n">
        <v>0</v>
      </c>
      <c r="L597" t="n">
        <v>0</v>
      </c>
      <c r="M597" t="n">
        <v>0</v>
      </c>
      <c r="N597" t="n">
        <v>0</v>
      </c>
      <c r="O597" t="n">
        <v>0</v>
      </c>
      <c r="P597" t="n">
        <v>0</v>
      </c>
      <c r="Q597" t="n">
        <v>0</v>
      </c>
      <c r="R597" s="2" t="inlineStr"/>
    </row>
    <row r="598" ht="15" customHeight="1">
      <c r="A598" t="inlineStr">
        <is>
          <t>A 31209-2024</t>
        </is>
      </c>
      <c r="B598" s="1" t="n">
        <v>45503</v>
      </c>
      <c r="C598" s="1" t="n">
        <v>46204</v>
      </c>
      <c r="D598" t="inlineStr">
        <is>
          <t>KALMAR LÄN</t>
        </is>
      </c>
      <c r="E598" t="inlineStr">
        <is>
          <t>VIMMERBY</t>
        </is>
      </c>
      <c r="G598" t="n">
        <v>1.7</v>
      </c>
      <c r="H598" t="n">
        <v>0</v>
      </c>
      <c r="I598" t="n">
        <v>0</v>
      </c>
      <c r="J598" t="n">
        <v>0</v>
      </c>
      <c r="K598" t="n">
        <v>0</v>
      </c>
      <c r="L598" t="n">
        <v>0</v>
      </c>
      <c r="M598" t="n">
        <v>0</v>
      </c>
      <c r="N598" t="n">
        <v>0</v>
      </c>
      <c r="O598" t="n">
        <v>0</v>
      </c>
      <c r="P598" t="n">
        <v>0</v>
      </c>
      <c r="Q598" t="n">
        <v>0</v>
      </c>
      <c r="R598" s="2" t="inlineStr"/>
    </row>
    <row r="599" ht="15" customHeight="1">
      <c r="A599" t="inlineStr">
        <is>
          <t>A 4527-2023</t>
        </is>
      </c>
      <c r="B599" s="1" t="n">
        <v>44956</v>
      </c>
      <c r="C599" s="1" t="n">
        <v>46204</v>
      </c>
      <c r="D599" t="inlineStr">
        <is>
          <t>KALMAR LÄN</t>
        </is>
      </c>
      <c r="E599" t="inlineStr">
        <is>
          <t>VIMMERBY</t>
        </is>
      </c>
      <c r="F599" t="inlineStr">
        <is>
          <t>Kommuner</t>
        </is>
      </c>
      <c r="G599" t="n">
        <v>8.5</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46204</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30912-2023</t>
        </is>
      </c>
      <c r="B601" s="1" t="n">
        <v>45113</v>
      </c>
      <c r="C601" s="1" t="n">
        <v>46204</v>
      </c>
      <c r="D601" t="inlineStr">
        <is>
          <t>KALMAR LÄN</t>
        </is>
      </c>
      <c r="E601" t="inlineStr">
        <is>
          <t>VIMMERBY</t>
        </is>
      </c>
      <c r="G601" t="n">
        <v>5</v>
      </c>
      <c r="H601" t="n">
        <v>0</v>
      </c>
      <c r="I601" t="n">
        <v>0</v>
      </c>
      <c r="J601" t="n">
        <v>0</v>
      </c>
      <c r="K601" t="n">
        <v>0</v>
      </c>
      <c r="L601" t="n">
        <v>0</v>
      </c>
      <c r="M601" t="n">
        <v>0</v>
      </c>
      <c r="N601" t="n">
        <v>0</v>
      </c>
      <c r="O601" t="n">
        <v>0</v>
      </c>
      <c r="P601" t="n">
        <v>0</v>
      </c>
      <c r="Q601" t="n">
        <v>0</v>
      </c>
      <c r="R601" s="2" t="inlineStr"/>
    </row>
    <row r="602" ht="15" customHeight="1">
      <c r="A602" t="inlineStr">
        <is>
          <t>A 1146-2025</t>
        </is>
      </c>
      <c r="B602" s="1" t="n">
        <v>45666</v>
      </c>
      <c r="C602" s="1" t="n">
        <v>46204</v>
      </c>
      <c r="D602" t="inlineStr">
        <is>
          <t>KALMAR LÄN</t>
        </is>
      </c>
      <c r="E602" t="inlineStr">
        <is>
          <t>VIMMERBY</t>
        </is>
      </c>
      <c r="G602" t="n">
        <v>4</v>
      </c>
      <c r="H602" t="n">
        <v>0</v>
      </c>
      <c r="I602" t="n">
        <v>0</v>
      </c>
      <c r="J602" t="n">
        <v>0</v>
      </c>
      <c r="K602" t="n">
        <v>0</v>
      </c>
      <c r="L602" t="n">
        <v>0</v>
      </c>
      <c r="M602" t="n">
        <v>0</v>
      </c>
      <c r="N602" t="n">
        <v>0</v>
      </c>
      <c r="O602" t="n">
        <v>0</v>
      </c>
      <c r="P602" t="n">
        <v>0</v>
      </c>
      <c r="Q602" t="n">
        <v>0</v>
      </c>
      <c r="R602" s="2" t="inlineStr"/>
    </row>
    <row r="603" ht="15" customHeight="1">
      <c r="A603" t="inlineStr">
        <is>
          <t>A 26462-2026</t>
        </is>
      </c>
      <c r="B603" s="1" t="n">
        <v>46183</v>
      </c>
      <c r="C603" s="1" t="n">
        <v>46204</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19111-2025</t>
        </is>
      </c>
      <c r="B604" s="1" t="n">
        <v>45768</v>
      </c>
      <c r="C604" s="1" t="n">
        <v>46204</v>
      </c>
      <c r="D604" t="inlineStr">
        <is>
          <t>KALMAR LÄN</t>
        </is>
      </c>
      <c r="E604" t="inlineStr">
        <is>
          <t>VIMMERBY</t>
        </is>
      </c>
      <c r="G604" t="n">
        <v>6.2</v>
      </c>
      <c r="H604" t="n">
        <v>0</v>
      </c>
      <c r="I604" t="n">
        <v>0</v>
      </c>
      <c r="J604" t="n">
        <v>0</v>
      </c>
      <c r="K604" t="n">
        <v>0</v>
      </c>
      <c r="L604" t="n">
        <v>0</v>
      </c>
      <c r="M604" t="n">
        <v>0</v>
      </c>
      <c r="N604" t="n">
        <v>0</v>
      </c>
      <c r="O604" t="n">
        <v>0</v>
      </c>
      <c r="P604" t="n">
        <v>0</v>
      </c>
      <c r="Q604" t="n">
        <v>0</v>
      </c>
      <c r="R604" s="2" t="inlineStr"/>
    </row>
    <row r="605" ht="15" customHeight="1">
      <c r="A605" t="inlineStr">
        <is>
          <t>A 62023-2022</t>
        </is>
      </c>
      <c r="B605" s="1" t="n">
        <v>44918</v>
      </c>
      <c r="C605" s="1" t="n">
        <v>46204</v>
      </c>
      <c r="D605" t="inlineStr">
        <is>
          <t>KALMAR LÄN</t>
        </is>
      </c>
      <c r="E605" t="inlineStr">
        <is>
          <t>VIMMERBY</t>
        </is>
      </c>
      <c r="G605" t="n">
        <v>0.3</v>
      </c>
      <c r="H605" t="n">
        <v>0</v>
      </c>
      <c r="I605" t="n">
        <v>0</v>
      </c>
      <c r="J605" t="n">
        <v>0</v>
      </c>
      <c r="K605" t="n">
        <v>0</v>
      </c>
      <c r="L605" t="n">
        <v>0</v>
      </c>
      <c r="M605" t="n">
        <v>0</v>
      </c>
      <c r="N605" t="n">
        <v>0</v>
      </c>
      <c r="O605" t="n">
        <v>0</v>
      </c>
      <c r="P605" t="n">
        <v>0</v>
      </c>
      <c r="Q605" t="n">
        <v>0</v>
      </c>
      <c r="R605" s="2" t="inlineStr"/>
    </row>
    <row r="606" ht="15" customHeight="1">
      <c r="A606" t="inlineStr">
        <is>
          <t>A 16119-2023</t>
        </is>
      </c>
      <c r="B606" s="1" t="n">
        <v>45027</v>
      </c>
      <c r="C606" s="1" t="n">
        <v>46204</v>
      </c>
      <c r="D606" t="inlineStr">
        <is>
          <t>KALMAR LÄN</t>
        </is>
      </c>
      <c r="E606" t="inlineStr">
        <is>
          <t>VIMMERBY</t>
        </is>
      </c>
      <c r="F606" t="inlineStr">
        <is>
          <t>Kommuner</t>
        </is>
      </c>
      <c r="G606" t="n">
        <v>4.4</v>
      </c>
      <c r="H606" t="n">
        <v>0</v>
      </c>
      <c r="I606" t="n">
        <v>0</v>
      </c>
      <c r="J606" t="n">
        <v>0</v>
      </c>
      <c r="K606" t="n">
        <v>0</v>
      </c>
      <c r="L606" t="n">
        <v>0</v>
      </c>
      <c r="M606" t="n">
        <v>0</v>
      </c>
      <c r="N606" t="n">
        <v>0</v>
      </c>
      <c r="O606" t="n">
        <v>0</v>
      </c>
      <c r="P606" t="n">
        <v>0</v>
      </c>
      <c r="Q606" t="n">
        <v>0</v>
      </c>
      <c r="R606" s="2" t="inlineStr"/>
    </row>
    <row r="607" ht="15" customHeight="1">
      <c r="A607" t="inlineStr">
        <is>
          <t>A 52327-2023</t>
        </is>
      </c>
      <c r="B607" s="1" t="n">
        <v>45224</v>
      </c>
      <c r="C607" s="1" t="n">
        <v>46204</v>
      </c>
      <c r="D607" t="inlineStr">
        <is>
          <t>KALMAR LÄN</t>
        </is>
      </c>
      <c r="E607" t="inlineStr">
        <is>
          <t>VIMMERBY</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12075-2024</t>
        </is>
      </c>
      <c r="B608" s="1" t="n">
        <v>45377</v>
      </c>
      <c r="C608" s="1" t="n">
        <v>46204</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31340-2023</t>
        </is>
      </c>
      <c r="B609" s="1" t="n">
        <v>45114</v>
      </c>
      <c r="C609" s="1" t="n">
        <v>46204</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26768-2026</t>
        </is>
      </c>
      <c r="B610" s="1" t="n">
        <v>46184</v>
      </c>
      <c r="C610" s="1" t="n">
        <v>46204</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26722-2026</t>
        </is>
      </c>
      <c r="B611" s="1" t="n">
        <v>46184</v>
      </c>
      <c r="C611" s="1" t="n">
        <v>46204</v>
      </c>
      <c r="D611" t="inlineStr">
        <is>
          <t>KALMAR LÄN</t>
        </is>
      </c>
      <c r="E611" t="inlineStr">
        <is>
          <t>VIMMERBY</t>
        </is>
      </c>
      <c r="G611" t="n">
        <v>1.8</v>
      </c>
      <c r="H611" t="n">
        <v>0</v>
      </c>
      <c r="I611" t="n">
        <v>0</v>
      </c>
      <c r="J611" t="n">
        <v>0</v>
      </c>
      <c r="K611" t="n">
        <v>0</v>
      </c>
      <c r="L611" t="n">
        <v>0</v>
      </c>
      <c r="M611" t="n">
        <v>0</v>
      </c>
      <c r="N611" t="n">
        <v>0</v>
      </c>
      <c r="O611" t="n">
        <v>0</v>
      </c>
      <c r="P611" t="n">
        <v>0</v>
      </c>
      <c r="Q611" t="n">
        <v>0</v>
      </c>
      <c r="R611" s="2" t="inlineStr"/>
    </row>
    <row r="612" ht="15" customHeight="1">
      <c r="A612" t="inlineStr">
        <is>
          <t>A 26704-2026</t>
        </is>
      </c>
      <c r="B612" s="1" t="n">
        <v>46184</v>
      </c>
      <c r="C612" s="1" t="n">
        <v>46204</v>
      </c>
      <c r="D612" t="inlineStr">
        <is>
          <t>KALMAR LÄN</t>
        </is>
      </c>
      <c r="E612" t="inlineStr">
        <is>
          <t>VIMMERBY</t>
        </is>
      </c>
      <c r="G612" t="n">
        <v>1.4</v>
      </c>
      <c r="H612" t="n">
        <v>0</v>
      </c>
      <c r="I612" t="n">
        <v>0</v>
      </c>
      <c r="J612" t="n">
        <v>0</v>
      </c>
      <c r="K612" t="n">
        <v>0</v>
      </c>
      <c r="L612" t="n">
        <v>0</v>
      </c>
      <c r="M612" t="n">
        <v>0</v>
      </c>
      <c r="N612" t="n">
        <v>0</v>
      </c>
      <c r="O612" t="n">
        <v>0</v>
      </c>
      <c r="P612" t="n">
        <v>0</v>
      </c>
      <c r="Q612" t="n">
        <v>0</v>
      </c>
      <c r="R612" s="2" t="inlineStr"/>
    </row>
    <row r="613" ht="15" customHeight="1">
      <c r="A613" t="inlineStr">
        <is>
          <t>A 26762-2026</t>
        </is>
      </c>
      <c r="B613" s="1" t="n">
        <v>46184</v>
      </c>
      <c r="C613" s="1" t="n">
        <v>46204</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7758-2024</t>
        </is>
      </c>
      <c r="B614" s="1" t="n">
        <v>45349</v>
      </c>
      <c r="C614" s="1" t="n">
        <v>46204</v>
      </c>
      <c r="D614" t="inlineStr">
        <is>
          <t>KALMAR LÄN</t>
        </is>
      </c>
      <c r="E614" t="inlineStr">
        <is>
          <t>VIMMERBY</t>
        </is>
      </c>
      <c r="G614" t="n">
        <v>3.5</v>
      </c>
      <c r="H614" t="n">
        <v>0</v>
      </c>
      <c r="I614" t="n">
        <v>0</v>
      </c>
      <c r="J614" t="n">
        <v>0</v>
      </c>
      <c r="K614" t="n">
        <v>0</v>
      </c>
      <c r="L614" t="n">
        <v>0</v>
      </c>
      <c r="M614" t="n">
        <v>0</v>
      </c>
      <c r="N614" t="n">
        <v>0</v>
      </c>
      <c r="O614" t="n">
        <v>0</v>
      </c>
      <c r="P614" t="n">
        <v>0</v>
      </c>
      <c r="Q614" t="n">
        <v>0</v>
      </c>
      <c r="R614" s="2" t="inlineStr"/>
    </row>
    <row r="615" ht="15" customHeight="1">
      <c r="A615" t="inlineStr">
        <is>
          <t>A 5701-2024</t>
        </is>
      </c>
      <c r="B615" s="1" t="n">
        <v>45334</v>
      </c>
      <c r="C615" s="1" t="n">
        <v>46204</v>
      </c>
      <c r="D615" t="inlineStr">
        <is>
          <t>KALMAR LÄN</t>
        </is>
      </c>
      <c r="E615" t="inlineStr">
        <is>
          <t>VIMMERBY</t>
        </is>
      </c>
      <c r="G615" t="n">
        <v>2.3</v>
      </c>
      <c r="H615" t="n">
        <v>0</v>
      </c>
      <c r="I615" t="n">
        <v>0</v>
      </c>
      <c r="J615" t="n">
        <v>0</v>
      </c>
      <c r="K615" t="n">
        <v>0</v>
      </c>
      <c r="L615" t="n">
        <v>0</v>
      </c>
      <c r="M615" t="n">
        <v>0</v>
      </c>
      <c r="N615" t="n">
        <v>0</v>
      </c>
      <c r="O615" t="n">
        <v>0</v>
      </c>
      <c r="P615" t="n">
        <v>0</v>
      </c>
      <c r="Q615" t="n">
        <v>0</v>
      </c>
      <c r="R615" s="2" t="inlineStr"/>
    </row>
    <row r="616" ht="15" customHeight="1">
      <c r="A616" t="inlineStr">
        <is>
          <t>A 31405-2023</t>
        </is>
      </c>
      <c r="B616" s="1" t="n">
        <v>45114</v>
      </c>
      <c r="C616" s="1" t="n">
        <v>46204</v>
      </c>
      <c r="D616" t="inlineStr">
        <is>
          <t>KALMAR LÄN</t>
        </is>
      </c>
      <c r="E616" t="inlineStr">
        <is>
          <t>VIMMERBY</t>
        </is>
      </c>
      <c r="G616" t="n">
        <v>2.6</v>
      </c>
      <c r="H616" t="n">
        <v>0</v>
      </c>
      <c r="I616" t="n">
        <v>0</v>
      </c>
      <c r="J616" t="n">
        <v>0</v>
      </c>
      <c r="K616" t="n">
        <v>0</v>
      </c>
      <c r="L616" t="n">
        <v>0</v>
      </c>
      <c r="M616" t="n">
        <v>0</v>
      </c>
      <c r="N616" t="n">
        <v>0</v>
      </c>
      <c r="O616" t="n">
        <v>0</v>
      </c>
      <c r="P616" t="n">
        <v>0</v>
      </c>
      <c r="Q616" t="n">
        <v>0</v>
      </c>
      <c r="R616" s="2" t="inlineStr"/>
    </row>
    <row r="617" ht="15" customHeight="1">
      <c r="A617" t="inlineStr">
        <is>
          <t>A 6355-2022</t>
        </is>
      </c>
      <c r="B617" s="1" t="n">
        <v>44600</v>
      </c>
      <c r="C617" s="1" t="n">
        <v>46204</v>
      </c>
      <c r="D617" t="inlineStr">
        <is>
          <t>KALMAR LÄN</t>
        </is>
      </c>
      <c r="E617" t="inlineStr">
        <is>
          <t>VIMMERBY</t>
        </is>
      </c>
      <c r="G617" t="n">
        <v>4.9</v>
      </c>
      <c r="H617" t="n">
        <v>0</v>
      </c>
      <c r="I617" t="n">
        <v>0</v>
      </c>
      <c r="J617" t="n">
        <v>0</v>
      </c>
      <c r="K617" t="n">
        <v>0</v>
      </c>
      <c r="L617" t="n">
        <v>0</v>
      </c>
      <c r="M617" t="n">
        <v>0</v>
      </c>
      <c r="N617" t="n">
        <v>0</v>
      </c>
      <c r="O617" t="n">
        <v>0</v>
      </c>
      <c r="P617" t="n">
        <v>0</v>
      </c>
      <c r="Q617" t="n">
        <v>0</v>
      </c>
      <c r="R617" s="2" t="inlineStr"/>
    </row>
    <row r="618" ht="15" customHeight="1">
      <c r="A618" t="inlineStr">
        <is>
          <t>A 46225-2024</t>
        </is>
      </c>
      <c r="B618" s="1" t="n">
        <v>45581</v>
      </c>
      <c r="C618" s="1" t="n">
        <v>46204</v>
      </c>
      <c r="D618" t="inlineStr">
        <is>
          <t>KALMAR LÄN</t>
        </is>
      </c>
      <c r="E618" t="inlineStr">
        <is>
          <t>VIMMERBY</t>
        </is>
      </c>
      <c r="G618" t="n">
        <v>1.3</v>
      </c>
      <c r="H618" t="n">
        <v>0</v>
      </c>
      <c r="I618" t="n">
        <v>0</v>
      </c>
      <c r="J618" t="n">
        <v>0</v>
      </c>
      <c r="K618" t="n">
        <v>0</v>
      </c>
      <c r="L618" t="n">
        <v>0</v>
      </c>
      <c r="M618" t="n">
        <v>0</v>
      </c>
      <c r="N618" t="n">
        <v>0</v>
      </c>
      <c r="O618" t="n">
        <v>0</v>
      </c>
      <c r="P618" t="n">
        <v>0</v>
      </c>
      <c r="Q618" t="n">
        <v>0</v>
      </c>
      <c r="R618" s="2" t="inlineStr"/>
    </row>
    <row r="619" ht="15" customHeight="1">
      <c r="A619" t="inlineStr">
        <is>
          <t>A 9418-2024</t>
        </is>
      </c>
      <c r="B619" s="1" t="n">
        <v>45359</v>
      </c>
      <c r="C619" s="1" t="n">
        <v>46204</v>
      </c>
      <c r="D619" t="inlineStr">
        <is>
          <t>KALMAR LÄN</t>
        </is>
      </c>
      <c r="E619" t="inlineStr">
        <is>
          <t>VIMMERBY</t>
        </is>
      </c>
      <c r="G619" t="n">
        <v>1.9</v>
      </c>
      <c r="H619" t="n">
        <v>0</v>
      </c>
      <c r="I619" t="n">
        <v>0</v>
      </c>
      <c r="J619" t="n">
        <v>0</v>
      </c>
      <c r="K619" t="n">
        <v>0</v>
      </c>
      <c r="L619" t="n">
        <v>0</v>
      </c>
      <c r="M619" t="n">
        <v>0</v>
      </c>
      <c r="N619" t="n">
        <v>0</v>
      </c>
      <c r="O619" t="n">
        <v>0</v>
      </c>
      <c r="P619" t="n">
        <v>0</v>
      </c>
      <c r="Q619" t="n">
        <v>0</v>
      </c>
      <c r="R619" s="2" t="inlineStr"/>
    </row>
    <row r="620" ht="15" customHeight="1">
      <c r="A620" t="inlineStr">
        <is>
          <t>A 57091-2022</t>
        </is>
      </c>
      <c r="B620" s="1" t="n">
        <v>44895</v>
      </c>
      <c r="C620" s="1" t="n">
        <v>46204</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3816-2022</t>
        </is>
      </c>
      <c r="B621" s="1" t="n">
        <v>44587</v>
      </c>
      <c r="C621" s="1" t="n">
        <v>46204</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26734-2026</t>
        </is>
      </c>
      <c r="B622" s="1" t="n">
        <v>46184</v>
      </c>
      <c r="C622" s="1" t="n">
        <v>46204</v>
      </c>
      <c r="D622" t="inlineStr">
        <is>
          <t>KALMAR LÄN</t>
        </is>
      </c>
      <c r="E622" t="inlineStr">
        <is>
          <t>VIMMERBY</t>
        </is>
      </c>
      <c r="G622" t="n">
        <v>2.6</v>
      </c>
      <c r="H622" t="n">
        <v>0</v>
      </c>
      <c r="I622" t="n">
        <v>0</v>
      </c>
      <c r="J622" t="n">
        <v>0</v>
      </c>
      <c r="K622" t="n">
        <v>0</v>
      </c>
      <c r="L622" t="n">
        <v>0</v>
      </c>
      <c r="M622" t="n">
        <v>0</v>
      </c>
      <c r="N622" t="n">
        <v>0</v>
      </c>
      <c r="O622" t="n">
        <v>0</v>
      </c>
      <c r="P622" t="n">
        <v>0</v>
      </c>
      <c r="Q622" t="n">
        <v>0</v>
      </c>
      <c r="R622" s="2" t="inlineStr"/>
    </row>
    <row r="623" ht="15" customHeight="1">
      <c r="A623" t="inlineStr">
        <is>
          <t>A 43606-2024</t>
        </is>
      </c>
      <c r="B623" s="1" t="n">
        <v>45569</v>
      </c>
      <c r="C623" s="1" t="n">
        <v>46204</v>
      </c>
      <c r="D623" t="inlineStr">
        <is>
          <t>KALMAR LÄN</t>
        </is>
      </c>
      <c r="E623" t="inlineStr">
        <is>
          <t>VIMMERBY</t>
        </is>
      </c>
      <c r="G623" t="n">
        <v>1</v>
      </c>
      <c r="H623" t="n">
        <v>0</v>
      </c>
      <c r="I623" t="n">
        <v>0</v>
      </c>
      <c r="J623" t="n">
        <v>0</v>
      </c>
      <c r="K623" t="n">
        <v>0</v>
      </c>
      <c r="L623" t="n">
        <v>0</v>
      </c>
      <c r="M623" t="n">
        <v>0</v>
      </c>
      <c r="N623" t="n">
        <v>0</v>
      </c>
      <c r="O623" t="n">
        <v>0</v>
      </c>
      <c r="P623" t="n">
        <v>0</v>
      </c>
      <c r="Q623" t="n">
        <v>0</v>
      </c>
      <c r="R623" s="2" t="inlineStr"/>
    </row>
    <row r="624" ht="15" customHeight="1">
      <c r="A624" t="inlineStr">
        <is>
          <t>A 47859-2024</t>
        </is>
      </c>
      <c r="B624" s="1" t="n">
        <v>45588</v>
      </c>
      <c r="C624" s="1" t="n">
        <v>46204</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27074-2026</t>
        </is>
      </c>
      <c r="B625" s="1" t="n">
        <v>46186</v>
      </c>
      <c r="C625" s="1" t="n">
        <v>46204</v>
      </c>
      <c r="D625" t="inlineStr">
        <is>
          <t>KALMAR LÄN</t>
        </is>
      </c>
      <c r="E625" t="inlineStr">
        <is>
          <t>VIMMERBY</t>
        </is>
      </c>
      <c r="G625" t="n">
        <v>1</v>
      </c>
      <c r="H625" t="n">
        <v>0</v>
      </c>
      <c r="I625" t="n">
        <v>0</v>
      </c>
      <c r="J625" t="n">
        <v>0</v>
      </c>
      <c r="K625" t="n">
        <v>0</v>
      </c>
      <c r="L625" t="n">
        <v>0</v>
      </c>
      <c r="M625" t="n">
        <v>0</v>
      </c>
      <c r="N625" t="n">
        <v>0</v>
      </c>
      <c r="O625" t="n">
        <v>0</v>
      </c>
      <c r="P625" t="n">
        <v>0</v>
      </c>
      <c r="Q625" t="n">
        <v>0</v>
      </c>
      <c r="R625" s="2" t="inlineStr"/>
    </row>
    <row r="626" ht="15" customHeight="1">
      <c r="A626" t="inlineStr">
        <is>
          <t>A 8540-2024</t>
        </is>
      </c>
      <c r="B626" s="1" t="n">
        <v>45355</v>
      </c>
      <c r="C626" s="1" t="n">
        <v>46204</v>
      </c>
      <c r="D626" t="inlineStr">
        <is>
          <t>KALMAR LÄN</t>
        </is>
      </c>
      <c r="E626" t="inlineStr">
        <is>
          <t>VIMMERBY</t>
        </is>
      </c>
      <c r="G626" t="n">
        <v>1.9</v>
      </c>
      <c r="H626" t="n">
        <v>0</v>
      </c>
      <c r="I626" t="n">
        <v>0</v>
      </c>
      <c r="J626" t="n">
        <v>0</v>
      </c>
      <c r="K626" t="n">
        <v>0</v>
      </c>
      <c r="L626" t="n">
        <v>0</v>
      </c>
      <c r="M626" t="n">
        <v>0</v>
      </c>
      <c r="N626" t="n">
        <v>0</v>
      </c>
      <c r="O626" t="n">
        <v>0</v>
      </c>
      <c r="P626" t="n">
        <v>0</v>
      </c>
      <c r="Q626" t="n">
        <v>0</v>
      </c>
      <c r="R626" s="2" t="inlineStr"/>
    </row>
    <row r="627" ht="15" customHeight="1">
      <c r="A627" t="inlineStr">
        <is>
          <t>A 3331-2023</t>
        </is>
      </c>
      <c r="B627" s="1" t="n">
        <v>44949</v>
      </c>
      <c r="C627" s="1" t="n">
        <v>46204</v>
      </c>
      <c r="D627" t="inlineStr">
        <is>
          <t>KALMAR LÄN</t>
        </is>
      </c>
      <c r="E627" t="inlineStr">
        <is>
          <t>VIMMERBY</t>
        </is>
      </c>
      <c r="G627" t="n">
        <v>6.2</v>
      </c>
      <c r="H627" t="n">
        <v>0</v>
      </c>
      <c r="I627" t="n">
        <v>0</v>
      </c>
      <c r="J627" t="n">
        <v>0</v>
      </c>
      <c r="K627" t="n">
        <v>0</v>
      </c>
      <c r="L627" t="n">
        <v>0</v>
      </c>
      <c r="M627" t="n">
        <v>0</v>
      </c>
      <c r="N627" t="n">
        <v>0</v>
      </c>
      <c r="O627" t="n">
        <v>0</v>
      </c>
      <c r="P627" t="n">
        <v>0</v>
      </c>
      <c r="Q627" t="n">
        <v>0</v>
      </c>
      <c r="R627" s="2" t="inlineStr"/>
    </row>
    <row r="628" ht="15" customHeight="1">
      <c r="A628" t="inlineStr">
        <is>
          <t>A 25799-2023</t>
        </is>
      </c>
      <c r="B628" s="1" t="n">
        <v>45090</v>
      </c>
      <c r="C628" s="1" t="n">
        <v>46204</v>
      </c>
      <c r="D628" t="inlineStr">
        <is>
          <t>KALMAR LÄN</t>
        </is>
      </c>
      <c r="E628" t="inlineStr">
        <is>
          <t>VIMMERBY</t>
        </is>
      </c>
      <c r="G628" t="n">
        <v>7.7</v>
      </c>
      <c r="H628" t="n">
        <v>0</v>
      </c>
      <c r="I628" t="n">
        <v>0</v>
      </c>
      <c r="J628" t="n">
        <v>0</v>
      </c>
      <c r="K628" t="n">
        <v>0</v>
      </c>
      <c r="L628" t="n">
        <v>0</v>
      </c>
      <c r="M628" t="n">
        <v>0</v>
      </c>
      <c r="N628" t="n">
        <v>0</v>
      </c>
      <c r="O628" t="n">
        <v>0</v>
      </c>
      <c r="P628" t="n">
        <v>0</v>
      </c>
      <c r="Q628" t="n">
        <v>0</v>
      </c>
      <c r="R628" s="2" t="inlineStr"/>
    </row>
    <row r="629" ht="15" customHeight="1">
      <c r="A629" t="inlineStr">
        <is>
          <t>A 53083-2021</t>
        </is>
      </c>
      <c r="B629" s="1" t="n">
        <v>44467</v>
      </c>
      <c r="C629" s="1" t="n">
        <v>46204</v>
      </c>
      <c r="D629" t="inlineStr">
        <is>
          <t>KALMAR LÄN</t>
        </is>
      </c>
      <c r="E629" t="inlineStr">
        <is>
          <t>VIMMERBY</t>
        </is>
      </c>
      <c r="G629" t="n">
        <v>6.8</v>
      </c>
      <c r="H629" t="n">
        <v>0</v>
      </c>
      <c r="I629" t="n">
        <v>0</v>
      </c>
      <c r="J629" t="n">
        <v>0</v>
      </c>
      <c r="K629" t="n">
        <v>0</v>
      </c>
      <c r="L629" t="n">
        <v>0</v>
      </c>
      <c r="M629" t="n">
        <v>0</v>
      </c>
      <c r="N629" t="n">
        <v>0</v>
      </c>
      <c r="O629" t="n">
        <v>0</v>
      </c>
      <c r="P629" t="n">
        <v>0</v>
      </c>
      <c r="Q629" t="n">
        <v>0</v>
      </c>
      <c r="R629" s="2" t="inlineStr"/>
    </row>
    <row r="630" ht="15" customHeight="1">
      <c r="A630" t="inlineStr">
        <is>
          <t>A 33838-2022</t>
        </is>
      </c>
      <c r="B630" s="1" t="n">
        <v>44790</v>
      </c>
      <c r="C630" s="1" t="n">
        <v>46204</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32835-2022</t>
        </is>
      </c>
      <c r="B631" s="1" t="n">
        <v>44784</v>
      </c>
      <c r="C631" s="1" t="n">
        <v>46204</v>
      </c>
      <c r="D631" t="inlineStr">
        <is>
          <t>KALMAR LÄN</t>
        </is>
      </c>
      <c r="E631" t="inlineStr">
        <is>
          <t>VIMMERBY</t>
        </is>
      </c>
      <c r="G631" t="n">
        <v>1.6</v>
      </c>
      <c r="H631" t="n">
        <v>0</v>
      </c>
      <c r="I631" t="n">
        <v>0</v>
      </c>
      <c r="J631" t="n">
        <v>0</v>
      </c>
      <c r="K631" t="n">
        <v>0</v>
      </c>
      <c r="L631" t="n">
        <v>0</v>
      </c>
      <c r="M631" t="n">
        <v>0</v>
      </c>
      <c r="N631" t="n">
        <v>0</v>
      </c>
      <c r="O631" t="n">
        <v>0</v>
      </c>
      <c r="P631" t="n">
        <v>0</v>
      </c>
      <c r="Q631" t="n">
        <v>0</v>
      </c>
      <c r="R631" s="2" t="inlineStr"/>
    </row>
    <row r="632" ht="15" customHeight="1">
      <c r="A632" t="inlineStr">
        <is>
          <t>A 1081-2023</t>
        </is>
      </c>
      <c r="B632" s="1" t="n">
        <v>44935</v>
      </c>
      <c r="C632" s="1" t="n">
        <v>46204</v>
      </c>
      <c r="D632" t="inlineStr">
        <is>
          <t>KALMAR LÄN</t>
        </is>
      </c>
      <c r="E632" t="inlineStr">
        <is>
          <t>VIMMERBY</t>
        </is>
      </c>
      <c r="G632" t="n">
        <v>1.3</v>
      </c>
      <c r="H632" t="n">
        <v>0</v>
      </c>
      <c r="I632" t="n">
        <v>0</v>
      </c>
      <c r="J632" t="n">
        <v>0</v>
      </c>
      <c r="K632" t="n">
        <v>0</v>
      </c>
      <c r="L632" t="n">
        <v>0</v>
      </c>
      <c r="M632" t="n">
        <v>0</v>
      </c>
      <c r="N632" t="n">
        <v>0</v>
      </c>
      <c r="O632" t="n">
        <v>0</v>
      </c>
      <c r="P632" t="n">
        <v>0</v>
      </c>
      <c r="Q632" t="n">
        <v>0</v>
      </c>
      <c r="R632" s="2" t="inlineStr"/>
    </row>
    <row r="633" ht="15" customHeight="1">
      <c r="A633" t="inlineStr">
        <is>
          <t>A 47063-2022</t>
        </is>
      </c>
      <c r="B633" s="1" t="n">
        <v>44852</v>
      </c>
      <c r="C633" s="1" t="n">
        <v>46204</v>
      </c>
      <c r="D633" t="inlineStr">
        <is>
          <t>KALMAR LÄN</t>
        </is>
      </c>
      <c r="E633" t="inlineStr">
        <is>
          <t>VIMMERBY</t>
        </is>
      </c>
      <c r="G633" t="n">
        <v>2.5</v>
      </c>
      <c r="H633" t="n">
        <v>0</v>
      </c>
      <c r="I633" t="n">
        <v>0</v>
      </c>
      <c r="J633" t="n">
        <v>0</v>
      </c>
      <c r="K633" t="n">
        <v>0</v>
      </c>
      <c r="L633" t="n">
        <v>0</v>
      </c>
      <c r="M633" t="n">
        <v>0</v>
      </c>
      <c r="N633" t="n">
        <v>0</v>
      </c>
      <c r="O633" t="n">
        <v>0</v>
      </c>
      <c r="P633" t="n">
        <v>0</v>
      </c>
      <c r="Q633" t="n">
        <v>0</v>
      </c>
      <c r="R633" s="2" t="inlineStr"/>
    </row>
    <row r="634" ht="15" customHeight="1">
      <c r="A634" t="inlineStr">
        <is>
          <t>A 28403-2023</t>
        </is>
      </c>
      <c r="B634" s="1" t="n">
        <v>45100</v>
      </c>
      <c r="C634" s="1" t="n">
        <v>46204</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33103-2024</t>
        </is>
      </c>
      <c r="B635" s="1" t="n">
        <v>45517</v>
      </c>
      <c r="C635" s="1" t="n">
        <v>46204</v>
      </c>
      <c r="D635" t="inlineStr">
        <is>
          <t>KALMAR LÄN</t>
        </is>
      </c>
      <c r="E635" t="inlineStr">
        <is>
          <t>VIMMERBY</t>
        </is>
      </c>
      <c r="G635" t="n">
        <v>1.6</v>
      </c>
      <c r="H635" t="n">
        <v>0</v>
      </c>
      <c r="I635" t="n">
        <v>0</v>
      </c>
      <c r="J635" t="n">
        <v>0</v>
      </c>
      <c r="K635" t="n">
        <v>0</v>
      </c>
      <c r="L635" t="n">
        <v>0</v>
      </c>
      <c r="M635" t="n">
        <v>0</v>
      </c>
      <c r="N635" t="n">
        <v>0</v>
      </c>
      <c r="O635" t="n">
        <v>0</v>
      </c>
      <c r="P635" t="n">
        <v>0</v>
      </c>
      <c r="Q635" t="n">
        <v>0</v>
      </c>
      <c r="R635" s="2" t="inlineStr"/>
    </row>
    <row r="636" ht="15" customHeight="1">
      <c r="A636" t="inlineStr">
        <is>
          <t>A 2260-2022</t>
        </is>
      </c>
      <c r="B636" s="1" t="n">
        <v>44578</v>
      </c>
      <c r="C636" s="1" t="n">
        <v>46204</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11661-2023</t>
        </is>
      </c>
      <c r="B637" s="1" t="n">
        <v>44994</v>
      </c>
      <c r="C637" s="1" t="n">
        <v>46204</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58046-2022</t>
        </is>
      </c>
      <c r="B638" s="1" t="n">
        <v>44900</v>
      </c>
      <c r="C638" s="1" t="n">
        <v>46204</v>
      </c>
      <c r="D638" t="inlineStr">
        <is>
          <t>KALMAR LÄN</t>
        </is>
      </c>
      <c r="E638" t="inlineStr">
        <is>
          <t>VIMMERBY</t>
        </is>
      </c>
      <c r="G638" t="n">
        <v>2.5</v>
      </c>
      <c r="H638" t="n">
        <v>0</v>
      </c>
      <c r="I638" t="n">
        <v>0</v>
      </c>
      <c r="J638" t="n">
        <v>0</v>
      </c>
      <c r="K638" t="n">
        <v>0</v>
      </c>
      <c r="L638" t="n">
        <v>0</v>
      </c>
      <c r="M638" t="n">
        <v>0</v>
      </c>
      <c r="N638" t="n">
        <v>0</v>
      </c>
      <c r="O638" t="n">
        <v>0</v>
      </c>
      <c r="P638" t="n">
        <v>0</v>
      </c>
      <c r="Q638" t="n">
        <v>0</v>
      </c>
      <c r="R638" s="2" t="inlineStr"/>
    </row>
    <row r="639" ht="15" customHeight="1">
      <c r="A639" t="inlineStr">
        <is>
          <t>A 45528-2021</t>
        </is>
      </c>
      <c r="B639" s="1" t="n">
        <v>44440</v>
      </c>
      <c r="C639" s="1" t="n">
        <v>46204</v>
      </c>
      <c r="D639" t="inlineStr">
        <is>
          <t>KALMAR LÄN</t>
        </is>
      </c>
      <c r="E639" t="inlineStr">
        <is>
          <t>VIMMERBY</t>
        </is>
      </c>
      <c r="G639" t="n">
        <v>2.2</v>
      </c>
      <c r="H639" t="n">
        <v>0</v>
      </c>
      <c r="I639" t="n">
        <v>0</v>
      </c>
      <c r="J639" t="n">
        <v>0</v>
      </c>
      <c r="K639" t="n">
        <v>0</v>
      </c>
      <c r="L639" t="n">
        <v>0</v>
      </c>
      <c r="M639" t="n">
        <v>0</v>
      </c>
      <c r="N639" t="n">
        <v>0</v>
      </c>
      <c r="O639" t="n">
        <v>0</v>
      </c>
      <c r="P639" t="n">
        <v>0</v>
      </c>
      <c r="Q639" t="n">
        <v>0</v>
      </c>
      <c r="R639" s="2" t="inlineStr"/>
    </row>
    <row r="640" ht="15" customHeight="1">
      <c r="A640" t="inlineStr">
        <is>
          <t>A 46979-2023</t>
        </is>
      </c>
      <c r="B640" s="1" t="n">
        <v>45201</v>
      </c>
      <c r="C640" s="1" t="n">
        <v>46204</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6574-2023</t>
        </is>
      </c>
      <c r="B641" s="1" t="n">
        <v>44966</v>
      </c>
      <c r="C641" s="1" t="n">
        <v>46204</v>
      </c>
      <c r="D641" t="inlineStr">
        <is>
          <t>KALMAR LÄN</t>
        </is>
      </c>
      <c r="E641" t="inlineStr">
        <is>
          <t>VIMMERBY</t>
        </is>
      </c>
      <c r="G641" t="n">
        <v>2.5</v>
      </c>
      <c r="H641" t="n">
        <v>0</v>
      </c>
      <c r="I641" t="n">
        <v>0</v>
      </c>
      <c r="J641" t="n">
        <v>0</v>
      </c>
      <c r="K641" t="n">
        <v>0</v>
      </c>
      <c r="L641" t="n">
        <v>0</v>
      </c>
      <c r="M641" t="n">
        <v>0</v>
      </c>
      <c r="N641" t="n">
        <v>0</v>
      </c>
      <c r="O641" t="n">
        <v>0</v>
      </c>
      <c r="P641" t="n">
        <v>0</v>
      </c>
      <c r="Q641" t="n">
        <v>0</v>
      </c>
      <c r="R641" s="2" t="inlineStr"/>
    </row>
    <row r="642" ht="15" customHeight="1">
      <c r="A642" t="inlineStr">
        <is>
          <t>A 4058-2024</t>
        </is>
      </c>
      <c r="B642" s="1" t="n">
        <v>45323</v>
      </c>
      <c r="C642" s="1" t="n">
        <v>46204</v>
      </c>
      <c r="D642" t="inlineStr">
        <is>
          <t>KALMAR LÄN</t>
        </is>
      </c>
      <c r="E642" t="inlineStr">
        <is>
          <t>VIMMERBY</t>
        </is>
      </c>
      <c r="G642" t="n">
        <v>6.5</v>
      </c>
      <c r="H642" t="n">
        <v>0</v>
      </c>
      <c r="I642" t="n">
        <v>0</v>
      </c>
      <c r="J642" t="n">
        <v>0</v>
      </c>
      <c r="K642" t="n">
        <v>0</v>
      </c>
      <c r="L642" t="n">
        <v>0</v>
      </c>
      <c r="M642" t="n">
        <v>0</v>
      </c>
      <c r="N642" t="n">
        <v>0</v>
      </c>
      <c r="O642" t="n">
        <v>0</v>
      </c>
      <c r="P642" t="n">
        <v>0</v>
      </c>
      <c r="Q642" t="n">
        <v>0</v>
      </c>
      <c r="R642" s="2" t="inlineStr"/>
    </row>
    <row r="643" ht="15" customHeight="1">
      <c r="A643" t="inlineStr">
        <is>
          <t>A 1978-2024</t>
        </is>
      </c>
      <c r="B643" s="1" t="n">
        <v>45308</v>
      </c>
      <c r="C643" s="1" t="n">
        <v>46204</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30318-2023</t>
        </is>
      </c>
      <c r="B644" s="1" t="n">
        <v>45111</v>
      </c>
      <c r="C644" s="1" t="n">
        <v>46204</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25234-2023</t>
        </is>
      </c>
      <c r="B645" s="1" t="n">
        <v>45086</v>
      </c>
      <c r="C645" s="1" t="n">
        <v>46204</v>
      </c>
      <c r="D645" t="inlineStr">
        <is>
          <t>KALMAR LÄN</t>
        </is>
      </c>
      <c r="E645" t="inlineStr">
        <is>
          <t>VIMMERBY</t>
        </is>
      </c>
      <c r="G645" t="n">
        <v>2.1</v>
      </c>
      <c r="H645" t="n">
        <v>0</v>
      </c>
      <c r="I645" t="n">
        <v>0</v>
      </c>
      <c r="J645" t="n">
        <v>0</v>
      </c>
      <c r="K645" t="n">
        <v>0</v>
      </c>
      <c r="L645" t="n">
        <v>0</v>
      </c>
      <c r="M645" t="n">
        <v>0</v>
      </c>
      <c r="N645" t="n">
        <v>0</v>
      </c>
      <c r="O645" t="n">
        <v>0</v>
      </c>
      <c r="P645" t="n">
        <v>0</v>
      </c>
      <c r="Q645" t="n">
        <v>0</v>
      </c>
      <c r="R645" s="2" t="inlineStr"/>
    </row>
    <row r="646" ht="15" customHeight="1">
      <c r="A646" t="inlineStr">
        <is>
          <t>A 46078-2023</t>
        </is>
      </c>
      <c r="B646" s="1" t="n">
        <v>45196</v>
      </c>
      <c r="C646" s="1" t="n">
        <v>46204</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3609-2024</t>
        </is>
      </c>
      <c r="B647" s="1" t="n">
        <v>45320</v>
      </c>
      <c r="C647" s="1" t="n">
        <v>46204</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10424-2023</t>
        </is>
      </c>
      <c r="B648" s="1" t="n">
        <v>44987</v>
      </c>
      <c r="C648" s="1" t="n">
        <v>46204</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49382-2023</t>
        </is>
      </c>
      <c r="B649" s="1" t="n">
        <v>45208</v>
      </c>
      <c r="C649" s="1" t="n">
        <v>46204</v>
      </c>
      <c r="D649" t="inlineStr">
        <is>
          <t>KALMAR LÄN</t>
        </is>
      </c>
      <c r="E649" t="inlineStr">
        <is>
          <t>VIMMERBY</t>
        </is>
      </c>
      <c r="G649" t="n">
        <v>2.2</v>
      </c>
      <c r="H649" t="n">
        <v>0</v>
      </c>
      <c r="I649" t="n">
        <v>0</v>
      </c>
      <c r="J649" t="n">
        <v>0</v>
      </c>
      <c r="K649" t="n">
        <v>0</v>
      </c>
      <c r="L649" t="n">
        <v>0</v>
      </c>
      <c r="M649" t="n">
        <v>0</v>
      </c>
      <c r="N649" t="n">
        <v>0</v>
      </c>
      <c r="O649" t="n">
        <v>0</v>
      </c>
      <c r="P649" t="n">
        <v>0</v>
      </c>
      <c r="Q649" t="n">
        <v>0</v>
      </c>
      <c r="R649" s="2" t="inlineStr"/>
    </row>
    <row r="650" ht="15" customHeight="1">
      <c r="A650" t="inlineStr">
        <is>
          <t>A 12810-2023</t>
        </is>
      </c>
      <c r="B650" s="1" t="n">
        <v>45001</v>
      </c>
      <c r="C650" s="1" t="n">
        <v>46204</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3425-2022</t>
        </is>
      </c>
      <c r="B651" s="1" t="n">
        <v>44585</v>
      </c>
      <c r="C651" s="1" t="n">
        <v>46204</v>
      </c>
      <c r="D651" t="inlineStr">
        <is>
          <t>KALMAR LÄN</t>
        </is>
      </c>
      <c r="E651" t="inlineStr">
        <is>
          <t>VIMMERBY</t>
        </is>
      </c>
      <c r="G651" t="n">
        <v>1.3</v>
      </c>
      <c r="H651" t="n">
        <v>0</v>
      </c>
      <c r="I651" t="n">
        <v>0</v>
      </c>
      <c r="J651" t="n">
        <v>0</v>
      </c>
      <c r="K651" t="n">
        <v>0</v>
      </c>
      <c r="L651" t="n">
        <v>0</v>
      </c>
      <c r="M651" t="n">
        <v>0</v>
      </c>
      <c r="N651" t="n">
        <v>0</v>
      </c>
      <c r="O651" t="n">
        <v>0</v>
      </c>
      <c r="P651" t="n">
        <v>0</v>
      </c>
      <c r="Q651" t="n">
        <v>0</v>
      </c>
      <c r="R651" s="2" t="inlineStr"/>
    </row>
    <row r="652" ht="15" customHeight="1">
      <c r="A652" t="inlineStr">
        <is>
          <t>A 60675-2023</t>
        </is>
      </c>
      <c r="B652" s="1" t="n">
        <v>45260</v>
      </c>
      <c r="C652" s="1" t="n">
        <v>46204</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2536-2023</t>
        </is>
      </c>
      <c r="B653" s="1" t="n">
        <v>44943</v>
      </c>
      <c r="C653" s="1" t="n">
        <v>46204</v>
      </c>
      <c r="D653" t="inlineStr">
        <is>
          <t>KALMAR LÄN</t>
        </is>
      </c>
      <c r="E653" t="inlineStr">
        <is>
          <t>VIMMERBY</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11111-2024</t>
        </is>
      </c>
      <c r="B654" s="1" t="n">
        <v>45371</v>
      </c>
      <c r="C654" s="1" t="n">
        <v>46204</v>
      </c>
      <c r="D654" t="inlineStr">
        <is>
          <t>KALMAR LÄN</t>
        </is>
      </c>
      <c r="E654" t="inlineStr">
        <is>
          <t>VIMMERBY</t>
        </is>
      </c>
      <c r="G654" t="n">
        <v>1.4</v>
      </c>
      <c r="H654" t="n">
        <v>0</v>
      </c>
      <c r="I654" t="n">
        <v>0</v>
      </c>
      <c r="J654" t="n">
        <v>0</v>
      </c>
      <c r="K654" t="n">
        <v>0</v>
      </c>
      <c r="L654" t="n">
        <v>0</v>
      </c>
      <c r="M654" t="n">
        <v>0</v>
      </c>
      <c r="N654" t="n">
        <v>0</v>
      </c>
      <c r="O654" t="n">
        <v>0</v>
      </c>
      <c r="P654" t="n">
        <v>0</v>
      </c>
      <c r="Q654" t="n">
        <v>0</v>
      </c>
      <c r="R654" s="2" t="inlineStr"/>
    </row>
    <row r="655" ht="15" customHeight="1">
      <c r="A655" t="inlineStr">
        <is>
          <t>A 1687-2023</t>
        </is>
      </c>
      <c r="B655" s="1" t="n">
        <v>44938</v>
      </c>
      <c r="C655" s="1" t="n">
        <v>46204</v>
      </c>
      <c r="D655" t="inlineStr">
        <is>
          <t>KALMAR LÄN</t>
        </is>
      </c>
      <c r="E655" t="inlineStr">
        <is>
          <t>VIMMERBY</t>
        </is>
      </c>
      <c r="F655" t="inlineStr">
        <is>
          <t>Kommuner</t>
        </is>
      </c>
      <c r="G655" t="n">
        <v>2.5</v>
      </c>
      <c r="H655" t="n">
        <v>0</v>
      </c>
      <c r="I655" t="n">
        <v>0</v>
      </c>
      <c r="J655" t="n">
        <v>0</v>
      </c>
      <c r="K655" t="n">
        <v>0</v>
      </c>
      <c r="L655" t="n">
        <v>0</v>
      </c>
      <c r="M655" t="n">
        <v>0</v>
      </c>
      <c r="N655" t="n">
        <v>0</v>
      </c>
      <c r="O655" t="n">
        <v>0</v>
      </c>
      <c r="P655" t="n">
        <v>0</v>
      </c>
      <c r="Q655" t="n">
        <v>0</v>
      </c>
      <c r="R655" s="2" t="inlineStr"/>
    </row>
    <row r="656" ht="15" customHeight="1">
      <c r="A656" t="inlineStr">
        <is>
          <t>A 21882-2026</t>
        </is>
      </c>
      <c r="B656" s="1" t="n">
        <v>46150</v>
      </c>
      <c r="C656" s="1" t="n">
        <v>46204</v>
      </c>
      <c r="D656" t="inlineStr">
        <is>
          <t>KALMAR LÄN</t>
        </is>
      </c>
      <c r="E656" t="inlineStr">
        <is>
          <t>VIMMERBY</t>
        </is>
      </c>
      <c r="G656" t="n">
        <v>0.6</v>
      </c>
      <c r="H656" t="n">
        <v>0</v>
      </c>
      <c r="I656" t="n">
        <v>0</v>
      </c>
      <c r="J656" t="n">
        <v>0</v>
      </c>
      <c r="K656" t="n">
        <v>0</v>
      </c>
      <c r="L656" t="n">
        <v>0</v>
      </c>
      <c r="M656" t="n">
        <v>0</v>
      </c>
      <c r="N656" t="n">
        <v>0</v>
      </c>
      <c r="O656" t="n">
        <v>0</v>
      </c>
      <c r="P656" t="n">
        <v>0</v>
      </c>
      <c r="Q656" t="n">
        <v>0</v>
      </c>
      <c r="R656" s="2" t="inlineStr"/>
    </row>
    <row r="657" ht="15" customHeight="1">
      <c r="A657" t="inlineStr">
        <is>
          <t>A 3494-2023</t>
        </is>
      </c>
      <c r="B657" s="1" t="n">
        <v>44949</v>
      </c>
      <c r="C657" s="1" t="n">
        <v>46204</v>
      </c>
      <c r="D657" t="inlineStr">
        <is>
          <t>KALMAR LÄN</t>
        </is>
      </c>
      <c r="E657" t="inlineStr">
        <is>
          <t>VIMMERBY</t>
        </is>
      </c>
      <c r="F657" t="inlineStr">
        <is>
          <t>Kyrkan</t>
        </is>
      </c>
      <c r="G657" t="n">
        <v>0.8</v>
      </c>
      <c r="H657" t="n">
        <v>0</v>
      </c>
      <c r="I657" t="n">
        <v>0</v>
      </c>
      <c r="J657" t="n">
        <v>0</v>
      </c>
      <c r="K657" t="n">
        <v>0</v>
      </c>
      <c r="L657" t="n">
        <v>0</v>
      </c>
      <c r="M657" t="n">
        <v>0</v>
      </c>
      <c r="N657" t="n">
        <v>0</v>
      </c>
      <c r="O657" t="n">
        <v>0</v>
      </c>
      <c r="P657" t="n">
        <v>0</v>
      </c>
      <c r="Q657" t="n">
        <v>0</v>
      </c>
      <c r="R657" s="2" t="inlineStr"/>
    </row>
    <row r="658" ht="15" customHeight="1">
      <c r="A658" t="inlineStr">
        <is>
          <t>A 28296-2026</t>
        </is>
      </c>
      <c r="B658" s="1" t="n">
        <v>46196</v>
      </c>
      <c r="C658" s="1" t="n">
        <v>46204</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28530-2026</t>
        </is>
      </c>
      <c r="B659" s="1" t="n">
        <v>46197</v>
      </c>
      <c r="C659" s="1" t="n">
        <v>46204</v>
      </c>
      <c r="D659" t="inlineStr">
        <is>
          <t>KALMAR LÄN</t>
        </is>
      </c>
      <c r="E659" t="inlineStr">
        <is>
          <t>VIMMERBY</t>
        </is>
      </c>
      <c r="G659" t="n">
        <v>4.6</v>
      </c>
      <c r="H659" t="n">
        <v>0</v>
      </c>
      <c r="I659" t="n">
        <v>0</v>
      </c>
      <c r="J659" t="n">
        <v>0</v>
      </c>
      <c r="K659" t="n">
        <v>0</v>
      </c>
      <c r="L659" t="n">
        <v>0</v>
      </c>
      <c r="M659" t="n">
        <v>0</v>
      </c>
      <c r="N659" t="n">
        <v>0</v>
      </c>
      <c r="O659" t="n">
        <v>0</v>
      </c>
      <c r="P659" t="n">
        <v>0</v>
      </c>
      <c r="Q659" t="n">
        <v>0</v>
      </c>
      <c r="R659" s="2" t="inlineStr"/>
    </row>
    <row r="660" ht="15" customHeight="1">
      <c r="A660" t="inlineStr">
        <is>
          <t>A 15449-2023</t>
        </is>
      </c>
      <c r="B660" s="1" t="n">
        <v>45020</v>
      </c>
      <c r="C660" s="1" t="n">
        <v>46204</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43242-2024</t>
        </is>
      </c>
      <c r="B661" s="1" t="n">
        <v>45568</v>
      </c>
      <c r="C661" s="1" t="n">
        <v>46204</v>
      </c>
      <c r="D661" t="inlineStr">
        <is>
          <t>KALMAR LÄN</t>
        </is>
      </c>
      <c r="E661" t="inlineStr">
        <is>
          <t>VIMMERBY</t>
        </is>
      </c>
      <c r="G661" t="n">
        <v>2.6</v>
      </c>
      <c r="H661" t="n">
        <v>0</v>
      </c>
      <c r="I661" t="n">
        <v>0</v>
      </c>
      <c r="J661" t="n">
        <v>0</v>
      </c>
      <c r="K661" t="n">
        <v>0</v>
      </c>
      <c r="L661" t="n">
        <v>0</v>
      </c>
      <c r="M661" t="n">
        <v>0</v>
      </c>
      <c r="N661" t="n">
        <v>0</v>
      </c>
      <c r="O661" t="n">
        <v>0</v>
      </c>
      <c r="P661" t="n">
        <v>0</v>
      </c>
      <c r="Q661" t="n">
        <v>0</v>
      </c>
      <c r="R661" s="2" t="inlineStr"/>
    </row>
    <row r="662" ht="15" customHeight="1">
      <c r="A662" t="inlineStr">
        <is>
          <t>A 56853-2022</t>
        </is>
      </c>
      <c r="B662" s="1" t="n">
        <v>44894</v>
      </c>
      <c r="C662" s="1" t="n">
        <v>46204</v>
      </c>
      <c r="D662" t="inlineStr">
        <is>
          <t>KALMAR LÄN</t>
        </is>
      </c>
      <c r="E662" t="inlineStr">
        <is>
          <t>VIMMERBY</t>
        </is>
      </c>
      <c r="G662" t="n">
        <v>4.3</v>
      </c>
      <c r="H662" t="n">
        <v>0</v>
      </c>
      <c r="I662" t="n">
        <v>0</v>
      </c>
      <c r="J662" t="n">
        <v>0</v>
      </c>
      <c r="K662" t="n">
        <v>0</v>
      </c>
      <c r="L662" t="n">
        <v>0</v>
      </c>
      <c r="M662" t="n">
        <v>0</v>
      </c>
      <c r="N662" t="n">
        <v>0</v>
      </c>
      <c r="O662" t="n">
        <v>0</v>
      </c>
      <c r="P662" t="n">
        <v>0</v>
      </c>
      <c r="Q662" t="n">
        <v>0</v>
      </c>
      <c r="R662" s="2" t="inlineStr"/>
    </row>
    <row r="663" ht="15" customHeight="1">
      <c r="A663" t="inlineStr">
        <is>
          <t>A 33815-2022</t>
        </is>
      </c>
      <c r="B663" s="1" t="n">
        <v>44790</v>
      </c>
      <c r="C663" s="1" t="n">
        <v>46204</v>
      </c>
      <c r="D663" t="inlineStr">
        <is>
          <t>KALMAR LÄN</t>
        </is>
      </c>
      <c r="E663" t="inlineStr">
        <is>
          <t>VIMMERBY</t>
        </is>
      </c>
      <c r="G663" t="n">
        <v>0.9</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46204</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13667-2026</t>
        </is>
      </c>
      <c r="B665" s="1" t="n">
        <v>46097</v>
      </c>
      <c r="C665" s="1" t="n">
        <v>46204</v>
      </c>
      <c r="D665" t="inlineStr">
        <is>
          <t>KALMAR LÄN</t>
        </is>
      </c>
      <c r="E665" t="inlineStr">
        <is>
          <t>VIMMERBY</t>
        </is>
      </c>
      <c r="G665" t="n">
        <v>6.8</v>
      </c>
      <c r="H665" t="n">
        <v>0</v>
      </c>
      <c r="I665" t="n">
        <v>0</v>
      </c>
      <c r="J665" t="n">
        <v>0</v>
      </c>
      <c r="K665" t="n">
        <v>0</v>
      </c>
      <c r="L665" t="n">
        <v>0</v>
      </c>
      <c r="M665" t="n">
        <v>0</v>
      </c>
      <c r="N665" t="n">
        <v>0</v>
      </c>
      <c r="O665" t="n">
        <v>0</v>
      </c>
      <c r="P665" t="n">
        <v>0</v>
      </c>
      <c r="Q665" t="n">
        <v>0</v>
      </c>
      <c r="R665" s="2" t="inlineStr"/>
    </row>
    <row r="666" ht="15" customHeight="1">
      <c r="A666" t="inlineStr">
        <is>
          <t>A 49408-2023</t>
        </is>
      </c>
      <c r="B666" s="1" t="n">
        <v>45211</v>
      </c>
      <c r="C666" s="1" t="n">
        <v>46204</v>
      </c>
      <c r="D666" t="inlineStr">
        <is>
          <t>KALMAR LÄN</t>
        </is>
      </c>
      <c r="E666" t="inlineStr">
        <is>
          <t>VIMMERBY</t>
        </is>
      </c>
      <c r="G666" t="n">
        <v>13.1</v>
      </c>
      <c r="H666" t="n">
        <v>0</v>
      </c>
      <c r="I666" t="n">
        <v>0</v>
      </c>
      <c r="J666" t="n">
        <v>0</v>
      </c>
      <c r="K666" t="n">
        <v>0</v>
      </c>
      <c r="L666" t="n">
        <v>0</v>
      </c>
      <c r="M666" t="n">
        <v>0</v>
      </c>
      <c r="N666" t="n">
        <v>0</v>
      </c>
      <c r="O666" t="n">
        <v>0</v>
      </c>
      <c r="P666" t="n">
        <v>0</v>
      </c>
      <c r="Q666" t="n">
        <v>0</v>
      </c>
      <c r="R666" s="2" t="inlineStr"/>
    </row>
    <row r="667" ht="15" customHeight="1">
      <c r="A667" t="inlineStr">
        <is>
          <t>A 56536-2022</t>
        </is>
      </c>
      <c r="B667" s="1" t="n">
        <v>44893</v>
      </c>
      <c r="C667" s="1" t="n">
        <v>46204</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28229-2026</t>
        </is>
      </c>
      <c r="B668" s="1" t="n">
        <v>46196</v>
      </c>
      <c r="C668" s="1" t="n">
        <v>46204</v>
      </c>
      <c r="D668" t="inlineStr">
        <is>
          <t>KALMAR LÄN</t>
        </is>
      </c>
      <c r="E668" t="inlineStr">
        <is>
          <t>VIMMERBY</t>
        </is>
      </c>
      <c r="G668" t="n">
        <v>1.8</v>
      </c>
      <c r="H668" t="n">
        <v>0</v>
      </c>
      <c r="I668" t="n">
        <v>0</v>
      </c>
      <c r="J668" t="n">
        <v>0</v>
      </c>
      <c r="K668" t="n">
        <v>0</v>
      </c>
      <c r="L668" t="n">
        <v>0</v>
      </c>
      <c r="M668" t="n">
        <v>0</v>
      </c>
      <c r="N668" t="n">
        <v>0</v>
      </c>
      <c r="O668" t="n">
        <v>0</v>
      </c>
      <c r="P668" t="n">
        <v>0</v>
      </c>
      <c r="Q668" t="n">
        <v>0</v>
      </c>
      <c r="R668" s="2" t="inlineStr"/>
    </row>
    <row r="669" ht="15" customHeight="1">
      <c r="A669" t="inlineStr">
        <is>
          <t>A 41199-2023</t>
        </is>
      </c>
      <c r="B669" s="1" t="n">
        <v>45174</v>
      </c>
      <c r="C669" s="1" t="n">
        <v>46204</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28784-2026</t>
        </is>
      </c>
      <c r="B670" s="1" t="n">
        <v>46198</v>
      </c>
      <c r="C670" s="1" t="n">
        <v>46204</v>
      </c>
      <c r="D670" t="inlineStr">
        <is>
          <t>KALMAR LÄN</t>
        </is>
      </c>
      <c r="E670" t="inlineStr">
        <is>
          <t>VIMMERBY</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11619-2023</t>
        </is>
      </c>
      <c r="B671" s="1" t="n">
        <v>44994</v>
      </c>
      <c r="C671" s="1" t="n">
        <v>46204</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41896-2023</t>
        </is>
      </c>
      <c r="B672" s="1" t="n">
        <v>45176</v>
      </c>
      <c r="C672" s="1" t="n">
        <v>46204</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28510-2026</t>
        </is>
      </c>
      <c r="B673" s="1" t="n">
        <v>46197</v>
      </c>
      <c r="C673" s="1" t="n">
        <v>46204</v>
      </c>
      <c r="D673" t="inlineStr">
        <is>
          <t>KALMAR LÄN</t>
        </is>
      </c>
      <c r="E673" t="inlineStr">
        <is>
          <t>VIMMERBY</t>
        </is>
      </c>
      <c r="G673" t="n">
        <v>3.3</v>
      </c>
      <c r="H673" t="n">
        <v>0</v>
      </c>
      <c r="I673" t="n">
        <v>0</v>
      </c>
      <c r="J673" t="n">
        <v>0</v>
      </c>
      <c r="K673" t="n">
        <v>0</v>
      </c>
      <c r="L673" t="n">
        <v>0</v>
      </c>
      <c r="M673" t="n">
        <v>0</v>
      </c>
      <c r="N673" t="n">
        <v>0</v>
      </c>
      <c r="O673" t="n">
        <v>0</v>
      </c>
      <c r="P673" t="n">
        <v>0</v>
      </c>
      <c r="Q673" t="n">
        <v>0</v>
      </c>
      <c r="R673" s="2" t="inlineStr"/>
    </row>
    <row r="674" ht="15" customHeight="1">
      <c r="A674" t="inlineStr">
        <is>
          <t>A 28511-2026</t>
        </is>
      </c>
      <c r="B674" s="1" t="n">
        <v>46197</v>
      </c>
      <c r="C674" s="1" t="n">
        <v>46204</v>
      </c>
      <c r="D674" t="inlineStr">
        <is>
          <t>KALMAR LÄN</t>
        </is>
      </c>
      <c r="E674" t="inlineStr">
        <is>
          <t>VIMMERBY</t>
        </is>
      </c>
      <c r="G674" t="n">
        <v>3.3</v>
      </c>
      <c r="H674" t="n">
        <v>0</v>
      </c>
      <c r="I674" t="n">
        <v>0</v>
      </c>
      <c r="J674" t="n">
        <v>0</v>
      </c>
      <c r="K674" t="n">
        <v>0</v>
      </c>
      <c r="L674" t="n">
        <v>0</v>
      </c>
      <c r="M674" t="n">
        <v>0</v>
      </c>
      <c r="N674" t="n">
        <v>0</v>
      </c>
      <c r="O674" t="n">
        <v>0</v>
      </c>
      <c r="P674" t="n">
        <v>0</v>
      </c>
      <c r="Q674" t="n">
        <v>0</v>
      </c>
      <c r="R674" s="2" t="inlineStr"/>
    </row>
    <row r="675" ht="15" customHeight="1">
      <c r="A675" t="inlineStr">
        <is>
          <t>A 17926-2025</t>
        </is>
      </c>
      <c r="B675" s="1" t="n">
        <v>45759</v>
      </c>
      <c r="C675" s="1" t="n">
        <v>46204</v>
      </c>
      <c r="D675" t="inlineStr">
        <is>
          <t>KALMAR LÄN</t>
        </is>
      </c>
      <c r="E675" t="inlineStr">
        <is>
          <t>VIMMERBY</t>
        </is>
      </c>
      <c r="G675" t="n">
        <v>1</v>
      </c>
      <c r="H675" t="n">
        <v>0</v>
      </c>
      <c r="I675" t="n">
        <v>0</v>
      </c>
      <c r="J675" t="n">
        <v>0</v>
      </c>
      <c r="K675" t="n">
        <v>0</v>
      </c>
      <c r="L675" t="n">
        <v>0</v>
      </c>
      <c r="M675" t="n">
        <v>0</v>
      </c>
      <c r="N675" t="n">
        <v>0</v>
      </c>
      <c r="O675" t="n">
        <v>0</v>
      </c>
      <c r="P675" t="n">
        <v>0</v>
      </c>
      <c r="Q675" t="n">
        <v>0</v>
      </c>
      <c r="R675" s="2" t="inlineStr"/>
    </row>
    <row r="676" ht="15" customHeight="1">
      <c r="A676" t="inlineStr">
        <is>
          <t>A 21028-2023</t>
        </is>
      </c>
      <c r="B676" s="1" t="n">
        <v>45061</v>
      </c>
      <c r="C676" s="1" t="n">
        <v>46204</v>
      </c>
      <c r="D676" t="inlineStr">
        <is>
          <t>KALMAR LÄN</t>
        </is>
      </c>
      <c r="E676" t="inlineStr">
        <is>
          <t>VIMMERBY</t>
        </is>
      </c>
      <c r="F676" t="inlineStr">
        <is>
          <t>Övriga Aktiebolag</t>
        </is>
      </c>
      <c r="G676" t="n">
        <v>0.7</v>
      </c>
      <c r="H676" t="n">
        <v>0</v>
      </c>
      <c r="I676" t="n">
        <v>0</v>
      </c>
      <c r="J676" t="n">
        <v>0</v>
      </c>
      <c r="K676" t="n">
        <v>0</v>
      </c>
      <c r="L676" t="n">
        <v>0</v>
      </c>
      <c r="M676" t="n">
        <v>0</v>
      </c>
      <c r="N676" t="n">
        <v>0</v>
      </c>
      <c r="O676" t="n">
        <v>0</v>
      </c>
      <c r="P676" t="n">
        <v>0</v>
      </c>
      <c r="Q676" t="n">
        <v>0</v>
      </c>
      <c r="R676" s="2" t="inlineStr"/>
    </row>
    <row r="677" ht="15" customHeight="1">
      <c r="A677" t="inlineStr">
        <is>
          <t>A 27122-2023</t>
        </is>
      </c>
      <c r="B677" s="1" t="n">
        <v>45096</v>
      </c>
      <c r="C677" s="1" t="n">
        <v>46204</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13813-2024</t>
        </is>
      </c>
      <c r="B678" s="1" t="n">
        <v>45391</v>
      </c>
      <c r="C678" s="1" t="n">
        <v>46204</v>
      </c>
      <c r="D678" t="inlineStr">
        <is>
          <t>KALMAR LÄN</t>
        </is>
      </c>
      <c r="E678" t="inlineStr">
        <is>
          <t>VIMMERBY</t>
        </is>
      </c>
      <c r="G678" t="n">
        <v>0.4</v>
      </c>
      <c r="H678" t="n">
        <v>0</v>
      </c>
      <c r="I678" t="n">
        <v>0</v>
      </c>
      <c r="J678" t="n">
        <v>0</v>
      </c>
      <c r="K678" t="n">
        <v>0</v>
      </c>
      <c r="L678" t="n">
        <v>0</v>
      </c>
      <c r="M678" t="n">
        <v>0</v>
      </c>
      <c r="N678" t="n">
        <v>0</v>
      </c>
      <c r="O678" t="n">
        <v>0</v>
      </c>
      <c r="P678" t="n">
        <v>0</v>
      </c>
      <c r="Q678" t="n">
        <v>0</v>
      </c>
      <c r="R678" s="2" t="inlineStr"/>
    </row>
    <row r="679" ht="15" customHeight="1">
      <c r="A679" t="inlineStr">
        <is>
          <t>A 57486-2024</t>
        </is>
      </c>
      <c r="B679" s="1" t="n">
        <v>45630</v>
      </c>
      <c r="C679" s="1" t="n">
        <v>46204</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29412-2026</t>
        </is>
      </c>
      <c r="B680" s="1" t="n">
        <v>46203</v>
      </c>
      <c r="C680" s="1" t="n">
        <v>46204</v>
      </c>
      <c r="D680" t="inlineStr">
        <is>
          <t>KALMAR LÄN</t>
        </is>
      </c>
      <c r="E680" t="inlineStr">
        <is>
          <t>VIMMERBY</t>
        </is>
      </c>
      <c r="G680" t="n">
        <v>6.3</v>
      </c>
      <c r="H680" t="n">
        <v>0</v>
      </c>
      <c r="I680" t="n">
        <v>0</v>
      </c>
      <c r="J680" t="n">
        <v>0</v>
      </c>
      <c r="K680" t="n">
        <v>0</v>
      </c>
      <c r="L680" t="n">
        <v>0</v>
      </c>
      <c r="M680" t="n">
        <v>0</v>
      </c>
      <c r="N680" t="n">
        <v>0</v>
      </c>
      <c r="O680" t="n">
        <v>0</v>
      </c>
      <c r="P680" t="n">
        <v>0</v>
      </c>
      <c r="Q680" t="n">
        <v>0</v>
      </c>
      <c r="R680" s="2" t="inlineStr"/>
    </row>
    <row r="681" ht="15" customHeight="1">
      <c r="A681" t="inlineStr">
        <is>
          <t>A 43186-2021</t>
        </is>
      </c>
      <c r="B681" s="1" t="n">
        <v>44431</v>
      </c>
      <c r="C681" s="1" t="n">
        <v>46204</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30063-2023</t>
        </is>
      </c>
      <c r="B682" s="1" t="n">
        <v>45110</v>
      </c>
      <c r="C682" s="1" t="n">
        <v>46204</v>
      </c>
      <c r="D682" t="inlineStr">
        <is>
          <t>KALMAR LÄN</t>
        </is>
      </c>
      <c r="E682" t="inlineStr">
        <is>
          <t>VIMMERBY</t>
        </is>
      </c>
      <c r="G682" t="n">
        <v>1.2</v>
      </c>
      <c r="H682" t="n">
        <v>0</v>
      </c>
      <c r="I682" t="n">
        <v>0</v>
      </c>
      <c r="J682" t="n">
        <v>0</v>
      </c>
      <c r="K682" t="n">
        <v>0</v>
      </c>
      <c r="L682" t="n">
        <v>0</v>
      </c>
      <c r="M682" t="n">
        <v>0</v>
      </c>
      <c r="N682" t="n">
        <v>0</v>
      </c>
      <c r="O682" t="n">
        <v>0</v>
      </c>
      <c r="P682" t="n">
        <v>0</v>
      </c>
      <c r="Q682" t="n">
        <v>0</v>
      </c>
      <c r="R682" s="2" t="inlineStr"/>
    </row>
    <row r="683" ht="15" customHeight="1">
      <c r="A683" t="inlineStr">
        <is>
          <t>A 15054-2026</t>
        </is>
      </c>
      <c r="B683" s="1" t="n">
        <v>46104</v>
      </c>
      <c r="C683" s="1" t="n">
        <v>46204</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43068-2023</t>
        </is>
      </c>
      <c r="B684" s="1" t="n">
        <v>45182</v>
      </c>
      <c r="C684" s="1" t="n">
        <v>46204</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36246-2025</t>
        </is>
      </c>
      <c r="B685" s="1" t="n">
        <v>45867</v>
      </c>
      <c r="C685" s="1" t="n">
        <v>46204</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18020-2025</t>
        </is>
      </c>
      <c r="B686" s="1" t="n">
        <v>45761</v>
      </c>
      <c r="C686" s="1" t="n">
        <v>46204</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33424-2023</t>
        </is>
      </c>
      <c r="B687" s="1" t="n">
        <v>45128</v>
      </c>
      <c r="C687" s="1" t="n">
        <v>46204</v>
      </c>
      <c r="D687" t="inlineStr">
        <is>
          <t>KALMAR LÄN</t>
        </is>
      </c>
      <c r="E687" t="inlineStr">
        <is>
          <t>VIMMERBY</t>
        </is>
      </c>
      <c r="G687" t="n">
        <v>2.4</v>
      </c>
      <c r="H687" t="n">
        <v>0</v>
      </c>
      <c r="I687" t="n">
        <v>0</v>
      </c>
      <c r="J687" t="n">
        <v>0</v>
      </c>
      <c r="K687" t="n">
        <v>0</v>
      </c>
      <c r="L687" t="n">
        <v>0</v>
      </c>
      <c r="M687" t="n">
        <v>0</v>
      </c>
      <c r="N687" t="n">
        <v>0</v>
      </c>
      <c r="O687" t="n">
        <v>0</v>
      </c>
      <c r="P687" t="n">
        <v>0</v>
      </c>
      <c r="Q687" t="n">
        <v>0</v>
      </c>
      <c r="R687" s="2" t="inlineStr"/>
    </row>
    <row r="688" ht="15" customHeight="1">
      <c r="A688" t="inlineStr">
        <is>
          <t>A 33425-2023</t>
        </is>
      </c>
      <c r="B688" s="1" t="n">
        <v>45128</v>
      </c>
      <c r="C688" s="1" t="n">
        <v>46204</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12327-2023</t>
        </is>
      </c>
      <c r="B689" s="1" t="n">
        <v>44999</v>
      </c>
      <c r="C689" s="1" t="n">
        <v>46204</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52435-2021</t>
        </is>
      </c>
      <c r="B690" s="1" t="n">
        <v>44466</v>
      </c>
      <c r="C690" s="1" t="n">
        <v>46204</v>
      </c>
      <c r="D690" t="inlineStr">
        <is>
          <t>KALMAR LÄN</t>
        </is>
      </c>
      <c r="E690" t="inlineStr">
        <is>
          <t>VIMMERBY</t>
        </is>
      </c>
      <c r="G690" t="n">
        <v>2.8</v>
      </c>
      <c r="H690" t="n">
        <v>0</v>
      </c>
      <c r="I690" t="n">
        <v>0</v>
      </c>
      <c r="J690" t="n">
        <v>0</v>
      </c>
      <c r="K690" t="n">
        <v>0</v>
      </c>
      <c r="L690" t="n">
        <v>0</v>
      </c>
      <c r="M690" t="n">
        <v>0</v>
      </c>
      <c r="N690" t="n">
        <v>0</v>
      </c>
      <c r="O690" t="n">
        <v>0</v>
      </c>
      <c r="P690" t="n">
        <v>0</v>
      </c>
      <c r="Q690" t="n">
        <v>0</v>
      </c>
      <c r="R690" s="2" t="inlineStr"/>
    </row>
    <row r="691" ht="15" customHeight="1">
      <c r="A691" t="inlineStr">
        <is>
          <t>A 35127-2024</t>
        </is>
      </c>
      <c r="B691" s="1" t="n">
        <v>45530</v>
      </c>
      <c r="C691" s="1" t="n">
        <v>46204</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29441-2024</t>
        </is>
      </c>
      <c r="B692" s="1" t="n">
        <v>45483</v>
      </c>
      <c r="C692" s="1" t="n">
        <v>46204</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62779-2023</t>
        </is>
      </c>
      <c r="B693" s="1" t="n">
        <v>45271</v>
      </c>
      <c r="C693" s="1" t="n">
        <v>46204</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31013-2023</t>
        </is>
      </c>
      <c r="B694" s="1" t="n">
        <v>45113</v>
      </c>
      <c r="C694" s="1" t="n">
        <v>46204</v>
      </c>
      <c r="D694" t="inlineStr">
        <is>
          <t>KALMAR LÄN</t>
        </is>
      </c>
      <c r="E694" t="inlineStr">
        <is>
          <t>VIMMERBY</t>
        </is>
      </c>
      <c r="G694" t="n">
        <v>1</v>
      </c>
      <c r="H694" t="n">
        <v>0</v>
      </c>
      <c r="I694" t="n">
        <v>0</v>
      </c>
      <c r="J694" t="n">
        <v>0</v>
      </c>
      <c r="K694" t="n">
        <v>0</v>
      </c>
      <c r="L694" t="n">
        <v>0</v>
      </c>
      <c r="M694" t="n">
        <v>0</v>
      </c>
      <c r="N694" t="n">
        <v>0</v>
      </c>
      <c r="O694" t="n">
        <v>0</v>
      </c>
      <c r="P694" t="n">
        <v>0</v>
      </c>
      <c r="Q694" t="n">
        <v>0</v>
      </c>
      <c r="R694" s="2" t="inlineStr"/>
    </row>
    <row r="695" ht="15" customHeight="1">
      <c r="A695" t="inlineStr">
        <is>
          <t>A 17084-2025</t>
        </is>
      </c>
      <c r="B695" s="1" t="n">
        <v>45755</v>
      </c>
      <c r="C695" s="1" t="n">
        <v>46204</v>
      </c>
      <c r="D695" t="inlineStr">
        <is>
          <t>KALMAR LÄN</t>
        </is>
      </c>
      <c r="E695" t="inlineStr">
        <is>
          <t>VIMMERBY</t>
        </is>
      </c>
      <c r="G695" t="n">
        <v>1.4</v>
      </c>
      <c r="H695" t="n">
        <v>0</v>
      </c>
      <c r="I695" t="n">
        <v>0</v>
      </c>
      <c r="J695" t="n">
        <v>0</v>
      </c>
      <c r="K695" t="n">
        <v>0</v>
      </c>
      <c r="L695" t="n">
        <v>0</v>
      </c>
      <c r="M695" t="n">
        <v>0</v>
      </c>
      <c r="N695" t="n">
        <v>0</v>
      </c>
      <c r="O695" t="n">
        <v>0</v>
      </c>
      <c r="P695" t="n">
        <v>0</v>
      </c>
      <c r="Q695" t="n">
        <v>0</v>
      </c>
      <c r="R695" s="2" t="inlineStr"/>
    </row>
    <row r="696" ht="15" customHeight="1">
      <c r="A696" t="inlineStr">
        <is>
          <t>A 72067-2021</t>
        </is>
      </c>
      <c r="B696" s="1" t="n">
        <v>44540</v>
      </c>
      <c r="C696" s="1" t="n">
        <v>46204</v>
      </c>
      <c r="D696" t="inlineStr">
        <is>
          <t>KALMAR LÄN</t>
        </is>
      </c>
      <c r="E696" t="inlineStr">
        <is>
          <t>VIMMERBY</t>
        </is>
      </c>
      <c r="G696" t="n">
        <v>1.6</v>
      </c>
      <c r="H696" t="n">
        <v>0</v>
      </c>
      <c r="I696" t="n">
        <v>0</v>
      </c>
      <c r="J696" t="n">
        <v>0</v>
      </c>
      <c r="K696" t="n">
        <v>0</v>
      </c>
      <c r="L696" t="n">
        <v>0</v>
      </c>
      <c r="M696" t="n">
        <v>0</v>
      </c>
      <c r="N696" t="n">
        <v>0</v>
      </c>
      <c r="O696" t="n">
        <v>0</v>
      </c>
      <c r="P696" t="n">
        <v>0</v>
      </c>
      <c r="Q696" t="n">
        <v>0</v>
      </c>
      <c r="R696" s="2" t="inlineStr"/>
    </row>
    <row r="697" ht="15" customHeight="1">
      <c r="A697" t="inlineStr">
        <is>
          <t>A 57728-2025</t>
        </is>
      </c>
      <c r="B697" s="1" t="n">
        <v>45981</v>
      </c>
      <c r="C697" s="1" t="n">
        <v>46204</v>
      </c>
      <c r="D697" t="inlineStr">
        <is>
          <t>KALMAR LÄN</t>
        </is>
      </c>
      <c r="E697" t="inlineStr">
        <is>
          <t>VIMMERBY</t>
        </is>
      </c>
      <c r="G697" t="n">
        <v>0.8</v>
      </c>
      <c r="H697" t="n">
        <v>0</v>
      </c>
      <c r="I697" t="n">
        <v>0</v>
      </c>
      <c r="J697" t="n">
        <v>0</v>
      </c>
      <c r="K697" t="n">
        <v>0</v>
      </c>
      <c r="L697" t="n">
        <v>0</v>
      </c>
      <c r="M697" t="n">
        <v>0</v>
      </c>
      <c r="N697" t="n">
        <v>0</v>
      </c>
      <c r="O697" t="n">
        <v>0</v>
      </c>
      <c r="P697" t="n">
        <v>0</v>
      </c>
      <c r="Q697" t="n">
        <v>0</v>
      </c>
      <c r="R697" s="2" t="inlineStr"/>
    </row>
    <row r="698" ht="15" customHeight="1">
      <c r="A698" t="inlineStr">
        <is>
          <t>A 61538-2022</t>
        </is>
      </c>
      <c r="B698" s="1" t="n">
        <v>44916</v>
      </c>
      <c r="C698" s="1" t="n">
        <v>46204</v>
      </c>
      <c r="D698" t="inlineStr">
        <is>
          <t>KALMAR LÄN</t>
        </is>
      </c>
      <c r="E698" t="inlineStr">
        <is>
          <t>VIMMERBY</t>
        </is>
      </c>
      <c r="G698" t="n">
        <v>1.5</v>
      </c>
      <c r="H698" t="n">
        <v>0</v>
      </c>
      <c r="I698" t="n">
        <v>0</v>
      </c>
      <c r="J698" t="n">
        <v>0</v>
      </c>
      <c r="K698" t="n">
        <v>0</v>
      </c>
      <c r="L698" t="n">
        <v>0</v>
      </c>
      <c r="M698" t="n">
        <v>0</v>
      </c>
      <c r="N698" t="n">
        <v>0</v>
      </c>
      <c r="O698" t="n">
        <v>0</v>
      </c>
      <c r="P698" t="n">
        <v>0</v>
      </c>
      <c r="Q698" t="n">
        <v>0</v>
      </c>
      <c r="R698" s="2" t="inlineStr"/>
    </row>
    <row r="699" ht="15" customHeight="1">
      <c r="A699" t="inlineStr">
        <is>
          <t>A 36155-2023</t>
        </is>
      </c>
      <c r="B699" s="1" t="n">
        <v>45149</v>
      </c>
      <c r="C699" s="1" t="n">
        <v>46204</v>
      </c>
      <c r="D699" t="inlineStr">
        <is>
          <t>KALMAR LÄN</t>
        </is>
      </c>
      <c r="E699" t="inlineStr">
        <is>
          <t>VIMMERBY</t>
        </is>
      </c>
      <c r="G699" t="n">
        <v>5</v>
      </c>
      <c r="H699" t="n">
        <v>0</v>
      </c>
      <c r="I699" t="n">
        <v>0</v>
      </c>
      <c r="J699" t="n">
        <v>0</v>
      </c>
      <c r="K699" t="n">
        <v>0</v>
      </c>
      <c r="L699" t="n">
        <v>0</v>
      </c>
      <c r="M699" t="n">
        <v>0</v>
      </c>
      <c r="N699" t="n">
        <v>0</v>
      </c>
      <c r="O699" t="n">
        <v>0</v>
      </c>
      <c r="P699" t="n">
        <v>0</v>
      </c>
      <c r="Q699" t="n">
        <v>0</v>
      </c>
      <c r="R699" s="2" t="inlineStr"/>
    </row>
    <row r="700" ht="15" customHeight="1">
      <c r="A700" t="inlineStr">
        <is>
          <t>A 29173-2024</t>
        </is>
      </c>
      <c r="B700" s="1" t="n">
        <v>45482</v>
      </c>
      <c r="C700" s="1" t="n">
        <v>46204</v>
      </c>
      <c r="D700" t="inlineStr">
        <is>
          <t>KALMAR LÄN</t>
        </is>
      </c>
      <c r="E700" t="inlineStr">
        <is>
          <t>VIMMERBY</t>
        </is>
      </c>
      <c r="G700" t="n">
        <v>0.6</v>
      </c>
      <c r="H700" t="n">
        <v>0</v>
      </c>
      <c r="I700" t="n">
        <v>0</v>
      </c>
      <c r="J700" t="n">
        <v>0</v>
      </c>
      <c r="K700" t="n">
        <v>0</v>
      </c>
      <c r="L700" t="n">
        <v>0</v>
      </c>
      <c r="M700" t="n">
        <v>0</v>
      </c>
      <c r="N700" t="n">
        <v>0</v>
      </c>
      <c r="O700" t="n">
        <v>0</v>
      </c>
      <c r="P700" t="n">
        <v>0</v>
      </c>
      <c r="Q700" t="n">
        <v>0</v>
      </c>
      <c r="R700" s="2" t="inlineStr"/>
    </row>
    <row r="701" ht="15" customHeight="1">
      <c r="A701" t="inlineStr">
        <is>
          <t>A 53542-2022</t>
        </is>
      </c>
      <c r="B701" s="1" t="n">
        <v>44879</v>
      </c>
      <c r="C701" s="1" t="n">
        <v>46204</v>
      </c>
      <c r="D701" t="inlineStr">
        <is>
          <t>KALMAR LÄN</t>
        </is>
      </c>
      <c r="E701" t="inlineStr">
        <is>
          <t>VIMMERBY</t>
        </is>
      </c>
      <c r="G701" t="n">
        <v>2.6</v>
      </c>
      <c r="H701" t="n">
        <v>0</v>
      </c>
      <c r="I701" t="n">
        <v>0</v>
      </c>
      <c r="J701" t="n">
        <v>0</v>
      </c>
      <c r="K701" t="n">
        <v>0</v>
      </c>
      <c r="L701" t="n">
        <v>0</v>
      </c>
      <c r="M701" t="n">
        <v>0</v>
      </c>
      <c r="N701" t="n">
        <v>0</v>
      </c>
      <c r="O701" t="n">
        <v>0</v>
      </c>
      <c r="P701" t="n">
        <v>0</v>
      </c>
      <c r="Q701" t="n">
        <v>0</v>
      </c>
      <c r="R701" s="2" t="inlineStr"/>
    </row>
    <row r="702" ht="15" customHeight="1">
      <c r="A702" t="inlineStr">
        <is>
          <t>A 6807-2025</t>
        </is>
      </c>
      <c r="B702" s="1" t="n">
        <v>45700</v>
      </c>
      <c r="C702" s="1" t="n">
        <v>46204</v>
      </c>
      <c r="D702" t="inlineStr">
        <is>
          <t>KALMAR LÄN</t>
        </is>
      </c>
      <c r="E702" t="inlineStr">
        <is>
          <t>VIMMERBY</t>
        </is>
      </c>
      <c r="G702" t="n">
        <v>1.4</v>
      </c>
      <c r="H702" t="n">
        <v>0</v>
      </c>
      <c r="I702" t="n">
        <v>0</v>
      </c>
      <c r="J702" t="n">
        <v>0</v>
      </c>
      <c r="K702" t="n">
        <v>0</v>
      </c>
      <c r="L702" t="n">
        <v>0</v>
      </c>
      <c r="M702" t="n">
        <v>0</v>
      </c>
      <c r="N702" t="n">
        <v>0</v>
      </c>
      <c r="O702" t="n">
        <v>0</v>
      </c>
      <c r="P702" t="n">
        <v>0</v>
      </c>
      <c r="Q702" t="n">
        <v>0</v>
      </c>
      <c r="R702" s="2" t="inlineStr"/>
    </row>
    <row r="703" ht="15" customHeight="1">
      <c r="A703" t="inlineStr">
        <is>
          <t>A 7047-2022</t>
        </is>
      </c>
      <c r="B703" s="1" t="n">
        <v>44603</v>
      </c>
      <c r="C703" s="1" t="n">
        <v>46204</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35711-2023</t>
        </is>
      </c>
      <c r="B704" s="1" t="n">
        <v>45147</v>
      </c>
      <c r="C704" s="1" t="n">
        <v>46204</v>
      </c>
      <c r="D704" t="inlineStr">
        <is>
          <t>KALMAR LÄN</t>
        </is>
      </c>
      <c r="E704" t="inlineStr">
        <is>
          <t>VIMMERBY</t>
        </is>
      </c>
      <c r="G704" t="n">
        <v>1</v>
      </c>
      <c r="H704" t="n">
        <v>0</v>
      </c>
      <c r="I704" t="n">
        <v>0</v>
      </c>
      <c r="J704" t="n">
        <v>0</v>
      </c>
      <c r="K704" t="n">
        <v>0</v>
      </c>
      <c r="L704" t="n">
        <v>0</v>
      </c>
      <c r="M704" t="n">
        <v>0</v>
      </c>
      <c r="N704" t="n">
        <v>0</v>
      </c>
      <c r="O704" t="n">
        <v>0</v>
      </c>
      <c r="P704" t="n">
        <v>0</v>
      </c>
      <c r="Q704" t="n">
        <v>0</v>
      </c>
      <c r="R704" s="2" t="inlineStr"/>
    </row>
    <row r="705" ht="15" customHeight="1">
      <c r="A705" t="inlineStr">
        <is>
          <t>A 5382-2023</t>
        </is>
      </c>
      <c r="B705" s="1" t="n">
        <v>44959</v>
      </c>
      <c r="C705" s="1" t="n">
        <v>46204</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40823-2023</t>
        </is>
      </c>
      <c r="B706" s="1" t="n">
        <v>45171</v>
      </c>
      <c r="C706" s="1" t="n">
        <v>46204</v>
      </c>
      <c r="D706" t="inlineStr">
        <is>
          <t>KALMAR LÄN</t>
        </is>
      </c>
      <c r="E706" t="inlineStr">
        <is>
          <t>VIMMERBY</t>
        </is>
      </c>
      <c r="G706" t="n">
        <v>2.7</v>
      </c>
      <c r="H706" t="n">
        <v>0</v>
      </c>
      <c r="I706" t="n">
        <v>0</v>
      </c>
      <c r="J706" t="n">
        <v>0</v>
      </c>
      <c r="K706" t="n">
        <v>0</v>
      </c>
      <c r="L706" t="n">
        <v>0</v>
      </c>
      <c r="M706" t="n">
        <v>0</v>
      </c>
      <c r="N706" t="n">
        <v>0</v>
      </c>
      <c r="O706" t="n">
        <v>0</v>
      </c>
      <c r="P706" t="n">
        <v>0</v>
      </c>
      <c r="Q706" t="n">
        <v>0</v>
      </c>
      <c r="R706" s="2" t="inlineStr"/>
    </row>
    <row r="707" ht="15" customHeight="1">
      <c r="A707" t="inlineStr">
        <is>
          <t>A 30920-2023</t>
        </is>
      </c>
      <c r="B707" s="1" t="n">
        <v>45113</v>
      </c>
      <c r="C707" s="1" t="n">
        <v>46204</v>
      </c>
      <c r="D707" t="inlineStr">
        <is>
          <t>KALMAR LÄN</t>
        </is>
      </c>
      <c r="E707" t="inlineStr">
        <is>
          <t>VIMMERBY</t>
        </is>
      </c>
      <c r="G707" t="n">
        <v>3.1</v>
      </c>
      <c r="H707" t="n">
        <v>0</v>
      </c>
      <c r="I707" t="n">
        <v>0</v>
      </c>
      <c r="J707" t="n">
        <v>0</v>
      </c>
      <c r="K707" t="n">
        <v>0</v>
      </c>
      <c r="L707" t="n">
        <v>0</v>
      </c>
      <c r="M707" t="n">
        <v>0</v>
      </c>
      <c r="N707" t="n">
        <v>0</v>
      </c>
      <c r="O707" t="n">
        <v>0</v>
      </c>
      <c r="P707" t="n">
        <v>0</v>
      </c>
      <c r="Q707" t="n">
        <v>0</v>
      </c>
      <c r="R707" s="2" t="inlineStr"/>
    </row>
    <row r="708" ht="15" customHeight="1">
      <c r="A708" t="inlineStr">
        <is>
          <t>A 6857-2023</t>
        </is>
      </c>
      <c r="B708" s="1" t="n">
        <v>44967</v>
      </c>
      <c r="C708" s="1" t="n">
        <v>46204</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5792-2023</t>
        </is>
      </c>
      <c r="B709" s="1" t="n">
        <v>44963</v>
      </c>
      <c r="C709" s="1" t="n">
        <v>46204</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10303-2025</t>
        </is>
      </c>
      <c r="B710" s="1" t="n">
        <v>45720</v>
      </c>
      <c r="C710" s="1" t="n">
        <v>46204</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60110-2022</t>
        </is>
      </c>
      <c r="B711" s="1" t="n">
        <v>44909</v>
      </c>
      <c r="C711" s="1" t="n">
        <v>46204</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6474-2025</t>
        </is>
      </c>
      <c r="B712" s="1" t="n">
        <v>45699</v>
      </c>
      <c r="C712" s="1" t="n">
        <v>46204</v>
      </c>
      <c r="D712" t="inlineStr">
        <is>
          <t>KALMAR LÄN</t>
        </is>
      </c>
      <c r="E712" t="inlineStr">
        <is>
          <t>VIMMERBY</t>
        </is>
      </c>
      <c r="G712" t="n">
        <v>1.6</v>
      </c>
      <c r="H712" t="n">
        <v>0</v>
      </c>
      <c r="I712" t="n">
        <v>0</v>
      </c>
      <c r="J712" t="n">
        <v>0</v>
      </c>
      <c r="K712" t="n">
        <v>0</v>
      </c>
      <c r="L712" t="n">
        <v>0</v>
      </c>
      <c r="M712" t="n">
        <v>0</v>
      </c>
      <c r="N712" t="n">
        <v>0</v>
      </c>
      <c r="O712" t="n">
        <v>0</v>
      </c>
      <c r="P712" t="n">
        <v>0</v>
      </c>
      <c r="Q712" t="n">
        <v>0</v>
      </c>
      <c r="R712" s="2" t="inlineStr"/>
    </row>
    <row r="713" ht="15" customHeight="1">
      <c r="A713" t="inlineStr">
        <is>
          <t>A 32919-2022</t>
        </is>
      </c>
      <c r="B713" s="1" t="n">
        <v>44784</v>
      </c>
      <c r="C713" s="1" t="n">
        <v>46204</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56659-2023</t>
        </is>
      </c>
      <c r="B714" s="1" t="n">
        <v>45243</v>
      </c>
      <c r="C714" s="1" t="n">
        <v>46204</v>
      </c>
      <c r="D714" t="inlineStr">
        <is>
          <t>KALMAR LÄN</t>
        </is>
      </c>
      <c r="E714" t="inlineStr">
        <is>
          <t>VIMMERBY</t>
        </is>
      </c>
      <c r="G714" t="n">
        <v>0.6</v>
      </c>
      <c r="H714" t="n">
        <v>0</v>
      </c>
      <c r="I714" t="n">
        <v>0</v>
      </c>
      <c r="J714" t="n">
        <v>0</v>
      </c>
      <c r="K714" t="n">
        <v>0</v>
      </c>
      <c r="L714" t="n">
        <v>0</v>
      </c>
      <c r="M714" t="n">
        <v>0</v>
      </c>
      <c r="N714" t="n">
        <v>0</v>
      </c>
      <c r="O714" t="n">
        <v>0</v>
      </c>
      <c r="P714" t="n">
        <v>0</v>
      </c>
      <c r="Q714" t="n">
        <v>0</v>
      </c>
      <c r="R714" s="2" t="inlineStr"/>
    </row>
    <row r="715" ht="15" customHeight="1">
      <c r="A715" t="inlineStr">
        <is>
          <t>A 13015-2022</t>
        </is>
      </c>
      <c r="B715" s="1" t="n">
        <v>44643</v>
      </c>
      <c r="C715" s="1" t="n">
        <v>46204</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55436-2023</t>
        </is>
      </c>
      <c r="B716" s="1" t="n">
        <v>45238</v>
      </c>
      <c r="C716" s="1" t="n">
        <v>46204</v>
      </c>
      <c r="D716" t="inlineStr">
        <is>
          <t>KALMAR LÄN</t>
        </is>
      </c>
      <c r="E716" t="inlineStr">
        <is>
          <t>VIMMERBY</t>
        </is>
      </c>
      <c r="G716" t="n">
        <v>5.6</v>
      </c>
      <c r="H716" t="n">
        <v>0</v>
      </c>
      <c r="I716" t="n">
        <v>0</v>
      </c>
      <c r="J716" t="n">
        <v>0</v>
      </c>
      <c r="K716" t="n">
        <v>0</v>
      </c>
      <c r="L716" t="n">
        <v>0</v>
      </c>
      <c r="M716" t="n">
        <v>0</v>
      </c>
      <c r="N716" t="n">
        <v>0</v>
      </c>
      <c r="O716" t="n">
        <v>0</v>
      </c>
      <c r="P716" t="n">
        <v>0</v>
      </c>
      <c r="Q716" t="n">
        <v>0</v>
      </c>
      <c r="R716" s="2" t="inlineStr"/>
    </row>
    <row r="717" ht="15" customHeight="1">
      <c r="A717" t="inlineStr">
        <is>
          <t>A 56582-2022</t>
        </is>
      </c>
      <c r="B717" s="1" t="n">
        <v>44893</v>
      </c>
      <c r="C717" s="1" t="n">
        <v>46204</v>
      </c>
      <c r="D717" t="inlineStr">
        <is>
          <t>KALMAR LÄN</t>
        </is>
      </c>
      <c r="E717" t="inlineStr">
        <is>
          <t>VIMMERBY</t>
        </is>
      </c>
      <c r="G717" t="n">
        <v>2.2</v>
      </c>
      <c r="H717" t="n">
        <v>0</v>
      </c>
      <c r="I717" t="n">
        <v>0</v>
      </c>
      <c r="J717" t="n">
        <v>0</v>
      </c>
      <c r="K717" t="n">
        <v>0</v>
      </c>
      <c r="L717" t="n">
        <v>0</v>
      </c>
      <c r="M717" t="n">
        <v>0</v>
      </c>
      <c r="N717" t="n">
        <v>0</v>
      </c>
      <c r="O717" t="n">
        <v>0</v>
      </c>
      <c r="P717" t="n">
        <v>0</v>
      </c>
      <c r="Q717" t="n">
        <v>0</v>
      </c>
      <c r="R717" s="2" t="inlineStr"/>
    </row>
    <row r="718" ht="15" customHeight="1">
      <c r="A718" t="inlineStr">
        <is>
          <t>A 43962-2024</t>
        </is>
      </c>
      <c r="B718" s="1" t="n">
        <v>45572</v>
      </c>
      <c r="C718" s="1" t="n">
        <v>46204</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35713-2023</t>
        </is>
      </c>
      <c r="B719" s="1" t="n">
        <v>45147</v>
      </c>
      <c r="C719" s="1" t="n">
        <v>46204</v>
      </c>
      <c r="D719" t="inlineStr">
        <is>
          <t>KALMAR LÄN</t>
        </is>
      </c>
      <c r="E719" t="inlineStr">
        <is>
          <t>VIMMERBY</t>
        </is>
      </c>
      <c r="G719" t="n">
        <v>1.6</v>
      </c>
      <c r="H719" t="n">
        <v>0</v>
      </c>
      <c r="I719" t="n">
        <v>0</v>
      </c>
      <c r="J719" t="n">
        <v>0</v>
      </c>
      <c r="K719" t="n">
        <v>0</v>
      </c>
      <c r="L719" t="n">
        <v>0</v>
      </c>
      <c r="M719" t="n">
        <v>0</v>
      </c>
      <c r="N719" t="n">
        <v>0</v>
      </c>
      <c r="O719" t="n">
        <v>0</v>
      </c>
      <c r="P719" t="n">
        <v>0</v>
      </c>
      <c r="Q719" t="n">
        <v>0</v>
      </c>
      <c r="R719" s="2" t="inlineStr"/>
    </row>
    <row r="720" ht="15" customHeight="1">
      <c r="A720" t="inlineStr">
        <is>
          <t>A 40147-2023</t>
        </is>
      </c>
      <c r="B720" s="1" t="n">
        <v>45169</v>
      </c>
      <c r="C720" s="1" t="n">
        <v>46204</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50995-2022</t>
        </is>
      </c>
      <c r="B721" s="1" t="n">
        <v>44867</v>
      </c>
      <c r="C721" s="1" t="n">
        <v>46204</v>
      </c>
      <c r="D721" t="inlineStr">
        <is>
          <t>KALMAR LÄN</t>
        </is>
      </c>
      <c r="E721" t="inlineStr">
        <is>
          <t>VIMMERBY</t>
        </is>
      </c>
      <c r="G721" t="n">
        <v>2.4</v>
      </c>
      <c r="H721" t="n">
        <v>0</v>
      </c>
      <c r="I721" t="n">
        <v>0</v>
      </c>
      <c r="J721" t="n">
        <v>0</v>
      </c>
      <c r="K721" t="n">
        <v>0</v>
      </c>
      <c r="L721" t="n">
        <v>0</v>
      </c>
      <c r="M721" t="n">
        <v>0</v>
      </c>
      <c r="N721" t="n">
        <v>0</v>
      </c>
      <c r="O721" t="n">
        <v>0</v>
      </c>
      <c r="P721" t="n">
        <v>0</v>
      </c>
      <c r="Q721" t="n">
        <v>0</v>
      </c>
      <c r="R721" s="2" t="inlineStr"/>
    </row>
    <row r="722" ht="15" customHeight="1">
      <c r="A722" t="inlineStr">
        <is>
          <t>A 27993-2022</t>
        </is>
      </c>
      <c r="B722" s="1" t="n">
        <v>44745</v>
      </c>
      <c r="C722" s="1" t="n">
        <v>46204</v>
      </c>
      <c r="D722" t="inlineStr">
        <is>
          <t>KALMAR LÄN</t>
        </is>
      </c>
      <c r="E722" t="inlineStr">
        <is>
          <t>VIMMERBY</t>
        </is>
      </c>
      <c r="G722" t="n">
        <v>2.8</v>
      </c>
      <c r="H722" t="n">
        <v>0</v>
      </c>
      <c r="I722" t="n">
        <v>0</v>
      </c>
      <c r="J722" t="n">
        <v>0</v>
      </c>
      <c r="K722" t="n">
        <v>0</v>
      </c>
      <c r="L722" t="n">
        <v>0</v>
      </c>
      <c r="M722" t="n">
        <v>0</v>
      </c>
      <c r="N722" t="n">
        <v>0</v>
      </c>
      <c r="O722" t="n">
        <v>0</v>
      </c>
      <c r="P722" t="n">
        <v>0</v>
      </c>
      <c r="Q722" t="n">
        <v>0</v>
      </c>
      <c r="R722" s="2" t="inlineStr"/>
    </row>
    <row r="723" ht="15" customHeight="1">
      <c r="A723" t="inlineStr">
        <is>
          <t>A 57555-2024</t>
        </is>
      </c>
      <c r="B723" s="1" t="n">
        <v>45630</v>
      </c>
      <c r="C723" s="1" t="n">
        <v>46204</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36014-2024</t>
        </is>
      </c>
      <c r="B724" s="1" t="n">
        <v>45533</v>
      </c>
      <c r="C724" s="1" t="n">
        <v>46204</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36030-2024</t>
        </is>
      </c>
      <c r="B725" s="1" t="n">
        <v>45533</v>
      </c>
      <c r="C725" s="1" t="n">
        <v>46204</v>
      </c>
      <c r="D725" t="inlineStr">
        <is>
          <t>KALMAR LÄN</t>
        </is>
      </c>
      <c r="E725" t="inlineStr">
        <is>
          <t>VIMMERBY</t>
        </is>
      </c>
      <c r="F725" t="inlineStr">
        <is>
          <t>Kommuner</t>
        </is>
      </c>
      <c r="G725" t="n">
        <v>4</v>
      </c>
      <c r="H725" t="n">
        <v>0</v>
      </c>
      <c r="I725" t="n">
        <v>0</v>
      </c>
      <c r="J725" t="n">
        <v>0</v>
      </c>
      <c r="K725" t="n">
        <v>0</v>
      </c>
      <c r="L725" t="n">
        <v>0</v>
      </c>
      <c r="M725" t="n">
        <v>0</v>
      </c>
      <c r="N725" t="n">
        <v>0</v>
      </c>
      <c r="O725" t="n">
        <v>0</v>
      </c>
      <c r="P725" t="n">
        <v>0</v>
      </c>
      <c r="Q725" t="n">
        <v>0</v>
      </c>
      <c r="R725" s="2" t="inlineStr"/>
    </row>
    <row r="726" ht="15" customHeight="1">
      <c r="A726" t="inlineStr">
        <is>
          <t>A 32865-2023</t>
        </is>
      </c>
      <c r="B726" s="1" t="n">
        <v>45124</v>
      </c>
      <c r="C726" s="1" t="n">
        <v>46204</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42918-2021</t>
        </is>
      </c>
      <c r="B727" s="1" t="n">
        <v>44431</v>
      </c>
      <c r="C727" s="1" t="n">
        <v>46204</v>
      </c>
      <c r="D727" t="inlineStr">
        <is>
          <t>KALMAR LÄN</t>
        </is>
      </c>
      <c r="E727" t="inlineStr">
        <is>
          <t>VIMMERBY</t>
        </is>
      </c>
      <c r="G727" t="n">
        <v>1.6</v>
      </c>
      <c r="H727" t="n">
        <v>0</v>
      </c>
      <c r="I727" t="n">
        <v>0</v>
      </c>
      <c r="J727" t="n">
        <v>0</v>
      </c>
      <c r="K727" t="n">
        <v>0</v>
      </c>
      <c r="L727" t="n">
        <v>0</v>
      </c>
      <c r="M727" t="n">
        <v>0</v>
      </c>
      <c r="N727" t="n">
        <v>0</v>
      </c>
      <c r="O727" t="n">
        <v>0</v>
      </c>
      <c r="P727" t="n">
        <v>0</v>
      </c>
      <c r="Q727" t="n">
        <v>0</v>
      </c>
      <c r="R727" s="2" t="inlineStr"/>
    </row>
    <row r="728" ht="15" customHeight="1">
      <c r="A728" t="inlineStr">
        <is>
          <t>A 22643-2023</t>
        </is>
      </c>
      <c r="B728" s="1" t="n">
        <v>45071</v>
      </c>
      <c r="C728" s="1" t="n">
        <v>46204</v>
      </c>
      <c r="D728" t="inlineStr">
        <is>
          <t>KALMAR LÄN</t>
        </is>
      </c>
      <c r="E728" t="inlineStr">
        <is>
          <t>VIMMERBY</t>
        </is>
      </c>
      <c r="G728" t="n">
        <v>3.9</v>
      </c>
      <c r="H728" t="n">
        <v>0</v>
      </c>
      <c r="I728" t="n">
        <v>0</v>
      </c>
      <c r="J728" t="n">
        <v>0</v>
      </c>
      <c r="K728" t="n">
        <v>0</v>
      </c>
      <c r="L728" t="n">
        <v>0</v>
      </c>
      <c r="M728" t="n">
        <v>0</v>
      </c>
      <c r="N728" t="n">
        <v>0</v>
      </c>
      <c r="O728" t="n">
        <v>0</v>
      </c>
      <c r="P728" t="n">
        <v>0</v>
      </c>
      <c r="Q728" t="n">
        <v>0</v>
      </c>
      <c r="R728" s="2" t="inlineStr"/>
    </row>
    <row r="729" ht="15" customHeight="1">
      <c r="A729" t="inlineStr">
        <is>
          <t>A 38780-2021</t>
        </is>
      </c>
      <c r="B729" s="1" t="n">
        <v>44410</v>
      </c>
      <c r="C729" s="1" t="n">
        <v>46204</v>
      </c>
      <c r="D729" t="inlineStr">
        <is>
          <t>KALMAR LÄN</t>
        </is>
      </c>
      <c r="E729" t="inlineStr">
        <is>
          <t>VIMMERBY</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29020-2024</t>
        </is>
      </c>
      <c r="B730" s="1" t="n">
        <v>45481</v>
      </c>
      <c r="C730" s="1" t="n">
        <v>46204</v>
      </c>
      <c r="D730" t="inlineStr">
        <is>
          <t>KALMAR LÄN</t>
        </is>
      </c>
      <c r="E730" t="inlineStr">
        <is>
          <t>VIMMERBY</t>
        </is>
      </c>
      <c r="G730" t="n">
        <v>2.3</v>
      </c>
      <c r="H730" t="n">
        <v>0</v>
      </c>
      <c r="I730" t="n">
        <v>0</v>
      </c>
      <c r="J730" t="n">
        <v>0</v>
      </c>
      <c r="K730" t="n">
        <v>0</v>
      </c>
      <c r="L730" t="n">
        <v>0</v>
      </c>
      <c r="M730" t="n">
        <v>0</v>
      </c>
      <c r="N730" t="n">
        <v>0</v>
      </c>
      <c r="O730" t="n">
        <v>0</v>
      </c>
      <c r="P730" t="n">
        <v>0</v>
      </c>
      <c r="Q730" t="n">
        <v>0</v>
      </c>
      <c r="R730" s="2" t="inlineStr"/>
    </row>
    <row r="731" ht="15" customHeight="1">
      <c r="A731" t="inlineStr">
        <is>
          <t>A 30406-2023</t>
        </is>
      </c>
      <c r="B731" s="1" t="n">
        <v>45111</v>
      </c>
      <c r="C731" s="1" t="n">
        <v>46204</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13817-2024</t>
        </is>
      </c>
      <c r="B732" s="1" t="n">
        <v>45391</v>
      </c>
      <c r="C732" s="1" t="n">
        <v>46204</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25582-2024</t>
        </is>
      </c>
      <c r="B733" s="1" t="n">
        <v>45463</v>
      </c>
      <c r="C733" s="1" t="n">
        <v>46204</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57578-2024</t>
        </is>
      </c>
      <c r="B734" s="1" t="n">
        <v>45630</v>
      </c>
      <c r="C734" s="1" t="n">
        <v>46204</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6307-2025</t>
        </is>
      </c>
      <c r="B735" s="1" t="n">
        <v>45698</v>
      </c>
      <c r="C735" s="1" t="n">
        <v>46204</v>
      </c>
      <c r="D735" t="inlineStr">
        <is>
          <t>KALMAR LÄN</t>
        </is>
      </c>
      <c r="E735" t="inlineStr">
        <is>
          <t>VIMMERBY</t>
        </is>
      </c>
      <c r="G735" t="n">
        <v>3</v>
      </c>
      <c r="H735" t="n">
        <v>0</v>
      </c>
      <c r="I735" t="n">
        <v>0</v>
      </c>
      <c r="J735" t="n">
        <v>0</v>
      </c>
      <c r="K735" t="n">
        <v>0</v>
      </c>
      <c r="L735" t="n">
        <v>0</v>
      </c>
      <c r="M735" t="n">
        <v>0</v>
      </c>
      <c r="N735" t="n">
        <v>0</v>
      </c>
      <c r="O735" t="n">
        <v>0</v>
      </c>
      <c r="P735" t="n">
        <v>0</v>
      </c>
      <c r="Q735" t="n">
        <v>0</v>
      </c>
      <c r="R735" s="2" t="inlineStr"/>
    </row>
    <row r="736" ht="15" customHeight="1">
      <c r="A736" t="inlineStr">
        <is>
          <t>A 11442-2025</t>
        </is>
      </c>
      <c r="B736" s="1" t="n">
        <v>45726</v>
      </c>
      <c r="C736" s="1" t="n">
        <v>46204</v>
      </c>
      <c r="D736" t="inlineStr">
        <is>
          <t>KALMAR LÄN</t>
        </is>
      </c>
      <c r="E736" t="inlineStr">
        <is>
          <t>VIMMERBY</t>
        </is>
      </c>
      <c r="G736" t="n">
        <v>2.6</v>
      </c>
      <c r="H736" t="n">
        <v>0</v>
      </c>
      <c r="I736" t="n">
        <v>0</v>
      </c>
      <c r="J736" t="n">
        <v>0</v>
      </c>
      <c r="K736" t="n">
        <v>0</v>
      </c>
      <c r="L736" t="n">
        <v>0</v>
      </c>
      <c r="M736" t="n">
        <v>0</v>
      </c>
      <c r="N736" t="n">
        <v>0</v>
      </c>
      <c r="O736" t="n">
        <v>0</v>
      </c>
      <c r="P736" t="n">
        <v>0</v>
      </c>
      <c r="Q736" t="n">
        <v>0</v>
      </c>
      <c r="R736" s="2" t="inlineStr"/>
    </row>
    <row r="737" ht="15" customHeight="1">
      <c r="A737" t="inlineStr">
        <is>
          <t>A 23984-2025</t>
        </is>
      </c>
      <c r="B737" s="1" t="n">
        <v>45796</v>
      </c>
      <c r="C737" s="1" t="n">
        <v>46204</v>
      </c>
      <c r="D737" t="inlineStr">
        <is>
          <t>KALMAR LÄN</t>
        </is>
      </c>
      <c r="E737" t="inlineStr">
        <is>
          <t>VIMMERBY</t>
        </is>
      </c>
      <c r="G737" t="n">
        <v>1.4</v>
      </c>
      <c r="H737" t="n">
        <v>0</v>
      </c>
      <c r="I737" t="n">
        <v>0</v>
      </c>
      <c r="J737" t="n">
        <v>0</v>
      </c>
      <c r="K737" t="n">
        <v>0</v>
      </c>
      <c r="L737" t="n">
        <v>0</v>
      </c>
      <c r="M737" t="n">
        <v>0</v>
      </c>
      <c r="N737" t="n">
        <v>0</v>
      </c>
      <c r="O737" t="n">
        <v>0</v>
      </c>
      <c r="P737" t="n">
        <v>0</v>
      </c>
      <c r="Q737" t="n">
        <v>0</v>
      </c>
      <c r="R737" s="2" t="inlineStr"/>
    </row>
    <row r="738" ht="15" customHeight="1">
      <c r="A738" t="inlineStr">
        <is>
          <t>A 35082-2024</t>
        </is>
      </c>
      <c r="B738" s="1" t="n">
        <v>45527</v>
      </c>
      <c r="C738" s="1" t="n">
        <v>46204</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51278-2024</t>
        </is>
      </c>
      <c r="B739" s="1" t="n">
        <v>45603</v>
      </c>
      <c r="C739" s="1" t="n">
        <v>46204</v>
      </c>
      <c r="D739" t="inlineStr">
        <is>
          <t>KALMAR LÄN</t>
        </is>
      </c>
      <c r="E739" t="inlineStr">
        <is>
          <t>VIMMERBY</t>
        </is>
      </c>
      <c r="G739" t="n">
        <v>3.4</v>
      </c>
      <c r="H739" t="n">
        <v>0</v>
      </c>
      <c r="I739" t="n">
        <v>0</v>
      </c>
      <c r="J739" t="n">
        <v>0</v>
      </c>
      <c r="K739" t="n">
        <v>0</v>
      </c>
      <c r="L739" t="n">
        <v>0</v>
      </c>
      <c r="M739" t="n">
        <v>0</v>
      </c>
      <c r="N739" t="n">
        <v>0</v>
      </c>
      <c r="O739" t="n">
        <v>0</v>
      </c>
      <c r="P739" t="n">
        <v>0</v>
      </c>
      <c r="Q739" t="n">
        <v>0</v>
      </c>
      <c r="R739" s="2" t="inlineStr"/>
    </row>
    <row r="740" ht="15" customHeight="1">
      <c r="A740" t="inlineStr">
        <is>
          <t>A 9456-2025</t>
        </is>
      </c>
      <c r="B740" s="1" t="n">
        <v>45715</v>
      </c>
      <c r="C740" s="1" t="n">
        <v>46204</v>
      </c>
      <c r="D740" t="inlineStr">
        <is>
          <t>KALMAR LÄN</t>
        </is>
      </c>
      <c r="E740" t="inlineStr">
        <is>
          <t>VIMMERBY</t>
        </is>
      </c>
      <c r="G740" t="n">
        <v>1.5</v>
      </c>
      <c r="H740" t="n">
        <v>0</v>
      </c>
      <c r="I740" t="n">
        <v>0</v>
      </c>
      <c r="J740" t="n">
        <v>0</v>
      </c>
      <c r="K740" t="n">
        <v>0</v>
      </c>
      <c r="L740" t="n">
        <v>0</v>
      </c>
      <c r="M740" t="n">
        <v>0</v>
      </c>
      <c r="N740" t="n">
        <v>0</v>
      </c>
      <c r="O740" t="n">
        <v>0</v>
      </c>
      <c r="P740" t="n">
        <v>0</v>
      </c>
      <c r="Q740" t="n">
        <v>0</v>
      </c>
      <c r="R740" s="2" t="inlineStr"/>
    </row>
    <row r="741" ht="15" customHeight="1">
      <c r="A741" t="inlineStr">
        <is>
          <t>A 11111-2023</t>
        </is>
      </c>
      <c r="B741" s="1" t="n">
        <v>44992</v>
      </c>
      <c r="C741" s="1" t="n">
        <v>46204</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44582-2024</t>
        </is>
      </c>
      <c r="B742" s="1" t="n">
        <v>45574</v>
      </c>
      <c r="C742" s="1" t="n">
        <v>46204</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15494-2024</t>
        </is>
      </c>
      <c r="B743" s="1" t="n">
        <v>45401</v>
      </c>
      <c r="C743" s="1" t="n">
        <v>46204</v>
      </c>
      <c r="D743" t="inlineStr">
        <is>
          <t>KALMAR LÄN</t>
        </is>
      </c>
      <c r="E743" t="inlineStr">
        <is>
          <t>VIMMERBY</t>
        </is>
      </c>
      <c r="G743" t="n">
        <v>3.2</v>
      </c>
      <c r="H743" t="n">
        <v>0</v>
      </c>
      <c r="I743" t="n">
        <v>0</v>
      </c>
      <c r="J743" t="n">
        <v>0</v>
      </c>
      <c r="K743" t="n">
        <v>0</v>
      </c>
      <c r="L743" t="n">
        <v>0</v>
      </c>
      <c r="M743" t="n">
        <v>0</v>
      </c>
      <c r="N743" t="n">
        <v>0</v>
      </c>
      <c r="O743" t="n">
        <v>0</v>
      </c>
      <c r="P743" t="n">
        <v>0</v>
      </c>
      <c r="Q743" t="n">
        <v>0</v>
      </c>
      <c r="R743" s="2" t="inlineStr"/>
    </row>
    <row r="744" ht="15" customHeight="1">
      <c r="A744" t="inlineStr">
        <is>
          <t>A 58724-2024</t>
        </is>
      </c>
      <c r="B744" s="1" t="n">
        <v>45635</v>
      </c>
      <c r="C744" s="1" t="n">
        <v>46204</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25792-2025</t>
        </is>
      </c>
      <c r="B745" s="1" t="n">
        <v>45804</v>
      </c>
      <c r="C745" s="1" t="n">
        <v>46204</v>
      </c>
      <c r="D745" t="inlineStr">
        <is>
          <t>KALMAR LÄN</t>
        </is>
      </c>
      <c r="E745" t="inlineStr">
        <is>
          <t>VIMMERBY</t>
        </is>
      </c>
      <c r="G745" t="n">
        <v>0.8</v>
      </c>
      <c r="H745" t="n">
        <v>0</v>
      </c>
      <c r="I745" t="n">
        <v>0</v>
      </c>
      <c r="J745" t="n">
        <v>0</v>
      </c>
      <c r="K745" t="n">
        <v>0</v>
      </c>
      <c r="L745" t="n">
        <v>0</v>
      </c>
      <c r="M745" t="n">
        <v>0</v>
      </c>
      <c r="N745" t="n">
        <v>0</v>
      </c>
      <c r="O745" t="n">
        <v>0</v>
      </c>
      <c r="P745" t="n">
        <v>0</v>
      </c>
      <c r="Q745" t="n">
        <v>0</v>
      </c>
      <c r="R745" s="2" t="inlineStr"/>
    </row>
    <row r="746" ht="15" customHeight="1">
      <c r="A746" t="inlineStr">
        <is>
          <t>A 26046-2025</t>
        </is>
      </c>
      <c r="B746" s="1" t="n">
        <v>45804</v>
      </c>
      <c r="C746" s="1" t="n">
        <v>46204</v>
      </c>
      <c r="D746" t="inlineStr">
        <is>
          <t>KALMAR LÄN</t>
        </is>
      </c>
      <c r="E746" t="inlineStr">
        <is>
          <t>VIMMERBY</t>
        </is>
      </c>
      <c r="F746" t="inlineStr">
        <is>
          <t>Sveaskog</t>
        </is>
      </c>
      <c r="G746" t="n">
        <v>5.1</v>
      </c>
      <c r="H746" t="n">
        <v>0</v>
      </c>
      <c r="I746" t="n">
        <v>0</v>
      </c>
      <c r="J746" t="n">
        <v>0</v>
      </c>
      <c r="K746" t="n">
        <v>0</v>
      </c>
      <c r="L746" t="n">
        <v>0</v>
      </c>
      <c r="M746" t="n">
        <v>0</v>
      </c>
      <c r="N746" t="n">
        <v>0</v>
      </c>
      <c r="O746" t="n">
        <v>0</v>
      </c>
      <c r="P746" t="n">
        <v>0</v>
      </c>
      <c r="Q746" t="n">
        <v>0</v>
      </c>
      <c r="R746" s="2" t="inlineStr"/>
    </row>
    <row r="747" ht="15" customHeight="1">
      <c r="A747" t="inlineStr">
        <is>
          <t>A 26207-2025</t>
        </is>
      </c>
      <c r="B747" s="1" t="n">
        <v>45805</v>
      </c>
      <c r="C747" s="1" t="n">
        <v>46204</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28294-2025</t>
        </is>
      </c>
      <c r="B748" s="1" t="n">
        <v>45818</v>
      </c>
      <c r="C748" s="1" t="n">
        <v>46204</v>
      </c>
      <c r="D748" t="inlineStr">
        <is>
          <t>KALMAR LÄN</t>
        </is>
      </c>
      <c r="E748" t="inlineStr">
        <is>
          <t>VIMMERBY</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28290-2025</t>
        </is>
      </c>
      <c r="B749" s="1" t="n">
        <v>45818</v>
      </c>
      <c r="C749" s="1" t="n">
        <v>46204</v>
      </c>
      <c r="D749" t="inlineStr">
        <is>
          <t>KALMAR LÄN</t>
        </is>
      </c>
      <c r="E749" t="inlineStr">
        <is>
          <t>VIMMERBY</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28713-2025</t>
        </is>
      </c>
      <c r="B750" s="1" t="n">
        <v>45820</v>
      </c>
      <c r="C750" s="1" t="n">
        <v>46204</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c r="A751" t="inlineStr">
        <is>
          <t>A 29737-2025</t>
        </is>
      </c>
      <c r="B751" s="1" t="n">
        <v>45825</v>
      </c>
      <c r="C751" s="1" t="n">
        <v>46204</v>
      </c>
      <c r="D751" t="inlineStr">
        <is>
          <t>KALMAR LÄN</t>
        </is>
      </c>
      <c r="E751" t="inlineStr">
        <is>
          <t>VIMMERBY</t>
        </is>
      </c>
      <c r="G751" t="n">
        <v>1.2</v>
      </c>
      <c r="H751" t="n">
        <v>0</v>
      </c>
      <c r="I751" t="n">
        <v>0</v>
      </c>
      <c r="J751" t="n">
        <v>0</v>
      </c>
      <c r="K751" t="n">
        <v>0</v>
      </c>
      <c r="L751" t="n">
        <v>0</v>
      </c>
      <c r="M751" t="n">
        <v>0</v>
      </c>
      <c r="N751" t="n">
        <v>0</v>
      </c>
      <c r="O751" t="n">
        <v>0</v>
      </c>
      <c r="P751" t="n">
        <v>0</v>
      </c>
      <c r="Q751" t="n">
        <v>0</v>
      </c>
      <c r="R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2026-07-01T01:03:22Z</dcterms:created>
  <dcterms:modified xmlns:dcterms="http://purl.org/dc/terms/" xmlns:xsi="http://www.w3.org/2001/XMLSchema-instance" xsi:type="dcterms:W3CDTF">2026-07-01T01:03:22Z</dcterms:modified>
</cp:coreProperties>
</file>