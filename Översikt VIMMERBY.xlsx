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45583</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45583</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45583</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45583</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45583</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45583</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45583</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45583</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45583</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45583</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45583</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45583</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45583</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45583</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45583</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45583</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45583</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45583</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45583</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45583</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45583</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45583</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45583</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45583</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45583</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45583</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45583</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44684-2024</t>
        </is>
      </c>
      <c r="B72" s="1" t="n">
        <v>45574</v>
      </c>
      <c r="C72" s="1" t="n">
        <v>45583</v>
      </c>
      <c r="D72" t="inlineStr">
        <is>
          <t>KALMAR LÄN</t>
        </is>
      </c>
      <c r="E72" t="inlineStr">
        <is>
          <t>VIMMERBY</t>
        </is>
      </c>
      <c r="G72" t="n">
        <v>2.8</v>
      </c>
      <c r="H72" t="n">
        <v>0</v>
      </c>
      <c r="I72" t="n">
        <v>1</v>
      </c>
      <c r="J72" t="n">
        <v>0</v>
      </c>
      <c r="K72" t="n">
        <v>0</v>
      </c>
      <c r="L72" t="n">
        <v>0</v>
      </c>
      <c r="M72" t="n">
        <v>0</v>
      </c>
      <c r="N72" t="n">
        <v>0</v>
      </c>
      <c r="O72" t="n">
        <v>0</v>
      </c>
      <c r="P72" t="n">
        <v>0</v>
      </c>
      <c r="Q72" t="n">
        <v>1</v>
      </c>
      <c r="R72" s="2" t="inlineStr">
        <is>
          <t>Blåmossa</t>
        </is>
      </c>
      <c r="S72">
        <f>HYPERLINK("https://klasma.github.io/Logging_0884/artfynd/A 44684-2024 artfynd.xlsx", "A 44684-2024")</f>
        <v/>
      </c>
      <c r="T72">
        <f>HYPERLINK("https://klasma.github.io/Logging_0884/kartor/A 44684-2024 karta.png", "A 44684-2024")</f>
        <v/>
      </c>
      <c r="U72">
        <f>HYPERLINK("https://klasma.github.io/Logging_0884/knärot/A 44684-2024 karta knärot.png", "A 44684-2024")</f>
        <v/>
      </c>
      <c r="V72">
        <f>HYPERLINK("https://klasma.github.io/Logging_0884/klagomål/A 44684-2024 FSC-klagomål.docx", "A 44684-2024")</f>
        <v/>
      </c>
      <c r="W72">
        <f>HYPERLINK("https://klasma.github.io/Logging_0884/klagomålsmail/A 44684-2024 FSC-klagomål mail.docx", "A 44684-2024")</f>
        <v/>
      </c>
      <c r="X72">
        <f>HYPERLINK("https://klasma.github.io/Logging_0884/tillsyn/A 44684-2024 tillsynsbegäran.docx", "A 44684-2024")</f>
        <v/>
      </c>
      <c r="Y72">
        <f>HYPERLINK("https://klasma.github.io/Logging_0884/tillsynsmail/A 44684-2024 tillsynsbegäran mail.docx", "A 44684-2024")</f>
        <v/>
      </c>
    </row>
    <row r="73" ht="15" customHeight="1">
      <c r="A73" t="inlineStr">
        <is>
          <t>A 44723-2024</t>
        </is>
      </c>
      <c r="B73" s="1" t="n">
        <v>45574</v>
      </c>
      <c r="C73" s="1" t="n">
        <v>45583</v>
      </c>
      <c r="D73" t="inlineStr">
        <is>
          <t>KALMAR LÄN</t>
        </is>
      </c>
      <c r="E73" t="inlineStr">
        <is>
          <t>VIMMERBY</t>
        </is>
      </c>
      <c r="G73" t="n">
        <v>6.9</v>
      </c>
      <c r="H73" t="n">
        <v>0</v>
      </c>
      <c r="I73" t="n">
        <v>1</v>
      </c>
      <c r="J73" t="n">
        <v>0</v>
      </c>
      <c r="K73" t="n">
        <v>0</v>
      </c>
      <c r="L73" t="n">
        <v>0</v>
      </c>
      <c r="M73" t="n">
        <v>0</v>
      </c>
      <c r="N73" t="n">
        <v>0</v>
      </c>
      <c r="O73" t="n">
        <v>0</v>
      </c>
      <c r="P73" t="n">
        <v>0</v>
      </c>
      <c r="Q73" t="n">
        <v>1</v>
      </c>
      <c r="R73" s="2" t="inlineStr">
        <is>
          <t>Dropptaggsvamp</t>
        </is>
      </c>
      <c r="S73">
        <f>HYPERLINK("https://klasma.github.io/Logging_0884/artfynd/A 44723-2024 artfynd.xlsx", "A 44723-2024")</f>
        <v/>
      </c>
      <c r="T73">
        <f>HYPERLINK("https://klasma.github.io/Logging_0884/kartor/A 44723-2024 karta.png", "A 44723-2024")</f>
        <v/>
      </c>
      <c r="V73">
        <f>HYPERLINK("https://klasma.github.io/Logging_0884/klagomål/A 44723-2024 FSC-klagomål.docx", "A 44723-2024")</f>
        <v/>
      </c>
      <c r="W73">
        <f>HYPERLINK("https://klasma.github.io/Logging_0884/klagomålsmail/A 44723-2024 FSC-klagomål mail.docx", "A 44723-2024")</f>
        <v/>
      </c>
      <c r="X73">
        <f>HYPERLINK("https://klasma.github.io/Logging_0884/tillsyn/A 44723-2024 tillsynsbegäran.docx", "A 44723-2024")</f>
        <v/>
      </c>
      <c r="Y73">
        <f>HYPERLINK("https://klasma.github.io/Logging_0884/tillsynsmail/A 44723-2024 tillsynsbegäran mail.docx", "A 44723-2024")</f>
        <v/>
      </c>
    </row>
    <row r="74" ht="15" customHeight="1">
      <c r="A74" t="inlineStr">
        <is>
          <t>A 44651-2024</t>
        </is>
      </c>
      <c r="B74" s="1" t="n">
        <v>45574</v>
      </c>
      <c r="C74" s="1" t="n">
        <v>45583</v>
      </c>
      <c r="D74" t="inlineStr">
        <is>
          <t>KALMAR LÄN</t>
        </is>
      </c>
      <c r="E74" t="inlineStr">
        <is>
          <t>VIMMERBY</t>
        </is>
      </c>
      <c r="G74" t="n">
        <v>3</v>
      </c>
      <c r="H74" t="n">
        <v>0</v>
      </c>
      <c r="I74" t="n">
        <v>0</v>
      </c>
      <c r="J74" t="n">
        <v>0</v>
      </c>
      <c r="K74" t="n">
        <v>0</v>
      </c>
      <c r="L74" t="n">
        <v>1</v>
      </c>
      <c r="M74" t="n">
        <v>0</v>
      </c>
      <c r="N74" t="n">
        <v>0</v>
      </c>
      <c r="O74" t="n">
        <v>1</v>
      </c>
      <c r="P74" t="n">
        <v>1</v>
      </c>
      <c r="Q74" t="n">
        <v>1</v>
      </c>
      <c r="R74" s="2" t="inlineStr">
        <is>
          <t>Ryl</t>
        </is>
      </c>
      <c r="S74">
        <f>HYPERLINK("https://klasma.github.io/Logging_0884/artfynd/A 44651-2024 artfynd.xlsx", "A 44651-2024")</f>
        <v/>
      </c>
      <c r="T74">
        <f>HYPERLINK("https://klasma.github.io/Logging_0884/kartor/A 44651-2024 karta.png", "A 44651-2024")</f>
        <v/>
      </c>
      <c r="V74">
        <f>HYPERLINK("https://klasma.github.io/Logging_0884/klagomål/A 44651-2024 FSC-klagomål.docx", "A 44651-2024")</f>
        <v/>
      </c>
      <c r="W74">
        <f>HYPERLINK("https://klasma.github.io/Logging_0884/klagomålsmail/A 44651-2024 FSC-klagomål mail.docx", "A 44651-2024")</f>
        <v/>
      </c>
      <c r="X74">
        <f>HYPERLINK("https://klasma.github.io/Logging_0884/tillsyn/A 44651-2024 tillsynsbegäran.docx", "A 44651-2024")</f>
        <v/>
      </c>
      <c r="Y74">
        <f>HYPERLINK("https://klasma.github.io/Logging_0884/tillsynsmail/A 44651-2024 tillsynsbegäran mail.docx", "A 44651-2024")</f>
        <v/>
      </c>
    </row>
    <row r="75" ht="15" customHeight="1">
      <c r="A75" t="inlineStr">
        <is>
          <t>A 44515-2024</t>
        </is>
      </c>
      <c r="B75" s="1" t="n">
        <v>45574</v>
      </c>
      <c r="C75" s="1" t="n">
        <v>45583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18658-2019</t>
        </is>
      </c>
      <c r="B76" s="1" t="n">
        <v>43559</v>
      </c>
      <c r="C76" s="1" t="n">
        <v>45583</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45583</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45583</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45583</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45583</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45583</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45583</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45583</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45583</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45583</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45583</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45583</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45583</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45583</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45583</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45583</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45583</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45583</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45583</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45583</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45583</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45583</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45583</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45583</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45583</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45583</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45583</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45583</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45583</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45583</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45583</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45583</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45583</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45583</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45583</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45583</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45583</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45583</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45583</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45583</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45583</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45583</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45583</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45583</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45583</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45583</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45583</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45583</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45583</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45583</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45583</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45583</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45583</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45583</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45583</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45583</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45583</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45583</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45583</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45583</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45583</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45583</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45583</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45583</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45583</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45583</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45583</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45583</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45583</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45583</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45583</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45583</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45583</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45583</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45583</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45583</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45583</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45583</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45583</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45583</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45583</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45583</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45583</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45583</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45583</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45583</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45583</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45583</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45583</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45583</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45583</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45583</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45583</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45583</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45583</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45583</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45583</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45583</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45583</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45583</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45583</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45583</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45583</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45583</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45583</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45583</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45583</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45583</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45583</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45583</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45583</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45583</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45583</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45583</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45583</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45583</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45583</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45583</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45583</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45583</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45583</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45583</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45583</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45583</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45583</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45583</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45583</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45583</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45583</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45583</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45583</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45583</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45583</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45583</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45583</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45583</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45583</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45583</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45583</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45583</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45583</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45583</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45583</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45583</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45583</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45583</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45583</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45583</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45583</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45583</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45583</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45583</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45583</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45583</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45583</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45583</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45583</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45583</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45583</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45583</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45583</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45583</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45583</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45583</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45583</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45583</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45583</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45583</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45583</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45583</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45583</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45583</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45583</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45583</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45583</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45583</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45583</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45583</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45583</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45583</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45583</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45583</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45583</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45583</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45583</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45583</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45583</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45583</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45583</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45583</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45583</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45583</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45583</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45583</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45583</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45583</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45583</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45583</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45583</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45583</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45583</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45583</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45583</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45583</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45583</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45583</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45583</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45583</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45583</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45583</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45583</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45583</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45583</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45583</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45583</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45583</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45583</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45583</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45583</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45583</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45583</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45583</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45583</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45583</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45583</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45583</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45583</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45583</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45583</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45583</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45583</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45583</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45583</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45583</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45583</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45583</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45583</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45583</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45583</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45583</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45583</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45583</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45583</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45583</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45583</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45583</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45583</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45583</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45583</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45583</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45583</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45583</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45583</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45583</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45583</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45583</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45583</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45583</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45583</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45583</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45583</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45583</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45583</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45583</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45583</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45583</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45583</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45583</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45583</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45583</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45583</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45583</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45583</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45583</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45583</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45583</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45583</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45583</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45583</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45583</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45583</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45583</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45583</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45583</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45583</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45583</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45583</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45583</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45583</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45583</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45583</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45583</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45583</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45583</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45583</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45583</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45583</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45583</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45583</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45583</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45583</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45583</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45583</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45583</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45583</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45583</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45583</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45583</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45583</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45583</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45583</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45583</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45583</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45583</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45583</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45583</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45583</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45583</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45583</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45583</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45583</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45583</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45583</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45583</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45583</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45583</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45583</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45583</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45583</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45583</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45583</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45583</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45583</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45583</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45583</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45583</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45583</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45583</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45583</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45583</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45583</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45583</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45583</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45583</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45583</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45583</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45583</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45583</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45583</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45583</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45583</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45583</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45583</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45583</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45583</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45583</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45583</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45583</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45583</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45583</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45583</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45583</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45583</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45583</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45583</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45583</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45583</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45583</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45583</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45583</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45583</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45583</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45583</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45583</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45583</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45583</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45583</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45583</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45583</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45583</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45583</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45583</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45583</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45583</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45583</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45583</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45583</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45583</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45583</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45583</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45583</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45583</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45583</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45583</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45583</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45583</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45583</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45583</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45583</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45583</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45583</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45583</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45583</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45583</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45583</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45583</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45583</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45583</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45583</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45583</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45583</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45583</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45583</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45583</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45583</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45583</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45583</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45583</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45583</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45583</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45583</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45583</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45583</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45583</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45583</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45583</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45583</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45583</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45583</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45583</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45583</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45583</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45583</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45583</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45583</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45583</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45583</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45583</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45583</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45583</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45583</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45583</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45583</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45583</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45583</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45583</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45583</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45583</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45583</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45583</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45583</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45583</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45583</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45583</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45583</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45583</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45583</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45583</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45583</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45583</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45583</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45583</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45583</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45583</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45583</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45583</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45583</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45583</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45583</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45583</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45583</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45583</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45583</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45583</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45583</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45583</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45583</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45583</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45583</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45583</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45583</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45583</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45583</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45583</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45583</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45583</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45583</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45583</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45583</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45583</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45583</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45583</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45583</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45583</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45583</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45583</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45583</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45583</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45583</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45583</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45583</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45583</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45583</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45583</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45583</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45583</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45583</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45583</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45583</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45583</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45583</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45583</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45583</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45583</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45583</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45583</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45583</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45583</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45583</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45583</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45583</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45583</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45583</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45583</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45583</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45583</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45583</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45583</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45583</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45583</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45583</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45583</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45583</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45583</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45583</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45583</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45583</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45583</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45583</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45583</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45583</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45583</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45583</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45583</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45583</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45583</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45583</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45583</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45583</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45583</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45583</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45583</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45583</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45583</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45583</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45583</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45583</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45583</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45583</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45583</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45583</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45583</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45583</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45583</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45583</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45583</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45583</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45583</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45583</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45583</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45583</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45583</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45583</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45583</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45583</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45583</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45583</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45583</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45583</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45583</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45583</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45583</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45583</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45583</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45583</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45583</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45583</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45583</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45583</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45583</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45583</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45583</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45583</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45583</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45583</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45583</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45583</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45583</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45583</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45583</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45583</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45583</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45583</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45583</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45583</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45583</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45583</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45583</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45583</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45583</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45583</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45583</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45583</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45583</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45583</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45583</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45583</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45583</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45583</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45583</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45583</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45583</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45583</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45583</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45583</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45583</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45583</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45583</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45583</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45583</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45583</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45583</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45583</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45583</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45583</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45583</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45583</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45583</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45583</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45583</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45583</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45583</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45583</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45583</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45583</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45583</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45583</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45583</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45583</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45583</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45583</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45583</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45583</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45583</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45583</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45583</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45583</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45583</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45583</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45583</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45583</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45583</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45583</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45583</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45583</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45583</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45583</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45583</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45583</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45583</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45583</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45583</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45583</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45583</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45583</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45583</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45583</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45583</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45583</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45583</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45583</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45583</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45583</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45583</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45583</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45583</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45583</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45583</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45583</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45583</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45583</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45583</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45583</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45583</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45583</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45583</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45583</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45583</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45583</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45583</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45583</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45583</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45583</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45583</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45583</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45583</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45583</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45583</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45583</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45583</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45583</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45583</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45583</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45583</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45583</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45583</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45583</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45583</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45583</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45583</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45583</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45583</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45583</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45583</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45583</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45583</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45583</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45583</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45583</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45583</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45583</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45583</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45583</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45583</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45583</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45583</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45583</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45583</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45583</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45583</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45583</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45583</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45583</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45583</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45583</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45583</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45583</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45583</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45583</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45583</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45583</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45583</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45583</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45583</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45583</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45583</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45583</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45583</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45583</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45583</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45583</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45583</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45583</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45583</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45583</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45583</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45583</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45583</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45583</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45583</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45583</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45583</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45583</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45583</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45583</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45583</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45583</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45583</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45583</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45583</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45583</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45583</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45583</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45583</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45583</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45583</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45583</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45583</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45583</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45583</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45583</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45583</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45583</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45583</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45583</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45583</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45583</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45583</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45583</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45583</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45583</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45583</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45583</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45583</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45583</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45583</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45583</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45583</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45583</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45583</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45583</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45583</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45583</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45583</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45583</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45583</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45583</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45583</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45583</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45583</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45583</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45583</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45583</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45583</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45583</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45583</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45583</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45583</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45583</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45583</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45583</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45583</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45583</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45583</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45583</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45583</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45583</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45583</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45583</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45583</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45583</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45583</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45583</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45583</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45583</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45583</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45583</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45583</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45583</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45583</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45583</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45583</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45583</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45583</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45583</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45583</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45583</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45583</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45583</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45583</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45583</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45583</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45583</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45583</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45583</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45583</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45583</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45583</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45583</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45583</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45583</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45583</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45583</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45583</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45583</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45583</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45583</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45583</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45583</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45583</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45583</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45583</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45583</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45583</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45583</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45583</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45583</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45583</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45583</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45583</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45583</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45583</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45583</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45583</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45583</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45583</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45583</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45583</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45583</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45583</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45583</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45583</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45583</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45583</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45583</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45583</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45583</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45583</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45583</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45583</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45583</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45583</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45583</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45583</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45583</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45583</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45583</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45583</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45583</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45583</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45583</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45583</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45583</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45583</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45583</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45583</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45583</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45583</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45583</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45583</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45583</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45583</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45583</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45583</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45583</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45583</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45583</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45583</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45583</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45583</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45583</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45583</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45583</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45583</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45583</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45583</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45583</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45583</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45583</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45583</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45583</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45583</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45583</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45583</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45583</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45583</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45583</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45583</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45583</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45583</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45583</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45583</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45583</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45583</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45583</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45583</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45583</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45583</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45583</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45583</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45583</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45583</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45583</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45583</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45583</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45583</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45583</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45583</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45583</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45583</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45583</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45583</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45583</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45583</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45583</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45583</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45583</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45583</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45583</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45583</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45583</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45583</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45583</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45583</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45583</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45583</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45583</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45583</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45583</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45583</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45583</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45583</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45583</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45583</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45583</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45583</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45583</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45583</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45583</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45583</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45583</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45583</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45583</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45583</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45583</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45583</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45583</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45583</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45583</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45583</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45583</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45583</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45583</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45583</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45583</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45583</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45583</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45583</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45583</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45583</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45583</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45583</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45583</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45583</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45583</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45583</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45583</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45583</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45583</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45583</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45583</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45583</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45583</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45583</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45583</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45583</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45583</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45583</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45583</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45583</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45583</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45583</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45583</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45583</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45583</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45583</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45583</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45583</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45583</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45583</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45583</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45583</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45583</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45583</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45583</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45583</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45583</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45583</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45583</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45583</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45583</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45583</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45583</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45583</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45583</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45583</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45583</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45583</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45583</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45583</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45583</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45583</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45583</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45583</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45583</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45583</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45583</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45583</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45583</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45583</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45583</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45583</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45583</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45583</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45583</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45583</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45583</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45583</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45583</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45583</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45583</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45583</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45583</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45583</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45583</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45583</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45583</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45583</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45583</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45583</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45583</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45583</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45583</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45583</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45583</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45583</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45583</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45583</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45583</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45583</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45583</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45583</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45583</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45583</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45583</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45583</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45583</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45583</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45583</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45583</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45583</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45583</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45583</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45583</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45583</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45583</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45583</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45583</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45583</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45583</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45583</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45583</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45583</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45583</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45583</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45583</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45583</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45583</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45583</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45583</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45583</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45583</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45583</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45583</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45583</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45583</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45583</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45583</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45583</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45583</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45583</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45583</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45583</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45583</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45583</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45583</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45583</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45583</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45583</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45583</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45583</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45583</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45583</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45583</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45583</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45583</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45583</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45583</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45583</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45583</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45583</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45583</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45583</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45583</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45583</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45583</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45583</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45583</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45583</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45583</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45583</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45583</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45583</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45583</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45583</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45583</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45583</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45583</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45583</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45583</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45583</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45583</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45583</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45583</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45583</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45583</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45583</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45583</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45583</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45583</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45583</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45583</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45583</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45583</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45583</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45583</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45583</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45583</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45583</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45583</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45583</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45583</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45583</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45583</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45583</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45583</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45583</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45583</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45583</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45583</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45583</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45583</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45583</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45583</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45583</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45583</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45583</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45583</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45583</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45583</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45583</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45583</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45583</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45583</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45583</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45583</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45583</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45583</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45583</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45583</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45583</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45583</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45583</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45583</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45583</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45583</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45583</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45583</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45583</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45583</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45583</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45583</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45583</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45583</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45583</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45583</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45583</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45583</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45583</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45583</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45583</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45583</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45583</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45583</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45583</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45583</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45583</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45583</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45583</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45583</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45583</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45583</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45583</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45583</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45583</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45583</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45583</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45583</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45583</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45583</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45583</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45583</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45583</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45583</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45583</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45583</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45583</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45583</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45583</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40256-2024</t>
        </is>
      </c>
      <c r="B1388" s="1" t="n">
        <v>45554</v>
      </c>
      <c r="C1388" s="1" t="n">
        <v>45583</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40255-2024</t>
        </is>
      </c>
      <c r="B1389" s="1" t="n">
        <v>45554</v>
      </c>
      <c r="C1389" s="1" t="n">
        <v>45583</v>
      </c>
      <c r="D1389" t="inlineStr">
        <is>
          <t>KALMAR LÄN</t>
        </is>
      </c>
      <c r="E1389" t="inlineStr">
        <is>
          <t>VIMMERBY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40260-2024</t>
        </is>
      </c>
      <c r="B1390" s="1" t="n">
        <v>45554</v>
      </c>
      <c r="C1390" s="1" t="n">
        <v>45583</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45583</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40756-2024</t>
        </is>
      </c>
      <c r="B1392" s="1" t="n">
        <v>45558</v>
      </c>
      <c r="C1392" s="1" t="n">
        <v>45583</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45583</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45583</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40782-2024</t>
        </is>
      </c>
      <c r="B1395" s="1" t="n">
        <v>45558</v>
      </c>
      <c r="C1395" s="1" t="n">
        <v>45583</v>
      </c>
      <c r="D1395" t="inlineStr">
        <is>
          <t>KALMAR LÄN</t>
        </is>
      </c>
      <c r="E1395" t="inlineStr">
        <is>
          <t>VIMMERBY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45583</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45583</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45583</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45583</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45583</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45583</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45583</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45583</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45583</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45583</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43030-2024</t>
        </is>
      </c>
      <c r="B1406" s="1" t="n">
        <v>45567</v>
      </c>
      <c r="C1406" s="1" t="n">
        <v>45583</v>
      </c>
      <c r="D1406" t="inlineStr">
        <is>
          <t>KALMAR LÄN</t>
        </is>
      </c>
      <c r="E1406" t="inlineStr">
        <is>
          <t>VIMMERBY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45583</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43083-2024</t>
        </is>
      </c>
      <c r="B1408" s="1" t="n">
        <v>45567</v>
      </c>
      <c r="C1408" s="1" t="n">
        <v>45583</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43092-2024</t>
        </is>
      </c>
      <c r="B1409" s="1" t="n">
        <v>45567</v>
      </c>
      <c r="C1409" s="1" t="n">
        <v>45583</v>
      </c>
      <c r="D1409" t="inlineStr">
        <is>
          <t>KALMAR LÄN</t>
        </is>
      </c>
      <c r="E1409" t="inlineStr">
        <is>
          <t>VIMMERBY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43084-2024</t>
        </is>
      </c>
      <c r="B1410" s="1" t="n">
        <v>45567</v>
      </c>
      <c r="C1410" s="1" t="n">
        <v>45583</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43088-2024</t>
        </is>
      </c>
      <c r="B1411" s="1" t="n">
        <v>45567</v>
      </c>
      <c r="C1411" s="1" t="n">
        <v>45583</v>
      </c>
      <c r="D1411" t="inlineStr">
        <is>
          <t>KALMAR LÄN</t>
        </is>
      </c>
      <c r="E1411" t="inlineStr">
        <is>
          <t>VIMMERBY</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45583</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43081-2024</t>
        </is>
      </c>
      <c r="B1413" s="1" t="n">
        <v>45567</v>
      </c>
      <c r="C1413" s="1" t="n">
        <v>45583</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45583</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43122-2024</t>
        </is>
      </c>
      <c r="B1415" s="1" t="n">
        <v>45567</v>
      </c>
      <c r="C1415" s="1" t="n">
        <v>45583</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45583</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45583</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45583</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45583</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43594-2024</t>
        </is>
      </c>
      <c r="B1420" s="1" t="n">
        <v>45569</v>
      </c>
      <c r="C1420" s="1" t="n">
        <v>45583</v>
      </c>
      <c r="D1420" t="inlineStr">
        <is>
          <t>KALMAR LÄN</t>
        </is>
      </c>
      <c r="E1420" t="inlineStr">
        <is>
          <t>VIMMERBY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45583</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43575-2024</t>
        </is>
      </c>
      <c r="B1422" s="1" t="n">
        <v>45569</v>
      </c>
      <c r="C1422" s="1" t="n">
        <v>45583</v>
      </c>
      <c r="D1422" t="inlineStr">
        <is>
          <t>KALMAR LÄN</t>
        </is>
      </c>
      <c r="E1422" t="inlineStr">
        <is>
          <t>VIMMERBY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45583</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43601-2024</t>
        </is>
      </c>
      <c r="B1424" s="1" t="n">
        <v>45569</v>
      </c>
      <c r="C1424" s="1" t="n">
        <v>45583</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43609-2024</t>
        </is>
      </c>
      <c r="B1425" s="1" t="n">
        <v>45569</v>
      </c>
      <c r="C1425" s="1" t="n">
        <v>45583</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45583</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45583</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43822-2024</t>
        </is>
      </c>
      <c r="B1428" s="1" t="n">
        <v>45571</v>
      </c>
      <c r="C1428" s="1" t="n">
        <v>45583</v>
      </c>
      <c r="D1428" t="inlineStr">
        <is>
          <t>KALMAR LÄN</t>
        </is>
      </c>
      <c r="E1428" t="inlineStr">
        <is>
          <t>VIMMERBY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45583</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45583</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45583</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45583</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44464-2024</t>
        </is>
      </c>
      <c r="B1433" s="1" t="n">
        <v>45574</v>
      </c>
      <c r="C1433" s="1" t="n">
        <v>45583</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45583</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45583</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45583</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45583</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46242-2024</t>
        </is>
      </c>
      <c r="B1438" s="1" t="n">
        <v>45581</v>
      </c>
      <c r="C1438" s="1" t="n">
        <v>45583</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46225-2024</t>
        </is>
      </c>
      <c r="B1439" s="1" t="n">
        <v>45581</v>
      </c>
      <c r="C1439" s="1" t="n">
        <v>45583</v>
      </c>
      <c r="D1439" t="inlineStr">
        <is>
          <t>KALMAR LÄN</t>
        </is>
      </c>
      <c r="E1439" t="inlineStr">
        <is>
          <t>VIMMERBY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46234-2024</t>
        </is>
      </c>
      <c r="B1440" s="1" t="n">
        <v>45581</v>
      </c>
      <c r="C1440" s="1" t="n">
        <v>45583</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46238-2024</t>
        </is>
      </c>
      <c r="B1441" s="1" t="n">
        <v>45581</v>
      </c>
      <c r="C1441" s="1" t="n">
        <v>45583</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46399-2024</t>
        </is>
      </c>
      <c r="B1442" s="1" t="n">
        <v>45582</v>
      </c>
      <c r="C1442" s="1" t="n">
        <v>45583</v>
      </c>
      <c r="D1442" t="inlineStr">
        <is>
          <t>KALMAR LÄN</t>
        </is>
      </c>
      <c r="E1442" t="inlineStr">
        <is>
          <t>VIMMERBY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46455-2024</t>
        </is>
      </c>
      <c r="B1443" s="1" t="n">
        <v>45582</v>
      </c>
      <c r="C1443" s="1" t="n">
        <v>45583</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46457-2024</t>
        </is>
      </c>
      <c r="B1444" s="1" t="n">
        <v>45582</v>
      </c>
      <c r="C1444" s="1" t="n">
        <v>45583</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45583</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c r="A1446" t="inlineStr">
        <is>
          <t>A 46600-2024</t>
        </is>
      </c>
      <c r="B1446" s="1" t="n">
        <v>45582</v>
      </c>
      <c r="C1446" s="1" t="n">
        <v>45583</v>
      </c>
      <c r="D1446" t="inlineStr">
        <is>
          <t>KALMAR LÄN</t>
        </is>
      </c>
      <c r="E1446" t="inlineStr">
        <is>
          <t>VIMMERBY</t>
        </is>
      </c>
      <c r="G1446" t="n">
        <v>9.199999999999999</v>
      </c>
      <c r="H1446" t="n">
        <v>0</v>
      </c>
      <c r="I1446" t="n">
        <v>0</v>
      </c>
      <c r="J1446" t="n">
        <v>0</v>
      </c>
      <c r="K1446" t="n">
        <v>0</v>
      </c>
      <c r="L1446" t="n">
        <v>0</v>
      </c>
      <c r="M1446" t="n">
        <v>0</v>
      </c>
      <c r="N1446" t="n">
        <v>0</v>
      </c>
      <c r="O1446" t="n">
        <v>0</v>
      </c>
      <c r="P1446" t="n">
        <v>0</v>
      </c>
      <c r="Q1446" t="n">
        <v>0</v>
      </c>
      <c r="R1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2024-10-18T13:10:09Z</dcterms:created>
  <dcterms:modified xmlns:dcterms="http://purl.org/dc/terms/" xmlns:xsi="http://www.w3.org/2001/XMLSchema-instance" xsi:type="dcterms:W3CDTF">2024-10-18T13:10:10Z</dcterms:modified>
</cp:coreProperties>
</file>