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45739</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36349-2019</t>
        </is>
      </c>
      <c r="B19" s="1" t="n">
        <v>43670</v>
      </c>
      <c r="C19" s="1" t="n">
        <v>45739</v>
      </c>
      <c r="D19" t="inlineStr">
        <is>
          <t>KALMAR LÄN</t>
        </is>
      </c>
      <c r="E19" t="inlineStr">
        <is>
          <t>VIMMERBY</t>
        </is>
      </c>
      <c r="G19" t="n">
        <v>2.6</v>
      </c>
      <c r="H19" t="n">
        <v>1</v>
      </c>
      <c r="I19" t="n">
        <v>2</v>
      </c>
      <c r="J19" t="n">
        <v>0</v>
      </c>
      <c r="K19" t="n">
        <v>0</v>
      </c>
      <c r="L19" t="n">
        <v>0</v>
      </c>
      <c r="M19" t="n">
        <v>0</v>
      </c>
      <c r="N19" t="n">
        <v>0</v>
      </c>
      <c r="O19" t="n">
        <v>0</v>
      </c>
      <c r="P19" t="n">
        <v>0</v>
      </c>
      <c r="Q19" t="n">
        <v>3</v>
      </c>
      <c r="R19" s="2" t="inlineStr">
        <is>
          <t>Fällmossa
Guldlockmossa
Blåsippa</t>
        </is>
      </c>
      <c r="S19">
        <f>HYPERLINK("https://klasma.github.io/Logging_0884/artfynd/A 36349-2019 artfynd.xlsx", "A 36349-2019")</f>
        <v/>
      </c>
      <c r="T19">
        <f>HYPERLINK("https://klasma.github.io/Logging_0884/kartor/A 36349-2019 karta.png", "A 36349-2019")</f>
        <v/>
      </c>
      <c r="V19">
        <f>HYPERLINK("https://klasma.github.io/Logging_0884/klagomål/A 36349-2019 FSC-klagomål.docx", "A 36349-2019")</f>
        <v/>
      </c>
      <c r="W19">
        <f>HYPERLINK("https://klasma.github.io/Logging_0884/klagomålsmail/A 36349-2019 FSC-klagomål mail.docx", "A 36349-2019")</f>
        <v/>
      </c>
      <c r="X19">
        <f>HYPERLINK("https://klasma.github.io/Logging_0884/tillsyn/A 36349-2019 tillsynsbegäran.docx", "A 36349-2019")</f>
        <v/>
      </c>
      <c r="Y19">
        <f>HYPERLINK("https://klasma.github.io/Logging_0884/tillsynsmail/A 36349-2019 tillsynsbegäran mail.docx", "A 36349-2019")</f>
        <v/>
      </c>
    </row>
    <row r="20" ht="15" customHeight="1">
      <c r="A20" t="inlineStr">
        <is>
          <t>A 8411-2021</t>
        </is>
      </c>
      <c r="B20" s="1" t="n">
        <v>44245</v>
      </c>
      <c r="C20" s="1" t="n">
        <v>45739</v>
      </c>
      <c r="D20" t="inlineStr">
        <is>
          <t>KALMAR LÄN</t>
        </is>
      </c>
      <c r="E20" t="inlineStr">
        <is>
          <t>VIMMERBY</t>
        </is>
      </c>
      <c r="G20" t="n">
        <v>12.5</v>
      </c>
      <c r="H20" t="n">
        <v>1</v>
      </c>
      <c r="I20" t="n">
        <v>1</v>
      </c>
      <c r="J20" t="n">
        <v>1</v>
      </c>
      <c r="K20" t="n">
        <v>0</v>
      </c>
      <c r="L20" t="n">
        <v>0</v>
      </c>
      <c r="M20" t="n">
        <v>0</v>
      </c>
      <c r="N20" t="n">
        <v>0</v>
      </c>
      <c r="O20" t="n">
        <v>1</v>
      </c>
      <c r="P20" t="n">
        <v>0</v>
      </c>
      <c r="Q20" t="n">
        <v>3</v>
      </c>
      <c r="R20" s="2" t="inlineStr">
        <is>
          <t>Motaggsvamp
Svart trolldruva
Revlummer</t>
        </is>
      </c>
      <c r="S20">
        <f>HYPERLINK("https://klasma.github.io/Logging_0884/artfynd/A 8411-2021 artfynd.xlsx", "A 8411-2021")</f>
        <v/>
      </c>
      <c r="T20">
        <f>HYPERLINK("https://klasma.github.io/Logging_0884/kartor/A 8411-2021 karta.png", "A 8411-2021")</f>
        <v/>
      </c>
      <c r="V20">
        <f>HYPERLINK("https://klasma.github.io/Logging_0884/klagomål/A 8411-2021 FSC-klagomål.docx", "A 8411-2021")</f>
        <v/>
      </c>
      <c r="W20">
        <f>HYPERLINK("https://klasma.github.io/Logging_0884/klagomålsmail/A 8411-2021 FSC-klagomål mail.docx", "A 8411-2021")</f>
        <v/>
      </c>
      <c r="X20">
        <f>HYPERLINK("https://klasma.github.io/Logging_0884/tillsyn/A 8411-2021 tillsynsbegäran.docx", "A 8411-2021")</f>
        <v/>
      </c>
      <c r="Y20">
        <f>HYPERLINK("https://klasma.github.io/Logging_0884/tillsynsmail/A 8411-2021 tillsynsbegäran mail.docx", "A 8411-2021")</f>
        <v/>
      </c>
    </row>
    <row r="21" ht="15" customHeight="1">
      <c r="A21" t="inlineStr">
        <is>
          <t>A 37901-2022</t>
        </is>
      </c>
      <c r="B21" s="1" t="n">
        <v>44811</v>
      </c>
      <c r="C21" s="1" t="n">
        <v>45739</v>
      </c>
      <c r="D21" t="inlineStr">
        <is>
          <t>KALMAR LÄN</t>
        </is>
      </c>
      <c r="E21" t="inlineStr">
        <is>
          <t>VIMMERBY</t>
        </is>
      </c>
      <c r="G21" t="n">
        <v>3.9</v>
      </c>
      <c r="H21" t="n">
        <v>1</v>
      </c>
      <c r="I21" t="n">
        <v>1</v>
      </c>
      <c r="J21" t="n">
        <v>1</v>
      </c>
      <c r="K21" t="n">
        <v>0</v>
      </c>
      <c r="L21" t="n">
        <v>0</v>
      </c>
      <c r="M21" t="n">
        <v>0</v>
      </c>
      <c r="N21" t="n">
        <v>0</v>
      </c>
      <c r="O21" t="n">
        <v>1</v>
      </c>
      <c r="P21" t="n">
        <v>0</v>
      </c>
      <c r="Q21" t="n">
        <v>3</v>
      </c>
      <c r="R21" s="2" t="inlineStr">
        <is>
          <t>Tallticka
Kornig nållav
Revlummer</t>
        </is>
      </c>
      <c r="S21">
        <f>HYPERLINK("https://klasma.github.io/Logging_0884/artfynd/A 37901-2022 artfynd.xlsx", "A 37901-2022")</f>
        <v/>
      </c>
      <c r="T21">
        <f>HYPERLINK("https://klasma.github.io/Logging_0884/kartor/A 37901-2022 karta.png", "A 37901-2022")</f>
        <v/>
      </c>
      <c r="V21">
        <f>HYPERLINK("https://klasma.github.io/Logging_0884/klagomål/A 37901-2022 FSC-klagomål.docx", "A 37901-2022")</f>
        <v/>
      </c>
      <c r="W21">
        <f>HYPERLINK("https://klasma.github.io/Logging_0884/klagomålsmail/A 37901-2022 FSC-klagomål mail.docx", "A 37901-2022")</f>
        <v/>
      </c>
      <c r="X21">
        <f>HYPERLINK("https://klasma.github.io/Logging_0884/tillsyn/A 37901-2022 tillsynsbegäran.docx", "A 37901-2022")</f>
        <v/>
      </c>
      <c r="Y21">
        <f>HYPERLINK("https://klasma.github.io/Logging_0884/tillsynsmail/A 37901-2022 tillsynsbegäran mail.docx", "A 37901-2022")</f>
        <v/>
      </c>
    </row>
    <row r="22" ht="15" customHeight="1">
      <c r="A22" t="inlineStr">
        <is>
          <t>A 8214-2023</t>
        </is>
      </c>
      <c r="B22" s="1" t="n">
        <v>44974</v>
      </c>
      <c r="C22" s="1" t="n">
        <v>45739</v>
      </c>
      <c r="D22" t="inlineStr">
        <is>
          <t>KALMAR LÄN</t>
        </is>
      </c>
      <c r="E22" t="inlineStr">
        <is>
          <t>VIMMERBY</t>
        </is>
      </c>
      <c r="G22" t="n">
        <v>4.7</v>
      </c>
      <c r="H22" t="n">
        <v>1</v>
      </c>
      <c r="I22" t="n">
        <v>1</v>
      </c>
      <c r="J22" t="n">
        <v>1</v>
      </c>
      <c r="K22" t="n">
        <v>1</v>
      </c>
      <c r="L22" t="n">
        <v>0</v>
      </c>
      <c r="M22" t="n">
        <v>0</v>
      </c>
      <c r="N22" t="n">
        <v>0</v>
      </c>
      <c r="O22" t="n">
        <v>2</v>
      </c>
      <c r="P22" t="n">
        <v>1</v>
      </c>
      <c r="Q22" t="n">
        <v>3</v>
      </c>
      <c r="R22" s="2" t="inlineStr">
        <is>
          <t>Knärot
Åkerkål
Grönpyrola</t>
        </is>
      </c>
      <c r="S22">
        <f>HYPERLINK("https://klasma.github.io/Logging_0884/artfynd/A 8214-2023 artfynd.xlsx", "A 8214-2023")</f>
        <v/>
      </c>
      <c r="T22">
        <f>HYPERLINK("https://klasma.github.io/Logging_0884/kartor/A 8214-2023 karta.png", "A 8214-2023")</f>
        <v/>
      </c>
      <c r="U22">
        <f>HYPERLINK("https://klasma.github.io/Logging_0884/knärot/A 8214-2023 karta knärot.png", "A 8214-2023")</f>
        <v/>
      </c>
      <c r="V22">
        <f>HYPERLINK("https://klasma.github.io/Logging_0884/klagomål/A 8214-2023 FSC-klagomål.docx", "A 8214-2023")</f>
        <v/>
      </c>
      <c r="W22">
        <f>HYPERLINK("https://klasma.github.io/Logging_0884/klagomålsmail/A 8214-2023 FSC-klagomål mail.docx", "A 8214-2023")</f>
        <v/>
      </c>
      <c r="X22">
        <f>HYPERLINK("https://klasma.github.io/Logging_0884/tillsyn/A 8214-2023 tillsynsbegäran.docx", "A 8214-2023")</f>
        <v/>
      </c>
      <c r="Y22">
        <f>HYPERLINK("https://klasma.github.io/Logging_0884/tillsynsmail/A 8214-2023 tillsynsbegäran mail.docx", "A 8214-2023")</f>
        <v/>
      </c>
    </row>
    <row r="23" ht="15" customHeight="1">
      <c r="A23" t="inlineStr">
        <is>
          <t>A 15427-2023</t>
        </is>
      </c>
      <c r="B23" s="1" t="n">
        <v>45020</v>
      </c>
      <c r="C23" s="1" t="n">
        <v>45739</v>
      </c>
      <c r="D23" t="inlineStr">
        <is>
          <t>KALMAR LÄN</t>
        </is>
      </c>
      <c r="E23" t="inlineStr">
        <is>
          <t>VIMMERBY</t>
        </is>
      </c>
      <c r="G23" t="n">
        <v>4.1</v>
      </c>
      <c r="H23" t="n">
        <v>0</v>
      </c>
      <c r="I23" t="n">
        <v>1</v>
      </c>
      <c r="J23" t="n">
        <v>2</v>
      </c>
      <c r="K23" t="n">
        <v>0</v>
      </c>
      <c r="L23" t="n">
        <v>0</v>
      </c>
      <c r="M23" t="n">
        <v>0</v>
      </c>
      <c r="N23" t="n">
        <v>0</v>
      </c>
      <c r="O23" t="n">
        <v>2</v>
      </c>
      <c r="P23" t="n">
        <v>0</v>
      </c>
      <c r="Q23" t="n">
        <v>3</v>
      </c>
      <c r="R23" s="2" t="inlineStr">
        <is>
          <t>Slåtterfibbla
Solvända
Strävlosta</t>
        </is>
      </c>
      <c r="S23">
        <f>HYPERLINK("https://klasma.github.io/Logging_0884/artfynd/A 15427-2023 artfynd.xlsx", "A 15427-2023")</f>
        <v/>
      </c>
      <c r="T23">
        <f>HYPERLINK("https://klasma.github.io/Logging_0884/kartor/A 15427-2023 karta.png", "A 15427-2023")</f>
        <v/>
      </c>
      <c r="V23">
        <f>HYPERLINK("https://klasma.github.io/Logging_0884/klagomål/A 15427-2023 FSC-klagomål.docx", "A 15427-2023")</f>
        <v/>
      </c>
      <c r="W23">
        <f>HYPERLINK("https://klasma.github.io/Logging_0884/klagomålsmail/A 15427-2023 FSC-klagomål mail.docx", "A 15427-2023")</f>
        <v/>
      </c>
      <c r="X23">
        <f>HYPERLINK("https://klasma.github.io/Logging_0884/tillsyn/A 15427-2023 tillsynsbegäran.docx", "A 15427-2023")</f>
        <v/>
      </c>
      <c r="Y23">
        <f>HYPERLINK("https://klasma.github.io/Logging_0884/tillsynsmail/A 15427-2023 tillsynsbegäran mail.docx", "A 15427-2023")</f>
        <v/>
      </c>
    </row>
    <row r="24" ht="15" customHeight="1">
      <c r="A24" t="inlineStr">
        <is>
          <t>A 38992-2023</t>
        </is>
      </c>
      <c r="B24" s="1" t="n">
        <v>45163</v>
      </c>
      <c r="C24" s="1" t="n">
        <v>45739</v>
      </c>
      <c r="D24" t="inlineStr">
        <is>
          <t>KALMAR LÄN</t>
        </is>
      </c>
      <c r="E24" t="inlineStr">
        <is>
          <t>VIMMERBY</t>
        </is>
      </c>
      <c r="F24" t="inlineStr">
        <is>
          <t>Sveaskog</t>
        </is>
      </c>
      <c r="G24" t="n">
        <v>5.6</v>
      </c>
      <c r="H24" t="n">
        <v>2</v>
      </c>
      <c r="I24" t="n">
        <v>0</v>
      </c>
      <c r="J24" t="n">
        <v>2</v>
      </c>
      <c r="K24" t="n">
        <v>0</v>
      </c>
      <c r="L24" t="n">
        <v>0</v>
      </c>
      <c r="M24" t="n">
        <v>0</v>
      </c>
      <c r="N24" t="n">
        <v>0</v>
      </c>
      <c r="O24" t="n">
        <v>2</v>
      </c>
      <c r="P24" t="n">
        <v>0</v>
      </c>
      <c r="Q24" t="n">
        <v>3</v>
      </c>
      <c r="R24" s="2" t="inlineStr">
        <is>
          <t>Spillkråka
Tallticka
Tjäder</t>
        </is>
      </c>
      <c r="S24">
        <f>HYPERLINK("https://klasma.github.io/Logging_0884/artfynd/A 38992-2023 artfynd.xlsx", "A 38992-2023")</f>
        <v/>
      </c>
      <c r="T24">
        <f>HYPERLINK("https://klasma.github.io/Logging_0884/kartor/A 38992-2023 karta.png", "A 38992-2023")</f>
        <v/>
      </c>
      <c r="V24">
        <f>HYPERLINK("https://klasma.github.io/Logging_0884/klagomål/A 38992-2023 FSC-klagomål.docx", "A 38992-2023")</f>
        <v/>
      </c>
      <c r="W24">
        <f>HYPERLINK("https://klasma.github.io/Logging_0884/klagomålsmail/A 38992-2023 FSC-klagomål mail.docx", "A 38992-2023")</f>
        <v/>
      </c>
      <c r="X24">
        <f>HYPERLINK("https://klasma.github.io/Logging_0884/tillsyn/A 38992-2023 tillsynsbegäran.docx", "A 38992-2023")</f>
        <v/>
      </c>
      <c r="Y24">
        <f>HYPERLINK("https://klasma.github.io/Logging_0884/tillsynsmail/A 38992-2023 tillsynsbegäran mail.docx", "A 38992-2023")</f>
        <v/>
      </c>
      <c r="Z24">
        <f>HYPERLINK("https://klasma.github.io/Logging_0884/fåglar/A 38992-2023 prioriterade fågelarter.docx", "A 38992-2023")</f>
        <v/>
      </c>
    </row>
    <row r="25" ht="15" customHeight="1">
      <c r="A25" t="inlineStr">
        <is>
          <t>A 41034-2023</t>
        </is>
      </c>
      <c r="B25" s="1" t="n">
        <v>45173</v>
      </c>
      <c r="C25" s="1" t="n">
        <v>45739</v>
      </c>
      <c r="D25" t="inlineStr">
        <is>
          <t>KALMAR LÄN</t>
        </is>
      </c>
      <c r="E25" t="inlineStr">
        <is>
          <t>VIMMERBY</t>
        </is>
      </c>
      <c r="G25" t="n">
        <v>3.8</v>
      </c>
      <c r="H25" t="n">
        <v>0</v>
      </c>
      <c r="I25" t="n">
        <v>2</v>
      </c>
      <c r="J25" t="n">
        <v>1</v>
      </c>
      <c r="K25" t="n">
        <v>0</v>
      </c>
      <c r="L25" t="n">
        <v>0</v>
      </c>
      <c r="M25" t="n">
        <v>0</v>
      </c>
      <c r="N25" t="n">
        <v>0</v>
      </c>
      <c r="O25" t="n">
        <v>1</v>
      </c>
      <c r="P25" t="n">
        <v>0</v>
      </c>
      <c r="Q25" t="n">
        <v>3</v>
      </c>
      <c r="R25" s="2" t="inlineStr">
        <is>
          <t>Dofttaggsvamp
Blåmossa
Grönpyrola</t>
        </is>
      </c>
      <c r="S25">
        <f>HYPERLINK("https://klasma.github.io/Logging_0884/artfynd/A 41034-2023 artfynd.xlsx", "A 41034-2023")</f>
        <v/>
      </c>
      <c r="T25">
        <f>HYPERLINK("https://klasma.github.io/Logging_0884/kartor/A 41034-2023 karta.png", "A 41034-2023")</f>
        <v/>
      </c>
      <c r="U25">
        <f>HYPERLINK("https://klasma.github.io/Logging_0884/knärot/A 41034-2023 karta knärot.png", "A 41034-2023")</f>
        <v/>
      </c>
      <c r="V25">
        <f>HYPERLINK("https://klasma.github.io/Logging_0884/klagomål/A 41034-2023 FSC-klagomål.docx", "A 41034-2023")</f>
        <v/>
      </c>
      <c r="W25">
        <f>HYPERLINK("https://klasma.github.io/Logging_0884/klagomålsmail/A 41034-2023 FSC-klagomål mail.docx", "A 41034-2023")</f>
        <v/>
      </c>
      <c r="X25">
        <f>HYPERLINK("https://klasma.github.io/Logging_0884/tillsyn/A 41034-2023 tillsynsbegäran.docx", "A 41034-2023")</f>
        <v/>
      </c>
      <c r="Y25">
        <f>HYPERLINK("https://klasma.github.io/Logging_0884/tillsynsmail/A 41034-2023 tillsynsbegäran mail.docx", "A 41034-2023")</f>
        <v/>
      </c>
    </row>
    <row r="26" ht="15" customHeight="1">
      <c r="A26" t="inlineStr">
        <is>
          <t>A 2210-2024</t>
        </is>
      </c>
      <c r="B26" s="1" t="n">
        <v>45309</v>
      </c>
      <c r="C26" s="1" t="n">
        <v>45739</v>
      </c>
      <c r="D26" t="inlineStr">
        <is>
          <t>KALMAR LÄN</t>
        </is>
      </c>
      <c r="E26" t="inlineStr">
        <is>
          <t>VIMMERBY</t>
        </is>
      </c>
      <c r="G26" t="n">
        <v>4.6</v>
      </c>
      <c r="H26" t="n">
        <v>2</v>
      </c>
      <c r="I26" t="n">
        <v>1</v>
      </c>
      <c r="J26" t="n">
        <v>1</v>
      </c>
      <c r="K26" t="n">
        <v>0</v>
      </c>
      <c r="L26" t="n">
        <v>0</v>
      </c>
      <c r="M26" t="n">
        <v>0</v>
      </c>
      <c r="N26" t="n">
        <v>0</v>
      </c>
      <c r="O26" t="n">
        <v>1</v>
      </c>
      <c r="P26" t="n">
        <v>0</v>
      </c>
      <c r="Q26" t="n">
        <v>3</v>
      </c>
      <c r="R26" s="2" t="inlineStr">
        <is>
          <t>Spillkråka
Barkticka
Blåsippa</t>
        </is>
      </c>
      <c r="S26">
        <f>HYPERLINK("https://klasma.github.io/Logging_0884/artfynd/A 2210-2024 artfynd.xlsx", "A 2210-2024")</f>
        <v/>
      </c>
      <c r="T26">
        <f>HYPERLINK("https://klasma.github.io/Logging_0884/kartor/A 2210-2024 karta.png", "A 2210-2024")</f>
        <v/>
      </c>
      <c r="V26">
        <f>HYPERLINK("https://klasma.github.io/Logging_0884/klagomål/A 2210-2024 FSC-klagomål.docx", "A 2210-2024")</f>
        <v/>
      </c>
      <c r="W26">
        <f>HYPERLINK("https://klasma.github.io/Logging_0884/klagomålsmail/A 2210-2024 FSC-klagomål mail.docx", "A 2210-2024")</f>
        <v/>
      </c>
      <c r="X26">
        <f>HYPERLINK("https://klasma.github.io/Logging_0884/tillsyn/A 2210-2024 tillsynsbegäran.docx", "A 2210-2024")</f>
        <v/>
      </c>
      <c r="Y26">
        <f>HYPERLINK("https://klasma.github.io/Logging_0884/tillsynsmail/A 2210-2024 tillsynsbegäran mail.docx", "A 2210-2024")</f>
        <v/>
      </c>
      <c r="Z26">
        <f>HYPERLINK("https://klasma.github.io/Logging_0884/fåglar/A 2210-2024 prioriterade fågelarter.docx", "A 2210-2024")</f>
        <v/>
      </c>
    </row>
    <row r="27" ht="15" customHeight="1">
      <c r="A27" t="inlineStr">
        <is>
          <t>A 2211-2024</t>
        </is>
      </c>
      <c r="B27" s="1" t="n">
        <v>45309</v>
      </c>
      <c r="C27" s="1" t="n">
        <v>45739</v>
      </c>
      <c r="D27" t="inlineStr">
        <is>
          <t>KALMAR LÄN</t>
        </is>
      </c>
      <c r="E27" t="inlineStr">
        <is>
          <t>VIMMERBY</t>
        </is>
      </c>
      <c r="G27" t="n">
        <v>1.7</v>
      </c>
      <c r="H27" t="n">
        <v>1</v>
      </c>
      <c r="I27" t="n">
        <v>1</v>
      </c>
      <c r="J27" t="n">
        <v>2</v>
      </c>
      <c r="K27" t="n">
        <v>0</v>
      </c>
      <c r="L27" t="n">
        <v>0</v>
      </c>
      <c r="M27" t="n">
        <v>0</v>
      </c>
      <c r="N27" t="n">
        <v>0</v>
      </c>
      <c r="O27" t="n">
        <v>2</v>
      </c>
      <c r="P27" t="n">
        <v>0</v>
      </c>
      <c r="Q27" t="n">
        <v>3</v>
      </c>
      <c r="R27" s="2" t="inlineStr">
        <is>
          <t>Leptoporus mollis
Spillkråka
Fällmossa</t>
        </is>
      </c>
      <c r="S27">
        <f>HYPERLINK("https://klasma.github.io/Logging_0884/artfynd/A 2211-2024 artfynd.xlsx", "A 2211-2024")</f>
        <v/>
      </c>
      <c r="T27">
        <f>HYPERLINK("https://klasma.github.io/Logging_0884/kartor/A 2211-2024 karta.png", "A 2211-2024")</f>
        <v/>
      </c>
      <c r="V27">
        <f>HYPERLINK("https://klasma.github.io/Logging_0884/klagomål/A 2211-2024 FSC-klagomål.docx", "A 2211-2024")</f>
        <v/>
      </c>
      <c r="W27">
        <f>HYPERLINK("https://klasma.github.io/Logging_0884/klagomålsmail/A 2211-2024 FSC-klagomål mail.docx", "A 2211-2024")</f>
        <v/>
      </c>
      <c r="X27">
        <f>HYPERLINK("https://klasma.github.io/Logging_0884/tillsyn/A 2211-2024 tillsynsbegäran.docx", "A 2211-2024")</f>
        <v/>
      </c>
      <c r="Y27">
        <f>HYPERLINK("https://klasma.github.io/Logging_0884/tillsynsmail/A 2211-2024 tillsynsbegäran mail.docx", "A 2211-2024")</f>
        <v/>
      </c>
      <c r="Z27">
        <f>HYPERLINK("https://klasma.github.io/Logging_0884/fåglar/A 2211-2024 prioriterade fågelarter.docx", "A 2211-2024")</f>
        <v/>
      </c>
    </row>
    <row r="28" ht="15" customHeight="1">
      <c r="A28" t="inlineStr">
        <is>
          <t>A 6372-2024</t>
        </is>
      </c>
      <c r="B28" s="1" t="n">
        <v>45338</v>
      </c>
      <c r="C28" s="1" t="n">
        <v>45739</v>
      </c>
      <c r="D28" t="inlineStr">
        <is>
          <t>KALMAR LÄN</t>
        </is>
      </c>
      <c r="E28" t="inlineStr">
        <is>
          <t>VIMMERBY</t>
        </is>
      </c>
      <c r="G28" t="n">
        <v>1.3</v>
      </c>
      <c r="H28" t="n">
        <v>2</v>
      </c>
      <c r="I28" t="n">
        <v>1</v>
      </c>
      <c r="J28" t="n">
        <v>1</v>
      </c>
      <c r="K28" t="n">
        <v>0</v>
      </c>
      <c r="L28" t="n">
        <v>0</v>
      </c>
      <c r="M28" t="n">
        <v>0</v>
      </c>
      <c r="N28" t="n">
        <v>0</v>
      </c>
      <c r="O28" t="n">
        <v>1</v>
      </c>
      <c r="P28" t="n">
        <v>0</v>
      </c>
      <c r="Q28" t="n">
        <v>3</v>
      </c>
      <c r="R28" s="2" t="inlineStr">
        <is>
          <t>Talltita
Blåmossa
Revlummer</t>
        </is>
      </c>
      <c r="S28">
        <f>HYPERLINK("https://klasma.github.io/Logging_0884/artfynd/A 6372-2024 artfynd.xlsx", "A 6372-2024")</f>
        <v/>
      </c>
      <c r="T28">
        <f>HYPERLINK("https://klasma.github.io/Logging_0884/kartor/A 6372-2024 karta.png", "A 6372-2024")</f>
        <v/>
      </c>
      <c r="V28">
        <f>HYPERLINK("https://klasma.github.io/Logging_0884/klagomål/A 6372-2024 FSC-klagomål.docx", "A 6372-2024")</f>
        <v/>
      </c>
      <c r="W28">
        <f>HYPERLINK("https://klasma.github.io/Logging_0884/klagomålsmail/A 6372-2024 FSC-klagomål mail.docx", "A 6372-2024")</f>
        <v/>
      </c>
      <c r="X28">
        <f>HYPERLINK("https://klasma.github.io/Logging_0884/tillsyn/A 6372-2024 tillsynsbegäran.docx", "A 6372-2024")</f>
        <v/>
      </c>
      <c r="Y28">
        <f>HYPERLINK("https://klasma.github.io/Logging_0884/tillsynsmail/A 6372-2024 tillsynsbegäran mail.docx", "A 6372-2024")</f>
        <v/>
      </c>
      <c r="Z28">
        <f>HYPERLINK("https://klasma.github.io/Logging_0884/fåglar/A 6372-2024 prioriterade fågelarter.docx", "A 6372-2024")</f>
        <v/>
      </c>
    </row>
    <row r="29" ht="15" customHeight="1">
      <c r="A29" t="inlineStr">
        <is>
          <t>A 56985-2024</t>
        </is>
      </c>
      <c r="B29" s="1" t="n">
        <v>45628</v>
      </c>
      <c r="C29" s="1" t="n">
        <v>45739</v>
      </c>
      <c r="D29" t="inlineStr">
        <is>
          <t>KALMAR LÄN</t>
        </is>
      </c>
      <c r="E29" t="inlineStr">
        <is>
          <t>VIMMERBY</t>
        </is>
      </c>
      <c r="G29" t="n">
        <v>3.1</v>
      </c>
      <c r="H29" t="n">
        <v>2</v>
      </c>
      <c r="I29" t="n">
        <v>1</v>
      </c>
      <c r="J29" t="n">
        <v>1</v>
      </c>
      <c r="K29" t="n">
        <v>1</v>
      </c>
      <c r="L29" t="n">
        <v>0</v>
      </c>
      <c r="M29" t="n">
        <v>0</v>
      </c>
      <c r="N29" t="n">
        <v>0</v>
      </c>
      <c r="O29" t="n">
        <v>2</v>
      </c>
      <c r="P29" t="n">
        <v>1</v>
      </c>
      <c r="Q29" t="n">
        <v>3</v>
      </c>
      <c r="R29" s="2" t="inlineStr">
        <is>
          <t>Knärot
Spillkråka
Grönpyrola</t>
        </is>
      </c>
      <c r="S29">
        <f>HYPERLINK("https://klasma.github.io/Logging_0884/artfynd/A 56985-2024 artfynd.xlsx", "A 56985-2024")</f>
        <v/>
      </c>
      <c r="T29">
        <f>HYPERLINK("https://klasma.github.io/Logging_0884/kartor/A 56985-2024 karta.png", "A 56985-2024")</f>
        <v/>
      </c>
      <c r="U29">
        <f>HYPERLINK("https://klasma.github.io/Logging_0884/knärot/A 56985-2024 karta knärot.png", "A 56985-2024")</f>
        <v/>
      </c>
      <c r="V29">
        <f>HYPERLINK("https://klasma.github.io/Logging_0884/klagomål/A 56985-2024 FSC-klagomål.docx", "A 56985-2024")</f>
        <v/>
      </c>
      <c r="W29">
        <f>HYPERLINK("https://klasma.github.io/Logging_0884/klagomålsmail/A 56985-2024 FSC-klagomål mail.docx", "A 56985-2024")</f>
        <v/>
      </c>
      <c r="X29">
        <f>HYPERLINK("https://klasma.github.io/Logging_0884/tillsyn/A 56985-2024 tillsynsbegäran.docx", "A 56985-2024")</f>
        <v/>
      </c>
      <c r="Y29">
        <f>HYPERLINK("https://klasma.github.io/Logging_0884/tillsynsmail/A 56985-2024 tillsynsbegäran mail.docx", "A 56985-2024")</f>
        <v/>
      </c>
      <c r="Z29">
        <f>HYPERLINK("https://klasma.github.io/Logging_0884/fåglar/A 56985-2024 prioriterade fågelarter.docx", "A 56985-2024")</f>
        <v/>
      </c>
    </row>
    <row r="30" ht="15" customHeight="1">
      <c r="A30" t="inlineStr">
        <is>
          <t>A 32602-2019</t>
        </is>
      </c>
      <c r="B30" s="1" t="n">
        <v>43647</v>
      </c>
      <c r="C30" s="1" t="n">
        <v>45739</v>
      </c>
      <c r="D30" t="inlineStr">
        <is>
          <t>KALMAR LÄN</t>
        </is>
      </c>
      <c r="E30" t="inlineStr">
        <is>
          <t>VIMMERBY</t>
        </is>
      </c>
      <c r="G30" t="n">
        <v>3.4</v>
      </c>
      <c r="H30" t="n">
        <v>0</v>
      </c>
      <c r="I30" t="n">
        <v>0</v>
      </c>
      <c r="J30" t="n">
        <v>2</v>
      </c>
      <c r="K30" t="n">
        <v>0</v>
      </c>
      <c r="L30" t="n">
        <v>0</v>
      </c>
      <c r="M30" t="n">
        <v>0</v>
      </c>
      <c r="N30" t="n">
        <v>0</v>
      </c>
      <c r="O30" t="n">
        <v>2</v>
      </c>
      <c r="P30" t="n">
        <v>0</v>
      </c>
      <c r="Q30" t="n">
        <v>2</v>
      </c>
      <c r="R30" s="2" t="inlineStr">
        <is>
          <t>Asppraktbagge
Vedskivlav</t>
        </is>
      </c>
      <c r="S30">
        <f>HYPERLINK("https://klasma.github.io/Logging_0884/artfynd/A 32602-2019 artfynd.xlsx", "A 32602-2019")</f>
        <v/>
      </c>
      <c r="T30">
        <f>HYPERLINK("https://klasma.github.io/Logging_0884/kartor/A 32602-2019 karta.png", "A 32602-2019")</f>
        <v/>
      </c>
      <c r="V30">
        <f>HYPERLINK("https://klasma.github.io/Logging_0884/klagomål/A 32602-2019 FSC-klagomål.docx", "A 32602-2019")</f>
        <v/>
      </c>
      <c r="W30">
        <f>HYPERLINK("https://klasma.github.io/Logging_0884/klagomålsmail/A 32602-2019 FSC-klagomål mail.docx", "A 32602-2019")</f>
        <v/>
      </c>
      <c r="X30">
        <f>HYPERLINK("https://klasma.github.io/Logging_0884/tillsyn/A 32602-2019 tillsynsbegäran.docx", "A 32602-2019")</f>
        <v/>
      </c>
      <c r="Y30">
        <f>HYPERLINK("https://klasma.github.io/Logging_0884/tillsynsmail/A 32602-2019 tillsynsbegäran mail.docx", "A 32602-2019")</f>
        <v/>
      </c>
    </row>
    <row r="31" ht="15" customHeight="1">
      <c r="A31" t="inlineStr">
        <is>
          <t>A 36803-2019</t>
        </is>
      </c>
      <c r="B31" s="1" t="n">
        <v>43672</v>
      </c>
      <c r="C31" s="1" t="n">
        <v>45739</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U31">
        <f>HYPERLINK("https://klasma.github.io/Logging_0884/knärot/A 36803-2019 karta knärot.png",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45739</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36077-2021</t>
        </is>
      </c>
      <c r="B33" s="1" t="n">
        <v>44386</v>
      </c>
      <c r="C33" s="1" t="n">
        <v>45739</v>
      </c>
      <c r="D33" t="inlineStr">
        <is>
          <t>KALMAR LÄN</t>
        </is>
      </c>
      <c r="E33" t="inlineStr">
        <is>
          <t>VIMMERBY</t>
        </is>
      </c>
      <c r="G33" t="n">
        <v>2</v>
      </c>
      <c r="H33" t="n">
        <v>1</v>
      </c>
      <c r="I33" t="n">
        <v>1</v>
      </c>
      <c r="J33" t="n">
        <v>0</v>
      </c>
      <c r="K33" t="n">
        <v>1</v>
      </c>
      <c r="L33" t="n">
        <v>0</v>
      </c>
      <c r="M33" t="n">
        <v>0</v>
      </c>
      <c r="N33" t="n">
        <v>0</v>
      </c>
      <c r="O33" t="n">
        <v>1</v>
      </c>
      <c r="P33" t="n">
        <v>1</v>
      </c>
      <c r="Q33" t="n">
        <v>2</v>
      </c>
      <c r="R33" s="2" t="inlineStr">
        <is>
          <t>Knärot
Kattfotslav</t>
        </is>
      </c>
      <c r="S33">
        <f>HYPERLINK("https://klasma.github.io/Logging_0884/artfynd/A 36077-2021 artfynd.xlsx", "A 36077-2021")</f>
        <v/>
      </c>
      <c r="T33">
        <f>HYPERLINK("https://klasma.github.io/Logging_0884/kartor/A 36077-2021 karta.png", "A 36077-2021")</f>
        <v/>
      </c>
      <c r="U33">
        <f>HYPERLINK("https://klasma.github.io/Logging_0884/knärot/A 36077-2021 karta knärot.png", "A 36077-2021")</f>
        <v/>
      </c>
      <c r="V33">
        <f>HYPERLINK("https://klasma.github.io/Logging_0884/klagomål/A 36077-2021 FSC-klagomål.docx", "A 36077-2021")</f>
        <v/>
      </c>
      <c r="W33">
        <f>HYPERLINK("https://klasma.github.io/Logging_0884/klagomålsmail/A 36077-2021 FSC-klagomål mail.docx", "A 36077-2021")</f>
        <v/>
      </c>
      <c r="X33">
        <f>HYPERLINK("https://klasma.github.io/Logging_0884/tillsyn/A 36077-2021 tillsynsbegäran.docx", "A 36077-2021")</f>
        <v/>
      </c>
      <c r="Y33">
        <f>HYPERLINK("https://klasma.github.io/Logging_0884/tillsynsmail/A 36077-2021 tillsynsbegäran mail.docx", "A 36077-2021")</f>
        <v/>
      </c>
    </row>
    <row r="34" ht="15" customHeight="1">
      <c r="A34" t="inlineStr">
        <is>
          <t>A 41398-2021</t>
        </is>
      </c>
      <c r="B34" s="1" t="n">
        <v>44424</v>
      </c>
      <c r="C34" s="1" t="n">
        <v>45739</v>
      </c>
      <c r="D34" t="inlineStr">
        <is>
          <t>KALMAR LÄN</t>
        </is>
      </c>
      <c r="E34" t="inlineStr">
        <is>
          <t>VIMMERBY</t>
        </is>
      </c>
      <c r="G34" t="n">
        <v>14.1</v>
      </c>
      <c r="H34" t="n">
        <v>0</v>
      </c>
      <c r="I34" t="n">
        <v>0</v>
      </c>
      <c r="J34" t="n">
        <v>2</v>
      </c>
      <c r="K34" t="n">
        <v>0</v>
      </c>
      <c r="L34" t="n">
        <v>0</v>
      </c>
      <c r="M34" t="n">
        <v>0</v>
      </c>
      <c r="N34" t="n">
        <v>0</v>
      </c>
      <c r="O34" t="n">
        <v>2</v>
      </c>
      <c r="P34" t="n">
        <v>0</v>
      </c>
      <c r="Q34" t="n">
        <v>2</v>
      </c>
      <c r="R34" s="2" t="inlineStr">
        <is>
          <t>Klasefibbla
Sommarfibbla</t>
        </is>
      </c>
      <c r="S34">
        <f>HYPERLINK("https://klasma.github.io/Logging_0884/artfynd/A 41398-2021 artfynd.xlsx", "A 41398-2021")</f>
        <v/>
      </c>
      <c r="T34">
        <f>HYPERLINK("https://klasma.github.io/Logging_0884/kartor/A 41398-2021 karta.png", "A 41398-2021")</f>
        <v/>
      </c>
      <c r="V34">
        <f>HYPERLINK("https://klasma.github.io/Logging_0884/klagomål/A 41398-2021 FSC-klagomål.docx", "A 41398-2021")</f>
        <v/>
      </c>
      <c r="W34">
        <f>HYPERLINK("https://klasma.github.io/Logging_0884/klagomålsmail/A 41398-2021 FSC-klagomål mail.docx", "A 41398-2021")</f>
        <v/>
      </c>
      <c r="X34">
        <f>HYPERLINK("https://klasma.github.io/Logging_0884/tillsyn/A 41398-2021 tillsynsbegäran.docx", "A 41398-2021")</f>
        <v/>
      </c>
      <c r="Y34">
        <f>HYPERLINK("https://klasma.github.io/Logging_0884/tillsynsmail/A 41398-2021 tillsynsbegäran mail.docx", "A 41398-2021")</f>
        <v/>
      </c>
    </row>
    <row r="35" ht="15" customHeight="1">
      <c r="A35" t="inlineStr">
        <is>
          <t>A 42141-2021</t>
        </is>
      </c>
      <c r="B35" s="1" t="n">
        <v>44426</v>
      </c>
      <c r="C35" s="1" t="n">
        <v>45739</v>
      </c>
      <c r="D35" t="inlineStr">
        <is>
          <t>KALMAR LÄN</t>
        </is>
      </c>
      <c r="E35" t="inlineStr">
        <is>
          <t>VIMMERBY</t>
        </is>
      </c>
      <c r="G35" t="n">
        <v>6.8</v>
      </c>
      <c r="H35" t="n">
        <v>2</v>
      </c>
      <c r="I35" t="n">
        <v>0</v>
      </c>
      <c r="J35" t="n">
        <v>0</v>
      </c>
      <c r="K35" t="n">
        <v>0</v>
      </c>
      <c r="L35" t="n">
        <v>0</v>
      </c>
      <c r="M35" t="n">
        <v>0</v>
      </c>
      <c r="N35" t="n">
        <v>0</v>
      </c>
      <c r="O35" t="n">
        <v>0</v>
      </c>
      <c r="P35" t="n">
        <v>0</v>
      </c>
      <c r="Q35" t="n">
        <v>2</v>
      </c>
      <c r="R35" s="2" t="inlineStr">
        <is>
          <t>Grönvit nattviol
Nattviol</t>
        </is>
      </c>
      <c r="S35">
        <f>HYPERLINK("https://klasma.github.io/Logging_0884/artfynd/A 42141-2021 artfynd.xlsx", "A 42141-2021")</f>
        <v/>
      </c>
      <c r="T35">
        <f>HYPERLINK("https://klasma.github.io/Logging_0884/kartor/A 42141-2021 karta.png", "A 42141-2021")</f>
        <v/>
      </c>
      <c r="V35">
        <f>HYPERLINK("https://klasma.github.io/Logging_0884/klagomål/A 42141-2021 FSC-klagomål.docx", "A 42141-2021")</f>
        <v/>
      </c>
      <c r="W35">
        <f>HYPERLINK("https://klasma.github.io/Logging_0884/klagomålsmail/A 42141-2021 FSC-klagomål mail.docx", "A 42141-2021")</f>
        <v/>
      </c>
      <c r="X35">
        <f>HYPERLINK("https://klasma.github.io/Logging_0884/tillsyn/A 42141-2021 tillsynsbegäran.docx", "A 42141-2021")</f>
        <v/>
      </c>
      <c r="Y35">
        <f>HYPERLINK("https://klasma.github.io/Logging_0884/tillsynsmail/A 42141-2021 tillsynsbegäran mail.docx", "A 42141-2021")</f>
        <v/>
      </c>
    </row>
    <row r="36" ht="15" customHeight="1">
      <c r="A36" t="inlineStr">
        <is>
          <t>A 2518-2023</t>
        </is>
      </c>
      <c r="B36" s="1" t="n">
        <v>44943</v>
      </c>
      <c r="C36" s="1" t="n">
        <v>45739</v>
      </c>
      <c r="D36" t="inlineStr">
        <is>
          <t>KALMAR LÄN</t>
        </is>
      </c>
      <c r="E36" t="inlineStr">
        <is>
          <t>VIMMERBY</t>
        </is>
      </c>
      <c r="G36" t="n">
        <v>6.1</v>
      </c>
      <c r="H36" t="n">
        <v>1</v>
      </c>
      <c r="I36" t="n">
        <v>1</v>
      </c>
      <c r="J36" t="n">
        <v>0</v>
      </c>
      <c r="K36" t="n">
        <v>1</v>
      </c>
      <c r="L36" t="n">
        <v>0</v>
      </c>
      <c r="M36" t="n">
        <v>0</v>
      </c>
      <c r="N36" t="n">
        <v>0</v>
      </c>
      <c r="O36" t="n">
        <v>1</v>
      </c>
      <c r="P36" t="n">
        <v>1</v>
      </c>
      <c r="Q36" t="n">
        <v>2</v>
      </c>
      <c r="R36" s="2" t="inlineStr">
        <is>
          <t>Knärot
Grönpyrola</t>
        </is>
      </c>
      <c r="S36">
        <f>HYPERLINK("https://klasma.github.io/Logging_0884/artfynd/A 2518-2023 artfynd.xlsx", "A 2518-2023")</f>
        <v/>
      </c>
      <c r="T36">
        <f>HYPERLINK("https://klasma.github.io/Logging_0884/kartor/A 2518-2023 karta.png", "A 2518-2023")</f>
        <v/>
      </c>
      <c r="U36">
        <f>HYPERLINK("https://klasma.github.io/Logging_0884/knärot/A 2518-2023 karta knärot.png", "A 2518-2023")</f>
        <v/>
      </c>
      <c r="V36">
        <f>HYPERLINK("https://klasma.github.io/Logging_0884/klagomål/A 2518-2023 FSC-klagomål.docx", "A 2518-2023")</f>
        <v/>
      </c>
      <c r="W36">
        <f>HYPERLINK("https://klasma.github.io/Logging_0884/klagomålsmail/A 2518-2023 FSC-klagomål mail.docx", "A 2518-2023")</f>
        <v/>
      </c>
      <c r="X36">
        <f>HYPERLINK("https://klasma.github.io/Logging_0884/tillsyn/A 2518-2023 tillsynsbegäran.docx", "A 2518-2023")</f>
        <v/>
      </c>
      <c r="Y36">
        <f>HYPERLINK("https://klasma.github.io/Logging_0884/tillsynsmail/A 2518-2023 tillsynsbegäran mail.docx", "A 2518-2023")</f>
        <v/>
      </c>
    </row>
    <row r="37" ht="15" customHeight="1">
      <c r="A37" t="inlineStr">
        <is>
          <t>A 14024-2023</t>
        </is>
      </c>
      <c r="B37" s="1" t="n">
        <v>45008</v>
      </c>
      <c r="C37" s="1" t="n">
        <v>45739</v>
      </c>
      <c r="D37" t="inlineStr">
        <is>
          <t>KALMAR LÄN</t>
        </is>
      </c>
      <c r="E37" t="inlineStr">
        <is>
          <t>VIMMERBY</t>
        </is>
      </c>
      <c r="G37" t="n">
        <v>3.2</v>
      </c>
      <c r="H37" t="n">
        <v>1</v>
      </c>
      <c r="I37" t="n">
        <v>1</v>
      </c>
      <c r="J37" t="n">
        <v>0</v>
      </c>
      <c r="K37" t="n">
        <v>0</v>
      </c>
      <c r="L37" t="n">
        <v>1</v>
      </c>
      <c r="M37" t="n">
        <v>0</v>
      </c>
      <c r="N37" t="n">
        <v>0</v>
      </c>
      <c r="O37" t="n">
        <v>1</v>
      </c>
      <c r="P37" t="n">
        <v>1</v>
      </c>
      <c r="Q37" t="n">
        <v>2</v>
      </c>
      <c r="R37" s="2" t="inlineStr">
        <is>
          <t>Ryl
Purpurknipprot</t>
        </is>
      </c>
      <c r="S37">
        <f>HYPERLINK("https://klasma.github.io/Logging_0884/artfynd/A 14024-2023 artfynd.xlsx", "A 14024-2023")</f>
        <v/>
      </c>
      <c r="T37">
        <f>HYPERLINK("https://klasma.github.io/Logging_0884/kartor/A 14024-2023 karta.png", "A 14024-2023")</f>
        <v/>
      </c>
      <c r="V37">
        <f>HYPERLINK("https://klasma.github.io/Logging_0884/klagomål/A 14024-2023 FSC-klagomål.docx", "A 14024-2023")</f>
        <v/>
      </c>
      <c r="W37">
        <f>HYPERLINK("https://klasma.github.io/Logging_0884/klagomålsmail/A 14024-2023 FSC-klagomål mail.docx", "A 14024-2023")</f>
        <v/>
      </c>
      <c r="X37">
        <f>HYPERLINK("https://klasma.github.io/Logging_0884/tillsyn/A 14024-2023 tillsynsbegäran.docx", "A 14024-2023")</f>
        <v/>
      </c>
      <c r="Y37">
        <f>HYPERLINK("https://klasma.github.io/Logging_0884/tillsynsmail/A 14024-2023 tillsynsbegäran mail.docx", "A 14024-2023")</f>
        <v/>
      </c>
    </row>
    <row r="38" ht="15" customHeight="1">
      <c r="A38" t="inlineStr">
        <is>
          <t>A 19158-2023</t>
        </is>
      </c>
      <c r="B38" s="1" t="n">
        <v>45048</v>
      </c>
      <c r="C38" s="1" t="n">
        <v>45739</v>
      </c>
      <c r="D38" t="inlineStr">
        <is>
          <t>KALMAR LÄN</t>
        </is>
      </c>
      <c r="E38" t="inlineStr">
        <is>
          <t>VIMMERBY</t>
        </is>
      </c>
      <c r="G38" t="n">
        <v>2.2</v>
      </c>
      <c r="H38" t="n">
        <v>2</v>
      </c>
      <c r="I38" t="n">
        <v>0</v>
      </c>
      <c r="J38" t="n">
        <v>0</v>
      </c>
      <c r="K38" t="n">
        <v>1</v>
      </c>
      <c r="L38" t="n">
        <v>0</v>
      </c>
      <c r="M38" t="n">
        <v>0</v>
      </c>
      <c r="N38" t="n">
        <v>0</v>
      </c>
      <c r="O38" t="n">
        <v>1</v>
      </c>
      <c r="P38" t="n">
        <v>1</v>
      </c>
      <c r="Q38" t="n">
        <v>2</v>
      </c>
      <c r="R38" s="2" t="inlineStr">
        <is>
          <t>Knärot
Blåsippa</t>
        </is>
      </c>
      <c r="S38">
        <f>HYPERLINK("https://klasma.github.io/Logging_0884/artfynd/A 19158-2023 artfynd.xlsx", "A 19158-2023")</f>
        <v/>
      </c>
      <c r="T38">
        <f>HYPERLINK("https://klasma.github.io/Logging_0884/kartor/A 19158-2023 karta.png", "A 19158-2023")</f>
        <v/>
      </c>
      <c r="U38">
        <f>HYPERLINK("https://klasma.github.io/Logging_0884/knärot/A 19158-2023 karta knärot.png", "A 19158-2023")</f>
        <v/>
      </c>
      <c r="V38">
        <f>HYPERLINK("https://klasma.github.io/Logging_0884/klagomål/A 19158-2023 FSC-klagomål.docx", "A 19158-2023")</f>
        <v/>
      </c>
      <c r="W38">
        <f>HYPERLINK("https://klasma.github.io/Logging_0884/klagomålsmail/A 19158-2023 FSC-klagomål mail.docx", "A 19158-2023")</f>
        <v/>
      </c>
      <c r="X38">
        <f>HYPERLINK("https://klasma.github.io/Logging_0884/tillsyn/A 19158-2023 tillsynsbegäran.docx", "A 19158-2023")</f>
        <v/>
      </c>
      <c r="Y38">
        <f>HYPERLINK("https://klasma.github.io/Logging_0884/tillsynsmail/A 19158-2023 tillsynsbegäran mail.docx", "A 19158-2023")</f>
        <v/>
      </c>
    </row>
    <row r="39" ht="15" customHeight="1">
      <c r="A39" t="inlineStr">
        <is>
          <t>A 22825-2023</t>
        </is>
      </c>
      <c r="B39" s="1" t="n">
        <v>45072</v>
      </c>
      <c r="C39" s="1" t="n">
        <v>45739</v>
      </c>
      <c r="D39" t="inlineStr">
        <is>
          <t>KALMAR LÄN</t>
        </is>
      </c>
      <c r="E39" t="inlineStr">
        <is>
          <t>VIMMERBY</t>
        </is>
      </c>
      <c r="G39" t="n">
        <v>14.1</v>
      </c>
      <c r="H39" t="n">
        <v>0</v>
      </c>
      <c r="I39" t="n">
        <v>0</v>
      </c>
      <c r="J39" t="n">
        <v>2</v>
      </c>
      <c r="K39" t="n">
        <v>0</v>
      </c>
      <c r="L39" t="n">
        <v>0</v>
      </c>
      <c r="M39" t="n">
        <v>0</v>
      </c>
      <c r="N39" t="n">
        <v>0</v>
      </c>
      <c r="O39" t="n">
        <v>2</v>
      </c>
      <c r="P39" t="n">
        <v>0</v>
      </c>
      <c r="Q39" t="n">
        <v>2</v>
      </c>
      <c r="R39" s="2" t="inlineStr">
        <is>
          <t>Klasefibbla
Sommarfibbla</t>
        </is>
      </c>
      <c r="S39">
        <f>HYPERLINK("https://klasma.github.io/Logging_0884/artfynd/A 22825-2023 artfynd.xlsx", "A 22825-2023")</f>
        <v/>
      </c>
      <c r="T39">
        <f>HYPERLINK("https://klasma.github.io/Logging_0884/kartor/A 22825-2023 karta.png", "A 22825-2023")</f>
        <v/>
      </c>
      <c r="V39">
        <f>HYPERLINK("https://klasma.github.io/Logging_0884/klagomål/A 22825-2023 FSC-klagomål.docx", "A 22825-2023")</f>
        <v/>
      </c>
      <c r="W39">
        <f>HYPERLINK("https://klasma.github.io/Logging_0884/klagomålsmail/A 22825-2023 FSC-klagomål mail.docx", "A 22825-2023")</f>
        <v/>
      </c>
      <c r="X39">
        <f>HYPERLINK("https://klasma.github.io/Logging_0884/tillsyn/A 22825-2023 tillsynsbegäran.docx", "A 22825-2023")</f>
        <v/>
      </c>
      <c r="Y39">
        <f>HYPERLINK("https://klasma.github.io/Logging_0884/tillsynsmail/A 22825-2023 tillsynsbegäran mail.docx", "A 22825-2023")</f>
        <v/>
      </c>
    </row>
    <row r="40" ht="15" customHeight="1">
      <c r="A40" t="inlineStr">
        <is>
          <t>A 32657-2023</t>
        </is>
      </c>
      <c r="B40" s="1" t="n">
        <v>45121</v>
      </c>
      <c r="C40" s="1" t="n">
        <v>45739</v>
      </c>
      <c r="D40" t="inlineStr">
        <is>
          <t>KALMAR LÄN</t>
        </is>
      </c>
      <c r="E40" t="inlineStr">
        <is>
          <t>VIMMERBY</t>
        </is>
      </c>
      <c r="G40" t="n">
        <v>1.6</v>
      </c>
      <c r="H40" t="n">
        <v>1</v>
      </c>
      <c r="I40" t="n">
        <v>0</v>
      </c>
      <c r="J40" t="n">
        <v>1</v>
      </c>
      <c r="K40" t="n">
        <v>0</v>
      </c>
      <c r="L40" t="n">
        <v>1</v>
      </c>
      <c r="M40" t="n">
        <v>0</v>
      </c>
      <c r="N40" t="n">
        <v>0</v>
      </c>
      <c r="O40" t="n">
        <v>2</v>
      </c>
      <c r="P40" t="n">
        <v>1</v>
      </c>
      <c r="Q40" t="n">
        <v>2</v>
      </c>
      <c r="R40" s="2" t="inlineStr">
        <is>
          <t>Bredgentiana
Sandviol</t>
        </is>
      </c>
      <c r="S40">
        <f>HYPERLINK("https://klasma.github.io/Logging_0884/artfynd/A 32657-2023 artfynd.xlsx", "A 32657-2023")</f>
        <v/>
      </c>
      <c r="T40">
        <f>HYPERLINK("https://klasma.github.io/Logging_0884/kartor/A 32657-2023 karta.png", "A 32657-2023")</f>
        <v/>
      </c>
      <c r="V40">
        <f>HYPERLINK("https://klasma.github.io/Logging_0884/klagomål/A 32657-2023 FSC-klagomål.docx", "A 32657-2023")</f>
        <v/>
      </c>
      <c r="W40">
        <f>HYPERLINK("https://klasma.github.io/Logging_0884/klagomålsmail/A 32657-2023 FSC-klagomål mail.docx", "A 32657-2023")</f>
        <v/>
      </c>
      <c r="X40">
        <f>HYPERLINK("https://klasma.github.io/Logging_0884/tillsyn/A 32657-2023 tillsynsbegäran.docx", "A 32657-2023")</f>
        <v/>
      </c>
      <c r="Y40">
        <f>HYPERLINK("https://klasma.github.io/Logging_0884/tillsynsmail/A 32657-2023 tillsynsbegäran mail.docx", "A 32657-2023")</f>
        <v/>
      </c>
    </row>
    <row r="41" ht="15" customHeight="1">
      <c r="A41" t="inlineStr">
        <is>
          <t>A 4864-2024</t>
        </is>
      </c>
      <c r="B41" s="1" t="n">
        <v>45329</v>
      </c>
      <c r="C41" s="1" t="n">
        <v>45739</v>
      </c>
      <c r="D41" t="inlineStr">
        <is>
          <t>KALMAR LÄN</t>
        </is>
      </c>
      <c r="E41" t="inlineStr">
        <is>
          <t>VIMMERBY</t>
        </is>
      </c>
      <c r="G41" t="n">
        <v>2.1</v>
      </c>
      <c r="H41" t="n">
        <v>2</v>
      </c>
      <c r="I41" t="n">
        <v>0</v>
      </c>
      <c r="J41" t="n">
        <v>1</v>
      </c>
      <c r="K41" t="n">
        <v>1</v>
      </c>
      <c r="L41" t="n">
        <v>0</v>
      </c>
      <c r="M41" t="n">
        <v>0</v>
      </c>
      <c r="N41" t="n">
        <v>0</v>
      </c>
      <c r="O41" t="n">
        <v>2</v>
      </c>
      <c r="P41" t="n">
        <v>1</v>
      </c>
      <c r="Q41" t="n">
        <v>2</v>
      </c>
      <c r="R41" s="2" t="inlineStr">
        <is>
          <t>Knärot
Talltita</t>
        </is>
      </c>
      <c r="S41">
        <f>HYPERLINK("https://klasma.github.io/Logging_0884/artfynd/A 4864-2024 artfynd.xlsx", "A 4864-2024")</f>
        <v/>
      </c>
      <c r="T41">
        <f>HYPERLINK("https://klasma.github.io/Logging_0884/kartor/A 4864-2024 karta.png", "A 4864-2024")</f>
        <v/>
      </c>
      <c r="U41">
        <f>HYPERLINK("https://klasma.github.io/Logging_0884/knärot/A 4864-2024 karta knärot.png", "A 4864-2024")</f>
        <v/>
      </c>
      <c r="V41">
        <f>HYPERLINK("https://klasma.github.io/Logging_0884/klagomål/A 4864-2024 FSC-klagomål.docx", "A 4864-2024")</f>
        <v/>
      </c>
      <c r="W41">
        <f>HYPERLINK("https://klasma.github.io/Logging_0884/klagomålsmail/A 4864-2024 FSC-klagomål mail.docx", "A 4864-2024")</f>
        <v/>
      </c>
      <c r="X41">
        <f>HYPERLINK("https://klasma.github.io/Logging_0884/tillsyn/A 4864-2024 tillsynsbegäran.docx", "A 4864-2024")</f>
        <v/>
      </c>
      <c r="Y41">
        <f>HYPERLINK("https://klasma.github.io/Logging_0884/tillsynsmail/A 4864-2024 tillsynsbegäran mail.docx", "A 4864-2024")</f>
        <v/>
      </c>
      <c r="Z41">
        <f>HYPERLINK("https://klasma.github.io/Logging_0884/fåglar/A 4864-2024 prioriterade fågelarter.docx", "A 4864-2024")</f>
        <v/>
      </c>
    </row>
    <row r="42" ht="15" customHeight="1">
      <c r="A42" t="inlineStr">
        <is>
          <t>A 26465-2024</t>
        </is>
      </c>
      <c r="B42" s="1" t="n">
        <v>45469</v>
      </c>
      <c r="C42" s="1" t="n">
        <v>45739</v>
      </c>
      <c r="D42" t="inlineStr">
        <is>
          <t>KALMAR LÄN</t>
        </is>
      </c>
      <c r="E42" t="inlineStr">
        <is>
          <t>VIMMERBY</t>
        </is>
      </c>
      <c r="F42" t="inlineStr">
        <is>
          <t>Kyrkan</t>
        </is>
      </c>
      <c r="G42" t="n">
        <v>8.199999999999999</v>
      </c>
      <c r="H42" t="n">
        <v>2</v>
      </c>
      <c r="I42" t="n">
        <v>0</v>
      </c>
      <c r="J42" t="n">
        <v>2</v>
      </c>
      <c r="K42" t="n">
        <v>0</v>
      </c>
      <c r="L42" t="n">
        <v>0</v>
      </c>
      <c r="M42" t="n">
        <v>0</v>
      </c>
      <c r="N42" t="n">
        <v>0</v>
      </c>
      <c r="O42" t="n">
        <v>2</v>
      </c>
      <c r="P42" t="n">
        <v>0</v>
      </c>
      <c r="Q42" t="n">
        <v>2</v>
      </c>
      <c r="R42" s="2" t="inlineStr">
        <is>
          <t>Mindre hackspett
Talltita</t>
        </is>
      </c>
      <c r="S42">
        <f>HYPERLINK("https://klasma.github.io/Logging_0884/artfynd/A 26465-2024 artfynd.xlsx", "A 26465-2024")</f>
        <v/>
      </c>
      <c r="T42">
        <f>HYPERLINK("https://klasma.github.io/Logging_0884/kartor/A 26465-2024 karta.png", "A 26465-2024")</f>
        <v/>
      </c>
      <c r="V42">
        <f>HYPERLINK("https://klasma.github.io/Logging_0884/klagomål/A 26465-2024 FSC-klagomål.docx", "A 26465-2024")</f>
        <v/>
      </c>
      <c r="W42">
        <f>HYPERLINK("https://klasma.github.io/Logging_0884/klagomålsmail/A 26465-2024 FSC-klagomål mail.docx", "A 26465-2024")</f>
        <v/>
      </c>
      <c r="X42">
        <f>HYPERLINK("https://klasma.github.io/Logging_0884/tillsyn/A 26465-2024 tillsynsbegäran.docx", "A 26465-2024")</f>
        <v/>
      </c>
      <c r="Y42">
        <f>HYPERLINK("https://klasma.github.io/Logging_0884/tillsynsmail/A 26465-2024 tillsynsbegäran mail.docx", "A 26465-2024")</f>
        <v/>
      </c>
      <c r="Z42">
        <f>HYPERLINK("https://klasma.github.io/Logging_0884/fåglar/A 26465-2024 prioriterade fågelarter.docx", "A 26465-2024")</f>
        <v/>
      </c>
    </row>
    <row r="43" ht="15" customHeight="1">
      <c r="A43" t="inlineStr">
        <is>
          <t>A 19055-2019</t>
        </is>
      </c>
      <c r="B43" s="1" t="n">
        <v>43563</v>
      </c>
      <c r="C43" s="1" t="n">
        <v>45739</v>
      </c>
      <c r="D43" t="inlineStr">
        <is>
          <t>KALMAR LÄN</t>
        </is>
      </c>
      <c r="E43" t="inlineStr">
        <is>
          <t>VIMMERBY</t>
        </is>
      </c>
      <c r="G43" t="n">
        <v>1</v>
      </c>
      <c r="H43" t="n">
        <v>1</v>
      </c>
      <c r="I43" t="n">
        <v>1</v>
      </c>
      <c r="J43" t="n">
        <v>0</v>
      </c>
      <c r="K43" t="n">
        <v>0</v>
      </c>
      <c r="L43" t="n">
        <v>0</v>
      </c>
      <c r="M43" t="n">
        <v>0</v>
      </c>
      <c r="N43" t="n">
        <v>0</v>
      </c>
      <c r="O43" t="n">
        <v>0</v>
      </c>
      <c r="P43" t="n">
        <v>0</v>
      </c>
      <c r="Q43" t="n">
        <v>1</v>
      </c>
      <c r="R43" s="2" t="inlineStr">
        <is>
          <t>Korallrot</t>
        </is>
      </c>
      <c r="S43">
        <f>HYPERLINK("https://klasma.github.io/Logging_0884/artfynd/A 19055-2019 artfynd.xlsx", "A 19055-2019")</f>
        <v/>
      </c>
      <c r="T43">
        <f>HYPERLINK("https://klasma.github.io/Logging_0884/kartor/A 19055-2019 karta.png", "A 19055-2019")</f>
        <v/>
      </c>
      <c r="V43">
        <f>HYPERLINK("https://klasma.github.io/Logging_0884/klagomål/A 19055-2019 FSC-klagomål.docx", "A 19055-2019")</f>
        <v/>
      </c>
      <c r="W43">
        <f>HYPERLINK("https://klasma.github.io/Logging_0884/klagomålsmail/A 19055-2019 FSC-klagomål mail.docx", "A 19055-2019")</f>
        <v/>
      </c>
      <c r="X43">
        <f>HYPERLINK("https://klasma.github.io/Logging_0884/tillsyn/A 19055-2019 tillsynsbegäran.docx", "A 19055-2019")</f>
        <v/>
      </c>
      <c r="Y43">
        <f>HYPERLINK("https://klasma.github.io/Logging_0884/tillsynsmail/A 19055-2019 tillsynsbegäran mail.docx", "A 19055-2019")</f>
        <v/>
      </c>
    </row>
    <row r="44" ht="15" customHeight="1">
      <c r="A44" t="inlineStr">
        <is>
          <t>A 52156-2019</t>
        </is>
      </c>
      <c r="B44" s="1" t="n">
        <v>43742</v>
      </c>
      <c r="C44" s="1" t="n">
        <v>45739</v>
      </c>
      <c r="D44" t="inlineStr">
        <is>
          <t>KALMAR LÄN</t>
        </is>
      </c>
      <c r="E44" t="inlineStr">
        <is>
          <t>VIMMERBY</t>
        </is>
      </c>
      <c r="G44" t="n">
        <v>3.7</v>
      </c>
      <c r="H44" t="n">
        <v>1</v>
      </c>
      <c r="I44" t="n">
        <v>0</v>
      </c>
      <c r="J44" t="n">
        <v>0</v>
      </c>
      <c r="K44" t="n">
        <v>0</v>
      </c>
      <c r="L44" t="n">
        <v>0</v>
      </c>
      <c r="M44" t="n">
        <v>0</v>
      </c>
      <c r="N44" t="n">
        <v>0</v>
      </c>
      <c r="O44" t="n">
        <v>0</v>
      </c>
      <c r="P44" t="n">
        <v>0</v>
      </c>
      <c r="Q44" t="n">
        <v>1</v>
      </c>
      <c r="R44" s="2" t="inlineStr">
        <is>
          <t>Blåsippa</t>
        </is>
      </c>
      <c r="S44">
        <f>HYPERLINK("https://klasma.github.io/Logging_0884/artfynd/A 52156-2019 artfynd.xlsx", "A 52156-2019")</f>
        <v/>
      </c>
      <c r="T44">
        <f>HYPERLINK("https://klasma.github.io/Logging_0884/kartor/A 52156-2019 karta.png", "A 52156-2019")</f>
        <v/>
      </c>
      <c r="U44">
        <f>HYPERLINK("https://klasma.github.io/Logging_0884/knärot/A 52156-2019 karta knärot.png", "A 52156-2019")</f>
        <v/>
      </c>
      <c r="V44">
        <f>HYPERLINK("https://klasma.github.io/Logging_0884/klagomål/A 52156-2019 FSC-klagomål.docx", "A 52156-2019")</f>
        <v/>
      </c>
      <c r="W44">
        <f>HYPERLINK("https://klasma.github.io/Logging_0884/klagomålsmail/A 52156-2019 FSC-klagomål mail.docx", "A 52156-2019")</f>
        <v/>
      </c>
      <c r="X44">
        <f>HYPERLINK("https://klasma.github.io/Logging_0884/tillsyn/A 52156-2019 tillsynsbegäran.docx", "A 52156-2019")</f>
        <v/>
      </c>
      <c r="Y44">
        <f>HYPERLINK("https://klasma.github.io/Logging_0884/tillsynsmail/A 52156-2019 tillsynsbegäran mail.docx", "A 52156-2019")</f>
        <v/>
      </c>
    </row>
    <row r="45" ht="15" customHeight="1">
      <c r="A45" t="inlineStr">
        <is>
          <t>A 64356-2019</t>
        </is>
      </c>
      <c r="B45" s="1" t="n">
        <v>43797</v>
      </c>
      <c r="C45" s="1" t="n">
        <v>45739</v>
      </c>
      <c r="D45" t="inlineStr">
        <is>
          <t>KALMAR LÄN</t>
        </is>
      </c>
      <c r="E45" t="inlineStr">
        <is>
          <t>VIMMERBY</t>
        </is>
      </c>
      <c r="G45" t="n">
        <v>1.4</v>
      </c>
      <c r="H45" t="n">
        <v>0</v>
      </c>
      <c r="I45" t="n">
        <v>1</v>
      </c>
      <c r="J45" t="n">
        <v>0</v>
      </c>
      <c r="K45" t="n">
        <v>0</v>
      </c>
      <c r="L45" t="n">
        <v>0</v>
      </c>
      <c r="M45" t="n">
        <v>0</v>
      </c>
      <c r="N45" t="n">
        <v>0</v>
      </c>
      <c r="O45" t="n">
        <v>0</v>
      </c>
      <c r="P45" t="n">
        <v>0</v>
      </c>
      <c r="Q45" t="n">
        <v>1</v>
      </c>
      <c r="R45" s="2" t="inlineStr">
        <is>
          <t>Fällmossa</t>
        </is>
      </c>
      <c r="S45">
        <f>HYPERLINK("https://klasma.github.io/Logging_0884/artfynd/A 64356-2019 artfynd.xlsx", "A 64356-2019")</f>
        <v/>
      </c>
      <c r="T45">
        <f>HYPERLINK("https://klasma.github.io/Logging_0884/kartor/A 64356-2019 karta.png", "A 64356-2019")</f>
        <v/>
      </c>
      <c r="V45">
        <f>HYPERLINK("https://klasma.github.io/Logging_0884/klagomål/A 64356-2019 FSC-klagomål.docx", "A 64356-2019")</f>
        <v/>
      </c>
      <c r="W45">
        <f>HYPERLINK("https://klasma.github.io/Logging_0884/klagomålsmail/A 64356-2019 FSC-klagomål mail.docx", "A 64356-2019")</f>
        <v/>
      </c>
      <c r="X45">
        <f>HYPERLINK("https://klasma.github.io/Logging_0884/tillsyn/A 64356-2019 tillsynsbegäran.docx", "A 64356-2019")</f>
        <v/>
      </c>
      <c r="Y45">
        <f>HYPERLINK("https://klasma.github.io/Logging_0884/tillsynsmail/A 64356-2019 tillsynsbegäran mail.docx", "A 64356-2019")</f>
        <v/>
      </c>
    </row>
    <row r="46" ht="15" customHeight="1">
      <c r="A46" t="inlineStr">
        <is>
          <t>A 22439-2020</t>
        </is>
      </c>
      <c r="B46" s="1" t="n">
        <v>43963</v>
      </c>
      <c r="C46" s="1" t="n">
        <v>45739</v>
      </c>
      <c r="D46" t="inlineStr">
        <is>
          <t>KALMAR LÄN</t>
        </is>
      </c>
      <c r="E46" t="inlineStr">
        <is>
          <t>VIMMERBY</t>
        </is>
      </c>
      <c r="G46" t="n">
        <v>13.8</v>
      </c>
      <c r="H46" t="n">
        <v>0</v>
      </c>
      <c r="I46" t="n">
        <v>0</v>
      </c>
      <c r="J46" t="n">
        <v>1</v>
      </c>
      <c r="K46" t="n">
        <v>0</v>
      </c>
      <c r="L46" t="n">
        <v>0</v>
      </c>
      <c r="M46" t="n">
        <v>0</v>
      </c>
      <c r="N46" t="n">
        <v>0</v>
      </c>
      <c r="O46" t="n">
        <v>1</v>
      </c>
      <c r="P46" t="n">
        <v>0</v>
      </c>
      <c r="Q46" t="n">
        <v>1</v>
      </c>
      <c r="R46" s="2" t="inlineStr">
        <is>
          <t>Tallticka</t>
        </is>
      </c>
      <c r="S46">
        <f>HYPERLINK("https://klasma.github.io/Logging_0884/artfynd/A 22439-2020 artfynd.xlsx", "A 22439-2020")</f>
        <v/>
      </c>
      <c r="T46">
        <f>HYPERLINK("https://klasma.github.io/Logging_0884/kartor/A 22439-2020 karta.png", "A 22439-2020")</f>
        <v/>
      </c>
      <c r="V46">
        <f>HYPERLINK("https://klasma.github.io/Logging_0884/klagomål/A 22439-2020 FSC-klagomål.docx", "A 22439-2020")</f>
        <v/>
      </c>
      <c r="W46">
        <f>HYPERLINK("https://klasma.github.io/Logging_0884/klagomålsmail/A 22439-2020 FSC-klagomål mail.docx", "A 22439-2020")</f>
        <v/>
      </c>
      <c r="X46">
        <f>HYPERLINK("https://klasma.github.io/Logging_0884/tillsyn/A 22439-2020 tillsynsbegäran.docx", "A 22439-2020")</f>
        <v/>
      </c>
      <c r="Y46">
        <f>HYPERLINK("https://klasma.github.io/Logging_0884/tillsynsmail/A 22439-2020 tillsynsbegäran mail.docx", "A 22439-2020")</f>
        <v/>
      </c>
    </row>
    <row r="47" ht="15" customHeight="1">
      <c r="A47" t="inlineStr">
        <is>
          <t>A 42097-2020</t>
        </is>
      </c>
      <c r="B47" s="1" t="n">
        <v>44075</v>
      </c>
      <c r="C47" s="1" t="n">
        <v>45739</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45739</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45739</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45739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45739</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45739</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45739</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45739</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45739</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45739</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45739</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45739</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45739</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45739</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45739</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45739</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45739</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45739</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45739</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45739</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45739</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45739</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45739</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45739</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45739</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45739</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45739</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45739</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45739</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45739</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45739</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45739</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45739</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45739</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1201-2025</t>
        </is>
      </c>
      <c r="B81" s="1" t="n">
        <v>45667</v>
      </c>
      <c r="C81" s="1" t="n">
        <v>45739</v>
      </c>
      <c r="D81" t="inlineStr">
        <is>
          <t>KALMAR LÄN</t>
        </is>
      </c>
      <c r="E81" t="inlineStr">
        <is>
          <t>VIMMERBY</t>
        </is>
      </c>
      <c r="G81" t="n">
        <v>6.4</v>
      </c>
      <c r="H81" t="n">
        <v>1</v>
      </c>
      <c r="I81" t="n">
        <v>0</v>
      </c>
      <c r="J81" t="n">
        <v>0</v>
      </c>
      <c r="K81" t="n">
        <v>1</v>
      </c>
      <c r="L81" t="n">
        <v>0</v>
      </c>
      <c r="M81" t="n">
        <v>0</v>
      </c>
      <c r="N81" t="n">
        <v>0</v>
      </c>
      <c r="O81" t="n">
        <v>1</v>
      </c>
      <c r="P81" t="n">
        <v>1</v>
      </c>
      <c r="Q81" t="n">
        <v>1</v>
      </c>
      <c r="R81" s="2" t="inlineStr">
        <is>
          <t>Knärot</t>
        </is>
      </c>
      <c r="S81">
        <f>HYPERLINK("https://klasma.github.io/Logging_0884/artfynd/A 1201-2025 artfynd.xlsx", "A 1201-2025")</f>
        <v/>
      </c>
      <c r="T81">
        <f>HYPERLINK("https://klasma.github.io/Logging_0884/kartor/A 1201-2025 karta.png", "A 1201-2025")</f>
        <v/>
      </c>
      <c r="U81">
        <f>HYPERLINK("https://klasma.github.io/Logging_0884/knärot/A 1201-2025 karta knärot.png", "A 1201-2025")</f>
        <v/>
      </c>
      <c r="V81">
        <f>HYPERLINK("https://klasma.github.io/Logging_0884/klagomål/A 1201-2025 FSC-klagomål.docx", "A 1201-2025")</f>
        <v/>
      </c>
      <c r="W81">
        <f>HYPERLINK("https://klasma.github.io/Logging_0884/klagomålsmail/A 1201-2025 FSC-klagomål mail.docx", "A 1201-2025")</f>
        <v/>
      </c>
      <c r="X81">
        <f>HYPERLINK("https://klasma.github.io/Logging_0884/tillsyn/A 1201-2025 tillsynsbegäran.docx", "A 1201-2025")</f>
        <v/>
      </c>
      <c r="Y81">
        <f>HYPERLINK("https://klasma.github.io/Logging_0884/tillsynsmail/A 1201-2025 tillsynsbegäran mail.docx", "A 1201-2025")</f>
        <v/>
      </c>
    </row>
    <row r="82" ht="15" customHeight="1">
      <c r="A82" t="inlineStr">
        <is>
          <t>A 6449-2025</t>
        </is>
      </c>
      <c r="B82" s="1" t="n">
        <v>45699</v>
      </c>
      <c r="C82" s="1" t="n">
        <v>45739</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45739</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45739</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45739</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45739</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45739</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45739</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45739</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45739</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45739</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45739</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45739</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45739</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45739</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45739</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45739</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45739</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45739</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45739</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45739</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45739</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45739</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45739</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45739</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45739</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45739</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45739</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45739</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45739</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45739</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45739</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45739</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45739</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45739</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45739</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45739</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45739</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45739</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45739</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45739</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45739</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45739</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45739</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45739</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45739</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45739</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45739</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45739</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45739</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45739</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45739</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45739</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45739</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45739</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45739</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45739</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45739</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45739</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45739</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45739</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45739</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45739</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45739</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45739</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45739</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45739</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45739</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45739</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45739</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45739</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45739</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45739</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45739</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45739</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45739</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45739</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45739</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45739</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45739</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45739</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45739</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45739</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45739</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45739</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45739</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45739</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45739</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45739</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45739</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45739</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45739</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45739</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45739</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45739</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45739</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45739</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45739</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45739</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45739</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45739</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45739</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45739</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45739</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45739</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45739</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45739</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45739</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45739</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45739</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45739</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45739</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45739</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45739</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45739</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45739</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45739</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45739</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45739</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45739</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45739</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45739</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45739</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45739</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45739</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45739</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45739</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45739</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45739</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45739</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45739</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45739</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45739</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45739</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45739</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45739</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45739</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45739</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45739</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45739</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45739</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45739</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45739</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45739</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45739</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45739</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45739</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45739</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45739</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45739</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45739</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45739</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45739</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45739</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45739</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45739</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45739</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45739</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45739</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45739</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45739</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45739</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45739</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45739</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45739</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45739</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45739</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45739</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45739</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45739</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45739</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45739</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45739</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45739</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45739</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45739</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45739</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45739</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45739</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45739</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45739</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45739</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45739</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45739</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45739</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45739</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45739</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45739</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45739</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45739</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45739</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45739</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45739</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45739</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45739</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45739</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45739</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45739</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45739</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45739</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45739</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45739</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45739</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45739</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45739</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45739</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45739</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45739</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45739</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45739</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45739</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45739</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45739</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45739</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45739</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45739</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45739</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45739</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45739</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45739</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45739</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45739</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45739</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45739</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45739</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45739</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45739</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45739</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45739</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45739</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45739</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45739</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45739</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45739</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45739</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45739</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45739</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45739</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45739</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45739</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45739</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45739</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45739</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45739</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45739</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45739</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45739</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45739</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45739</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45739</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45739</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45739</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45739</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45739</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45739</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45739</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45739</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45739</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45739</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45739</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45739</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45739</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45739</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45739</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45739</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45739</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45739</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45739</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45739</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45739</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45739</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45739</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45739</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45739</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45739</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45739</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45739</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45739</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45739</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45739</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45739</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45739</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45739</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45739</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45739</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45739</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45739</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45739</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45739</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45739</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45739</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45739</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45739</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45739</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45739</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45739</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45739</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45739</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45739</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45739</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45739</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45739</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45739</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45739</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45739</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45739</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45739</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45739</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45739</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45739</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45739</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45739</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45739</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45739</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45739</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45739</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45739</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45739</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45739</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45739</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45739</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45739</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45739</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45739</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45739</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45739</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45739</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45739</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45739</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45739</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45739</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45739</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45739</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45739</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45739</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45739</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45739</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45739</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45739</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45739</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45739</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45739</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45739</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45739</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45739</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45739</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45739</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45739</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45739</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45739</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45739</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45739</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45739</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45739</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45739</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45739</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45739</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45739</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45739</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45739</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45739</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45739</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45739</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45739</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45739</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45739</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45739</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45739</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45739</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45739</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45739</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45739</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45739</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45739</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45739</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45739</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45739</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45739</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45739</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45739</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45739</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45739</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45739</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45739</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45739</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45739</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45739</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45739</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45739</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45739</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45739</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45739</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45739</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45739</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45739</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45739</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45739</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45739</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45739</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45739</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45739</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45739</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45739</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45739</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45739</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45739</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45739</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45739</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45739</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45739</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45739</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45739</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45739</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45739</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45739</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45739</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45739</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45739</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45739</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45739</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45739</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45739</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45739</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45739</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45739</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45739</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45739</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45739</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45739</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45739</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45739</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45739</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45739</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45739</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45739</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45739</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45739</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45739</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45739</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45739</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45739</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45739</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45739</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45739</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45739</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45739</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45739</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45739</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45739</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45739</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45739</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45739</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45739</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45739</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45739</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45739</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45739</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45739</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45739</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45739</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45739</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45739</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45739</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45739</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45739</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45739</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45739</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45739</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45739</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45739</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45739</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45739</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45739</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45739</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45739</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45739</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45739</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45739</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45739</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45739</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45739</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45739</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45739</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45739</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45739</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45739</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45739</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45739</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45739</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45739</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45739</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45739</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45739</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45739</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45739</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45739</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45739</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45739</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45739</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45739</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45739</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45739</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45739</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45739</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45739</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45739</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45739</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45739</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45739</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45739</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45739</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45739</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45739</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45739</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45739</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45739</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45739</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45739</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45739</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45739</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45739</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45739</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45739</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45739</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45739</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45739</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45739</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45739</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45739</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45739</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45739</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45739</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45739</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45739</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45739</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45739</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45739</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45739</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45739</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45739</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45739</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45739</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45739</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45739</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45739</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45739</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45739</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45739</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45739</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45739</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45739</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45739</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45739</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45739</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45739</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45739</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45739</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45739</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45739</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45739</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45739</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45739</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45739</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45739</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45739</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45739</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45739</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45739</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45739</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45739</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45739</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45739</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45739</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45739</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45739</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45739</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45739</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45739</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45739</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45739</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45739</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45739</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45739</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45739</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45739</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45739</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45739</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45739</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45739</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45739</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45739</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45739</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45739</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45739</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45739</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45739</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45739</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45739</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45739</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45739</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45739</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45739</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45739</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45739</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45739</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45739</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45739</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45739</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45739</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45739</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45739</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45739</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45739</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45739</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45739</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45739</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45739</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45739</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45739</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45739</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45739</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45739</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45739</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45739</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45739</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45739</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45739</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45739</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45739</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45739</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45739</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45739</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45739</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45739</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45739</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45739</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45739</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45739</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45739</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45739</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45739</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45739</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45739</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45739</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45739</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45739</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45739</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45739</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45739</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45739</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45739</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45739</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45739</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45739</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45739</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45739</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45739</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45739</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45739</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45739</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45739</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45739</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45739</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45739</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45739</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45739</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45739</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45739</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45739</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45739</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45739</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45739</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45739</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45739</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45739</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45739</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45739</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45739</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45739</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45739</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45739</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45739</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45739</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45739</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45739</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45739</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45739</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45739</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45739</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45739</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45739</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45739</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45739</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45739</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45739</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45739</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45739</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45739</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45739</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45739</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45739</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45739</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45739</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45739</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45739</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45739</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45739</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45739</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45739</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45739</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45739</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45739</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45739</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45739</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45739</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45739</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45739</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45739</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45739</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45739</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45739</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45739</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45739</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45739</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45739</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45739</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45739</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45739</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45739</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45739</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45739</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45739</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45739</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45739</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45739</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45739</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45739</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45739</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45739</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45739</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45739</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45739</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45739</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45739</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45739</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45739</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45739</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45739</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45739</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45739</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45739</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45739</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45739</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45739</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45739</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45739</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45739</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45739</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45739</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45739</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45739</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45739</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45739</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45739</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45739</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45739</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45739</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45739</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45739</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45739</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45739</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45739</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45739</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45739</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45739</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45739</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45739</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45739</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45739</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45739</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45739</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45739</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45739</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45739</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45739</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45739</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45739</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45739</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45739</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45739</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45739</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45739</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45739</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45739</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45739</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45739</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45739</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45739</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45739</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45739</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45739</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45739</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45739</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45739</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45739</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45739</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45739</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45739</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45739</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45739</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45739</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45739</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45739</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45739</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45739</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45739</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45739</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45739</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45739</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45739</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45739</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45739</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45739</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45739</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45739</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45739</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45739</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45739</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45739</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45739</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45739</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45739</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45739</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45739</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45739</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45739</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45739</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45739</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45739</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45739</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45739</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45739</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45739</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45739</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45739</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45739</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45739</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45739</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45739</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45739</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45739</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45739</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45739</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45739</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45739</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45739</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45739</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45739</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45739</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45739</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45739</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45739</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45739</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45739</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45739</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45739</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45739</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45739</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45739</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45739</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45739</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45739</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45739</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45739</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45739</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45739</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45739</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45739</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45739</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45739</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45739</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45739</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45739</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45739</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45739</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45739</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45739</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45739</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45739</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45739</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45739</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45739</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45739</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45739</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45739</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45739</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45739</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45739</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45739</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45739</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45739</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45739</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45739</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45739</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45739</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45739</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45739</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45739</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45739</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45739</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45739</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45739</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45739</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45739</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45739</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45739</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45739</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45739</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45739</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45739</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45739</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45739</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45739</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45739</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45739</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45739</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45739</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45739</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45739</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45739</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45739</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45739</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45739</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45739</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45739</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45739</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45739</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45739</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45739</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45739</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45739</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45739</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45739</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45739</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45739</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45739</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45739</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45739</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45739</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45739</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45739</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45739</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45739</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45739</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45739</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45739</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45739</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45739</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45739</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45739</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45739</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45739</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45739</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45739</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45739</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45739</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45739</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45739</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45739</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45739</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45739</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45739</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45739</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45739</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45739</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45739</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45739</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45739</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45739</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45739</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45739</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45739</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45739</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45739</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45739</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45739</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45739</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45739</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45739</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45739</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45739</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45739</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45739</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45739</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45739</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45739</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45739</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45739</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45739</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45739</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45739</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45739</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45739</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45739</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45739</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45739</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45739</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45739</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45739</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45739</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45739</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45739</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45739</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45739</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45739</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45739</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45739</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45739</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45739</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45739</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45739</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45739</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45739</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45739</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45739</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45739</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45739</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45739</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45739</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45739</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45739</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45739</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45739</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45739</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45739</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45739</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45739</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45739</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45739</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45739</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45739</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45739</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45739</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45739</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45739</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45739</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45739</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45739</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45739</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45739</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45739</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45739</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45739</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45739</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45739</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45739</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45739</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45739</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45739</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45739</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45739</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45739</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45739</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45739</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45739</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45739</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45739</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45739</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45739</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45739</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45739</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45739</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45739</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45739</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45739</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45739</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45739</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45739</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45739</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45739</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45739</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45739</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45739</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45739</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45739</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45739</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45739</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45739</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45739</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45739</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45739</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45739</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45739</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45739</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45739</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45739</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45739</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45739</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45739</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45739</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45739</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45739</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45739</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45739</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45739</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45739</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45739</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45739</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45739</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45739</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45739</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45739</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45739</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45739</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45739</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45739</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45739</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45739</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45739</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45739</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45739</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45739</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45739</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45739</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45739</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45739</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45739</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45739</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45739</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45739</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45739</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45739</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45739</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45739</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45739</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45739</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45739</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45739</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45739</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45739</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45739</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45739</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45739</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45739</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45739</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45739</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45739</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45739</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45739</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45739</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45739</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45739</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45739</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45739</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45739</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45739</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45739</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45739</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45739</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45739</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45739</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45739</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45739</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45739</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45739</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45739</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45739</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45739</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45739</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45739</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45739</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45739</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45739</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45739</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45739</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45739</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45739</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45739</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45739</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45739</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45739</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45739</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45739</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45739</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45739</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45739</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45739</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45739</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45739</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45739</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45739</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45739</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45739</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45739</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45739</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45739</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45739</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45739</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45739</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45739</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45739</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45739</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45739</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45739</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45739</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45739</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45739</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45739</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45739</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45739</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45739</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45739</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45739</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45739</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45739</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45739</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45739</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45739</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45739</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45739</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45739</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45739</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45739</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45739</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45739</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45739</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45739</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45739</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45739</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45739</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45739</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45739</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45739</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45739</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45739</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45739</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45739</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45739</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45739</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45739</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45739</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45739</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45739</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45739</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45739</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45739</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45739</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45739</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45739</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45739</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45739</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45739</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45739</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45739</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45739</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45739</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45739</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45739</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45739</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45739</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45739</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45739</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45739</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45739</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45739</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45739</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45739</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45739</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45739</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45739</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45739</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45739</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45739</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45739</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45739</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45739</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45739</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45739</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45739</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45739</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45739</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45739</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45739</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45739</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45739</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45739</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45739</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45739</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45739</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45739</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45739</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45739</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45739</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45739</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45739</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45739</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45739</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45739</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45739</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45739</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45739</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45739</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45739</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45739</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45739</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45739</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45739</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45739</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45739</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45739</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45739</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45739</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45739</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45739</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45739</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45739</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45739</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45739</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45739</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45739</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45739</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45739</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45739</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45739</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45739</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45739</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45739</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45739</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45739</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45739</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45739</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45739</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45739</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45739</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45739</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45739</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45739</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45739</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45739</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45739</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45739</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45739</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45739</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45739</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45739</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45739</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45739</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45739</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45739</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45739</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45739</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45739</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45739</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45739</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45739</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45739</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45739</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45739</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45739</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45739</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45739</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45739</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45739</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45739</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45739</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45739</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45739</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45739</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45739</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45739</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45739</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45739</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45739</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45739</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45739</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45739</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45739</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45739</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45739</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45739</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45739</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45739</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45739</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45739</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45739</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45739</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45739</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45739</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45739</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45739</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45739</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45739</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45739</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45739</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45739</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45739</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45739</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45739</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45739</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45739</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45739</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45739</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45739</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45739</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45739</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45739</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45739</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45739</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45739</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45739</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45739</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45739</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45739</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45739</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45739</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45739</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45739</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45739</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45739</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45739</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45739</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45739</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45739</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45739</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45739</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45739</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45739</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45739</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45739</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45739</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45739</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45739</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45739</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45739</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45739</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45739</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45739</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45739</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45739</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45739</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45739</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45739</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45739</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45739</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45739</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45739</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45739</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45739</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45739</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45739</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45739</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45739</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45739</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45739</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45739</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45739</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45739</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45739</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45739</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45739</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45739</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45739</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45739</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45739</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45739</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45739</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45739</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45739</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45739</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45739</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45739</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45739</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45739</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45739</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45739</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45739</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45739</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45739</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45739</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45739</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45739</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45739</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45739</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45739</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45739</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45739</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45739</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45739</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45739</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45739</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45739</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45739</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45739</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45739</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45739</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45739</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45739</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10208-2025</t>
        </is>
      </c>
      <c r="B1582" s="1" t="n">
        <v>45719</v>
      </c>
      <c r="C1582" s="1" t="n">
        <v>45739</v>
      </c>
      <c r="D1582" t="inlineStr">
        <is>
          <t>KALMAR LÄN</t>
        </is>
      </c>
      <c r="E1582" t="inlineStr">
        <is>
          <t>VIMMERBY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45739</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10392-2025</t>
        </is>
      </c>
      <c r="B1584" s="1" t="n">
        <v>45720</v>
      </c>
      <c r="C1584" s="1" t="n">
        <v>45739</v>
      </c>
      <c r="D1584" t="inlineStr">
        <is>
          <t>KALMAR LÄN</t>
        </is>
      </c>
      <c r="E1584" t="inlineStr">
        <is>
          <t>VIMMERBY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45739</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45739</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10549-2025</t>
        </is>
      </c>
      <c r="B1587" s="1" t="n">
        <v>45721</v>
      </c>
      <c r="C1587" s="1" t="n">
        <v>45739</v>
      </c>
      <c r="D1587" t="inlineStr">
        <is>
          <t>KALMAR LÄN</t>
        </is>
      </c>
      <c r="E1587" t="inlineStr">
        <is>
          <t>VIMMERBY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10680-2025</t>
        </is>
      </c>
      <c r="B1588" s="1" t="n">
        <v>45721</v>
      </c>
      <c r="C1588" s="1" t="n">
        <v>45739</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10522-2025</t>
        </is>
      </c>
      <c r="B1589" s="1" t="n">
        <v>45721</v>
      </c>
      <c r="C1589" s="1" t="n">
        <v>45739</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45739</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45739</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10747-2025</t>
        </is>
      </c>
      <c r="B1592" s="1" t="n">
        <v>45722</v>
      </c>
      <c r="C1592" s="1" t="n">
        <v>45739</v>
      </c>
      <c r="D1592" t="inlineStr">
        <is>
          <t>KALMAR LÄN</t>
        </is>
      </c>
      <c r="E1592" t="inlineStr">
        <is>
          <t>VIMMERBY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10786-2025</t>
        </is>
      </c>
      <c r="B1593" s="1" t="n">
        <v>45722</v>
      </c>
      <c r="C1593" s="1" t="n">
        <v>45739</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10835-2025</t>
        </is>
      </c>
      <c r="B1594" s="1" t="n">
        <v>45722</v>
      </c>
      <c r="C1594" s="1" t="n">
        <v>45739</v>
      </c>
      <c r="D1594" t="inlineStr">
        <is>
          <t>KALMAR LÄN</t>
        </is>
      </c>
      <c r="E1594" t="inlineStr">
        <is>
          <t>VIMMERBY</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10772-2025</t>
        </is>
      </c>
      <c r="B1595" s="1" t="n">
        <v>45722</v>
      </c>
      <c r="C1595" s="1" t="n">
        <v>45739</v>
      </c>
      <c r="D1595" t="inlineStr">
        <is>
          <t>KALMAR LÄN</t>
        </is>
      </c>
      <c r="E1595" t="inlineStr">
        <is>
          <t>VIMMERBY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10785-2025</t>
        </is>
      </c>
      <c r="B1596" s="1" t="n">
        <v>45722</v>
      </c>
      <c r="C1596" s="1" t="n">
        <v>45739</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10822-2025</t>
        </is>
      </c>
      <c r="B1597" s="1" t="n">
        <v>45722</v>
      </c>
      <c r="C1597" s="1" t="n">
        <v>45739</v>
      </c>
      <c r="D1597" t="inlineStr">
        <is>
          <t>KALMAR LÄN</t>
        </is>
      </c>
      <c r="E1597" t="inlineStr">
        <is>
          <t>VIMMERBY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10830-2025</t>
        </is>
      </c>
      <c r="B1598" s="1" t="n">
        <v>45722</v>
      </c>
      <c r="C1598" s="1" t="n">
        <v>45739</v>
      </c>
      <c r="D1598" t="inlineStr">
        <is>
          <t>KALMAR LÄN</t>
        </is>
      </c>
      <c r="E1598" t="inlineStr">
        <is>
          <t>VIMMERBY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10745-2025</t>
        </is>
      </c>
      <c r="B1599" s="1" t="n">
        <v>45722</v>
      </c>
      <c r="C1599" s="1" t="n">
        <v>45739</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10749-2025</t>
        </is>
      </c>
      <c r="B1600" s="1" t="n">
        <v>45722</v>
      </c>
      <c r="C1600" s="1" t="n">
        <v>45739</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10787-2025</t>
        </is>
      </c>
      <c r="B1601" s="1" t="n">
        <v>45722</v>
      </c>
      <c r="C1601" s="1" t="n">
        <v>45739</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45739</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45739</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45739</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11911-2025</t>
        </is>
      </c>
      <c r="B1605" s="1" t="n">
        <v>45728</v>
      </c>
      <c r="C1605" s="1" t="n">
        <v>45739</v>
      </c>
      <c r="D1605" t="inlineStr">
        <is>
          <t>KALMAR LÄN</t>
        </is>
      </c>
      <c r="E1605" t="inlineStr">
        <is>
          <t>VIMMERBY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11856-2025</t>
        </is>
      </c>
      <c r="B1606" s="1" t="n">
        <v>45728</v>
      </c>
      <c r="C1606" s="1" t="n">
        <v>45739</v>
      </c>
      <c r="D1606" t="inlineStr">
        <is>
          <t>KALMAR LÄN</t>
        </is>
      </c>
      <c r="E1606" t="inlineStr">
        <is>
          <t>VIMMERBY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11909-2025</t>
        </is>
      </c>
      <c r="B1607" s="1" t="n">
        <v>45728</v>
      </c>
      <c r="C1607" s="1" t="n">
        <v>45739</v>
      </c>
      <c r="D1607" t="inlineStr">
        <is>
          <t>KALMAR LÄN</t>
        </is>
      </c>
      <c r="E1607" t="inlineStr">
        <is>
          <t>VIMMERBY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11906-2025</t>
        </is>
      </c>
      <c r="B1608" s="1" t="n">
        <v>45728</v>
      </c>
      <c r="C1608" s="1" t="n">
        <v>45739</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45739</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45739</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12588-2025</t>
        </is>
      </c>
      <c r="B1611" s="1" t="n">
        <v>45732</v>
      </c>
      <c r="C1611" s="1" t="n">
        <v>45739</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12587-2025</t>
        </is>
      </c>
      <c r="B1612" s="1" t="n">
        <v>45732</v>
      </c>
      <c r="C1612" s="1" t="n">
        <v>45739</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12590-2025</t>
        </is>
      </c>
      <c r="B1613" s="1" t="n">
        <v>45732</v>
      </c>
      <c r="C1613" s="1" t="n">
        <v>45739</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45739</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13307-2025</t>
        </is>
      </c>
      <c r="B1615" s="1" t="n">
        <v>45735</v>
      </c>
      <c r="C1615" s="1" t="n">
        <v>45739</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13290-2025</t>
        </is>
      </c>
      <c r="B1616" s="1" t="n">
        <v>45735</v>
      </c>
      <c r="C1616" s="1" t="n">
        <v>45739</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45739</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c r="A1618" t="inlineStr">
        <is>
          <t>A 13978-2025</t>
        </is>
      </c>
      <c r="B1618" s="1" t="n">
        <v>45738</v>
      </c>
      <c r="C1618" s="1" t="n">
        <v>45739</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2025-03-23T17:21:55Z</dcterms:created>
  <dcterms:modified xmlns:dcterms="http://purl.org/dc/terms/" xmlns:xsi="http://www.w3.org/2001/XMLSchema-instance" xsi:type="dcterms:W3CDTF">2025-03-23T17:21:57Z</dcterms:modified>
</cp:coreProperties>
</file>