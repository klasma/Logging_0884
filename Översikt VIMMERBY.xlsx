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46021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46021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46021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46021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46021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46021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46021</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46021</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46021</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46021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46021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46021</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3075-2025</t>
        </is>
      </c>
      <c r="B15" s="1" t="n">
        <v>45678</v>
      </c>
      <c r="C15" s="1" t="n">
        <v>46021</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46021</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58997-2025</t>
        </is>
      </c>
      <c r="B17" s="1" t="n">
        <v>45987</v>
      </c>
      <c r="C17" s="1" t="n">
        <v>46021</v>
      </c>
      <c r="D17" t="inlineStr">
        <is>
          <t>KALMAR LÄN</t>
        </is>
      </c>
      <c r="E17" t="inlineStr">
        <is>
          <t>VIMMERBY</t>
        </is>
      </c>
      <c r="G17" t="n">
        <v>7.9</v>
      </c>
      <c r="H17" t="n">
        <v>1</v>
      </c>
      <c r="I17" t="n">
        <v>2</v>
      </c>
      <c r="J17" t="n">
        <v>1</v>
      </c>
      <c r="K17" t="n">
        <v>1</v>
      </c>
      <c r="L17" t="n">
        <v>0</v>
      </c>
      <c r="M17" t="n">
        <v>0</v>
      </c>
      <c r="N17" t="n">
        <v>0</v>
      </c>
      <c r="O17" t="n">
        <v>2</v>
      </c>
      <c r="P17" t="n">
        <v>1</v>
      </c>
      <c r="Q17" t="n">
        <v>4</v>
      </c>
      <c r="R17" s="2" t="inlineStr">
        <is>
          <t>Knärot
Tallticka
Brandticka
Dropptaggsvamp</t>
        </is>
      </c>
      <c r="S17">
        <f>HYPERLINK("https://klasma.github.io/Logging_0884/artfynd/A 58997-2025 artfynd.xlsx", "A 58997-2025")</f>
        <v/>
      </c>
      <c r="T17">
        <f>HYPERLINK("https://klasma.github.io/Logging_0884/kartor/A 58997-2025 karta.png", "A 58997-2025")</f>
        <v/>
      </c>
      <c r="U17">
        <f>HYPERLINK("https://klasma.github.io/Logging_0884/knärot/A 58997-2025 karta knärot.png", "A 58997-2025")</f>
        <v/>
      </c>
      <c r="V17">
        <f>HYPERLINK("https://klasma.github.io/Logging_0884/klagomål/A 58997-2025 FSC-klagomål.docx", "A 58997-2025")</f>
        <v/>
      </c>
      <c r="W17">
        <f>HYPERLINK("https://klasma.github.io/Logging_0884/klagomålsmail/A 58997-2025 FSC-klagomål mail.docx", "A 58997-2025")</f>
        <v/>
      </c>
      <c r="X17">
        <f>HYPERLINK("https://klasma.github.io/Logging_0884/tillsyn/A 58997-2025 tillsynsbegäran.docx", "A 58997-2025")</f>
        <v/>
      </c>
      <c r="Y17">
        <f>HYPERLINK("https://klasma.github.io/Logging_0884/tillsynsmail/A 58997-2025 tillsynsbegäran mail.docx", "A 58997-2025")</f>
        <v/>
      </c>
    </row>
    <row r="18" ht="15" customHeight="1">
      <c r="A18" t="inlineStr">
        <is>
          <t>A 8411-2021</t>
        </is>
      </c>
      <c r="B18" s="1" t="n">
        <v>44245</v>
      </c>
      <c r="C18" s="1" t="n">
        <v>46021</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46021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46021</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46021</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46021</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46021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46021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46021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46021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46021</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46021</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46021</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22396-2025</t>
        </is>
      </c>
      <c r="B30" s="1" t="n">
        <v>45786.52827546297</v>
      </c>
      <c r="C30" s="1" t="n">
        <v>46021</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22825-2023</t>
        </is>
      </c>
      <c r="B31" s="1" t="n">
        <v>45072</v>
      </c>
      <c r="C31" s="1" t="n">
        <v>46021</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19158-2023</t>
        </is>
      </c>
      <c r="B32" s="1" t="n">
        <v>45048</v>
      </c>
      <c r="C32" s="1" t="n">
        <v>46021</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14024-2023</t>
        </is>
      </c>
      <c r="B33" s="1" t="n">
        <v>45008.60878472222</v>
      </c>
      <c r="C33" s="1" t="n">
        <v>46021</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53787-2025</t>
        </is>
      </c>
      <c r="B34" s="1" t="n">
        <v>45960</v>
      </c>
      <c r="C34" s="1" t="n">
        <v>46021</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46021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46021</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61860-2024</t>
        </is>
      </c>
      <c r="B37" s="1" t="n">
        <v>45649</v>
      </c>
      <c r="C37" s="1" t="n">
        <v>46021</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9067-2025</t>
        </is>
      </c>
      <c r="B38" s="1" t="n">
        <v>45713</v>
      </c>
      <c r="C38" s="1" t="n">
        <v>46021</v>
      </c>
      <c r="D38" t="inlineStr">
        <is>
          <t>KALMAR LÄN</t>
        </is>
      </c>
      <c r="E38" t="inlineStr">
        <is>
          <t>VIMMERBY</t>
        </is>
      </c>
      <c r="G38" t="n">
        <v>3.9</v>
      </c>
      <c r="H38" t="n">
        <v>0</v>
      </c>
      <c r="I38" t="n">
        <v>1</v>
      </c>
      <c r="J38" t="n">
        <v>0</v>
      </c>
      <c r="K38" t="n">
        <v>0</v>
      </c>
      <c r="L38" t="n">
        <v>0</v>
      </c>
      <c r="M38" t="n">
        <v>0</v>
      </c>
      <c r="N38" t="n">
        <v>0</v>
      </c>
      <c r="O38" t="n">
        <v>0</v>
      </c>
      <c r="P38" t="n">
        <v>0</v>
      </c>
      <c r="Q38" t="n">
        <v>1</v>
      </c>
      <c r="R38" s="2" t="inlineStr">
        <is>
          <t>Ögonpyrola</t>
        </is>
      </c>
      <c r="S38">
        <f>HYPERLINK("https://klasma.github.io/Logging_0884/artfynd/A 9067-2025 artfynd.xlsx", "A 9067-2025")</f>
        <v/>
      </c>
      <c r="T38">
        <f>HYPERLINK("https://klasma.github.io/Logging_0884/kartor/A 9067-2025 karta.png", "A 9067-2025")</f>
        <v/>
      </c>
      <c r="V38">
        <f>HYPERLINK("https://klasma.github.io/Logging_0884/klagomål/A 9067-2025 FSC-klagomål.docx", "A 9067-2025")</f>
        <v/>
      </c>
      <c r="W38">
        <f>HYPERLINK("https://klasma.github.io/Logging_0884/klagomålsmail/A 9067-2025 FSC-klagomål mail.docx", "A 9067-2025")</f>
        <v/>
      </c>
      <c r="X38">
        <f>HYPERLINK("https://klasma.github.io/Logging_0884/tillsyn/A 9067-2025 tillsynsbegäran.docx", "A 9067-2025")</f>
        <v/>
      </c>
      <c r="Y38">
        <f>HYPERLINK("https://klasma.github.io/Logging_0884/tillsynsmail/A 9067-2025 tillsynsbegäran mail.docx", "A 9067-2025")</f>
        <v/>
      </c>
    </row>
    <row r="39" ht="15" customHeight="1">
      <c r="A39" t="inlineStr">
        <is>
          <t>A 37930-2021</t>
        </is>
      </c>
      <c r="B39" s="1" t="n">
        <v>44403</v>
      </c>
      <c r="C39" s="1" t="n">
        <v>46021</v>
      </c>
      <c r="D39" t="inlineStr">
        <is>
          <t>KALMAR LÄN</t>
        </is>
      </c>
      <c r="E39" t="inlineStr">
        <is>
          <t>VIMMERBY</t>
        </is>
      </c>
      <c r="G39" t="n">
        <v>4.4</v>
      </c>
      <c r="H39" t="n">
        <v>0</v>
      </c>
      <c r="I39" t="n">
        <v>0</v>
      </c>
      <c r="J39" t="n">
        <v>1</v>
      </c>
      <c r="K39" t="n">
        <v>0</v>
      </c>
      <c r="L39" t="n">
        <v>0</v>
      </c>
      <c r="M39" t="n">
        <v>0</v>
      </c>
      <c r="N39" t="n">
        <v>0</v>
      </c>
      <c r="O39" t="n">
        <v>1</v>
      </c>
      <c r="P39" t="n">
        <v>0</v>
      </c>
      <c r="Q39" t="n">
        <v>1</v>
      </c>
      <c r="R39" s="2" t="inlineStr">
        <is>
          <t>Spindelört</t>
        </is>
      </c>
      <c r="S39">
        <f>HYPERLINK("https://klasma.github.io/Logging_0884/artfynd/A 37930-2021 artfynd.xlsx", "A 37930-2021")</f>
        <v/>
      </c>
      <c r="T39">
        <f>HYPERLINK("https://klasma.github.io/Logging_0884/kartor/A 37930-2021 karta.png", "A 37930-2021")</f>
        <v/>
      </c>
      <c r="V39">
        <f>HYPERLINK("https://klasma.github.io/Logging_0884/klagomål/A 37930-2021 FSC-klagomål.docx", "A 37930-2021")</f>
        <v/>
      </c>
      <c r="W39">
        <f>HYPERLINK("https://klasma.github.io/Logging_0884/klagomålsmail/A 37930-2021 FSC-klagomål mail.docx", "A 37930-2021")</f>
        <v/>
      </c>
      <c r="X39">
        <f>HYPERLINK("https://klasma.github.io/Logging_0884/tillsyn/A 37930-2021 tillsynsbegäran.docx", "A 37930-2021")</f>
        <v/>
      </c>
      <c r="Y39">
        <f>HYPERLINK("https://klasma.github.io/Logging_0884/tillsynsmail/A 37930-2021 tillsynsbegäran mail.docx", "A 37930-2021")</f>
        <v/>
      </c>
    </row>
    <row r="40" ht="15" customHeight="1">
      <c r="A40" t="inlineStr">
        <is>
          <t>A 52301-2023</t>
        </is>
      </c>
      <c r="B40" s="1" t="n">
        <v>45224</v>
      </c>
      <c r="C40" s="1" t="n">
        <v>46021</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33436-2021</t>
        </is>
      </c>
      <c r="B41" s="1" t="n">
        <v>44377.61104166666</v>
      </c>
      <c r="C41" s="1" t="n">
        <v>46021</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40083-2023</t>
        </is>
      </c>
      <c r="B42" s="1" t="n">
        <v>45168</v>
      </c>
      <c r="C42" s="1" t="n">
        <v>46021</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46021</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57062-2025</t>
        </is>
      </c>
      <c r="B44" s="1" t="n">
        <v>45979.37598379629</v>
      </c>
      <c r="C44" s="1" t="n">
        <v>46021</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1201-2025</t>
        </is>
      </c>
      <c r="B45" s="1" t="n">
        <v>45667</v>
      </c>
      <c r="C45" s="1" t="n">
        <v>46021</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23602-2023</t>
        </is>
      </c>
      <c r="B46" s="1" t="n">
        <v>45077</v>
      </c>
      <c r="C46" s="1" t="n">
        <v>46021</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29183-2025</t>
        </is>
      </c>
      <c r="B47" s="1" t="n">
        <v>45821</v>
      </c>
      <c r="C47" s="1" t="n">
        <v>46021</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15122-2024</t>
        </is>
      </c>
      <c r="B48" s="1" t="n">
        <v>45399.71412037037</v>
      </c>
      <c r="C48" s="1" t="n">
        <v>46021</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46021</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53400-2025</t>
        </is>
      </c>
      <c r="B50" s="1" t="n">
        <v>45959.56684027778</v>
      </c>
      <c r="C50" s="1" t="n">
        <v>46021</v>
      </c>
      <c r="D50" t="inlineStr">
        <is>
          <t>KALMAR LÄN</t>
        </is>
      </c>
      <c r="E50" t="inlineStr">
        <is>
          <t>VIMMERBY</t>
        </is>
      </c>
      <c r="G50" t="n">
        <v>9.199999999999999</v>
      </c>
      <c r="H50" t="n">
        <v>1</v>
      </c>
      <c r="I50" t="n">
        <v>0</v>
      </c>
      <c r="J50" t="n">
        <v>0</v>
      </c>
      <c r="K50" t="n">
        <v>1</v>
      </c>
      <c r="L50" t="n">
        <v>0</v>
      </c>
      <c r="M50" t="n">
        <v>0</v>
      </c>
      <c r="N50" t="n">
        <v>0</v>
      </c>
      <c r="O50" t="n">
        <v>1</v>
      </c>
      <c r="P50" t="n">
        <v>1</v>
      </c>
      <c r="Q50" t="n">
        <v>1</v>
      </c>
      <c r="R50" s="2" t="inlineStr">
        <is>
          <t>Knärot</t>
        </is>
      </c>
      <c r="S50">
        <f>HYPERLINK("https://klasma.github.io/Logging_0884/artfynd/A 53400-2025 artfynd.xlsx", "A 53400-2025")</f>
        <v/>
      </c>
      <c r="T50">
        <f>HYPERLINK("https://klasma.github.io/Logging_0884/kartor/A 53400-2025 karta.png", "A 53400-2025")</f>
        <v/>
      </c>
      <c r="U50">
        <f>HYPERLINK("https://klasma.github.io/Logging_0884/knärot/A 53400-2025 karta knärot.png", "A 53400-2025")</f>
        <v/>
      </c>
      <c r="V50">
        <f>HYPERLINK("https://klasma.github.io/Logging_0884/klagomål/A 53400-2025 FSC-klagomål.docx", "A 53400-2025")</f>
        <v/>
      </c>
      <c r="W50">
        <f>HYPERLINK("https://klasma.github.io/Logging_0884/klagomålsmail/A 53400-2025 FSC-klagomål mail.docx", "A 53400-2025")</f>
        <v/>
      </c>
      <c r="X50">
        <f>HYPERLINK("https://klasma.github.io/Logging_0884/tillsyn/A 53400-2025 tillsynsbegäran.docx", "A 53400-2025")</f>
        <v/>
      </c>
      <c r="Y50">
        <f>HYPERLINK("https://klasma.github.io/Logging_0884/tillsynsmail/A 53400-2025 tillsynsbegäran mail.docx", "A 53400-2025")</f>
        <v/>
      </c>
    </row>
    <row r="51" ht="15" customHeight="1">
      <c r="A51" t="inlineStr">
        <is>
          <t>A 53404-2025</t>
        </is>
      </c>
      <c r="B51" s="1" t="n">
        <v>45959.57126157408</v>
      </c>
      <c r="C51" s="1" t="n">
        <v>46021</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28852-2023</t>
        </is>
      </c>
      <c r="B52" s="1" t="n">
        <v>45104</v>
      </c>
      <c r="C52" s="1" t="n">
        <v>46021</v>
      </c>
      <c r="D52" t="inlineStr">
        <is>
          <t>KALMAR LÄN</t>
        </is>
      </c>
      <c r="E52" t="inlineStr">
        <is>
          <t>VIMMERBY</t>
        </is>
      </c>
      <c r="G52" t="n">
        <v>0.7</v>
      </c>
      <c r="H52" t="n">
        <v>0</v>
      </c>
      <c r="I52" t="n">
        <v>1</v>
      </c>
      <c r="J52" t="n">
        <v>0</v>
      </c>
      <c r="K52" t="n">
        <v>0</v>
      </c>
      <c r="L52" t="n">
        <v>0</v>
      </c>
      <c r="M52" t="n">
        <v>0</v>
      </c>
      <c r="N52" t="n">
        <v>0</v>
      </c>
      <c r="O52" t="n">
        <v>0</v>
      </c>
      <c r="P52" t="n">
        <v>0</v>
      </c>
      <c r="Q52" t="n">
        <v>1</v>
      </c>
      <c r="R52" s="2" t="inlineStr">
        <is>
          <t>Tibast</t>
        </is>
      </c>
      <c r="S52">
        <f>HYPERLINK("https://klasma.github.io/Logging_0884/artfynd/A 28852-2023 artfynd.xlsx", "A 28852-2023")</f>
        <v/>
      </c>
      <c r="T52">
        <f>HYPERLINK("https://klasma.github.io/Logging_0884/kartor/A 28852-2023 karta.png", "A 28852-2023")</f>
        <v/>
      </c>
      <c r="V52">
        <f>HYPERLINK("https://klasma.github.io/Logging_0884/klagomål/A 28852-2023 FSC-klagomål.docx", "A 28852-2023")</f>
        <v/>
      </c>
      <c r="W52">
        <f>HYPERLINK("https://klasma.github.io/Logging_0884/klagomålsmail/A 28852-2023 FSC-klagomål mail.docx", "A 28852-2023")</f>
        <v/>
      </c>
      <c r="X52">
        <f>HYPERLINK("https://klasma.github.io/Logging_0884/tillsyn/A 28852-2023 tillsynsbegäran.docx", "A 28852-2023")</f>
        <v/>
      </c>
      <c r="Y52">
        <f>HYPERLINK("https://klasma.github.io/Logging_0884/tillsynsmail/A 28852-2023 tillsynsbegäran mail.docx", "A 28852-2023")</f>
        <v/>
      </c>
    </row>
    <row r="53" ht="15" customHeight="1">
      <c r="A53" t="inlineStr">
        <is>
          <t>A 44515-2024</t>
        </is>
      </c>
      <c r="B53" s="1" t="n">
        <v>45574.42767361111</v>
      </c>
      <c r="C53" s="1" t="n">
        <v>46021</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55384-2025</t>
        </is>
      </c>
      <c r="B54" s="1" t="n">
        <v>45971.43178240741</v>
      </c>
      <c r="C54" s="1" t="n">
        <v>46021</v>
      </c>
      <c r="D54" t="inlineStr">
        <is>
          <t>KALMAR LÄN</t>
        </is>
      </c>
      <c r="E54" t="inlineStr">
        <is>
          <t>VIMMERBY</t>
        </is>
      </c>
      <c r="G54" t="n">
        <v>1.7</v>
      </c>
      <c r="H54" t="n">
        <v>1</v>
      </c>
      <c r="I54" t="n">
        <v>0</v>
      </c>
      <c r="J54" t="n">
        <v>1</v>
      </c>
      <c r="K54" t="n">
        <v>0</v>
      </c>
      <c r="L54" t="n">
        <v>0</v>
      </c>
      <c r="M54" t="n">
        <v>0</v>
      </c>
      <c r="N54" t="n">
        <v>0</v>
      </c>
      <c r="O54" t="n">
        <v>1</v>
      </c>
      <c r="P54" t="n">
        <v>0</v>
      </c>
      <c r="Q54" t="n">
        <v>1</v>
      </c>
      <c r="R54" s="2" t="inlineStr">
        <is>
          <t>Talltita</t>
        </is>
      </c>
      <c r="S54">
        <f>HYPERLINK("https://klasma.github.io/Logging_0884/artfynd/A 55384-2025 artfynd.xlsx", "A 55384-2025")</f>
        <v/>
      </c>
      <c r="T54">
        <f>HYPERLINK("https://klasma.github.io/Logging_0884/kartor/A 55384-2025 karta.png", "A 55384-2025")</f>
        <v/>
      </c>
      <c r="V54">
        <f>HYPERLINK("https://klasma.github.io/Logging_0884/klagomål/A 55384-2025 FSC-klagomål.docx", "A 55384-2025")</f>
        <v/>
      </c>
      <c r="W54">
        <f>HYPERLINK("https://klasma.github.io/Logging_0884/klagomålsmail/A 55384-2025 FSC-klagomål mail.docx", "A 55384-2025")</f>
        <v/>
      </c>
      <c r="X54">
        <f>HYPERLINK("https://klasma.github.io/Logging_0884/tillsyn/A 55384-2025 tillsynsbegäran.docx", "A 55384-2025")</f>
        <v/>
      </c>
      <c r="Y54">
        <f>HYPERLINK("https://klasma.github.io/Logging_0884/tillsynsmail/A 55384-2025 tillsynsbegäran mail.docx", "A 55384-2025")</f>
        <v/>
      </c>
      <c r="Z54">
        <f>HYPERLINK("https://klasma.github.io/Logging_0884/fåglar/A 55384-2025 prioriterade fågelarter.docx", "A 55384-2025")</f>
        <v/>
      </c>
    </row>
    <row r="55" ht="15" customHeight="1">
      <c r="A55" t="inlineStr">
        <is>
          <t>A 15092-2021</t>
        </is>
      </c>
      <c r="B55" s="1" t="n">
        <v>44281.79269675926</v>
      </c>
      <c r="C55" s="1" t="n">
        <v>46021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46021</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46021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46021</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46021</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46021</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46021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46021</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27100-2021</t>
        </is>
      </c>
      <c r="B63" s="1" t="n">
        <v>44350</v>
      </c>
      <c r="C63" s="1" t="n">
        <v>46021</v>
      </c>
      <c r="D63" t="inlineStr">
        <is>
          <t>KALMAR LÄN</t>
        </is>
      </c>
      <c r="E63" t="inlineStr">
        <is>
          <t>VIMMERBY</t>
        </is>
      </c>
      <c r="G63" t="n">
        <v>9.6</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46021</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46021</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46021</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46021</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46021</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46021</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46021</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46021</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46021</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46021</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46021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46021</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46021</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46021</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46021</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46021</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46021</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46021</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46021</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46021</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46021</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46021</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46021</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46021</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46021</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46021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46021</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46021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46021</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46021</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46021</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46021</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46021</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46021</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46021</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46021</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46021</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46021</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46021</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46021</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55297-2021</t>
        </is>
      </c>
      <c r="B104" s="1" t="n">
        <v>44475</v>
      </c>
      <c r="C104" s="1" t="n">
        <v>46021</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46021</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46021</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35531-2021</t>
        </is>
      </c>
      <c r="B107" s="1" t="n">
        <v>44385</v>
      </c>
      <c r="C107" s="1" t="n">
        <v>46021</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46021</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46021</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46021</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46021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46021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46021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46021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46021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46021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46021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46021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46021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46021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46021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46021</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46021</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46021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46021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46021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46021</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46021</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46021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46021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46021</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24738-2021</t>
        </is>
      </c>
      <c r="B132" s="1" t="n">
        <v>44340.58002314815</v>
      </c>
      <c r="C132" s="1" t="n">
        <v>46021</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46021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46021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46021</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46021</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46021</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46021</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46021</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46021</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46021</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46021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46021</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46021</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46021</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46021</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46021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46021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46021</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46021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46021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46021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46021</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46021</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46021</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46021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46021</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46021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46021</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46021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46021</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46021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46021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46021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46021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46021</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46021</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46021</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46021</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46021</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46021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46021</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46021</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46021</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46021</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46021</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46021</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46021</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32603-2021</t>
        </is>
      </c>
      <c r="B179" s="1" t="n">
        <v>44375.38789351852</v>
      </c>
      <c r="C179" s="1" t="n">
        <v>46021</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46021</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46021</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46021</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46021</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52588-2023</t>
        </is>
      </c>
      <c r="B184" s="1" t="n">
        <v>45225.60192129629</v>
      </c>
      <c r="C184" s="1" t="n">
        <v>46021</v>
      </c>
      <c r="D184" t="inlineStr">
        <is>
          <t>KALMAR LÄN</t>
        </is>
      </c>
      <c r="E184" t="inlineStr">
        <is>
          <t>VIMMERBY</t>
        </is>
      </c>
      <c r="G184" t="n">
        <v>2.9</v>
      </c>
      <c r="H184" t="n">
        <v>0</v>
      </c>
      <c r="I184" t="n">
        <v>0</v>
      </c>
      <c r="J184" t="n">
        <v>0</v>
      </c>
      <c r="K184" t="n">
        <v>0</v>
      </c>
      <c r="L184" t="n">
        <v>0</v>
      </c>
      <c r="M184" t="n">
        <v>0</v>
      </c>
      <c r="N184" t="n">
        <v>0</v>
      </c>
      <c r="O184" t="n">
        <v>0</v>
      </c>
      <c r="P184" t="n">
        <v>0</v>
      </c>
      <c r="Q184" t="n">
        <v>0</v>
      </c>
      <c r="R184" s="2" t="inlineStr"/>
    </row>
    <row r="185" ht="15" customHeight="1">
      <c r="A185" t="inlineStr">
        <is>
          <t>A 55236-2023</t>
        </is>
      </c>
      <c r="B185" s="1" t="n">
        <v>45237.63225694445</v>
      </c>
      <c r="C185" s="1" t="n">
        <v>46021</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55245-2023</t>
        </is>
      </c>
      <c r="B186" s="1" t="n">
        <v>45237.64408564815</v>
      </c>
      <c r="C186" s="1" t="n">
        <v>46021</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8194-2022</t>
        </is>
      </c>
      <c r="B187" s="1" t="n">
        <v>44609</v>
      </c>
      <c r="C187" s="1" t="n">
        <v>46021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19111-2025</t>
        </is>
      </c>
      <c r="B188" s="1" t="n">
        <v>45768.65611111111</v>
      </c>
      <c r="C188" s="1" t="n">
        <v>46021</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15191-2021</t>
        </is>
      </c>
      <c r="B189" s="1" t="n">
        <v>44284.42348379629</v>
      </c>
      <c r="C189" s="1" t="n">
        <v>46021</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40971-2021</t>
        </is>
      </c>
      <c r="B190" s="1" t="n">
        <v>44421</v>
      </c>
      <c r="C190" s="1" t="n">
        <v>46021</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25370-2022</t>
        </is>
      </c>
      <c r="B191" s="1" t="n">
        <v>44732.3659837963</v>
      </c>
      <c r="C191" s="1" t="n">
        <v>46021</v>
      </c>
      <c r="D191" t="inlineStr">
        <is>
          <t>KALMAR LÄN</t>
        </is>
      </c>
      <c r="E191" t="inlineStr">
        <is>
          <t>VIMMERBY</t>
        </is>
      </c>
      <c r="G191" t="n">
        <v>1.2</v>
      </c>
      <c r="H191" t="n">
        <v>0</v>
      </c>
      <c r="I191" t="n">
        <v>0</v>
      </c>
      <c r="J191" t="n">
        <v>0</v>
      </c>
      <c r="K191" t="n">
        <v>0</v>
      </c>
      <c r="L191" t="n">
        <v>0</v>
      </c>
      <c r="M191" t="n">
        <v>0</v>
      </c>
      <c r="N191" t="n">
        <v>0</v>
      </c>
      <c r="O191" t="n">
        <v>0</v>
      </c>
      <c r="P191" t="n">
        <v>0</v>
      </c>
      <c r="Q191" t="n">
        <v>0</v>
      </c>
      <c r="R191" s="2" t="inlineStr"/>
    </row>
    <row r="192" ht="15" customHeight="1">
      <c r="A192" t="inlineStr">
        <is>
          <t>A 13457-2021</t>
        </is>
      </c>
      <c r="B192" s="1" t="n">
        <v>44273</v>
      </c>
      <c r="C192" s="1" t="n">
        <v>46021</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14278-2021</t>
        </is>
      </c>
      <c r="B193" s="1" t="n">
        <v>44278.63479166666</v>
      </c>
      <c r="C193" s="1" t="n">
        <v>46021</v>
      </c>
      <c r="D193" t="inlineStr">
        <is>
          <t>KALMAR LÄN</t>
        </is>
      </c>
      <c r="E193" t="inlineStr">
        <is>
          <t>VIMMERBY</t>
        </is>
      </c>
      <c r="F193" t="inlineStr">
        <is>
          <t>Övriga statliga verk och myndigheter</t>
        </is>
      </c>
      <c r="G193" t="n">
        <v>0.8</v>
      </c>
      <c r="H193" t="n">
        <v>0</v>
      </c>
      <c r="I193" t="n">
        <v>0</v>
      </c>
      <c r="J193" t="n">
        <v>0</v>
      </c>
      <c r="K193" t="n">
        <v>0</v>
      </c>
      <c r="L193" t="n">
        <v>0</v>
      </c>
      <c r="M193" t="n">
        <v>0</v>
      </c>
      <c r="N193" t="n">
        <v>0</v>
      </c>
      <c r="O193" t="n">
        <v>0</v>
      </c>
      <c r="P193" t="n">
        <v>0</v>
      </c>
      <c r="Q193" t="n">
        <v>0</v>
      </c>
      <c r="R193" s="2" t="inlineStr"/>
    </row>
    <row r="194" ht="15" customHeight="1">
      <c r="A194" t="inlineStr">
        <is>
          <t>A 8453-2022</t>
        </is>
      </c>
      <c r="B194" s="1" t="n">
        <v>44612.86554398148</v>
      </c>
      <c r="C194" s="1" t="n">
        <v>46021</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33838-2022</t>
        </is>
      </c>
      <c r="B195" s="1" t="n">
        <v>44790.49040509259</v>
      </c>
      <c r="C195" s="1" t="n">
        <v>46021</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52433-2021</t>
        </is>
      </c>
      <c r="B196" s="1" t="n">
        <v>44466.34726851852</v>
      </c>
      <c r="C196" s="1" t="n">
        <v>46021</v>
      </c>
      <c r="D196" t="inlineStr">
        <is>
          <t>KALMAR LÄN</t>
        </is>
      </c>
      <c r="E196" t="inlineStr">
        <is>
          <t>VIMMERBY</t>
        </is>
      </c>
      <c r="G196" t="n">
        <v>3.5</v>
      </c>
      <c r="H196" t="n">
        <v>0</v>
      </c>
      <c r="I196" t="n">
        <v>0</v>
      </c>
      <c r="J196" t="n">
        <v>0</v>
      </c>
      <c r="K196" t="n">
        <v>0</v>
      </c>
      <c r="L196" t="n">
        <v>0</v>
      </c>
      <c r="M196" t="n">
        <v>0</v>
      </c>
      <c r="N196" t="n">
        <v>0</v>
      </c>
      <c r="O196" t="n">
        <v>0</v>
      </c>
      <c r="P196" t="n">
        <v>0</v>
      </c>
      <c r="Q196" t="n">
        <v>0</v>
      </c>
      <c r="R196" s="2" t="inlineStr"/>
    </row>
    <row r="197" ht="15" customHeight="1">
      <c r="A197" t="inlineStr">
        <is>
          <t>A 50621-2022</t>
        </is>
      </c>
      <c r="B197" s="1" t="n">
        <v>44866.81100694444</v>
      </c>
      <c r="C197" s="1" t="n">
        <v>46021</v>
      </c>
      <c r="D197" t="inlineStr">
        <is>
          <t>KALMAR LÄN</t>
        </is>
      </c>
      <c r="E197" t="inlineStr">
        <is>
          <t>VIMMERBY</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4058-2024</t>
        </is>
      </c>
      <c r="B198" s="1" t="n">
        <v>45323.53744212963</v>
      </c>
      <c r="C198" s="1" t="n">
        <v>46021</v>
      </c>
      <c r="D198" t="inlineStr">
        <is>
          <t>KALMAR LÄN</t>
        </is>
      </c>
      <c r="E198" t="inlineStr">
        <is>
          <t>VIMMERBY</t>
        </is>
      </c>
      <c r="G198" t="n">
        <v>6.5</v>
      </c>
      <c r="H198" t="n">
        <v>0</v>
      </c>
      <c r="I198" t="n">
        <v>0</v>
      </c>
      <c r="J198" t="n">
        <v>0</v>
      </c>
      <c r="K198" t="n">
        <v>0</v>
      </c>
      <c r="L198" t="n">
        <v>0</v>
      </c>
      <c r="M198" t="n">
        <v>0</v>
      </c>
      <c r="N198" t="n">
        <v>0</v>
      </c>
      <c r="O198" t="n">
        <v>0</v>
      </c>
      <c r="P198" t="n">
        <v>0</v>
      </c>
      <c r="Q198" t="n">
        <v>0</v>
      </c>
      <c r="R198" s="2" t="inlineStr"/>
    </row>
    <row r="199" ht="15" customHeight="1">
      <c r="A199" t="inlineStr">
        <is>
          <t>A 36008-2024</t>
        </is>
      </c>
      <c r="B199" s="1" t="n">
        <v>45533.55362268518</v>
      </c>
      <c r="C199" s="1" t="n">
        <v>46021</v>
      </c>
      <c r="D199" t="inlineStr">
        <is>
          <t>KALMAR LÄN</t>
        </is>
      </c>
      <c r="E199" t="inlineStr">
        <is>
          <t>VIMMERBY</t>
        </is>
      </c>
      <c r="G199" t="n">
        <v>3.7</v>
      </c>
      <c r="H199" t="n">
        <v>0</v>
      </c>
      <c r="I199" t="n">
        <v>0</v>
      </c>
      <c r="J199" t="n">
        <v>0</v>
      </c>
      <c r="K199" t="n">
        <v>0</v>
      </c>
      <c r="L199" t="n">
        <v>0</v>
      </c>
      <c r="M199" t="n">
        <v>0</v>
      </c>
      <c r="N199" t="n">
        <v>0</v>
      </c>
      <c r="O199" t="n">
        <v>0</v>
      </c>
      <c r="P199" t="n">
        <v>0</v>
      </c>
      <c r="Q199" t="n">
        <v>0</v>
      </c>
      <c r="R199" s="2" t="inlineStr"/>
    </row>
    <row r="200" ht="15" customHeight="1">
      <c r="A200" t="inlineStr">
        <is>
          <t>A 54065-2021</t>
        </is>
      </c>
      <c r="B200" s="1" t="n">
        <v>44470.44232638889</v>
      </c>
      <c r="C200" s="1" t="n">
        <v>46021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31824-2022</t>
        </is>
      </c>
      <c r="B201" s="1" t="n">
        <v>44776</v>
      </c>
      <c r="C201" s="1" t="n">
        <v>46021</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18669-2025</t>
        </is>
      </c>
      <c r="B202" s="1" t="n">
        <v>45763.59436342592</v>
      </c>
      <c r="C202" s="1" t="n">
        <v>46021</v>
      </c>
      <c r="D202" t="inlineStr">
        <is>
          <t>KALMAR LÄN</t>
        </is>
      </c>
      <c r="E202" t="inlineStr">
        <is>
          <t>VIMMERBY</t>
        </is>
      </c>
      <c r="G202" t="n">
        <v>2.7</v>
      </c>
      <c r="H202" t="n">
        <v>0</v>
      </c>
      <c r="I202" t="n">
        <v>0</v>
      </c>
      <c r="J202" t="n">
        <v>0</v>
      </c>
      <c r="K202" t="n">
        <v>0</v>
      </c>
      <c r="L202" t="n">
        <v>0</v>
      </c>
      <c r="M202" t="n">
        <v>0</v>
      </c>
      <c r="N202" t="n">
        <v>0</v>
      </c>
      <c r="O202" t="n">
        <v>0</v>
      </c>
      <c r="P202" t="n">
        <v>0</v>
      </c>
      <c r="Q202" t="n">
        <v>0</v>
      </c>
      <c r="R202" s="2" t="inlineStr"/>
    </row>
    <row r="203" ht="15" customHeight="1">
      <c r="A203" t="inlineStr">
        <is>
          <t>A 8540-2024</t>
        </is>
      </c>
      <c r="B203" s="1" t="n">
        <v>45355.54138888889</v>
      </c>
      <c r="C203" s="1" t="n">
        <v>46021</v>
      </c>
      <c r="D203" t="inlineStr">
        <is>
          <t>KALMAR LÄN</t>
        </is>
      </c>
      <c r="E203" t="inlineStr">
        <is>
          <t>VIMMERBY</t>
        </is>
      </c>
      <c r="G203" t="n">
        <v>1.9</v>
      </c>
      <c r="H203" t="n">
        <v>0</v>
      </c>
      <c r="I203" t="n">
        <v>0</v>
      </c>
      <c r="J203" t="n">
        <v>0</v>
      </c>
      <c r="K203" t="n">
        <v>0</v>
      </c>
      <c r="L203" t="n">
        <v>0</v>
      </c>
      <c r="M203" t="n">
        <v>0</v>
      </c>
      <c r="N203" t="n">
        <v>0</v>
      </c>
      <c r="O203" t="n">
        <v>0</v>
      </c>
      <c r="P203" t="n">
        <v>0</v>
      </c>
      <c r="Q203" t="n">
        <v>0</v>
      </c>
      <c r="R203" s="2" t="inlineStr"/>
    </row>
    <row r="204" ht="15" customHeight="1">
      <c r="A204" t="inlineStr">
        <is>
          <t>A 9623-2024</t>
        </is>
      </c>
      <c r="B204" s="1" t="n">
        <v>45361.87975694444</v>
      </c>
      <c r="C204" s="1" t="n">
        <v>46021</v>
      </c>
      <c r="D204" t="inlineStr">
        <is>
          <t>KALMAR LÄN</t>
        </is>
      </c>
      <c r="E204" t="inlineStr">
        <is>
          <t>VIMMERBY</t>
        </is>
      </c>
      <c r="G204" t="n">
        <v>1.6</v>
      </c>
      <c r="H204" t="n">
        <v>0</v>
      </c>
      <c r="I204" t="n">
        <v>0</v>
      </c>
      <c r="J204" t="n">
        <v>0</v>
      </c>
      <c r="K204" t="n">
        <v>0</v>
      </c>
      <c r="L204" t="n">
        <v>0</v>
      </c>
      <c r="M204" t="n">
        <v>0</v>
      </c>
      <c r="N204" t="n">
        <v>0</v>
      </c>
      <c r="O204" t="n">
        <v>0</v>
      </c>
      <c r="P204" t="n">
        <v>0</v>
      </c>
      <c r="Q204" t="n">
        <v>0</v>
      </c>
      <c r="R204" s="2" t="inlineStr"/>
    </row>
    <row r="205" ht="15" customHeight="1">
      <c r="A205" t="inlineStr">
        <is>
          <t>A 11733-2022</t>
        </is>
      </c>
      <c r="B205" s="1" t="n">
        <v>44634</v>
      </c>
      <c r="C205" s="1" t="n">
        <v>46021</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5146-2024</t>
        </is>
      </c>
      <c r="B206" s="1" t="n">
        <v>45330</v>
      </c>
      <c r="C206" s="1" t="n">
        <v>46021</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5148-2024</t>
        </is>
      </c>
      <c r="B207" s="1" t="n">
        <v>45330</v>
      </c>
      <c r="C207" s="1" t="n">
        <v>46021</v>
      </c>
      <c r="D207" t="inlineStr">
        <is>
          <t>KALMAR LÄN</t>
        </is>
      </c>
      <c r="E207" t="inlineStr">
        <is>
          <t>VIMMERBY</t>
        </is>
      </c>
      <c r="G207" t="n">
        <v>5.6</v>
      </c>
      <c r="H207" t="n">
        <v>0</v>
      </c>
      <c r="I207" t="n">
        <v>0</v>
      </c>
      <c r="J207" t="n">
        <v>0</v>
      </c>
      <c r="K207" t="n">
        <v>0</v>
      </c>
      <c r="L207" t="n">
        <v>0</v>
      </c>
      <c r="M207" t="n">
        <v>0</v>
      </c>
      <c r="N207" t="n">
        <v>0</v>
      </c>
      <c r="O207" t="n">
        <v>0</v>
      </c>
      <c r="P207" t="n">
        <v>0</v>
      </c>
      <c r="Q207" t="n">
        <v>0</v>
      </c>
      <c r="R207" s="2" t="inlineStr"/>
    </row>
    <row r="208" ht="15" customHeight="1">
      <c r="A208" t="inlineStr">
        <is>
          <t>A 44179-2022</t>
        </is>
      </c>
      <c r="B208" s="1" t="n">
        <v>44839.4528125</v>
      </c>
      <c r="C208" s="1" t="n">
        <v>46021</v>
      </c>
      <c r="D208" t="inlineStr">
        <is>
          <t>KALMAR LÄN</t>
        </is>
      </c>
      <c r="E208" t="inlineStr">
        <is>
          <t>VIMMERBY</t>
        </is>
      </c>
      <c r="G208" t="n">
        <v>2.8</v>
      </c>
      <c r="H208" t="n">
        <v>0</v>
      </c>
      <c r="I208" t="n">
        <v>0</v>
      </c>
      <c r="J208" t="n">
        <v>0</v>
      </c>
      <c r="K208" t="n">
        <v>0</v>
      </c>
      <c r="L208" t="n">
        <v>0</v>
      </c>
      <c r="M208" t="n">
        <v>0</v>
      </c>
      <c r="N208" t="n">
        <v>0</v>
      </c>
      <c r="O208" t="n">
        <v>0</v>
      </c>
      <c r="P208" t="n">
        <v>0</v>
      </c>
      <c r="Q208" t="n">
        <v>0</v>
      </c>
      <c r="R208" s="2" t="inlineStr"/>
    </row>
    <row r="209" ht="15" customHeight="1">
      <c r="A209" t="inlineStr">
        <is>
          <t>A 50648-2023</t>
        </is>
      </c>
      <c r="B209" s="1" t="n">
        <v>45217.47834490741</v>
      </c>
      <c r="C209" s="1" t="n">
        <v>46021</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7804-2022</t>
        </is>
      </c>
      <c r="B210" s="1" t="n">
        <v>44608.50458333334</v>
      </c>
      <c r="C210" s="1" t="n">
        <v>46021</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39042-2022</t>
        </is>
      </c>
      <c r="B211" s="1" t="n">
        <v>44817</v>
      </c>
      <c r="C211" s="1" t="n">
        <v>46021</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16288-2021</t>
        </is>
      </c>
      <c r="B212" s="1" t="n">
        <v>44292</v>
      </c>
      <c r="C212" s="1" t="n">
        <v>46021</v>
      </c>
      <c r="D212" t="inlineStr">
        <is>
          <t>KALMAR LÄN</t>
        </is>
      </c>
      <c r="E212" t="inlineStr">
        <is>
          <t>VIMMERBY</t>
        </is>
      </c>
      <c r="F212" t="inlineStr">
        <is>
          <t>Övriga Aktiebolag</t>
        </is>
      </c>
      <c r="G212" t="n">
        <v>27.6</v>
      </c>
      <c r="H212" t="n">
        <v>0</v>
      </c>
      <c r="I212" t="n">
        <v>0</v>
      </c>
      <c r="J212" t="n">
        <v>0</v>
      </c>
      <c r="K212" t="n">
        <v>0</v>
      </c>
      <c r="L212" t="n">
        <v>0</v>
      </c>
      <c r="M212" t="n">
        <v>0</v>
      </c>
      <c r="N212" t="n">
        <v>0</v>
      </c>
      <c r="O212" t="n">
        <v>0</v>
      </c>
      <c r="P212" t="n">
        <v>0</v>
      </c>
      <c r="Q212" t="n">
        <v>0</v>
      </c>
      <c r="R212" s="2" t="inlineStr"/>
    </row>
    <row r="213" ht="15" customHeight="1">
      <c r="A213" t="inlineStr">
        <is>
          <t>A 2121-2022</t>
        </is>
      </c>
      <c r="B213" s="1" t="n">
        <v>44578.32717592592</v>
      </c>
      <c r="C213" s="1" t="n">
        <v>46021</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57799-2022</t>
        </is>
      </c>
      <c r="B214" s="1" t="n">
        <v>44897</v>
      </c>
      <c r="C214" s="1" t="n">
        <v>46021</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29441-2024</t>
        </is>
      </c>
      <c r="B215" s="1" t="n">
        <v>45483.82834490741</v>
      </c>
      <c r="C215" s="1" t="n">
        <v>46021</v>
      </c>
      <c r="D215" t="inlineStr">
        <is>
          <t>KALMAR LÄN</t>
        </is>
      </c>
      <c r="E215" t="inlineStr">
        <is>
          <t>VIMMERBY</t>
        </is>
      </c>
      <c r="G215" t="n">
        <v>1.3</v>
      </c>
      <c r="H215" t="n">
        <v>0</v>
      </c>
      <c r="I215" t="n">
        <v>0</v>
      </c>
      <c r="J215" t="n">
        <v>0</v>
      </c>
      <c r="K215" t="n">
        <v>0</v>
      </c>
      <c r="L215" t="n">
        <v>0</v>
      </c>
      <c r="M215" t="n">
        <v>0</v>
      </c>
      <c r="N215" t="n">
        <v>0</v>
      </c>
      <c r="O215" t="n">
        <v>0</v>
      </c>
      <c r="P215" t="n">
        <v>0</v>
      </c>
      <c r="Q215" t="n">
        <v>0</v>
      </c>
      <c r="R215" s="2" t="inlineStr"/>
    </row>
    <row r="216" ht="15" customHeight="1">
      <c r="A216" t="inlineStr">
        <is>
          <t>A 38604-2025</t>
        </is>
      </c>
      <c r="B216" s="1" t="n">
        <v>45884.50613425926</v>
      </c>
      <c r="C216" s="1" t="n">
        <v>46021</v>
      </c>
      <c r="D216" t="inlineStr">
        <is>
          <t>KALMAR LÄN</t>
        </is>
      </c>
      <c r="E216" t="inlineStr">
        <is>
          <t>VIMMERBY</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15394-2025</t>
        </is>
      </c>
      <c r="B217" s="1" t="n">
        <v>45747.43196759259</v>
      </c>
      <c r="C217" s="1" t="n">
        <v>46021</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25728-2023</t>
        </is>
      </c>
      <c r="B218" s="1" t="n">
        <v>45090.38012731481</v>
      </c>
      <c r="C218" s="1" t="n">
        <v>46021</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29726-2025</t>
        </is>
      </c>
      <c r="B219" s="1" t="n">
        <v>45825.57805555555</v>
      </c>
      <c r="C219" s="1" t="n">
        <v>46021</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26318-2023</t>
        </is>
      </c>
      <c r="B220" s="1" t="n">
        <v>45091.67936342592</v>
      </c>
      <c r="C220" s="1" t="n">
        <v>46021</v>
      </c>
      <c r="D220" t="inlineStr">
        <is>
          <t>KALMAR LÄN</t>
        </is>
      </c>
      <c r="E220" t="inlineStr">
        <is>
          <t>VIMMERBY</t>
        </is>
      </c>
      <c r="G220" t="n">
        <v>3.8</v>
      </c>
      <c r="H220" t="n">
        <v>0</v>
      </c>
      <c r="I220" t="n">
        <v>0</v>
      </c>
      <c r="J220" t="n">
        <v>0</v>
      </c>
      <c r="K220" t="n">
        <v>0</v>
      </c>
      <c r="L220" t="n">
        <v>0</v>
      </c>
      <c r="M220" t="n">
        <v>0</v>
      </c>
      <c r="N220" t="n">
        <v>0</v>
      </c>
      <c r="O220" t="n">
        <v>0</v>
      </c>
      <c r="P220" t="n">
        <v>0</v>
      </c>
      <c r="Q220" t="n">
        <v>0</v>
      </c>
      <c r="R220" s="2" t="inlineStr"/>
    </row>
    <row r="221" ht="15" customHeight="1">
      <c r="A221" t="inlineStr">
        <is>
          <t>A 60437-2023</t>
        </is>
      </c>
      <c r="B221" s="1" t="n">
        <v>45259.51916666667</v>
      </c>
      <c r="C221" s="1" t="n">
        <v>46021</v>
      </c>
      <c r="D221" t="inlineStr">
        <is>
          <t>KALMAR LÄN</t>
        </is>
      </c>
      <c r="E221" t="inlineStr">
        <is>
          <t>VIMMERBY</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60438-2023</t>
        </is>
      </c>
      <c r="B222" s="1" t="n">
        <v>45259.52020833334</v>
      </c>
      <c r="C222" s="1" t="n">
        <v>46021</v>
      </c>
      <c r="D222" t="inlineStr">
        <is>
          <t>KALMAR LÄN</t>
        </is>
      </c>
      <c r="E222" t="inlineStr">
        <is>
          <t>VIMMERBY</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7758-2024</t>
        </is>
      </c>
      <c r="B223" s="1" t="n">
        <v>45349.54434027777</v>
      </c>
      <c r="C223" s="1" t="n">
        <v>46021</v>
      </c>
      <c r="D223" t="inlineStr">
        <is>
          <t>KALMAR LÄN</t>
        </is>
      </c>
      <c r="E223" t="inlineStr">
        <is>
          <t>VIMMERBY</t>
        </is>
      </c>
      <c r="G223" t="n">
        <v>3.5</v>
      </c>
      <c r="H223" t="n">
        <v>0</v>
      </c>
      <c r="I223" t="n">
        <v>0</v>
      </c>
      <c r="J223" t="n">
        <v>0</v>
      </c>
      <c r="K223" t="n">
        <v>0</v>
      </c>
      <c r="L223" t="n">
        <v>0</v>
      </c>
      <c r="M223" t="n">
        <v>0</v>
      </c>
      <c r="N223" t="n">
        <v>0</v>
      </c>
      <c r="O223" t="n">
        <v>0</v>
      </c>
      <c r="P223" t="n">
        <v>0</v>
      </c>
      <c r="Q223" t="n">
        <v>0</v>
      </c>
      <c r="R223" s="2" t="inlineStr"/>
    </row>
    <row r="224" ht="15" customHeight="1">
      <c r="A224" t="inlineStr">
        <is>
          <t>A 7456-2024</t>
        </is>
      </c>
      <c r="B224" s="1" t="n">
        <v>45345.83557870371</v>
      </c>
      <c r="C224" s="1" t="n">
        <v>46021</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6082-2022</t>
        </is>
      </c>
      <c r="B225" s="1" t="n">
        <v>44599</v>
      </c>
      <c r="C225" s="1" t="n">
        <v>46021</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46979-2023</t>
        </is>
      </c>
      <c r="B226" s="1" t="n">
        <v>45201</v>
      </c>
      <c r="C226" s="1" t="n">
        <v>46021</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2596-2025</t>
        </is>
      </c>
      <c r="B227" s="1" t="n">
        <v>45674.71810185185</v>
      </c>
      <c r="C227" s="1" t="n">
        <v>46021</v>
      </c>
      <c r="D227" t="inlineStr">
        <is>
          <t>KALMAR LÄN</t>
        </is>
      </c>
      <c r="E227" t="inlineStr">
        <is>
          <t>VIMMERBY</t>
        </is>
      </c>
      <c r="G227" t="n">
        <v>9</v>
      </c>
      <c r="H227" t="n">
        <v>0</v>
      </c>
      <c r="I227" t="n">
        <v>0</v>
      </c>
      <c r="J227" t="n">
        <v>0</v>
      </c>
      <c r="K227" t="n">
        <v>0</v>
      </c>
      <c r="L227" t="n">
        <v>0</v>
      </c>
      <c r="M227" t="n">
        <v>0</v>
      </c>
      <c r="N227" t="n">
        <v>0</v>
      </c>
      <c r="O227" t="n">
        <v>0</v>
      </c>
      <c r="P227" t="n">
        <v>0</v>
      </c>
      <c r="Q227" t="n">
        <v>0</v>
      </c>
      <c r="R227" s="2" t="inlineStr"/>
    </row>
    <row r="228" ht="15" customHeight="1">
      <c r="A228" t="inlineStr">
        <is>
          <t>A 47855-2024</t>
        </is>
      </c>
      <c r="B228" s="1" t="n">
        <v>45588.66457175926</v>
      </c>
      <c r="C228" s="1" t="n">
        <v>46021</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63583-2023</t>
        </is>
      </c>
      <c r="B229" s="1" t="n">
        <v>45275.41833333333</v>
      </c>
      <c r="C229" s="1" t="n">
        <v>46021</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38964-2025</t>
        </is>
      </c>
      <c r="B230" s="1" t="n">
        <v>45887.68759259259</v>
      </c>
      <c r="C230" s="1" t="n">
        <v>46021</v>
      </c>
      <c r="D230" t="inlineStr">
        <is>
          <t>KALMAR LÄN</t>
        </is>
      </c>
      <c r="E230" t="inlineStr">
        <is>
          <t>VIMMERBY</t>
        </is>
      </c>
      <c r="G230" t="n">
        <v>7.5</v>
      </c>
      <c r="H230" t="n">
        <v>0</v>
      </c>
      <c r="I230" t="n">
        <v>0</v>
      </c>
      <c r="J230" t="n">
        <v>0</v>
      </c>
      <c r="K230" t="n">
        <v>0</v>
      </c>
      <c r="L230" t="n">
        <v>0</v>
      </c>
      <c r="M230" t="n">
        <v>0</v>
      </c>
      <c r="N230" t="n">
        <v>0</v>
      </c>
      <c r="O230" t="n">
        <v>0</v>
      </c>
      <c r="P230" t="n">
        <v>0</v>
      </c>
      <c r="Q230" t="n">
        <v>0</v>
      </c>
      <c r="R230" s="2" t="inlineStr"/>
    </row>
    <row r="231" ht="15" customHeight="1">
      <c r="A231" t="inlineStr">
        <is>
          <t>A 60228-2021</t>
        </is>
      </c>
      <c r="B231" s="1" t="n">
        <v>44495</v>
      </c>
      <c r="C231" s="1" t="n">
        <v>46021</v>
      </c>
      <c r="D231" t="inlineStr">
        <is>
          <t>KALMAR LÄN</t>
        </is>
      </c>
      <c r="E231" t="inlineStr">
        <is>
          <t>VIMMERBY</t>
        </is>
      </c>
      <c r="G231" t="n">
        <v>4.1</v>
      </c>
      <c r="H231" t="n">
        <v>0</v>
      </c>
      <c r="I231" t="n">
        <v>0</v>
      </c>
      <c r="J231" t="n">
        <v>0</v>
      </c>
      <c r="K231" t="n">
        <v>0</v>
      </c>
      <c r="L231" t="n">
        <v>0</v>
      </c>
      <c r="M231" t="n">
        <v>0</v>
      </c>
      <c r="N231" t="n">
        <v>0</v>
      </c>
      <c r="O231" t="n">
        <v>0</v>
      </c>
      <c r="P231" t="n">
        <v>0</v>
      </c>
      <c r="Q231" t="n">
        <v>0</v>
      </c>
      <c r="R231" s="2" t="inlineStr"/>
    </row>
    <row r="232" ht="15" customHeight="1">
      <c r="A232" t="inlineStr">
        <is>
          <t>A 46522-2022</t>
        </is>
      </c>
      <c r="B232" s="1" t="n">
        <v>44848.59133101852</v>
      </c>
      <c r="C232" s="1" t="n">
        <v>46021</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21109-2024</t>
        </is>
      </c>
      <c r="B233" s="1" t="n">
        <v>45440.28329861111</v>
      </c>
      <c r="C233" s="1" t="n">
        <v>46021</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33815-2022</t>
        </is>
      </c>
      <c r="B234" s="1" t="n">
        <v>44790.45876157407</v>
      </c>
      <c r="C234" s="1" t="n">
        <v>46021</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49461-2022</t>
        </is>
      </c>
      <c r="B235" s="1" t="n">
        <v>44861</v>
      </c>
      <c r="C235" s="1" t="n">
        <v>46021</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52435-2021</t>
        </is>
      </c>
      <c r="B236" s="1" t="n">
        <v>44466.34962962963</v>
      </c>
      <c r="C236" s="1" t="n">
        <v>46021</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53542-2022</t>
        </is>
      </c>
      <c r="B237" s="1" t="n">
        <v>44879.62173611111</v>
      </c>
      <c r="C237" s="1" t="n">
        <v>46021</v>
      </c>
      <c r="D237" t="inlineStr">
        <is>
          <t>KALMAR LÄN</t>
        </is>
      </c>
      <c r="E237" t="inlineStr">
        <is>
          <t>VIMMERBY</t>
        </is>
      </c>
      <c r="G237" t="n">
        <v>2.6</v>
      </c>
      <c r="H237" t="n">
        <v>0</v>
      </c>
      <c r="I237" t="n">
        <v>0</v>
      </c>
      <c r="J237" t="n">
        <v>0</v>
      </c>
      <c r="K237" t="n">
        <v>0</v>
      </c>
      <c r="L237" t="n">
        <v>0</v>
      </c>
      <c r="M237" t="n">
        <v>0</v>
      </c>
      <c r="N237" t="n">
        <v>0</v>
      </c>
      <c r="O237" t="n">
        <v>0</v>
      </c>
      <c r="P237" t="n">
        <v>0</v>
      </c>
      <c r="Q237" t="n">
        <v>0</v>
      </c>
      <c r="R237" s="2" t="inlineStr"/>
    </row>
    <row r="238" ht="15" customHeight="1">
      <c r="A238" t="inlineStr">
        <is>
          <t>A 29093-2023</t>
        </is>
      </c>
      <c r="B238" s="1" t="n">
        <v>45105</v>
      </c>
      <c r="C238" s="1" t="n">
        <v>46021</v>
      </c>
      <c r="D238" t="inlineStr">
        <is>
          <t>KALMAR LÄN</t>
        </is>
      </c>
      <c r="E238" t="inlineStr">
        <is>
          <t>VIMMERBY</t>
        </is>
      </c>
      <c r="G238" t="n">
        <v>2.9</v>
      </c>
      <c r="H238" t="n">
        <v>0</v>
      </c>
      <c r="I238" t="n">
        <v>0</v>
      </c>
      <c r="J238" t="n">
        <v>0</v>
      </c>
      <c r="K238" t="n">
        <v>0</v>
      </c>
      <c r="L238" t="n">
        <v>0</v>
      </c>
      <c r="M238" t="n">
        <v>0</v>
      </c>
      <c r="N238" t="n">
        <v>0</v>
      </c>
      <c r="O238" t="n">
        <v>0</v>
      </c>
      <c r="P238" t="n">
        <v>0</v>
      </c>
      <c r="Q238" t="n">
        <v>0</v>
      </c>
      <c r="R238" s="2" t="inlineStr"/>
    </row>
    <row r="239" ht="15" customHeight="1">
      <c r="A239" t="inlineStr">
        <is>
          <t>A 35713-2023</t>
        </is>
      </c>
      <c r="B239" s="1" t="n">
        <v>45147</v>
      </c>
      <c r="C239" s="1" t="n">
        <v>46021</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14220-2021</t>
        </is>
      </c>
      <c r="B240" s="1" t="n">
        <v>44278.54855324074</v>
      </c>
      <c r="C240" s="1" t="n">
        <v>46021</v>
      </c>
      <c r="D240" t="inlineStr">
        <is>
          <t>KALMAR LÄN</t>
        </is>
      </c>
      <c r="E240" t="inlineStr">
        <is>
          <t>VIMMERBY</t>
        </is>
      </c>
      <c r="G240" t="n">
        <v>0.3</v>
      </c>
      <c r="H240" t="n">
        <v>0</v>
      </c>
      <c r="I240" t="n">
        <v>0</v>
      </c>
      <c r="J240" t="n">
        <v>0</v>
      </c>
      <c r="K240" t="n">
        <v>0</v>
      </c>
      <c r="L240" t="n">
        <v>0</v>
      </c>
      <c r="M240" t="n">
        <v>0</v>
      </c>
      <c r="N240" t="n">
        <v>0</v>
      </c>
      <c r="O240" t="n">
        <v>0</v>
      </c>
      <c r="P240" t="n">
        <v>0</v>
      </c>
      <c r="Q240" t="n">
        <v>0</v>
      </c>
      <c r="R240" s="2" t="inlineStr"/>
    </row>
    <row r="241" ht="15" customHeight="1">
      <c r="A241" t="inlineStr">
        <is>
          <t>A 10424-2023</t>
        </is>
      </c>
      <c r="B241" s="1" t="n">
        <v>44987.54104166666</v>
      </c>
      <c r="C241" s="1" t="n">
        <v>46021</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33359-2021</t>
        </is>
      </c>
      <c r="B242" s="1" t="n">
        <v>44377.49684027778</v>
      </c>
      <c r="C242" s="1" t="n">
        <v>46021</v>
      </c>
      <c r="D242" t="inlineStr">
        <is>
          <t>KALMAR LÄN</t>
        </is>
      </c>
      <c r="E242" t="inlineStr">
        <is>
          <t>VIMMERBY</t>
        </is>
      </c>
      <c r="F242" t="inlineStr">
        <is>
          <t>Kommuner</t>
        </is>
      </c>
      <c r="G242" t="n">
        <v>8</v>
      </c>
      <c r="H242" t="n">
        <v>0</v>
      </c>
      <c r="I242" t="n">
        <v>0</v>
      </c>
      <c r="J242" t="n">
        <v>0</v>
      </c>
      <c r="K242" t="n">
        <v>0</v>
      </c>
      <c r="L242" t="n">
        <v>0</v>
      </c>
      <c r="M242" t="n">
        <v>0</v>
      </c>
      <c r="N242" t="n">
        <v>0</v>
      </c>
      <c r="O242" t="n">
        <v>0</v>
      </c>
      <c r="P242" t="n">
        <v>0</v>
      </c>
      <c r="Q242" t="n">
        <v>0</v>
      </c>
      <c r="R242" s="2" t="inlineStr"/>
    </row>
    <row r="243" ht="15" customHeight="1">
      <c r="A243" t="inlineStr">
        <is>
          <t>A 43038-2022</t>
        </is>
      </c>
      <c r="B243" s="1" t="n">
        <v>44833.60123842592</v>
      </c>
      <c r="C243" s="1" t="n">
        <v>46021</v>
      </c>
      <c r="D243" t="inlineStr">
        <is>
          <t>KALMAR LÄN</t>
        </is>
      </c>
      <c r="E243" t="inlineStr">
        <is>
          <t>VIMMERBY</t>
        </is>
      </c>
      <c r="G243" t="n">
        <v>4.2</v>
      </c>
      <c r="H243" t="n">
        <v>0</v>
      </c>
      <c r="I243" t="n">
        <v>0</v>
      </c>
      <c r="J243" t="n">
        <v>0</v>
      </c>
      <c r="K243" t="n">
        <v>0</v>
      </c>
      <c r="L243" t="n">
        <v>0</v>
      </c>
      <c r="M243" t="n">
        <v>0</v>
      </c>
      <c r="N243" t="n">
        <v>0</v>
      </c>
      <c r="O243" t="n">
        <v>0</v>
      </c>
      <c r="P243" t="n">
        <v>0</v>
      </c>
      <c r="Q243" t="n">
        <v>0</v>
      </c>
      <c r="R243" s="2" t="inlineStr"/>
    </row>
    <row r="244" ht="15" customHeight="1">
      <c r="A244" t="inlineStr">
        <is>
          <t>A 50087-2023</t>
        </is>
      </c>
      <c r="B244" s="1" t="n">
        <v>45215.59743055556</v>
      </c>
      <c r="C244" s="1" t="n">
        <v>46021</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33681-2022</t>
        </is>
      </c>
      <c r="B245" s="1" t="n">
        <v>44789</v>
      </c>
      <c r="C245" s="1" t="n">
        <v>46021</v>
      </c>
      <c r="D245" t="inlineStr">
        <is>
          <t>KALMAR LÄN</t>
        </is>
      </c>
      <c r="E245" t="inlineStr">
        <is>
          <t>VIMMERBY</t>
        </is>
      </c>
      <c r="G245" t="n">
        <v>3.2</v>
      </c>
      <c r="H245" t="n">
        <v>0</v>
      </c>
      <c r="I245" t="n">
        <v>0</v>
      </c>
      <c r="J245" t="n">
        <v>0</v>
      </c>
      <c r="K245" t="n">
        <v>0</v>
      </c>
      <c r="L245" t="n">
        <v>0</v>
      </c>
      <c r="M245" t="n">
        <v>0</v>
      </c>
      <c r="N245" t="n">
        <v>0</v>
      </c>
      <c r="O245" t="n">
        <v>0</v>
      </c>
      <c r="P245" t="n">
        <v>0</v>
      </c>
      <c r="Q245" t="n">
        <v>0</v>
      </c>
      <c r="R245" s="2" t="inlineStr"/>
    </row>
    <row r="246" ht="15" customHeight="1">
      <c r="A246" t="inlineStr">
        <is>
          <t>A 33340-2023</t>
        </is>
      </c>
      <c r="B246" s="1" t="n">
        <v>45128.37305555555</v>
      </c>
      <c r="C246" s="1" t="n">
        <v>46021</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16825-2024</t>
        </is>
      </c>
      <c r="B247" s="1" t="n">
        <v>45411.47335648148</v>
      </c>
      <c r="C247" s="1" t="n">
        <v>46021</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29017-2024</t>
        </is>
      </c>
      <c r="B248" s="1" t="n">
        <v>45481.56722222222</v>
      </c>
      <c r="C248" s="1" t="n">
        <v>46021</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58046-2022</t>
        </is>
      </c>
      <c r="B249" s="1" t="n">
        <v>44900.57393518519</v>
      </c>
      <c r="C249" s="1" t="n">
        <v>46021</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14548-2024</t>
        </is>
      </c>
      <c r="B250" s="1" t="n">
        <v>45394.66887731481</v>
      </c>
      <c r="C250" s="1" t="n">
        <v>46021</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12033-2024</t>
        </is>
      </c>
      <c r="B251" s="1" t="n">
        <v>45377.40043981482</v>
      </c>
      <c r="C251" s="1" t="n">
        <v>46021</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6214-2025</t>
        </is>
      </c>
      <c r="B252" s="1" t="n">
        <v>45698.51711805556</v>
      </c>
      <c r="C252" s="1" t="n">
        <v>46021</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49408-2023</t>
        </is>
      </c>
      <c r="B253" s="1" t="n">
        <v>45211.43555555555</v>
      </c>
      <c r="C253" s="1" t="n">
        <v>46021</v>
      </c>
      <c r="D253" t="inlineStr">
        <is>
          <t>KALMAR LÄN</t>
        </is>
      </c>
      <c r="E253" t="inlineStr">
        <is>
          <t>VIMMERBY</t>
        </is>
      </c>
      <c r="G253" t="n">
        <v>13.1</v>
      </c>
      <c r="H253" t="n">
        <v>0</v>
      </c>
      <c r="I253" t="n">
        <v>0</v>
      </c>
      <c r="J253" t="n">
        <v>0</v>
      </c>
      <c r="K253" t="n">
        <v>0</v>
      </c>
      <c r="L253" t="n">
        <v>0</v>
      </c>
      <c r="M253" t="n">
        <v>0</v>
      </c>
      <c r="N253" t="n">
        <v>0</v>
      </c>
      <c r="O253" t="n">
        <v>0</v>
      </c>
      <c r="P253" t="n">
        <v>0</v>
      </c>
      <c r="Q253" t="n">
        <v>0</v>
      </c>
      <c r="R253" s="2" t="inlineStr"/>
    </row>
    <row r="254" ht="15" customHeight="1">
      <c r="A254" t="inlineStr">
        <is>
          <t>A 39801-2025</t>
        </is>
      </c>
      <c r="B254" s="1" t="n">
        <v>45891.50216435185</v>
      </c>
      <c r="C254" s="1" t="n">
        <v>46021</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39807-2025</t>
        </is>
      </c>
      <c r="B255" s="1" t="n">
        <v>45891.50986111111</v>
      </c>
      <c r="C255" s="1" t="n">
        <v>46021</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48120-2022</t>
        </is>
      </c>
      <c r="B256" s="1" t="n">
        <v>44857.65989583333</v>
      </c>
      <c r="C256" s="1" t="n">
        <v>46021</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3423-2022</t>
        </is>
      </c>
      <c r="B257" s="1" t="n">
        <v>44585.50431712963</v>
      </c>
      <c r="C257" s="1" t="n">
        <v>46021</v>
      </c>
      <c r="D257" t="inlineStr">
        <is>
          <t>KALMAR LÄN</t>
        </is>
      </c>
      <c r="E257" t="inlineStr">
        <is>
          <t>VIMMERBY</t>
        </is>
      </c>
      <c r="G257" t="n">
        <v>1.7</v>
      </c>
      <c r="H257" t="n">
        <v>0</v>
      </c>
      <c r="I257" t="n">
        <v>0</v>
      </c>
      <c r="J257" t="n">
        <v>0</v>
      </c>
      <c r="K257" t="n">
        <v>0</v>
      </c>
      <c r="L257" t="n">
        <v>0</v>
      </c>
      <c r="M257" t="n">
        <v>0</v>
      </c>
      <c r="N257" t="n">
        <v>0</v>
      </c>
      <c r="O257" t="n">
        <v>0</v>
      </c>
      <c r="P257" t="n">
        <v>0</v>
      </c>
      <c r="Q257" t="n">
        <v>0</v>
      </c>
      <c r="R257" s="2" t="inlineStr"/>
    </row>
    <row r="258" ht="15" customHeight="1">
      <c r="A258" t="inlineStr">
        <is>
          <t>A 27443-2023</t>
        </is>
      </c>
      <c r="B258" s="1" t="n">
        <v>45097.40524305555</v>
      </c>
      <c r="C258" s="1" t="n">
        <v>46021</v>
      </c>
      <c r="D258" t="inlineStr">
        <is>
          <t>KALMAR LÄN</t>
        </is>
      </c>
      <c r="E258" t="inlineStr">
        <is>
          <t>VIMMERBY</t>
        </is>
      </c>
      <c r="F258" t="inlineStr">
        <is>
          <t>Övriga Aktiebolag</t>
        </is>
      </c>
      <c r="G258" t="n">
        <v>2.3</v>
      </c>
      <c r="H258" t="n">
        <v>0</v>
      </c>
      <c r="I258" t="n">
        <v>0</v>
      </c>
      <c r="J258" t="n">
        <v>0</v>
      </c>
      <c r="K258" t="n">
        <v>0</v>
      </c>
      <c r="L258" t="n">
        <v>0</v>
      </c>
      <c r="M258" t="n">
        <v>0</v>
      </c>
      <c r="N258" t="n">
        <v>0</v>
      </c>
      <c r="O258" t="n">
        <v>0</v>
      </c>
      <c r="P258" t="n">
        <v>0</v>
      </c>
      <c r="Q258" t="n">
        <v>0</v>
      </c>
      <c r="R258" s="2" t="inlineStr"/>
    </row>
    <row r="259" ht="15" customHeight="1">
      <c r="A259" t="inlineStr">
        <is>
          <t>A 11074-2023</t>
        </is>
      </c>
      <c r="B259" s="1" t="n">
        <v>44992.34151620371</v>
      </c>
      <c r="C259" s="1" t="n">
        <v>46021</v>
      </c>
      <c r="D259" t="inlineStr">
        <is>
          <t>KALMAR LÄN</t>
        </is>
      </c>
      <c r="E259" t="inlineStr">
        <is>
          <t>VIMMERBY</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71631-2021</t>
        </is>
      </c>
      <c r="B260" s="1" t="n">
        <v>44542.90072916666</v>
      </c>
      <c r="C260" s="1" t="n">
        <v>46021</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28395-2023</t>
        </is>
      </c>
      <c r="B261" s="1" t="n">
        <v>45100.4062962963</v>
      </c>
      <c r="C261" s="1" t="n">
        <v>46021</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18501-2024</t>
        </is>
      </c>
      <c r="B262" s="1" t="n">
        <v>45425.57538194444</v>
      </c>
      <c r="C262" s="1" t="n">
        <v>46021</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49039-2021</t>
        </is>
      </c>
      <c r="B263" s="1" t="n">
        <v>44453.56578703703</v>
      </c>
      <c r="C263" s="1" t="n">
        <v>46021</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42918-2021</t>
        </is>
      </c>
      <c r="B264" s="1" t="n">
        <v>44431</v>
      </c>
      <c r="C264" s="1" t="n">
        <v>46021</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529-2022</t>
        </is>
      </c>
      <c r="B265" s="1" t="n">
        <v>44566</v>
      </c>
      <c r="C265" s="1" t="n">
        <v>46021</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25799-2023</t>
        </is>
      </c>
      <c r="B266" s="1" t="n">
        <v>45090</v>
      </c>
      <c r="C266" s="1" t="n">
        <v>46021</v>
      </c>
      <c r="D266" t="inlineStr">
        <is>
          <t>KALMAR LÄN</t>
        </is>
      </c>
      <c r="E266" t="inlineStr">
        <is>
          <t>VIMMERBY</t>
        </is>
      </c>
      <c r="G266" t="n">
        <v>7.7</v>
      </c>
      <c r="H266" t="n">
        <v>0</v>
      </c>
      <c r="I266" t="n">
        <v>0</v>
      </c>
      <c r="J266" t="n">
        <v>0</v>
      </c>
      <c r="K266" t="n">
        <v>0</v>
      </c>
      <c r="L266" t="n">
        <v>0</v>
      </c>
      <c r="M266" t="n">
        <v>0</v>
      </c>
      <c r="N266" t="n">
        <v>0</v>
      </c>
      <c r="O266" t="n">
        <v>0</v>
      </c>
      <c r="P266" t="n">
        <v>0</v>
      </c>
      <c r="Q266" t="n">
        <v>0</v>
      </c>
      <c r="R266" s="2" t="inlineStr"/>
    </row>
    <row r="267" ht="15" customHeight="1">
      <c r="A267" t="inlineStr">
        <is>
          <t>A 14855-2025</t>
        </is>
      </c>
      <c r="B267" s="1" t="n">
        <v>45743.41148148148</v>
      </c>
      <c r="C267" s="1" t="n">
        <v>46021</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60951-2023</t>
        </is>
      </c>
      <c r="B268" s="1" t="n">
        <v>45261.44914351852</v>
      </c>
      <c r="C268" s="1" t="n">
        <v>46021</v>
      </c>
      <c r="D268" t="inlineStr">
        <is>
          <t>KALMAR LÄN</t>
        </is>
      </c>
      <c r="E268" t="inlineStr">
        <is>
          <t>VIMMERBY</t>
        </is>
      </c>
      <c r="G268" t="n">
        <v>4.3</v>
      </c>
      <c r="H268" t="n">
        <v>0</v>
      </c>
      <c r="I268" t="n">
        <v>0</v>
      </c>
      <c r="J268" t="n">
        <v>0</v>
      </c>
      <c r="K268" t="n">
        <v>0</v>
      </c>
      <c r="L268" t="n">
        <v>0</v>
      </c>
      <c r="M268" t="n">
        <v>0</v>
      </c>
      <c r="N268" t="n">
        <v>0</v>
      </c>
      <c r="O268" t="n">
        <v>0</v>
      </c>
      <c r="P268" t="n">
        <v>0</v>
      </c>
      <c r="Q268" t="n">
        <v>0</v>
      </c>
      <c r="R268" s="2" t="inlineStr"/>
    </row>
    <row r="269" ht="15" customHeight="1">
      <c r="A269" t="inlineStr">
        <is>
          <t>A 16015-2025</t>
        </is>
      </c>
      <c r="B269" s="1" t="n">
        <v>45749.60487268519</v>
      </c>
      <c r="C269" s="1" t="n">
        <v>46021</v>
      </c>
      <c r="D269" t="inlineStr">
        <is>
          <t>KALMAR LÄN</t>
        </is>
      </c>
      <c r="E269" t="inlineStr">
        <is>
          <t>VIMMERBY</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57256-2023</t>
        </is>
      </c>
      <c r="B270" s="1" t="n">
        <v>45245.5735300926</v>
      </c>
      <c r="C270" s="1" t="n">
        <v>46021</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19162-2023</t>
        </is>
      </c>
      <c r="B271" s="1" t="n">
        <v>45048.59699074074</v>
      </c>
      <c r="C271" s="1" t="n">
        <v>46021</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23088-2024</t>
        </is>
      </c>
      <c r="B272" s="1" t="n">
        <v>45450.51092592593</v>
      </c>
      <c r="C272" s="1" t="n">
        <v>46021</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39736-2025</t>
        </is>
      </c>
      <c r="B273" s="1" t="n">
        <v>45891</v>
      </c>
      <c r="C273" s="1" t="n">
        <v>46021</v>
      </c>
      <c r="D273" t="inlineStr">
        <is>
          <t>KALMAR LÄN</t>
        </is>
      </c>
      <c r="E273" t="inlineStr">
        <is>
          <t>VIMMERBY</t>
        </is>
      </c>
      <c r="G273" t="n">
        <v>12.8</v>
      </c>
      <c r="H273" t="n">
        <v>0</v>
      </c>
      <c r="I273" t="n">
        <v>0</v>
      </c>
      <c r="J273" t="n">
        <v>0</v>
      </c>
      <c r="K273" t="n">
        <v>0</v>
      </c>
      <c r="L273" t="n">
        <v>0</v>
      </c>
      <c r="M273" t="n">
        <v>0</v>
      </c>
      <c r="N273" t="n">
        <v>0</v>
      </c>
      <c r="O273" t="n">
        <v>0</v>
      </c>
      <c r="P273" t="n">
        <v>0</v>
      </c>
      <c r="Q273" t="n">
        <v>0</v>
      </c>
      <c r="R273" s="2" t="inlineStr"/>
    </row>
    <row r="274" ht="15" customHeight="1">
      <c r="A274" t="inlineStr">
        <is>
          <t>A 31209-2024</t>
        </is>
      </c>
      <c r="B274" s="1" t="n">
        <v>45503.5658912037</v>
      </c>
      <c r="C274" s="1" t="n">
        <v>46021</v>
      </c>
      <c r="D274" t="inlineStr">
        <is>
          <t>KALMAR LÄN</t>
        </is>
      </c>
      <c r="E274" t="inlineStr">
        <is>
          <t>VIMMERBY</t>
        </is>
      </c>
      <c r="G274" t="n">
        <v>1.7</v>
      </c>
      <c r="H274" t="n">
        <v>0</v>
      </c>
      <c r="I274" t="n">
        <v>0</v>
      </c>
      <c r="J274" t="n">
        <v>0</v>
      </c>
      <c r="K274" t="n">
        <v>0</v>
      </c>
      <c r="L274" t="n">
        <v>0</v>
      </c>
      <c r="M274" t="n">
        <v>0</v>
      </c>
      <c r="N274" t="n">
        <v>0</v>
      </c>
      <c r="O274" t="n">
        <v>0</v>
      </c>
      <c r="P274" t="n">
        <v>0</v>
      </c>
      <c r="Q274" t="n">
        <v>0</v>
      </c>
      <c r="R274" s="2" t="inlineStr"/>
    </row>
    <row r="275" ht="15" customHeight="1">
      <c r="A275" t="inlineStr">
        <is>
          <t>A 39803-2025</t>
        </is>
      </c>
      <c r="B275" s="1" t="n">
        <v>45891.50525462963</v>
      </c>
      <c r="C275" s="1" t="n">
        <v>46021</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57189-2022</t>
        </is>
      </c>
      <c r="B276" s="1" t="n">
        <v>44895.62296296296</v>
      </c>
      <c r="C276" s="1" t="n">
        <v>46021</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5864-2022</t>
        </is>
      </c>
      <c r="B277" s="1" t="n">
        <v>44596</v>
      </c>
      <c r="C277" s="1" t="n">
        <v>46021</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39889-2025</t>
        </is>
      </c>
      <c r="B278" s="1" t="n">
        <v>45891</v>
      </c>
      <c r="C278" s="1" t="n">
        <v>46021</v>
      </c>
      <c r="D278" t="inlineStr">
        <is>
          <t>KALMAR LÄN</t>
        </is>
      </c>
      <c r="E278" t="inlineStr">
        <is>
          <t>VIMMERBY</t>
        </is>
      </c>
      <c r="G278" t="n">
        <v>4.5</v>
      </c>
      <c r="H278" t="n">
        <v>0</v>
      </c>
      <c r="I278" t="n">
        <v>0</v>
      </c>
      <c r="J278" t="n">
        <v>0</v>
      </c>
      <c r="K278" t="n">
        <v>0</v>
      </c>
      <c r="L278" t="n">
        <v>0</v>
      </c>
      <c r="M278" t="n">
        <v>0</v>
      </c>
      <c r="N278" t="n">
        <v>0</v>
      </c>
      <c r="O278" t="n">
        <v>0</v>
      </c>
      <c r="P278" t="n">
        <v>0</v>
      </c>
      <c r="Q278" t="n">
        <v>0</v>
      </c>
      <c r="R278" s="2" t="inlineStr"/>
    </row>
    <row r="279" ht="15" customHeight="1">
      <c r="A279" t="inlineStr">
        <is>
          <t>A 1987-2024</t>
        </is>
      </c>
      <c r="B279" s="1" t="n">
        <v>45308.61152777778</v>
      </c>
      <c r="C279" s="1" t="n">
        <v>46021</v>
      </c>
      <c r="D279" t="inlineStr">
        <is>
          <t>KALMAR LÄN</t>
        </is>
      </c>
      <c r="E279" t="inlineStr">
        <is>
          <t>VIMMERBY</t>
        </is>
      </c>
      <c r="G279" t="n">
        <v>3</v>
      </c>
      <c r="H279" t="n">
        <v>0</v>
      </c>
      <c r="I279" t="n">
        <v>0</v>
      </c>
      <c r="J279" t="n">
        <v>0</v>
      </c>
      <c r="K279" t="n">
        <v>0</v>
      </c>
      <c r="L279" t="n">
        <v>0</v>
      </c>
      <c r="M279" t="n">
        <v>0</v>
      </c>
      <c r="N279" t="n">
        <v>0</v>
      </c>
      <c r="O279" t="n">
        <v>0</v>
      </c>
      <c r="P279" t="n">
        <v>0</v>
      </c>
      <c r="Q279" t="n">
        <v>0</v>
      </c>
      <c r="R279" s="2" t="inlineStr"/>
    </row>
    <row r="280" ht="15" customHeight="1">
      <c r="A280" t="inlineStr">
        <is>
          <t>A 527-2024</t>
        </is>
      </c>
      <c r="B280" s="1" t="n">
        <v>45299.47513888889</v>
      </c>
      <c r="C280" s="1" t="n">
        <v>46021</v>
      </c>
      <c r="D280" t="inlineStr">
        <is>
          <t>KALMAR LÄN</t>
        </is>
      </c>
      <c r="E280" t="inlineStr">
        <is>
          <t>VIMMERBY</t>
        </is>
      </c>
      <c r="G280" t="n">
        <v>2.2</v>
      </c>
      <c r="H280" t="n">
        <v>0</v>
      </c>
      <c r="I280" t="n">
        <v>0</v>
      </c>
      <c r="J280" t="n">
        <v>0</v>
      </c>
      <c r="K280" t="n">
        <v>0</v>
      </c>
      <c r="L280" t="n">
        <v>0</v>
      </c>
      <c r="M280" t="n">
        <v>0</v>
      </c>
      <c r="N280" t="n">
        <v>0</v>
      </c>
      <c r="O280" t="n">
        <v>0</v>
      </c>
      <c r="P280" t="n">
        <v>0</v>
      </c>
      <c r="Q280" t="n">
        <v>0</v>
      </c>
      <c r="R280" s="2" t="inlineStr"/>
    </row>
    <row r="281" ht="15" customHeight="1">
      <c r="A281" t="inlineStr">
        <is>
          <t>A 3938-2023</t>
        </is>
      </c>
      <c r="B281" s="1" t="n">
        <v>44952.35775462963</v>
      </c>
      <c r="C281" s="1" t="n">
        <v>46021</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37192-2024</t>
        </is>
      </c>
      <c r="B282" s="1" t="n">
        <v>45539.66027777778</v>
      </c>
      <c r="C282" s="1" t="n">
        <v>46021</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26937-2023</t>
        </is>
      </c>
      <c r="B283" s="1" t="n">
        <v>45093.62777777778</v>
      </c>
      <c r="C283" s="1" t="n">
        <v>46021</v>
      </c>
      <c r="D283" t="inlineStr">
        <is>
          <t>KALMAR LÄN</t>
        </is>
      </c>
      <c r="E283" t="inlineStr">
        <is>
          <t>VIMMERBY</t>
        </is>
      </c>
      <c r="F283" t="inlineStr">
        <is>
          <t>Sveaskog</t>
        </is>
      </c>
      <c r="G283" t="n">
        <v>14.5</v>
      </c>
      <c r="H283" t="n">
        <v>0</v>
      </c>
      <c r="I283" t="n">
        <v>0</v>
      </c>
      <c r="J283" t="n">
        <v>0</v>
      </c>
      <c r="K283" t="n">
        <v>0</v>
      </c>
      <c r="L283" t="n">
        <v>0</v>
      </c>
      <c r="M283" t="n">
        <v>0</v>
      </c>
      <c r="N283" t="n">
        <v>0</v>
      </c>
      <c r="O283" t="n">
        <v>0</v>
      </c>
      <c r="P283" t="n">
        <v>0</v>
      </c>
      <c r="Q283" t="n">
        <v>0</v>
      </c>
      <c r="R283" s="2" t="inlineStr"/>
    </row>
    <row r="284" ht="15" customHeight="1">
      <c r="A284" t="inlineStr">
        <is>
          <t>A 50085-2023</t>
        </is>
      </c>
      <c r="B284" s="1" t="n">
        <v>45215.5959375</v>
      </c>
      <c r="C284" s="1" t="n">
        <v>46021</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11219-2023</t>
        </is>
      </c>
      <c r="B285" s="1" t="n">
        <v>44992.62498842592</v>
      </c>
      <c r="C285" s="1" t="n">
        <v>46021</v>
      </c>
      <c r="D285" t="inlineStr">
        <is>
          <t>KALMAR LÄN</t>
        </is>
      </c>
      <c r="E285" t="inlineStr">
        <is>
          <t>VIMMERBY</t>
        </is>
      </c>
      <c r="G285" t="n">
        <v>2.5</v>
      </c>
      <c r="H285" t="n">
        <v>0</v>
      </c>
      <c r="I285" t="n">
        <v>0</v>
      </c>
      <c r="J285" t="n">
        <v>0</v>
      </c>
      <c r="K285" t="n">
        <v>0</v>
      </c>
      <c r="L285" t="n">
        <v>0</v>
      </c>
      <c r="M285" t="n">
        <v>0</v>
      </c>
      <c r="N285" t="n">
        <v>0</v>
      </c>
      <c r="O285" t="n">
        <v>0</v>
      </c>
      <c r="P285" t="n">
        <v>0</v>
      </c>
      <c r="Q285" t="n">
        <v>0</v>
      </c>
      <c r="R285" s="2" t="inlineStr"/>
    </row>
    <row r="286" ht="15" customHeight="1">
      <c r="A286" t="inlineStr">
        <is>
          <t>A 47063-2022</t>
        </is>
      </c>
      <c r="B286" s="1" t="n">
        <v>44852</v>
      </c>
      <c r="C286" s="1" t="n">
        <v>46021</v>
      </c>
      <c r="D286" t="inlineStr">
        <is>
          <t>KALMAR LÄN</t>
        </is>
      </c>
      <c r="E286" t="inlineStr">
        <is>
          <t>VIMMERBY</t>
        </is>
      </c>
      <c r="G286" t="n">
        <v>2.5</v>
      </c>
      <c r="H286" t="n">
        <v>0</v>
      </c>
      <c r="I286" t="n">
        <v>0</v>
      </c>
      <c r="J286" t="n">
        <v>0</v>
      </c>
      <c r="K286" t="n">
        <v>0</v>
      </c>
      <c r="L286" t="n">
        <v>0</v>
      </c>
      <c r="M286" t="n">
        <v>0</v>
      </c>
      <c r="N286" t="n">
        <v>0</v>
      </c>
      <c r="O286" t="n">
        <v>0</v>
      </c>
      <c r="P286" t="n">
        <v>0</v>
      </c>
      <c r="Q286" t="n">
        <v>0</v>
      </c>
      <c r="R286" s="2" t="inlineStr"/>
    </row>
    <row r="287" ht="15" customHeight="1">
      <c r="A287" t="inlineStr">
        <is>
          <t>A 12819-2024</t>
        </is>
      </c>
      <c r="B287" s="1" t="n">
        <v>45384.66917824074</v>
      </c>
      <c r="C287" s="1" t="n">
        <v>46021</v>
      </c>
      <c r="D287" t="inlineStr">
        <is>
          <t>KALMAR LÄN</t>
        </is>
      </c>
      <c r="E287" t="inlineStr">
        <is>
          <t>VIMMERBY</t>
        </is>
      </c>
      <c r="G287" t="n">
        <v>5.1</v>
      </c>
      <c r="H287" t="n">
        <v>0</v>
      </c>
      <c r="I287" t="n">
        <v>0</v>
      </c>
      <c r="J287" t="n">
        <v>0</v>
      </c>
      <c r="K287" t="n">
        <v>0</v>
      </c>
      <c r="L287" t="n">
        <v>0</v>
      </c>
      <c r="M287" t="n">
        <v>0</v>
      </c>
      <c r="N287" t="n">
        <v>0</v>
      </c>
      <c r="O287" t="n">
        <v>0</v>
      </c>
      <c r="P287" t="n">
        <v>0</v>
      </c>
      <c r="Q287" t="n">
        <v>0</v>
      </c>
      <c r="R287" s="2" t="inlineStr"/>
    </row>
    <row r="288" ht="15" customHeight="1">
      <c r="A288" t="inlineStr">
        <is>
          <t>A 6850-2023</t>
        </is>
      </c>
      <c r="B288" s="1" t="n">
        <v>44967.44255787037</v>
      </c>
      <c r="C288" s="1" t="n">
        <v>46021</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31382-2023</t>
        </is>
      </c>
      <c r="B289" s="1" t="n">
        <v>45114.55136574074</v>
      </c>
      <c r="C289" s="1" t="n">
        <v>46021</v>
      </c>
      <c r="D289" t="inlineStr">
        <is>
          <t>KALMAR LÄN</t>
        </is>
      </c>
      <c r="E289" t="inlineStr">
        <is>
          <t>VIMMERBY</t>
        </is>
      </c>
      <c r="G289" t="n">
        <v>3.7</v>
      </c>
      <c r="H289" t="n">
        <v>0</v>
      </c>
      <c r="I289" t="n">
        <v>0</v>
      </c>
      <c r="J289" t="n">
        <v>0</v>
      </c>
      <c r="K289" t="n">
        <v>0</v>
      </c>
      <c r="L289" t="n">
        <v>0</v>
      </c>
      <c r="M289" t="n">
        <v>0</v>
      </c>
      <c r="N289" t="n">
        <v>0</v>
      </c>
      <c r="O289" t="n">
        <v>0</v>
      </c>
      <c r="P289" t="n">
        <v>0</v>
      </c>
      <c r="Q289" t="n">
        <v>0</v>
      </c>
      <c r="R289" s="2" t="inlineStr"/>
    </row>
    <row r="290" ht="15" customHeight="1">
      <c r="A290" t="inlineStr">
        <is>
          <t>A 11073-2023</t>
        </is>
      </c>
      <c r="B290" s="1" t="n">
        <v>44992</v>
      </c>
      <c r="C290" s="1" t="n">
        <v>46021</v>
      </c>
      <c r="D290" t="inlineStr">
        <is>
          <t>KALMAR LÄN</t>
        </is>
      </c>
      <c r="E290" t="inlineStr">
        <is>
          <t>VIMMERBY</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6358-2022</t>
        </is>
      </c>
      <c r="B291" s="1" t="n">
        <v>44600</v>
      </c>
      <c r="C291" s="1" t="n">
        <v>46021</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59955-2023</t>
        </is>
      </c>
      <c r="B292" s="1" t="n">
        <v>45257.70313657408</v>
      </c>
      <c r="C292" s="1" t="n">
        <v>46021</v>
      </c>
      <c r="D292" t="inlineStr">
        <is>
          <t>KALMAR LÄN</t>
        </is>
      </c>
      <c r="E292" t="inlineStr">
        <is>
          <t>VIMMERBY</t>
        </is>
      </c>
      <c r="G292" t="n">
        <v>13.8</v>
      </c>
      <c r="H292" t="n">
        <v>0</v>
      </c>
      <c r="I292" t="n">
        <v>0</v>
      </c>
      <c r="J292" t="n">
        <v>0</v>
      </c>
      <c r="K292" t="n">
        <v>0</v>
      </c>
      <c r="L292" t="n">
        <v>0</v>
      </c>
      <c r="M292" t="n">
        <v>0</v>
      </c>
      <c r="N292" t="n">
        <v>0</v>
      </c>
      <c r="O292" t="n">
        <v>0</v>
      </c>
      <c r="P292" t="n">
        <v>0</v>
      </c>
      <c r="Q292" t="n">
        <v>0</v>
      </c>
      <c r="R292" s="2" t="inlineStr"/>
    </row>
    <row r="293" ht="15" customHeight="1">
      <c r="A293" t="inlineStr">
        <is>
          <t>A 40970-2025</t>
        </is>
      </c>
      <c r="B293" s="1" t="n">
        <v>45897.88706018519</v>
      </c>
      <c r="C293" s="1" t="n">
        <v>46021</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40973-2025</t>
        </is>
      </c>
      <c r="B294" s="1" t="n">
        <v>45897.89737268518</v>
      </c>
      <c r="C294" s="1" t="n">
        <v>46021</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43853-2023</t>
        </is>
      </c>
      <c r="B295" s="1" t="n">
        <v>45187.60813657408</v>
      </c>
      <c r="C295" s="1" t="n">
        <v>46021</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7075-2021</t>
        </is>
      </c>
      <c r="B296" s="1" t="n">
        <v>44237</v>
      </c>
      <c r="C296" s="1" t="n">
        <v>46021</v>
      </c>
      <c r="D296" t="inlineStr">
        <is>
          <t>KALMAR LÄN</t>
        </is>
      </c>
      <c r="E296" t="inlineStr">
        <is>
          <t>VIMMERBY</t>
        </is>
      </c>
      <c r="G296" t="n">
        <v>3.6</v>
      </c>
      <c r="H296" t="n">
        <v>0</v>
      </c>
      <c r="I296" t="n">
        <v>0</v>
      </c>
      <c r="J296" t="n">
        <v>0</v>
      </c>
      <c r="K296" t="n">
        <v>0</v>
      </c>
      <c r="L296" t="n">
        <v>0</v>
      </c>
      <c r="M296" t="n">
        <v>0</v>
      </c>
      <c r="N296" t="n">
        <v>0</v>
      </c>
      <c r="O296" t="n">
        <v>0</v>
      </c>
      <c r="P296" t="n">
        <v>0</v>
      </c>
      <c r="Q296" t="n">
        <v>0</v>
      </c>
      <c r="R296" s="2" t="inlineStr"/>
    </row>
    <row r="297" ht="15" customHeight="1">
      <c r="A297" t="inlineStr">
        <is>
          <t>A 41224-2025</t>
        </is>
      </c>
      <c r="B297" s="1" t="n">
        <v>45898.58861111111</v>
      </c>
      <c r="C297" s="1" t="n">
        <v>46021</v>
      </c>
      <c r="D297" t="inlineStr">
        <is>
          <t>KALMAR LÄN</t>
        </is>
      </c>
      <c r="E297" t="inlineStr">
        <is>
          <t>VIMMERBY</t>
        </is>
      </c>
      <c r="G297" t="n">
        <v>4.4</v>
      </c>
      <c r="H297" t="n">
        <v>0</v>
      </c>
      <c r="I297" t="n">
        <v>0</v>
      </c>
      <c r="J297" t="n">
        <v>0</v>
      </c>
      <c r="K297" t="n">
        <v>0</v>
      </c>
      <c r="L297" t="n">
        <v>0</v>
      </c>
      <c r="M297" t="n">
        <v>0</v>
      </c>
      <c r="N297" t="n">
        <v>0</v>
      </c>
      <c r="O297" t="n">
        <v>0</v>
      </c>
      <c r="P297" t="n">
        <v>0</v>
      </c>
      <c r="Q297" t="n">
        <v>0</v>
      </c>
      <c r="R297" s="2" t="inlineStr"/>
    </row>
    <row r="298" ht="15" customHeight="1">
      <c r="A298" t="inlineStr">
        <is>
          <t>A 36802-2021</t>
        </is>
      </c>
      <c r="B298" s="1" t="n">
        <v>44392</v>
      </c>
      <c r="C298" s="1" t="n">
        <v>46021</v>
      </c>
      <c r="D298" t="inlineStr">
        <is>
          <t>KALMAR LÄN</t>
        </is>
      </c>
      <c r="E298" t="inlineStr">
        <is>
          <t>VIMMERBY</t>
        </is>
      </c>
      <c r="F298" t="inlineStr">
        <is>
          <t>Sveaskog</t>
        </is>
      </c>
      <c r="G298" t="n">
        <v>4.6</v>
      </c>
      <c r="H298" t="n">
        <v>0</v>
      </c>
      <c r="I298" t="n">
        <v>0</v>
      </c>
      <c r="J298" t="n">
        <v>0</v>
      </c>
      <c r="K298" t="n">
        <v>0</v>
      </c>
      <c r="L298" t="n">
        <v>0</v>
      </c>
      <c r="M298" t="n">
        <v>0</v>
      </c>
      <c r="N298" t="n">
        <v>0</v>
      </c>
      <c r="O298" t="n">
        <v>0</v>
      </c>
      <c r="P298" t="n">
        <v>0</v>
      </c>
      <c r="Q298" t="n">
        <v>0</v>
      </c>
      <c r="R298" s="2" t="inlineStr"/>
    </row>
    <row r="299" ht="15" customHeight="1">
      <c r="A299" t="inlineStr">
        <is>
          <t>A 48673-2021</t>
        </is>
      </c>
      <c r="B299" s="1" t="n">
        <v>44452</v>
      </c>
      <c r="C299" s="1" t="n">
        <v>46021</v>
      </c>
      <c r="D299" t="inlineStr">
        <is>
          <t>KALMAR LÄN</t>
        </is>
      </c>
      <c r="E299" t="inlineStr">
        <is>
          <t>VIMMERBY</t>
        </is>
      </c>
      <c r="G299" t="n">
        <v>1.3</v>
      </c>
      <c r="H299" t="n">
        <v>0</v>
      </c>
      <c r="I299" t="n">
        <v>0</v>
      </c>
      <c r="J299" t="n">
        <v>0</v>
      </c>
      <c r="K299" t="n">
        <v>0</v>
      </c>
      <c r="L299" t="n">
        <v>0</v>
      </c>
      <c r="M299" t="n">
        <v>0</v>
      </c>
      <c r="N299" t="n">
        <v>0</v>
      </c>
      <c r="O299" t="n">
        <v>0</v>
      </c>
      <c r="P299" t="n">
        <v>0</v>
      </c>
      <c r="Q299" t="n">
        <v>0</v>
      </c>
      <c r="R299" s="2" t="inlineStr"/>
    </row>
    <row r="300" ht="15" customHeight="1">
      <c r="A300" t="inlineStr">
        <is>
          <t>A 14137-2023</t>
        </is>
      </c>
      <c r="B300" s="1" t="n">
        <v>45009.4671875</v>
      </c>
      <c r="C300" s="1" t="n">
        <v>46021</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7630-2025</t>
        </is>
      </c>
      <c r="B301" s="1" t="n">
        <v>45705.74418981482</v>
      </c>
      <c r="C301" s="1" t="n">
        <v>46021</v>
      </c>
      <c r="D301" t="inlineStr">
        <is>
          <t>KALMAR LÄN</t>
        </is>
      </c>
      <c r="E301" t="inlineStr">
        <is>
          <t>VIMMERBY</t>
        </is>
      </c>
      <c r="G301" t="n">
        <v>2.5</v>
      </c>
      <c r="H301" t="n">
        <v>0</v>
      </c>
      <c r="I301" t="n">
        <v>0</v>
      </c>
      <c r="J301" t="n">
        <v>0</v>
      </c>
      <c r="K301" t="n">
        <v>0</v>
      </c>
      <c r="L301" t="n">
        <v>0</v>
      </c>
      <c r="M301" t="n">
        <v>0</v>
      </c>
      <c r="N301" t="n">
        <v>0</v>
      </c>
      <c r="O301" t="n">
        <v>0</v>
      </c>
      <c r="P301" t="n">
        <v>0</v>
      </c>
      <c r="Q301" t="n">
        <v>0</v>
      </c>
      <c r="R301" s="2" t="inlineStr"/>
    </row>
    <row r="302" ht="15" customHeight="1">
      <c r="A302" t="inlineStr">
        <is>
          <t>A 61820-2023</t>
        </is>
      </c>
      <c r="B302" s="1" t="n">
        <v>45266.32614583334</v>
      </c>
      <c r="C302" s="1" t="n">
        <v>46021</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3269-2024</t>
        </is>
      </c>
      <c r="B303" s="1" t="n">
        <v>45317.40372685185</v>
      </c>
      <c r="C303" s="1" t="n">
        <v>46021</v>
      </c>
      <c r="D303" t="inlineStr">
        <is>
          <t>KALMAR LÄN</t>
        </is>
      </c>
      <c r="E303" t="inlineStr">
        <is>
          <t>VIMMERBY</t>
        </is>
      </c>
      <c r="F303" t="inlineStr">
        <is>
          <t>Övriga Aktiebolag</t>
        </is>
      </c>
      <c r="G303" t="n">
        <v>1.7</v>
      </c>
      <c r="H303" t="n">
        <v>0</v>
      </c>
      <c r="I303" t="n">
        <v>0</v>
      </c>
      <c r="J303" t="n">
        <v>0</v>
      </c>
      <c r="K303" t="n">
        <v>0</v>
      </c>
      <c r="L303" t="n">
        <v>0</v>
      </c>
      <c r="M303" t="n">
        <v>0</v>
      </c>
      <c r="N303" t="n">
        <v>0</v>
      </c>
      <c r="O303" t="n">
        <v>0</v>
      </c>
      <c r="P303" t="n">
        <v>0</v>
      </c>
      <c r="Q303" t="n">
        <v>0</v>
      </c>
      <c r="R303" s="2" t="inlineStr"/>
    </row>
    <row r="304" ht="15" customHeight="1">
      <c r="A304" t="inlineStr">
        <is>
          <t>A 2157-2024</t>
        </is>
      </c>
      <c r="B304" s="1" t="n">
        <v>45309.59487268519</v>
      </c>
      <c r="C304" s="1" t="n">
        <v>46021</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9416-2024</t>
        </is>
      </c>
      <c r="B305" s="1" t="n">
        <v>45359.44837962963</v>
      </c>
      <c r="C305" s="1" t="n">
        <v>46021</v>
      </c>
      <c r="D305" t="inlineStr">
        <is>
          <t>KALMAR LÄN</t>
        </is>
      </c>
      <c r="E305" t="inlineStr">
        <is>
          <t>VIMMERBY</t>
        </is>
      </c>
      <c r="G305" t="n">
        <v>3.2</v>
      </c>
      <c r="H305" t="n">
        <v>0</v>
      </c>
      <c r="I305" t="n">
        <v>0</v>
      </c>
      <c r="J305" t="n">
        <v>0</v>
      </c>
      <c r="K305" t="n">
        <v>0</v>
      </c>
      <c r="L305" t="n">
        <v>0</v>
      </c>
      <c r="M305" t="n">
        <v>0</v>
      </c>
      <c r="N305" t="n">
        <v>0</v>
      </c>
      <c r="O305" t="n">
        <v>0</v>
      </c>
      <c r="P305" t="n">
        <v>0</v>
      </c>
      <c r="Q305" t="n">
        <v>0</v>
      </c>
      <c r="R305" s="2" t="inlineStr"/>
    </row>
    <row r="306" ht="15" customHeight="1">
      <c r="A306" t="inlineStr">
        <is>
          <t>A 58318-2021</t>
        </is>
      </c>
      <c r="B306" s="1" t="n">
        <v>44488.35878472222</v>
      </c>
      <c r="C306" s="1" t="n">
        <v>46021</v>
      </c>
      <c r="D306" t="inlineStr">
        <is>
          <t>KALMAR LÄN</t>
        </is>
      </c>
      <c r="E306" t="inlineStr">
        <is>
          <t>VIMMERBY</t>
        </is>
      </c>
      <c r="G306" t="n">
        <v>4</v>
      </c>
      <c r="H306" t="n">
        <v>0</v>
      </c>
      <c r="I306" t="n">
        <v>0</v>
      </c>
      <c r="J306" t="n">
        <v>0</v>
      </c>
      <c r="K306" t="n">
        <v>0</v>
      </c>
      <c r="L306" t="n">
        <v>0</v>
      </c>
      <c r="M306" t="n">
        <v>0</v>
      </c>
      <c r="N306" t="n">
        <v>0</v>
      </c>
      <c r="O306" t="n">
        <v>0</v>
      </c>
      <c r="P306" t="n">
        <v>0</v>
      </c>
      <c r="Q306" t="n">
        <v>0</v>
      </c>
      <c r="R306" s="2" t="inlineStr"/>
    </row>
    <row r="307" ht="15" customHeight="1">
      <c r="A307" t="inlineStr">
        <is>
          <t>A 53083-2021</t>
        </is>
      </c>
      <c r="B307" s="1" t="n">
        <v>44467.83386574074</v>
      </c>
      <c r="C307" s="1" t="n">
        <v>46021</v>
      </c>
      <c r="D307" t="inlineStr">
        <is>
          <t>KALMAR LÄN</t>
        </is>
      </c>
      <c r="E307" t="inlineStr">
        <is>
          <t>VIMMERBY</t>
        </is>
      </c>
      <c r="G307" t="n">
        <v>6.8</v>
      </c>
      <c r="H307" t="n">
        <v>0</v>
      </c>
      <c r="I307" t="n">
        <v>0</v>
      </c>
      <c r="J307" t="n">
        <v>0</v>
      </c>
      <c r="K307" t="n">
        <v>0</v>
      </c>
      <c r="L307" t="n">
        <v>0</v>
      </c>
      <c r="M307" t="n">
        <v>0</v>
      </c>
      <c r="N307" t="n">
        <v>0</v>
      </c>
      <c r="O307" t="n">
        <v>0</v>
      </c>
      <c r="P307" t="n">
        <v>0</v>
      </c>
      <c r="Q307" t="n">
        <v>0</v>
      </c>
      <c r="R307" s="2" t="inlineStr"/>
    </row>
    <row r="308" ht="15" customHeight="1">
      <c r="A308" t="inlineStr">
        <is>
          <t>A 29173-2024</t>
        </is>
      </c>
      <c r="B308" s="1" t="n">
        <v>45482.52887731481</v>
      </c>
      <c r="C308" s="1" t="n">
        <v>46021</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11111-2024</t>
        </is>
      </c>
      <c r="B309" s="1" t="n">
        <v>45371.36359953704</v>
      </c>
      <c r="C309" s="1" t="n">
        <v>46021</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11141-2024</t>
        </is>
      </c>
      <c r="B310" s="1" t="n">
        <v>45371.45865740741</v>
      </c>
      <c r="C310" s="1" t="n">
        <v>46021</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38780-2021</t>
        </is>
      </c>
      <c r="B311" s="1" t="n">
        <v>44410</v>
      </c>
      <c r="C311" s="1" t="n">
        <v>46021</v>
      </c>
      <c r="D311" t="inlineStr">
        <is>
          <t>KALMAR LÄN</t>
        </is>
      </c>
      <c r="E311" t="inlineStr">
        <is>
          <t>VIMMERBY</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9418-2024</t>
        </is>
      </c>
      <c r="B312" s="1" t="n">
        <v>45359.45038194444</v>
      </c>
      <c r="C312" s="1" t="n">
        <v>46021</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30503-2023</t>
        </is>
      </c>
      <c r="B313" s="1" t="n">
        <v>45111</v>
      </c>
      <c r="C313" s="1" t="n">
        <v>46021</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49313-2022</t>
        </is>
      </c>
      <c r="B314" s="1" t="n">
        <v>44861.52505787037</v>
      </c>
      <c r="C314" s="1" t="n">
        <v>46021</v>
      </c>
      <c r="D314" t="inlineStr">
        <is>
          <t>KALMAR LÄN</t>
        </is>
      </c>
      <c r="E314" t="inlineStr">
        <is>
          <t>VIMMERBY</t>
        </is>
      </c>
      <c r="G314" t="n">
        <v>1.9</v>
      </c>
      <c r="H314" t="n">
        <v>0</v>
      </c>
      <c r="I314" t="n">
        <v>0</v>
      </c>
      <c r="J314" t="n">
        <v>0</v>
      </c>
      <c r="K314" t="n">
        <v>0</v>
      </c>
      <c r="L314" t="n">
        <v>0</v>
      </c>
      <c r="M314" t="n">
        <v>0</v>
      </c>
      <c r="N314" t="n">
        <v>0</v>
      </c>
      <c r="O314" t="n">
        <v>0</v>
      </c>
      <c r="P314" t="n">
        <v>0</v>
      </c>
      <c r="Q314" t="n">
        <v>0</v>
      </c>
      <c r="R314" s="2" t="inlineStr"/>
    </row>
    <row r="315" ht="15" customHeight="1">
      <c r="A315" t="inlineStr">
        <is>
          <t>A 35998-2024</t>
        </is>
      </c>
      <c r="B315" s="1" t="n">
        <v>45533.54429398148</v>
      </c>
      <c r="C315" s="1" t="n">
        <v>46021</v>
      </c>
      <c r="D315" t="inlineStr">
        <is>
          <t>KALMAR LÄN</t>
        </is>
      </c>
      <c r="E315" t="inlineStr">
        <is>
          <t>VIMMERBY</t>
        </is>
      </c>
      <c r="G315" t="n">
        <v>8.6</v>
      </c>
      <c r="H315" t="n">
        <v>0</v>
      </c>
      <c r="I315" t="n">
        <v>0</v>
      </c>
      <c r="J315" t="n">
        <v>0</v>
      </c>
      <c r="K315" t="n">
        <v>0</v>
      </c>
      <c r="L315" t="n">
        <v>0</v>
      </c>
      <c r="M315" t="n">
        <v>0</v>
      </c>
      <c r="N315" t="n">
        <v>0</v>
      </c>
      <c r="O315" t="n">
        <v>0</v>
      </c>
      <c r="P315" t="n">
        <v>0</v>
      </c>
      <c r="Q315" t="n">
        <v>0</v>
      </c>
      <c r="R315" s="2" t="inlineStr"/>
    </row>
    <row r="316" ht="15" customHeight="1">
      <c r="A316" t="inlineStr">
        <is>
          <t>A 60110-2022</t>
        </is>
      </c>
      <c r="B316" s="1" t="n">
        <v>44909</v>
      </c>
      <c r="C316" s="1" t="n">
        <v>46021</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36040-2024</t>
        </is>
      </c>
      <c r="B317" s="1" t="n">
        <v>45533.60232638889</v>
      </c>
      <c r="C317" s="1" t="n">
        <v>46021</v>
      </c>
      <c r="D317" t="inlineStr">
        <is>
          <t>KALMAR LÄN</t>
        </is>
      </c>
      <c r="E317" t="inlineStr">
        <is>
          <t>VIMMERBY</t>
        </is>
      </c>
      <c r="F317" t="inlineStr">
        <is>
          <t>Kommuner</t>
        </is>
      </c>
      <c r="G317" t="n">
        <v>3.6</v>
      </c>
      <c r="H317" t="n">
        <v>0</v>
      </c>
      <c r="I317" t="n">
        <v>0</v>
      </c>
      <c r="J317" t="n">
        <v>0</v>
      </c>
      <c r="K317" t="n">
        <v>0</v>
      </c>
      <c r="L317" t="n">
        <v>0</v>
      </c>
      <c r="M317" t="n">
        <v>0</v>
      </c>
      <c r="N317" t="n">
        <v>0</v>
      </c>
      <c r="O317" t="n">
        <v>0</v>
      </c>
      <c r="P317" t="n">
        <v>0</v>
      </c>
      <c r="Q317" t="n">
        <v>0</v>
      </c>
      <c r="R317" s="2" t="inlineStr"/>
    </row>
    <row r="318" ht="15" customHeight="1">
      <c r="A318" t="inlineStr">
        <is>
          <t>A 36043-2024</t>
        </is>
      </c>
      <c r="B318" s="1" t="n">
        <v>45533.60770833334</v>
      </c>
      <c r="C318" s="1" t="n">
        <v>46021</v>
      </c>
      <c r="D318" t="inlineStr">
        <is>
          <t>KALMAR LÄN</t>
        </is>
      </c>
      <c r="E318" t="inlineStr">
        <is>
          <t>VIMMERBY</t>
        </is>
      </c>
      <c r="F318" t="inlineStr">
        <is>
          <t>Kommuner</t>
        </is>
      </c>
      <c r="G318" t="n">
        <v>1.5</v>
      </c>
      <c r="H318" t="n">
        <v>0</v>
      </c>
      <c r="I318" t="n">
        <v>0</v>
      </c>
      <c r="J318" t="n">
        <v>0</v>
      </c>
      <c r="K318" t="n">
        <v>0</v>
      </c>
      <c r="L318" t="n">
        <v>0</v>
      </c>
      <c r="M318" t="n">
        <v>0</v>
      </c>
      <c r="N318" t="n">
        <v>0</v>
      </c>
      <c r="O318" t="n">
        <v>0</v>
      </c>
      <c r="P318" t="n">
        <v>0</v>
      </c>
      <c r="Q318" t="n">
        <v>0</v>
      </c>
      <c r="R318" s="2" t="inlineStr"/>
    </row>
    <row r="319" ht="15" customHeight="1">
      <c r="A319" t="inlineStr">
        <is>
          <t>A 59300-2024</t>
        </is>
      </c>
      <c r="B319" s="1" t="n">
        <v>45637.66542824074</v>
      </c>
      <c r="C319" s="1" t="n">
        <v>46021</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22197-2024</t>
        </is>
      </c>
      <c r="B320" s="1" t="n">
        <v>45446.36774305555</v>
      </c>
      <c r="C320" s="1" t="n">
        <v>46021</v>
      </c>
      <c r="D320" t="inlineStr">
        <is>
          <t>KALMAR LÄN</t>
        </is>
      </c>
      <c r="E320" t="inlineStr">
        <is>
          <t>VIMMERBY</t>
        </is>
      </c>
      <c r="F320" t="inlineStr">
        <is>
          <t>Sveaskog</t>
        </is>
      </c>
      <c r="G320" t="n">
        <v>3.2</v>
      </c>
      <c r="H320" t="n">
        <v>0</v>
      </c>
      <c r="I320" t="n">
        <v>0</v>
      </c>
      <c r="J320" t="n">
        <v>0</v>
      </c>
      <c r="K320" t="n">
        <v>0</v>
      </c>
      <c r="L320" t="n">
        <v>0</v>
      </c>
      <c r="M320" t="n">
        <v>0</v>
      </c>
      <c r="N320" t="n">
        <v>0</v>
      </c>
      <c r="O320" t="n">
        <v>0</v>
      </c>
      <c r="P320" t="n">
        <v>0</v>
      </c>
      <c r="Q320" t="n">
        <v>0</v>
      </c>
      <c r="R320" s="2" t="inlineStr"/>
    </row>
    <row r="321" ht="15" customHeight="1">
      <c r="A321" t="inlineStr">
        <is>
          <t>A 19445-2021</t>
        </is>
      </c>
      <c r="B321" s="1" t="n">
        <v>44310</v>
      </c>
      <c r="C321" s="1" t="n">
        <v>46021</v>
      </c>
      <c r="D321" t="inlineStr">
        <is>
          <t>KALMAR LÄN</t>
        </is>
      </c>
      <c r="E321" t="inlineStr">
        <is>
          <t>VIMMERBY</t>
        </is>
      </c>
      <c r="G321" t="n">
        <v>6.8</v>
      </c>
      <c r="H321" t="n">
        <v>0</v>
      </c>
      <c r="I321" t="n">
        <v>0</v>
      </c>
      <c r="J321" t="n">
        <v>0</v>
      </c>
      <c r="K321" t="n">
        <v>0</v>
      </c>
      <c r="L321" t="n">
        <v>0</v>
      </c>
      <c r="M321" t="n">
        <v>0</v>
      </c>
      <c r="N321" t="n">
        <v>0</v>
      </c>
      <c r="O321" t="n">
        <v>0</v>
      </c>
      <c r="P321" t="n">
        <v>0</v>
      </c>
      <c r="Q321" t="n">
        <v>0</v>
      </c>
      <c r="R321" s="2" t="inlineStr"/>
    </row>
    <row r="322" ht="15" customHeight="1">
      <c r="A322" t="inlineStr">
        <is>
          <t>A 35710-2023</t>
        </is>
      </c>
      <c r="B322" s="1" t="n">
        <v>45147.67096064815</v>
      </c>
      <c r="C322" s="1" t="n">
        <v>46021</v>
      </c>
      <c r="D322" t="inlineStr">
        <is>
          <t>KALMAR LÄN</t>
        </is>
      </c>
      <c r="E322" t="inlineStr">
        <is>
          <t>VIMMERBY</t>
        </is>
      </c>
      <c r="G322" t="n">
        <v>3.1</v>
      </c>
      <c r="H322" t="n">
        <v>0</v>
      </c>
      <c r="I322" t="n">
        <v>0</v>
      </c>
      <c r="J322" t="n">
        <v>0</v>
      </c>
      <c r="K322" t="n">
        <v>0</v>
      </c>
      <c r="L322" t="n">
        <v>0</v>
      </c>
      <c r="M322" t="n">
        <v>0</v>
      </c>
      <c r="N322" t="n">
        <v>0</v>
      </c>
      <c r="O322" t="n">
        <v>0</v>
      </c>
      <c r="P322" t="n">
        <v>0</v>
      </c>
      <c r="Q322" t="n">
        <v>0</v>
      </c>
      <c r="R322" s="2" t="inlineStr"/>
    </row>
    <row r="323" ht="15" customHeight="1">
      <c r="A323" t="inlineStr">
        <is>
          <t>A 35711-2023</t>
        </is>
      </c>
      <c r="B323" s="1" t="n">
        <v>45147.67172453704</v>
      </c>
      <c r="C323" s="1" t="n">
        <v>46021</v>
      </c>
      <c r="D323" t="inlineStr">
        <is>
          <t>KALMAR LÄN</t>
        </is>
      </c>
      <c r="E323" t="inlineStr">
        <is>
          <t>VIMMERBY</t>
        </is>
      </c>
      <c r="G323" t="n">
        <v>1</v>
      </c>
      <c r="H323" t="n">
        <v>0</v>
      </c>
      <c r="I323" t="n">
        <v>0</v>
      </c>
      <c r="J323" t="n">
        <v>0</v>
      </c>
      <c r="K323" t="n">
        <v>0</v>
      </c>
      <c r="L323" t="n">
        <v>0</v>
      </c>
      <c r="M323" t="n">
        <v>0</v>
      </c>
      <c r="N323" t="n">
        <v>0</v>
      </c>
      <c r="O323" t="n">
        <v>0</v>
      </c>
      <c r="P323" t="n">
        <v>0</v>
      </c>
      <c r="Q323" t="n">
        <v>0</v>
      </c>
      <c r="R323" s="2" t="inlineStr"/>
    </row>
    <row r="324" ht="15" customHeight="1">
      <c r="A324" t="inlineStr">
        <is>
          <t>A 18329-2023</t>
        </is>
      </c>
      <c r="B324" s="1" t="n">
        <v>45041.63380787037</v>
      </c>
      <c r="C324" s="1" t="n">
        <v>46021</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40925-2025</t>
        </is>
      </c>
      <c r="B325" s="1" t="n">
        <v>45897.64208333333</v>
      </c>
      <c r="C325" s="1" t="n">
        <v>46021</v>
      </c>
      <c r="D325" t="inlineStr">
        <is>
          <t>KALMAR LÄN</t>
        </is>
      </c>
      <c r="E325" t="inlineStr">
        <is>
          <t>VIMMERBY</t>
        </is>
      </c>
      <c r="G325" t="n">
        <v>1.9</v>
      </c>
      <c r="H325" t="n">
        <v>0</v>
      </c>
      <c r="I325" t="n">
        <v>0</v>
      </c>
      <c r="J325" t="n">
        <v>0</v>
      </c>
      <c r="K325" t="n">
        <v>0</v>
      </c>
      <c r="L325" t="n">
        <v>0</v>
      </c>
      <c r="M325" t="n">
        <v>0</v>
      </c>
      <c r="N325" t="n">
        <v>0</v>
      </c>
      <c r="O325" t="n">
        <v>0</v>
      </c>
      <c r="P325" t="n">
        <v>0</v>
      </c>
      <c r="Q325" t="n">
        <v>0</v>
      </c>
      <c r="R325" s="2" t="inlineStr"/>
    </row>
    <row r="326" ht="15" customHeight="1">
      <c r="A326" t="inlineStr">
        <is>
          <t>A 5720-2023</t>
        </is>
      </c>
      <c r="B326" s="1" t="n">
        <v>44961</v>
      </c>
      <c r="C326" s="1" t="n">
        <v>46021</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61538-2022</t>
        </is>
      </c>
      <c r="B327" s="1" t="n">
        <v>44916.55414351852</v>
      </c>
      <c r="C327" s="1" t="n">
        <v>46021</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40921-2025</t>
        </is>
      </c>
      <c r="B328" s="1" t="n">
        <v>45897.63520833333</v>
      </c>
      <c r="C328" s="1" t="n">
        <v>46021</v>
      </c>
      <c r="D328" t="inlineStr">
        <is>
          <t>KALMAR LÄN</t>
        </is>
      </c>
      <c r="E328" t="inlineStr">
        <is>
          <t>VIMMERBY</t>
        </is>
      </c>
      <c r="G328" t="n">
        <v>4.2</v>
      </c>
      <c r="H328" t="n">
        <v>0</v>
      </c>
      <c r="I328" t="n">
        <v>0</v>
      </c>
      <c r="J328" t="n">
        <v>0</v>
      </c>
      <c r="K328" t="n">
        <v>0</v>
      </c>
      <c r="L328" t="n">
        <v>0</v>
      </c>
      <c r="M328" t="n">
        <v>0</v>
      </c>
      <c r="N328" t="n">
        <v>0</v>
      </c>
      <c r="O328" t="n">
        <v>0</v>
      </c>
      <c r="P328" t="n">
        <v>0</v>
      </c>
      <c r="Q328" t="n">
        <v>0</v>
      </c>
      <c r="R328" s="2" t="inlineStr"/>
    </row>
    <row r="329" ht="15" customHeight="1">
      <c r="A329" t="inlineStr">
        <is>
          <t>A 40971-2025</t>
        </is>
      </c>
      <c r="B329" s="1" t="n">
        <v>45897.88836805556</v>
      </c>
      <c r="C329" s="1" t="n">
        <v>46021</v>
      </c>
      <c r="D329" t="inlineStr">
        <is>
          <t>KALMAR LÄN</t>
        </is>
      </c>
      <c r="E329" t="inlineStr">
        <is>
          <t>VIMMERBY</t>
        </is>
      </c>
      <c r="G329" t="n">
        <v>1.5</v>
      </c>
      <c r="H329" t="n">
        <v>0</v>
      </c>
      <c r="I329" t="n">
        <v>0</v>
      </c>
      <c r="J329" t="n">
        <v>0</v>
      </c>
      <c r="K329" t="n">
        <v>0</v>
      </c>
      <c r="L329" t="n">
        <v>0</v>
      </c>
      <c r="M329" t="n">
        <v>0</v>
      </c>
      <c r="N329" t="n">
        <v>0</v>
      </c>
      <c r="O329" t="n">
        <v>0</v>
      </c>
      <c r="P329" t="n">
        <v>0</v>
      </c>
      <c r="Q329" t="n">
        <v>0</v>
      </c>
      <c r="R329" s="2" t="inlineStr"/>
    </row>
    <row r="330" ht="15" customHeight="1">
      <c r="A330" t="inlineStr">
        <is>
          <t>A 694-2024</t>
        </is>
      </c>
      <c r="B330" s="1" t="n">
        <v>45300.3794212963</v>
      </c>
      <c r="C330" s="1" t="n">
        <v>46021</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57114-2023</t>
        </is>
      </c>
      <c r="B331" s="1" t="n">
        <v>45245.36174768519</v>
      </c>
      <c r="C331" s="1" t="n">
        <v>46021</v>
      </c>
      <c r="D331" t="inlineStr">
        <is>
          <t>KALMAR LÄN</t>
        </is>
      </c>
      <c r="E331" t="inlineStr">
        <is>
          <t>VIMMERBY</t>
        </is>
      </c>
      <c r="G331" t="n">
        <v>1.5</v>
      </c>
      <c r="H331" t="n">
        <v>0</v>
      </c>
      <c r="I331" t="n">
        <v>0</v>
      </c>
      <c r="J331" t="n">
        <v>0</v>
      </c>
      <c r="K331" t="n">
        <v>0</v>
      </c>
      <c r="L331" t="n">
        <v>0</v>
      </c>
      <c r="M331" t="n">
        <v>0</v>
      </c>
      <c r="N331" t="n">
        <v>0</v>
      </c>
      <c r="O331" t="n">
        <v>0</v>
      </c>
      <c r="P331" t="n">
        <v>0</v>
      </c>
      <c r="Q331" t="n">
        <v>0</v>
      </c>
      <c r="R331" s="2" t="inlineStr"/>
    </row>
    <row r="332" ht="15" customHeight="1">
      <c r="A332" t="inlineStr">
        <is>
          <t>A 34588-2024</t>
        </is>
      </c>
      <c r="B332" s="1" t="n">
        <v>45526.3865625</v>
      </c>
      <c r="C332" s="1" t="n">
        <v>46021</v>
      </c>
      <c r="D332" t="inlineStr">
        <is>
          <t>KALMAR LÄN</t>
        </is>
      </c>
      <c r="E332" t="inlineStr">
        <is>
          <t>VIMMERBY</t>
        </is>
      </c>
      <c r="F332" t="inlineStr">
        <is>
          <t>Övriga Aktiebolag</t>
        </is>
      </c>
      <c r="G332" t="n">
        <v>3.3</v>
      </c>
      <c r="H332" t="n">
        <v>0</v>
      </c>
      <c r="I332" t="n">
        <v>0</v>
      </c>
      <c r="J332" t="n">
        <v>0</v>
      </c>
      <c r="K332" t="n">
        <v>0</v>
      </c>
      <c r="L332" t="n">
        <v>0</v>
      </c>
      <c r="M332" t="n">
        <v>0</v>
      </c>
      <c r="N332" t="n">
        <v>0</v>
      </c>
      <c r="O332" t="n">
        <v>0</v>
      </c>
      <c r="P332" t="n">
        <v>0</v>
      </c>
      <c r="Q332" t="n">
        <v>0</v>
      </c>
      <c r="R332" s="2" t="inlineStr"/>
    </row>
    <row r="333" ht="15" customHeight="1">
      <c r="A333" t="inlineStr">
        <is>
          <t>A 12327-2023</t>
        </is>
      </c>
      <c r="B333" s="1" t="n">
        <v>44999.36081018519</v>
      </c>
      <c r="C333" s="1" t="n">
        <v>46021</v>
      </c>
      <c r="D333" t="inlineStr">
        <is>
          <t>KALMAR LÄN</t>
        </is>
      </c>
      <c r="E333" t="inlineStr">
        <is>
          <t>VIMMERBY</t>
        </is>
      </c>
      <c r="G333" t="n">
        <v>1.2</v>
      </c>
      <c r="H333" t="n">
        <v>0</v>
      </c>
      <c r="I333" t="n">
        <v>0</v>
      </c>
      <c r="J333" t="n">
        <v>0</v>
      </c>
      <c r="K333" t="n">
        <v>0</v>
      </c>
      <c r="L333" t="n">
        <v>0</v>
      </c>
      <c r="M333" t="n">
        <v>0</v>
      </c>
      <c r="N333" t="n">
        <v>0</v>
      </c>
      <c r="O333" t="n">
        <v>0</v>
      </c>
      <c r="P333" t="n">
        <v>0</v>
      </c>
      <c r="Q333" t="n">
        <v>0</v>
      </c>
      <c r="R333" s="2" t="inlineStr"/>
    </row>
    <row r="334" ht="15" customHeight="1">
      <c r="A334" t="inlineStr">
        <is>
          <t>A 56659-2023</t>
        </is>
      </c>
      <c r="B334" s="1" t="n">
        <v>45243.84869212963</v>
      </c>
      <c r="C334" s="1" t="n">
        <v>46021</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30633-2024</t>
        </is>
      </c>
      <c r="B335" s="1" t="n">
        <v>45495</v>
      </c>
      <c r="C335" s="1" t="n">
        <v>46021</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33424-2023</t>
        </is>
      </c>
      <c r="B336" s="1" t="n">
        <v>45128.9325</v>
      </c>
      <c r="C336" s="1" t="n">
        <v>46021</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33425-2023</t>
        </is>
      </c>
      <c r="B337" s="1" t="n">
        <v>45128.93540509259</v>
      </c>
      <c r="C337" s="1" t="n">
        <v>46021</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41591-2025</t>
        </is>
      </c>
      <c r="B338" s="1" t="n">
        <v>45901.6327662037</v>
      </c>
      <c r="C338" s="1" t="n">
        <v>46021</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3609-2024</t>
        </is>
      </c>
      <c r="B339" s="1" t="n">
        <v>45320.89128472222</v>
      </c>
      <c r="C339" s="1" t="n">
        <v>46021</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41589-2025</t>
        </is>
      </c>
      <c r="B340" s="1" t="n">
        <v>45901.63219907408</v>
      </c>
      <c r="C340" s="1" t="n">
        <v>46021</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3331-2023</t>
        </is>
      </c>
      <c r="B341" s="1" t="n">
        <v>44949</v>
      </c>
      <c r="C341" s="1" t="n">
        <v>46021</v>
      </c>
      <c r="D341" t="inlineStr">
        <is>
          <t>KALMAR LÄN</t>
        </is>
      </c>
      <c r="E341" t="inlineStr">
        <is>
          <t>VIMMERBY</t>
        </is>
      </c>
      <c r="G341" t="n">
        <v>6.2</v>
      </c>
      <c r="H341" t="n">
        <v>0</v>
      </c>
      <c r="I341" t="n">
        <v>0</v>
      </c>
      <c r="J341" t="n">
        <v>0</v>
      </c>
      <c r="K341" t="n">
        <v>0</v>
      </c>
      <c r="L341" t="n">
        <v>0</v>
      </c>
      <c r="M341" t="n">
        <v>0</v>
      </c>
      <c r="N341" t="n">
        <v>0</v>
      </c>
      <c r="O341" t="n">
        <v>0</v>
      </c>
      <c r="P341" t="n">
        <v>0</v>
      </c>
      <c r="Q341" t="n">
        <v>0</v>
      </c>
      <c r="R341" s="2" t="inlineStr"/>
    </row>
    <row r="342" ht="15" customHeight="1">
      <c r="A342" t="inlineStr">
        <is>
          <t>A 40828-2023</t>
        </is>
      </c>
      <c r="B342" s="1" t="n">
        <v>45171.96248842592</v>
      </c>
      <c r="C342" s="1" t="n">
        <v>46021</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8650-2022</t>
        </is>
      </c>
      <c r="B343" s="1" t="n">
        <v>44613</v>
      </c>
      <c r="C343" s="1" t="n">
        <v>46021</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16734-2023</t>
        </is>
      </c>
      <c r="B344" s="1" t="n">
        <v>45030.71012731481</v>
      </c>
      <c r="C344" s="1" t="n">
        <v>46021</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34090-2025</t>
        </is>
      </c>
      <c r="B345" s="1" t="n">
        <v>45845</v>
      </c>
      <c r="C345" s="1" t="n">
        <v>46021</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64143-2021</t>
        </is>
      </c>
      <c r="B346" s="1" t="n">
        <v>44510.52157407408</v>
      </c>
      <c r="C346" s="1" t="n">
        <v>46021</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9720-2023</t>
        </is>
      </c>
      <c r="B347" s="1" t="n">
        <v>44984</v>
      </c>
      <c r="C347" s="1" t="n">
        <v>46021</v>
      </c>
      <c r="D347" t="inlineStr">
        <is>
          <t>KALMAR LÄN</t>
        </is>
      </c>
      <c r="E347" t="inlineStr">
        <is>
          <t>VIMMERBY</t>
        </is>
      </c>
      <c r="G347" t="n">
        <v>4.4</v>
      </c>
      <c r="H347" t="n">
        <v>0</v>
      </c>
      <c r="I347" t="n">
        <v>0</v>
      </c>
      <c r="J347" t="n">
        <v>0</v>
      </c>
      <c r="K347" t="n">
        <v>0</v>
      </c>
      <c r="L347" t="n">
        <v>0</v>
      </c>
      <c r="M347" t="n">
        <v>0</v>
      </c>
      <c r="N347" t="n">
        <v>0</v>
      </c>
      <c r="O347" t="n">
        <v>0</v>
      </c>
      <c r="P347" t="n">
        <v>0</v>
      </c>
      <c r="Q347" t="n">
        <v>0</v>
      </c>
      <c r="R347" s="2" t="inlineStr"/>
    </row>
    <row r="348" ht="15" customHeight="1">
      <c r="A348" t="inlineStr">
        <is>
          <t>A 11147-2023</t>
        </is>
      </c>
      <c r="B348" s="1" t="n">
        <v>44992</v>
      </c>
      <c r="C348" s="1" t="n">
        <v>46021</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5938-2022</t>
        </is>
      </c>
      <c r="B349" s="1" t="n">
        <v>44598</v>
      </c>
      <c r="C349" s="1" t="n">
        <v>46021</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1687-2023</t>
        </is>
      </c>
      <c r="B350" s="1" t="n">
        <v>44938</v>
      </c>
      <c r="C350" s="1" t="n">
        <v>46021</v>
      </c>
      <c r="D350" t="inlineStr">
        <is>
          <t>KALMAR LÄN</t>
        </is>
      </c>
      <c r="E350" t="inlineStr">
        <is>
          <t>VIMMERBY</t>
        </is>
      </c>
      <c r="F350" t="inlineStr">
        <is>
          <t>Kommuner</t>
        </is>
      </c>
      <c r="G350" t="n">
        <v>2.5</v>
      </c>
      <c r="H350" t="n">
        <v>0</v>
      </c>
      <c r="I350" t="n">
        <v>0</v>
      </c>
      <c r="J350" t="n">
        <v>0</v>
      </c>
      <c r="K350" t="n">
        <v>0</v>
      </c>
      <c r="L350" t="n">
        <v>0</v>
      </c>
      <c r="M350" t="n">
        <v>0</v>
      </c>
      <c r="N350" t="n">
        <v>0</v>
      </c>
      <c r="O350" t="n">
        <v>0</v>
      </c>
      <c r="P350" t="n">
        <v>0</v>
      </c>
      <c r="Q350" t="n">
        <v>0</v>
      </c>
      <c r="R350" s="2" t="inlineStr"/>
    </row>
    <row r="351" ht="15" customHeight="1">
      <c r="A351" t="inlineStr">
        <is>
          <t>A 29440-2024</t>
        </is>
      </c>
      <c r="B351" s="1" t="n">
        <v>45483.82479166667</v>
      </c>
      <c r="C351" s="1" t="n">
        <v>46021</v>
      </c>
      <c r="D351" t="inlineStr">
        <is>
          <t>KALMAR LÄN</t>
        </is>
      </c>
      <c r="E351" t="inlineStr">
        <is>
          <t>VIMMERBY</t>
        </is>
      </c>
      <c r="G351" t="n">
        <v>4.5</v>
      </c>
      <c r="H351" t="n">
        <v>0</v>
      </c>
      <c r="I351" t="n">
        <v>0</v>
      </c>
      <c r="J351" t="n">
        <v>0</v>
      </c>
      <c r="K351" t="n">
        <v>0</v>
      </c>
      <c r="L351" t="n">
        <v>0</v>
      </c>
      <c r="M351" t="n">
        <v>0</v>
      </c>
      <c r="N351" t="n">
        <v>0</v>
      </c>
      <c r="O351" t="n">
        <v>0</v>
      </c>
      <c r="P351" t="n">
        <v>0</v>
      </c>
      <c r="Q351" t="n">
        <v>0</v>
      </c>
      <c r="R351" s="2" t="inlineStr"/>
    </row>
    <row r="352" ht="15" customHeight="1">
      <c r="A352" t="inlineStr">
        <is>
          <t>A 30921-2024</t>
        </is>
      </c>
      <c r="B352" s="1" t="n">
        <v>45498</v>
      </c>
      <c r="C352" s="1" t="n">
        <v>46021</v>
      </c>
      <c r="D352" t="inlineStr">
        <is>
          <t>KALMAR LÄN</t>
        </is>
      </c>
      <c r="E352" t="inlineStr">
        <is>
          <t>VIMMERBY</t>
        </is>
      </c>
      <c r="G352" t="n">
        <v>1.6</v>
      </c>
      <c r="H352" t="n">
        <v>0</v>
      </c>
      <c r="I352" t="n">
        <v>0</v>
      </c>
      <c r="J352" t="n">
        <v>0</v>
      </c>
      <c r="K352" t="n">
        <v>0</v>
      </c>
      <c r="L352" t="n">
        <v>0</v>
      </c>
      <c r="M352" t="n">
        <v>0</v>
      </c>
      <c r="N352" t="n">
        <v>0</v>
      </c>
      <c r="O352" t="n">
        <v>0</v>
      </c>
      <c r="P352" t="n">
        <v>0</v>
      </c>
      <c r="Q352" t="n">
        <v>0</v>
      </c>
      <c r="R352" s="2" t="inlineStr"/>
    </row>
    <row r="353" ht="15" customHeight="1">
      <c r="A353" t="inlineStr">
        <is>
          <t>A 41735-2025</t>
        </is>
      </c>
      <c r="B353" s="1" t="n">
        <v>45902.47164351852</v>
      </c>
      <c r="C353" s="1" t="n">
        <v>46021</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53482-2022</t>
        </is>
      </c>
      <c r="B354" s="1" t="n">
        <v>44879</v>
      </c>
      <c r="C354" s="1" t="n">
        <v>46021</v>
      </c>
      <c r="D354" t="inlineStr">
        <is>
          <t>KALMAR LÄN</t>
        </is>
      </c>
      <c r="E354" t="inlineStr">
        <is>
          <t>VIMMERBY</t>
        </is>
      </c>
      <c r="G354" t="n">
        <v>10.1</v>
      </c>
      <c r="H354" t="n">
        <v>0</v>
      </c>
      <c r="I354" t="n">
        <v>0</v>
      </c>
      <c r="J354" t="n">
        <v>0</v>
      </c>
      <c r="K354" t="n">
        <v>0</v>
      </c>
      <c r="L354" t="n">
        <v>0</v>
      </c>
      <c r="M354" t="n">
        <v>0</v>
      </c>
      <c r="N354" t="n">
        <v>0</v>
      </c>
      <c r="O354" t="n">
        <v>0</v>
      </c>
      <c r="P354" t="n">
        <v>0</v>
      </c>
      <c r="Q354" t="n">
        <v>0</v>
      </c>
      <c r="R354" s="2" t="inlineStr"/>
    </row>
    <row r="355" ht="15" customHeight="1">
      <c r="A355" t="inlineStr">
        <is>
          <t>A 16676-2023</t>
        </is>
      </c>
      <c r="B355" s="1" t="n">
        <v>45028</v>
      </c>
      <c r="C355" s="1" t="n">
        <v>46021</v>
      </c>
      <c r="D355" t="inlineStr">
        <is>
          <t>KALMAR LÄN</t>
        </is>
      </c>
      <c r="E355" t="inlineStr">
        <is>
          <t>VIMMERBY</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23263-2024</t>
        </is>
      </c>
      <c r="B356" s="1" t="n">
        <v>45453.36854166666</v>
      </c>
      <c r="C356" s="1" t="n">
        <v>46021</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29180-2024</t>
        </is>
      </c>
      <c r="B357" s="1" t="n">
        <v>45482.54108796296</v>
      </c>
      <c r="C357" s="1" t="n">
        <v>46021</v>
      </c>
      <c r="D357" t="inlineStr">
        <is>
          <t>KALMAR LÄN</t>
        </is>
      </c>
      <c r="E357" t="inlineStr">
        <is>
          <t>VIMMERBY</t>
        </is>
      </c>
      <c r="G357" t="n">
        <v>3.8</v>
      </c>
      <c r="H357" t="n">
        <v>0</v>
      </c>
      <c r="I357" t="n">
        <v>0</v>
      </c>
      <c r="J357" t="n">
        <v>0</v>
      </c>
      <c r="K357" t="n">
        <v>0</v>
      </c>
      <c r="L357" t="n">
        <v>0</v>
      </c>
      <c r="M357" t="n">
        <v>0</v>
      </c>
      <c r="N357" t="n">
        <v>0</v>
      </c>
      <c r="O357" t="n">
        <v>0</v>
      </c>
      <c r="P357" t="n">
        <v>0</v>
      </c>
      <c r="Q357" t="n">
        <v>0</v>
      </c>
      <c r="R357" s="2" t="inlineStr"/>
    </row>
    <row r="358" ht="15" customHeight="1">
      <c r="A358" t="inlineStr">
        <is>
          <t>A 49488-2023</t>
        </is>
      </c>
      <c r="B358" s="1" t="n">
        <v>45211.55472222222</v>
      </c>
      <c r="C358" s="1" t="n">
        <v>46021</v>
      </c>
      <c r="D358" t="inlineStr">
        <is>
          <t>KALMAR LÄN</t>
        </is>
      </c>
      <c r="E358" t="inlineStr">
        <is>
          <t>VIMMERBY</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59768-2024</t>
        </is>
      </c>
      <c r="B359" s="1" t="n">
        <v>45639.56185185185</v>
      </c>
      <c r="C359" s="1" t="n">
        <v>46021</v>
      </c>
      <c r="D359" t="inlineStr">
        <is>
          <t>KALMAR LÄN</t>
        </is>
      </c>
      <c r="E359" t="inlineStr">
        <is>
          <t>VIMMERBY</t>
        </is>
      </c>
      <c r="G359" t="n">
        <v>5.9</v>
      </c>
      <c r="H359" t="n">
        <v>0</v>
      </c>
      <c r="I359" t="n">
        <v>0</v>
      </c>
      <c r="J359" t="n">
        <v>0</v>
      </c>
      <c r="K359" t="n">
        <v>0</v>
      </c>
      <c r="L359" t="n">
        <v>0</v>
      </c>
      <c r="M359" t="n">
        <v>0</v>
      </c>
      <c r="N359" t="n">
        <v>0</v>
      </c>
      <c r="O359" t="n">
        <v>0</v>
      </c>
      <c r="P359" t="n">
        <v>0</v>
      </c>
      <c r="Q359" t="n">
        <v>0</v>
      </c>
      <c r="R359" s="2" t="inlineStr"/>
    </row>
    <row r="360" ht="15" customHeight="1">
      <c r="A360" t="inlineStr">
        <is>
          <t>A 29783-2024</t>
        </is>
      </c>
      <c r="B360" s="1" t="n">
        <v>45485.45778935185</v>
      </c>
      <c r="C360" s="1" t="n">
        <v>46021</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54838-2024</t>
        </is>
      </c>
      <c r="B361" s="1" t="n">
        <v>45618.56787037037</v>
      </c>
      <c r="C361" s="1" t="n">
        <v>46021</v>
      </c>
      <c r="D361" t="inlineStr">
        <is>
          <t>KALMAR LÄN</t>
        </is>
      </c>
      <c r="E361" t="inlineStr">
        <is>
          <t>VIMMERBY</t>
        </is>
      </c>
      <c r="G361" t="n">
        <v>3.3</v>
      </c>
      <c r="H361" t="n">
        <v>0</v>
      </c>
      <c r="I361" t="n">
        <v>0</v>
      </c>
      <c r="J361" t="n">
        <v>0</v>
      </c>
      <c r="K361" t="n">
        <v>0</v>
      </c>
      <c r="L361" t="n">
        <v>0</v>
      </c>
      <c r="M361" t="n">
        <v>0</v>
      </c>
      <c r="N361" t="n">
        <v>0</v>
      </c>
      <c r="O361" t="n">
        <v>0</v>
      </c>
      <c r="P361" t="n">
        <v>0</v>
      </c>
      <c r="Q361" t="n">
        <v>0</v>
      </c>
      <c r="R361" s="2" t="inlineStr"/>
    </row>
    <row r="362" ht="15" customHeight="1">
      <c r="A362" t="inlineStr">
        <is>
          <t>A 25987-2024</t>
        </is>
      </c>
      <c r="B362" s="1" t="n">
        <v>45467.74417824074</v>
      </c>
      <c r="C362" s="1" t="n">
        <v>46021</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25109-2023</t>
        </is>
      </c>
      <c r="B363" s="1" t="n">
        <v>45086</v>
      </c>
      <c r="C363" s="1" t="n">
        <v>46021</v>
      </c>
      <c r="D363" t="inlineStr">
        <is>
          <t>KALMAR LÄN</t>
        </is>
      </c>
      <c r="E363" t="inlineStr">
        <is>
          <t>VIMMERBY</t>
        </is>
      </c>
      <c r="G363" t="n">
        <v>1.5</v>
      </c>
      <c r="H363" t="n">
        <v>0</v>
      </c>
      <c r="I363" t="n">
        <v>0</v>
      </c>
      <c r="J363" t="n">
        <v>0</v>
      </c>
      <c r="K363" t="n">
        <v>0</v>
      </c>
      <c r="L363" t="n">
        <v>0</v>
      </c>
      <c r="M363" t="n">
        <v>0</v>
      </c>
      <c r="N363" t="n">
        <v>0</v>
      </c>
      <c r="O363" t="n">
        <v>0</v>
      </c>
      <c r="P363" t="n">
        <v>0</v>
      </c>
      <c r="Q363" t="n">
        <v>0</v>
      </c>
      <c r="R363" s="2" t="inlineStr"/>
    </row>
    <row r="364" ht="15" customHeight="1">
      <c r="A364" t="inlineStr">
        <is>
          <t>A 72067-2021</t>
        </is>
      </c>
      <c r="B364" s="1" t="n">
        <v>44540</v>
      </c>
      <c r="C364" s="1" t="n">
        <v>46021</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41158-2023</t>
        </is>
      </c>
      <c r="B365" s="1" t="n">
        <v>45174.31395833333</v>
      </c>
      <c r="C365" s="1" t="n">
        <v>46021</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22198-2024</t>
        </is>
      </c>
      <c r="B366" s="1" t="n">
        <v>45446.36865740741</v>
      </c>
      <c r="C366" s="1" t="n">
        <v>46021</v>
      </c>
      <c r="D366" t="inlineStr">
        <is>
          <t>KALMAR LÄN</t>
        </is>
      </c>
      <c r="E366" t="inlineStr">
        <is>
          <t>VIMMERBY</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9511-2023</t>
        </is>
      </c>
      <c r="B367" s="1" t="n">
        <v>44981.64725694444</v>
      </c>
      <c r="C367" s="1" t="n">
        <v>46021</v>
      </c>
      <c r="D367" t="inlineStr">
        <is>
          <t>KALMAR LÄN</t>
        </is>
      </c>
      <c r="E367" t="inlineStr">
        <is>
          <t>VIMMERBY</t>
        </is>
      </c>
      <c r="G367" t="n">
        <v>3.5</v>
      </c>
      <c r="H367" t="n">
        <v>0</v>
      </c>
      <c r="I367" t="n">
        <v>0</v>
      </c>
      <c r="J367" t="n">
        <v>0</v>
      </c>
      <c r="K367" t="n">
        <v>0</v>
      </c>
      <c r="L367" t="n">
        <v>0</v>
      </c>
      <c r="M367" t="n">
        <v>0</v>
      </c>
      <c r="N367" t="n">
        <v>0</v>
      </c>
      <c r="O367" t="n">
        <v>0</v>
      </c>
      <c r="P367" t="n">
        <v>0</v>
      </c>
      <c r="Q367" t="n">
        <v>0</v>
      </c>
      <c r="R367" s="2" t="inlineStr"/>
    </row>
    <row r="368" ht="15" customHeight="1">
      <c r="A368" t="inlineStr">
        <is>
          <t>A 62023-2022</t>
        </is>
      </c>
      <c r="B368" s="1" t="n">
        <v>44918.50106481482</v>
      </c>
      <c r="C368" s="1" t="n">
        <v>46021</v>
      </c>
      <c r="D368" t="inlineStr">
        <is>
          <t>KALMAR LÄN</t>
        </is>
      </c>
      <c r="E368" t="inlineStr">
        <is>
          <t>VIMMERBY</t>
        </is>
      </c>
      <c r="G368" t="n">
        <v>0.3</v>
      </c>
      <c r="H368" t="n">
        <v>0</v>
      </c>
      <c r="I368" t="n">
        <v>0</v>
      </c>
      <c r="J368" t="n">
        <v>0</v>
      </c>
      <c r="K368" t="n">
        <v>0</v>
      </c>
      <c r="L368" t="n">
        <v>0</v>
      </c>
      <c r="M368" t="n">
        <v>0</v>
      </c>
      <c r="N368" t="n">
        <v>0</v>
      </c>
      <c r="O368" t="n">
        <v>0</v>
      </c>
      <c r="P368" t="n">
        <v>0</v>
      </c>
      <c r="Q368" t="n">
        <v>0</v>
      </c>
      <c r="R368" s="2" t="inlineStr"/>
    </row>
    <row r="369" ht="15" customHeight="1">
      <c r="A369" t="inlineStr">
        <is>
          <t>A 42828-2025</t>
        </is>
      </c>
      <c r="B369" s="1" t="n">
        <v>45908.57716435185</v>
      </c>
      <c r="C369" s="1" t="n">
        <v>46021</v>
      </c>
      <c r="D369" t="inlineStr">
        <is>
          <t>KALMAR LÄN</t>
        </is>
      </c>
      <c r="E369" t="inlineStr">
        <is>
          <t>VIMMERBY</t>
        </is>
      </c>
      <c r="G369" t="n">
        <v>5.2</v>
      </c>
      <c r="H369" t="n">
        <v>0</v>
      </c>
      <c r="I369" t="n">
        <v>0</v>
      </c>
      <c r="J369" t="n">
        <v>0</v>
      </c>
      <c r="K369" t="n">
        <v>0</v>
      </c>
      <c r="L369" t="n">
        <v>0</v>
      </c>
      <c r="M369" t="n">
        <v>0</v>
      </c>
      <c r="N369" t="n">
        <v>0</v>
      </c>
      <c r="O369" t="n">
        <v>0</v>
      </c>
      <c r="P369" t="n">
        <v>0</v>
      </c>
      <c r="Q369" t="n">
        <v>0</v>
      </c>
      <c r="R369" s="2" t="inlineStr"/>
    </row>
    <row r="370" ht="15" customHeight="1">
      <c r="A370" t="inlineStr">
        <is>
          <t>A 58104-2024</t>
        </is>
      </c>
      <c r="B370" s="1" t="n">
        <v>45632.37459490741</v>
      </c>
      <c r="C370" s="1" t="n">
        <v>46021</v>
      </c>
      <c r="D370" t="inlineStr">
        <is>
          <t>KALMAR LÄN</t>
        </is>
      </c>
      <c r="E370" t="inlineStr">
        <is>
          <t>VIMMERBY</t>
        </is>
      </c>
      <c r="G370" t="n">
        <v>5</v>
      </c>
      <c r="H370" t="n">
        <v>0</v>
      </c>
      <c r="I370" t="n">
        <v>0</v>
      </c>
      <c r="J370" t="n">
        <v>0</v>
      </c>
      <c r="K370" t="n">
        <v>0</v>
      </c>
      <c r="L370" t="n">
        <v>0</v>
      </c>
      <c r="M370" t="n">
        <v>0</v>
      </c>
      <c r="N370" t="n">
        <v>0</v>
      </c>
      <c r="O370" t="n">
        <v>0</v>
      </c>
      <c r="P370" t="n">
        <v>0</v>
      </c>
      <c r="Q370" t="n">
        <v>0</v>
      </c>
      <c r="R370" s="2" t="inlineStr"/>
    </row>
    <row r="371" ht="15" customHeight="1">
      <c r="A371" t="inlineStr">
        <is>
          <t>A 12215-2024</t>
        </is>
      </c>
      <c r="B371" s="1" t="n">
        <v>45378.32185185186</v>
      </c>
      <c r="C371" s="1" t="n">
        <v>46021</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30920-2024</t>
        </is>
      </c>
      <c r="B372" s="1" t="n">
        <v>45498.673125</v>
      </c>
      <c r="C372" s="1" t="n">
        <v>46021</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56536-2022</t>
        </is>
      </c>
      <c r="B373" s="1" t="n">
        <v>44893</v>
      </c>
      <c r="C373" s="1" t="n">
        <v>46021</v>
      </c>
      <c r="D373" t="inlineStr">
        <is>
          <t>KALMAR LÄN</t>
        </is>
      </c>
      <c r="E373" t="inlineStr">
        <is>
          <t>VIMMERBY</t>
        </is>
      </c>
      <c r="G373" t="n">
        <v>3.2</v>
      </c>
      <c r="H373" t="n">
        <v>0</v>
      </c>
      <c r="I373" t="n">
        <v>0</v>
      </c>
      <c r="J373" t="n">
        <v>0</v>
      </c>
      <c r="K373" t="n">
        <v>0</v>
      </c>
      <c r="L373" t="n">
        <v>0</v>
      </c>
      <c r="M373" t="n">
        <v>0</v>
      </c>
      <c r="N373" t="n">
        <v>0</v>
      </c>
      <c r="O373" t="n">
        <v>0</v>
      </c>
      <c r="P373" t="n">
        <v>0</v>
      </c>
      <c r="Q373" t="n">
        <v>0</v>
      </c>
      <c r="R373" s="2" t="inlineStr"/>
    </row>
    <row r="374" ht="15" customHeight="1">
      <c r="A374" t="inlineStr">
        <is>
          <t>A 63541-2023</t>
        </is>
      </c>
      <c r="B374" s="1" t="n">
        <v>45275.32266203704</v>
      </c>
      <c r="C374" s="1" t="n">
        <v>46021</v>
      </c>
      <c r="D374" t="inlineStr">
        <is>
          <t>KALMAR LÄN</t>
        </is>
      </c>
      <c r="E374" t="inlineStr">
        <is>
          <t>VIMMERBY</t>
        </is>
      </c>
      <c r="G374" t="n">
        <v>1.1</v>
      </c>
      <c r="H374" t="n">
        <v>0</v>
      </c>
      <c r="I374" t="n">
        <v>0</v>
      </c>
      <c r="J374" t="n">
        <v>0</v>
      </c>
      <c r="K374" t="n">
        <v>0</v>
      </c>
      <c r="L374" t="n">
        <v>0</v>
      </c>
      <c r="M374" t="n">
        <v>0</v>
      </c>
      <c r="N374" t="n">
        <v>0</v>
      </c>
      <c r="O374" t="n">
        <v>0</v>
      </c>
      <c r="P374" t="n">
        <v>0</v>
      </c>
      <c r="Q374" t="n">
        <v>0</v>
      </c>
      <c r="R374" s="2" t="inlineStr"/>
    </row>
    <row r="375" ht="15" customHeight="1">
      <c r="A375" t="inlineStr">
        <is>
          <t>A 37323-2024</t>
        </is>
      </c>
      <c r="B375" s="1" t="n">
        <v>45540.50098379629</v>
      </c>
      <c r="C375" s="1" t="n">
        <v>46021</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42794-2025</t>
        </is>
      </c>
      <c r="B376" s="1" t="n">
        <v>45908</v>
      </c>
      <c r="C376" s="1" t="n">
        <v>46021</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34205-2023</t>
        </is>
      </c>
      <c r="B377" s="1" t="n">
        <v>45138</v>
      </c>
      <c r="C377" s="1" t="n">
        <v>46021</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11429-2022</t>
        </is>
      </c>
      <c r="B378" s="1" t="n">
        <v>44630</v>
      </c>
      <c r="C378" s="1" t="n">
        <v>46021</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56582-2022</t>
        </is>
      </c>
      <c r="B379" s="1" t="n">
        <v>44893</v>
      </c>
      <c r="C379" s="1" t="n">
        <v>46021</v>
      </c>
      <c r="D379" t="inlineStr">
        <is>
          <t>KALMAR LÄN</t>
        </is>
      </c>
      <c r="E379" t="inlineStr">
        <is>
          <t>VIMMERBY</t>
        </is>
      </c>
      <c r="G379" t="n">
        <v>2.2</v>
      </c>
      <c r="H379" t="n">
        <v>0</v>
      </c>
      <c r="I379" t="n">
        <v>0</v>
      </c>
      <c r="J379" t="n">
        <v>0</v>
      </c>
      <c r="K379" t="n">
        <v>0</v>
      </c>
      <c r="L379" t="n">
        <v>0</v>
      </c>
      <c r="M379" t="n">
        <v>0</v>
      </c>
      <c r="N379" t="n">
        <v>0</v>
      </c>
      <c r="O379" t="n">
        <v>0</v>
      </c>
      <c r="P379" t="n">
        <v>0</v>
      </c>
      <c r="Q379" t="n">
        <v>0</v>
      </c>
      <c r="R379" s="2" t="inlineStr"/>
    </row>
    <row r="380" ht="15" customHeight="1">
      <c r="A380" t="inlineStr">
        <is>
          <t>A 57091-2022</t>
        </is>
      </c>
      <c r="B380" s="1" t="n">
        <v>44895.46524305556</v>
      </c>
      <c r="C380" s="1" t="n">
        <v>46021</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6408-2025</t>
        </is>
      </c>
      <c r="B381" s="1" t="n">
        <v>45699.45671296296</v>
      </c>
      <c r="C381" s="1" t="n">
        <v>46021</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42820-2025</t>
        </is>
      </c>
      <c r="B382" s="1" t="n">
        <v>45908</v>
      </c>
      <c r="C382" s="1" t="n">
        <v>46021</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2604-2025</t>
        </is>
      </c>
      <c r="B383" s="1" t="n">
        <v>45674.74094907408</v>
      </c>
      <c r="C383" s="1" t="n">
        <v>46021</v>
      </c>
      <c r="D383" t="inlineStr">
        <is>
          <t>KALMAR LÄN</t>
        </is>
      </c>
      <c r="E383" t="inlineStr">
        <is>
          <t>VIMMERBY</t>
        </is>
      </c>
      <c r="G383" t="n">
        <v>7.6</v>
      </c>
      <c r="H383" t="n">
        <v>0</v>
      </c>
      <c r="I383" t="n">
        <v>0</v>
      </c>
      <c r="J383" t="n">
        <v>0</v>
      </c>
      <c r="K383" t="n">
        <v>0</v>
      </c>
      <c r="L383" t="n">
        <v>0</v>
      </c>
      <c r="M383" t="n">
        <v>0</v>
      </c>
      <c r="N383" t="n">
        <v>0</v>
      </c>
      <c r="O383" t="n">
        <v>0</v>
      </c>
      <c r="P383" t="n">
        <v>0</v>
      </c>
      <c r="Q383" t="n">
        <v>0</v>
      </c>
      <c r="R383" s="2" t="inlineStr"/>
    </row>
    <row r="384" ht="15" customHeight="1">
      <c r="A384" t="inlineStr">
        <is>
          <t>A 6807-2025</t>
        </is>
      </c>
      <c r="B384" s="1" t="n">
        <v>45700.68672453704</v>
      </c>
      <c r="C384" s="1" t="n">
        <v>46021</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11609-2023</t>
        </is>
      </c>
      <c r="B385" s="1" t="n">
        <v>44994.40635416667</v>
      </c>
      <c r="C385" s="1" t="n">
        <v>46021</v>
      </c>
      <c r="D385" t="inlineStr">
        <is>
          <t>KALMAR LÄN</t>
        </is>
      </c>
      <c r="E385" t="inlineStr">
        <is>
          <t>VIMMERBY</t>
        </is>
      </c>
      <c r="G385" t="n">
        <v>4.9</v>
      </c>
      <c r="H385" t="n">
        <v>0</v>
      </c>
      <c r="I385" t="n">
        <v>0</v>
      </c>
      <c r="J385" t="n">
        <v>0</v>
      </c>
      <c r="K385" t="n">
        <v>0</v>
      </c>
      <c r="L385" t="n">
        <v>0</v>
      </c>
      <c r="M385" t="n">
        <v>0</v>
      </c>
      <c r="N385" t="n">
        <v>0</v>
      </c>
      <c r="O385" t="n">
        <v>0</v>
      </c>
      <c r="P385" t="n">
        <v>0</v>
      </c>
      <c r="Q385" t="n">
        <v>0</v>
      </c>
      <c r="R385" s="2" t="inlineStr"/>
    </row>
    <row r="386" ht="15" customHeight="1">
      <c r="A386" t="inlineStr">
        <is>
          <t>A 44464-2024</t>
        </is>
      </c>
      <c r="B386" s="1" t="n">
        <v>45574.35809027778</v>
      </c>
      <c r="C386" s="1" t="n">
        <v>46021</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38851-2023</t>
        </is>
      </c>
      <c r="B387" s="1" t="n">
        <v>45163</v>
      </c>
      <c r="C387" s="1" t="n">
        <v>46021</v>
      </c>
      <c r="D387" t="inlineStr">
        <is>
          <t>KALMAR LÄN</t>
        </is>
      </c>
      <c r="E387" t="inlineStr">
        <is>
          <t>VIMMERBY</t>
        </is>
      </c>
      <c r="G387" t="n">
        <v>4.3</v>
      </c>
      <c r="H387" t="n">
        <v>0</v>
      </c>
      <c r="I387" t="n">
        <v>0</v>
      </c>
      <c r="J387" t="n">
        <v>0</v>
      </c>
      <c r="K387" t="n">
        <v>0</v>
      </c>
      <c r="L387" t="n">
        <v>0</v>
      </c>
      <c r="M387" t="n">
        <v>0</v>
      </c>
      <c r="N387" t="n">
        <v>0</v>
      </c>
      <c r="O387" t="n">
        <v>0</v>
      </c>
      <c r="P387" t="n">
        <v>0</v>
      </c>
      <c r="Q387" t="n">
        <v>0</v>
      </c>
      <c r="R387" s="2" t="inlineStr"/>
    </row>
    <row r="388" ht="15" customHeight="1">
      <c r="A388" t="inlineStr">
        <is>
          <t>A 41066-2024</t>
        </is>
      </c>
      <c r="B388" s="1" t="n">
        <v>45559.38876157408</v>
      </c>
      <c r="C388" s="1" t="n">
        <v>46021</v>
      </c>
      <c r="D388" t="inlineStr">
        <is>
          <t>KALMAR LÄN</t>
        </is>
      </c>
      <c r="E388" t="inlineStr">
        <is>
          <t>VIMMERBY</t>
        </is>
      </c>
      <c r="G388" t="n">
        <v>2.4</v>
      </c>
      <c r="H388" t="n">
        <v>0</v>
      </c>
      <c r="I388" t="n">
        <v>0</v>
      </c>
      <c r="J388" t="n">
        <v>0</v>
      </c>
      <c r="K388" t="n">
        <v>0</v>
      </c>
      <c r="L388" t="n">
        <v>0</v>
      </c>
      <c r="M388" t="n">
        <v>0</v>
      </c>
      <c r="N388" t="n">
        <v>0</v>
      </c>
      <c r="O388" t="n">
        <v>0</v>
      </c>
      <c r="P388" t="n">
        <v>0</v>
      </c>
      <c r="Q388" t="n">
        <v>0</v>
      </c>
      <c r="R388" s="2" t="inlineStr"/>
    </row>
    <row r="389" ht="15" customHeight="1">
      <c r="A389" t="inlineStr">
        <is>
          <t>A 23252-2024</t>
        </is>
      </c>
      <c r="B389" s="1" t="n">
        <v>45453.36067129629</v>
      </c>
      <c r="C389" s="1" t="n">
        <v>46021</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34060-2025</t>
        </is>
      </c>
      <c r="B390" s="1" t="n">
        <v>45845.42015046296</v>
      </c>
      <c r="C390" s="1" t="n">
        <v>46021</v>
      </c>
      <c r="D390" t="inlineStr">
        <is>
          <t>KALMAR LÄN</t>
        </is>
      </c>
      <c r="E390" t="inlineStr">
        <is>
          <t>VIMMERBY</t>
        </is>
      </c>
      <c r="G390" t="n">
        <v>5.7</v>
      </c>
      <c r="H390" t="n">
        <v>0</v>
      </c>
      <c r="I390" t="n">
        <v>0</v>
      </c>
      <c r="J390" t="n">
        <v>0</v>
      </c>
      <c r="K390" t="n">
        <v>0</v>
      </c>
      <c r="L390" t="n">
        <v>0</v>
      </c>
      <c r="M390" t="n">
        <v>0</v>
      </c>
      <c r="N390" t="n">
        <v>0</v>
      </c>
      <c r="O390" t="n">
        <v>0</v>
      </c>
      <c r="P390" t="n">
        <v>0</v>
      </c>
      <c r="Q390" t="n">
        <v>0</v>
      </c>
      <c r="R390" s="2" t="inlineStr"/>
    </row>
    <row r="391" ht="15" customHeight="1">
      <c r="A391" t="inlineStr">
        <is>
          <t>A 3816-2022</t>
        </is>
      </c>
      <c r="B391" s="1" t="n">
        <v>44587</v>
      </c>
      <c r="C391" s="1" t="n">
        <v>46021</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5792-2023</t>
        </is>
      </c>
      <c r="B392" s="1" t="n">
        <v>44963.44769675926</v>
      </c>
      <c r="C392" s="1" t="n">
        <v>46021</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2797-2023</t>
        </is>
      </c>
      <c r="B393" s="1" t="n">
        <v>44944.71386574074</v>
      </c>
      <c r="C393" s="1" t="n">
        <v>46021</v>
      </c>
      <c r="D393" t="inlineStr">
        <is>
          <t>KALMAR LÄN</t>
        </is>
      </c>
      <c r="E393" t="inlineStr">
        <is>
          <t>VIMMERBY</t>
        </is>
      </c>
      <c r="G393" t="n">
        <v>3.4</v>
      </c>
      <c r="H393" t="n">
        <v>0</v>
      </c>
      <c r="I393" t="n">
        <v>0</v>
      </c>
      <c r="J393" t="n">
        <v>0</v>
      </c>
      <c r="K393" t="n">
        <v>0</v>
      </c>
      <c r="L393" t="n">
        <v>0</v>
      </c>
      <c r="M393" t="n">
        <v>0</v>
      </c>
      <c r="N393" t="n">
        <v>0</v>
      </c>
      <c r="O393" t="n">
        <v>0</v>
      </c>
      <c r="P393" t="n">
        <v>0</v>
      </c>
      <c r="Q393" t="n">
        <v>0</v>
      </c>
      <c r="R393" s="2" t="inlineStr"/>
    </row>
    <row r="394" ht="15" customHeight="1">
      <c r="A394" t="inlineStr">
        <is>
          <t>A 2799-2023</t>
        </is>
      </c>
      <c r="B394" s="1" t="n">
        <v>44944.72100694444</v>
      </c>
      <c r="C394" s="1" t="n">
        <v>46021</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6220-2025</t>
        </is>
      </c>
      <c r="B395" s="1" t="n">
        <v>45698.53725694444</v>
      </c>
      <c r="C395" s="1" t="n">
        <v>46021</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1081-2023</t>
        </is>
      </c>
      <c r="B396" s="1" t="n">
        <v>44935</v>
      </c>
      <c r="C396" s="1" t="n">
        <v>46021</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7047-2022</t>
        </is>
      </c>
      <c r="B397" s="1" t="n">
        <v>44603</v>
      </c>
      <c r="C397" s="1" t="n">
        <v>46021</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12499-2023</t>
        </is>
      </c>
      <c r="B398" s="1" t="n">
        <v>44999.86172453704</v>
      </c>
      <c r="C398" s="1" t="n">
        <v>46021</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12500-2023</t>
        </is>
      </c>
      <c r="B399" s="1" t="n">
        <v>44999.8625</v>
      </c>
      <c r="C399" s="1" t="n">
        <v>46021</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58278-2023</t>
        </is>
      </c>
      <c r="B400" s="1" t="n">
        <v>45250.5278587963</v>
      </c>
      <c r="C400" s="1" t="n">
        <v>46021</v>
      </c>
      <c r="D400" t="inlineStr">
        <is>
          <t>KALMAR LÄN</t>
        </is>
      </c>
      <c r="E400" t="inlineStr">
        <is>
          <t>VIMMERBY</t>
        </is>
      </c>
      <c r="G400" t="n">
        <v>1.8</v>
      </c>
      <c r="H400" t="n">
        <v>0</v>
      </c>
      <c r="I400" t="n">
        <v>0</v>
      </c>
      <c r="J400" t="n">
        <v>0</v>
      </c>
      <c r="K400" t="n">
        <v>0</v>
      </c>
      <c r="L400" t="n">
        <v>0</v>
      </c>
      <c r="M400" t="n">
        <v>0</v>
      </c>
      <c r="N400" t="n">
        <v>0</v>
      </c>
      <c r="O400" t="n">
        <v>0</v>
      </c>
      <c r="P400" t="n">
        <v>0</v>
      </c>
      <c r="Q400" t="n">
        <v>0</v>
      </c>
      <c r="R400" s="2" t="inlineStr"/>
    </row>
    <row r="401" ht="15" customHeight="1">
      <c r="A401" t="inlineStr">
        <is>
          <t>A 36259-2022</t>
        </is>
      </c>
      <c r="B401" s="1" t="n">
        <v>44803.59118055556</v>
      </c>
      <c r="C401" s="1" t="n">
        <v>46021</v>
      </c>
      <c r="D401" t="inlineStr">
        <is>
          <t>KALMAR LÄN</t>
        </is>
      </c>
      <c r="E401" t="inlineStr">
        <is>
          <t>VIMMERBY</t>
        </is>
      </c>
      <c r="G401" t="n">
        <v>3.9</v>
      </c>
      <c r="H401" t="n">
        <v>0</v>
      </c>
      <c r="I401" t="n">
        <v>0</v>
      </c>
      <c r="J401" t="n">
        <v>0</v>
      </c>
      <c r="K401" t="n">
        <v>0</v>
      </c>
      <c r="L401" t="n">
        <v>0</v>
      </c>
      <c r="M401" t="n">
        <v>0</v>
      </c>
      <c r="N401" t="n">
        <v>0</v>
      </c>
      <c r="O401" t="n">
        <v>0</v>
      </c>
      <c r="P401" t="n">
        <v>0</v>
      </c>
      <c r="Q401" t="n">
        <v>0</v>
      </c>
      <c r="R401" s="2" t="inlineStr"/>
    </row>
    <row r="402" ht="15" customHeight="1">
      <c r="A402" t="inlineStr">
        <is>
          <t>A 36526-2023</t>
        </is>
      </c>
      <c r="B402" s="1" t="n">
        <v>45153.32778935185</v>
      </c>
      <c r="C402" s="1" t="n">
        <v>46021</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17988-2025</t>
        </is>
      </c>
      <c r="B403" s="1" t="n">
        <v>45761.39600694444</v>
      </c>
      <c r="C403" s="1" t="n">
        <v>46021</v>
      </c>
      <c r="D403" t="inlineStr">
        <is>
          <t>KALMAR LÄN</t>
        </is>
      </c>
      <c r="E403" t="inlineStr">
        <is>
          <t>VIMMERBY</t>
        </is>
      </c>
      <c r="G403" t="n">
        <v>2.8</v>
      </c>
      <c r="H403" t="n">
        <v>0</v>
      </c>
      <c r="I403" t="n">
        <v>0</v>
      </c>
      <c r="J403" t="n">
        <v>0</v>
      </c>
      <c r="K403" t="n">
        <v>0</v>
      </c>
      <c r="L403" t="n">
        <v>0</v>
      </c>
      <c r="M403" t="n">
        <v>0</v>
      </c>
      <c r="N403" t="n">
        <v>0</v>
      </c>
      <c r="O403" t="n">
        <v>0</v>
      </c>
      <c r="P403" t="n">
        <v>0</v>
      </c>
      <c r="Q403" t="n">
        <v>0</v>
      </c>
      <c r="R403" s="2" t="inlineStr"/>
    </row>
    <row r="404" ht="15" customHeight="1">
      <c r="A404" t="inlineStr">
        <is>
          <t>A 6066-2023</t>
        </is>
      </c>
      <c r="B404" s="1" t="n">
        <v>44964.50894675926</v>
      </c>
      <c r="C404" s="1" t="n">
        <v>46021</v>
      </c>
      <c r="D404" t="inlineStr">
        <is>
          <t>KALMAR LÄN</t>
        </is>
      </c>
      <c r="E404" t="inlineStr">
        <is>
          <t>VIMMERBY</t>
        </is>
      </c>
      <c r="G404" t="n">
        <v>2.8</v>
      </c>
      <c r="H404" t="n">
        <v>0</v>
      </c>
      <c r="I404" t="n">
        <v>0</v>
      </c>
      <c r="J404" t="n">
        <v>0</v>
      </c>
      <c r="K404" t="n">
        <v>0</v>
      </c>
      <c r="L404" t="n">
        <v>0</v>
      </c>
      <c r="M404" t="n">
        <v>0</v>
      </c>
      <c r="N404" t="n">
        <v>0</v>
      </c>
      <c r="O404" t="n">
        <v>0</v>
      </c>
      <c r="P404" t="n">
        <v>0</v>
      </c>
      <c r="Q404" t="n">
        <v>0</v>
      </c>
      <c r="R404" s="2" t="inlineStr"/>
    </row>
    <row r="405" ht="15" customHeight="1">
      <c r="A405" t="inlineStr">
        <is>
          <t>A 33103-2024</t>
        </is>
      </c>
      <c r="B405" s="1" t="n">
        <v>45517.8162037037</v>
      </c>
      <c r="C405" s="1" t="n">
        <v>46021</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33161-2024</t>
        </is>
      </c>
      <c r="B406" s="1" t="n">
        <v>45518.40657407408</v>
      </c>
      <c r="C406" s="1" t="n">
        <v>46021</v>
      </c>
      <c r="D406" t="inlineStr">
        <is>
          <t>KALMAR LÄN</t>
        </is>
      </c>
      <c r="E406" t="inlineStr">
        <is>
          <t>VIMMERBY</t>
        </is>
      </c>
      <c r="G406" t="n">
        <v>4.7</v>
      </c>
      <c r="H406" t="n">
        <v>0</v>
      </c>
      <c r="I406" t="n">
        <v>0</v>
      </c>
      <c r="J406" t="n">
        <v>0</v>
      </c>
      <c r="K406" t="n">
        <v>0</v>
      </c>
      <c r="L406" t="n">
        <v>0</v>
      </c>
      <c r="M406" t="n">
        <v>0</v>
      </c>
      <c r="N406" t="n">
        <v>0</v>
      </c>
      <c r="O406" t="n">
        <v>0</v>
      </c>
      <c r="P406" t="n">
        <v>0</v>
      </c>
      <c r="Q406" t="n">
        <v>0</v>
      </c>
      <c r="R406" s="2" t="inlineStr"/>
    </row>
    <row r="407" ht="15" customHeight="1">
      <c r="A407" t="inlineStr">
        <is>
          <t>A 12510-2022</t>
        </is>
      </c>
      <c r="B407" s="1" t="n">
        <v>44638.55256944444</v>
      </c>
      <c r="C407" s="1" t="n">
        <v>46021</v>
      </c>
      <c r="D407" t="inlineStr">
        <is>
          <t>KALMAR LÄN</t>
        </is>
      </c>
      <c r="E407" t="inlineStr">
        <is>
          <t>VIMMERBY</t>
        </is>
      </c>
      <c r="G407" t="n">
        <v>2.4</v>
      </c>
      <c r="H407" t="n">
        <v>0</v>
      </c>
      <c r="I407" t="n">
        <v>0</v>
      </c>
      <c r="J407" t="n">
        <v>0</v>
      </c>
      <c r="K407" t="n">
        <v>0</v>
      </c>
      <c r="L407" t="n">
        <v>0</v>
      </c>
      <c r="M407" t="n">
        <v>0</v>
      </c>
      <c r="N407" t="n">
        <v>0</v>
      </c>
      <c r="O407" t="n">
        <v>0</v>
      </c>
      <c r="P407" t="n">
        <v>0</v>
      </c>
      <c r="Q407" t="n">
        <v>0</v>
      </c>
      <c r="R407" s="2" t="inlineStr"/>
    </row>
    <row r="408" ht="15" customHeight="1">
      <c r="A408" t="inlineStr">
        <is>
          <t>A 43617-2025</t>
        </is>
      </c>
      <c r="B408" s="1" t="n">
        <v>45911.67798611111</v>
      </c>
      <c r="C408" s="1" t="n">
        <v>46021</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29350-2023</t>
        </is>
      </c>
      <c r="B409" s="1" t="n">
        <v>45106</v>
      </c>
      <c r="C409" s="1" t="n">
        <v>46021</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29351-2023</t>
        </is>
      </c>
      <c r="B410" s="1" t="n">
        <v>45106.2610300926</v>
      </c>
      <c r="C410" s="1" t="n">
        <v>46021</v>
      </c>
      <c r="D410" t="inlineStr">
        <is>
          <t>KALMAR LÄN</t>
        </is>
      </c>
      <c r="E410" t="inlineStr">
        <is>
          <t>VIMMERBY</t>
        </is>
      </c>
      <c r="G410" t="n">
        <v>0.4</v>
      </c>
      <c r="H410" t="n">
        <v>0</v>
      </c>
      <c r="I410" t="n">
        <v>0</v>
      </c>
      <c r="J410" t="n">
        <v>0</v>
      </c>
      <c r="K410" t="n">
        <v>0</v>
      </c>
      <c r="L410" t="n">
        <v>0</v>
      </c>
      <c r="M410" t="n">
        <v>0</v>
      </c>
      <c r="N410" t="n">
        <v>0</v>
      </c>
      <c r="O410" t="n">
        <v>0</v>
      </c>
      <c r="P410" t="n">
        <v>0</v>
      </c>
      <c r="Q410" t="n">
        <v>0</v>
      </c>
      <c r="R410" s="2" t="inlineStr"/>
    </row>
    <row r="411" ht="15" customHeight="1">
      <c r="A411" t="inlineStr">
        <is>
          <t>A 6474-2025</t>
        </is>
      </c>
      <c r="B411" s="1" t="n">
        <v>45699.60055555555</v>
      </c>
      <c r="C411" s="1" t="n">
        <v>46021</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1146-2025</t>
        </is>
      </c>
      <c r="B412" s="1" t="n">
        <v>45666</v>
      </c>
      <c r="C412" s="1" t="n">
        <v>46021</v>
      </c>
      <c r="D412" t="inlineStr">
        <is>
          <t>KALMAR LÄN</t>
        </is>
      </c>
      <c r="E412" t="inlineStr">
        <is>
          <t>VIMMERBY</t>
        </is>
      </c>
      <c r="G412" t="n">
        <v>4</v>
      </c>
      <c r="H412" t="n">
        <v>0</v>
      </c>
      <c r="I412" t="n">
        <v>0</v>
      </c>
      <c r="J412" t="n">
        <v>0</v>
      </c>
      <c r="K412" t="n">
        <v>0</v>
      </c>
      <c r="L412" t="n">
        <v>0</v>
      </c>
      <c r="M412" t="n">
        <v>0</v>
      </c>
      <c r="N412" t="n">
        <v>0</v>
      </c>
      <c r="O412" t="n">
        <v>0</v>
      </c>
      <c r="P412" t="n">
        <v>0</v>
      </c>
      <c r="Q412" t="n">
        <v>0</v>
      </c>
      <c r="R412" s="2" t="inlineStr"/>
    </row>
    <row r="413" ht="15" customHeight="1">
      <c r="A413" t="inlineStr">
        <is>
          <t>A 43465-2025</t>
        </is>
      </c>
      <c r="B413" s="1" t="n">
        <v>45911.47138888889</v>
      </c>
      <c r="C413" s="1" t="n">
        <v>46021</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12890-2023</t>
        </is>
      </c>
      <c r="B414" s="1" t="n">
        <v>45001.59209490741</v>
      </c>
      <c r="C414" s="1" t="n">
        <v>46021</v>
      </c>
      <c r="D414" t="inlineStr">
        <is>
          <t>KALMAR LÄN</t>
        </is>
      </c>
      <c r="E414" t="inlineStr">
        <is>
          <t>VIMMERBY</t>
        </is>
      </c>
      <c r="G414" t="n">
        <v>2.8</v>
      </c>
      <c r="H414" t="n">
        <v>0</v>
      </c>
      <c r="I414" t="n">
        <v>0</v>
      </c>
      <c r="J414" t="n">
        <v>0</v>
      </c>
      <c r="K414" t="n">
        <v>0</v>
      </c>
      <c r="L414" t="n">
        <v>0</v>
      </c>
      <c r="M414" t="n">
        <v>0</v>
      </c>
      <c r="N414" t="n">
        <v>0</v>
      </c>
      <c r="O414" t="n">
        <v>0</v>
      </c>
      <c r="P414" t="n">
        <v>0</v>
      </c>
      <c r="Q414" t="n">
        <v>0</v>
      </c>
      <c r="R414" s="2" t="inlineStr"/>
    </row>
    <row r="415" ht="15" customHeight="1">
      <c r="A415" t="inlineStr">
        <is>
          <t>A 3902-2022</t>
        </is>
      </c>
      <c r="B415" s="1" t="n">
        <v>44587.48847222222</v>
      </c>
      <c r="C415" s="1" t="n">
        <v>46021</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17-2025</t>
        </is>
      </c>
      <c r="B416" s="1" t="n">
        <v>45658.78774305555</v>
      </c>
      <c r="C416" s="1" t="n">
        <v>46021</v>
      </c>
      <c r="D416" t="inlineStr">
        <is>
          <t>KALMAR LÄN</t>
        </is>
      </c>
      <c r="E416" t="inlineStr">
        <is>
          <t>VIMMERBY</t>
        </is>
      </c>
      <c r="G416" t="n">
        <v>4.4</v>
      </c>
      <c r="H416" t="n">
        <v>0</v>
      </c>
      <c r="I416" t="n">
        <v>0</v>
      </c>
      <c r="J416" t="n">
        <v>0</v>
      </c>
      <c r="K416" t="n">
        <v>0</v>
      </c>
      <c r="L416" t="n">
        <v>0</v>
      </c>
      <c r="M416" t="n">
        <v>0</v>
      </c>
      <c r="N416" t="n">
        <v>0</v>
      </c>
      <c r="O416" t="n">
        <v>0</v>
      </c>
      <c r="P416" t="n">
        <v>0</v>
      </c>
      <c r="Q416" t="n">
        <v>0</v>
      </c>
      <c r="R416" s="2" t="inlineStr"/>
    </row>
    <row r="417" ht="15" customHeight="1">
      <c r="A417" t="inlineStr">
        <is>
          <t>A 57555-2024</t>
        </is>
      </c>
      <c r="B417" s="1" t="n">
        <v>45630.45069444444</v>
      </c>
      <c r="C417" s="1" t="n">
        <v>46021</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89-2023</t>
        </is>
      </c>
      <c r="B418" s="1" t="n">
        <v>44918</v>
      </c>
      <c r="C418" s="1" t="n">
        <v>46021</v>
      </c>
      <c r="D418" t="inlineStr">
        <is>
          <t>KALMAR LÄN</t>
        </is>
      </c>
      <c r="E418" t="inlineStr">
        <is>
          <t>VIMMERBY</t>
        </is>
      </c>
      <c r="G418" t="n">
        <v>16.1</v>
      </c>
      <c r="H418" t="n">
        <v>0</v>
      </c>
      <c r="I418" t="n">
        <v>0</v>
      </c>
      <c r="J418" t="n">
        <v>0</v>
      </c>
      <c r="K418" t="n">
        <v>0</v>
      </c>
      <c r="L418" t="n">
        <v>0</v>
      </c>
      <c r="M418" t="n">
        <v>0</v>
      </c>
      <c r="N418" t="n">
        <v>0</v>
      </c>
      <c r="O418" t="n">
        <v>0</v>
      </c>
      <c r="P418" t="n">
        <v>0</v>
      </c>
      <c r="Q418" t="n">
        <v>0</v>
      </c>
      <c r="R418" s="2" t="inlineStr"/>
    </row>
    <row r="419" ht="15" customHeight="1">
      <c r="A419" t="inlineStr">
        <is>
          <t>A 5382-2023</t>
        </is>
      </c>
      <c r="B419" s="1" t="n">
        <v>44959.66407407408</v>
      </c>
      <c r="C419" s="1" t="n">
        <v>46021</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6668-2023</t>
        </is>
      </c>
      <c r="B420" s="1" t="n">
        <v>44966</v>
      </c>
      <c r="C420" s="1" t="n">
        <v>46021</v>
      </c>
      <c r="D420" t="inlineStr">
        <is>
          <t>KALMAR LÄN</t>
        </is>
      </c>
      <c r="E420" t="inlineStr">
        <is>
          <t>VIMMERBY</t>
        </is>
      </c>
      <c r="G420" t="n">
        <v>0.9</v>
      </c>
      <c r="H420" t="n">
        <v>0</v>
      </c>
      <c r="I420" t="n">
        <v>0</v>
      </c>
      <c r="J420" t="n">
        <v>0</v>
      </c>
      <c r="K420" t="n">
        <v>0</v>
      </c>
      <c r="L420" t="n">
        <v>0</v>
      </c>
      <c r="M420" t="n">
        <v>0</v>
      </c>
      <c r="N420" t="n">
        <v>0</v>
      </c>
      <c r="O420" t="n">
        <v>0</v>
      </c>
      <c r="P420" t="n">
        <v>0</v>
      </c>
      <c r="Q420" t="n">
        <v>0</v>
      </c>
      <c r="R420" s="2" t="inlineStr"/>
    </row>
    <row r="421" ht="15" customHeight="1">
      <c r="A421" t="inlineStr">
        <is>
          <t>A 172-2022</t>
        </is>
      </c>
      <c r="B421" s="1" t="n">
        <v>44564.62598379629</v>
      </c>
      <c r="C421" s="1" t="n">
        <v>46021</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18411-2021</t>
        </is>
      </c>
      <c r="B422" s="1" t="n">
        <v>44302</v>
      </c>
      <c r="C422" s="1" t="n">
        <v>46021</v>
      </c>
      <c r="D422" t="inlineStr">
        <is>
          <t>KALMAR LÄN</t>
        </is>
      </c>
      <c r="E422" t="inlineStr">
        <is>
          <t>VIMMERBY</t>
        </is>
      </c>
      <c r="G422" t="n">
        <v>0.7</v>
      </c>
      <c r="H422" t="n">
        <v>0</v>
      </c>
      <c r="I422" t="n">
        <v>0</v>
      </c>
      <c r="J422" t="n">
        <v>0</v>
      </c>
      <c r="K422" t="n">
        <v>0</v>
      </c>
      <c r="L422" t="n">
        <v>0</v>
      </c>
      <c r="M422" t="n">
        <v>0</v>
      </c>
      <c r="N422" t="n">
        <v>0</v>
      </c>
      <c r="O422" t="n">
        <v>0</v>
      </c>
      <c r="P422" t="n">
        <v>0</v>
      </c>
      <c r="Q422" t="n">
        <v>0</v>
      </c>
      <c r="R422" s="2" t="inlineStr"/>
    </row>
    <row r="423" ht="15" customHeight="1">
      <c r="A423" t="inlineStr">
        <is>
          <t>A 52279-2023</t>
        </is>
      </c>
      <c r="B423" s="1" t="n">
        <v>45224</v>
      </c>
      <c r="C423" s="1" t="n">
        <v>46021</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52324-2023</t>
        </is>
      </c>
      <c r="B424" s="1" t="n">
        <v>45224.64659722222</v>
      </c>
      <c r="C424" s="1" t="n">
        <v>46021</v>
      </c>
      <c r="D424" t="inlineStr">
        <is>
          <t>KALMAR LÄN</t>
        </is>
      </c>
      <c r="E424" t="inlineStr">
        <is>
          <t>VIMMERBY</t>
        </is>
      </c>
      <c r="F424" t="inlineStr">
        <is>
          <t>Sveaskog</t>
        </is>
      </c>
      <c r="G424" t="n">
        <v>2.9</v>
      </c>
      <c r="H424" t="n">
        <v>0</v>
      </c>
      <c r="I424" t="n">
        <v>0</v>
      </c>
      <c r="J424" t="n">
        <v>0</v>
      </c>
      <c r="K424" t="n">
        <v>0</v>
      </c>
      <c r="L424" t="n">
        <v>0</v>
      </c>
      <c r="M424" t="n">
        <v>0</v>
      </c>
      <c r="N424" t="n">
        <v>0</v>
      </c>
      <c r="O424" t="n">
        <v>0</v>
      </c>
      <c r="P424" t="n">
        <v>0</v>
      </c>
      <c r="Q424" t="n">
        <v>0</v>
      </c>
      <c r="R424" s="2" t="inlineStr"/>
    </row>
    <row r="425" ht="15" customHeight="1">
      <c r="A425" t="inlineStr">
        <is>
          <t>A 30634-2024</t>
        </is>
      </c>
      <c r="B425" s="1" t="n">
        <v>45495</v>
      </c>
      <c r="C425" s="1" t="n">
        <v>46021</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6355-2022</t>
        </is>
      </c>
      <c r="B426" s="1" t="n">
        <v>44600</v>
      </c>
      <c r="C426" s="1" t="n">
        <v>46021</v>
      </c>
      <c r="D426" t="inlineStr">
        <is>
          <t>KALMAR LÄN</t>
        </is>
      </c>
      <c r="E426" t="inlineStr">
        <is>
          <t>VIMMERBY</t>
        </is>
      </c>
      <c r="G426" t="n">
        <v>4.9</v>
      </c>
      <c r="H426" t="n">
        <v>0</v>
      </c>
      <c r="I426" t="n">
        <v>0</v>
      </c>
      <c r="J426" t="n">
        <v>0</v>
      </c>
      <c r="K426" t="n">
        <v>0</v>
      </c>
      <c r="L426" t="n">
        <v>0</v>
      </c>
      <c r="M426" t="n">
        <v>0</v>
      </c>
      <c r="N426" t="n">
        <v>0</v>
      </c>
      <c r="O426" t="n">
        <v>0</v>
      </c>
      <c r="P426" t="n">
        <v>0</v>
      </c>
      <c r="Q426" t="n">
        <v>0</v>
      </c>
      <c r="R426" s="2" t="inlineStr"/>
    </row>
    <row r="427" ht="15" customHeight="1">
      <c r="A427" t="inlineStr">
        <is>
          <t>A 44329-2025</t>
        </is>
      </c>
      <c r="B427" s="1" t="n">
        <v>45916.41019675926</v>
      </c>
      <c r="C427" s="1" t="n">
        <v>46021</v>
      </c>
      <c r="D427" t="inlineStr">
        <is>
          <t>KALMAR LÄN</t>
        </is>
      </c>
      <c r="E427" t="inlineStr">
        <is>
          <t>VIMMERBY</t>
        </is>
      </c>
      <c r="G427" t="n">
        <v>4.3</v>
      </c>
      <c r="H427" t="n">
        <v>0</v>
      </c>
      <c r="I427" t="n">
        <v>0</v>
      </c>
      <c r="J427" t="n">
        <v>0</v>
      </c>
      <c r="K427" t="n">
        <v>0</v>
      </c>
      <c r="L427" t="n">
        <v>0</v>
      </c>
      <c r="M427" t="n">
        <v>0</v>
      </c>
      <c r="N427" t="n">
        <v>0</v>
      </c>
      <c r="O427" t="n">
        <v>0</v>
      </c>
      <c r="P427" t="n">
        <v>0</v>
      </c>
      <c r="Q427" t="n">
        <v>0</v>
      </c>
      <c r="R427" s="2" t="inlineStr"/>
    </row>
    <row r="428" ht="15" customHeight="1">
      <c r="A428" t="inlineStr">
        <is>
          <t>A 16020-2023</t>
        </is>
      </c>
      <c r="B428" s="1" t="n">
        <v>45026.82216435186</v>
      </c>
      <c r="C428" s="1" t="n">
        <v>46021</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32639-2023</t>
        </is>
      </c>
      <c r="B429" s="1" t="n">
        <v>45121.5965162037</v>
      </c>
      <c r="C429" s="1" t="n">
        <v>46021</v>
      </c>
      <c r="D429" t="inlineStr">
        <is>
          <t>KALMAR LÄN</t>
        </is>
      </c>
      <c r="E429" t="inlineStr">
        <is>
          <t>VIMMERBY</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32642-2023</t>
        </is>
      </c>
      <c r="B430" s="1" t="n">
        <v>45121.59954861111</v>
      </c>
      <c r="C430" s="1" t="n">
        <v>46021</v>
      </c>
      <c r="D430" t="inlineStr">
        <is>
          <t>KALMAR LÄN</t>
        </is>
      </c>
      <c r="E430" t="inlineStr">
        <is>
          <t>VIMMERBY</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32651-2023</t>
        </is>
      </c>
      <c r="B431" s="1" t="n">
        <v>45121.6096875</v>
      </c>
      <c r="C431" s="1" t="n">
        <v>46021</v>
      </c>
      <c r="D431" t="inlineStr">
        <is>
          <t>KALMAR LÄN</t>
        </is>
      </c>
      <c r="E431" t="inlineStr">
        <is>
          <t>VIMMERBY</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40730-2024</t>
        </is>
      </c>
      <c r="B432" s="1" t="n">
        <v>45558.44914351852</v>
      </c>
      <c r="C432" s="1" t="n">
        <v>46021</v>
      </c>
      <c r="D432" t="inlineStr">
        <is>
          <t>KALMAR LÄN</t>
        </is>
      </c>
      <c r="E432" t="inlineStr">
        <is>
          <t>VIMMERBY</t>
        </is>
      </c>
      <c r="G432" t="n">
        <v>0.5</v>
      </c>
      <c r="H432" t="n">
        <v>0</v>
      </c>
      <c r="I432" t="n">
        <v>0</v>
      </c>
      <c r="J432" t="n">
        <v>0</v>
      </c>
      <c r="K432" t="n">
        <v>0</v>
      </c>
      <c r="L432" t="n">
        <v>0</v>
      </c>
      <c r="M432" t="n">
        <v>0</v>
      </c>
      <c r="N432" t="n">
        <v>0</v>
      </c>
      <c r="O432" t="n">
        <v>0</v>
      </c>
      <c r="P432" t="n">
        <v>0</v>
      </c>
      <c r="Q432" t="n">
        <v>0</v>
      </c>
      <c r="R432" s="2" t="inlineStr"/>
    </row>
    <row r="433" ht="15" customHeight="1">
      <c r="A433" t="inlineStr">
        <is>
          <t>A 60292-2022</t>
        </is>
      </c>
      <c r="B433" s="1" t="n">
        <v>44910.54231481482</v>
      </c>
      <c r="C433" s="1" t="n">
        <v>46021</v>
      </c>
      <c r="D433" t="inlineStr">
        <is>
          <t>KALMAR LÄN</t>
        </is>
      </c>
      <c r="E433" t="inlineStr">
        <is>
          <t>VIMMERBY</t>
        </is>
      </c>
      <c r="G433" t="n">
        <v>4.4</v>
      </c>
      <c r="H433" t="n">
        <v>0</v>
      </c>
      <c r="I433" t="n">
        <v>0</v>
      </c>
      <c r="J433" t="n">
        <v>0</v>
      </c>
      <c r="K433" t="n">
        <v>0</v>
      </c>
      <c r="L433" t="n">
        <v>0</v>
      </c>
      <c r="M433" t="n">
        <v>0</v>
      </c>
      <c r="N433" t="n">
        <v>0</v>
      </c>
      <c r="O433" t="n">
        <v>0</v>
      </c>
      <c r="P433" t="n">
        <v>0</v>
      </c>
      <c r="Q433" t="n">
        <v>0</v>
      </c>
      <c r="R433" s="2" t="inlineStr"/>
    </row>
    <row r="434" ht="15" customHeight="1">
      <c r="A434" t="inlineStr">
        <is>
          <t>A 43034-2024</t>
        </is>
      </c>
      <c r="B434" s="1" t="n">
        <v>45567.42011574074</v>
      </c>
      <c r="C434" s="1" t="n">
        <v>46021</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40256-2024</t>
        </is>
      </c>
      <c r="B435" s="1" t="n">
        <v>45554.62944444444</v>
      </c>
      <c r="C435" s="1" t="n">
        <v>46021</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9643-2023</t>
        </is>
      </c>
      <c r="B436" s="1" t="n">
        <v>44984</v>
      </c>
      <c r="C436" s="1" t="n">
        <v>46021</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44517-2025</t>
        </is>
      </c>
      <c r="B437" s="1" t="n">
        <v>45916.7103587963</v>
      </c>
      <c r="C437" s="1" t="n">
        <v>46021</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56213-2024</t>
        </is>
      </c>
      <c r="B438" s="1" t="n">
        <v>45624.60141203704</v>
      </c>
      <c r="C438" s="1" t="n">
        <v>46021</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20126-2024</t>
        </is>
      </c>
      <c r="B439" s="1" t="n">
        <v>45434.55471064815</v>
      </c>
      <c r="C439" s="1" t="n">
        <v>46021</v>
      </c>
      <c r="D439" t="inlineStr">
        <is>
          <t>KALMAR LÄN</t>
        </is>
      </c>
      <c r="E439" t="inlineStr">
        <is>
          <t>VIMMERBY</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19865-2021</t>
        </is>
      </c>
      <c r="B440" s="1" t="n">
        <v>44312</v>
      </c>
      <c r="C440" s="1" t="n">
        <v>46021</v>
      </c>
      <c r="D440" t="inlineStr">
        <is>
          <t>KALMAR LÄN</t>
        </is>
      </c>
      <c r="E440" t="inlineStr">
        <is>
          <t>VIMMERBY</t>
        </is>
      </c>
      <c r="G440" t="n">
        <v>8.6</v>
      </c>
      <c r="H440" t="n">
        <v>0</v>
      </c>
      <c r="I440" t="n">
        <v>0</v>
      </c>
      <c r="J440" t="n">
        <v>0</v>
      </c>
      <c r="K440" t="n">
        <v>0</v>
      </c>
      <c r="L440" t="n">
        <v>0</v>
      </c>
      <c r="M440" t="n">
        <v>0</v>
      </c>
      <c r="N440" t="n">
        <v>0</v>
      </c>
      <c r="O440" t="n">
        <v>0</v>
      </c>
      <c r="P440" t="n">
        <v>0</v>
      </c>
      <c r="Q440" t="n">
        <v>0</v>
      </c>
      <c r="R440" s="2" t="inlineStr"/>
    </row>
    <row r="441" ht="15" customHeight="1">
      <c r="A441" t="inlineStr">
        <is>
          <t>A 9694-2023</t>
        </is>
      </c>
      <c r="B441" s="1" t="n">
        <v>44984.45895833334</v>
      </c>
      <c r="C441" s="1" t="n">
        <v>46021</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9710-2023</t>
        </is>
      </c>
      <c r="B442" s="1" t="n">
        <v>44984</v>
      </c>
      <c r="C442" s="1" t="n">
        <v>46021</v>
      </c>
      <c r="D442" t="inlineStr">
        <is>
          <t>KALMAR LÄN</t>
        </is>
      </c>
      <c r="E442" t="inlineStr">
        <is>
          <t>VIMMERBY</t>
        </is>
      </c>
      <c r="G442" t="n">
        <v>3.7</v>
      </c>
      <c r="H442" t="n">
        <v>0</v>
      </c>
      <c r="I442" t="n">
        <v>0</v>
      </c>
      <c r="J442" t="n">
        <v>0</v>
      </c>
      <c r="K442" t="n">
        <v>0</v>
      </c>
      <c r="L442" t="n">
        <v>0</v>
      </c>
      <c r="M442" t="n">
        <v>0</v>
      </c>
      <c r="N442" t="n">
        <v>0</v>
      </c>
      <c r="O442" t="n">
        <v>0</v>
      </c>
      <c r="P442" t="n">
        <v>0</v>
      </c>
      <c r="Q442" t="n">
        <v>0</v>
      </c>
      <c r="R442" s="2" t="inlineStr"/>
    </row>
    <row r="443" ht="15" customHeight="1">
      <c r="A443" t="inlineStr">
        <is>
          <t>A 6216-2025</t>
        </is>
      </c>
      <c r="B443" s="1" t="n">
        <v>45698.52806712963</v>
      </c>
      <c r="C443" s="1" t="n">
        <v>46021</v>
      </c>
      <c r="D443" t="inlineStr">
        <is>
          <t>KALMAR LÄN</t>
        </is>
      </c>
      <c r="E443" t="inlineStr">
        <is>
          <t>VIMMERBY</t>
        </is>
      </c>
      <c r="G443" t="n">
        <v>1.2</v>
      </c>
      <c r="H443" t="n">
        <v>0</v>
      </c>
      <c r="I443" t="n">
        <v>0</v>
      </c>
      <c r="J443" t="n">
        <v>0</v>
      </c>
      <c r="K443" t="n">
        <v>0</v>
      </c>
      <c r="L443" t="n">
        <v>0</v>
      </c>
      <c r="M443" t="n">
        <v>0</v>
      </c>
      <c r="N443" t="n">
        <v>0</v>
      </c>
      <c r="O443" t="n">
        <v>0</v>
      </c>
      <c r="P443" t="n">
        <v>0</v>
      </c>
      <c r="Q443" t="n">
        <v>0</v>
      </c>
      <c r="R443" s="2" t="inlineStr"/>
    </row>
    <row r="444" ht="15" customHeight="1">
      <c r="A444" t="inlineStr">
        <is>
          <t>A 43093-2024</t>
        </is>
      </c>
      <c r="B444" s="1" t="n">
        <v>45567</v>
      </c>
      <c r="C444" s="1" t="n">
        <v>46021</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44091-2025</t>
        </is>
      </c>
      <c r="B445" s="1" t="n">
        <v>45915.55950231481</v>
      </c>
      <c r="C445" s="1" t="n">
        <v>46021</v>
      </c>
      <c r="D445" t="inlineStr">
        <is>
          <t>KALMAR LÄN</t>
        </is>
      </c>
      <c r="E445" t="inlineStr">
        <is>
          <t>VIMMERBY</t>
        </is>
      </c>
      <c r="G445" t="n">
        <v>0.8</v>
      </c>
      <c r="H445" t="n">
        <v>0</v>
      </c>
      <c r="I445" t="n">
        <v>0</v>
      </c>
      <c r="J445" t="n">
        <v>0</v>
      </c>
      <c r="K445" t="n">
        <v>0</v>
      </c>
      <c r="L445" t="n">
        <v>0</v>
      </c>
      <c r="M445" t="n">
        <v>0</v>
      </c>
      <c r="N445" t="n">
        <v>0</v>
      </c>
      <c r="O445" t="n">
        <v>0</v>
      </c>
      <c r="P445" t="n">
        <v>0</v>
      </c>
      <c r="Q445" t="n">
        <v>0</v>
      </c>
      <c r="R445" s="2" t="inlineStr"/>
    </row>
    <row r="446" ht="15" customHeight="1">
      <c r="A446" t="inlineStr">
        <is>
          <t>A 7944-2024</t>
        </is>
      </c>
      <c r="B446" s="1" t="n">
        <v>45350.53306712963</v>
      </c>
      <c r="C446" s="1" t="n">
        <v>46021</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598-2025</t>
        </is>
      </c>
      <c r="B447" s="1" t="n">
        <v>45660</v>
      </c>
      <c r="C447" s="1" t="n">
        <v>46021</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35198-2023</t>
        </is>
      </c>
      <c r="B448" s="1" t="n">
        <v>45145</v>
      </c>
      <c r="C448" s="1" t="n">
        <v>46021</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44095-2025</t>
        </is>
      </c>
      <c r="B449" s="1" t="n">
        <v>45915.56430555556</v>
      </c>
      <c r="C449" s="1" t="n">
        <v>46021</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10674-2021</t>
        </is>
      </c>
      <c r="B450" s="1" t="n">
        <v>44258</v>
      </c>
      <c r="C450" s="1" t="n">
        <v>46021</v>
      </c>
      <c r="D450" t="inlineStr">
        <is>
          <t>KALMAR LÄN</t>
        </is>
      </c>
      <c r="E450" t="inlineStr">
        <is>
          <t>VIMMERBY</t>
        </is>
      </c>
      <c r="G450" t="n">
        <v>8.4</v>
      </c>
      <c r="H450" t="n">
        <v>0</v>
      </c>
      <c r="I450" t="n">
        <v>0</v>
      </c>
      <c r="J450" t="n">
        <v>0</v>
      </c>
      <c r="K450" t="n">
        <v>0</v>
      </c>
      <c r="L450" t="n">
        <v>0</v>
      </c>
      <c r="M450" t="n">
        <v>0</v>
      </c>
      <c r="N450" t="n">
        <v>0</v>
      </c>
      <c r="O450" t="n">
        <v>0</v>
      </c>
      <c r="P450" t="n">
        <v>0</v>
      </c>
      <c r="Q450" t="n">
        <v>0</v>
      </c>
      <c r="R450" s="2" t="inlineStr"/>
    </row>
    <row r="451" ht="15" customHeight="1">
      <c r="A451" t="inlineStr">
        <is>
          <t>A 10807-2024</t>
        </is>
      </c>
      <c r="B451" s="1" t="n">
        <v>45369.62780092593</v>
      </c>
      <c r="C451" s="1" t="n">
        <v>46021</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58374-2024</t>
        </is>
      </c>
      <c r="B452" s="1" t="n">
        <v>45632.72635416667</v>
      </c>
      <c r="C452" s="1" t="n">
        <v>46021</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40260-2024</t>
        </is>
      </c>
      <c r="B453" s="1" t="n">
        <v>45554.63225694445</v>
      </c>
      <c r="C453" s="1" t="n">
        <v>46021</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10787-2025</t>
        </is>
      </c>
      <c r="B454" s="1" t="n">
        <v>45722.48915509259</v>
      </c>
      <c r="C454" s="1" t="n">
        <v>46021</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58577-2024</t>
        </is>
      </c>
      <c r="B455" s="1" t="n">
        <v>45635.4874537037</v>
      </c>
      <c r="C455" s="1" t="n">
        <v>46021</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38198-2024</t>
        </is>
      </c>
      <c r="B456" s="1" t="n">
        <v>45545.49508101852</v>
      </c>
      <c r="C456" s="1" t="n">
        <v>46021</v>
      </c>
      <c r="D456" t="inlineStr">
        <is>
          <t>KALMAR LÄN</t>
        </is>
      </c>
      <c r="E456" t="inlineStr">
        <is>
          <t>VIMMERBY</t>
        </is>
      </c>
      <c r="G456" t="n">
        <v>7.9</v>
      </c>
      <c r="H456" t="n">
        <v>0</v>
      </c>
      <c r="I456" t="n">
        <v>0</v>
      </c>
      <c r="J456" t="n">
        <v>0</v>
      </c>
      <c r="K456" t="n">
        <v>0</v>
      </c>
      <c r="L456" t="n">
        <v>0</v>
      </c>
      <c r="M456" t="n">
        <v>0</v>
      </c>
      <c r="N456" t="n">
        <v>0</v>
      </c>
      <c r="O456" t="n">
        <v>0</v>
      </c>
      <c r="P456" t="n">
        <v>0</v>
      </c>
      <c r="Q456" t="n">
        <v>0</v>
      </c>
      <c r="R456" s="2" t="inlineStr"/>
    </row>
    <row r="457" ht="15" customHeight="1">
      <c r="A457" t="inlineStr">
        <is>
          <t>A 43617-2024</t>
        </is>
      </c>
      <c r="B457" s="1" t="n">
        <v>45569.47494212963</v>
      </c>
      <c r="C457" s="1" t="n">
        <v>46021</v>
      </c>
      <c r="D457" t="inlineStr">
        <is>
          <t>KALMAR LÄN</t>
        </is>
      </c>
      <c r="E457" t="inlineStr">
        <is>
          <t>VIMMERBY</t>
        </is>
      </c>
      <c r="G457" t="n">
        <v>2.7</v>
      </c>
      <c r="H457" t="n">
        <v>0</v>
      </c>
      <c r="I457" t="n">
        <v>0</v>
      </c>
      <c r="J457" t="n">
        <v>0</v>
      </c>
      <c r="K457" t="n">
        <v>0</v>
      </c>
      <c r="L457" t="n">
        <v>0</v>
      </c>
      <c r="M457" t="n">
        <v>0</v>
      </c>
      <c r="N457" t="n">
        <v>0</v>
      </c>
      <c r="O457" t="n">
        <v>0</v>
      </c>
      <c r="P457" t="n">
        <v>0</v>
      </c>
      <c r="Q457" t="n">
        <v>0</v>
      </c>
      <c r="R457" s="2" t="inlineStr"/>
    </row>
    <row r="458" ht="15" customHeight="1">
      <c r="A458" t="inlineStr">
        <is>
          <t>A 55300-2021</t>
        </is>
      </c>
      <c r="B458" s="1" t="n">
        <v>44475</v>
      </c>
      <c r="C458" s="1" t="n">
        <v>46021</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44742-2025</t>
        </is>
      </c>
      <c r="B459" s="1" t="n">
        <v>45917.67054398148</v>
      </c>
      <c r="C459" s="1" t="n">
        <v>46021</v>
      </c>
      <c r="D459" t="inlineStr">
        <is>
          <t>KALMAR LÄN</t>
        </is>
      </c>
      <c r="E459" t="inlineStr">
        <is>
          <t>VIMMERBY</t>
        </is>
      </c>
      <c r="G459" t="n">
        <v>4.7</v>
      </c>
      <c r="H459" t="n">
        <v>0</v>
      </c>
      <c r="I459" t="n">
        <v>0</v>
      </c>
      <c r="J459" t="n">
        <v>0</v>
      </c>
      <c r="K459" t="n">
        <v>0</v>
      </c>
      <c r="L459" t="n">
        <v>0</v>
      </c>
      <c r="M459" t="n">
        <v>0</v>
      </c>
      <c r="N459" t="n">
        <v>0</v>
      </c>
      <c r="O459" t="n">
        <v>0</v>
      </c>
      <c r="P459" t="n">
        <v>0</v>
      </c>
      <c r="Q459" t="n">
        <v>0</v>
      </c>
      <c r="R459" s="2" t="inlineStr"/>
    </row>
    <row r="460" ht="15" customHeight="1">
      <c r="A460" t="inlineStr">
        <is>
          <t>A 41896-2025</t>
        </is>
      </c>
      <c r="B460" s="1" t="n">
        <v>45903.38800925926</v>
      </c>
      <c r="C460" s="1" t="n">
        <v>46021</v>
      </c>
      <c r="D460" t="inlineStr">
        <is>
          <t>KALMAR LÄN</t>
        </is>
      </c>
      <c r="E460" t="inlineStr">
        <is>
          <t>VIMMERBY</t>
        </is>
      </c>
      <c r="G460" t="n">
        <v>2.9</v>
      </c>
      <c r="H460" t="n">
        <v>0</v>
      </c>
      <c r="I460" t="n">
        <v>0</v>
      </c>
      <c r="J460" t="n">
        <v>0</v>
      </c>
      <c r="K460" t="n">
        <v>0</v>
      </c>
      <c r="L460" t="n">
        <v>0</v>
      </c>
      <c r="M460" t="n">
        <v>0</v>
      </c>
      <c r="N460" t="n">
        <v>0</v>
      </c>
      <c r="O460" t="n">
        <v>0</v>
      </c>
      <c r="P460" t="n">
        <v>0</v>
      </c>
      <c r="Q460" t="n">
        <v>0</v>
      </c>
      <c r="R460" s="2" t="inlineStr"/>
    </row>
    <row r="461" ht="15" customHeight="1">
      <c r="A461" t="inlineStr">
        <is>
          <t>A 47263-2023</t>
        </is>
      </c>
      <c r="B461" s="1" t="n">
        <v>45202.4209837963</v>
      </c>
      <c r="C461" s="1" t="n">
        <v>46021</v>
      </c>
      <c r="D461" t="inlineStr">
        <is>
          <t>KALMAR LÄN</t>
        </is>
      </c>
      <c r="E461" t="inlineStr">
        <is>
          <t>VIMMERBY</t>
        </is>
      </c>
      <c r="G461" t="n">
        <v>1.8</v>
      </c>
      <c r="H461" t="n">
        <v>0</v>
      </c>
      <c r="I461" t="n">
        <v>0</v>
      </c>
      <c r="J461" t="n">
        <v>0</v>
      </c>
      <c r="K461" t="n">
        <v>0</v>
      </c>
      <c r="L461" t="n">
        <v>0</v>
      </c>
      <c r="M461" t="n">
        <v>0</v>
      </c>
      <c r="N461" t="n">
        <v>0</v>
      </c>
      <c r="O461" t="n">
        <v>0</v>
      </c>
      <c r="P461" t="n">
        <v>0</v>
      </c>
      <c r="Q461" t="n">
        <v>0</v>
      </c>
      <c r="R461" s="2" t="inlineStr"/>
    </row>
    <row r="462" ht="15" customHeight="1">
      <c r="A462" t="inlineStr">
        <is>
          <t>A 22264-2023</t>
        </is>
      </c>
      <c r="B462" s="1" t="n">
        <v>45070.3665625</v>
      </c>
      <c r="C462" s="1" t="n">
        <v>46021</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22266-2023</t>
        </is>
      </c>
      <c r="B463" s="1" t="n">
        <v>45070</v>
      </c>
      <c r="C463" s="1" t="n">
        <v>46021</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50091-2023</t>
        </is>
      </c>
      <c r="B464" s="1" t="n">
        <v>45215.60199074074</v>
      </c>
      <c r="C464" s="1" t="n">
        <v>46021</v>
      </c>
      <c r="D464" t="inlineStr">
        <is>
          <t>KALMAR LÄN</t>
        </is>
      </c>
      <c r="E464" t="inlineStr">
        <is>
          <t>VIMMERBY</t>
        </is>
      </c>
      <c r="G464" t="n">
        <v>1.7</v>
      </c>
      <c r="H464" t="n">
        <v>0</v>
      </c>
      <c r="I464" t="n">
        <v>0</v>
      </c>
      <c r="J464" t="n">
        <v>0</v>
      </c>
      <c r="K464" t="n">
        <v>0</v>
      </c>
      <c r="L464" t="n">
        <v>0</v>
      </c>
      <c r="M464" t="n">
        <v>0</v>
      </c>
      <c r="N464" t="n">
        <v>0</v>
      </c>
      <c r="O464" t="n">
        <v>0</v>
      </c>
      <c r="P464" t="n">
        <v>0</v>
      </c>
      <c r="Q464" t="n">
        <v>0</v>
      </c>
      <c r="R464" s="2" t="inlineStr"/>
    </row>
    <row r="465" ht="15" customHeight="1">
      <c r="A465" t="inlineStr">
        <is>
          <t>A 10303-2025</t>
        </is>
      </c>
      <c r="B465" s="1" t="n">
        <v>45720.44217592593</v>
      </c>
      <c r="C465" s="1" t="n">
        <v>46021</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11027-2023</t>
        </is>
      </c>
      <c r="B466" s="1" t="n">
        <v>44991.89657407408</v>
      </c>
      <c r="C466" s="1" t="n">
        <v>46021</v>
      </c>
      <c r="D466" t="inlineStr">
        <is>
          <t>KALMAR LÄN</t>
        </is>
      </c>
      <c r="E466" t="inlineStr">
        <is>
          <t>VIMMERBY</t>
        </is>
      </c>
      <c r="G466" t="n">
        <v>0.8</v>
      </c>
      <c r="H466" t="n">
        <v>0</v>
      </c>
      <c r="I466" t="n">
        <v>0</v>
      </c>
      <c r="J466" t="n">
        <v>0</v>
      </c>
      <c r="K466" t="n">
        <v>0</v>
      </c>
      <c r="L466" t="n">
        <v>0</v>
      </c>
      <c r="M466" t="n">
        <v>0</v>
      </c>
      <c r="N466" t="n">
        <v>0</v>
      </c>
      <c r="O466" t="n">
        <v>0</v>
      </c>
      <c r="P466" t="n">
        <v>0</v>
      </c>
      <c r="Q466" t="n">
        <v>0</v>
      </c>
      <c r="R466" s="2" t="inlineStr"/>
    </row>
    <row r="467" ht="15" customHeight="1">
      <c r="A467" t="inlineStr">
        <is>
          <t>A 2536-2023</t>
        </is>
      </c>
      <c r="B467" s="1" t="n">
        <v>44943.62954861111</v>
      </c>
      <c r="C467" s="1" t="n">
        <v>46021</v>
      </c>
      <c r="D467" t="inlineStr">
        <is>
          <t>KALMAR LÄN</t>
        </is>
      </c>
      <c r="E467" t="inlineStr">
        <is>
          <t>VIMMERBY</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2801-2023</t>
        </is>
      </c>
      <c r="B468" s="1" t="n">
        <v>44944.73487268519</v>
      </c>
      <c r="C468" s="1" t="n">
        <v>46021</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17968-2025</t>
        </is>
      </c>
      <c r="B469" s="1" t="n">
        <v>45761.35990740741</v>
      </c>
      <c r="C469" s="1" t="n">
        <v>46021</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11661-2023</t>
        </is>
      </c>
      <c r="B470" s="1" t="n">
        <v>44994.46908564815</v>
      </c>
      <c r="C470" s="1" t="n">
        <v>46021</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36155-2023</t>
        </is>
      </c>
      <c r="B471" s="1" t="n">
        <v>45149.60917824074</v>
      </c>
      <c r="C471" s="1" t="n">
        <v>46021</v>
      </c>
      <c r="D471" t="inlineStr">
        <is>
          <t>KALMAR LÄN</t>
        </is>
      </c>
      <c r="E471" t="inlineStr">
        <is>
          <t>VIMMERBY</t>
        </is>
      </c>
      <c r="G471" t="n">
        <v>5</v>
      </c>
      <c r="H471" t="n">
        <v>0</v>
      </c>
      <c r="I471" t="n">
        <v>0</v>
      </c>
      <c r="J471" t="n">
        <v>0</v>
      </c>
      <c r="K471" t="n">
        <v>0</v>
      </c>
      <c r="L471" t="n">
        <v>0</v>
      </c>
      <c r="M471" t="n">
        <v>0</v>
      </c>
      <c r="N471" t="n">
        <v>0</v>
      </c>
      <c r="O471" t="n">
        <v>0</v>
      </c>
      <c r="P471" t="n">
        <v>0</v>
      </c>
      <c r="Q471" t="n">
        <v>0</v>
      </c>
      <c r="R471" s="2" t="inlineStr"/>
    </row>
    <row r="472" ht="15" customHeight="1">
      <c r="A472" t="inlineStr">
        <is>
          <t>A 45319-2025</t>
        </is>
      </c>
      <c r="B472" s="1" t="n">
        <v>45921.95611111111</v>
      </c>
      <c r="C472" s="1" t="n">
        <v>46021</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45320-2025</t>
        </is>
      </c>
      <c r="B473" s="1" t="n">
        <v>45921.96395833333</v>
      </c>
      <c r="C473" s="1" t="n">
        <v>46021</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40147-2023</t>
        </is>
      </c>
      <c r="B474" s="1" t="n">
        <v>45169</v>
      </c>
      <c r="C474" s="1" t="n">
        <v>46021</v>
      </c>
      <c r="D474" t="inlineStr">
        <is>
          <t>KALMAR LÄN</t>
        </is>
      </c>
      <c r="E474" t="inlineStr">
        <is>
          <t>VIMMERBY</t>
        </is>
      </c>
      <c r="G474" t="n">
        <v>1.7</v>
      </c>
      <c r="H474" t="n">
        <v>0</v>
      </c>
      <c r="I474" t="n">
        <v>0</v>
      </c>
      <c r="J474" t="n">
        <v>0</v>
      </c>
      <c r="K474" t="n">
        <v>0</v>
      </c>
      <c r="L474" t="n">
        <v>0</v>
      </c>
      <c r="M474" t="n">
        <v>0</v>
      </c>
      <c r="N474" t="n">
        <v>0</v>
      </c>
      <c r="O474" t="n">
        <v>0</v>
      </c>
      <c r="P474" t="n">
        <v>0</v>
      </c>
      <c r="Q474" t="n">
        <v>0</v>
      </c>
      <c r="R474" s="2" t="inlineStr"/>
    </row>
    <row r="475" ht="15" customHeight="1">
      <c r="A475" t="inlineStr">
        <is>
          <t>A 63950-2023</t>
        </is>
      </c>
      <c r="B475" s="1" t="n">
        <v>45278</v>
      </c>
      <c r="C475" s="1" t="n">
        <v>46021</v>
      </c>
      <c r="D475" t="inlineStr">
        <is>
          <t>KALMAR LÄN</t>
        </is>
      </c>
      <c r="E475" t="inlineStr">
        <is>
          <t>VIMMERBY</t>
        </is>
      </c>
      <c r="F475" t="inlineStr">
        <is>
          <t>Kyrkan</t>
        </is>
      </c>
      <c r="G475" t="n">
        <v>2.7</v>
      </c>
      <c r="H475" t="n">
        <v>0</v>
      </c>
      <c r="I475" t="n">
        <v>0</v>
      </c>
      <c r="J475" t="n">
        <v>0</v>
      </c>
      <c r="K475" t="n">
        <v>0</v>
      </c>
      <c r="L475" t="n">
        <v>0</v>
      </c>
      <c r="M475" t="n">
        <v>0</v>
      </c>
      <c r="N475" t="n">
        <v>0</v>
      </c>
      <c r="O475" t="n">
        <v>0</v>
      </c>
      <c r="P475" t="n">
        <v>0</v>
      </c>
      <c r="Q475" t="n">
        <v>0</v>
      </c>
      <c r="R475" s="2" t="inlineStr"/>
    </row>
    <row r="476" ht="15" customHeight="1">
      <c r="A476" t="inlineStr">
        <is>
          <t>A 24096-2024</t>
        </is>
      </c>
      <c r="B476" s="1" t="n">
        <v>45456.59289351852</v>
      </c>
      <c r="C476" s="1" t="n">
        <v>46021</v>
      </c>
      <c r="D476" t="inlineStr">
        <is>
          <t>KALMAR LÄN</t>
        </is>
      </c>
      <c r="E476" t="inlineStr">
        <is>
          <t>VIMMERBY</t>
        </is>
      </c>
      <c r="G476" t="n">
        <v>2.3</v>
      </c>
      <c r="H476" t="n">
        <v>0</v>
      </c>
      <c r="I476" t="n">
        <v>0</v>
      </c>
      <c r="J476" t="n">
        <v>0</v>
      </c>
      <c r="K476" t="n">
        <v>0</v>
      </c>
      <c r="L476" t="n">
        <v>0</v>
      </c>
      <c r="M476" t="n">
        <v>0</v>
      </c>
      <c r="N476" t="n">
        <v>0</v>
      </c>
      <c r="O476" t="n">
        <v>0</v>
      </c>
      <c r="P476" t="n">
        <v>0</v>
      </c>
      <c r="Q476" t="n">
        <v>0</v>
      </c>
      <c r="R476" s="2" t="inlineStr"/>
    </row>
    <row r="477" ht="15" customHeight="1">
      <c r="A477" t="inlineStr">
        <is>
          <t>A 45114-2025</t>
        </is>
      </c>
      <c r="B477" s="1" t="n">
        <v>45919.42387731482</v>
      </c>
      <c r="C477" s="1" t="n">
        <v>46021</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14451-2024</t>
        </is>
      </c>
      <c r="B478" s="1" t="n">
        <v>45394.50028935185</v>
      </c>
      <c r="C478" s="1" t="n">
        <v>46021</v>
      </c>
      <c r="D478" t="inlineStr">
        <is>
          <t>KALMAR LÄN</t>
        </is>
      </c>
      <c r="E478" t="inlineStr">
        <is>
          <t>VIMMERBY</t>
        </is>
      </c>
      <c r="G478" t="n">
        <v>1.9</v>
      </c>
      <c r="H478" t="n">
        <v>0</v>
      </c>
      <c r="I478" t="n">
        <v>0</v>
      </c>
      <c r="J478" t="n">
        <v>0</v>
      </c>
      <c r="K478" t="n">
        <v>0</v>
      </c>
      <c r="L478" t="n">
        <v>0</v>
      </c>
      <c r="M478" t="n">
        <v>0</v>
      </c>
      <c r="N478" t="n">
        <v>0</v>
      </c>
      <c r="O478" t="n">
        <v>0</v>
      </c>
      <c r="P478" t="n">
        <v>0</v>
      </c>
      <c r="Q478" t="n">
        <v>0</v>
      </c>
      <c r="R478" s="2" t="inlineStr"/>
    </row>
    <row r="479" ht="15" customHeight="1">
      <c r="A479" t="inlineStr">
        <is>
          <t>A 46238-2024</t>
        </is>
      </c>
      <c r="B479" s="1" t="n">
        <v>45581.58418981481</v>
      </c>
      <c r="C479" s="1" t="n">
        <v>46021</v>
      </c>
      <c r="D479" t="inlineStr">
        <is>
          <t>KALMAR LÄN</t>
        </is>
      </c>
      <c r="E479" t="inlineStr">
        <is>
          <t>VIMMERBY</t>
        </is>
      </c>
      <c r="G479" t="n">
        <v>2.1</v>
      </c>
      <c r="H479" t="n">
        <v>0</v>
      </c>
      <c r="I479" t="n">
        <v>0</v>
      </c>
      <c r="J479" t="n">
        <v>0</v>
      </c>
      <c r="K479" t="n">
        <v>0</v>
      </c>
      <c r="L479" t="n">
        <v>0</v>
      </c>
      <c r="M479" t="n">
        <v>0</v>
      </c>
      <c r="N479" t="n">
        <v>0</v>
      </c>
      <c r="O479" t="n">
        <v>0</v>
      </c>
      <c r="P479" t="n">
        <v>0</v>
      </c>
      <c r="Q479" t="n">
        <v>0</v>
      </c>
      <c r="R479" s="2" t="inlineStr"/>
    </row>
    <row r="480" ht="15" customHeight="1">
      <c r="A480" t="inlineStr">
        <is>
          <t>A 13015-2023</t>
        </is>
      </c>
      <c r="B480" s="1" t="n">
        <v>45002</v>
      </c>
      <c r="C480" s="1" t="n">
        <v>46021</v>
      </c>
      <c r="D480" t="inlineStr">
        <is>
          <t>KALMAR LÄN</t>
        </is>
      </c>
      <c r="E480" t="inlineStr">
        <is>
          <t>VIMMERBY</t>
        </is>
      </c>
      <c r="G480" t="n">
        <v>3.2</v>
      </c>
      <c r="H480" t="n">
        <v>0</v>
      </c>
      <c r="I480" t="n">
        <v>0</v>
      </c>
      <c r="J480" t="n">
        <v>0</v>
      </c>
      <c r="K480" t="n">
        <v>0</v>
      </c>
      <c r="L480" t="n">
        <v>0</v>
      </c>
      <c r="M480" t="n">
        <v>0</v>
      </c>
      <c r="N480" t="n">
        <v>0</v>
      </c>
      <c r="O480" t="n">
        <v>0</v>
      </c>
      <c r="P480" t="n">
        <v>0</v>
      </c>
      <c r="Q480" t="n">
        <v>0</v>
      </c>
      <c r="R480" s="2" t="inlineStr"/>
    </row>
    <row r="481" ht="15" customHeight="1">
      <c r="A481" t="inlineStr">
        <is>
          <t>A 50993-2022</t>
        </is>
      </c>
      <c r="B481" s="1" t="n">
        <v>44867</v>
      </c>
      <c r="C481" s="1" t="n">
        <v>46021</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46225-2024</t>
        </is>
      </c>
      <c r="B482" s="1" t="n">
        <v>45581.57333333333</v>
      </c>
      <c r="C482" s="1" t="n">
        <v>46021</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41199-2023</t>
        </is>
      </c>
      <c r="B483" s="1" t="n">
        <v>45174.40454861111</v>
      </c>
      <c r="C483" s="1" t="n">
        <v>46021</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36014-2024</t>
        </is>
      </c>
      <c r="B484" s="1" t="n">
        <v>45533.56108796296</v>
      </c>
      <c r="C484" s="1" t="n">
        <v>46021</v>
      </c>
      <c r="D484" t="inlineStr">
        <is>
          <t>KALMAR LÄN</t>
        </is>
      </c>
      <c r="E484" t="inlineStr">
        <is>
          <t>VIMMERBY</t>
        </is>
      </c>
      <c r="G484" t="n">
        <v>2.3</v>
      </c>
      <c r="H484" t="n">
        <v>0</v>
      </c>
      <c r="I484" t="n">
        <v>0</v>
      </c>
      <c r="J484" t="n">
        <v>0</v>
      </c>
      <c r="K484" t="n">
        <v>0</v>
      </c>
      <c r="L484" t="n">
        <v>0</v>
      </c>
      <c r="M484" t="n">
        <v>0</v>
      </c>
      <c r="N484" t="n">
        <v>0</v>
      </c>
      <c r="O484" t="n">
        <v>0</v>
      </c>
      <c r="P484" t="n">
        <v>0</v>
      </c>
      <c r="Q484" t="n">
        <v>0</v>
      </c>
      <c r="R484" s="2" t="inlineStr"/>
    </row>
    <row r="485" ht="15" customHeight="1">
      <c r="A485" t="inlineStr">
        <is>
          <t>A 36030-2024</t>
        </is>
      </c>
      <c r="B485" s="1" t="n">
        <v>45533.58302083334</v>
      </c>
      <c r="C485" s="1" t="n">
        <v>46021</v>
      </c>
      <c r="D485" t="inlineStr">
        <is>
          <t>KALMAR LÄN</t>
        </is>
      </c>
      <c r="E485" t="inlineStr">
        <is>
          <t>VIMMERBY</t>
        </is>
      </c>
      <c r="F485" t="inlineStr">
        <is>
          <t>Kommuner</t>
        </is>
      </c>
      <c r="G485" t="n">
        <v>4</v>
      </c>
      <c r="H485" t="n">
        <v>0</v>
      </c>
      <c r="I485" t="n">
        <v>0</v>
      </c>
      <c r="J485" t="n">
        <v>0</v>
      </c>
      <c r="K485" t="n">
        <v>0</v>
      </c>
      <c r="L485" t="n">
        <v>0</v>
      </c>
      <c r="M485" t="n">
        <v>0</v>
      </c>
      <c r="N485" t="n">
        <v>0</v>
      </c>
      <c r="O485" t="n">
        <v>0</v>
      </c>
      <c r="P485" t="n">
        <v>0</v>
      </c>
      <c r="Q485" t="n">
        <v>0</v>
      </c>
      <c r="R485" s="2" t="inlineStr"/>
    </row>
    <row r="486" ht="15" customHeight="1">
      <c r="A486" t="inlineStr">
        <is>
          <t>A 36055-2024</t>
        </is>
      </c>
      <c r="B486" s="1" t="n">
        <v>45533.63056712963</v>
      </c>
      <c r="C486" s="1" t="n">
        <v>46021</v>
      </c>
      <c r="D486" t="inlineStr">
        <is>
          <t>KALMAR LÄN</t>
        </is>
      </c>
      <c r="E486" t="inlineStr">
        <is>
          <t>VIMMERBY</t>
        </is>
      </c>
      <c r="F486" t="inlineStr">
        <is>
          <t>Kommuner</t>
        </is>
      </c>
      <c r="G486" t="n">
        <v>1.9</v>
      </c>
      <c r="H486" t="n">
        <v>0</v>
      </c>
      <c r="I486" t="n">
        <v>0</v>
      </c>
      <c r="J486" t="n">
        <v>0</v>
      </c>
      <c r="K486" t="n">
        <v>0</v>
      </c>
      <c r="L486" t="n">
        <v>0</v>
      </c>
      <c r="M486" t="n">
        <v>0</v>
      </c>
      <c r="N486" t="n">
        <v>0</v>
      </c>
      <c r="O486" t="n">
        <v>0</v>
      </c>
      <c r="P486" t="n">
        <v>0</v>
      </c>
      <c r="Q486" t="n">
        <v>0</v>
      </c>
      <c r="R486" s="2" t="inlineStr"/>
    </row>
    <row r="487" ht="15" customHeight="1">
      <c r="A487" t="inlineStr">
        <is>
          <t>A 47859-2024</t>
        </is>
      </c>
      <c r="B487" s="1" t="n">
        <v>45588.67070601852</v>
      </c>
      <c r="C487" s="1" t="n">
        <v>46021</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46118-2025</t>
        </is>
      </c>
      <c r="B488" s="1" t="n">
        <v>45924.57697916667</v>
      </c>
      <c r="C488" s="1" t="n">
        <v>46021</v>
      </c>
      <c r="D488" t="inlineStr">
        <is>
          <t>KALMAR LÄN</t>
        </is>
      </c>
      <c r="E488" t="inlineStr">
        <is>
          <t>VIMMERBY</t>
        </is>
      </c>
      <c r="G488" t="n">
        <v>2.9</v>
      </c>
      <c r="H488" t="n">
        <v>0</v>
      </c>
      <c r="I488" t="n">
        <v>0</v>
      </c>
      <c r="J488" t="n">
        <v>0</v>
      </c>
      <c r="K488" t="n">
        <v>0</v>
      </c>
      <c r="L488" t="n">
        <v>0</v>
      </c>
      <c r="M488" t="n">
        <v>0</v>
      </c>
      <c r="N488" t="n">
        <v>0</v>
      </c>
      <c r="O488" t="n">
        <v>0</v>
      </c>
      <c r="P488" t="n">
        <v>0</v>
      </c>
      <c r="Q488" t="n">
        <v>0</v>
      </c>
      <c r="R488" s="2" t="inlineStr"/>
    </row>
    <row r="489" ht="15" customHeight="1">
      <c r="A489" t="inlineStr">
        <is>
          <t>A 6321-2023</t>
        </is>
      </c>
      <c r="B489" s="1" t="n">
        <v>44965.4815162037</v>
      </c>
      <c r="C489" s="1" t="n">
        <v>46021</v>
      </c>
      <c r="D489" t="inlineStr">
        <is>
          <t>KALMAR LÄN</t>
        </is>
      </c>
      <c r="E489" t="inlineStr">
        <is>
          <t>VIMMERBY</t>
        </is>
      </c>
      <c r="G489" t="n">
        <v>1.8</v>
      </c>
      <c r="H489" t="n">
        <v>0</v>
      </c>
      <c r="I489" t="n">
        <v>0</v>
      </c>
      <c r="J489" t="n">
        <v>0</v>
      </c>
      <c r="K489" t="n">
        <v>0</v>
      </c>
      <c r="L489" t="n">
        <v>0</v>
      </c>
      <c r="M489" t="n">
        <v>0</v>
      </c>
      <c r="N489" t="n">
        <v>0</v>
      </c>
      <c r="O489" t="n">
        <v>0</v>
      </c>
      <c r="P489" t="n">
        <v>0</v>
      </c>
      <c r="Q489" t="n">
        <v>0</v>
      </c>
      <c r="R489" s="2" t="inlineStr"/>
    </row>
    <row r="490" ht="15" customHeight="1">
      <c r="A490" t="inlineStr">
        <is>
          <t>A 32835-2022</t>
        </is>
      </c>
      <c r="B490" s="1" t="n">
        <v>44784.42528935185</v>
      </c>
      <c r="C490" s="1" t="n">
        <v>46021</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41896-2023</t>
        </is>
      </c>
      <c r="B491" s="1" t="n">
        <v>45176.72427083334</v>
      </c>
      <c r="C491" s="1" t="n">
        <v>46021</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52755-2022</t>
        </is>
      </c>
      <c r="B492" s="1" t="n">
        <v>44875.27736111111</v>
      </c>
      <c r="C492" s="1" t="n">
        <v>46021</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40823-2023</t>
        </is>
      </c>
      <c r="B493" s="1" t="n">
        <v>45171.77335648148</v>
      </c>
      <c r="C493" s="1" t="n">
        <v>46021</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43606-2024</t>
        </is>
      </c>
      <c r="B494" s="1" t="n">
        <v>45569.45017361111</v>
      </c>
      <c r="C494" s="1" t="n">
        <v>46021</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12325-2023</t>
        </is>
      </c>
      <c r="B495" s="1" t="n">
        <v>44999.35858796296</v>
      </c>
      <c r="C495" s="1" t="n">
        <v>46021</v>
      </c>
      <c r="D495" t="inlineStr">
        <is>
          <t>KALMAR LÄN</t>
        </is>
      </c>
      <c r="E495" t="inlineStr">
        <is>
          <t>VIMMERBY</t>
        </is>
      </c>
      <c r="G495" t="n">
        <v>3.4</v>
      </c>
      <c r="H495" t="n">
        <v>0</v>
      </c>
      <c r="I495" t="n">
        <v>0</v>
      </c>
      <c r="J495" t="n">
        <v>0</v>
      </c>
      <c r="K495" t="n">
        <v>0</v>
      </c>
      <c r="L495" t="n">
        <v>0</v>
      </c>
      <c r="M495" t="n">
        <v>0</v>
      </c>
      <c r="N495" t="n">
        <v>0</v>
      </c>
      <c r="O495" t="n">
        <v>0</v>
      </c>
      <c r="P495" t="n">
        <v>0</v>
      </c>
      <c r="Q495" t="n">
        <v>0</v>
      </c>
      <c r="R495" s="2" t="inlineStr"/>
    </row>
    <row r="496" ht="15" customHeight="1">
      <c r="A496" t="inlineStr">
        <is>
          <t>A 8945-2025</t>
        </is>
      </c>
      <c r="B496" s="1" t="n">
        <v>45713.45311342592</v>
      </c>
      <c r="C496" s="1" t="n">
        <v>46021</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27761-2024</t>
        </is>
      </c>
      <c r="B497" s="1" t="n">
        <v>45475.49018518518</v>
      </c>
      <c r="C497" s="1" t="n">
        <v>46021</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21028-2023</t>
        </is>
      </c>
      <c r="B498" s="1" t="n">
        <v>45061</v>
      </c>
      <c r="C498" s="1" t="n">
        <v>46021</v>
      </c>
      <c r="D498" t="inlineStr">
        <is>
          <t>KALMAR LÄN</t>
        </is>
      </c>
      <c r="E498" t="inlineStr">
        <is>
          <t>VIMMERBY</t>
        </is>
      </c>
      <c r="F498" t="inlineStr">
        <is>
          <t>Övriga Aktiebolag</t>
        </is>
      </c>
      <c r="G498" t="n">
        <v>0.7</v>
      </c>
      <c r="H498" t="n">
        <v>0</v>
      </c>
      <c r="I498" t="n">
        <v>0</v>
      </c>
      <c r="J498" t="n">
        <v>0</v>
      </c>
      <c r="K498" t="n">
        <v>0</v>
      </c>
      <c r="L498" t="n">
        <v>0</v>
      </c>
      <c r="M498" t="n">
        <v>0</v>
      </c>
      <c r="N498" t="n">
        <v>0</v>
      </c>
      <c r="O498" t="n">
        <v>0</v>
      </c>
      <c r="P498" t="n">
        <v>0</v>
      </c>
      <c r="Q498" t="n">
        <v>0</v>
      </c>
      <c r="R498" s="2" t="inlineStr"/>
    </row>
    <row r="499" ht="15" customHeight="1">
      <c r="A499" t="inlineStr">
        <is>
          <t>A 64203-2021</t>
        </is>
      </c>
      <c r="B499" s="1" t="n">
        <v>44510.60921296296</v>
      </c>
      <c r="C499" s="1" t="n">
        <v>46021</v>
      </c>
      <c r="D499" t="inlineStr">
        <is>
          <t>KALMAR LÄN</t>
        </is>
      </c>
      <c r="E499" t="inlineStr">
        <is>
          <t>VIMMERBY</t>
        </is>
      </c>
      <c r="F499" t="inlineStr">
        <is>
          <t>Övriga Aktiebolag</t>
        </is>
      </c>
      <c r="G499" t="n">
        <v>5.4</v>
      </c>
      <c r="H499" t="n">
        <v>0</v>
      </c>
      <c r="I499" t="n">
        <v>0</v>
      </c>
      <c r="J499" t="n">
        <v>0</v>
      </c>
      <c r="K499" t="n">
        <v>0</v>
      </c>
      <c r="L499" t="n">
        <v>0</v>
      </c>
      <c r="M499" t="n">
        <v>0</v>
      </c>
      <c r="N499" t="n">
        <v>0</v>
      </c>
      <c r="O499" t="n">
        <v>0</v>
      </c>
      <c r="P499" t="n">
        <v>0</v>
      </c>
      <c r="Q499" t="n">
        <v>0</v>
      </c>
      <c r="R499" s="2" t="inlineStr"/>
    </row>
    <row r="500" ht="15" customHeight="1">
      <c r="A500" t="inlineStr">
        <is>
          <t>A 40665-2023</t>
        </is>
      </c>
      <c r="B500" s="1" t="n">
        <v>45170</v>
      </c>
      <c r="C500" s="1" t="n">
        <v>46021</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13307-2025</t>
        </is>
      </c>
      <c r="B501" s="1" t="n">
        <v>45735.58024305556</v>
      </c>
      <c r="C501" s="1" t="n">
        <v>46021</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1016-2024</t>
        </is>
      </c>
      <c r="B502" s="1" t="n">
        <v>45301</v>
      </c>
      <c r="C502" s="1" t="n">
        <v>46021</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1024-2024</t>
        </is>
      </c>
      <c r="B503" s="1" t="n">
        <v>45301.68237268519</v>
      </c>
      <c r="C503" s="1" t="n">
        <v>46021</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27758-2024</t>
        </is>
      </c>
      <c r="B504" s="1" t="n">
        <v>45475.48303240741</v>
      </c>
      <c r="C504" s="1" t="n">
        <v>46021</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28034-2022</t>
        </is>
      </c>
      <c r="B505" s="1" t="n">
        <v>44746.38834490741</v>
      </c>
      <c r="C505" s="1" t="n">
        <v>46021</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32865-2023</t>
        </is>
      </c>
      <c r="B506" s="1" t="n">
        <v>45124</v>
      </c>
      <c r="C506" s="1" t="n">
        <v>46021</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22194-2024</t>
        </is>
      </c>
      <c r="B507" s="1" t="n">
        <v>45446.36482638889</v>
      </c>
      <c r="C507" s="1" t="n">
        <v>46021</v>
      </c>
      <c r="D507" t="inlineStr">
        <is>
          <t>KALMAR LÄN</t>
        </is>
      </c>
      <c r="E507" t="inlineStr">
        <is>
          <t>VIMMERBY</t>
        </is>
      </c>
      <c r="F507" t="inlineStr">
        <is>
          <t>Sveaskog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17926-2025</t>
        </is>
      </c>
      <c r="B508" s="1" t="n">
        <v>45759.38987268518</v>
      </c>
      <c r="C508" s="1" t="n">
        <v>46021</v>
      </c>
      <c r="D508" t="inlineStr">
        <is>
          <t>KALMAR LÄN</t>
        </is>
      </c>
      <c r="E508" t="inlineStr">
        <is>
          <t>VIMMERBY</t>
        </is>
      </c>
      <c r="G508" t="n">
        <v>1</v>
      </c>
      <c r="H508" t="n">
        <v>0</v>
      </c>
      <c r="I508" t="n">
        <v>0</v>
      </c>
      <c r="J508" t="n">
        <v>0</v>
      </c>
      <c r="K508" t="n">
        <v>0</v>
      </c>
      <c r="L508" t="n">
        <v>0</v>
      </c>
      <c r="M508" t="n">
        <v>0</v>
      </c>
      <c r="N508" t="n">
        <v>0</v>
      </c>
      <c r="O508" t="n">
        <v>0</v>
      </c>
      <c r="P508" t="n">
        <v>0</v>
      </c>
      <c r="Q508" t="n">
        <v>0</v>
      </c>
      <c r="R508" s="2" t="inlineStr"/>
    </row>
    <row r="509" ht="15" customHeight="1">
      <c r="A509" t="inlineStr">
        <is>
          <t>A 55605-2024</t>
        </is>
      </c>
      <c r="B509" s="1" t="n">
        <v>45622</v>
      </c>
      <c r="C509" s="1" t="n">
        <v>46021</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35127-2024</t>
        </is>
      </c>
      <c r="B510" s="1" t="n">
        <v>45530.33202546297</v>
      </c>
      <c r="C510" s="1" t="n">
        <v>46021</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42165-2024</t>
        </is>
      </c>
      <c r="B511" s="1" t="n">
        <v>45562.46342592593</v>
      </c>
      <c r="C511" s="1" t="n">
        <v>46021</v>
      </c>
      <c r="D511" t="inlineStr">
        <is>
          <t>KALMAR LÄN</t>
        </is>
      </c>
      <c r="E511" t="inlineStr">
        <is>
          <t>VIMMERBY</t>
        </is>
      </c>
      <c r="G511" t="n">
        <v>0.5</v>
      </c>
      <c r="H511" t="n">
        <v>0</v>
      </c>
      <c r="I511" t="n">
        <v>0</v>
      </c>
      <c r="J511" t="n">
        <v>0</v>
      </c>
      <c r="K511" t="n">
        <v>0</v>
      </c>
      <c r="L511" t="n">
        <v>0</v>
      </c>
      <c r="M511" t="n">
        <v>0</v>
      </c>
      <c r="N511" t="n">
        <v>0</v>
      </c>
      <c r="O511" t="n">
        <v>0</v>
      </c>
      <c r="P511" t="n">
        <v>0</v>
      </c>
      <c r="Q511" t="n">
        <v>0</v>
      </c>
      <c r="R511" s="2" t="inlineStr"/>
    </row>
    <row r="512" ht="15" customHeight="1">
      <c r="A512" t="inlineStr">
        <is>
          <t>A 20129-2024</t>
        </is>
      </c>
      <c r="B512" s="1" t="n">
        <v>45434.55831018519</v>
      </c>
      <c r="C512" s="1" t="n">
        <v>46021</v>
      </c>
      <c r="D512" t="inlineStr">
        <is>
          <t>KALMAR LÄN</t>
        </is>
      </c>
      <c r="E512" t="inlineStr">
        <is>
          <t>VIMMERBY</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20137-2024</t>
        </is>
      </c>
      <c r="B513" s="1" t="n">
        <v>45434.56398148148</v>
      </c>
      <c r="C513" s="1" t="n">
        <v>46021</v>
      </c>
      <c r="D513" t="inlineStr">
        <is>
          <t>KALMAR LÄN</t>
        </is>
      </c>
      <c r="E513" t="inlineStr">
        <is>
          <t>VIMMERBY</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23095-2023</t>
        </is>
      </c>
      <c r="B514" s="1" t="n">
        <v>45075.43059027778</v>
      </c>
      <c r="C514" s="1" t="n">
        <v>46021</v>
      </c>
      <c r="D514" t="inlineStr">
        <is>
          <t>KALMAR LÄN</t>
        </is>
      </c>
      <c r="E514" t="inlineStr">
        <is>
          <t>VIMMERBY</t>
        </is>
      </c>
      <c r="G514" t="n">
        <v>1</v>
      </c>
      <c r="H514" t="n">
        <v>0</v>
      </c>
      <c r="I514" t="n">
        <v>0</v>
      </c>
      <c r="J514" t="n">
        <v>0</v>
      </c>
      <c r="K514" t="n">
        <v>0</v>
      </c>
      <c r="L514" t="n">
        <v>0</v>
      </c>
      <c r="M514" t="n">
        <v>0</v>
      </c>
      <c r="N514" t="n">
        <v>0</v>
      </c>
      <c r="O514" t="n">
        <v>0</v>
      </c>
      <c r="P514" t="n">
        <v>0</v>
      </c>
      <c r="Q514" t="n">
        <v>0</v>
      </c>
      <c r="R514" s="2" t="inlineStr"/>
    </row>
    <row r="515" ht="15" customHeight="1">
      <c r="A515" t="inlineStr">
        <is>
          <t>A 33383-2023</t>
        </is>
      </c>
      <c r="B515" s="1" t="n">
        <v>45128.58414351852</v>
      </c>
      <c r="C515" s="1" t="n">
        <v>46021</v>
      </c>
      <c r="D515" t="inlineStr">
        <is>
          <t>KALMAR LÄN</t>
        </is>
      </c>
      <c r="E515" t="inlineStr">
        <is>
          <t>VIMMERBY</t>
        </is>
      </c>
      <c r="G515" t="n">
        <v>2.3</v>
      </c>
      <c r="H515" t="n">
        <v>0</v>
      </c>
      <c r="I515" t="n">
        <v>0</v>
      </c>
      <c r="J515" t="n">
        <v>0</v>
      </c>
      <c r="K515" t="n">
        <v>0</v>
      </c>
      <c r="L515" t="n">
        <v>0</v>
      </c>
      <c r="M515" t="n">
        <v>0</v>
      </c>
      <c r="N515" t="n">
        <v>0</v>
      </c>
      <c r="O515" t="n">
        <v>0</v>
      </c>
      <c r="P515" t="n">
        <v>0</v>
      </c>
      <c r="Q515" t="n">
        <v>0</v>
      </c>
      <c r="R515" s="2" t="inlineStr"/>
    </row>
    <row r="516" ht="15" customHeight="1">
      <c r="A516" t="inlineStr">
        <is>
          <t>A 32919-2022</t>
        </is>
      </c>
      <c r="B516" s="1" t="n">
        <v>44784.62724537037</v>
      </c>
      <c r="C516" s="1" t="n">
        <v>46021</v>
      </c>
      <c r="D516" t="inlineStr">
        <is>
          <t>KALMAR LÄN</t>
        </is>
      </c>
      <c r="E516" t="inlineStr">
        <is>
          <t>VIMMERBY</t>
        </is>
      </c>
      <c r="G516" t="n">
        <v>1.7</v>
      </c>
      <c r="H516" t="n">
        <v>0</v>
      </c>
      <c r="I516" t="n">
        <v>0</v>
      </c>
      <c r="J516" t="n">
        <v>0</v>
      </c>
      <c r="K516" t="n">
        <v>0</v>
      </c>
      <c r="L516" t="n">
        <v>0</v>
      </c>
      <c r="M516" t="n">
        <v>0</v>
      </c>
      <c r="N516" t="n">
        <v>0</v>
      </c>
      <c r="O516" t="n">
        <v>0</v>
      </c>
      <c r="P516" t="n">
        <v>0</v>
      </c>
      <c r="Q516" t="n">
        <v>0</v>
      </c>
      <c r="R516" s="2" t="inlineStr"/>
    </row>
    <row r="517" ht="15" customHeight="1">
      <c r="A517" t="inlineStr">
        <is>
          <t>A 4297-2022</t>
        </is>
      </c>
      <c r="B517" s="1" t="n">
        <v>44588</v>
      </c>
      <c r="C517" s="1" t="n">
        <v>46021</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45854-2025</t>
        </is>
      </c>
      <c r="B518" s="1" t="n">
        <v>45923</v>
      </c>
      <c r="C518" s="1" t="n">
        <v>46021</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45855-2025</t>
        </is>
      </c>
      <c r="B519" s="1" t="n">
        <v>45923</v>
      </c>
      <c r="C519" s="1" t="n">
        <v>46021</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7068-2024</t>
        </is>
      </c>
      <c r="B520" s="1" t="n">
        <v>45343.68038194445</v>
      </c>
      <c r="C520" s="1" t="n">
        <v>46021</v>
      </c>
      <c r="D520" t="inlineStr">
        <is>
          <t>KALMAR LÄN</t>
        </is>
      </c>
      <c r="E520" t="inlineStr">
        <is>
          <t>VIMMERBY</t>
        </is>
      </c>
      <c r="G520" t="n">
        <v>2.5</v>
      </c>
      <c r="H520" t="n">
        <v>0</v>
      </c>
      <c r="I520" t="n">
        <v>0</v>
      </c>
      <c r="J520" t="n">
        <v>0</v>
      </c>
      <c r="K520" t="n">
        <v>0</v>
      </c>
      <c r="L520" t="n">
        <v>0</v>
      </c>
      <c r="M520" t="n">
        <v>0</v>
      </c>
      <c r="N520" t="n">
        <v>0</v>
      </c>
      <c r="O520" t="n">
        <v>0</v>
      </c>
      <c r="P520" t="n">
        <v>0</v>
      </c>
      <c r="Q520" t="n">
        <v>0</v>
      </c>
      <c r="R520" s="2" t="inlineStr"/>
    </row>
    <row r="521" ht="15" customHeight="1">
      <c r="A521" t="inlineStr">
        <is>
          <t>A 12596-2021</t>
        </is>
      </c>
      <c r="B521" s="1" t="n">
        <v>44270.39765046296</v>
      </c>
      <c r="C521" s="1" t="n">
        <v>46021</v>
      </c>
      <c r="D521" t="inlineStr">
        <is>
          <t>KALMAR LÄN</t>
        </is>
      </c>
      <c r="E521" t="inlineStr">
        <is>
          <t>VIMMERBY</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55716-2023</t>
        </is>
      </c>
      <c r="B522" s="1" t="n">
        <v>45232</v>
      </c>
      <c r="C522" s="1" t="n">
        <v>46021</v>
      </c>
      <c r="D522" t="inlineStr">
        <is>
          <t>KALMAR LÄN</t>
        </is>
      </c>
      <c r="E522" t="inlineStr">
        <is>
          <t>VIMMERBY</t>
        </is>
      </c>
      <c r="G522" t="n">
        <v>2.3</v>
      </c>
      <c r="H522" t="n">
        <v>0</v>
      </c>
      <c r="I522" t="n">
        <v>0</v>
      </c>
      <c r="J522" t="n">
        <v>0</v>
      </c>
      <c r="K522" t="n">
        <v>0</v>
      </c>
      <c r="L522" t="n">
        <v>0</v>
      </c>
      <c r="M522" t="n">
        <v>0</v>
      </c>
      <c r="N522" t="n">
        <v>0</v>
      </c>
      <c r="O522" t="n">
        <v>0</v>
      </c>
      <c r="P522" t="n">
        <v>0</v>
      </c>
      <c r="Q522" t="n">
        <v>0</v>
      </c>
      <c r="R522" s="2" t="inlineStr"/>
    </row>
    <row r="523" ht="15" customHeight="1">
      <c r="A523" t="inlineStr">
        <is>
          <t>A 46361-2025</t>
        </is>
      </c>
      <c r="B523" s="1" t="n">
        <v>45925.49670138889</v>
      </c>
      <c r="C523" s="1" t="n">
        <v>46021</v>
      </c>
      <c r="D523" t="inlineStr">
        <is>
          <t>KALMAR LÄN</t>
        </is>
      </c>
      <c r="E523" t="inlineStr">
        <is>
          <t>VIMMERBY</t>
        </is>
      </c>
      <c r="G523" t="n">
        <v>4.2</v>
      </c>
      <c r="H523" t="n">
        <v>0</v>
      </c>
      <c r="I523" t="n">
        <v>0</v>
      </c>
      <c r="J523" t="n">
        <v>0</v>
      </c>
      <c r="K523" t="n">
        <v>0</v>
      </c>
      <c r="L523" t="n">
        <v>0</v>
      </c>
      <c r="M523" t="n">
        <v>0</v>
      </c>
      <c r="N523" t="n">
        <v>0</v>
      </c>
      <c r="O523" t="n">
        <v>0</v>
      </c>
      <c r="P523" t="n">
        <v>0</v>
      </c>
      <c r="Q523" t="n">
        <v>0</v>
      </c>
      <c r="R523" s="2" t="inlineStr"/>
    </row>
    <row r="524" ht="15" customHeight="1">
      <c r="A524" t="inlineStr">
        <is>
          <t>A 46365-2025</t>
        </is>
      </c>
      <c r="B524" s="1" t="n">
        <v>45925.50075231482</v>
      </c>
      <c r="C524" s="1" t="n">
        <v>46021</v>
      </c>
      <c r="D524" t="inlineStr">
        <is>
          <t>KALMAR LÄN</t>
        </is>
      </c>
      <c r="E524" t="inlineStr">
        <is>
          <t>VIMMERBY</t>
        </is>
      </c>
      <c r="G524" t="n">
        <v>5.6</v>
      </c>
      <c r="H524" t="n">
        <v>0</v>
      </c>
      <c r="I524" t="n">
        <v>0</v>
      </c>
      <c r="J524" t="n">
        <v>0</v>
      </c>
      <c r="K524" t="n">
        <v>0</v>
      </c>
      <c r="L524" t="n">
        <v>0</v>
      </c>
      <c r="M524" t="n">
        <v>0</v>
      </c>
      <c r="N524" t="n">
        <v>0</v>
      </c>
      <c r="O524" t="n">
        <v>0</v>
      </c>
      <c r="P524" t="n">
        <v>0</v>
      </c>
      <c r="Q524" t="n">
        <v>0</v>
      </c>
      <c r="R524" s="2" t="inlineStr"/>
    </row>
    <row r="525" ht="15" customHeight="1">
      <c r="A525" t="inlineStr">
        <is>
          <t>A 34386-2024</t>
        </is>
      </c>
      <c r="B525" s="1" t="n">
        <v>45525.41762731481</v>
      </c>
      <c r="C525" s="1" t="n">
        <v>46021</v>
      </c>
      <c r="D525" t="inlineStr">
        <is>
          <t>KALMAR LÄN</t>
        </is>
      </c>
      <c r="E525" t="inlineStr">
        <is>
          <t>VIMMERBY</t>
        </is>
      </c>
      <c r="G525" t="n">
        <v>0.3</v>
      </c>
      <c r="H525" t="n">
        <v>0</v>
      </c>
      <c r="I525" t="n">
        <v>0</v>
      </c>
      <c r="J525" t="n">
        <v>0</v>
      </c>
      <c r="K525" t="n">
        <v>0</v>
      </c>
      <c r="L525" t="n">
        <v>0</v>
      </c>
      <c r="M525" t="n">
        <v>0</v>
      </c>
      <c r="N525" t="n">
        <v>0</v>
      </c>
      <c r="O525" t="n">
        <v>0</v>
      </c>
      <c r="P525" t="n">
        <v>0</v>
      </c>
      <c r="Q525" t="n">
        <v>0</v>
      </c>
      <c r="R525" s="2" t="inlineStr"/>
    </row>
    <row r="526" ht="15" customHeight="1">
      <c r="A526" t="inlineStr">
        <is>
          <t>A 32655-2023</t>
        </is>
      </c>
      <c r="B526" s="1" t="n">
        <v>45121.61318287037</v>
      </c>
      <c r="C526" s="1" t="n">
        <v>46021</v>
      </c>
      <c r="D526" t="inlineStr">
        <is>
          <t>KALMAR LÄN</t>
        </is>
      </c>
      <c r="E526" t="inlineStr">
        <is>
          <t>VIMMERBY</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42429-2024</t>
        </is>
      </c>
      <c r="B527" s="1" t="n">
        <v>45565.40657407408</v>
      </c>
      <c r="C527" s="1" t="n">
        <v>46021</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11946-2025</t>
        </is>
      </c>
      <c r="B528" s="1" t="n">
        <v>45728.54832175926</v>
      </c>
      <c r="C528" s="1" t="n">
        <v>46021</v>
      </c>
      <c r="D528" t="inlineStr">
        <is>
          <t>KALMAR LÄN</t>
        </is>
      </c>
      <c r="E528" t="inlineStr">
        <is>
          <t>VIMMERBY</t>
        </is>
      </c>
      <c r="G528" t="n">
        <v>0.4</v>
      </c>
      <c r="H528" t="n">
        <v>0</v>
      </c>
      <c r="I528" t="n">
        <v>0</v>
      </c>
      <c r="J528" t="n">
        <v>0</v>
      </c>
      <c r="K528" t="n">
        <v>0</v>
      </c>
      <c r="L528" t="n">
        <v>0</v>
      </c>
      <c r="M528" t="n">
        <v>0</v>
      </c>
      <c r="N528" t="n">
        <v>0</v>
      </c>
      <c r="O528" t="n">
        <v>0</v>
      </c>
      <c r="P528" t="n">
        <v>0</v>
      </c>
      <c r="Q528" t="n">
        <v>0</v>
      </c>
      <c r="R528" s="2" t="inlineStr"/>
    </row>
    <row r="529" ht="15" customHeight="1">
      <c r="A529" t="inlineStr">
        <is>
          <t>A 54409-2024</t>
        </is>
      </c>
      <c r="B529" s="1" t="n">
        <v>45617.47570601852</v>
      </c>
      <c r="C529" s="1" t="n">
        <v>46021</v>
      </c>
      <c r="D529" t="inlineStr">
        <is>
          <t>KALMAR LÄN</t>
        </is>
      </c>
      <c r="E529" t="inlineStr">
        <is>
          <t>VIMMERBY</t>
        </is>
      </c>
      <c r="G529" t="n">
        <v>4.3</v>
      </c>
      <c r="H529" t="n">
        <v>0</v>
      </c>
      <c r="I529" t="n">
        <v>0</v>
      </c>
      <c r="J529" t="n">
        <v>0</v>
      </c>
      <c r="K529" t="n">
        <v>0</v>
      </c>
      <c r="L529" t="n">
        <v>0</v>
      </c>
      <c r="M529" t="n">
        <v>0</v>
      </c>
      <c r="N529" t="n">
        <v>0</v>
      </c>
      <c r="O529" t="n">
        <v>0</v>
      </c>
      <c r="P529" t="n">
        <v>0</v>
      </c>
      <c r="Q529" t="n">
        <v>0</v>
      </c>
      <c r="R529" s="2" t="inlineStr"/>
    </row>
    <row r="530" ht="15" customHeight="1">
      <c r="A530" t="inlineStr">
        <is>
          <t>A 59943-2023</t>
        </is>
      </c>
      <c r="B530" s="1" t="n">
        <v>45257.67958333333</v>
      </c>
      <c r="C530" s="1" t="n">
        <v>46021</v>
      </c>
      <c r="D530" t="inlineStr">
        <is>
          <t>KALMAR LÄN</t>
        </is>
      </c>
      <c r="E530" t="inlineStr">
        <is>
          <t>VIMMERBY</t>
        </is>
      </c>
      <c r="G530" t="n">
        <v>6.4</v>
      </c>
      <c r="H530" t="n">
        <v>0</v>
      </c>
      <c r="I530" t="n">
        <v>0</v>
      </c>
      <c r="J530" t="n">
        <v>0</v>
      </c>
      <c r="K530" t="n">
        <v>0</v>
      </c>
      <c r="L530" t="n">
        <v>0</v>
      </c>
      <c r="M530" t="n">
        <v>0</v>
      </c>
      <c r="N530" t="n">
        <v>0</v>
      </c>
      <c r="O530" t="n">
        <v>0</v>
      </c>
      <c r="P530" t="n">
        <v>0</v>
      </c>
      <c r="Q530" t="n">
        <v>0</v>
      </c>
      <c r="R530" s="2" t="inlineStr"/>
    </row>
    <row r="531" ht="15" customHeight="1">
      <c r="A531" t="inlineStr">
        <is>
          <t>A 45856-2025</t>
        </is>
      </c>
      <c r="B531" s="1" t="n">
        <v>45923</v>
      </c>
      <c r="C531" s="1" t="n">
        <v>46021</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15493-2023</t>
        </is>
      </c>
      <c r="B532" s="1" t="n">
        <v>45018</v>
      </c>
      <c r="C532" s="1" t="n">
        <v>46021</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51881-2024</t>
        </is>
      </c>
      <c r="B533" s="1" t="n">
        <v>45607.56773148148</v>
      </c>
      <c r="C533" s="1" t="n">
        <v>46021</v>
      </c>
      <c r="D533" t="inlineStr">
        <is>
          <t>KALMAR LÄN</t>
        </is>
      </c>
      <c r="E533" t="inlineStr">
        <is>
          <t>VIMMERBY</t>
        </is>
      </c>
      <c r="G533" t="n">
        <v>3.4</v>
      </c>
      <c r="H533" t="n">
        <v>0</v>
      </c>
      <c r="I533" t="n">
        <v>0</v>
      </c>
      <c r="J533" t="n">
        <v>0</v>
      </c>
      <c r="K533" t="n">
        <v>0</v>
      </c>
      <c r="L533" t="n">
        <v>0</v>
      </c>
      <c r="M533" t="n">
        <v>0</v>
      </c>
      <c r="N533" t="n">
        <v>0</v>
      </c>
      <c r="O533" t="n">
        <v>0</v>
      </c>
      <c r="P533" t="n">
        <v>0</v>
      </c>
      <c r="Q533" t="n">
        <v>0</v>
      </c>
      <c r="R533" s="2" t="inlineStr"/>
    </row>
    <row r="534" ht="15" customHeight="1">
      <c r="A534" t="inlineStr">
        <is>
          <t>A 1021-2024</t>
        </is>
      </c>
      <c r="B534" s="1" t="n">
        <v>45301.67736111111</v>
      </c>
      <c r="C534" s="1" t="n">
        <v>46021</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32569-2024</t>
        </is>
      </c>
      <c r="B535" s="1" t="n">
        <v>45513.55840277778</v>
      </c>
      <c r="C535" s="1" t="n">
        <v>46021</v>
      </c>
      <c r="D535" t="inlineStr">
        <is>
          <t>KALMAR LÄN</t>
        </is>
      </c>
      <c r="E535" t="inlineStr">
        <is>
          <t>VIMMERBY</t>
        </is>
      </c>
      <c r="G535" t="n">
        <v>3.7</v>
      </c>
      <c r="H535" t="n">
        <v>0</v>
      </c>
      <c r="I535" t="n">
        <v>0</v>
      </c>
      <c r="J535" t="n">
        <v>0</v>
      </c>
      <c r="K535" t="n">
        <v>0</v>
      </c>
      <c r="L535" t="n">
        <v>0</v>
      </c>
      <c r="M535" t="n">
        <v>0</v>
      </c>
      <c r="N535" t="n">
        <v>0</v>
      </c>
      <c r="O535" t="n">
        <v>0</v>
      </c>
      <c r="P535" t="n">
        <v>0</v>
      </c>
      <c r="Q535" t="n">
        <v>0</v>
      </c>
      <c r="R535" s="2" t="inlineStr"/>
    </row>
    <row r="536" ht="15" customHeight="1">
      <c r="A536" t="inlineStr">
        <is>
          <t>A 32575-2024</t>
        </is>
      </c>
      <c r="B536" s="1" t="n">
        <v>45513.56527777778</v>
      </c>
      <c r="C536" s="1" t="n">
        <v>46021</v>
      </c>
      <c r="D536" t="inlineStr">
        <is>
          <t>KALMAR LÄN</t>
        </is>
      </c>
      <c r="E536" t="inlineStr">
        <is>
          <t>VIMMERBY</t>
        </is>
      </c>
      <c r="G536" t="n">
        <v>1.5</v>
      </c>
      <c r="H536" t="n">
        <v>0</v>
      </c>
      <c r="I536" t="n">
        <v>0</v>
      </c>
      <c r="J536" t="n">
        <v>0</v>
      </c>
      <c r="K536" t="n">
        <v>0</v>
      </c>
      <c r="L536" t="n">
        <v>0</v>
      </c>
      <c r="M536" t="n">
        <v>0</v>
      </c>
      <c r="N536" t="n">
        <v>0</v>
      </c>
      <c r="O536" t="n">
        <v>0</v>
      </c>
      <c r="P536" t="n">
        <v>0</v>
      </c>
      <c r="Q536" t="n">
        <v>0</v>
      </c>
      <c r="R536" s="2" t="inlineStr"/>
    </row>
    <row r="537" ht="15" customHeight="1">
      <c r="A537" t="inlineStr">
        <is>
          <t>A 30063-2023</t>
        </is>
      </c>
      <c r="B537" s="1" t="n">
        <v>45110.4184375</v>
      </c>
      <c r="C537" s="1" t="n">
        <v>46021</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9475-2023</t>
        </is>
      </c>
      <c r="B538" s="1" t="n">
        <v>44981.58834490741</v>
      </c>
      <c r="C538" s="1" t="n">
        <v>46021</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17482-2024</t>
        </is>
      </c>
      <c r="B539" s="1" t="n">
        <v>45415.47848379629</v>
      </c>
      <c r="C539" s="1" t="n">
        <v>46021</v>
      </c>
      <c r="D539" t="inlineStr">
        <is>
          <t>KALMAR LÄN</t>
        </is>
      </c>
      <c r="E539" t="inlineStr">
        <is>
          <t>VIMMERBY</t>
        </is>
      </c>
      <c r="G539" t="n">
        <v>1.7</v>
      </c>
      <c r="H539" t="n">
        <v>0</v>
      </c>
      <c r="I539" t="n">
        <v>0</v>
      </c>
      <c r="J539" t="n">
        <v>0</v>
      </c>
      <c r="K539" t="n">
        <v>0</v>
      </c>
      <c r="L539" t="n">
        <v>0</v>
      </c>
      <c r="M539" t="n">
        <v>0</v>
      </c>
      <c r="N539" t="n">
        <v>0</v>
      </c>
      <c r="O539" t="n">
        <v>0</v>
      </c>
      <c r="P539" t="n">
        <v>0</v>
      </c>
      <c r="Q539" t="n">
        <v>0</v>
      </c>
      <c r="R539" s="2" t="inlineStr"/>
    </row>
    <row r="540" ht="15" customHeight="1">
      <c r="A540" t="inlineStr">
        <is>
          <t>A 13817-2024</t>
        </is>
      </c>
      <c r="B540" s="1" t="n">
        <v>45391.41976851852</v>
      </c>
      <c r="C540" s="1" t="n">
        <v>46021</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30406-2023</t>
        </is>
      </c>
      <c r="B541" s="1" t="n">
        <v>45111.48787037037</v>
      </c>
      <c r="C541" s="1" t="n">
        <v>46021</v>
      </c>
      <c r="D541" t="inlineStr">
        <is>
          <t>KALMAR LÄN</t>
        </is>
      </c>
      <c r="E541" t="inlineStr">
        <is>
          <t>VIMMERBY</t>
        </is>
      </c>
      <c r="G541" t="n">
        <v>2.4</v>
      </c>
      <c r="H541" t="n">
        <v>0</v>
      </c>
      <c r="I541" t="n">
        <v>0</v>
      </c>
      <c r="J541" t="n">
        <v>0</v>
      </c>
      <c r="K541" t="n">
        <v>0</v>
      </c>
      <c r="L541" t="n">
        <v>0</v>
      </c>
      <c r="M541" t="n">
        <v>0</v>
      </c>
      <c r="N541" t="n">
        <v>0</v>
      </c>
      <c r="O541" t="n">
        <v>0</v>
      </c>
      <c r="P541" t="n">
        <v>0</v>
      </c>
      <c r="Q541" t="n">
        <v>0</v>
      </c>
      <c r="R541" s="2" t="inlineStr"/>
    </row>
    <row r="542" ht="15" customHeight="1">
      <c r="A542" t="inlineStr">
        <is>
          <t>A 46887-2025</t>
        </is>
      </c>
      <c r="B542" s="1" t="n">
        <v>45929.3672337963</v>
      </c>
      <c r="C542" s="1" t="n">
        <v>46021</v>
      </c>
      <c r="D542" t="inlineStr">
        <is>
          <t>KALMAR LÄN</t>
        </is>
      </c>
      <c r="E542" t="inlineStr">
        <is>
          <t>VIMMERBY</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47227-2025</t>
        </is>
      </c>
      <c r="B543" s="1" t="n">
        <v>45930.39769675926</v>
      </c>
      <c r="C543" s="1" t="n">
        <v>46021</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43092-2024</t>
        </is>
      </c>
      <c r="B544" s="1" t="n">
        <v>45567</v>
      </c>
      <c r="C544" s="1" t="n">
        <v>46021</v>
      </c>
      <c r="D544" t="inlineStr">
        <is>
          <t>KALMAR LÄN</t>
        </is>
      </c>
      <c r="E544" t="inlineStr">
        <is>
          <t>VIMMERBY</t>
        </is>
      </c>
      <c r="G544" t="n">
        <v>2.7</v>
      </c>
      <c r="H544" t="n">
        <v>0</v>
      </c>
      <c r="I544" t="n">
        <v>0</v>
      </c>
      <c r="J544" t="n">
        <v>0</v>
      </c>
      <c r="K544" t="n">
        <v>0</v>
      </c>
      <c r="L544" t="n">
        <v>0</v>
      </c>
      <c r="M544" t="n">
        <v>0</v>
      </c>
      <c r="N544" t="n">
        <v>0</v>
      </c>
      <c r="O544" t="n">
        <v>0</v>
      </c>
      <c r="P544" t="n">
        <v>0</v>
      </c>
      <c r="Q544" t="n">
        <v>0</v>
      </c>
      <c r="R544" s="2" t="inlineStr"/>
    </row>
    <row r="545" ht="15" customHeight="1">
      <c r="A545" t="inlineStr">
        <is>
          <t>A 11619-2023</t>
        </is>
      </c>
      <c r="B545" s="1" t="n">
        <v>44994.42113425926</v>
      </c>
      <c r="C545" s="1" t="n">
        <v>46021</v>
      </c>
      <c r="D545" t="inlineStr">
        <is>
          <t>KALMAR LÄN</t>
        </is>
      </c>
      <c r="E545" t="inlineStr">
        <is>
          <t>VIMMERBY</t>
        </is>
      </c>
      <c r="G545" t="n">
        <v>2.5</v>
      </c>
      <c r="H545" t="n">
        <v>0</v>
      </c>
      <c r="I545" t="n">
        <v>0</v>
      </c>
      <c r="J545" t="n">
        <v>0</v>
      </c>
      <c r="K545" t="n">
        <v>0</v>
      </c>
      <c r="L545" t="n">
        <v>0</v>
      </c>
      <c r="M545" t="n">
        <v>0</v>
      </c>
      <c r="N545" t="n">
        <v>0</v>
      </c>
      <c r="O545" t="n">
        <v>0</v>
      </c>
      <c r="P545" t="n">
        <v>0</v>
      </c>
      <c r="Q545" t="n">
        <v>0</v>
      </c>
      <c r="R545" s="2" t="inlineStr"/>
    </row>
    <row r="546" ht="15" customHeight="1">
      <c r="A546" t="inlineStr">
        <is>
          <t>A 29020-2024</t>
        </is>
      </c>
      <c r="B546" s="1" t="n">
        <v>45481.58048611111</v>
      </c>
      <c r="C546" s="1" t="n">
        <v>46021</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5074-2023</t>
        </is>
      </c>
      <c r="B547" s="1" t="n">
        <v>44958.61047453704</v>
      </c>
      <c r="C547" s="1" t="n">
        <v>46021</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6368-2023</t>
        </is>
      </c>
      <c r="B548" s="1" t="n">
        <v>44965</v>
      </c>
      <c r="C548" s="1" t="n">
        <v>46021</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5701-2024</t>
        </is>
      </c>
      <c r="B549" s="1" t="n">
        <v>45334.78826388889</v>
      </c>
      <c r="C549" s="1" t="n">
        <v>46021</v>
      </c>
      <c r="D549" t="inlineStr">
        <is>
          <t>KALMAR LÄN</t>
        </is>
      </c>
      <c r="E549" t="inlineStr">
        <is>
          <t>VIMMERBY</t>
        </is>
      </c>
      <c r="G549" t="n">
        <v>2.3</v>
      </c>
      <c r="H549" t="n">
        <v>0</v>
      </c>
      <c r="I549" t="n">
        <v>0</v>
      </c>
      <c r="J549" t="n">
        <v>0</v>
      </c>
      <c r="K549" t="n">
        <v>0</v>
      </c>
      <c r="L549" t="n">
        <v>0</v>
      </c>
      <c r="M549" t="n">
        <v>0</v>
      </c>
      <c r="N549" t="n">
        <v>0</v>
      </c>
      <c r="O549" t="n">
        <v>0</v>
      </c>
      <c r="P549" t="n">
        <v>0</v>
      </c>
      <c r="Q549" t="n">
        <v>0</v>
      </c>
      <c r="R549" s="2" t="inlineStr"/>
    </row>
    <row r="550" ht="15" customHeight="1">
      <c r="A550" t="inlineStr">
        <is>
          <t>A 7797-2023</t>
        </is>
      </c>
      <c r="B550" s="1" t="n">
        <v>44973.43075231482</v>
      </c>
      <c r="C550" s="1" t="n">
        <v>46021</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24655-2021</t>
        </is>
      </c>
      <c r="B551" s="1" t="n">
        <v>44340</v>
      </c>
      <c r="C551" s="1" t="n">
        <v>46021</v>
      </c>
      <c r="D551" t="inlineStr">
        <is>
          <t>KALMAR LÄN</t>
        </is>
      </c>
      <c r="E551" t="inlineStr">
        <is>
          <t>VIMMERBY</t>
        </is>
      </c>
      <c r="G551" t="n">
        <v>14.9</v>
      </c>
      <c r="H551" t="n">
        <v>0</v>
      </c>
      <c r="I551" t="n">
        <v>0</v>
      </c>
      <c r="J551" t="n">
        <v>0</v>
      </c>
      <c r="K551" t="n">
        <v>0</v>
      </c>
      <c r="L551" t="n">
        <v>0</v>
      </c>
      <c r="M551" t="n">
        <v>0</v>
      </c>
      <c r="N551" t="n">
        <v>0</v>
      </c>
      <c r="O551" t="n">
        <v>0</v>
      </c>
      <c r="P551" t="n">
        <v>0</v>
      </c>
      <c r="Q551" t="n">
        <v>0</v>
      </c>
      <c r="R551" s="2" t="inlineStr"/>
    </row>
    <row r="552" ht="15" customHeight="1">
      <c r="A552" t="inlineStr">
        <is>
          <t>A 8410-2023</t>
        </is>
      </c>
      <c r="B552" s="1" t="n">
        <v>44977</v>
      </c>
      <c r="C552" s="1" t="n">
        <v>46021</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6028-2023</t>
        </is>
      </c>
      <c r="B553" s="1" t="n">
        <v>44964.44356481481</v>
      </c>
      <c r="C553" s="1" t="n">
        <v>46021</v>
      </c>
      <c r="D553" t="inlineStr">
        <is>
          <t>KALMAR LÄN</t>
        </is>
      </c>
      <c r="E553" t="inlineStr">
        <is>
          <t>VIMMERBY</t>
        </is>
      </c>
      <c r="G553" t="n">
        <v>2.5</v>
      </c>
      <c r="H553" t="n">
        <v>0</v>
      </c>
      <c r="I553" t="n">
        <v>0</v>
      </c>
      <c r="J553" t="n">
        <v>0</v>
      </c>
      <c r="K553" t="n">
        <v>0</v>
      </c>
      <c r="L553" t="n">
        <v>0</v>
      </c>
      <c r="M553" t="n">
        <v>0</v>
      </c>
      <c r="N553" t="n">
        <v>0</v>
      </c>
      <c r="O553" t="n">
        <v>0</v>
      </c>
      <c r="P553" t="n">
        <v>0</v>
      </c>
      <c r="Q553" t="n">
        <v>0</v>
      </c>
      <c r="R553" s="2" t="inlineStr"/>
    </row>
    <row r="554" ht="15" customHeight="1">
      <c r="A554" t="inlineStr">
        <is>
          <t>A 52823-2024</t>
        </is>
      </c>
      <c r="B554" s="1" t="n">
        <v>45610.59094907407</v>
      </c>
      <c r="C554" s="1" t="n">
        <v>46021</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56853-2022</t>
        </is>
      </c>
      <c r="B555" s="1" t="n">
        <v>44894.49538194444</v>
      </c>
      <c r="C555" s="1" t="n">
        <v>46021</v>
      </c>
      <c r="D555" t="inlineStr">
        <is>
          <t>KALMAR LÄN</t>
        </is>
      </c>
      <c r="E555" t="inlineStr">
        <is>
          <t>VIMMERBY</t>
        </is>
      </c>
      <c r="G555" t="n">
        <v>4.3</v>
      </c>
      <c r="H555" t="n">
        <v>0</v>
      </c>
      <c r="I555" t="n">
        <v>0</v>
      </c>
      <c r="J555" t="n">
        <v>0</v>
      </c>
      <c r="K555" t="n">
        <v>0</v>
      </c>
      <c r="L555" t="n">
        <v>0</v>
      </c>
      <c r="M555" t="n">
        <v>0</v>
      </c>
      <c r="N555" t="n">
        <v>0</v>
      </c>
      <c r="O555" t="n">
        <v>0</v>
      </c>
      <c r="P555" t="n">
        <v>0</v>
      </c>
      <c r="Q555" t="n">
        <v>0</v>
      </c>
      <c r="R555" s="2" t="inlineStr"/>
    </row>
    <row r="556" ht="15" customHeight="1">
      <c r="A556" t="inlineStr">
        <is>
          <t>A 11152-2023</t>
        </is>
      </c>
      <c r="B556" s="1" t="n">
        <v>44992</v>
      </c>
      <c r="C556" s="1" t="n">
        <v>46021</v>
      </c>
      <c r="D556" t="inlineStr">
        <is>
          <t>KALMAR LÄN</t>
        </is>
      </c>
      <c r="E556" t="inlineStr">
        <is>
          <t>VIMMERBY</t>
        </is>
      </c>
      <c r="G556" t="n">
        <v>10.6</v>
      </c>
      <c r="H556" t="n">
        <v>0</v>
      </c>
      <c r="I556" t="n">
        <v>0</v>
      </c>
      <c r="J556" t="n">
        <v>0</v>
      </c>
      <c r="K556" t="n">
        <v>0</v>
      </c>
      <c r="L556" t="n">
        <v>0</v>
      </c>
      <c r="M556" t="n">
        <v>0</v>
      </c>
      <c r="N556" t="n">
        <v>0</v>
      </c>
      <c r="O556" t="n">
        <v>0</v>
      </c>
      <c r="P556" t="n">
        <v>0</v>
      </c>
      <c r="Q556" t="n">
        <v>0</v>
      </c>
      <c r="R556" s="2" t="inlineStr"/>
    </row>
    <row r="557" ht="15" customHeight="1">
      <c r="A557" t="inlineStr">
        <is>
          <t>A 25582-2024</t>
        </is>
      </c>
      <c r="B557" s="1" t="n">
        <v>45463</v>
      </c>
      <c r="C557" s="1" t="n">
        <v>46021</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15550-2023</t>
        </is>
      </c>
      <c r="B558" s="1" t="n">
        <v>45020</v>
      </c>
      <c r="C558" s="1" t="n">
        <v>46021</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57578-2024</t>
        </is>
      </c>
      <c r="B559" s="1" t="n">
        <v>45630.47564814815</v>
      </c>
      <c r="C559" s="1" t="n">
        <v>46021</v>
      </c>
      <c r="D559" t="inlineStr">
        <is>
          <t>KALMAR LÄN</t>
        </is>
      </c>
      <c r="E559" t="inlineStr">
        <is>
          <t>VIMMERBY</t>
        </is>
      </c>
      <c r="G559" t="n">
        <v>2.6</v>
      </c>
      <c r="H559" t="n">
        <v>0</v>
      </c>
      <c r="I559" t="n">
        <v>0</v>
      </c>
      <c r="J559" t="n">
        <v>0</v>
      </c>
      <c r="K559" t="n">
        <v>0</v>
      </c>
      <c r="L559" t="n">
        <v>0</v>
      </c>
      <c r="M559" t="n">
        <v>0</v>
      </c>
      <c r="N559" t="n">
        <v>0</v>
      </c>
      <c r="O559" t="n">
        <v>0</v>
      </c>
      <c r="P559" t="n">
        <v>0</v>
      </c>
      <c r="Q559" t="n">
        <v>0</v>
      </c>
      <c r="R559" s="2" t="inlineStr"/>
    </row>
    <row r="560" ht="15" customHeight="1">
      <c r="A560" t="inlineStr">
        <is>
          <t>A 47965-2025</t>
        </is>
      </c>
      <c r="B560" s="1" t="n">
        <v>45932.59597222223</v>
      </c>
      <c r="C560" s="1" t="n">
        <v>46021</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31355-2023</t>
        </is>
      </c>
      <c r="B561" s="1" t="n">
        <v>45114.49505787037</v>
      </c>
      <c r="C561" s="1" t="n">
        <v>46021</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18330-2023</t>
        </is>
      </c>
      <c r="B562" s="1" t="n">
        <v>45041</v>
      </c>
      <c r="C562" s="1" t="n">
        <v>46021</v>
      </c>
      <c r="D562" t="inlineStr">
        <is>
          <t>KALMAR LÄN</t>
        </is>
      </c>
      <c r="E562" t="inlineStr">
        <is>
          <t>VIMMERBY</t>
        </is>
      </c>
      <c r="G562" t="n">
        <v>1.7</v>
      </c>
      <c r="H562" t="n">
        <v>0</v>
      </c>
      <c r="I562" t="n">
        <v>0</v>
      </c>
      <c r="J562" t="n">
        <v>0</v>
      </c>
      <c r="K562" t="n">
        <v>0</v>
      </c>
      <c r="L562" t="n">
        <v>0</v>
      </c>
      <c r="M562" t="n">
        <v>0</v>
      </c>
      <c r="N562" t="n">
        <v>0</v>
      </c>
      <c r="O562" t="n">
        <v>0</v>
      </c>
      <c r="P562" t="n">
        <v>0</v>
      </c>
      <c r="Q562" t="n">
        <v>0</v>
      </c>
      <c r="R562" s="2" t="inlineStr"/>
    </row>
    <row r="563" ht="15" customHeight="1">
      <c r="A563" t="inlineStr">
        <is>
          <t>A 58100-2024</t>
        </is>
      </c>
      <c r="B563" s="1" t="n">
        <v>45632.36706018518</v>
      </c>
      <c r="C563" s="1" t="n">
        <v>46021</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47955-2025</t>
        </is>
      </c>
      <c r="B564" s="1" t="n">
        <v>45932.58896990741</v>
      </c>
      <c r="C564" s="1" t="n">
        <v>46021</v>
      </c>
      <c r="D564" t="inlineStr">
        <is>
          <t>KALMAR LÄN</t>
        </is>
      </c>
      <c r="E564" t="inlineStr">
        <is>
          <t>VIMMERBY</t>
        </is>
      </c>
      <c r="G564" t="n">
        <v>3.4</v>
      </c>
      <c r="H564" t="n">
        <v>0</v>
      </c>
      <c r="I564" t="n">
        <v>0</v>
      </c>
      <c r="J564" t="n">
        <v>0</v>
      </c>
      <c r="K564" t="n">
        <v>0</v>
      </c>
      <c r="L564" t="n">
        <v>0</v>
      </c>
      <c r="M564" t="n">
        <v>0</v>
      </c>
      <c r="N564" t="n">
        <v>0</v>
      </c>
      <c r="O564" t="n">
        <v>0</v>
      </c>
      <c r="P564" t="n">
        <v>0</v>
      </c>
      <c r="Q564" t="n">
        <v>0</v>
      </c>
      <c r="R564" s="2" t="inlineStr"/>
    </row>
    <row r="565" ht="15" customHeight="1">
      <c r="A565" t="inlineStr">
        <is>
          <t>A 27993-2022</t>
        </is>
      </c>
      <c r="B565" s="1" t="n">
        <v>44745.84396990741</v>
      </c>
      <c r="C565" s="1" t="n">
        <v>46021</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22399-2025</t>
        </is>
      </c>
      <c r="B566" s="1" t="n">
        <v>45786.52996527778</v>
      </c>
      <c r="C566" s="1" t="n">
        <v>46021</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38969-2023</t>
        </is>
      </c>
      <c r="B567" s="1" t="n">
        <v>45163.63621527778</v>
      </c>
      <c r="C567" s="1" t="n">
        <v>46021</v>
      </c>
      <c r="D567" t="inlineStr">
        <is>
          <t>KALMAR LÄN</t>
        </is>
      </c>
      <c r="E567" t="inlineStr">
        <is>
          <t>VIMMERBY</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53752-2024</t>
        </is>
      </c>
      <c r="B568" s="1" t="n">
        <v>45615.48927083334</v>
      </c>
      <c r="C568" s="1" t="n">
        <v>46021</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22397-2025</t>
        </is>
      </c>
      <c r="B569" s="1" t="n">
        <v>45786.52878472222</v>
      </c>
      <c r="C569" s="1" t="n">
        <v>46021</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48299-2025</t>
        </is>
      </c>
      <c r="B570" s="1" t="n">
        <v>45933.60982638889</v>
      </c>
      <c r="C570" s="1" t="n">
        <v>46021</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11442-2025</t>
        </is>
      </c>
      <c r="B571" s="1" t="n">
        <v>45726.62721064815</v>
      </c>
      <c r="C571" s="1" t="n">
        <v>46021</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58728-2024</t>
        </is>
      </c>
      <c r="B572" s="1" t="n">
        <v>45635.66695601852</v>
      </c>
      <c r="C572" s="1" t="n">
        <v>46021</v>
      </c>
      <c r="D572" t="inlineStr">
        <is>
          <t>KALMAR LÄN</t>
        </is>
      </c>
      <c r="E572" t="inlineStr">
        <is>
          <t>VIMMERBY</t>
        </is>
      </c>
      <c r="G572" t="n">
        <v>0.4</v>
      </c>
      <c r="H572" t="n">
        <v>0</v>
      </c>
      <c r="I572" t="n">
        <v>0</v>
      </c>
      <c r="J572" t="n">
        <v>0</v>
      </c>
      <c r="K572" t="n">
        <v>0</v>
      </c>
      <c r="L572" t="n">
        <v>0</v>
      </c>
      <c r="M572" t="n">
        <v>0</v>
      </c>
      <c r="N572" t="n">
        <v>0</v>
      </c>
      <c r="O572" t="n">
        <v>0</v>
      </c>
      <c r="P572" t="n">
        <v>0</v>
      </c>
      <c r="Q572" t="n">
        <v>0</v>
      </c>
      <c r="R572" s="2" t="inlineStr"/>
    </row>
    <row r="573" ht="15" customHeight="1">
      <c r="A573" t="inlineStr">
        <is>
          <t>A 43242-2024</t>
        </is>
      </c>
      <c r="B573" s="1" t="n">
        <v>45568.30189814815</v>
      </c>
      <c r="C573" s="1" t="n">
        <v>46021</v>
      </c>
      <c r="D573" t="inlineStr">
        <is>
          <t>KALMAR LÄN</t>
        </is>
      </c>
      <c r="E573" t="inlineStr">
        <is>
          <t>VIMMERBY</t>
        </is>
      </c>
      <c r="G573" t="n">
        <v>2.6</v>
      </c>
      <c r="H573" t="n">
        <v>0</v>
      </c>
      <c r="I573" t="n">
        <v>0</v>
      </c>
      <c r="J573" t="n">
        <v>0</v>
      </c>
      <c r="K573" t="n">
        <v>0</v>
      </c>
      <c r="L573" t="n">
        <v>0</v>
      </c>
      <c r="M573" t="n">
        <v>0</v>
      </c>
      <c r="N573" t="n">
        <v>0</v>
      </c>
      <c r="O573" t="n">
        <v>0</v>
      </c>
      <c r="P573" t="n">
        <v>0</v>
      </c>
      <c r="Q573" t="n">
        <v>0</v>
      </c>
      <c r="R573" s="2" t="inlineStr"/>
    </row>
    <row r="574" ht="15" customHeight="1">
      <c r="A574" t="inlineStr">
        <is>
          <t>A 16983-2023</t>
        </is>
      </c>
      <c r="B574" s="1" t="n">
        <v>45033.76043981482</v>
      </c>
      <c r="C574" s="1" t="n">
        <v>46021</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48723-2025</t>
        </is>
      </c>
      <c r="B575" s="1" t="n">
        <v>45936.65121527778</v>
      </c>
      <c r="C575" s="1" t="n">
        <v>46021</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6307-2025</t>
        </is>
      </c>
      <c r="B576" s="1" t="n">
        <v>45698.69016203703</v>
      </c>
      <c r="C576" s="1" t="n">
        <v>46021</v>
      </c>
      <c r="D576" t="inlineStr">
        <is>
          <t>KALMAR LÄN</t>
        </is>
      </c>
      <c r="E576" t="inlineStr">
        <is>
          <t>VIMMERBY</t>
        </is>
      </c>
      <c r="G576" t="n">
        <v>3</v>
      </c>
      <c r="H576" t="n">
        <v>0</v>
      </c>
      <c r="I576" t="n">
        <v>0</v>
      </c>
      <c r="J576" t="n">
        <v>0</v>
      </c>
      <c r="K576" t="n">
        <v>0</v>
      </c>
      <c r="L576" t="n">
        <v>0</v>
      </c>
      <c r="M576" t="n">
        <v>0</v>
      </c>
      <c r="N576" t="n">
        <v>0</v>
      </c>
      <c r="O576" t="n">
        <v>0</v>
      </c>
      <c r="P576" t="n">
        <v>0</v>
      </c>
      <c r="Q576" t="n">
        <v>0</v>
      </c>
      <c r="R576" s="2" t="inlineStr"/>
    </row>
    <row r="577" ht="15" customHeight="1">
      <c r="A577" t="inlineStr">
        <is>
          <t>A 6405-2025</t>
        </is>
      </c>
      <c r="B577" s="1" t="n">
        <v>45699.45392361111</v>
      </c>
      <c r="C577" s="1" t="n">
        <v>46021</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36843-2023</t>
        </is>
      </c>
      <c r="B578" s="1" t="n">
        <v>45154.49831018518</v>
      </c>
      <c r="C578" s="1" t="n">
        <v>46021</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48600-2025</t>
        </is>
      </c>
      <c r="B579" s="1" t="n">
        <v>45935</v>
      </c>
      <c r="C579" s="1" t="n">
        <v>46021</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57486-2024</t>
        </is>
      </c>
      <c r="B580" s="1" t="n">
        <v>45630.35827546296</v>
      </c>
      <c r="C580" s="1" t="n">
        <v>46021</v>
      </c>
      <c r="D580" t="inlineStr">
        <is>
          <t>KALMAR LÄN</t>
        </is>
      </c>
      <c r="E580" t="inlineStr">
        <is>
          <t>VIMMERBY</t>
        </is>
      </c>
      <c r="G580" t="n">
        <v>0.4</v>
      </c>
      <c r="H580" t="n">
        <v>0</v>
      </c>
      <c r="I580" t="n">
        <v>0</v>
      </c>
      <c r="J580" t="n">
        <v>0</v>
      </c>
      <c r="K580" t="n">
        <v>0</v>
      </c>
      <c r="L580" t="n">
        <v>0</v>
      </c>
      <c r="M580" t="n">
        <v>0</v>
      </c>
      <c r="N580" t="n">
        <v>0</v>
      </c>
      <c r="O580" t="n">
        <v>0</v>
      </c>
      <c r="P580" t="n">
        <v>0</v>
      </c>
      <c r="Q580" t="n">
        <v>0</v>
      </c>
      <c r="R580" s="2" t="inlineStr"/>
    </row>
    <row r="581" ht="15" customHeight="1">
      <c r="A581" t="inlineStr">
        <is>
          <t>A 23394-2025</t>
        </is>
      </c>
      <c r="B581" s="1" t="n">
        <v>45791.89865740741</v>
      </c>
      <c r="C581" s="1" t="n">
        <v>46021</v>
      </c>
      <c r="D581" t="inlineStr">
        <is>
          <t>KALMAR LÄN</t>
        </is>
      </c>
      <c r="E581" t="inlineStr">
        <is>
          <t>VIMMERBY</t>
        </is>
      </c>
      <c r="G581" t="n">
        <v>3.1</v>
      </c>
      <c r="H581" t="n">
        <v>0</v>
      </c>
      <c r="I581" t="n">
        <v>0</v>
      </c>
      <c r="J581" t="n">
        <v>0</v>
      </c>
      <c r="K581" t="n">
        <v>0</v>
      </c>
      <c r="L581" t="n">
        <v>0</v>
      </c>
      <c r="M581" t="n">
        <v>0</v>
      </c>
      <c r="N581" t="n">
        <v>0</v>
      </c>
      <c r="O581" t="n">
        <v>0</v>
      </c>
      <c r="P581" t="n">
        <v>0</v>
      </c>
      <c r="Q581" t="n">
        <v>0</v>
      </c>
      <c r="R581" s="2" t="inlineStr"/>
    </row>
    <row r="582" ht="15" customHeight="1">
      <c r="A582" t="inlineStr">
        <is>
          <t>A 48408-2025</t>
        </is>
      </c>
      <c r="B582" s="1" t="n">
        <v>45934.40527777778</v>
      </c>
      <c r="C582" s="1" t="n">
        <v>46021</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48409-2025</t>
        </is>
      </c>
      <c r="B583" s="1" t="n">
        <v>45934.41387731482</v>
      </c>
      <c r="C583" s="1" t="n">
        <v>46021</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44423-2023</t>
        </is>
      </c>
      <c r="B584" s="1" t="n">
        <v>45189</v>
      </c>
      <c r="C584" s="1" t="n">
        <v>46021</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20-2025</t>
        </is>
      </c>
      <c r="B585" s="1" t="n">
        <v>45658.80232638889</v>
      </c>
      <c r="C585" s="1" t="n">
        <v>46021</v>
      </c>
      <c r="D585" t="inlineStr">
        <is>
          <t>KALMAR LÄN</t>
        </is>
      </c>
      <c r="E585" t="inlineStr">
        <is>
          <t>VIMMERBY</t>
        </is>
      </c>
      <c r="G585" t="n">
        <v>1.3</v>
      </c>
      <c r="H585" t="n">
        <v>0</v>
      </c>
      <c r="I585" t="n">
        <v>0</v>
      </c>
      <c r="J585" t="n">
        <v>0</v>
      </c>
      <c r="K585" t="n">
        <v>0</v>
      </c>
      <c r="L585" t="n">
        <v>0</v>
      </c>
      <c r="M585" t="n">
        <v>0</v>
      </c>
      <c r="N585" t="n">
        <v>0</v>
      </c>
      <c r="O585" t="n">
        <v>0</v>
      </c>
      <c r="P585" t="n">
        <v>0</v>
      </c>
      <c r="Q585" t="n">
        <v>0</v>
      </c>
      <c r="R585" s="2" t="inlineStr"/>
    </row>
    <row r="586" ht="15" customHeight="1">
      <c r="A586" t="inlineStr">
        <is>
          <t>A 23-2025</t>
        </is>
      </c>
      <c r="B586" s="1" t="n">
        <v>45658.80827546296</v>
      </c>
      <c r="C586" s="1" t="n">
        <v>46021</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21496-2023</t>
        </is>
      </c>
      <c r="B587" s="1" t="n">
        <v>45063.49936342592</v>
      </c>
      <c r="C587" s="1" t="n">
        <v>46021</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48712-2025</t>
        </is>
      </c>
      <c r="B588" s="1" t="n">
        <v>45936.63373842592</v>
      </c>
      <c r="C588" s="1" t="n">
        <v>46021</v>
      </c>
      <c r="D588" t="inlineStr">
        <is>
          <t>KALMAR LÄN</t>
        </is>
      </c>
      <c r="E588" t="inlineStr">
        <is>
          <t>VIMMERBY</t>
        </is>
      </c>
      <c r="G588" t="n">
        <v>3</v>
      </c>
      <c r="H588" t="n">
        <v>0</v>
      </c>
      <c r="I588" t="n">
        <v>0</v>
      </c>
      <c r="J588" t="n">
        <v>0</v>
      </c>
      <c r="K588" t="n">
        <v>0</v>
      </c>
      <c r="L588" t="n">
        <v>0</v>
      </c>
      <c r="M588" t="n">
        <v>0</v>
      </c>
      <c r="N588" t="n">
        <v>0</v>
      </c>
      <c r="O588" t="n">
        <v>0</v>
      </c>
      <c r="P588" t="n">
        <v>0</v>
      </c>
      <c r="Q588" t="n">
        <v>0</v>
      </c>
      <c r="R588" s="2" t="inlineStr"/>
    </row>
    <row r="589" ht="15" customHeight="1">
      <c r="A589" t="inlineStr">
        <is>
          <t>A 31056-2022</t>
        </is>
      </c>
      <c r="B589" s="1" t="n">
        <v>44769.45805555556</v>
      </c>
      <c r="C589" s="1" t="n">
        <v>46021</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72701-2021</t>
        </is>
      </c>
      <c r="B590" s="1" t="n">
        <v>44546</v>
      </c>
      <c r="C590" s="1" t="n">
        <v>46021</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52294-2023</t>
        </is>
      </c>
      <c r="B591" s="1" t="n">
        <v>45224.60075231481</v>
      </c>
      <c r="C591" s="1" t="n">
        <v>46021</v>
      </c>
      <c r="D591" t="inlineStr">
        <is>
          <t>KALMAR LÄN</t>
        </is>
      </c>
      <c r="E591" t="inlineStr">
        <is>
          <t>VIMMERBY</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61355-2024</t>
        </is>
      </c>
      <c r="B592" s="1" t="n">
        <v>45646.38200231481</v>
      </c>
      <c r="C592" s="1" t="n">
        <v>46021</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46021</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10759-2023</t>
        </is>
      </c>
      <c r="B594" s="1" t="n">
        <v>44988</v>
      </c>
      <c r="C594" s="1" t="n">
        <v>46021</v>
      </c>
      <c r="D594" t="inlineStr">
        <is>
          <t>KALMAR LÄN</t>
        </is>
      </c>
      <c r="E594" t="inlineStr">
        <is>
          <t>VIMMERBY</t>
        </is>
      </c>
      <c r="G594" t="n">
        <v>0.4</v>
      </c>
      <c r="H594" t="n">
        <v>0</v>
      </c>
      <c r="I594" t="n">
        <v>0</v>
      </c>
      <c r="J594" t="n">
        <v>0</v>
      </c>
      <c r="K594" t="n">
        <v>0</v>
      </c>
      <c r="L594" t="n">
        <v>0</v>
      </c>
      <c r="M594" t="n">
        <v>0</v>
      </c>
      <c r="N594" t="n">
        <v>0</v>
      </c>
      <c r="O594" t="n">
        <v>0</v>
      </c>
      <c r="P594" t="n">
        <v>0</v>
      </c>
      <c r="Q594" t="n">
        <v>0</v>
      </c>
      <c r="R594" s="2" t="inlineStr"/>
    </row>
    <row r="595" ht="15" customHeight="1">
      <c r="A595" t="inlineStr">
        <is>
          <t>A 18899-2025</t>
        </is>
      </c>
      <c r="B595" s="1" t="n">
        <v>45764.44931712963</v>
      </c>
      <c r="C595" s="1" t="n">
        <v>46021</v>
      </c>
      <c r="D595" t="inlineStr">
        <is>
          <t>KALMAR LÄN</t>
        </is>
      </c>
      <c r="E595" t="inlineStr">
        <is>
          <t>VIMMERBY</t>
        </is>
      </c>
      <c r="F595" t="inlineStr">
        <is>
          <t>Kommuner</t>
        </is>
      </c>
      <c r="G595" t="n">
        <v>4</v>
      </c>
      <c r="H595" t="n">
        <v>0</v>
      </c>
      <c r="I595" t="n">
        <v>0</v>
      </c>
      <c r="J595" t="n">
        <v>0</v>
      </c>
      <c r="K595" t="n">
        <v>0</v>
      </c>
      <c r="L595" t="n">
        <v>0</v>
      </c>
      <c r="M595" t="n">
        <v>0</v>
      </c>
      <c r="N595" t="n">
        <v>0</v>
      </c>
      <c r="O595" t="n">
        <v>0</v>
      </c>
      <c r="P595" t="n">
        <v>0</v>
      </c>
      <c r="Q595" t="n">
        <v>0</v>
      </c>
      <c r="R595" s="2" t="inlineStr"/>
    </row>
    <row r="596" ht="15" customHeight="1">
      <c r="A596" t="inlineStr">
        <is>
          <t>A 23984-2025</t>
        </is>
      </c>
      <c r="B596" s="1" t="n">
        <v>45796</v>
      </c>
      <c r="C596" s="1" t="n">
        <v>46021</v>
      </c>
      <c r="D596" t="inlineStr">
        <is>
          <t>KALMAR LÄN</t>
        </is>
      </c>
      <c r="E596" t="inlineStr">
        <is>
          <t>VIMMERBY</t>
        </is>
      </c>
      <c r="G596" t="n">
        <v>1.4</v>
      </c>
      <c r="H596" t="n">
        <v>0</v>
      </c>
      <c r="I596" t="n">
        <v>0</v>
      </c>
      <c r="J596" t="n">
        <v>0</v>
      </c>
      <c r="K596" t="n">
        <v>0</v>
      </c>
      <c r="L596" t="n">
        <v>0</v>
      </c>
      <c r="M596" t="n">
        <v>0</v>
      </c>
      <c r="N596" t="n">
        <v>0</v>
      </c>
      <c r="O596" t="n">
        <v>0</v>
      </c>
      <c r="P596" t="n">
        <v>0</v>
      </c>
      <c r="Q596" t="n">
        <v>0</v>
      </c>
      <c r="R596" s="2" t="inlineStr"/>
    </row>
    <row r="597" ht="15" customHeight="1">
      <c r="A597" t="inlineStr">
        <is>
          <t>A 12586-2021</t>
        </is>
      </c>
      <c r="B597" s="1" t="n">
        <v>44270.38002314815</v>
      </c>
      <c r="C597" s="1" t="n">
        <v>46021</v>
      </c>
      <c r="D597" t="inlineStr">
        <is>
          <t>KALMAR LÄN</t>
        </is>
      </c>
      <c r="E597" t="inlineStr">
        <is>
          <t>VIMMERBY</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32614-2023</t>
        </is>
      </c>
      <c r="B598" s="1" t="n">
        <v>45121</v>
      </c>
      <c r="C598" s="1" t="n">
        <v>46021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61939-2021</t>
        </is>
      </c>
      <c r="B599" s="1" t="n">
        <v>44502</v>
      </c>
      <c r="C599" s="1" t="n">
        <v>46021</v>
      </c>
      <c r="D599" t="inlineStr">
        <is>
          <t>KALMAR LÄN</t>
        </is>
      </c>
      <c r="E599" t="inlineStr">
        <is>
          <t>VIMMERBY</t>
        </is>
      </c>
      <c r="G599" t="n">
        <v>2.7</v>
      </c>
      <c r="H599" t="n">
        <v>0</v>
      </c>
      <c r="I599" t="n">
        <v>0</v>
      </c>
      <c r="J599" t="n">
        <v>0</v>
      </c>
      <c r="K599" t="n">
        <v>0</v>
      </c>
      <c r="L599" t="n">
        <v>0</v>
      </c>
      <c r="M599" t="n">
        <v>0</v>
      </c>
      <c r="N599" t="n">
        <v>0</v>
      </c>
      <c r="O599" t="n">
        <v>0</v>
      </c>
      <c r="P599" t="n">
        <v>0</v>
      </c>
      <c r="Q599" t="n">
        <v>0</v>
      </c>
      <c r="R599" s="2" t="inlineStr"/>
    </row>
    <row r="600" ht="15" customHeight="1">
      <c r="A600" t="inlineStr">
        <is>
          <t>A 51278-2024</t>
        </is>
      </c>
      <c r="B600" s="1" t="n">
        <v>45603.74959490741</v>
      </c>
      <c r="C600" s="1" t="n">
        <v>46021</v>
      </c>
      <c r="D600" t="inlineStr">
        <is>
          <t>KALMAR LÄN</t>
        </is>
      </c>
      <c r="E600" t="inlineStr">
        <is>
          <t>VIMMERBY</t>
        </is>
      </c>
      <c r="G600" t="n">
        <v>3.4</v>
      </c>
      <c r="H600" t="n">
        <v>0</v>
      </c>
      <c r="I600" t="n">
        <v>0</v>
      </c>
      <c r="J600" t="n">
        <v>0</v>
      </c>
      <c r="K600" t="n">
        <v>0</v>
      </c>
      <c r="L600" t="n">
        <v>0</v>
      </c>
      <c r="M600" t="n">
        <v>0</v>
      </c>
      <c r="N600" t="n">
        <v>0</v>
      </c>
      <c r="O600" t="n">
        <v>0</v>
      </c>
      <c r="P600" t="n">
        <v>0</v>
      </c>
      <c r="Q600" t="n">
        <v>0</v>
      </c>
      <c r="R600" s="2" t="inlineStr"/>
    </row>
    <row r="601" ht="15" customHeight="1">
      <c r="A601" t="inlineStr">
        <is>
          <t>A 6218-2025</t>
        </is>
      </c>
      <c r="B601" s="1" t="n">
        <v>45698.53336805556</v>
      </c>
      <c r="C601" s="1" t="n">
        <v>46021</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40076-2021</t>
        </is>
      </c>
      <c r="B602" s="1" t="n">
        <v>44418</v>
      </c>
      <c r="C602" s="1" t="n">
        <v>46021</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35082-2024</t>
        </is>
      </c>
      <c r="B603" s="1" t="n">
        <v>45527.68784722222</v>
      </c>
      <c r="C603" s="1" t="n">
        <v>46021</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44582-2024</t>
        </is>
      </c>
      <c r="B604" s="1" t="n">
        <v>45574.49298611111</v>
      </c>
      <c r="C604" s="1" t="n">
        <v>46021</v>
      </c>
      <c r="D604" t="inlineStr">
        <is>
          <t>KALMAR LÄN</t>
        </is>
      </c>
      <c r="E604" t="inlineStr">
        <is>
          <t>VIMMERBY</t>
        </is>
      </c>
      <c r="G604" t="n">
        <v>1.1</v>
      </c>
      <c r="H604" t="n">
        <v>0</v>
      </c>
      <c r="I604" t="n">
        <v>0</v>
      </c>
      <c r="J604" t="n">
        <v>0</v>
      </c>
      <c r="K604" t="n">
        <v>0</v>
      </c>
      <c r="L604" t="n">
        <v>0</v>
      </c>
      <c r="M604" t="n">
        <v>0</v>
      </c>
      <c r="N604" t="n">
        <v>0</v>
      </c>
      <c r="O604" t="n">
        <v>0</v>
      </c>
      <c r="P604" t="n">
        <v>0</v>
      </c>
      <c r="Q604" t="n">
        <v>0</v>
      </c>
      <c r="R604" s="2" t="inlineStr"/>
    </row>
    <row r="605" ht="15" customHeight="1">
      <c r="A605" t="inlineStr">
        <is>
          <t>A 9456-2025</t>
        </is>
      </c>
      <c r="B605" s="1" t="n">
        <v>45715.44159722222</v>
      </c>
      <c r="C605" s="1" t="n">
        <v>46021</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11111-2023</t>
        </is>
      </c>
      <c r="B606" s="1" t="n">
        <v>44992.4255787037</v>
      </c>
      <c r="C606" s="1" t="n">
        <v>46021</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58724-2024</t>
        </is>
      </c>
      <c r="B607" s="1" t="n">
        <v>45635.66409722222</v>
      </c>
      <c r="C607" s="1" t="n">
        <v>46021</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15494-2024</t>
        </is>
      </c>
      <c r="B608" s="1" t="n">
        <v>45401.53033564815</v>
      </c>
      <c r="C608" s="1" t="n">
        <v>46021</v>
      </c>
      <c r="D608" t="inlineStr">
        <is>
          <t>KALMAR LÄN</t>
        </is>
      </c>
      <c r="E608" t="inlineStr">
        <is>
          <t>VIMMERBY</t>
        </is>
      </c>
      <c r="G608" t="n">
        <v>3.2</v>
      </c>
      <c r="H608" t="n">
        <v>0</v>
      </c>
      <c r="I608" t="n">
        <v>0</v>
      </c>
      <c r="J608" t="n">
        <v>0</v>
      </c>
      <c r="K608" t="n">
        <v>0</v>
      </c>
      <c r="L608" t="n">
        <v>0</v>
      </c>
      <c r="M608" t="n">
        <v>0</v>
      </c>
      <c r="N608" t="n">
        <v>0</v>
      </c>
      <c r="O608" t="n">
        <v>0</v>
      </c>
      <c r="P608" t="n">
        <v>0</v>
      </c>
      <c r="Q608" t="n">
        <v>0</v>
      </c>
      <c r="R608" s="2" t="inlineStr"/>
    </row>
    <row r="609" ht="15" customHeight="1">
      <c r="A609" t="inlineStr">
        <is>
          <t>A 26039-2025</t>
        </is>
      </c>
      <c r="B609" s="1" t="n">
        <v>45804.6953587963</v>
      </c>
      <c r="C609" s="1" t="n">
        <v>46021</v>
      </c>
      <c r="D609" t="inlineStr">
        <is>
          <t>KALMAR LÄN</t>
        </is>
      </c>
      <c r="E609" t="inlineStr">
        <is>
          <t>VIMMERBY</t>
        </is>
      </c>
      <c r="F609" t="inlineStr">
        <is>
          <t>Sveaskog</t>
        </is>
      </c>
      <c r="G609" t="n">
        <v>5.2</v>
      </c>
      <c r="H609" t="n">
        <v>0</v>
      </c>
      <c r="I609" t="n">
        <v>0</v>
      </c>
      <c r="J609" t="n">
        <v>0</v>
      </c>
      <c r="K609" t="n">
        <v>0</v>
      </c>
      <c r="L609" t="n">
        <v>0</v>
      </c>
      <c r="M609" t="n">
        <v>0</v>
      </c>
      <c r="N609" t="n">
        <v>0</v>
      </c>
      <c r="O609" t="n">
        <v>0</v>
      </c>
      <c r="P609" t="n">
        <v>0</v>
      </c>
      <c r="Q609" t="n">
        <v>0</v>
      </c>
      <c r="R609" s="2" t="inlineStr"/>
    </row>
    <row r="610" ht="15" customHeight="1">
      <c r="A610" t="inlineStr">
        <is>
          <t>A 12588-2025</t>
        </is>
      </c>
      <c r="B610" s="1" t="n">
        <v>45732.76936342593</v>
      </c>
      <c r="C610" s="1" t="n">
        <v>46021</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26046-2025</t>
        </is>
      </c>
      <c r="B611" s="1" t="n">
        <v>45804.708125</v>
      </c>
      <c r="C611" s="1" t="n">
        <v>46021</v>
      </c>
      <c r="D611" t="inlineStr">
        <is>
          <t>KALMAR LÄN</t>
        </is>
      </c>
      <c r="E611" t="inlineStr">
        <is>
          <t>VIMMERBY</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25979-2023</t>
        </is>
      </c>
      <c r="B612" s="1" t="n">
        <v>45090.89653935185</v>
      </c>
      <c r="C612" s="1" t="n">
        <v>46021</v>
      </c>
      <c r="D612" t="inlineStr">
        <is>
          <t>KALMAR LÄN</t>
        </is>
      </c>
      <c r="E612" t="inlineStr">
        <is>
          <t>VIMMERBY</t>
        </is>
      </c>
      <c r="G612" t="n">
        <v>2</v>
      </c>
      <c r="H612" t="n">
        <v>0</v>
      </c>
      <c r="I612" t="n">
        <v>0</v>
      </c>
      <c r="J612" t="n">
        <v>0</v>
      </c>
      <c r="K612" t="n">
        <v>0</v>
      </c>
      <c r="L612" t="n">
        <v>0</v>
      </c>
      <c r="M612" t="n">
        <v>0</v>
      </c>
      <c r="N612" t="n">
        <v>0</v>
      </c>
      <c r="O612" t="n">
        <v>0</v>
      </c>
      <c r="P612" t="n">
        <v>0</v>
      </c>
      <c r="Q612" t="n">
        <v>0</v>
      </c>
      <c r="R612" s="2" t="inlineStr"/>
    </row>
    <row r="613" ht="15" customHeight="1">
      <c r="A613" t="inlineStr">
        <is>
          <t>A 25980-2023</t>
        </is>
      </c>
      <c r="B613" s="1" t="n">
        <v>45090.89880787037</v>
      </c>
      <c r="C613" s="1" t="n">
        <v>46021</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25792-2025</t>
        </is>
      </c>
      <c r="B614" s="1" t="n">
        <v>45804.39141203704</v>
      </c>
      <c r="C614" s="1" t="n">
        <v>46021</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46921-2023</t>
        </is>
      </c>
      <c r="B615" s="1" t="n">
        <v>45201.39996527778</v>
      </c>
      <c r="C615" s="1" t="n">
        <v>46021</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10837-2023</t>
        </is>
      </c>
      <c r="B616" s="1" t="n">
        <v>44991.30547453704</v>
      </c>
      <c r="C616" s="1" t="n">
        <v>46021</v>
      </c>
      <c r="D616" t="inlineStr">
        <is>
          <t>KALMAR LÄN</t>
        </is>
      </c>
      <c r="E616" t="inlineStr">
        <is>
          <t>VIMMERBY</t>
        </is>
      </c>
      <c r="G616" t="n">
        <v>7.3</v>
      </c>
      <c r="H616" t="n">
        <v>0</v>
      </c>
      <c r="I616" t="n">
        <v>0</v>
      </c>
      <c r="J616" t="n">
        <v>0</v>
      </c>
      <c r="K616" t="n">
        <v>0</v>
      </c>
      <c r="L616" t="n">
        <v>0</v>
      </c>
      <c r="M616" t="n">
        <v>0</v>
      </c>
      <c r="N616" t="n">
        <v>0</v>
      </c>
      <c r="O616" t="n">
        <v>0</v>
      </c>
      <c r="P616" t="n">
        <v>0</v>
      </c>
      <c r="Q616" t="n">
        <v>0</v>
      </c>
      <c r="R616" s="2" t="inlineStr"/>
    </row>
    <row r="617" ht="15" customHeight="1">
      <c r="A617" t="inlineStr">
        <is>
          <t>A 10838-2023</t>
        </is>
      </c>
      <c r="B617" s="1" t="n">
        <v>44991</v>
      </c>
      <c r="C617" s="1" t="n">
        <v>46021</v>
      </c>
      <c r="D617" t="inlineStr">
        <is>
          <t>KALMAR LÄN</t>
        </is>
      </c>
      <c r="E617" t="inlineStr">
        <is>
          <t>VIMMERBY</t>
        </is>
      </c>
      <c r="G617" t="n">
        <v>5.1</v>
      </c>
      <c r="H617" t="n">
        <v>0</v>
      </c>
      <c r="I617" t="n">
        <v>0</v>
      </c>
      <c r="J617" t="n">
        <v>0</v>
      </c>
      <c r="K617" t="n">
        <v>0</v>
      </c>
      <c r="L617" t="n">
        <v>0</v>
      </c>
      <c r="M617" t="n">
        <v>0</v>
      </c>
      <c r="N617" t="n">
        <v>0</v>
      </c>
      <c r="O617" t="n">
        <v>0</v>
      </c>
      <c r="P617" t="n">
        <v>0</v>
      </c>
      <c r="Q617" t="n">
        <v>0</v>
      </c>
      <c r="R617" s="2" t="inlineStr"/>
    </row>
    <row r="618" ht="15" customHeight="1">
      <c r="A618" t="inlineStr">
        <is>
          <t>A 25830-2025</t>
        </is>
      </c>
      <c r="B618" s="1" t="n">
        <v>45804.44519675926</v>
      </c>
      <c r="C618" s="1" t="n">
        <v>46021</v>
      </c>
      <c r="D618" t="inlineStr">
        <is>
          <t>KALMAR LÄN</t>
        </is>
      </c>
      <c r="E618" t="inlineStr">
        <is>
          <t>VIMMERBY</t>
        </is>
      </c>
      <c r="G618" t="n">
        <v>4.9</v>
      </c>
      <c r="H618" t="n">
        <v>0</v>
      </c>
      <c r="I618" t="n">
        <v>0</v>
      </c>
      <c r="J618" t="n">
        <v>0</v>
      </c>
      <c r="K618" t="n">
        <v>0</v>
      </c>
      <c r="L618" t="n">
        <v>0</v>
      </c>
      <c r="M618" t="n">
        <v>0</v>
      </c>
      <c r="N618" t="n">
        <v>0</v>
      </c>
      <c r="O618" t="n">
        <v>0</v>
      </c>
      <c r="P618" t="n">
        <v>0</v>
      </c>
      <c r="Q618" t="n">
        <v>0</v>
      </c>
      <c r="R618" s="2" t="inlineStr"/>
    </row>
    <row r="619" ht="15" customHeight="1">
      <c r="A619" t="inlineStr">
        <is>
          <t>A 30912-2023</t>
        </is>
      </c>
      <c r="B619" s="1" t="n">
        <v>45113.41633101852</v>
      </c>
      <c r="C619" s="1" t="n">
        <v>46021</v>
      </c>
      <c r="D619" t="inlineStr">
        <is>
          <t>KALMAR LÄN</t>
        </is>
      </c>
      <c r="E619" t="inlineStr">
        <is>
          <t>VIMMERBY</t>
        </is>
      </c>
      <c r="G619" t="n">
        <v>5</v>
      </c>
      <c r="H619" t="n">
        <v>0</v>
      </c>
      <c r="I619" t="n">
        <v>0</v>
      </c>
      <c r="J619" t="n">
        <v>0</v>
      </c>
      <c r="K619" t="n">
        <v>0</v>
      </c>
      <c r="L619" t="n">
        <v>0</v>
      </c>
      <c r="M619" t="n">
        <v>0</v>
      </c>
      <c r="N619" t="n">
        <v>0</v>
      </c>
      <c r="O619" t="n">
        <v>0</v>
      </c>
      <c r="P619" t="n">
        <v>0</v>
      </c>
      <c r="Q619" t="n">
        <v>0</v>
      </c>
      <c r="R619" s="2" t="inlineStr"/>
    </row>
    <row r="620" ht="15" customHeight="1">
      <c r="A620" t="inlineStr">
        <is>
          <t>A 26124-2025</t>
        </is>
      </c>
      <c r="B620" s="1" t="n">
        <v>45805.39247685186</v>
      </c>
      <c r="C620" s="1" t="n">
        <v>46021</v>
      </c>
      <c r="D620" t="inlineStr">
        <is>
          <t>KALMAR LÄN</t>
        </is>
      </c>
      <c r="E620" t="inlineStr">
        <is>
          <t>VIMMERBY</t>
        </is>
      </c>
      <c r="G620" t="n">
        <v>6.6</v>
      </c>
      <c r="H620" t="n">
        <v>0</v>
      </c>
      <c r="I620" t="n">
        <v>0</v>
      </c>
      <c r="J620" t="n">
        <v>0</v>
      </c>
      <c r="K620" t="n">
        <v>0</v>
      </c>
      <c r="L620" t="n">
        <v>0</v>
      </c>
      <c r="M620" t="n">
        <v>0</v>
      </c>
      <c r="N620" t="n">
        <v>0</v>
      </c>
      <c r="O620" t="n">
        <v>0</v>
      </c>
      <c r="P620" t="n">
        <v>0</v>
      </c>
      <c r="Q620" t="n">
        <v>0</v>
      </c>
      <c r="R620" s="2" t="inlineStr"/>
    </row>
    <row r="621" ht="15" customHeight="1">
      <c r="A621" t="inlineStr">
        <is>
          <t>A 55436-2023</t>
        </is>
      </c>
      <c r="B621" s="1" t="n">
        <v>45238.4328587963</v>
      </c>
      <c r="C621" s="1" t="n">
        <v>46021</v>
      </c>
      <c r="D621" t="inlineStr">
        <is>
          <t>KALMAR LÄN</t>
        </is>
      </c>
      <c r="E621" t="inlineStr">
        <is>
          <t>VIMMERBY</t>
        </is>
      </c>
      <c r="G621" t="n">
        <v>5.6</v>
      </c>
      <c r="H621" t="n">
        <v>0</v>
      </c>
      <c r="I621" t="n">
        <v>0</v>
      </c>
      <c r="J621" t="n">
        <v>0</v>
      </c>
      <c r="K621" t="n">
        <v>0</v>
      </c>
      <c r="L621" t="n">
        <v>0</v>
      </c>
      <c r="M621" t="n">
        <v>0</v>
      </c>
      <c r="N621" t="n">
        <v>0</v>
      </c>
      <c r="O621" t="n">
        <v>0</v>
      </c>
      <c r="P621" t="n">
        <v>0</v>
      </c>
      <c r="Q621" t="n">
        <v>0</v>
      </c>
      <c r="R621" s="2" t="inlineStr"/>
    </row>
    <row r="622" ht="15" customHeight="1">
      <c r="A622" t="inlineStr">
        <is>
          <t>A 26254-2025</t>
        </is>
      </c>
      <c r="B622" s="1" t="n">
        <v>45805</v>
      </c>
      <c r="C622" s="1" t="n">
        <v>46021</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49871-2025</t>
        </is>
      </c>
      <c r="B623" s="1" t="n">
        <v>45940.54104166666</v>
      </c>
      <c r="C623" s="1" t="n">
        <v>46021</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21507-2023</t>
        </is>
      </c>
      <c r="B624" s="1" t="n">
        <v>45063.508125</v>
      </c>
      <c r="C624" s="1" t="n">
        <v>46021</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51187-2023</t>
        </is>
      </c>
      <c r="B625" s="1" t="n">
        <v>45219.40528935185</v>
      </c>
      <c r="C625" s="1" t="n">
        <v>46021</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26207-2025</t>
        </is>
      </c>
      <c r="B626" s="1" t="n">
        <v>45805.52983796296</v>
      </c>
      <c r="C626" s="1" t="n">
        <v>46021</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13290-2025</t>
        </is>
      </c>
      <c r="B627" s="1" t="n">
        <v>45735.56751157407</v>
      </c>
      <c r="C627" s="1" t="n">
        <v>46021</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45560-2021</t>
        </is>
      </c>
      <c r="B628" s="1" t="n">
        <v>44440</v>
      </c>
      <c r="C628" s="1" t="n">
        <v>46021</v>
      </c>
      <c r="D628" t="inlineStr">
        <is>
          <t>KALMAR LÄN</t>
        </is>
      </c>
      <c r="E628" t="inlineStr">
        <is>
          <t>VIMMERBY</t>
        </is>
      </c>
      <c r="G628" t="n">
        <v>1.3</v>
      </c>
      <c r="H628" t="n">
        <v>0</v>
      </c>
      <c r="I628" t="n">
        <v>0</v>
      </c>
      <c r="J628" t="n">
        <v>0</v>
      </c>
      <c r="K628" t="n">
        <v>0</v>
      </c>
      <c r="L628" t="n">
        <v>0</v>
      </c>
      <c r="M628" t="n">
        <v>0</v>
      </c>
      <c r="N628" t="n">
        <v>0</v>
      </c>
      <c r="O628" t="n">
        <v>0</v>
      </c>
      <c r="P628" t="n">
        <v>0</v>
      </c>
      <c r="Q628" t="n">
        <v>0</v>
      </c>
      <c r="R628" s="2" t="inlineStr"/>
    </row>
    <row r="629" ht="15" customHeight="1">
      <c r="A629" t="inlineStr">
        <is>
          <t>A 58435-2025</t>
        </is>
      </c>
      <c r="B629" s="1" t="n">
        <v>45985.61501157407</v>
      </c>
      <c r="C629" s="1" t="n">
        <v>46021</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57728-2025</t>
        </is>
      </c>
      <c r="B630" s="1" t="n">
        <v>45981</v>
      </c>
      <c r="C630" s="1" t="n">
        <v>46021</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16622-2025</t>
        </is>
      </c>
      <c r="B631" s="1" t="n">
        <v>45754.33641203704</v>
      </c>
      <c r="C631" s="1" t="n">
        <v>46021</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58498-2025</t>
        </is>
      </c>
      <c r="B632" s="1" t="n">
        <v>45985.68671296296</v>
      </c>
      <c r="C632" s="1" t="n">
        <v>46021</v>
      </c>
      <c r="D632" t="inlineStr">
        <is>
          <t>KALMAR LÄN</t>
        </is>
      </c>
      <c r="E632" t="inlineStr">
        <is>
          <t>VIMMERBY</t>
        </is>
      </c>
      <c r="G632" t="n">
        <v>2.1</v>
      </c>
      <c r="H632" t="n">
        <v>0</v>
      </c>
      <c r="I632" t="n">
        <v>0</v>
      </c>
      <c r="J632" t="n">
        <v>0</v>
      </c>
      <c r="K632" t="n">
        <v>0</v>
      </c>
      <c r="L632" t="n">
        <v>0</v>
      </c>
      <c r="M632" t="n">
        <v>0</v>
      </c>
      <c r="N632" t="n">
        <v>0</v>
      </c>
      <c r="O632" t="n">
        <v>0</v>
      </c>
      <c r="P632" t="n">
        <v>0</v>
      </c>
      <c r="Q632" t="n">
        <v>0</v>
      </c>
      <c r="R632" s="2" t="inlineStr"/>
    </row>
    <row r="633" ht="15" customHeight="1">
      <c r="A633" t="inlineStr">
        <is>
          <t>A 58501-2025</t>
        </is>
      </c>
      <c r="B633" s="1" t="n">
        <v>45985.69153935185</v>
      </c>
      <c r="C633" s="1" t="n">
        <v>46021</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58500-2025</t>
        </is>
      </c>
      <c r="B634" s="1" t="n">
        <v>45985.69008101852</v>
      </c>
      <c r="C634" s="1" t="n">
        <v>46021</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58503-2025</t>
        </is>
      </c>
      <c r="B635" s="1" t="n">
        <v>45985.69509259259</v>
      </c>
      <c r="C635" s="1" t="n">
        <v>46021</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31340-2023</t>
        </is>
      </c>
      <c r="B636" s="1" t="n">
        <v>45114.47895833333</v>
      </c>
      <c r="C636" s="1" t="n">
        <v>46021</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29168-2024</t>
        </is>
      </c>
      <c r="B637" s="1" t="n">
        <v>45482.49870370371</v>
      </c>
      <c r="C637" s="1" t="n">
        <v>46021</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29186-2024</t>
        </is>
      </c>
      <c r="B638" s="1" t="n">
        <v>45482.54844907407</v>
      </c>
      <c r="C638" s="1" t="n">
        <v>46021</v>
      </c>
      <c r="D638" t="inlineStr">
        <is>
          <t>KALMAR LÄN</t>
        </is>
      </c>
      <c r="E638" t="inlineStr">
        <is>
          <t>VIMMERBY</t>
        </is>
      </c>
      <c r="G638" t="n">
        <v>2.6</v>
      </c>
      <c r="H638" t="n">
        <v>0</v>
      </c>
      <c r="I638" t="n">
        <v>0</v>
      </c>
      <c r="J638" t="n">
        <v>0</v>
      </c>
      <c r="K638" t="n">
        <v>0</v>
      </c>
      <c r="L638" t="n">
        <v>0</v>
      </c>
      <c r="M638" t="n">
        <v>0</v>
      </c>
      <c r="N638" t="n">
        <v>0</v>
      </c>
      <c r="O638" t="n">
        <v>0</v>
      </c>
      <c r="P638" t="n">
        <v>0</v>
      </c>
      <c r="Q638" t="n">
        <v>0</v>
      </c>
      <c r="R638" s="2" t="inlineStr"/>
    </row>
    <row r="639" ht="15" customHeight="1">
      <c r="A639" t="inlineStr">
        <is>
          <t>A 35895-2024</t>
        </is>
      </c>
      <c r="B639" s="1" t="n">
        <v>45533.38870370371</v>
      </c>
      <c r="C639" s="1" t="n">
        <v>46021</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12590-2025</t>
        </is>
      </c>
      <c r="B640" s="1" t="n">
        <v>45732.79925925926</v>
      </c>
      <c r="C640" s="1" t="n">
        <v>46021</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30318-2023</t>
        </is>
      </c>
      <c r="B641" s="1" t="n">
        <v>45111.30824074074</v>
      </c>
      <c r="C641" s="1" t="n">
        <v>46021</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43186-2021</t>
        </is>
      </c>
      <c r="B642" s="1" t="n">
        <v>44431.84840277778</v>
      </c>
      <c r="C642" s="1" t="n">
        <v>46021</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60215-2022</t>
        </is>
      </c>
      <c r="B643" s="1" t="n">
        <v>44910.41346064815</v>
      </c>
      <c r="C643" s="1" t="n">
        <v>46021</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60230-2022</t>
        </is>
      </c>
      <c r="B644" s="1" t="n">
        <v>44910</v>
      </c>
      <c r="C644" s="1" t="n">
        <v>46021</v>
      </c>
      <c r="D644" t="inlineStr">
        <is>
          <t>KALMAR LÄN</t>
        </is>
      </c>
      <c r="E644" t="inlineStr">
        <is>
          <t>VIMMERBY</t>
        </is>
      </c>
      <c r="G644" t="n">
        <v>11.3</v>
      </c>
      <c r="H644" t="n">
        <v>0</v>
      </c>
      <c r="I644" t="n">
        <v>0</v>
      </c>
      <c r="J644" t="n">
        <v>0</v>
      </c>
      <c r="K644" t="n">
        <v>0</v>
      </c>
      <c r="L644" t="n">
        <v>0</v>
      </c>
      <c r="M644" t="n">
        <v>0</v>
      </c>
      <c r="N644" t="n">
        <v>0</v>
      </c>
      <c r="O644" t="n">
        <v>0</v>
      </c>
      <c r="P644" t="n">
        <v>0</v>
      </c>
      <c r="Q644" t="n">
        <v>0</v>
      </c>
      <c r="R644" s="2" t="inlineStr"/>
    </row>
    <row r="645" ht="15" customHeight="1">
      <c r="A645" t="inlineStr">
        <is>
          <t>A 5925-2022</t>
        </is>
      </c>
      <c r="B645" s="1" t="n">
        <v>44598.7384837963</v>
      </c>
      <c r="C645" s="1" t="n">
        <v>46021</v>
      </c>
      <c r="D645" t="inlineStr">
        <is>
          <t>KALMAR LÄN</t>
        </is>
      </c>
      <c r="E645" t="inlineStr">
        <is>
          <t>VIMMERBY</t>
        </is>
      </c>
      <c r="G645" t="n">
        <v>2.1</v>
      </c>
      <c r="H645" t="n">
        <v>0</v>
      </c>
      <c r="I645" t="n">
        <v>0</v>
      </c>
      <c r="J645" t="n">
        <v>0</v>
      </c>
      <c r="K645" t="n">
        <v>0</v>
      </c>
      <c r="L645" t="n">
        <v>0</v>
      </c>
      <c r="M645" t="n">
        <v>0</v>
      </c>
      <c r="N645" t="n">
        <v>0</v>
      </c>
      <c r="O645" t="n">
        <v>0</v>
      </c>
      <c r="P645" t="n">
        <v>0</v>
      </c>
      <c r="Q645" t="n">
        <v>0</v>
      </c>
      <c r="R645" s="2" t="inlineStr"/>
    </row>
    <row r="646" ht="15" customHeight="1">
      <c r="A646" t="inlineStr">
        <is>
          <t>A 845-2023</t>
        </is>
      </c>
      <c r="B646" s="1" t="n">
        <v>44931</v>
      </c>
      <c r="C646" s="1" t="n">
        <v>46021</v>
      </c>
      <c r="D646" t="inlineStr">
        <is>
          <t>KALMAR LÄN</t>
        </is>
      </c>
      <c r="E646" t="inlineStr">
        <is>
          <t>VIMMERBY</t>
        </is>
      </c>
      <c r="F646" t="inlineStr">
        <is>
          <t>Övriga Aktiebolag</t>
        </is>
      </c>
      <c r="G646" t="n">
        <v>19</v>
      </c>
      <c r="H646" t="n">
        <v>0</v>
      </c>
      <c r="I646" t="n">
        <v>0</v>
      </c>
      <c r="J646" t="n">
        <v>0</v>
      </c>
      <c r="K646" t="n">
        <v>0</v>
      </c>
      <c r="L646" t="n">
        <v>0</v>
      </c>
      <c r="M646" t="n">
        <v>0</v>
      </c>
      <c r="N646" t="n">
        <v>0</v>
      </c>
      <c r="O646" t="n">
        <v>0</v>
      </c>
      <c r="P646" t="n">
        <v>0</v>
      </c>
      <c r="Q646" t="n">
        <v>0</v>
      </c>
      <c r="R646" s="2" t="inlineStr"/>
    </row>
    <row r="647" ht="15" customHeight="1">
      <c r="A647" t="inlineStr">
        <is>
          <t>A 16119-2023</t>
        </is>
      </c>
      <c r="B647" s="1" t="n">
        <v>45027.59450231482</v>
      </c>
      <c r="C647" s="1" t="n">
        <v>46021</v>
      </c>
      <c r="D647" t="inlineStr">
        <is>
          <t>KALMAR LÄN</t>
        </is>
      </c>
      <c r="E647" t="inlineStr">
        <is>
          <t>VIMMERBY</t>
        </is>
      </c>
      <c r="F647" t="inlineStr">
        <is>
          <t>Kommuner</t>
        </is>
      </c>
      <c r="G647" t="n">
        <v>4.4</v>
      </c>
      <c r="H647" t="n">
        <v>0</v>
      </c>
      <c r="I647" t="n">
        <v>0</v>
      </c>
      <c r="J647" t="n">
        <v>0</v>
      </c>
      <c r="K647" t="n">
        <v>0</v>
      </c>
      <c r="L647" t="n">
        <v>0</v>
      </c>
      <c r="M647" t="n">
        <v>0</v>
      </c>
      <c r="N647" t="n">
        <v>0</v>
      </c>
      <c r="O647" t="n">
        <v>0</v>
      </c>
      <c r="P647" t="n">
        <v>0</v>
      </c>
      <c r="Q647" t="n">
        <v>0</v>
      </c>
      <c r="R647" s="2" t="inlineStr"/>
    </row>
    <row r="648" ht="15" customHeight="1">
      <c r="A648" t="inlineStr">
        <is>
          <t>A 30588-2023</t>
        </is>
      </c>
      <c r="B648" s="1" t="n">
        <v>45112.33599537037</v>
      </c>
      <c r="C648" s="1" t="n">
        <v>46021</v>
      </c>
      <c r="D648" t="inlineStr">
        <is>
          <t>KALMAR LÄN</t>
        </is>
      </c>
      <c r="E648" t="inlineStr">
        <is>
          <t>VIMMERBY</t>
        </is>
      </c>
      <c r="G648" t="n">
        <v>2.7</v>
      </c>
      <c r="H648" t="n">
        <v>0</v>
      </c>
      <c r="I648" t="n">
        <v>0</v>
      </c>
      <c r="J648" t="n">
        <v>0</v>
      </c>
      <c r="K648" t="n">
        <v>0</v>
      </c>
      <c r="L648" t="n">
        <v>0</v>
      </c>
      <c r="M648" t="n">
        <v>0</v>
      </c>
      <c r="N648" t="n">
        <v>0</v>
      </c>
      <c r="O648" t="n">
        <v>0</v>
      </c>
      <c r="P648" t="n">
        <v>0</v>
      </c>
      <c r="Q648" t="n">
        <v>0</v>
      </c>
      <c r="R648" s="2" t="inlineStr"/>
    </row>
    <row r="649" ht="15" customHeight="1">
      <c r="A649" t="inlineStr">
        <is>
          <t>A 58446-2025</t>
        </is>
      </c>
      <c r="B649" s="1" t="n">
        <v>45985.62168981481</v>
      </c>
      <c r="C649" s="1" t="n">
        <v>46021</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45528-2021</t>
        </is>
      </c>
      <c r="B650" s="1" t="n">
        <v>44440.60415509259</v>
      </c>
      <c r="C650" s="1" t="n">
        <v>46021</v>
      </c>
      <c r="D650" t="inlineStr">
        <is>
          <t>KALMAR LÄN</t>
        </is>
      </c>
      <c r="E650" t="inlineStr">
        <is>
          <t>VIMMERBY</t>
        </is>
      </c>
      <c r="G650" t="n">
        <v>2.2</v>
      </c>
      <c r="H650" t="n">
        <v>0</v>
      </c>
      <c r="I650" t="n">
        <v>0</v>
      </c>
      <c r="J650" t="n">
        <v>0</v>
      </c>
      <c r="K650" t="n">
        <v>0</v>
      </c>
      <c r="L650" t="n">
        <v>0</v>
      </c>
      <c r="M650" t="n">
        <v>0</v>
      </c>
      <c r="N650" t="n">
        <v>0</v>
      </c>
      <c r="O650" t="n">
        <v>0</v>
      </c>
      <c r="P650" t="n">
        <v>0</v>
      </c>
      <c r="Q650" t="n">
        <v>0</v>
      </c>
      <c r="R650" s="2" t="inlineStr"/>
    </row>
    <row r="651" ht="15" customHeight="1">
      <c r="A651" t="inlineStr">
        <is>
          <t>A 58514-2025</t>
        </is>
      </c>
      <c r="B651" s="1" t="n">
        <v>45985.70513888889</v>
      </c>
      <c r="C651" s="1" t="n">
        <v>46021</v>
      </c>
      <c r="D651" t="inlineStr">
        <is>
          <t>KALMAR LÄN</t>
        </is>
      </c>
      <c r="E651" t="inlineStr">
        <is>
          <t>VIMMERBY</t>
        </is>
      </c>
      <c r="G651" t="n">
        <v>3.7</v>
      </c>
      <c r="H651" t="n">
        <v>0</v>
      </c>
      <c r="I651" t="n">
        <v>0</v>
      </c>
      <c r="J651" t="n">
        <v>0</v>
      </c>
      <c r="K651" t="n">
        <v>0</v>
      </c>
      <c r="L651" t="n">
        <v>0</v>
      </c>
      <c r="M651" t="n">
        <v>0</v>
      </c>
      <c r="N651" t="n">
        <v>0</v>
      </c>
      <c r="O651" t="n">
        <v>0</v>
      </c>
      <c r="P651" t="n">
        <v>0</v>
      </c>
      <c r="Q651" t="n">
        <v>0</v>
      </c>
      <c r="R651" s="2" t="inlineStr"/>
    </row>
    <row r="652" ht="15" customHeight="1">
      <c r="A652" t="inlineStr">
        <is>
          <t>A 50324-2025</t>
        </is>
      </c>
      <c r="B652" s="1" t="n">
        <v>45944.45962962963</v>
      </c>
      <c r="C652" s="1" t="n">
        <v>46021</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28290-2025</t>
        </is>
      </c>
      <c r="B653" s="1" t="n">
        <v>45818.59261574074</v>
      </c>
      <c r="C653" s="1" t="n">
        <v>46021</v>
      </c>
      <c r="D653" t="inlineStr">
        <is>
          <t>KALMAR LÄN</t>
        </is>
      </c>
      <c r="E653" t="inlineStr">
        <is>
          <t>VIMMERBY</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28280-2025</t>
        </is>
      </c>
      <c r="B654" s="1" t="n">
        <v>45818.5862037037</v>
      </c>
      <c r="C654" s="1" t="n">
        <v>46021</v>
      </c>
      <c r="D654" t="inlineStr">
        <is>
          <t>KALMAR LÄN</t>
        </is>
      </c>
      <c r="E654" t="inlineStr">
        <is>
          <t>VIMMERBY</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28286-2025</t>
        </is>
      </c>
      <c r="B655" s="1" t="n">
        <v>45818.58993055556</v>
      </c>
      <c r="C655" s="1" t="n">
        <v>46021</v>
      </c>
      <c r="D655" t="inlineStr">
        <is>
          <t>KALMAR LÄN</t>
        </is>
      </c>
      <c r="E655" t="inlineStr">
        <is>
          <t>VIMMERBY</t>
        </is>
      </c>
      <c r="F655" t="inlineStr">
        <is>
          <t>Sveaskog</t>
        </is>
      </c>
      <c r="G655" t="n">
        <v>8</v>
      </c>
      <c r="H655" t="n">
        <v>0</v>
      </c>
      <c r="I655" t="n">
        <v>0</v>
      </c>
      <c r="J655" t="n">
        <v>0</v>
      </c>
      <c r="K655" t="n">
        <v>0</v>
      </c>
      <c r="L655" t="n">
        <v>0</v>
      </c>
      <c r="M655" t="n">
        <v>0</v>
      </c>
      <c r="N655" t="n">
        <v>0</v>
      </c>
      <c r="O655" t="n">
        <v>0</v>
      </c>
      <c r="P655" t="n">
        <v>0</v>
      </c>
      <c r="Q655" t="n">
        <v>0</v>
      </c>
      <c r="R655" s="2" t="inlineStr"/>
    </row>
    <row r="656" ht="15" customHeight="1">
      <c r="A656" t="inlineStr">
        <is>
          <t>A 58442-2025</t>
        </is>
      </c>
      <c r="B656" s="1" t="n">
        <v>45985.61635416667</v>
      </c>
      <c r="C656" s="1" t="n">
        <v>46021</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16516-2023</t>
        </is>
      </c>
      <c r="B657" s="1" t="n">
        <v>45029</v>
      </c>
      <c r="C657" s="1" t="n">
        <v>46021</v>
      </c>
      <c r="D657" t="inlineStr">
        <is>
          <t>KALMAR LÄN</t>
        </is>
      </c>
      <c r="E657" t="inlineStr">
        <is>
          <t>VIMMERBY</t>
        </is>
      </c>
      <c r="G657" t="n">
        <v>4.3</v>
      </c>
      <c r="H657" t="n">
        <v>0</v>
      </c>
      <c r="I657" t="n">
        <v>0</v>
      </c>
      <c r="J657" t="n">
        <v>0</v>
      </c>
      <c r="K657" t="n">
        <v>0</v>
      </c>
      <c r="L657" t="n">
        <v>0</v>
      </c>
      <c r="M657" t="n">
        <v>0</v>
      </c>
      <c r="N657" t="n">
        <v>0</v>
      </c>
      <c r="O657" t="n">
        <v>0</v>
      </c>
      <c r="P657" t="n">
        <v>0</v>
      </c>
      <c r="Q657" t="n">
        <v>0</v>
      </c>
      <c r="R657" s="2" t="inlineStr"/>
    </row>
    <row r="658" ht="15" customHeight="1">
      <c r="A658" t="inlineStr">
        <is>
          <t>A 2510-2023</t>
        </is>
      </c>
      <c r="B658" s="1" t="n">
        <v>44943.57309027778</v>
      </c>
      <c r="C658" s="1" t="n">
        <v>46021</v>
      </c>
      <c r="D658" t="inlineStr">
        <is>
          <t>KALMAR LÄN</t>
        </is>
      </c>
      <c r="E658" t="inlineStr">
        <is>
          <t>VIMMERBY</t>
        </is>
      </c>
      <c r="G658" t="n">
        <v>8.6</v>
      </c>
      <c r="H658" t="n">
        <v>0</v>
      </c>
      <c r="I658" t="n">
        <v>0</v>
      </c>
      <c r="J658" t="n">
        <v>0</v>
      </c>
      <c r="K658" t="n">
        <v>0</v>
      </c>
      <c r="L658" t="n">
        <v>0</v>
      </c>
      <c r="M658" t="n">
        <v>0</v>
      </c>
      <c r="N658" t="n">
        <v>0</v>
      </c>
      <c r="O658" t="n">
        <v>0</v>
      </c>
      <c r="P658" t="n">
        <v>0</v>
      </c>
      <c r="Q658" t="n">
        <v>0</v>
      </c>
      <c r="R658" s="2" t="inlineStr"/>
    </row>
    <row r="659" ht="15" customHeight="1">
      <c r="A659" t="inlineStr">
        <is>
          <t>A 58841-2025</t>
        </is>
      </c>
      <c r="B659" s="1" t="n">
        <v>45987.36275462963</v>
      </c>
      <c r="C659" s="1" t="n">
        <v>46021</v>
      </c>
      <c r="D659" t="inlineStr">
        <is>
          <t>KALMAR LÄN</t>
        </is>
      </c>
      <c r="E659" t="inlineStr">
        <is>
          <t>VIMMERBY</t>
        </is>
      </c>
      <c r="G659" t="n">
        <v>3.5</v>
      </c>
      <c r="H659" t="n">
        <v>0</v>
      </c>
      <c r="I659" t="n">
        <v>0</v>
      </c>
      <c r="J659" t="n">
        <v>0</v>
      </c>
      <c r="K659" t="n">
        <v>0</v>
      </c>
      <c r="L659" t="n">
        <v>0</v>
      </c>
      <c r="M659" t="n">
        <v>0</v>
      </c>
      <c r="N659" t="n">
        <v>0</v>
      </c>
      <c r="O659" t="n">
        <v>0</v>
      </c>
      <c r="P659" t="n">
        <v>0</v>
      </c>
      <c r="Q659" t="n">
        <v>0</v>
      </c>
      <c r="R659" s="2" t="inlineStr"/>
    </row>
    <row r="660" ht="15" customHeight="1">
      <c r="A660" t="inlineStr">
        <is>
          <t>A 28282-2025</t>
        </is>
      </c>
      <c r="B660" s="1" t="n">
        <v>45818.58769675926</v>
      </c>
      <c r="C660" s="1" t="n">
        <v>46021</v>
      </c>
      <c r="D660" t="inlineStr">
        <is>
          <t>KALMAR LÄN</t>
        </is>
      </c>
      <c r="E660" t="inlineStr">
        <is>
          <t>VIMMERBY</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28294-2025</t>
        </is>
      </c>
      <c r="B661" s="1" t="n">
        <v>45818.595625</v>
      </c>
      <c r="C661" s="1" t="n">
        <v>46021</v>
      </c>
      <c r="D661" t="inlineStr">
        <is>
          <t>KALMAR LÄN</t>
        </is>
      </c>
      <c r="E661" t="inlineStr">
        <is>
          <t>VIMMERBY</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48373-2021</t>
        </is>
      </c>
      <c r="B662" s="1" t="n">
        <v>44451</v>
      </c>
      <c r="C662" s="1" t="n">
        <v>46021</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7485-2024</t>
        </is>
      </c>
      <c r="B663" s="1" t="n">
        <v>45346.67184027778</v>
      </c>
      <c r="C663" s="1" t="n">
        <v>46021</v>
      </c>
      <c r="D663" t="inlineStr">
        <is>
          <t>KALMAR LÄN</t>
        </is>
      </c>
      <c r="E663" t="inlineStr">
        <is>
          <t>VIMMERBY</t>
        </is>
      </c>
      <c r="G663" t="n">
        <v>1.9</v>
      </c>
      <c r="H663" t="n">
        <v>0</v>
      </c>
      <c r="I663" t="n">
        <v>0</v>
      </c>
      <c r="J663" t="n">
        <v>0</v>
      </c>
      <c r="K663" t="n">
        <v>0</v>
      </c>
      <c r="L663" t="n">
        <v>0</v>
      </c>
      <c r="M663" t="n">
        <v>0</v>
      </c>
      <c r="N663" t="n">
        <v>0</v>
      </c>
      <c r="O663" t="n">
        <v>0</v>
      </c>
      <c r="P663" t="n">
        <v>0</v>
      </c>
      <c r="Q663" t="n">
        <v>0</v>
      </c>
      <c r="R663" s="2" t="inlineStr"/>
    </row>
    <row r="664" ht="15" customHeight="1">
      <c r="A664" t="inlineStr">
        <is>
          <t>A 59039-2025</t>
        </is>
      </c>
      <c r="B664" s="1" t="n">
        <v>45988.36790509259</v>
      </c>
      <c r="C664" s="1" t="n">
        <v>46021</v>
      </c>
      <c r="D664" t="inlineStr">
        <is>
          <t>KALMAR LÄN</t>
        </is>
      </c>
      <c r="E664" t="inlineStr">
        <is>
          <t>VIMMERBY</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6574-2023</t>
        </is>
      </c>
      <c r="B665" s="1" t="n">
        <v>44966</v>
      </c>
      <c r="C665" s="1" t="n">
        <v>46021</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28713-2025</t>
        </is>
      </c>
      <c r="B666" s="1" t="n">
        <v>45820.33930555556</v>
      </c>
      <c r="C666" s="1" t="n">
        <v>46021</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20054-2023</t>
        </is>
      </c>
      <c r="B667" s="1" t="n">
        <v>45054.6750462963</v>
      </c>
      <c r="C667" s="1" t="n">
        <v>46021</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58750-2022</t>
        </is>
      </c>
      <c r="B668" s="1" t="n">
        <v>44903.33363425926</v>
      </c>
      <c r="C668" s="1" t="n">
        <v>46021</v>
      </c>
      <c r="D668" t="inlineStr">
        <is>
          <t>KALMAR LÄN</t>
        </is>
      </c>
      <c r="E668" t="inlineStr">
        <is>
          <t>VIMMERBY</t>
        </is>
      </c>
      <c r="G668" t="n">
        <v>3.3</v>
      </c>
      <c r="H668" t="n">
        <v>0</v>
      </c>
      <c r="I668" t="n">
        <v>0</v>
      </c>
      <c r="J668" t="n">
        <v>0</v>
      </c>
      <c r="K668" t="n">
        <v>0</v>
      </c>
      <c r="L668" t="n">
        <v>0</v>
      </c>
      <c r="M668" t="n">
        <v>0</v>
      </c>
      <c r="N668" t="n">
        <v>0</v>
      </c>
      <c r="O668" t="n">
        <v>0</v>
      </c>
      <c r="P668" t="n">
        <v>0</v>
      </c>
      <c r="Q668" t="n">
        <v>0</v>
      </c>
      <c r="R668" s="2" t="inlineStr"/>
    </row>
    <row r="669" ht="15" customHeight="1">
      <c r="A669" t="inlineStr">
        <is>
          <t>A 28712-2025</t>
        </is>
      </c>
      <c r="B669" s="1" t="n">
        <v>45820.33708333333</v>
      </c>
      <c r="C669" s="1" t="n">
        <v>46021</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28714-2025</t>
        </is>
      </c>
      <c r="B670" s="1" t="n">
        <v>45820.34128472222</v>
      </c>
      <c r="C670" s="1" t="n">
        <v>46021</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28620-2025</t>
        </is>
      </c>
      <c r="B671" s="1" t="n">
        <v>45819.61060185185</v>
      </c>
      <c r="C671" s="1" t="n">
        <v>46021</v>
      </c>
      <c r="D671" t="inlineStr">
        <is>
          <t>KALMAR LÄN</t>
        </is>
      </c>
      <c r="E671" t="inlineStr">
        <is>
          <t>VIMMERBY</t>
        </is>
      </c>
      <c r="G671" t="n">
        <v>5.6</v>
      </c>
      <c r="H671" t="n">
        <v>0</v>
      </c>
      <c r="I671" t="n">
        <v>0</v>
      </c>
      <c r="J671" t="n">
        <v>0</v>
      </c>
      <c r="K671" t="n">
        <v>0</v>
      </c>
      <c r="L671" t="n">
        <v>0</v>
      </c>
      <c r="M671" t="n">
        <v>0</v>
      </c>
      <c r="N671" t="n">
        <v>0</v>
      </c>
      <c r="O671" t="n">
        <v>0</v>
      </c>
      <c r="P671" t="n">
        <v>0</v>
      </c>
      <c r="Q671" t="n">
        <v>0</v>
      </c>
      <c r="R671" s="2" t="inlineStr"/>
    </row>
    <row r="672" ht="15" customHeight="1">
      <c r="A672" t="inlineStr">
        <is>
          <t>A 58858-2025</t>
        </is>
      </c>
      <c r="B672" s="1" t="n">
        <v>45987.4243287037</v>
      </c>
      <c r="C672" s="1" t="n">
        <v>46021</v>
      </c>
      <c r="D672" t="inlineStr">
        <is>
          <t>KALMAR LÄN</t>
        </is>
      </c>
      <c r="E672" t="inlineStr">
        <is>
          <t>VIMMERBY</t>
        </is>
      </c>
      <c r="G672" t="n">
        <v>1.2</v>
      </c>
      <c r="H672" t="n">
        <v>0</v>
      </c>
      <c r="I672" t="n">
        <v>0</v>
      </c>
      <c r="J672" t="n">
        <v>0</v>
      </c>
      <c r="K672" t="n">
        <v>0</v>
      </c>
      <c r="L672" t="n">
        <v>0</v>
      </c>
      <c r="M672" t="n">
        <v>0</v>
      </c>
      <c r="N672" t="n">
        <v>0</v>
      </c>
      <c r="O672" t="n">
        <v>0</v>
      </c>
      <c r="P672" t="n">
        <v>0</v>
      </c>
      <c r="Q672" t="n">
        <v>0</v>
      </c>
      <c r="R672" s="2" t="inlineStr"/>
    </row>
    <row r="673" ht="15" customHeight="1">
      <c r="A673" t="inlineStr">
        <is>
          <t>A 59037-2025</t>
        </is>
      </c>
      <c r="B673" s="1" t="n">
        <v>45988.36508101852</v>
      </c>
      <c r="C673" s="1" t="n">
        <v>46021</v>
      </c>
      <c r="D673" t="inlineStr">
        <is>
          <t>KALMAR LÄN</t>
        </is>
      </c>
      <c r="E673" t="inlineStr">
        <is>
          <t>VIMMERBY</t>
        </is>
      </c>
      <c r="F673" t="inlineStr">
        <is>
          <t>Sveaskog</t>
        </is>
      </c>
      <c r="G673" t="n">
        <v>4</v>
      </c>
      <c r="H673" t="n">
        <v>0</v>
      </c>
      <c r="I673" t="n">
        <v>0</v>
      </c>
      <c r="J673" t="n">
        <v>0</v>
      </c>
      <c r="K673" t="n">
        <v>0</v>
      </c>
      <c r="L673" t="n">
        <v>0</v>
      </c>
      <c r="M673" t="n">
        <v>0</v>
      </c>
      <c r="N673" t="n">
        <v>0</v>
      </c>
      <c r="O673" t="n">
        <v>0</v>
      </c>
      <c r="P673" t="n">
        <v>0</v>
      </c>
      <c r="Q673" t="n">
        <v>0</v>
      </c>
      <c r="R673" s="2" t="inlineStr"/>
    </row>
    <row r="674" ht="15" customHeight="1">
      <c r="A674" t="inlineStr">
        <is>
          <t>A 59068-2025</t>
        </is>
      </c>
      <c r="B674" s="1" t="n">
        <v>45988.41725694444</v>
      </c>
      <c r="C674" s="1" t="n">
        <v>46021</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2260-2022</t>
        </is>
      </c>
      <c r="B675" s="1" t="n">
        <v>44578.62943287037</v>
      </c>
      <c r="C675" s="1" t="n">
        <v>46021</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50544-2025</t>
        </is>
      </c>
      <c r="B676" s="1" t="n">
        <v>45945.50736111111</v>
      </c>
      <c r="C676" s="1" t="n">
        <v>46021</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29727-2025</t>
        </is>
      </c>
      <c r="B677" s="1" t="n">
        <v>45825.5796875</v>
      </c>
      <c r="C677" s="1" t="n">
        <v>46021</v>
      </c>
      <c r="D677" t="inlineStr">
        <is>
          <t>KALMAR LÄN</t>
        </is>
      </c>
      <c r="E677" t="inlineStr">
        <is>
          <t>VIMMERBY</t>
        </is>
      </c>
      <c r="G677" t="n">
        <v>1.3</v>
      </c>
      <c r="H677" t="n">
        <v>0</v>
      </c>
      <c r="I677" t="n">
        <v>0</v>
      </c>
      <c r="J677" t="n">
        <v>0</v>
      </c>
      <c r="K677" t="n">
        <v>0</v>
      </c>
      <c r="L677" t="n">
        <v>0</v>
      </c>
      <c r="M677" t="n">
        <v>0</v>
      </c>
      <c r="N677" t="n">
        <v>0</v>
      </c>
      <c r="O677" t="n">
        <v>0</v>
      </c>
      <c r="P677" t="n">
        <v>0</v>
      </c>
      <c r="Q677" t="n">
        <v>0</v>
      </c>
      <c r="R677" s="2" t="inlineStr"/>
    </row>
    <row r="678" ht="15" customHeight="1">
      <c r="A678" t="inlineStr">
        <is>
          <t>A 29737-2025</t>
        </is>
      </c>
      <c r="B678" s="1" t="n">
        <v>45825.58672453704</v>
      </c>
      <c r="C678" s="1" t="n">
        <v>46021</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50860-2022</t>
        </is>
      </c>
      <c r="B679" s="1" t="n">
        <v>44867</v>
      </c>
      <c r="C679" s="1" t="n">
        <v>46021</v>
      </c>
      <c r="D679" t="inlineStr">
        <is>
          <t>KALMAR LÄN</t>
        </is>
      </c>
      <c r="E679" t="inlineStr">
        <is>
          <t>VIMMERBY</t>
        </is>
      </c>
      <c r="G679" t="n">
        <v>0.6</v>
      </c>
      <c r="H679" t="n">
        <v>0</v>
      </c>
      <c r="I679" t="n">
        <v>0</v>
      </c>
      <c r="J679" t="n">
        <v>0</v>
      </c>
      <c r="K679" t="n">
        <v>0</v>
      </c>
      <c r="L679" t="n">
        <v>0</v>
      </c>
      <c r="M679" t="n">
        <v>0</v>
      </c>
      <c r="N679" t="n">
        <v>0</v>
      </c>
      <c r="O679" t="n">
        <v>0</v>
      </c>
      <c r="P679" t="n">
        <v>0</v>
      </c>
      <c r="Q679" t="n">
        <v>0</v>
      </c>
      <c r="R679" s="2" t="inlineStr"/>
    </row>
    <row r="680" ht="15" customHeight="1">
      <c r="A680" t="inlineStr">
        <is>
          <t>A 53483-2022</t>
        </is>
      </c>
      <c r="B680" s="1" t="n">
        <v>44879.55940972222</v>
      </c>
      <c r="C680" s="1" t="n">
        <v>46021</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58962-2022</t>
        </is>
      </c>
      <c r="B681" s="1" t="n">
        <v>44903</v>
      </c>
      <c r="C681" s="1" t="n">
        <v>46021</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58967-2022</t>
        </is>
      </c>
      <c r="B682" s="1" t="n">
        <v>44896</v>
      </c>
      <c r="C682" s="1" t="n">
        <v>46021</v>
      </c>
      <c r="D682" t="inlineStr">
        <is>
          <t>KALMAR LÄN</t>
        </is>
      </c>
      <c r="E682" t="inlineStr">
        <is>
          <t>VIMMERBY</t>
        </is>
      </c>
      <c r="G682" t="n">
        <v>5</v>
      </c>
      <c r="H682" t="n">
        <v>0</v>
      </c>
      <c r="I682" t="n">
        <v>0</v>
      </c>
      <c r="J682" t="n">
        <v>0</v>
      </c>
      <c r="K682" t="n">
        <v>0</v>
      </c>
      <c r="L682" t="n">
        <v>0</v>
      </c>
      <c r="M682" t="n">
        <v>0</v>
      </c>
      <c r="N682" t="n">
        <v>0</v>
      </c>
      <c r="O682" t="n">
        <v>0</v>
      </c>
      <c r="P682" t="n">
        <v>0</v>
      </c>
      <c r="Q682" t="n">
        <v>0</v>
      </c>
      <c r="R682" s="2" t="inlineStr"/>
    </row>
    <row r="683" ht="15" customHeight="1">
      <c r="A683" t="inlineStr">
        <is>
          <t>A 57682-2022</t>
        </is>
      </c>
      <c r="B683" s="1" t="n">
        <v>44890</v>
      </c>
      <c r="C683" s="1" t="n">
        <v>46021</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59034-2025</t>
        </is>
      </c>
      <c r="B684" s="1" t="n">
        <v>45988.36243055556</v>
      </c>
      <c r="C684" s="1" t="n">
        <v>46021</v>
      </c>
      <c r="D684" t="inlineStr">
        <is>
          <t>KALMAR LÄN</t>
        </is>
      </c>
      <c r="E684" t="inlineStr">
        <is>
          <t>VIMMERBY</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4076-2022</t>
        </is>
      </c>
      <c r="B685" s="1" t="n">
        <v>44588.37998842593</v>
      </c>
      <c r="C685" s="1" t="n">
        <v>46021</v>
      </c>
      <c r="D685" t="inlineStr">
        <is>
          <t>KALMAR LÄN</t>
        </is>
      </c>
      <c r="E685" t="inlineStr">
        <is>
          <t>VIMMERBY</t>
        </is>
      </c>
      <c r="G685" t="n">
        <v>3</v>
      </c>
      <c r="H685" t="n">
        <v>0</v>
      </c>
      <c r="I685" t="n">
        <v>0</v>
      </c>
      <c r="J685" t="n">
        <v>0</v>
      </c>
      <c r="K685" t="n">
        <v>0</v>
      </c>
      <c r="L685" t="n">
        <v>0</v>
      </c>
      <c r="M685" t="n">
        <v>0</v>
      </c>
      <c r="N685" t="n">
        <v>0</v>
      </c>
      <c r="O685" t="n">
        <v>0</v>
      </c>
      <c r="P685" t="n">
        <v>0</v>
      </c>
      <c r="Q685" t="n">
        <v>0</v>
      </c>
      <c r="R685" s="2" t="inlineStr"/>
    </row>
    <row r="686" ht="15" customHeight="1">
      <c r="A686" t="inlineStr">
        <is>
          <t>A 30293-2025</t>
        </is>
      </c>
      <c r="B686" s="1" t="n">
        <v>45827</v>
      </c>
      <c r="C686" s="1" t="n">
        <v>46021</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4122-2022</t>
        </is>
      </c>
      <c r="B687" s="1" t="n">
        <v>44588</v>
      </c>
      <c r="C687" s="1" t="n">
        <v>46021</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51062-2025</t>
        </is>
      </c>
      <c r="B688" s="1" t="n">
        <v>45947.44685185186</v>
      </c>
      <c r="C688" s="1" t="n">
        <v>46021</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30290-2025</t>
        </is>
      </c>
      <c r="B689" s="1" t="n">
        <v>45827</v>
      </c>
      <c r="C689" s="1" t="n">
        <v>46021</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9624-2024</t>
        </is>
      </c>
      <c r="B690" s="1" t="n">
        <v>45361.90282407407</v>
      </c>
      <c r="C690" s="1" t="n">
        <v>46021</v>
      </c>
      <c r="D690" t="inlineStr">
        <is>
          <t>KALMAR LÄN</t>
        </is>
      </c>
      <c r="E690" t="inlineStr">
        <is>
          <t>VIMMERBY</t>
        </is>
      </c>
      <c r="G690" t="n">
        <v>3.8</v>
      </c>
      <c r="H690" t="n">
        <v>0</v>
      </c>
      <c r="I690" t="n">
        <v>0</v>
      </c>
      <c r="J690" t="n">
        <v>0</v>
      </c>
      <c r="K690" t="n">
        <v>0</v>
      </c>
      <c r="L690" t="n">
        <v>0</v>
      </c>
      <c r="M690" t="n">
        <v>0</v>
      </c>
      <c r="N690" t="n">
        <v>0</v>
      </c>
      <c r="O690" t="n">
        <v>0</v>
      </c>
      <c r="P690" t="n">
        <v>0</v>
      </c>
      <c r="Q690" t="n">
        <v>0</v>
      </c>
      <c r="R690" s="2" t="inlineStr"/>
    </row>
    <row r="691" ht="15" customHeight="1">
      <c r="A691" t="inlineStr">
        <is>
          <t>A 52327-2023</t>
        </is>
      </c>
      <c r="B691" s="1" t="n">
        <v>45224.6515162037</v>
      </c>
      <c r="C691" s="1" t="n">
        <v>46021</v>
      </c>
      <c r="D691" t="inlineStr">
        <is>
          <t>KALMAR LÄN</t>
        </is>
      </c>
      <c r="E691" t="inlineStr">
        <is>
          <t>VIMMERBY</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30850-2025</t>
        </is>
      </c>
      <c r="B692" s="1" t="n">
        <v>45831</v>
      </c>
      <c r="C692" s="1" t="n">
        <v>46021</v>
      </c>
      <c r="D692" t="inlineStr">
        <is>
          <t>KALMAR LÄN</t>
        </is>
      </c>
      <c r="E692" t="inlineStr">
        <is>
          <t>VIMMERBY</t>
        </is>
      </c>
      <c r="G692" t="n">
        <v>2.7</v>
      </c>
      <c r="H692" t="n">
        <v>0</v>
      </c>
      <c r="I692" t="n">
        <v>0</v>
      </c>
      <c r="J692" t="n">
        <v>0</v>
      </c>
      <c r="K692" t="n">
        <v>0</v>
      </c>
      <c r="L692" t="n">
        <v>0</v>
      </c>
      <c r="M692" t="n">
        <v>0</v>
      </c>
      <c r="N692" t="n">
        <v>0</v>
      </c>
      <c r="O692" t="n">
        <v>0</v>
      </c>
      <c r="P692" t="n">
        <v>0</v>
      </c>
      <c r="Q692" t="n">
        <v>0</v>
      </c>
      <c r="R692" s="2" t="inlineStr"/>
    </row>
    <row r="693" ht="15" customHeight="1">
      <c r="A693" t="inlineStr">
        <is>
          <t>A 29616-2022</t>
        </is>
      </c>
      <c r="B693" s="1" t="n">
        <v>44754</v>
      </c>
      <c r="C693" s="1" t="n">
        <v>46021</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29348-2023</t>
        </is>
      </c>
      <c r="B694" s="1" t="n">
        <v>45106.25025462963</v>
      </c>
      <c r="C694" s="1" t="n">
        <v>46021</v>
      </c>
      <c r="D694" t="inlineStr">
        <is>
          <t>KALMAR LÄN</t>
        </is>
      </c>
      <c r="E694" t="inlineStr">
        <is>
          <t>VIMMERBY</t>
        </is>
      </c>
      <c r="G694" t="n">
        <v>2.4</v>
      </c>
      <c r="H694" t="n">
        <v>0</v>
      </c>
      <c r="I694" t="n">
        <v>0</v>
      </c>
      <c r="J694" t="n">
        <v>0</v>
      </c>
      <c r="K694" t="n">
        <v>0</v>
      </c>
      <c r="L694" t="n">
        <v>0</v>
      </c>
      <c r="M694" t="n">
        <v>0</v>
      </c>
      <c r="N694" t="n">
        <v>0</v>
      </c>
      <c r="O694" t="n">
        <v>0</v>
      </c>
      <c r="P694" t="n">
        <v>0</v>
      </c>
      <c r="Q694" t="n">
        <v>0</v>
      </c>
      <c r="R694" s="2" t="inlineStr"/>
    </row>
    <row r="695" ht="15" customHeight="1">
      <c r="A695" t="inlineStr">
        <is>
          <t>A 28403-2023</t>
        </is>
      </c>
      <c r="B695" s="1" t="n">
        <v>45100.85270833333</v>
      </c>
      <c r="C695" s="1" t="n">
        <v>46021</v>
      </c>
      <c r="D695" t="inlineStr">
        <is>
          <t>KALMAR LÄN</t>
        </is>
      </c>
      <c r="E695" t="inlineStr">
        <is>
          <t>VIMMERBY</t>
        </is>
      </c>
      <c r="G695" t="n">
        <v>1.8</v>
      </c>
      <c r="H695" t="n">
        <v>0</v>
      </c>
      <c r="I695" t="n">
        <v>0</v>
      </c>
      <c r="J695" t="n">
        <v>0</v>
      </c>
      <c r="K695" t="n">
        <v>0</v>
      </c>
      <c r="L695" t="n">
        <v>0</v>
      </c>
      <c r="M695" t="n">
        <v>0</v>
      </c>
      <c r="N695" t="n">
        <v>0</v>
      </c>
      <c r="O695" t="n">
        <v>0</v>
      </c>
      <c r="P695" t="n">
        <v>0</v>
      </c>
      <c r="Q695" t="n">
        <v>0</v>
      </c>
      <c r="R695" s="2" t="inlineStr"/>
    </row>
    <row r="696" ht="15" customHeight="1">
      <c r="A696" t="inlineStr">
        <is>
          <t>A 30882-2025</t>
        </is>
      </c>
      <c r="B696" s="1" t="n">
        <v>45832.34540509259</v>
      </c>
      <c r="C696" s="1" t="n">
        <v>46021</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30971-2025</t>
        </is>
      </c>
      <c r="B697" s="1" t="n">
        <v>45832.46146990741</v>
      </c>
      <c r="C697" s="1" t="n">
        <v>46021</v>
      </c>
      <c r="D697" t="inlineStr">
        <is>
          <t>KALMAR LÄN</t>
        </is>
      </c>
      <c r="E697" t="inlineStr">
        <is>
          <t>VIMMERBY</t>
        </is>
      </c>
      <c r="G697" t="n">
        <v>1.2</v>
      </c>
      <c r="H697" t="n">
        <v>0</v>
      </c>
      <c r="I697" t="n">
        <v>0</v>
      </c>
      <c r="J697" t="n">
        <v>0</v>
      </c>
      <c r="K697" t="n">
        <v>0</v>
      </c>
      <c r="L697" t="n">
        <v>0</v>
      </c>
      <c r="M697" t="n">
        <v>0</v>
      </c>
      <c r="N697" t="n">
        <v>0</v>
      </c>
      <c r="O697" t="n">
        <v>0</v>
      </c>
      <c r="P697" t="n">
        <v>0</v>
      </c>
      <c r="Q697" t="n">
        <v>0</v>
      </c>
      <c r="R697" s="2" t="inlineStr"/>
    </row>
    <row r="698" ht="15" customHeight="1">
      <c r="A698" t="inlineStr">
        <is>
          <t>A 17511-2024</t>
        </is>
      </c>
      <c r="B698" s="1" t="n">
        <v>45415.57682870371</v>
      </c>
      <c r="C698" s="1" t="n">
        <v>46021</v>
      </c>
      <c r="D698" t="inlineStr">
        <is>
          <t>KALMAR LÄN</t>
        </is>
      </c>
      <c r="E698" t="inlineStr">
        <is>
          <t>VIMMERBY</t>
        </is>
      </c>
      <c r="G698" t="n">
        <v>5.3</v>
      </c>
      <c r="H698" t="n">
        <v>0</v>
      </c>
      <c r="I698" t="n">
        <v>0</v>
      </c>
      <c r="J698" t="n">
        <v>0</v>
      </c>
      <c r="K698" t="n">
        <v>0</v>
      </c>
      <c r="L698" t="n">
        <v>0</v>
      </c>
      <c r="M698" t="n">
        <v>0</v>
      </c>
      <c r="N698" t="n">
        <v>0</v>
      </c>
      <c r="O698" t="n">
        <v>0</v>
      </c>
      <c r="P698" t="n">
        <v>0</v>
      </c>
      <c r="Q698" t="n">
        <v>0</v>
      </c>
      <c r="R698" s="2" t="inlineStr"/>
    </row>
    <row r="699" ht="15" customHeight="1">
      <c r="A699" t="inlineStr">
        <is>
          <t>A 66022-2021</t>
        </is>
      </c>
      <c r="B699" s="1" t="n">
        <v>44517</v>
      </c>
      <c r="C699" s="1" t="n">
        <v>46021</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29973-2023</t>
        </is>
      </c>
      <c r="B700" s="1" t="n">
        <v>45108.703125</v>
      </c>
      <c r="C700" s="1" t="n">
        <v>46021</v>
      </c>
      <c r="D700" t="inlineStr">
        <is>
          <t>KALMAR LÄN</t>
        </is>
      </c>
      <c r="E700" t="inlineStr">
        <is>
          <t>VIMMERBY</t>
        </is>
      </c>
      <c r="G700" t="n">
        <v>4</v>
      </c>
      <c r="H700" t="n">
        <v>0</v>
      </c>
      <c r="I700" t="n">
        <v>0</v>
      </c>
      <c r="J700" t="n">
        <v>0</v>
      </c>
      <c r="K700" t="n">
        <v>0</v>
      </c>
      <c r="L700" t="n">
        <v>0</v>
      </c>
      <c r="M700" t="n">
        <v>0</v>
      </c>
      <c r="N700" t="n">
        <v>0</v>
      </c>
      <c r="O700" t="n">
        <v>0</v>
      </c>
      <c r="P700" t="n">
        <v>0</v>
      </c>
      <c r="Q700" t="n">
        <v>0</v>
      </c>
      <c r="R700" s="2" t="inlineStr"/>
    </row>
    <row r="701" ht="15" customHeight="1">
      <c r="A701" t="inlineStr">
        <is>
          <t>A 31552-2025</t>
        </is>
      </c>
      <c r="B701" s="1" t="n">
        <v>45833.64563657407</v>
      </c>
      <c r="C701" s="1" t="n">
        <v>46021</v>
      </c>
      <c r="D701" t="inlineStr">
        <is>
          <t>KALMAR LÄN</t>
        </is>
      </c>
      <c r="E701" t="inlineStr">
        <is>
          <t>VIMMERBY</t>
        </is>
      </c>
      <c r="G701" t="n">
        <v>1.7</v>
      </c>
      <c r="H701" t="n">
        <v>0</v>
      </c>
      <c r="I701" t="n">
        <v>0</v>
      </c>
      <c r="J701" t="n">
        <v>0</v>
      </c>
      <c r="K701" t="n">
        <v>0</v>
      </c>
      <c r="L701" t="n">
        <v>0</v>
      </c>
      <c r="M701" t="n">
        <v>0</v>
      </c>
      <c r="N701" t="n">
        <v>0</v>
      </c>
      <c r="O701" t="n">
        <v>0</v>
      </c>
      <c r="P701" t="n">
        <v>0</v>
      </c>
      <c r="Q701" t="n">
        <v>0</v>
      </c>
      <c r="R701" s="2" t="inlineStr"/>
    </row>
    <row r="702" ht="15" customHeight="1">
      <c r="A702" t="inlineStr">
        <is>
          <t>A 31555-2025</t>
        </is>
      </c>
      <c r="B702" s="1" t="n">
        <v>45833.64814814815</v>
      </c>
      <c r="C702" s="1" t="n">
        <v>46021</v>
      </c>
      <c r="D702" t="inlineStr">
        <is>
          <t>KALMAR LÄN</t>
        </is>
      </c>
      <c r="E702" t="inlineStr">
        <is>
          <t>VIMMERBY</t>
        </is>
      </c>
      <c r="G702" t="n">
        <v>1.8</v>
      </c>
      <c r="H702" t="n">
        <v>0</v>
      </c>
      <c r="I702" t="n">
        <v>0</v>
      </c>
      <c r="J702" t="n">
        <v>0</v>
      </c>
      <c r="K702" t="n">
        <v>0</v>
      </c>
      <c r="L702" t="n">
        <v>0</v>
      </c>
      <c r="M702" t="n">
        <v>0</v>
      </c>
      <c r="N702" t="n">
        <v>0</v>
      </c>
      <c r="O702" t="n">
        <v>0</v>
      </c>
      <c r="P702" t="n">
        <v>0</v>
      </c>
      <c r="Q702" t="n">
        <v>0</v>
      </c>
      <c r="R702" s="2" t="inlineStr"/>
    </row>
    <row r="703" ht="15" customHeight="1">
      <c r="A703" t="inlineStr">
        <is>
          <t>A 30070-2023</t>
        </is>
      </c>
      <c r="B703" s="1" t="n">
        <v>45110.4275</v>
      </c>
      <c r="C703" s="1" t="n">
        <v>46021</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59579-2025</t>
        </is>
      </c>
      <c r="B704" s="1" t="n">
        <v>45992.30569444445</v>
      </c>
      <c r="C704" s="1" t="n">
        <v>46021</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31870-2025</t>
        </is>
      </c>
      <c r="B705" s="1" t="n">
        <v>45834.64667824074</v>
      </c>
      <c r="C705" s="1" t="n">
        <v>46021</v>
      </c>
      <c r="D705" t="inlineStr">
        <is>
          <t>KALMAR LÄN</t>
        </is>
      </c>
      <c r="E705" t="inlineStr">
        <is>
          <t>VIMMERBY</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46078-2023</t>
        </is>
      </c>
      <c r="B706" s="1" t="n">
        <v>45196</v>
      </c>
      <c r="C706" s="1" t="n">
        <v>46021</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8559-2025</t>
        </is>
      </c>
      <c r="B707" s="1" t="n">
        <v>45709.62280092593</v>
      </c>
      <c r="C707" s="1" t="n">
        <v>46021</v>
      </c>
      <c r="D707" t="inlineStr">
        <is>
          <t>KALMAR LÄN</t>
        </is>
      </c>
      <c r="E707" t="inlineStr">
        <is>
          <t>VIMMERBY</t>
        </is>
      </c>
      <c r="G707" t="n">
        <v>8.9</v>
      </c>
      <c r="H707" t="n">
        <v>0</v>
      </c>
      <c r="I707" t="n">
        <v>0</v>
      </c>
      <c r="J707" t="n">
        <v>0</v>
      </c>
      <c r="K707" t="n">
        <v>0</v>
      </c>
      <c r="L707" t="n">
        <v>0</v>
      </c>
      <c r="M707" t="n">
        <v>0</v>
      </c>
      <c r="N707" t="n">
        <v>0</v>
      </c>
      <c r="O707" t="n">
        <v>0</v>
      </c>
      <c r="P707" t="n">
        <v>0</v>
      </c>
      <c r="Q707" t="n">
        <v>0</v>
      </c>
      <c r="R707" s="2" t="inlineStr"/>
    </row>
    <row r="708" ht="15" customHeight="1">
      <c r="A708" t="inlineStr">
        <is>
          <t>A 31872-2025</t>
        </is>
      </c>
      <c r="B708" s="1" t="n">
        <v>45834.65040509259</v>
      </c>
      <c r="C708" s="1" t="n">
        <v>46021</v>
      </c>
      <c r="D708" t="inlineStr">
        <is>
          <t>KALMAR LÄN</t>
        </is>
      </c>
      <c r="E708" t="inlineStr">
        <is>
          <t>VIMMERBY</t>
        </is>
      </c>
      <c r="F708" t="inlineStr">
        <is>
          <t>Sveaskog</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31876-2025</t>
        </is>
      </c>
      <c r="B709" s="1" t="n">
        <v>45834.65197916667</v>
      </c>
      <c r="C709" s="1" t="n">
        <v>46021</v>
      </c>
      <c r="D709" t="inlineStr">
        <is>
          <t>KALMAR LÄN</t>
        </is>
      </c>
      <c r="E709" t="inlineStr">
        <is>
          <t>VIMMERBY</t>
        </is>
      </c>
      <c r="F709" t="inlineStr">
        <is>
          <t>Sveaskog</t>
        </is>
      </c>
      <c r="G709" t="n">
        <v>3.3</v>
      </c>
      <c r="H709" t="n">
        <v>0</v>
      </c>
      <c r="I709" t="n">
        <v>0</v>
      </c>
      <c r="J709" t="n">
        <v>0</v>
      </c>
      <c r="K709" t="n">
        <v>0</v>
      </c>
      <c r="L709" t="n">
        <v>0</v>
      </c>
      <c r="M709" t="n">
        <v>0</v>
      </c>
      <c r="N709" t="n">
        <v>0</v>
      </c>
      <c r="O709" t="n">
        <v>0</v>
      </c>
      <c r="P709" t="n">
        <v>0</v>
      </c>
      <c r="Q709" t="n">
        <v>0</v>
      </c>
      <c r="R709" s="2" t="inlineStr"/>
    </row>
    <row r="710" ht="15" customHeight="1">
      <c r="A710" t="inlineStr">
        <is>
          <t>A 7643-2022</t>
        </is>
      </c>
      <c r="B710" s="1" t="n">
        <v>44607</v>
      </c>
      <c r="C710" s="1" t="n">
        <v>46021</v>
      </c>
      <c r="D710" t="inlineStr">
        <is>
          <t>KALMAR LÄN</t>
        </is>
      </c>
      <c r="E710" t="inlineStr">
        <is>
          <t>VIMMERBY</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31551-2025</t>
        </is>
      </c>
      <c r="B711" s="1" t="n">
        <v>45833.64237268519</v>
      </c>
      <c r="C711" s="1" t="n">
        <v>46021</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3494-2023</t>
        </is>
      </c>
      <c r="B712" s="1" t="n">
        <v>44949</v>
      </c>
      <c r="C712" s="1" t="n">
        <v>46021</v>
      </c>
      <c r="D712" t="inlineStr">
        <is>
          <t>KALMAR LÄN</t>
        </is>
      </c>
      <c r="E712" t="inlineStr">
        <is>
          <t>VIMMERBY</t>
        </is>
      </c>
      <c r="F712" t="inlineStr">
        <is>
          <t>Kyrkan</t>
        </is>
      </c>
      <c r="G712" t="n">
        <v>0.8</v>
      </c>
      <c r="H712" t="n">
        <v>0</v>
      </c>
      <c r="I712" t="n">
        <v>0</v>
      </c>
      <c r="J712" t="n">
        <v>0</v>
      </c>
      <c r="K712" t="n">
        <v>0</v>
      </c>
      <c r="L712" t="n">
        <v>0</v>
      </c>
      <c r="M712" t="n">
        <v>0</v>
      </c>
      <c r="N712" t="n">
        <v>0</v>
      </c>
      <c r="O712" t="n">
        <v>0</v>
      </c>
      <c r="P712" t="n">
        <v>0</v>
      </c>
      <c r="Q712" t="n">
        <v>0</v>
      </c>
      <c r="R712" s="2" t="inlineStr"/>
    </row>
    <row r="713" ht="15" customHeight="1">
      <c r="A713" t="inlineStr">
        <is>
          <t>A 31987-2025</t>
        </is>
      </c>
      <c r="B713" s="1" t="n">
        <v>45835.36229166666</v>
      </c>
      <c r="C713" s="1" t="n">
        <v>46021</v>
      </c>
      <c r="D713" t="inlineStr">
        <is>
          <t>KALMAR LÄN</t>
        </is>
      </c>
      <c r="E713" t="inlineStr">
        <is>
          <t>VIMMERBY</t>
        </is>
      </c>
      <c r="F713" t="inlineStr">
        <is>
          <t>Kyrkan</t>
        </is>
      </c>
      <c r="G713" t="n">
        <v>1.2</v>
      </c>
      <c r="H713" t="n">
        <v>0</v>
      </c>
      <c r="I713" t="n">
        <v>0</v>
      </c>
      <c r="J713" t="n">
        <v>0</v>
      </c>
      <c r="K713" t="n">
        <v>0</v>
      </c>
      <c r="L713" t="n">
        <v>0</v>
      </c>
      <c r="M713" t="n">
        <v>0</v>
      </c>
      <c r="N713" t="n">
        <v>0</v>
      </c>
      <c r="O713" t="n">
        <v>0</v>
      </c>
      <c r="P713" t="n">
        <v>0</v>
      </c>
      <c r="Q713" t="n">
        <v>0</v>
      </c>
      <c r="R713" s="2" t="inlineStr"/>
    </row>
    <row r="714" ht="15" customHeight="1">
      <c r="A714" t="inlineStr">
        <is>
          <t>A 32120-2025</t>
        </is>
      </c>
      <c r="B714" s="1" t="n">
        <v>45835.4924537037</v>
      </c>
      <c r="C714" s="1" t="n">
        <v>46021</v>
      </c>
      <c r="D714" t="inlineStr">
        <is>
          <t>KALMAR LÄN</t>
        </is>
      </c>
      <c r="E714" t="inlineStr">
        <is>
          <t>VIMMERBY</t>
        </is>
      </c>
      <c r="G714" t="n">
        <v>0.8</v>
      </c>
      <c r="H714" t="n">
        <v>0</v>
      </c>
      <c r="I714" t="n">
        <v>0</v>
      </c>
      <c r="J714" t="n">
        <v>0</v>
      </c>
      <c r="K714" t="n">
        <v>0</v>
      </c>
      <c r="L714" t="n">
        <v>0</v>
      </c>
      <c r="M714" t="n">
        <v>0</v>
      </c>
      <c r="N714" t="n">
        <v>0</v>
      </c>
      <c r="O714" t="n">
        <v>0</v>
      </c>
      <c r="P714" t="n">
        <v>0</v>
      </c>
      <c r="Q714" t="n">
        <v>0</v>
      </c>
      <c r="R714" s="2" t="inlineStr"/>
    </row>
    <row r="715" ht="15" customHeight="1">
      <c r="A715" t="inlineStr">
        <is>
          <t>A 32633-2023</t>
        </is>
      </c>
      <c r="B715" s="1" t="n">
        <v>45121.58699074074</v>
      </c>
      <c r="C715" s="1" t="n">
        <v>46021</v>
      </c>
      <c r="D715" t="inlineStr">
        <is>
          <t>KALMAR LÄN</t>
        </is>
      </c>
      <c r="E715" t="inlineStr">
        <is>
          <t>VIMMERBY</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32116-2025</t>
        </is>
      </c>
      <c r="B716" s="1" t="n">
        <v>45835.48862268519</v>
      </c>
      <c r="C716" s="1" t="n">
        <v>46021</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43601-2024</t>
        </is>
      </c>
      <c r="B717" s="1" t="n">
        <v>45569.44684027778</v>
      </c>
      <c r="C717" s="1" t="n">
        <v>46021</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32380-2025</t>
        </is>
      </c>
      <c r="B718" s="1" t="n">
        <v>45837.77701388889</v>
      </c>
      <c r="C718" s="1" t="n">
        <v>46021</v>
      </c>
      <c r="D718" t="inlineStr">
        <is>
          <t>KALMAR LÄN</t>
        </is>
      </c>
      <c r="E718" t="inlineStr">
        <is>
          <t>VIMMERBY</t>
        </is>
      </c>
      <c r="G718" t="n">
        <v>3.1</v>
      </c>
      <c r="H718" t="n">
        <v>0</v>
      </c>
      <c r="I718" t="n">
        <v>0</v>
      </c>
      <c r="J718" t="n">
        <v>0</v>
      </c>
      <c r="K718" t="n">
        <v>0</v>
      </c>
      <c r="L718" t="n">
        <v>0</v>
      </c>
      <c r="M718" t="n">
        <v>0</v>
      </c>
      <c r="N718" t="n">
        <v>0</v>
      </c>
      <c r="O718" t="n">
        <v>0</v>
      </c>
      <c r="P718" t="n">
        <v>0</v>
      </c>
      <c r="Q718" t="n">
        <v>0</v>
      </c>
      <c r="R718" s="2" t="inlineStr"/>
    </row>
    <row r="719" ht="15" customHeight="1">
      <c r="A719" t="inlineStr">
        <is>
          <t>A 32109-2025</t>
        </is>
      </c>
      <c r="B719" s="1" t="n">
        <v>45835.48267361111</v>
      </c>
      <c r="C719" s="1" t="n">
        <v>46021</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32113-2025</t>
        </is>
      </c>
      <c r="B720" s="1" t="n">
        <v>45835.48445601852</v>
      </c>
      <c r="C720" s="1" t="n">
        <v>46021</v>
      </c>
      <c r="D720" t="inlineStr">
        <is>
          <t>KALMAR LÄN</t>
        </is>
      </c>
      <c r="E720" t="inlineStr">
        <is>
          <t>VIMMERBY</t>
        </is>
      </c>
      <c r="G720" t="n">
        <v>3.5</v>
      </c>
      <c r="H720" t="n">
        <v>0</v>
      </c>
      <c r="I720" t="n">
        <v>0</v>
      </c>
      <c r="J720" t="n">
        <v>0</v>
      </c>
      <c r="K720" t="n">
        <v>0</v>
      </c>
      <c r="L720" t="n">
        <v>0</v>
      </c>
      <c r="M720" t="n">
        <v>0</v>
      </c>
      <c r="N720" t="n">
        <v>0</v>
      </c>
      <c r="O720" t="n">
        <v>0</v>
      </c>
      <c r="P720" t="n">
        <v>0</v>
      </c>
      <c r="Q720" t="n">
        <v>0</v>
      </c>
      <c r="R720" s="2" t="inlineStr"/>
    </row>
    <row r="721" ht="15" customHeight="1">
      <c r="A721" t="inlineStr">
        <is>
          <t>A 13813-2024</t>
        </is>
      </c>
      <c r="B721" s="1" t="n">
        <v>45391.41310185185</v>
      </c>
      <c r="C721" s="1" t="n">
        <v>46021</v>
      </c>
      <c r="D721" t="inlineStr">
        <is>
          <t>KALMAR LÄN</t>
        </is>
      </c>
      <c r="E721" t="inlineStr">
        <is>
          <t>VIMMERBY</t>
        </is>
      </c>
      <c r="G721" t="n">
        <v>0.4</v>
      </c>
      <c r="H721" t="n">
        <v>0</v>
      </c>
      <c r="I721" t="n">
        <v>0</v>
      </c>
      <c r="J721" t="n">
        <v>0</v>
      </c>
      <c r="K721" t="n">
        <v>0</v>
      </c>
      <c r="L721" t="n">
        <v>0</v>
      </c>
      <c r="M721" t="n">
        <v>0</v>
      </c>
      <c r="N721" t="n">
        <v>0</v>
      </c>
      <c r="O721" t="n">
        <v>0</v>
      </c>
      <c r="P721" t="n">
        <v>0</v>
      </c>
      <c r="Q721" t="n">
        <v>0</v>
      </c>
      <c r="R721" s="2" t="inlineStr"/>
    </row>
    <row r="722" ht="15" customHeight="1">
      <c r="A722" t="inlineStr">
        <is>
          <t>A 32077-2025</t>
        </is>
      </c>
      <c r="B722" s="1" t="n">
        <v>45835.45099537037</v>
      </c>
      <c r="C722" s="1" t="n">
        <v>46021</v>
      </c>
      <c r="D722" t="inlineStr">
        <is>
          <t>KALMAR LÄN</t>
        </is>
      </c>
      <c r="E722" t="inlineStr">
        <is>
          <t>VIMMERBY</t>
        </is>
      </c>
      <c r="G722" t="n">
        <v>1.8</v>
      </c>
      <c r="H722" t="n">
        <v>0</v>
      </c>
      <c r="I722" t="n">
        <v>0</v>
      </c>
      <c r="J722" t="n">
        <v>0</v>
      </c>
      <c r="K722" t="n">
        <v>0</v>
      </c>
      <c r="L722" t="n">
        <v>0</v>
      </c>
      <c r="M722" t="n">
        <v>0</v>
      </c>
      <c r="N722" t="n">
        <v>0</v>
      </c>
      <c r="O722" t="n">
        <v>0</v>
      </c>
      <c r="P722" t="n">
        <v>0</v>
      </c>
      <c r="Q722" t="n">
        <v>0</v>
      </c>
      <c r="R722" s="2" t="inlineStr"/>
    </row>
    <row r="723" ht="15" customHeight="1">
      <c r="A723" t="inlineStr">
        <is>
          <t>A 25234-2023</t>
        </is>
      </c>
      <c r="B723" s="1" t="n">
        <v>45086.63194444445</v>
      </c>
      <c r="C723" s="1" t="n">
        <v>46021</v>
      </c>
      <c r="D723" t="inlineStr">
        <is>
          <t>KALMAR LÄN</t>
        </is>
      </c>
      <c r="E723" t="inlineStr">
        <is>
          <t>VIMMERBY</t>
        </is>
      </c>
      <c r="G723" t="n">
        <v>2.1</v>
      </c>
      <c r="H723" t="n">
        <v>0</v>
      </c>
      <c r="I723" t="n">
        <v>0</v>
      </c>
      <c r="J723" t="n">
        <v>0</v>
      </c>
      <c r="K723" t="n">
        <v>0</v>
      </c>
      <c r="L723" t="n">
        <v>0</v>
      </c>
      <c r="M723" t="n">
        <v>0</v>
      </c>
      <c r="N723" t="n">
        <v>0</v>
      </c>
      <c r="O723" t="n">
        <v>0</v>
      </c>
      <c r="P723" t="n">
        <v>0</v>
      </c>
      <c r="Q723" t="n">
        <v>0</v>
      </c>
      <c r="R723" s="2" t="inlineStr"/>
    </row>
    <row r="724" ht="15" customHeight="1">
      <c r="A724" t="inlineStr">
        <is>
          <t>A 25236-2023</t>
        </is>
      </c>
      <c r="B724" s="1" t="n">
        <v>45086.63334490741</v>
      </c>
      <c r="C724" s="1" t="n">
        <v>46021</v>
      </c>
      <c r="D724" t="inlineStr">
        <is>
          <t>KALMAR LÄN</t>
        </is>
      </c>
      <c r="E724" t="inlineStr">
        <is>
          <t>VIMMERBY</t>
        </is>
      </c>
      <c r="G724" t="n">
        <v>0.9</v>
      </c>
      <c r="H724" t="n">
        <v>0</v>
      </c>
      <c r="I724" t="n">
        <v>0</v>
      </c>
      <c r="J724" t="n">
        <v>0</v>
      </c>
      <c r="K724" t="n">
        <v>0</v>
      </c>
      <c r="L724" t="n">
        <v>0</v>
      </c>
      <c r="M724" t="n">
        <v>0</v>
      </c>
      <c r="N724" t="n">
        <v>0</v>
      </c>
      <c r="O724" t="n">
        <v>0</v>
      </c>
      <c r="P724" t="n">
        <v>0</v>
      </c>
      <c r="Q724" t="n">
        <v>0</v>
      </c>
      <c r="R724" s="2" t="inlineStr"/>
    </row>
    <row r="725" ht="15" customHeight="1">
      <c r="A725" t="inlineStr">
        <is>
          <t>A 32064-2025</t>
        </is>
      </c>
      <c r="B725" s="1" t="n">
        <v>45835.44709490741</v>
      </c>
      <c r="C725" s="1" t="n">
        <v>46021</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32065-2025</t>
        </is>
      </c>
      <c r="B726" s="1" t="n">
        <v>45835.44732638889</v>
      </c>
      <c r="C726" s="1" t="n">
        <v>46021</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25244-2023</t>
        </is>
      </c>
      <c r="B727" s="1" t="n">
        <v>45086</v>
      </c>
      <c r="C727" s="1" t="n">
        <v>46021</v>
      </c>
      <c r="D727" t="inlineStr">
        <is>
          <t>KALMAR LÄN</t>
        </is>
      </c>
      <c r="E727" t="inlineStr">
        <is>
          <t>VIMMERBY</t>
        </is>
      </c>
      <c r="G727" t="n">
        <v>4.7</v>
      </c>
      <c r="H727" t="n">
        <v>0</v>
      </c>
      <c r="I727" t="n">
        <v>0</v>
      </c>
      <c r="J727" t="n">
        <v>0</v>
      </c>
      <c r="K727" t="n">
        <v>0</v>
      </c>
      <c r="L727" t="n">
        <v>0</v>
      </c>
      <c r="M727" t="n">
        <v>0</v>
      </c>
      <c r="N727" t="n">
        <v>0</v>
      </c>
      <c r="O727" t="n">
        <v>0</v>
      </c>
      <c r="P727" t="n">
        <v>0</v>
      </c>
      <c r="Q727" t="n">
        <v>0</v>
      </c>
      <c r="R727" s="2" t="inlineStr"/>
    </row>
    <row r="728" ht="15" customHeight="1">
      <c r="A728" t="inlineStr">
        <is>
          <t>A 23341-2022</t>
        </is>
      </c>
      <c r="B728" s="1" t="n">
        <v>44720.53898148148</v>
      </c>
      <c r="C728" s="1" t="n">
        <v>46021</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33186-2025</t>
        </is>
      </c>
      <c r="B729" s="1" t="n">
        <v>45840.59474537037</v>
      </c>
      <c r="C729" s="1" t="n">
        <v>46021</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8086-2021</t>
        </is>
      </c>
      <c r="B730" s="1" t="n">
        <v>44243</v>
      </c>
      <c r="C730" s="1" t="n">
        <v>46021</v>
      </c>
      <c r="D730" t="inlineStr">
        <is>
          <t>KALMAR LÄN</t>
        </is>
      </c>
      <c r="E730" t="inlineStr">
        <is>
          <t>VIMMERBY</t>
        </is>
      </c>
      <c r="G730" t="n">
        <v>4.1</v>
      </c>
      <c r="H730" t="n">
        <v>0</v>
      </c>
      <c r="I730" t="n">
        <v>0</v>
      </c>
      <c r="J730" t="n">
        <v>0</v>
      </c>
      <c r="K730" t="n">
        <v>0</v>
      </c>
      <c r="L730" t="n">
        <v>0</v>
      </c>
      <c r="M730" t="n">
        <v>0</v>
      </c>
      <c r="N730" t="n">
        <v>0</v>
      </c>
      <c r="O730" t="n">
        <v>0</v>
      </c>
      <c r="P730" t="n">
        <v>0</v>
      </c>
      <c r="Q730" t="n">
        <v>0</v>
      </c>
      <c r="R730" s="2" t="inlineStr"/>
    </row>
    <row r="731" ht="15" customHeight="1">
      <c r="A731" t="inlineStr">
        <is>
          <t>A 30977-2025</t>
        </is>
      </c>
      <c r="B731" s="1" t="n">
        <v>45832.46649305556</v>
      </c>
      <c r="C731" s="1" t="n">
        <v>46021</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71793-2021</t>
        </is>
      </c>
      <c r="B732" s="1" t="n">
        <v>44539</v>
      </c>
      <c r="C732" s="1" t="n">
        <v>46021</v>
      </c>
      <c r="D732" t="inlineStr">
        <is>
          <t>KALMAR LÄN</t>
        </is>
      </c>
      <c r="E732" t="inlineStr">
        <is>
          <t>VIMMERBY</t>
        </is>
      </c>
      <c r="G732" t="n">
        <v>2.7</v>
      </c>
      <c r="H732" t="n">
        <v>0</v>
      </c>
      <c r="I732" t="n">
        <v>0</v>
      </c>
      <c r="J732" t="n">
        <v>0</v>
      </c>
      <c r="K732" t="n">
        <v>0</v>
      </c>
      <c r="L732" t="n">
        <v>0</v>
      </c>
      <c r="M732" t="n">
        <v>0</v>
      </c>
      <c r="N732" t="n">
        <v>0</v>
      </c>
      <c r="O732" t="n">
        <v>0</v>
      </c>
      <c r="P732" t="n">
        <v>0</v>
      </c>
      <c r="Q732" t="n">
        <v>0</v>
      </c>
      <c r="R732" s="2" t="inlineStr"/>
    </row>
    <row r="733" ht="15" customHeight="1">
      <c r="A733" t="inlineStr">
        <is>
          <t>A 33695-2025</t>
        </is>
      </c>
      <c r="B733" s="1" t="n">
        <v>45841.70569444444</v>
      </c>
      <c r="C733" s="1" t="n">
        <v>46021</v>
      </c>
      <c r="D733" t="inlineStr">
        <is>
          <t>KALMAR LÄN</t>
        </is>
      </c>
      <c r="E733" t="inlineStr">
        <is>
          <t>VIMMERBY</t>
        </is>
      </c>
      <c r="G733" t="n">
        <v>2.7</v>
      </c>
      <c r="H733" t="n">
        <v>0</v>
      </c>
      <c r="I733" t="n">
        <v>0</v>
      </c>
      <c r="J733" t="n">
        <v>0</v>
      </c>
      <c r="K733" t="n">
        <v>0</v>
      </c>
      <c r="L733" t="n">
        <v>0</v>
      </c>
      <c r="M733" t="n">
        <v>0</v>
      </c>
      <c r="N733" t="n">
        <v>0</v>
      </c>
      <c r="O733" t="n">
        <v>0</v>
      </c>
      <c r="P733" t="n">
        <v>0</v>
      </c>
      <c r="Q733" t="n">
        <v>0</v>
      </c>
      <c r="R733" s="2" t="inlineStr"/>
    </row>
    <row r="734" ht="15" customHeight="1">
      <c r="A734" t="inlineStr">
        <is>
          <t>A 33698-2025</t>
        </is>
      </c>
      <c r="B734" s="1" t="n">
        <v>45841.70868055556</v>
      </c>
      <c r="C734" s="1" t="n">
        <v>46021</v>
      </c>
      <c r="D734" t="inlineStr">
        <is>
          <t>KALMAR LÄN</t>
        </is>
      </c>
      <c r="E734" t="inlineStr">
        <is>
          <t>VIMMERBY</t>
        </is>
      </c>
      <c r="G734" t="n">
        <v>3.7</v>
      </c>
      <c r="H734" t="n">
        <v>0</v>
      </c>
      <c r="I734" t="n">
        <v>0</v>
      </c>
      <c r="J734" t="n">
        <v>0</v>
      </c>
      <c r="K734" t="n">
        <v>0</v>
      </c>
      <c r="L734" t="n">
        <v>0</v>
      </c>
      <c r="M734" t="n">
        <v>0</v>
      </c>
      <c r="N734" t="n">
        <v>0</v>
      </c>
      <c r="O734" t="n">
        <v>0</v>
      </c>
      <c r="P734" t="n">
        <v>0</v>
      </c>
      <c r="Q734" t="n">
        <v>0</v>
      </c>
      <c r="R734" s="2" t="inlineStr"/>
    </row>
    <row r="735" ht="15" customHeight="1">
      <c r="A735" t="inlineStr">
        <is>
          <t>A 51993-2025</t>
        </is>
      </c>
      <c r="B735" s="1" t="n">
        <v>45952.58194444444</v>
      </c>
      <c r="C735" s="1" t="n">
        <v>46021</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73938-2021</t>
        </is>
      </c>
      <c r="B736" s="1" t="n">
        <v>44553</v>
      </c>
      <c r="C736" s="1" t="n">
        <v>46021</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33696-2025</t>
        </is>
      </c>
      <c r="B737" s="1" t="n">
        <v>45841.7072337963</v>
      </c>
      <c r="C737" s="1" t="n">
        <v>46021</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6069-2023</t>
        </is>
      </c>
      <c r="B738" s="1" t="n">
        <v>44964.5115162037</v>
      </c>
      <c r="C738" s="1" t="n">
        <v>46021</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28702-2025</t>
        </is>
      </c>
      <c r="B739" s="1" t="n">
        <v>45820.03976851852</v>
      </c>
      <c r="C739" s="1" t="n">
        <v>46021</v>
      </c>
      <c r="D739" t="inlineStr">
        <is>
          <t>KALMAR LÄN</t>
        </is>
      </c>
      <c r="E739" t="inlineStr">
        <is>
          <t>VIMMERBY</t>
        </is>
      </c>
      <c r="G739" t="n">
        <v>2.1</v>
      </c>
      <c r="H739" t="n">
        <v>0</v>
      </c>
      <c r="I739" t="n">
        <v>0</v>
      </c>
      <c r="J739" t="n">
        <v>0</v>
      </c>
      <c r="K739" t="n">
        <v>0</v>
      </c>
      <c r="L739" t="n">
        <v>0</v>
      </c>
      <c r="M739" t="n">
        <v>0</v>
      </c>
      <c r="N739" t="n">
        <v>0</v>
      </c>
      <c r="O739" t="n">
        <v>0</v>
      </c>
      <c r="P739" t="n">
        <v>0</v>
      </c>
      <c r="Q739" t="n">
        <v>0</v>
      </c>
      <c r="R739" s="2" t="inlineStr"/>
    </row>
    <row r="740" ht="15" customHeight="1">
      <c r="A740" t="inlineStr">
        <is>
          <t>A 50995-2022</t>
        </is>
      </c>
      <c r="B740" s="1" t="n">
        <v>44867</v>
      </c>
      <c r="C740" s="1" t="n">
        <v>46021</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60180-2025</t>
        </is>
      </c>
      <c r="B741" s="1" t="n">
        <v>45994.46428240741</v>
      </c>
      <c r="C741" s="1" t="n">
        <v>46021</v>
      </c>
      <c r="D741" t="inlineStr">
        <is>
          <t>KALMAR LÄN</t>
        </is>
      </c>
      <c r="E741" t="inlineStr">
        <is>
          <t>VIMMERBY</t>
        </is>
      </c>
      <c r="G741" t="n">
        <v>6.8</v>
      </c>
      <c r="H741" t="n">
        <v>0</v>
      </c>
      <c r="I741" t="n">
        <v>0</v>
      </c>
      <c r="J741" t="n">
        <v>0</v>
      </c>
      <c r="K741" t="n">
        <v>0</v>
      </c>
      <c r="L741" t="n">
        <v>0</v>
      </c>
      <c r="M741" t="n">
        <v>0</v>
      </c>
      <c r="N741" t="n">
        <v>0</v>
      </c>
      <c r="O741" t="n">
        <v>0</v>
      </c>
      <c r="P741" t="n">
        <v>0</v>
      </c>
      <c r="Q741" t="n">
        <v>0</v>
      </c>
      <c r="R741" s="2" t="inlineStr"/>
    </row>
    <row r="742" ht="15" customHeight="1">
      <c r="A742" t="inlineStr">
        <is>
          <t>A 27122-2023</t>
        </is>
      </c>
      <c r="B742" s="1" t="n">
        <v>45096.45247685185</v>
      </c>
      <c r="C742" s="1" t="n">
        <v>46021</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30402-2023</t>
        </is>
      </c>
      <c r="B743" s="1" t="n">
        <v>45111.48395833333</v>
      </c>
      <c r="C743" s="1" t="n">
        <v>46021</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34071-2025</t>
        </is>
      </c>
      <c r="B744" s="1" t="n">
        <v>45845.43803240741</v>
      </c>
      <c r="C744" s="1" t="n">
        <v>46021</v>
      </c>
      <c r="D744" t="inlineStr">
        <is>
          <t>KALMAR LÄN</t>
        </is>
      </c>
      <c r="E744" t="inlineStr">
        <is>
          <t>VIMMERBY</t>
        </is>
      </c>
      <c r="G744" t="n">
        <v>6.8</v>
      </c>
      <c r="H744" t="n">
        <v>0</v>
      </c>
      <c r="I744" t="n">
        <v>0</v>
      </c>
      <c r="J744" t="n">
        <v>0</v>
      </c>
      <c r="K744" t="n">
        <v>0</v>
      </c>
      <c r="L744" t="n">
        <v>0</v>
      </c>
      <c r="M744" t="n">
        <v>0</v>
      </c>
      <c r="N744" t="n">
        <v>0</v>
      </c>
      <c r="O744" t="n">
        <v>0</v>
      </c>
      <c r="P744" t="n">
        <v>0</v>
      </c>
      <c r="Q744" t="n">
        <v>0</v>
      </c>
      <c r="R744" s="2" t="inlineStr"/>
    </row>
    <row r="745" ht="15" customHeight="1">
      <c r="A745" t="inlineStr">
        <is>
          <t>A 34106-2025</t>
        </is>
      </c>
      <c r="B745" s="1" t="n">
        <v>45845.49414351852</v>
      </c>
      <c r="C745" s="1" t="n">
        <v>46021</v>
      </c>
      <c r="D745" t="inlineStr">
        <is>
          <t>KALMAR LÄN</t>
        </is>
      </c>
      <c r="E745" t="inlineStr">
        <is>
          <t>VIMMERBY</t>
        </is>
      </c>
      <c r="G745" t="n">
        <v>6</v>
      </c>
      <c r="H745" t="n">
        <v>0</v>
      </c>
      <c r="I745" t="n">
        <v>0</v>
      </c>
      <c r="J745" t="n">
        <v>0</v>
      </c>
      <c r="K745" t="n">
        <v>0</v>
      </c>
      <c r="L745" t="n">
        <v>0</v>
      </c>
      <c r="M745" t="n">
        <v>0</v>
      </c>
      <c r="N745" t="n">
        <v>0</v>
      </c>
      <c r="O745" t="n">
        <v>0</v>
      </c>
      <c r="P745" t="n">
        <v>0</v>
      </c>
      <c r="Q745" t="n">
        <v>0</v>
      </c>
      <c r="R745" s="2" t="inlineStr"/>
    </row>
    <row r="746" ht="15" customHeight="1">
      <c r="A746" t="inlineStr">
        <is>
          <t>A 26956-2025</t>
        </is>
      </c>
      <c r="B746" s="1" t="n">
        <v>45811.45460648148</v>
      </c>
      <c r="C746" s="1" t="n">
        <v>46021</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47842-2024</t>
        </is>
      </c>
      <c r="B747" s="1" t="n">
        <v>45588.65545138889</v>
      </c>
      <c r="C747" s="1" t="n">
        <v>46021</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6857-2023</t>
        </is>
      </c>
      <c r="B748" s="1" t="n">
        <v>44967.45122685185</v>
      </c>
      <c r="C748" s="1" t="n">
        <v>46021</v>
      </c>
      <c r="D748" t="inlineStr">
        <is>
          <t>KALMAR LÄN</t>
        </is>
      </c>
      <c r="E748" t="inlineStr">
        <is>
          <t>VIMMERBY</t>
        </is>
      </c>
      <c r="G748" t="n">
        <v>2.1</v>
      </c>
      <c r="H748" t="n">
        <v>0</v>
      </c>
      <c r="I748" t="n">
        <v>0</v>
      </c>
      <c r="J748" t="n">
        <v>0</v>
      </c>
      <c r="K748" t="n">
        <v>0</v>
      </c>
      <c r="L748" t="n">
        <v>0</v>
      </c>
      <c r="M748" t="n">
        <v>0</v>
      </c>
      <c r="N748" t="n">
        <v>0</v>
      </c>
      <c r="O748" t="n">
        <v>0</v>
      </c>
      <c r="P748" t="n">
        <v>0</v>
      </c>
      <c r="Q748" t="n">
        <v>0</v>
      </c>
      <c r="R748" s="2" t="inlineStr"/>
    </row>
    <row r="749" ht="15" customHeight="1">
      <c r="A749" t="inlineStr">
        <is>
          <t>A 34628-2025</t>
        </is>
      </c>
      <c r="B749" s="1" t="n">
        <v>45847.91280092593</v>
      </c>
      <c r="C749" s="1" t="n">
        <v>46021</v>
      </c>
      <c r="D749" t="inlineStr">
        <is>
          <t>KALMAR LÄN</t>
        </is>
      </c>
      <c r="E749" t="inlineStr">
        <is>
          <t>VIMMERBY</t>
        </is>
      </c>
      <c r="G749" t="n">
        <v>4.2</v>
      </c>
      <c r="H749" t="n">
        <v>0</v>
      </c>
      <c r="I749" t="n">
        <v>0</v>
      </c>
      <c r="J749" t="n">
        <v>0</v>
      </c>
      <c r="K749" t="n">
        <v>0</v>
      </c>
      <c r="L749" t="n">
        <v>0</v>
      </c>
      <c r="M749" t="n">
        <v>0</v>
      </c>
      <c r="N749" t="n">
        <v>0</v>
      </c>
      <c r="O749" t="n">
        <v>0</v>
      </c>
      <c r="P749" t="n">
        <v>0</v>
      </c>
      <c r="Q749" t="n">
        <v>0</v>
      </c>
      <c r="R749" s="2" t="inlineStr"/>
    </row>
    <row r="750" ht="15" customHeight="1">
      <c r="A750" t="inlineStr">
        <is>
          <t>A 51990-2025</t>
        </is>
      </c>
      <c r="B750" s="1" t="n">
        <v>45952.58061342593</v>
      </c>
      <c r="C750" s="1" t="n">
        <v>46021</v>
      </c>
      <c r="D750" t="inlineStr">
        <is>
          <t>KALMAR LÄN</t>
        </is>
      </c>
      <c r="E750" t="inlineStr">
        <is>
          <t>VIMMERBY</t>
        </is>
      </c>
      <c r="G750" t="n">
        <v>2.4</v>
      </c>
      <c r="H750" t="n">
        <v>0</v>
      </c>
      <c r="I750" t="n">
        <v>0</v>
      </c>
      <c r="J750" t="n">
        <v>0</v>
      </c>
      <c r="K750" t="n">
        <v>0</v>
      </c>
      <c r="L750" t="n">
        <v>0</v>
      </c>
      <c r="M750" t="n">
        <v>0</v>
      </c>
      <c r="N750" t="n">
        <v>0</v>
      </c>
      <c r="O750" t="n">
        <v>0</v>
      </c>
      <c r="P750" t="n">
        <v>0</v>
      </c>
      <c r="Q750" t="n">
        <v>0</v>
      </c>
      <c r="R750" s="2" t="inlineStr"/>
    </row>
    <row r="751" ht="15" customHeight="1">
      <c r="A751" t="inlineStr">
        <is>
          <t>A 46224-2024</t>
        </is>
      </c>
      <c r="B751" s="1" t="n">
        <v>45581.57016203704</v>
      </c>
      <c r="C751" s="1" t="n">
        <v>46021</v>
      </c>
      <c r="D751" t="inlineStr">
        <is>
          <t>KALMAR LÄN</t>
        </is>
      </c>
      <c r="E751" t="inlineStr">
        <is>
          <t>VIMMERBY</t>
        </is>
      </c>
      <c r="G751" t="n">
        <v>3.1</v>
      </c>
      <c r="H751" t="n">
        <v>0</v>
      </c>
      <c r="I751" t="n">
        <v>0</v>
      </c>
      <c r="J751" t="n">
        <v>0</v>
      </c>
      <c r="K751" t="n">
        <v>0</v>
      </c>
      <c r="L751" t="n">
        <v>0</v>
      </c>
      <c r="M751" t="n">
        <v>0</v>
      </c>
      <c r="N751" t="n">
        <v>0</v>
      </c>
      <c r="O751" t="n">
        <v>0</v>
      </c>
      <c r="P751" t="n">
        <v>0</v>
      </c>
      <c r="Q751" t="n">
        <v>0</v>
      </c>
      <c r="R751" s="2" t="inlineStr"/>
    </row>
    <row r="752" ht="15" customHeight="1">
      <c r="A752" t="inlineStr">
        <is>
          <t>A 29013-2024</t>
        </is>
      </c>
      <c r="B752" s="1" t="n">
        <v>45481.55984953704</v>
      </c>
      <c r="C752" s="1" t="n">
        <v>46021</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37028-2024</t>
        </is>
      </c>
      <c r="B753" s="1" t="n">
        <v>45539.38744212963</v>
      </c>
      <c r="C753" s="1" t="n">
        <v>46021</v>
      </c>
      <c r="D753" t="inlineStr">
        <is>
          <t>KALMAR LÄN</t>
        </is>
      </c>
      <c r="E753" t="inlineStr">
        <is>
          <t>VIMMERBY</t>
        </is>
      </c>
      <c r="G753" t="n">
        <v>5.2</v>
      </c>
      <c r="H753" t="n">
        <v>0</v>
      </c>
      <c r="I753" t="n">
        <v>0</v>
      </c>
      <c r="J753" t="n">
        <v>0</v>
      </c>
      <c r="K753" t="n">
        <v>0</v>
      </c>
      <c r="L753" t="n">
        <v>0</v>
      </c>
      <c r="M753" t="n">
        <v>0</v>
      </c>
      <c r="N753" t="n">
        <v>0</v>
      </c>
      <c r="O753" t="n">
        <v>0</v>
      </c>
      <c r="P753" t="n">
        <v>0</v>
      </c>
      <c r="Q753" t="n">
        <v>0</v>
      </c>
      <c r="R753" s="2" t="inlineStr"/>
    </row>
    <row r="754" ht="15" customHeight="1">
      <c r="A754" t="inlineStr">
        <is>
          <t>A 35270-2025</t>
        </is>
      </c>
      <c r="B754" s="1" t="n">
        <v>45853.87112268519</v>
      </c>
      <c r="C754" s="1" t="n">
        <v>46021</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37187-2024</t>
        </is>
      </c>
      <c r="B755" s="1" t="n">
        <v>45539.65212962963</v>
      </c>
      <c r="C755" s="1" t="n">
        <v>46021</v>
      </c>
      <c r="D755" t="inlineStr">
        <is>
          <t>KALMAR LÄN</t>
        </is>
      </c>
      <c r="E755" t="inlineStr">
        <is>
          <t>VIMMERBY</t>
        </is>
      </c>
      <c r="G755" t="n">
        <v>2.7</v>
      </c>
      <c r="H755" t="n">
        <v>0</v>
      </c>
      <c r="I755" t="n">
        <v>0</v>
      </c>
      <c r="J755" t="n">
        <v>0</v>
      </c>
      <c r="K755" t="n">
        <v>0</v>
      </c>
      <c r="L755" t="n">
        <v>0</v>
      </c>
      <c r="M755" t="n">
        <v>0</v>
      </c>
      <c r="N755" t="n">
        <v>0</v>
      </c>
      <c r="O755" t="n">
        <v>0</v>
      </c>
      <c r="P755" t="n">
        <v>0</v>
      </c>
      <c r="Q755" t="n">
        <v>0</v>
      </c>
      <c r="R755" s="2" t="inlineStr"/>
    </row>
    <row r="756" ht="15" customHeight="1">
      <c r="A756" t="inlineStr">
        <is>
          <t>A 52473-2025</t>
        </is>
      </c>
      <c r="B756" s="1" t="n">
        <v>45954.45947916667</v>
      </c>
      <c r="C756" s="1" t="n">
        <v>46021</v>
      </c>
      <c r="D756" t="inlineStr">
        <is>
          <t>KALMAR LÄN</t>
        </is>
      </c>
      <c r="E756" t="inlineStr">
        <is>
          <t>VIMMERBY</t>
        </is>
      </c>
      <c r="G756" t="n">
        <v>2.4</v>
      </c>
      <c r="H756" t="n">
        <v>0</v>
      </c>
      <c r="I756" t="n">
        <v>0</v>
      </c>
      <c r="J756" t="n">
        <v>0</v>
      </c>
      <c r="K756" t="n">
        <v>0</v>
      </c>
      <c r="L756" t="n">
        <v>0</v>
      </c>
      <c r="M756" t="n">
        <v>0</v>
      </c>
      <c r="N756" t="n">
        <v>0</v>
      </c>
      <c r="O756" t="n">
        <v>0</v>
      </c>
      <c r="P756" t="n">
        <v>0</v>
      </c>
      <c r="Q756" t="n">
        <v>0</v>
      </c>
      <c r="R756" s="2" t="inlineStr"/>
    </row>
    <row r="757" ht="15" customHeight="1">
      <c r="A757" t="inlineStr">
        <is>
          <t>A 52480-2025</t>
        </is>
      </c>
      <c r="B757" s="1" t="n">
        <v>45954.47172453703</v>
      </c>
      <c r="C757" s="1" t="n">
        <v>46021</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35271-2025</t>
        </is>
      </c>
      <c r="B758" s="1" t="n">
        <v>45853.87599537037</v>
      </c>
      <c r="C758" s="1" t="n">
        <v>46021</v>
      </c>
      <c r="D758" t="inlineStr">
        <is>
          <t>KALMAR LÄN</t>
        </is>
      </c>
      <c r="E758" t="inlineStr">
        <is>
          <t>VIMMERBY</t>
        </is>
      </c>
      <c r="G758" t="n">
        <v>0.4</v>
      </c>
      <c r="H758" t="n">
        <v>0</v>
      </c>
      <c r="I758" t="n">
        <v>0</v>
      </c>
      <c r="J758" t="n">
        <v>0</v>
      </c>
      <c r="K758" t="n">
        <v>0</v>
      </c>
      <c r="L758" t="n">
        <v>0</v>
      </c>
      <c r="M758" t="n">
        <v>0</v>
      </c>
      <c r="N758" t="n">
        <v>0</v>
      </c>
      <c r="O758" t="n">
        <v>0</v>
      </c>
      <c r="P758" t="n">
        <v>0</v>
      </c>
      <c r="Q758" t="n">
        <v>0</v>
      </c>
      <c r="R758" s="2" t="inlineStr"/>
    </row>
    <row r="759" ht="15" customHeight="1">
      <c r="A759" t="inlineStr">
        <is>
          <t>A 35272-2025</t>
        </is>
      </c>
      <c r="B759" s="1" t="n">
        <v>45853.88070601852</v>
      </c>
      <c r="C759" s="1" t="n">
        <v>46021</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16953-2025</t>
        </is>
      </c>
      <c r="B760" s="1" t="n">
        <v>45755.44333333334</v>
      </c>
      <c r="C760" s="1" t="n">
        <v>46021</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12630-2023</t>
        </is>
      </c>
      <c r="B761" s="1" t="n">
        <v>45000.47998842593</v>
      </c>
      <c r="C761" s="1" t="n">
        <v>46021</v>
      </c>
      <c r="D761" t="inlineStr">
        <is>
          <t>KALMAR LÄN</t>
        </is>
      </c>
      <c r="E761" t="inlineStr">
        <is>
          <t>VIMMERBY</t>
        </is>
      </c>
      <c r="G761" t="n">
        <v>2.1</v>
      </c>
      <c r="H761" t="n">
        <v>0</v>
      </c>
      <c r="I761" t="n">
        <v>0</v>
      </c>
      <c r="J761" t="n">
        <v>0</v>
      </c>
      <c r="K761" t="n">
        <v>0</v>
      </c>
      <c r="L761" t="n">
        <v>0</v>
      </c>
      <c r="M761" t="n">
        <v>0</v>
      </c>
      <c r="N761" t="n">
        <v>0</v>
      </c>
      <c r="O761" t="n">
        <v>0</v>
      </c>
      <c r="P761" t="n">
        <v>0</v>
      </c>
      <c r="Q761" t="n">
        <v>0</v>
      </c>
      <c r="R761" s="2" t="inlineStr"/>
    </row>
    <row r="762" ht="15" customHeight="1">
      <c r="A762" t="inlineStr">
        <is>
          <t>A 52466-2025</t>
        </is>
      </c>
      <c r="B762" s="1" t="n">
        <v>45954.44707175926</v>
      </c>
      <c r="C762" s="1" t="n">
        <v>46021</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35597-2025</t>
        </is>
      </c>
      <c r="B763" s="1" t="n">
        <v>45858.66019675926</v>
      </c>
      <c r="C763" s="1" t="n">
        <v>46021</v>
      </c>
      <c r="D763" t="inlineStr">
        <is>
          <t>KALMAR LÄN</t>
        </is>
      </c>
      <c r="E763" t="inlineStr">
        <is>
          <t>VIMMERBY</t>
        </is>
      </c>
      <c r="G763" t="n">
        <v>6.4</v>
      </c>
      <c r="H763" t="n">
        <v>0</v>
      </c>
      <c r="I763" t="n">
        <v>0</v>
      </c>
      <c r="J763" t="n">
        <v>0</v>
      </c>
      <c r="K763" t="n">
        <v>0</v>
      </c>
      <c r="L763" t="n">
        <v>0</v>
      </c>
      <c r="M763" t="n">
        <v>0</v>
      </c>
      <c r="N763" t="n">
        <v>0</v>
      </c>
      <c r="O763" t="n">
        <v>0</v>
      </c>
      <c r="P763" t="n">
        <v>0</v>
      </c>
      <c r="Q763" t="n">
        <v>0</v>
      </c>
      <c r="R763" s="2" t="inlineStr"/>
    </row>
    <row r="764" ht="15" customHeight="1">
      <c r="A764" t="inlineStr">
        <is>
          <t>A 60297-2025</t>
        </is>
      </c>
      <c r="B764" s="1" t="n">
        <v>45994</v>
      </c>
      <c r="C764" s="1" t="n">
        <v>46021</v>
      </c>
      <c r="D764" t="inlineStr">
        <is>
          <t>KALMAR LÄN</t>
        </is>
      </c>
      <c r="E764" t="inlineStr">
        <is>
          <t>VIMMERBY</t>
        </is>
      </c>
      <c r="G764" t="n">
        <v>4.2</v>
      </c>
      <c r="H764" t="n">
        <v>0</v>
      </c>
      <c r="I764" t="n">
        <v>0</v>
      </c>
      <c r="J764" t="n">
        <v>0</v>
      </c>
      <c r="K764" t="n">
        <v>0</v>
      </c>
      <c r="L764" t="n">
        <v>0</v>
      </c>
      <c r="M764" t="n">
        <v>0</v>
      </c>
      <c r="N764" t="n">
        <v>0</v>
      </c>
      <c r="O764" t="n">
        <v>0</v>
      </c>
      <c r="P764" t="n">
        <v>0</v>
      </c>
      <c r="Q764" t="n">
        <v>0</v>
      </c>
      <c r="R764" s="2" t="inlineStr"/>
    </row>
    <row r="765" ht="15" customHeight="1">
      <c r="A765" t="inlineStr">
        <is>
          <t>A 39584-2024</t>
        </is>
      </c>
      <c r="B765" s="1" t="n">
        <v>45552.36759259259</v>
      </c>
      <c r="C765" s="1" t="n">
        <v>46021</v>
      </c>
      <c r="D765" t="inlineStr">
        <is>
          <t>KALMAR LÄN</t>
        </is>
      </c>
      <c r="E765" t="inlineStr">
        <is>
          <t>VIMMERBY</t>
        </is>
      </c>
      <c r="G765" t="n">
        <v>1.9</v>
      </c>
      <c r="H765" t="n">
        <v>0</v>
      </c>
      <c r="I765" t="n">
        <v>0</v>
      </c>
      <c r="J765" t="n">
        <v>0</v>
      </c>
      <c r="K765" t="n">
        <v>0</v>
      </c>
      <c r="L765" t="n">
        <v>0</v>
      </c>
      <c r="M765" t="n">
        <v>0</v>
      </c>
      <c r="N765" t="n">
        <v>0</v>
      </c>
      <c r="O765" t="n">
        <v>0</v>
      </c>
      <c r="P765" t="n">
        <v>0</v>
      </c>
      <c r="Q765" t="n">
        <v>0</v>
      </c>
      <c r="R765" s="2" t="inlineStr"/>
    </row>
    <row r="766" ht="15" customHeight="1">
      <c r="A766" t="inlineStr">
        <is>
          <t>A 35596-2025</t>
        </is>
      </c>
      <c r="B766" s="1" t="n">
        <v>45858.60641203704</v>
      </c>
      <c r="C766" s="1" t="n">
        <v>46021</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27705-2023</t>
        </is>
      </c>
      <c r="B767" s="1" t="n">
        <v>45098.30535879629</v>
      </c>
      <c r="C767" s="1" t="n">
        <v>46021</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52516-2025</t>
        </is>
      </c>
      <c r="B768" s="1" t="n">
        <v>45954.51412037037</v>
      </c>
      <c r="C768" s="1" t="n">
        <v>46021</v>
      </c>
      <c r="D768" t="inlineStr">
        <is>
          <t>KALMAR LÄN</t>
        </is>
      </c>
      <c r="E768" t="inlineStr">
        <is>
          <t>VIMMERBY</t>
        </is>
      </c>
      <c r="G768" t="n">
        <v>2.8</v>
      </c>
      <c r="H768" t="n">
        <v>0</v>
      </c>
      <c r="I768" t="n">
        <v>0</v>
      </c>
      <c r="J768" t="n">
        <v>0</v>
      </c>
      <c r="K768" t="n">
        <v>0</v>
      </c>
      <c r="L768" t="n">
        <v>0</v>
      </c>
      <c r="M768" t="n">
        <v>0</v>
      </c>
      <c r="N768" t="n">
        <v>0</v>
      </c>
      <c r="O768" t="n">
        <v>0</v>
      </c>
      <c r="P768" t="n">
        <v>0</v>
      </c>
      <c r="Q768" t="n">
        <v>0</v>
      </c>
      <c r="R768" s="2" t="inlineStr"/>
    </row>
    <row r="769" ht="15" customHeight="1">
      <c r="A769" t="inlineStr">
        <is>
          <t>A 31013-2023</t>
        </is>
      </c>
      <c r="B769" s="1" t="n">
        <v>45113.56574074074</v>
      </c>
      <c r="C769" s="1" t="n">
        <v>46021</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15388-2025</t>
        </is>
      </c>
      <c r="B770" s="1" t="n">
        <v>45747.42633101852</v>
      </c>
      <c r="C770" s="1" t="n">
        <v>46021</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15391-2025</t>
        </is>
      </c>
      <c r="B771" s="1" t="n">
        <v>45747.42958333333</v>
      </c>
      <c r="C771" s="1" t="n">
        <v>46021</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11303-2025</t>
        </is>
      </c>
      <c r="B772" s="1" t="n">
        <v>45726.44471064815</v>
      </c>
      <c r="C772" s="1" t="n">
        <v>46021</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19502-2025</t>
        </is>
      </c>
      <c r="B773" s="1" t="n">
        <v>45769</v>
      </c>
      <c r="C773" s="1" t="n">
        <v>46021</v>
      </c>
      <c r="D773" t="inlineStr">
        <is>
          <t>KALMAR LÄN</t>
        </is>
      </c>
      <c r="E773" t="inlineStr">
        <is>
          <t>VIMMERBY</t>
        </is>
      </c>
      <c r="G773" t="n">
        <v>1.9</v>
      </c>
      <c r="H773" t="n">
        <v>0</v>
      </c>
      <c r="I773" t="n">
        <v>0</v>
      </c>
      <c r="J773" t="n">
        <v>0</v>
      </c>
      <c r="K773" t="n">
        <v>0</v>
      </c>
      <c r="L773" t="n">
        <v>0</v>
      </c>
      <c r="M773" t="n">
        <v>0</v>
      </c>
      <c r="N773" t="n">
        <v>0</v>
      </c>
      <c r="O773" t="n">
        <v>0</v>
      </c>
      <c r="P773" t="n">
        <v>0</v>
      </c>
      <c r="Q773" t="n">
        <v>0</v>
      </c>
      <c r="R773" s="2" t="inlineStr"/>
    </row>
    <row r="774" ht="15" customHeight="1">
      <c r="A774" t="inlineStr">
        <is>
          <t>A 52465-2025</t>
        </is>
      </c>
      <c r="B774" s="1" t="n">
        <v>45954.44543981482</v>
      </c>
      <c r="C774" s="1" t="n">
        <v>46021</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33352-2022</t>
        </is>
      </c>
      <c r="B775" s="1" t="n">
        <v>44788</v>
      </c>
      <c r="C775" s="1" t="n">
        <v>46021</v>
      </c>
      <c r="D775" t="inlineStr">
        <is>
          <t>KALMAR LÄN</t>
        </is>
      </c>
      <c r="E775" t="inlineStr">
        <is>
          <t>VIMMERBY</t>
        </is>
      </c>
      <c r="G775" t="n">
        <v>0.8</v>
      </c>
      <c r="H775" t="n">
        <v>0</v>
      </c>
      <c r="I775" t="n">
        <v>0</v>
      </c>
      <c r="J775" t="n">
        <v>0</v>
      </c>
      <c r="K775" t="n">
        <v>0</v>
      </c>
      <c r="L775" t="n">
        <v>0</v>
      </c>
      <c r="M775" t="n">
        <v>0</v>
      </c>
      <c r="N775" t="n">
        <v>0</v>
      </c>
      <c r="O775" t="n">
        <v>0</v>
      </c>
      <c r="P775" t="n">
        <v>0</v>
      </c>
      <c r="Q775" t="n">
        <v>0</v>
      </c>
      <c r="R775" s="2" t="inlineStr"/>
    </row>
    <row r="776" ht="15" customHeight="1">
      <c r="A776" t="inlineStr">
        <is>
          <t>A 46234-2024</t>
        </is>
      </c>
      <c r="B776" s="1" t="n">
        <v>45581.57958333333</v>
      </c>
      <c r="C776" s="1" t="n">
        <v>46021</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36273-2025</t>
        </is>
      </c>
      <c r="B777" s="1" t="n">
        <v>45867.63094907408</v>
      </c>
      <c r="C777" s="1" t="n">
        <v>46021</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39053-2024</t>
        </is>
      </c>
      <c r="B778" s="1" t="n">
        <v>45548</v>
      </c>
      <c r="C778" s="1" t="n">
        <v>46021</v>
      </c>
      <c r="D778" t="inlineStr">
        <is>
          <t>KALMAR LÄN</t>
        </is>
      </c>
      <c r="E778" t="inlineStr">
        <is>
          <t>VIMMERBY</t>
        </is>
      </c>
      <c r="G778" t="n">
        <v>5</v>
      </c>
      <c r="H778" t="n">
        <v>0</v>
      </c>
      <c r="I778" t="n">
        <v>0</v>
      </c>
      <c r="J778" t="n">
        <v>0</v>
      </c>
      <c r="K778" t="n">
        <v>0</v>
      </c>
      <c r="L778" t="n">
        <v>0</v>
      </c>
      <c r="M778" t="n">
        <v>0</v>
      </c>
      <c r="N778" t="n">
        <v>0</v>
      </c>
      <c r="O778" t="n">
        <v>0</v>
      </c>
      <c r="P778" t="n">
        <v>0</v>
      </c>
      <c r="Q778" t="n">
        <v>0</v>
      </c>
      <c r="R778" s="2" t="inlineStr"/>
    </row>
    <row r="779" ht="15" customHeight="1">
      <c r="A779" t="inlineStr">
        <is>
          <t>A 15449-2023</t>
        </is>
      </c>
      <c r="B779" s="1" t="n">
        <v>45020</v>
      </c>
      <c r="C779" s="1" t="n">
        <v>46021</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36299-2025</t>
        </is>
      </c>
      <c r="B780" s="1" t="n">
        <v>45867.69346064814</v>
      </c>
      <c r="C780" s="1" t="n">
        <v>46021</v>
      </c>
      <c r="D780" t="inlineStr">
        <is>
          <t>KALMAR LÄN</t>
        </is>
      </c>
      <c r="E780" t="inlineStr">
        <is>
          <t>VIMMERBY</t>
        </is>
      </c>
      <c r="G780" t="n">
        <v>7.6</v>
      </c>
      <c r="H780" t="n">
        <v>0</v>
      </c>
      <c r="I780" t="n">
        <v>0</v>
      </c>
      <c r="J780" t="n">
        <v>0</v>
      </c>
      <c r="K780" t="n">
        <v>0</v>
      </c>
      <c r="L780" t="n">
        <v>0</v>
      </c>
      <c r="M780" t="n">
        <v>0</v>
      </c>
      <c r="N780" t="n">
        <v>0</v>
      </c>
      <c r="O780" t="n">
        <v>0</v>
      </c>
      <c r="P780" t="n">
        <v>0</v>
      </c>
      <c r="Q780" t="n">
        <v>0</v>
      </c>
      <c r="R780" s="2" t="inlineStr"/>
    </row>
    <row r="781" ht="15" customHeight="1">
      <c r="A781" t="inlineStr">
        <is>
          <t>A 36221-2025</t>
        </is>
      </c>
      <c r="B781" s="1" t="n">
        <v>45867.50792824074</v>
      </c>
      <c r="C781" s="1" t="n">
        <v>46021</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36226-2025</t>
        </is>
      </c>
      <c r="B782" s="1" t="n">
        <v>45867.51630787037</v>
      </c>
      <c r="C782" s="1" t="n">
        <v>46021</v>
      </c>
      <c r="D782" t="inlineStr">
        <is>
          <t>KALMAR LÄN</t>
        </is>
      </c>
      <c r="E782" t="inlineStr">
        <is>
          <t>VIMMERBY</t>
        </is>
      </c>
      <c r="G782" t="n">
        <v>3.1</v>
      </c>
      <c r="H782" t="n">
        <v>0</v>
      </c>
      <c r="I782" t="n">
        <v>0</v>
      </c>
      <c r="J782" t="n">
        <v>0</v>
      </c>
      <c r="K782" t="n">
        <v>0</v>
      </c>
      <c r="L782" t="n">
        <v>0</v>
      </c>
      <c r="M782" t="n">
        <v>0</v>
      </c>
      <c r="N782" t="n">
        <v>0</v>
      </c>
      <c r="O782" t="n">
        <v>0</v>
      </c>
      <c r="P782" t="n">
        <v>0</v>
      </c>
      <c r="Q782" t="n">
        <v>0</v>
      </c>
      <c r="R782" s="2" t="inlineStr"/>
    </row>
    <row r="783" ht="15" customHeight="1">
      <c r="A783" t="inlineStr">
        <is>
          <t>A 43594-2024</t>
        </is>
      </c>
      <c r="B783" s="1" t="n">
        <v>45569.44295138889</v>
      </c>
      <c r="C783" s="1" t="n">
        <v>46021</v>
      </c>
      <c r="D783" t="inlineStr">
        <is>
          <t>KALMAR LÄN</t>
        </is>
      </c>
      <c r="E783" t="inlineStr">
        <is>
          <t>VIMMERBY</t>
        </is>
      </c>
      <c r="G783" t="n">
        <v>3.9</v>
      </c>
      <c r="H783" t="n">
        <v>0</v>
      </c>
      <c r="I783" t="n">
        <v>0</v>
      </c>
      <c r="J783" t="n">
        <v>0</v>
      </c>
      <c r="K783" t="n">
        <v>0</v>
      </c>
      <c r="L783" t="n">
        <v>0</v>
      </c>
      <c r="M783" t="n">
        <v>0</v>
      </c>
      <c r="N783" t="n">
        <v>0</v>
      </c>
      <c r="O783" t="n">
        <v>0</v>
      </c>
      <c r="P783" t="n">
        <v>0</v>
      </c>
      <c r="Q783" t="n">
        <v>0</v>
      </c>
      <c r="R783" s="2" t="inlineStr"/>
    </row>
    <row r="784" ht="15" customHeight="1">
      <c r="A784" t="inlineStr">
        <is>
          <t>A 17486-2024</t>
        </is>
      </c>
      <c r="B784" s="1" t="n">
        <v>45415.48979166667</v>
      </c>
      <c r="C784" s="1" t="n">
        <v>46021</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36297-2025</t>
        </is>
      </c>
      <c r="B785" s="1" t="n">
        <v>45867.68625</v>
      </c>
      <c r="C785" s="1" t="n">
        <v>46021</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36246-2025</t>
        </is>
      </c>
      <c r="B786" s="1" t="n">
        <v>45867.56320601852</v>
      </c>
      <c r="C786" s="1" t="n">
        <v>46021</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36282-2025</t>
        </is>
      </c>
      <c r="B787" s="1" t="n">
        <v>45867.64663194444</v>
      </c>
      <c r="C787" s="1" t="n">
        <v>46021</v>
      </c>
      <c r="D787" t="inlineStr">
        <is>
          <t>KALMAR LÄN</t>
        </is>
      </c>
      <c r="E787" t="inlineStr">
        <is>
          <t>VIMMERBY</t>
        </is>
      </c>
      <c r="G787" t="n">
        <v>1.4</v>
      </c>
      <c r="H787" t="n">
        <v>0</v>
      </c>
      <c r="I787" t="n">
        <v>0</v>
      </c>
      <c r="J787" t="n">
        <v>0</v>
      </c>
      <c r="K787" t="n">
        <v>0</v>
      </c>
      <c r="L787" t="n">
        <v>0</v>
      </c>
      <c r="M787" t="n">
        <v>0</v>
      </c>
      <c r="N787" t="n">
        <v>0</v>
      </c>
      <c r="O787" t="n">
        <v>0</v>
      </c>
      <c r="P787" t="n">
        <v>0</v>
      </c>
      <c r="Q787" t="n">
        <v>0</v>
      </c>
      <c r="R787" s="2" t="inlineStr"/>
    </row>
    <row r="788" ht="15" customHeight="1">
      <c r="A788" t="inlineStr">
        <is>
          <t>A 36538-2025</t>
        </is>
      </c>
      <c r="B788" s="1" t="n">
        <v>45869.62276620371</v>
      </c>
      <c r="C788" s="1" t="n">
        <v>46021</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14248-2023</t>
        </is>
      </c>
      <c r="B789" s="1" t="n">
        <v>45009</v>
      </c>
      <c r="C789" s="1" t="n">
        <v>46021</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36598-2025</t>
        </is>
      </c>
      <c r="B790" s="1" t="n">
        <v>45870.51708333333</v>
      </c>
      <c r="C790" s="1" t="n">
        <v>46021</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36602-2025</t>
        </is>
      </c>
      <c r="B791" s="1" t="n">
        <v>45870.52111111111</v>
      </c>
      <c r="C791" s="1" t="n">
        <v>46021</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36600-2025</t>
        </is>
      </c>
      <c r="B792" s="1" t="n">
        <v>45870.51958333333</v>
      </c>
      <c r="C792" s="1" t="n">
        <v>46021</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36601-2025</t>
        </is>
      </c>
      <c r="B793" s="1" t="n">
        <v>45870.52005787037</v>
      </c>
      <c r="C793" s="1" t="n">
        <v>46021</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36603-2025</t>
        </is>
      </c>
      <c r="B794" s="1" t="n">
        <v>45870.52142361111</v>
      </c>
      <c r="C794" s="1" t="n">
        <v>46021</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30400-2023</t>
        </is>
      </c>
      <c r="B795" s="1" t="n">
        <v>45111.48225694444</v>
      </c>
      <c r="C795" s="1" t="n">
        <v>46021</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30404-2023</t>
        </is>
      </c>
      <c r="B796" s="1" t="n">
        <v>45111.48636574074</v>
      </c>
      <c r="C796" s="1" t="n">
        <v>46021</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55123-2024</t>
        </is>
      </c>
      <c r="B797" s="1" t="n">
        <v>45621.46103009259</v>
      </c>
      <c r="C797" s="1" t="n">
        <v>46021</v>
      </c>
      <c r="D797" t="inlineStr">
        <is>
          <t>KALMAR LÄN</t>
        </is>
      </c>
      <c r="E797" t="inlineStr">
        <is>
          <t>VIMMERBY</t>
        </is>
      </c>
      <c r="G797" t="n">
        <v>3.1</v>
      </c>
      <c r="H797" t="n">
        <v>0</v>
      </c>
      <c r="I797" t="n">
        <v>0</v>
      </c>
      <c r="J797" t="n">
        <v>0</v>
      </c>
      <c r="K797" t="n">
        <v>0</v>
      </c>
      <c r="L797" t="n">
        <v>0</v>
      </c>
      <c r="M797" t="n">
        <v>0</v>
      </c>
      <c r="N797" t="n">
        <v>0</v>
      </c>
      <c r="O797" t="n">
        <v>0</v>
      </c>
      <c r="P797" t="n">
        <v>0</v>
      </c>
      <c r="Q797" t="n">
        <v>0</v>
      </c>
      <c r="R797" s="2" t="inlineStr"/>
    </row>
    <row r="798" ht="15" customHeight="1">
      <c r="A798" t="inlineStr">
        <is>
          <t>A 31405-2023</t>
        </is>
      </c>
      <c r="B798" s="1" t="n">
        <v>45114.58148148148</v>
      </c>
      <c r="C798" s="1" t="n">
        <v>46021</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24707-2024</t>
        </is>
      </c>
      <c r="B799" s="1" t="n">
        <v>45460.62172453704</v>
      </c>
      <c r="C799" s="1" t="n">
        <v>46021</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36049-2024</t>
        </is>
      </c>
      <c r="B800" s="1" t="n">
        <v>45533.61996527778</v>
      </c>
      <c r="C800" s="1" t="n">
        <v>46021</v>
      </c>
      <c r="D800" t="inlineStr">
        <is>
          <t>KALMAR LÄN</t>
        </is>
      </c>
      <c r="E800" t="inlineStr">
        <is>
          <t>VIMMERBY</t>
        </is>
      </c>
      <c r="F800" t="inlineStr">
        <is>
          <t>Kommuner</t>
        </is>
      </c>
      <c r="G800" t="n">
        <v>2.6</v>
      </c>
      <c r="H800" t="n">
        <v>0</v>
      </c>
      <c r="I800" t="n">
        <v>0</v>
      </c>
      <c r="J800" t="n">
        <v>0</v>
      </c>
      <c r="K800" t="n">
        <v>0</v>
      </c>
      <c r="L800" t="n">
        <v>0</v>
      </c>
      <c r="M800" t="n">
        <v>0</v>
      </c>
      <c r="N800" t="n">
        <v>0</v>
      </c>
      <c r="O800" t="n">
        <v>0</v>
      </c>
      <c r="P800" t="n">
        <v>0</v>
      </c>
      <c r="Q800" t="n">
        <v>0</v>
      </c>
      <c r="R800" s="2" t="inlineStr"/>
    </row>
    <row r="801" ht="15" customHeight="1">
      <c r="A801" t="inlineStr">
        <is>
          <t>A 36934-2025</t>
        </is>
      </c>
      <c r="B801" s="1" t="n">
        <v>45874.57109953704</v>
      </c>
      <c r="C801" s="1" t="n">
        <v>46021</v>
      </c>
      <c r="D801" t="inlineStr">
        <is>
          <t>KALMAR LÄN</t>
        </is>
      </c>
      <c r="E801" t="inlineStr">
        <is>
          <t>VIMMERBY</t>
        </is>
      </c>
      <c r="G801" t="n">
        <v>4.2</v>
      </c>
      <c r="H801" t="n">
        <v>0</v>
      </c>
      <c r="I801" t="n">
        <v>0</v>
      </c>
      <c r="J801" t="n">
        <v>0</v>
      </c>
      <c r="K801" t="n">
        <v>0</v>
      </c>
      <c r="L801" t="n">
        <v>0</v>
      </c>
      <c r="M801" t="n">
        <v>0</v>
      </c>
      <c r="N801" t="n">
        <v>0</v>
      </c>
      <c r="O801" t="n">
        <v>0</v>
      </c>
      <c r="P801" t="n">
        <v>0</v>
      </c>
      <c r="Q801" t="n">
        <v>0</v>
      </c>
      <c r="R801" s="2" t="inlineStr"/>
    </row>
    <row r="802" ht="15" customHeight="1">
      <c r="A802" t="inlineStr">
        <is>
          <t>A 58159-2024</t>
        </is>
      </c>
      <c r="B802" s="1" t="n">
        <v>45632.44886574074</v>
      </c>
      <c r="C802" s="1" t="n">
        <v>46021</v>
      </c>
      <c r="D802" t="inlineStr">
        <is>
          <t>KALMAR LÄN</t>
        </is>
      </c>
      <c r="E802" t="inlineStr">
        <is>
          <t>VIMMERBY</t>
        </is>
      </c>
      <c r="G802" t="n">
        <v>7.5</v>
      </c>
      <c r="H802" t="n">
        <v>0</v>
      </c>
      <c r="I802" t="n">
        <v>0</v>
      </c>
      <c r="J802" t="n">
        <v>0</v>
      </c>
      <c r="K802" t="n">
        <v>0</v>
      </c>
      <c r="L802" t="n">
        <v>0</v>
      </c>
      <c r="M802" t="n">
        <v>0</v>
      </c>
      <c r="N802" t="n">
        <v>0</v>
      </c>
      <c r="O802" t="n">
        <v>0</v>
      </c>
      <c r="P802" t="n">
        <v>0</v>
      </c>
      <c r="Q802" t="n">
        <v>0</v>
      </c>
      <c r="R802" s="2" t="inlineStr"/>
    </row>
    <row r="803" ht="15" customHeight="1">
      <c r="A803" t="inlineStr">
        <is>
          <t>A 14359-2025</t>
        </is>
      </c>
      <c r="B803" s="1" t="n">
        <v>45741.37270833334</v>
      </c>
      <c r="C803" s="1" t="n">
        <v>46021</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52475-2025</t>
        </is>
      </c>
      <c r="B804" s="1" t="n">
        <v>45954.468125</v>
      </c>
      <c r="C804" s="1" t="n">
        <v>46021</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37088-2025</t>
        </is>
      </c>
      <c r="B805" s="1" t="n">
        <v>45875.45716435185</v>
      </c>
      <c r="C805" s="1" t="n">
        <v>46021</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37102-2025</t>
        </is>
      </c>
      <c r="B806" s="1" t="n">
        <v>45875.47454861111</v>
      </c>
      <c r="C806" s="1" t="n">
        <v>46021</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53220-2025</t>
        </is>
      </c>
      <c r="B807" s="1" t="n">
        <v>45958.60146990741</v>
      </c>
      <c r="C807" s="1" t="n">
        <v>46021</v>
      </c>
      <c r="D807" t="inlineStr">
        <is>
          <t>KALMAR LÄN</t>
        </is>
      </c>
      <c r="E807" t="inlineStr">
        <is>
          <t>VIMMERBY</t>
        </is>
      </c>
      <c r="G807" t="n">
        <v>2.2</v>
      </c>
      <c r="H807" t="n">
        <v>0</v>
      </c>
      <c r="I807" t="n">
        <v>0</v>
      </c>
      <c r="J807" t="n">
        <v>0</v>
      </c>
      <c r="K807" t="n">
        <v>0</v>
      </c>
      <c r="L807" t="n">
        <v>0</v>
      </c>
      <c r="M807" t="n">
        <v>0</v>
      </c>
      <c r="N807" t="n">
        <v>0</v>
      </c>
      <c r="O807" t="n">
        <v>0</v>
      </c>
      <c r="P807" t="n">
        <v>0</v>
      </c>
      <c r="Q807" t="n">
        <v>0</v>
      </c>
      <c r="R807" s="2" t="inlineStr"/>
    </row>
    <row r="808" ht="15" customHeight="1">
      <c r="A808" t="inlineStr">
        <is>
          <t>A 37079-2025</t>
        </is>
      </c>
      <c r="B808" s="1" t="n">
        <v>45875.42716435185</v>
      </c>
      <c r="C808" s="1" t="n">
        <v>46021</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39578-2024</t>
        </is>
      </c>
      <c r="B809" s="1" t="n">
        <v>45552.36484953704</v>
      </c>
      <c r="C809" s="1" t="n">
        <v>46021</v>
      </c>
      <c r="D809" t="inlineStr">
        <is>
          <t>KALMAR LÄN</t>
        </is>
      </c>
      <c r="E809" t="inlineStr">
        <is>
          <t>VIMMERBY</t>
        </is>
      </c>
      <c r="G809" t="n">
        <v>1.5</v>
      </c>
      <c r="H809" t="n">
        <v>0</v>
      </c>
      <c r="I809" t="n">
        <v>0</v>
      </c>
      <c r="J809" t="n">
        <v>0</v>
      </c>
      <c r="K809" t="n">
        <v>0</v>
      </c>
      <c r="L809" t="n">
        <v>0</v>
      </c>
      <c r="M809" t="n">
        <v>0</v>
      </c>
      <c r="N809" t="n">
        <v>0</v>
      </c>
      <c r="O809" t="n">
        <v>0</v>
      </c>
      <c r="P809" t="n">
        <v>0</v>
      </c>
      <c r="Q809" t="n">
        <v>0</v>
      </c>
      <c r="R809" s="2" t="inlineStr"/>
    </row>
    <row r="810" ht="15" customHeight="1">
      <c r="A810" t="inlineStr">
        <is>
          <t>A 37668-2025</t>
        </is>
      </c>
      <c r="B810" s="1" t="n">
        <v>45880.51550925926</v>
      </c>
      <c r="C810" s="1" t="n">
        <v>46021</v>
      </c>
      <c r="D810" t="inlineStr">
        <is>
          <t>KALMAR LÄN</t>
        </is>
      </c>
      <c r="E810" t="inlineStr">
        <is>
          <t>VIMMERBY</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52451-2025</t>
        </is>
      </c>
      <c r="B811" s="1" t="n">
        <v>45954.42326388889</v>
      </c>
      <c r="C811" s="1" t="n">
        <v>46021</v>
      </c>
      <c r="D811" t="inlineStr">
        <is>
          <t>KALMAR LÄN</t>
        </is>
      </c>
      <c r="E811" t="inlineStr">
        <is>
          <t>VIMMERBY</t>
        </is>
      </c>
      <c r="G811" t="n">
        <v>2.8</v>
      </c>
      <c r="H811" t="n">
        <v>0</v>
      </c>
      <c r="I811" t="n">
        <v>0</v>
      </c>
      <c r="J811" t="n">
        <v>0</v>
      </c>
      <c r="K811" t="n">
        <v>0</v>
      </c>
      <c r="L811" t="n">
        <v>0</v>
      </c>
      <c r="M811" t="n">
        <v>0</v>
      </c>
      <c r="N811" t="n">
        <v>0</v>
      </c>
      <c r="O811" t="n">
        <v>0</v>
      </c>
      <c r="P811" t="n">
        <v>0</v>
      </c>
      <c r="Q811" t="n">
        <v>0</v>
      </c>
      <c r="R811" s="2" t="inlineStr"/>
    </row>
    <row r="812" ht="15" customHeight="1">
      <c r="A812" t="inlineStr">
        <is>
          <t>A 37578-2025</t>
        </is>
      </c>
      <c r="B812" s="1" t="n">
        <v>45880.38380787037</v>
      </c>
      <c r="C812" s="1" t="n">
        <v>46021</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62779-2023</t>
        </is>
      </c>
      <c r="B813" s="1" t="n">
        <v>45271.66576388889</v>
      </c>
      <c r="C813" s="1" t="n">
        <v>46021</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53393-2025</t>
        </is>
      </c>
      <c r="B814" s="1" t="n">
        <v>45959.55284722222</v>
      </c>
      <c r="C814" s="1" t="n">
        <v>46021</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53398-2025</t>
        </is>
      </c>
      <c r="B815" s="1" t="n">
        <v>45959.56247685185</v>
      </c>
      <c r="C815" s="1" t="n">
        <v>46021</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53397-2025</t>
        </is>
      </c>
      <c r="B816" s="1" t="n">
        <v>45959.55918981481</v>
      </c>
      <c r="C816" s="1" t="n">
        <v>46021</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46399-2024</t>
        </is>
      </c>
      <c r="B817" s="1" t="n">
        <v>45582.41200231481</v>
      </c>
      <c r="C817" s="1" t="n">
        <v>46021</v>
      </c>
      <c r="D817" t="inlineStr">
        <is>
          <t>KALMAR LÄN</t>
        </is>
      </c>
      <c r="E817" t="inlineStr">
        <is>
          <t>VIMMERBY</t>
        </is>
      </c>
      <c r="G817" t="n">
        <v>4.6</v>
      </c>
      <c r="H817" t="n">
        <v>0</v>
      </c>
      <c r="I817" t="n">
        <v>0</v>
      </c>
      <c r="J817" t="n">
        <v>0</v>
      </c>
      <c r="K817" t="n">
        <v>0</v>
      </c>
      <c r="L817" t="n">
        <v>0</v>
      </c>
      <c r="M817" t="n">
        <v>0</v>
      </c>
      <c r="N817" t="n">
        <v>0</v>
      </c>
      <c r="O817" t="n">
        <v>0</v>
      </c>
      <c r="P817" t="n">
        <v>0</v>
      </c>
      <c r="Q817" t="n">
        <v>0</v>
      </c>
      <c r="R817" s="2" t="inlineStr"/>
    </row>
    <row r="818" ht="15" customHeight="1">
      <c r="A818" t="inlineStr">
        <is>
          <t>A 53416-2025</t>
        </is>
      </c>
      <c r="B818" s="1" t="n">
        <v>45959.58387731481</v>
      </c>
      <c r="C818" s="1" t="n">
        <v>46021</v>
      </c>
      <c r="D818" t="inlineStr">
        <is>
          <t>KALMAR LÄN</t>
        </is>
      </c>
      <c r="E818" t="inlineStr">
        <is>
          <t>VIMMERBY</t>
        </is>
      </c>
      <c r="G818" t="n">
        <v>4.4</v>
      </c>
      <c r="H818" t="n">
        <v>0</v>
      </c>
      <c r="I818" t="n">
        <v>0</v>
      </c>
      <c r="J818" t="n">
        <v>0</v>
      </c>
      <c r="K818" t="n">
        <v>0</v>
      </c>
      <c r="L818" t="n">
        <v>0</v>
      </c>
      <c r="M818" t="n">
        <v>0</v>
      </c>
      <c r="N818" t="n">
        <v>0</v>
      </c>
      <c r="O818" t="n">
        <v>0</v>
      </c>
      <c r="P818" t="n">
        <v>0</v>
      </c>
      <c r="Q818" t="n">
        <v>0</v>
      </c>
      <c r="R818" s="2" t="inlineStr"/>
    </row>
    <row r="819" ht="15" customHeight="1">
      <c r="A819" t="inlineStr">
        <is>
          <t>A 61726-2025</t>
        </is>
      </c>
      <c r="B819" s="1" t="n">
        <v>46002.58822916666</v>
      </c>
      <c r="C819" s="1" t="n">
        <v>46021</v>
      </c>
      <c r="D819" t="inlineStr">
        <is>
          <t>KALMAR LÄN</t>
        </is>
      </c>
      <c r="E819" t="inlineStr">
        <is>
          <t>VIMMERBY</t>
        </is>
      </c>
      <c r="F819" t="inlineStr">
        <is>
          <t>Sveaskog</t>
        </is>
      </c>
      <c r="G819" t="n">
        <v>0.2</v>
      </c>
      <c r="H819" t="n">
        <v>0</v>
      </c>
      <c r="I819" t="n">
        <v>0</v>
      </c>
      <c r="J819" t="n">
        <v>0</v>
      </c>
      <c r="K819" t="n">
        <v>0</v>
      </c>
      <c r="L819" t="n">
        <v>0</v>
      </c>
      <c r="M819" t="n">
        <v>0</v>
      </c>
      <c r="N819" t="n">
        <v>0</v>
      </c>
      <c r="O819" t="n">
        <v>0</v>
      </c>
      <c r="P819" t="n">
        <v>0</v>
      </c>
      <c r="Q819" t="n">
        <v>0</v>
      </c>
      <c r="R819" s="2" t="inlineStr"/>
    </row>
    <row r="820" ht="15" customHeight="1">
      <c r="A820" t="inlineStr">
        <is>
          <t>A 3425-2022</t>
        </is>
      </c>
      <c r="B820" s="1" t="n">
        <v>44585.51060185185</v>
      </c>
      <c r="C820" s="1" t="n">
        <v>46021</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43962-2024</t>
        </is>
      </c>
      <c r="B821" s="1" t="n">
        <v>45572.48293981481</v>
      </c>
      <c r="C821" s="1" t="n">
        <v>46021</v>
      </c>
      <c r="D821" t="inlineStr">
        <is>
          <t>KALMAR LÄN</t>
        </is>
      </c>
      <c r="E821" t="inlineStr">
        <is>
          <t>VIMMERBY</t>
        </is>
      </c>
      <c r="G821" t="n">
        <v>0.6</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46021</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43068-2023</t>
        </is>
      </c>
      <c r="B823" s="1" t="n">
        <v>45182.78834490741</v>
      </c>
      <c r="C823" s="1" t="n">
        <v>46021</v>
      </c>
      <c r="D823" t="inlineStr">
        <is>
          <t>KALMAR LÄN</t>
        </is>
      </c>
      <c r="E823" t="inlineStr">
        <is>
          <t>VIMMERBY</t>
        </is>
      </c>
      <c r="G823" t="n">
        <v>1.5</v>
      </c>
      <c r="H823" t="n">
        <v>0</v>
      </c>
      <c r="I823" t="n">
        <v>0</v>
      </c>
      <c r="J823" t="n">
        <v>0</v>
      </c>
      <c r="K823" t="n">
        <v>0</v>
      </c>
      <c r="L823" t="n">
        <v>0</v>
      </c>
      <c r="M823" t="n">
        <v>0</v>
      </c>
      <c r="N823" t="n">
        <v>0</v>
      </c>
      <c r="O823" t="n">
        <v>0</v>
      </c>
      <c r="P823" t="n">
        <v>0</v>
      </c>
      <c r="Q823" t="n">
        <v>0</v>
      </c>
      <c r="R823" s="2" t="inlineStr"/>
    </row>
    <row r="824" ht="15" customHeight="1">
      <c r="A824" t="inlineStr">
        <is>
          <t>A 37866-2025</t>
        </is>
      </c>
      <c r="B824" s="1" t="n">
        <v>45881</v>
      </c>
      <c r="C824" s="1" t="n">
        <v>46021</v>
      </c>
      <c r="D824" t="inlineStr">
        <is>
          <t>KALMAR LÄN</t>
        </is>
      </c>
      <c r="E824" t="inlineStr">
        <is>
          <t>VIMMERBY</t>
        </is>
      </c>
      <c r="G824" t="n">
        <v>3.4</v>
      </c>
      <c r="H824" t="n">
        <v>0</v>
      </c>
      <c r="I824" t="n">
        <v>0</v>
      </c>
      <c r="J824" t="n">
        <v>0</v>
      </c>
      <c r="K824" t="n">
        <v>0</v>
      </c>
      <c r="L824" t="n">
        <v>0</v>
      </c>
      <c r="M824" t="n">
        <v>0</v>
      </c>
      <c r="N824" t="n">
        <v>0</v>
      </c>
      <c r="O824" t="n">
        <v>0</v>
      </c>
      <c r="P824" t="n">
        <v>0</v>
      </c>
      <c r="Q824" t="n">
        <v>0</v>
      </c>
      <c r="R824" s="2" t="inlineStr"/>
    </row>
    <row r="825" ht="15" customHeight="1">
      <c r="A825" t="inlineStr">
        <is>
          <t>A 37939-2025</t>
        </is>
      </c>
      <c r="B825" s="1" t="n">
        <v>45881.59877314815</v>
      </c>
      <c r="C825" s="1" t="n">
        <v>46021</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61725-2025</t>
        </is>
      </c>
      <c r="B826" s="1" t="n">
        <v>46002.58680555555</v>
      </c>
      <c r="C826" s="1" t="n">
        <v>46021</v>
      </c>
      <c r="D826" t="inlineStr">
        <is>
          <t>KALMAR LÄN</t>
        </is>
      </c>
      <c r="E826" t="inlineStr">
        <is>
          <t>VIMMERBY</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53413-2025</t>
        </is>
      </c>
      <c r="B827" s="1" t="n">
        <v>45959.5787037037</v>
      </c>
      <c r="C827" s="1" t="n">
        <v>46021</v>
      </c>
      <c r="D827" t="inlineStr">
        <is>
          <t>KALMAR LÄN</t>
        </is>
      </c>
      <c r="E827" t="inlineStr">
        <is>
          <t>VIMMERBY</t>
        </is>
      </c>
      <c r="G827" t="n">
        <v>4.3</v>
      </c>
      <c r="H827" t="n">
        <v>0</v>
      </c>
      <c r="I827" t="n">
        <v>0</v>
      </c>
      <c r="J827" t="n">
        <v>0</v>
      </c>
      <c r="K827" t="n">
        <v>0</v>
      </c>
      <c r="L827" t="n">
        <v>0</v>
      </c>
      <c r="M827" t="n">
        <v>0</v>
      </c>
      <c r="N827" t="n">
        <v>0</v>
      </c>
      <c r="O827" t="n">
        <v>0</v>
      </c>
      <c r="P827" t="n">
        <v>0</v>
      </c>
      <c r="Q827" t="n">
        <v>0</v>
      </c>
      <c r="R827" s="2" t="inlineStr"/>
    </row>
    <row r="828" ht="15" customHeight="1">
      <c r="A828" t="inlineStr">
        <is>
          <t>A 12075-2024</t>
        </is>
      </c>
      <c r="B828" s="1" t="n">
        <v>45377</v>
      </c>
      <c r="C828" s="1" t="n">
        <v>46021</v>
      </c>
      <c r="D828" t="inlineStr">
        <is>
          <t>KALMAR LÄN</t>
        </is>
      </c>
      <c r="E828" t="inlineStr">
        <is>
          <t>VIMMERBY</t>
        </is>
      </c>
      <c r="G828" t="n">
        <v>3.7</v>
      </c>
      <c r="H828" t="n">
        <v>0</v>
      </c>
      <c r="I828" t="n">
        <v>0</v>
      </c>
      <c r="J828" t="n">
        <v>0</v>
      </c>
      <c r="K828" t="n">
        <v>0</v>
      </c>
      <c r="L828" t="n">
        <v>0</v>
      </c>
      <c r="M828" t="n">
        <v>0</v>
      </c>
      <c r="N828" t="n">
        <v>0</v>
      </c>
      <c r="O828" t="n">
        <v>0</v>
      </c>
      <c r="P828" t="n">
        <v>0</v>
      </c>
      <c r="Q828" t="n">
        <v>0</v>
      </c>
      <c r="R828" s="2" t="inlineStr"/>
    </row>
    <row r="829" ht="15" customHeight="1">
      <c r="A829" t="inlineStr">
        <is>
          <t>A 61790-2025</t>
        </is>
      </c>
      <c r="B829" s="1" t="n">
        <v>46002.68768518518</v>
      </c>
      <c r="C829" s="1" t="n">
        <v>46021</v>
      </c>
      <c r="D829" t="inlineStr">
        <is>
          <t>KALMAR LÄN</t>
        </is>
      </c>
      <c r="E829" t="inlineStr">
        <is>
          <t>VIMMERBY</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1799-2025</t>
        </is>
      </c>
      <c r="B830" s="1" t="n">
        <v>45671.46746527778</v>
      </c>
      <c r="C830" s="1" t="n">
        <v>46021</v>
      </c>
      <c r="D830" t="inlineStr">
        <is>
          <t>KALMAR LÄN</t>
        </is>
      </c>
      <c r="E830" t="inlineStr">
        <is>
          <t>VIMMERBY</t>
        </is>
      </c>
      <c r="G830" t="n">
        <v>3.3</v>
      </c>
      <c r="H830" t="n">
        <v>0</v>
      </c>
      <c r="I830" t="n">
        <v>0</v>
      </c>
      <c r="J830" t="n">
        <v>0</v>
      </c>
      <c r="K830" t="n">
        <v>0</v>
      </c>
      <c r="L830" t="n">
        <v>0</v>
      </c>
      <c r="M830" t="n">
        <v>0</v>
      </c>
      <c r="N830" t="n">
        <v>0</v>
      </c>
      <c r="O830" t="n">
        <v>0</v>
      </c>
      <c r="P830" t="n">
        <v>0</v>
      </c>
      <c r="Q830" t="n">
        <v>0</v>
      </c>
      <c r="R830" s="2" t="inlineStr"/>
    </row>
    <row r="831" ht="15" customHeight="1">
      <c r="A831" t="inlineStr">
        <is>
          <t>A 2462-2022</t>
        </is>
      </c>
      <c r="B831" s="1" t="n">
        <v>44579.62225694444</v>
      </c>
      <c r="C831" s="1" t="n">
        <v>46021</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53396-2025</t>
        </is>
      </c>
      <c r="B832" s="1" t="n">
        <v>45959.55577546296</v>
      </c>
      <c r="C832" s="1" t="n">
        <v>46021</v>
      </c>
      <c r="D832" t="inlineStr">
        <is>
          <t>KALMAR LÄN</t>
        </is>
      </c>
      <c r="E832" t="inlineStr">
        <is>
          <t>VIMMERBY</t>
        </is>
      </c>
      <c r="G832" t="n">
        <v>0.6</v>
      </c>
      <c r="H832" t="n">
        <v>0</v>
      </c>
      <c r="I832" t="n">
        <v>0</v>
      </c>
      <c r="J832" t="n">
        <v>0</v>
      </c>
      <c r="K832" t="n">
        <v>0</v>
      </c>
      <c r="L832" t="n">
        <v>0</v>
      </c>
      <c r="M832" t="n">
        <v>0</v>
      </c>
      <c r="N832" t="n">
        <v>0</v>
      </c>
      <c r="O832" t="n">
        <v>0</v>
      </c>
      <c r="P832" t="n">
        <v>0</v>
      </c>
      <c r="Q832" t="n">
        <v>0</v>
      </c>
      <c r="R832" s="2" t="inlineStr"/>
    </row>
    <row r="833" ht="15" customHeight="1">
      <c r="A833" t="inlineStr">
        <is>
          <t>A 53788-2025</t>
        </is>
      </c>
      <c r="B833" s="1" t="n">
        <v>45960</v>
      </c>
      <c r="C833" s="1" t="n">
        <v>46021</v>
      </c>
      <c r="D833" t="inlineStr">
        <is>
          <t>KALMAR LÄN</t>
        </is>
      </c>
      <c r="E833" t="inlineStr">
        <is>
          <t>VIMMERBY</t>
        </is>
      </c>
      <c r="F833" t="inlineStr">
        <is>
          <t>Övriga statliga verk och myndigheter</t>
        </is>
      </c>
      <c r="G833" t="n">
        <v>6.3</v>
      </c>
      <c r="H833" t="n">
        <v>0</v>
      </c>
      <c r="I833" t="n">
        <v>0</v>
      </c>
      <c r="J833" t="n">
        <v>0</v>
      </c>
      <c r="K833" t="n">
        <v>0</v>
      </c>
      <c r="L833" t="n">
        <v>0</v>
      </c>
      <c r="M833" t="n">
        <v>0</v>
      </c>
      <c r="N833" t="n">
        <v>0</v>
      </c>
      <c r="O833" t="n">
        <v>0</v>
      </c>
      <c r="P833" t="n">
        <v>0</v>
      </c>
      <c r="Q833" t="n">
        <v>0</v>
      </c>
      <c r="R833" s="2" t="inlineStr"/>
    </row>
    <row r="834" ht="15" customHeight="1">
      <c r="A834" t="inlineStr">
        <is>
          <t>A 53927-2025</t>
        </is>
      </c>
      <c r="B834" s="1" t="n">
        <v>45961.46740740741</v>
      </c>
      <c r="C834" s="1" t="n">
        <v>46021</v>
      </c>
      <c r="D834" t="inlineStr">
        <is>
          <t>KALMAR LÄN</t>
        </is>
      </c>
      <c r="E834" t="inlineStr">
        <is>
          <t>VIMMERBY</t>
        </is>
      </c>
      <c r="G834" t="n">
        <v>2.5</v>
      </c>
      <c r="H834" t="n">
        <v>0</v>
      </c>
      <c r="I834" t="n">
        <v>0</v>
      </c>
      <c r="J834" t="n">
        <v>0</v>
      </c>
      <c r="K834" t="n">
        <v>0</v>
      </c>
      <c r="L834" t="n">
        <v>0</v>
      </c>
      <c r="M834" t="n">
        <v>0</v>
      </c>
      <c r="N834" t="n">
        <v>0</v>
      </c>
      <c r="O834" t="n">
        <v>0</v>
      </c>
      <c r="P834" t="n">
        <v>0</v>
      </c>
      <c r="Q834" t="n">
        <v>0</v>
      </c>
      <c r="R834" s="2" t="inlineStr"/>
    </row>
    <row r="835" ht="15" customHeight="1">
      <c r="A835" t="inlineStr">
        <is>
          <t>A 53933-2025</t>
        </is>
      </c>
      <c r="B835" s="1" t="n">
        <v>45961.47650462963</v>
      </c>
      <c r="C835" s="1" t="n">
        <v>46021</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54236-2025</t>
        </is>
      </c>
      <c r="B836" s="1" t="n">
        <v>45964.62671296296</v>
      </c>
      <c r="C836" s="1" t="n">
        <v>46021</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13015-2022</t>
        </is>
      </c>
      <c r="B837" s="1" t="n">
        <v>44643</v>
      </c>
      <c r="C837" s="1" t="n">
        <v>46021</v>
      </c>
      <c r="D837" t="inlineStr">
        <is>
          <t>KALMAR LÄN</t>
        </is>
      </c>
      <c r="E837" t="inlineStr">
        <is>
          <t>VIMMERBY</t>
        </is>
      </c>
      <c r="G837" t="n">
        <v>2.4</v>
      </c>
      <c r="H837" t="n">
        <v>0</v>
      </c>
      <c r="I837" t="n">
        <v>0</v>
      </c>
      <c r="J837" t="n">
        <v>0</v>
      </c>
      <c r="K837" t="n">
        <v>0</v>
      </c>
      <c r="L837" t="n">
        <v>0</v>
      </c>
      <c r="M837" t="n">
        <v>0</v>
      </c>
      <c r="N837" t="n">
        <v>0</v>
      </c>
      <c r="O837" t="n">
        <v>0</v>
      </c>
      <c r="P837" t="n">
        <v>0</v>
      </c>
      <c r="Q837" t="n">
        <v>0</v>
      </c>
      <c r="R837" s="2" t="inlineStr"/>
    </row>
    <row r="838" ht="15" customHeight="1">
      <c r="A838" t="inlineStr">
        <is>
          <t>A 4624-2024</t>
        </is>
      </c>
      <c r="B838" s="1" t="n">
        <v>45328.38755787037</v>
      </c>
      <c r="C838" s="1" t="n">
        <v>46021</v>
      </c>
      <c r="D838" t="inlineStr">
        <is>
          <t>KALMAR LÄN</t>
        </is>
      </c>
      <c r="E838" t="inlineStr">
        <is>
          <t>VIMMERBY</t>
        </is>
      </c>
      <c r="G838" t="n">
        <v>1.7</v>
      </c>
      <c r="H838" t="n">
        <v>0</v>
      </c>
      <c r="I838" t="n">
        <v>0</v>
      </c>
      <c r="J838" t="n">
        <v>0</v>
      </c>
      <c r="K838" t="n">
        <v>0</v>
      </c>
      <c r="L838" t="n">
        <v>0</v>
      </c>
      <c r="M838" t="n">
        <v>0</v>
      </c>
      <c r="N838" t="n">
        <v>0</v>
      </c>
      <c r="O838" t="n">
        <v>0</v>
      </c>
      <c r="P838" t="n">
        <v>0</v>
      </c>
      <c r="Q838" t="n">
        <v>0</v>
      </c>
      <c r="R838" s="2" t="inlineStr"/>
    </row>
    <row r="839" ht="15" customHeight="1">
      <c r="A839" t="inlineStr">
        <is>
          <t>A 9129-2025</t>
        </is>
      </c>
      <c r="B839" s="1" t="n">
        <v>45713.92412037037</v>
      </c>
      <c r="C839" s="1" t="n">
        <v>46021</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53923-2025</t>
        </is>
      </c>
      <c r="B840" s="1" t="n">
        <v>45961.4569212963</v>
      </c>
      <c r="C840" s="1" t="n">
        <v>46021</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53920-2025</t>
        </is>
      </c>
      <c r="B841" s="1" t="n">
        <v>45961.44951388889</v>
      </c>
      <c r="C841" s="1" t="n">
        <v>46021</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54234-2025</t>
        </is>
      </c>
      <c r="B842" s="1" t="n">
        <v>45964.62486111111</v>
      </c>
      <c r="C842" s="1" t="n">
        <v>46021</v>
      </c>
      <c r="D842" t="inlineStr">
        <is>
          <t>KALMAR LÄN</t>
        </is>
      </c>
      <c r="E842" t="inlineStr">
        <is>
          <t>VIMMERBY</t>
        </is>
      </c>
      <c r="G842" t="n">
        <v>4.1</v>
      </c>
      <c r="H842" t="n">
        <v>0</v>
      </c>
      <c r="I842" t="n">
        <v>0</v>
      </c>
      <c r="J842" t="n">
        <v>0</v>
      </c>
      <c r="K842" t="n">
        <v>0</v>
      </c>
      <c r="L842" t="n">
        <v>0</v>
      </c>
      <c r="M842" t="n">
        <v>0</v>
      </c>
      <c r="N842" t="n">
        <v>0</v>
      </c>
      <c r="O842" t="n">
        <v>0</v>
      </c>
      <c r="P842" t="n">
        <v>0</v>
      </c>
      <c r="Q842" t="n">
        <v>0</v>
      </c>
      <c r="R842" s="2" t="inlineStr"/>
    </row>
    <row r="843" ht="15" customHeight="1">
      <c r="A843" t="inlineStr">
        <is>
          <t>A 22643-2023</t>
        </is>
      </c>
      <c r="B843" s="1" t="n">
        <v>45071</v>
      </c>
      <c r="C843" s="1" t="n">
        <v>46021</v>
      </c>
      <c r="D843" t="inlineStr">
        <is>
          <t>KALMAR LÄN</t>
        </is>
      </c>
      <c r="E843" t="inlineStr">
        <is>
          <t>VIMMERBY</t>
        </is>
      </c>
      <c r="G843" t="n">
        <v>3.9</v>
      </c>
      <c r="H843" t="n">
        <v>0</v>
      </c>
      <c r="I843" t="n">
        <v>0</v>
      </c>
      <c r="J843" t="n">
        <v>0</v>
      </c>
      <c r="K843" t="n">
        <v>0</v>
      </c>
      <c r="L843" t="n">
        <v>0</v>
      </c>
      <c r="M843" t="n">
        <v>0</v>
      </c>
      <c r="N843" t="n">
        <v>0</v>
      </c>
      <c r="O843" t="n">
        <v>0</v>
      </c>
      <c r="P843" t="n">
        <v>0</v>
      </c>
      <c r="Q843" t="n">
        <v>0</v>
      </c>
      <c r="R843" s="2" t="inlineStr"/>
    </row>
    <row r="844" ht="15" customHeight="1">
      <c r="A844" t="inlineStr">
        <is>
          <t>A 53789-2025</t>
        </is>
      </c>
      <c r="B844" s="1" t="n">
        <v>45960</v>
      </c>
      <c r="C844" s="1" t="n">
        <v>46021</v>
      </c>
      <c r="D844" t="inlineStr">
        <is>
          <t>KALMAR LÄN</t>
        </is>
      </c>
      <c r="E844" t="inlineStr">
        <is>
          <t>VIMMERBY</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53903-2025</t>
        </is>
      </c>
      <c r="B845" s="1" t="n">
        <v>45961.43738425926</v>
      </c>
      <c r="C845" s="1" t="n">
        <v>46021</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34597-2022</t>
        </is>
      </c>
      <c r="B846" s="1" t="n">
        <v>44795</v>
      </c>
      <c r="C846" s="1" t="n">
        <v>46021</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54737-2025</t>
        </is>
      </c>
      <c r="B847" s="1" t="n">
        <v>45966.56826388889</v>
      </c>
      <c r="C847" s="1" t="n">
        <v>46021</v>
      </c>
      <c r="D847" t="inlineStr">
        <is>
          <t>KALMAR LÄN</t>
        </is>
      </c>
      <c r="E847" t="inlineStr">
        <is>
          <t>VIMMERBY</t>
        </is>
      </c>
      <c r="G847" t="n">
        <v>2.1</v>
      </c>
      <c r="H847" t="n">
        <v>0</v>
      </c>
      <c r="I847" t="n">
        <v>0</v>
      </c>
      <c r="J847" t="n">
        <v>0</v>
      </c>
      <c r="K847" t="n">
        <v>0</v>
      </c>
      <c r="L847" t="n">
        <v>0</v>
      </c>
      <c r="M847" t="n">
        <v>0</v>
      </c>
      <c r="N847" t="n">
        <v>0</v>
      </c>
      <c r="O847" t="n">
        <v>0</v>
      </c>
      <c r="P847" t="n">
        <v>0</v>
      </c>
      <c r="Q847" t="n">
        <v>0</v>
      </c>
      <c r="R847" s="2" t="inlineStr"/>
    </row>
    <row r="848" ht="15" customHeight="1">
      <c r="A848" t="inlineStr">
        <is>
          <t>A 40079-2023</t>
        </is>
      </c>
      <c r="B848" s="1" t="n">
        <v>45168.89298611111</v>
      </c>
      <c r="C848" s="1" t="n">
        <v>46021</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19833-2023</t>
        </is>
      </c>
      <c r="B849" s="1" t="n">
        <v>45052</v>
      </c>
      <c r="C849" s="1" t="n">
        <v>46021</v>
      </c>
      <c r="D849" t="inlineStr">
        <is>
          <t>KALMAR LÄN</t>
        </is>
      </c>
      <c r="E849" t="inlineStr">
        <is>
          <t>VIMMERBY</t>
        </is>
      </c>
      <c r="G849" t="n">
        <v>6.7</v>
      </c>
      <c r="H849" t="n">
        <v>0</v>
      </c>
      <c r="I849" t="n">
        <v>0</v>
      </c>
      <c r="J849" t="n">
        <v>0</v>
      </c>
      <c r="K849" t="n">
        <v>0</v>
      </c>
      <c r="L849" t="n">
        <v>0</v>
      </c>
      <c r="M849" t="n">
        <v>0</v>
      </c>
      <c r="N849" t="n">
        <v>0</v>
      </c>
      <c r="O849" t="n">
        <v>0</v>
      </c>
      <c r="P849" t="n">
        <v>0</v>
      </c>
      <c r="Q849" t="n">
        <v>0</v>
      </c>
      <c r="R849" s="2" t="inlineStr"/>
    </row>
    <row r="850" ht="15" customHeight="1">
      <c r="A850" t="inlineStr">
        <is>
          <t>A 54813-2025</t>
        </is>
      </c>
      <c r="B850" s="1" t="n">
        <v>45966.64881944445</v>
      </c>
      <c r="C850" s="1" t="n">
        <v>46021</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17084-2025</t>
        </is>
      </c>
      <c r="B851" s="1" t="n">
        <v>45755.64450231481</v>
      </c>
      <c r="C851" s="1" t="n">
        <v>46021</v>
      </c>
      <c r="D851" t="inlineStr">
        <is>
          <t>KALMAR LÄN</t>
        </is>
      </c>
      <c r="E851" t="inlineStr">
        <is>
          <t>VIMMERBY</t>
        </is>
      </c>
      <c r="G851" t="n">
        <v>1.4</v>
      </c>
      <c r="H851" t="n">
        <v>0</v>
      </c>
      <c r="I851" t="n">
        <v>0</v>
      </c>
      <c r="J851" t="n">
        <v>0</v>
      </c>
      <c r="K851" t="n">
        <v>0</v>
      </c>
      <c r="L851" t="n">
        <v>0</v>
      </c>
      <c r="M851" t="n">
        <v>0</v>
      </c>
      <c r="N851" t="n">
        <v>0</v>
      </c>
      <c r="O851" t="n">
        <v>0</v>
      </c>
      <c r="P851" t="n">
        <v>0</v>
      </c>
      <c r="Q851" t="n">
        <v>0</v>
      </c>
      <c r="R851" s="2" t="inlineStr"/>
    </row>
    <row r="852" ht="15" customHeight="1">
      <c r="A852" t="inlineStr">
        <is>
          <t>A 56022-2024</t>
        </is>
      </c>
      <c r="B852" s="1" t="n">
        <v>45623.95947916667</v>
      </c>
      <c r="C852" s="1" t="n">
        <v>46021</v>
      </c>
      <c r="D852" t="inlineStr">
        <is>
          <t>KALMAR LÄN</t>
        </is>
      </c>
      <c r="E852" t="inlineStr">
        <is>
          <t>VIMMERBY</t>
        </is>
      </c>
      <c r="G852" t="n">
        <v>0.3</v>
      </c>
      <c r="H852" t="n">
        <v>0</v>
      </c>
      <c r="I852" t="n">
        <v>0</v>
      </c>
      <c r="J852" t="n">
        <v>0</v>
      </c>
      <c r="K852" t="n">
        <v>0</v>
      </c>
      <c r="L852" t="n">
        <v>0</v>
      </c>
      <c r="M852" t="n">
        <v>0</v>
      </c>
      <c r="N852" t="n">
        <v>0</v>
      </c>
      <c r="O852" t="n">
        <v>0</v>
      </c>
      <c r="P852" t="n">
        <v>0</v>
      </c>
      <c r="Q852" t="n">
        <v>0</v>
      </c>
      <c r="R852" s="2" t="inlineStr"/>
    </row>
    <row r="853" ht="15" customHeight="1">
      <c r="A853" t="inlineStr">
        <is>
          <t>A 11928-2022</t>
        </is>
      </c>
      <c r="B853" s="1" t="n">
        <v>44635</v>
      </c>
      <c r="C853" s="1" t="n">
        <v>46021</v>
      </c>
      <c r="D853" t="inlineStr">
        <is>
          <t>KALMAR LÄN</t>
        </is>
      </c>
      <c r="E853" t="inlineStr">
        <is>
          <t>VIMMERBY</t>
        </is>
      </c>
      <c r="G853" t="n">
        <v>2.8</v>
      </c>
      <c r="H853" t="n">
        <v>0</v>
      </c>
      <c r="I853" t="n">
        <v>0</v>
      </c>
      <c r="J853" t="n">
        <v>0</v>
      </c>
      <c r="K853" t="n">
        <v>0</v>
      </c>
      <c r="L853" t="n">
        <v>0</v>
      </c>
      <c r="M853" t="n">
        <v>0</v>
      </c>
      <c r="N853" t="n">
        <v>0</v>
      </c>
      <c r="O853" t="n">
        <v>0</v>
      </c>
      <c r="P853" t="n">
        <v>0</v>
      </c>
      <c r="Q853" t="n">
        <v>0</v>
      </c>
      <c r="R853" s="2" t="inlineStr"/>
    </row>
    <row r="854" ht="15" customHeight="1">
      <c r="A854" t="inlineStr">
        <is>
          <t>A 5527-2022</t>
        </is>
      </c>
      <c r="B854" s="1" t="n">
        <v>44595.583125</v>
      </c>
      <c r="C854" s="1" t="n">
        <v>46021</v>
      </c>
      <c r="D854" t="inlineStr">
        <is>
          <t>KALMAR LÄN</t>
        </is>
      </c>
      <c r="E854" t="inlineStr">
        <is>
          <t>VIMMERBY</t>
        </is>
      </c>
      <c r="G854" t="n">
        <v>3.6</v>
      </c>
      <c r="H854" t="n">
        <v>0</v>
      </c>
      <c r="I854" t="n">
        <v>0</v>
      </c>
      <c r="J854" t="n">
        <v>0</v>
      </c>
      <c r="K854" t="n">
        <v>0</v>
      </c>
      <c r="L854" t="n">
        <v>0</v>
      </c>
      <c r="M854" t="n">
        <v>0</v>
      </c>
      <c r="N854" t="n">
        <v>0</v>
      </c>
      <c r="O854" t="n">
        <v>0</v>
      </c>
      <c r="P854" t="n">
        <v>0</v>
      </c>
      <c r="Q854" t="n">
        <v>0</v>
      </c>
      <c r="R854" s="2" t="inlineStr"/>
    </row>
    <row r="855" ht="15" customHeight="1">
      <c r="A855" t="inlineStr">
        <is>
          <t>A 49461-2023</t>
        </is>
      </c>
      <c r="B855" s="1" t="n">
        <v>45211.52642361111</v>
      </c>
      <c r="C855" s="1" t="n">
        <v>46021</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49474-2023</t>
        </is>
      </c>
      <c r="B856" s="1" t="n">
        <v>45211.541875</v>
      </c>
      <c r="C856" s="1" t="n">
        <v>46021</v>
      </c>
      <c r="D856" t="inlineStr">
        <is>
          <t>KALMAR LÄN</t>
        </is>
      </c>
      <c r="E856" t="inlineStr">
        <is>
          <t>VIMMERBY</t>
        </is>
      </c>
      <c r="G856" t="n">
        <v>3.6</v>
      </c>
      <c r="H856" t="n">
        <v>0</v>
      </c>
      <c r="I856" t="n">
        <v>0</v>
      </c>
      <c r="J856" t="n">
        <v>0</v>
      </c>
      <c r="K856" t="n">
        <v>0</v>
      </c>
      <c r="L856" t="n">
        <v>0</v>
      </c>
      <c r="M856" t="n">
        <v>0</v>
      </c>
      <c r="N856" t="n">
        <v>0</v>
      </c>
      <c r="O856" t="n">
        <v>0</v>
      </c>
      <c r="P856" t="n">
        <v>0</v>
      </c>
      <c r="Q856" t="n">
        <v>0</v>
      </c>
      <c r="R856" s="2" t="inlineStr"/>
    </row>
    <row r="857" ht="15" customHeight="1">
      <c r="A857" t="inlineStr">
        <is>
          <t>A 61861-2024</t>
        </is>
      </c>
      <c r="B857" s="1" t="n">
        <v>45650.37370370371</v>
      </c>
      <c r="C857" s="1" t="n">
        <v>46021</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45846-2023</t>
        </is>
      </c>
      <c r="B858" s="1" t="n">
        <v>45195.58452546296</v>
      </c>
      <c r="C858" s="1" t="n">
        <v>46021</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8167-2024</t>
        </is>
      </c>
      <c r="B859" s="1" t="n">
        <v>45351.6062962963</v>
      </c>
      <c r="C859" s="1" t="n">
        <v>46021</v>
      </c>
      <c r="D859" t="inlineStr">
        <is>
          <t>KALMAR LÄN</t>
        </is>
      </c>
      <c r="E859" t="inlineStr">
        <is>
          <t>VIMMERBY</t>
        </is>
      </c>
      <c r="G859" t="n">
        <v>3.8</v>
      </c>
      <c r="H859" t="n">
        <v>0</v>
      </c>
      <c r="I859" t="n">
        <v>0</v>
      </c>
      <c r="J859" t="n">
        <v>0</v>
      </c>
      <c r="K859" t="n">
        <v>0</v>
      </c>
      <c r="L859" t="n">
        <v>0</v>
      </c>
      <c r="M859" t="n">
        <v>0</v>
      </c>
      <c r="N859" t="n">
        <v>0</v>
      </c>
      <c r="O859" t="n">
        <v>0</v>
      </c>
      <c r="P859" t="n">
        <v>0</v>
      </c>
      <c r="Q859" t="n">
        <v>0</v>
      </c>
      <c r="R859" s="2" t="inlineStr"/>
    </row>
    <row r="860" ht="15" customHeight="1">
      <c r="A860" t="inlineStr">
        <is>
          <t>A 49382-2023</t>
        </is>
      </c>
      <c r="B860" s="1" t="n">
        <v>45208</v>
      </c>
      <c r="C860" s="1" t="n">
        <v>46021</v>
      </c>
      <c r="D860" t="inlineStr">
        <is>
          <t>KALMAR LÄN</t>
        </is>
      </c>
      <c r="E860" t="inlineStr">
        <is>
          <t>VIMMERBY</t>
        </is>
      </c>
      <c r="G860" t="n">
        <v>2.2</v>
      </c>
      <c r="H860" t="n">
        <v>0</v>
      </c>
      <c r="I860" t="n">
        <v>0</v>
      </c>
      <c r="J860" t="n">
        <v>0</v>
      </c>
      <c r="K860" t="n">
        <v>0</v>
      </c>
      <c r="L860" t="n">
        <v>0</v>
      </c>
      <c r="M860" t="n">
        <v>0</v>
      </c>
      <c r="N860" t="n">
        <v>0</v>
      </c>
      <c r="O860" t="n">
        <v>0</v>
      </c>
      <c r="P860" t="n">
        <v>0</v>
      </c>
      <c r="Q860" t="n">
        <v>0</v>
      </c>
      <c r="R860" s="2" t="inlineStr"/>
    </row>
    <row r="861" ht="15" customHeight="1">
      <c r="A861" t="inlineStr">
        <is>
          <t>A 12121-2025</t>
        </is>
      </c>
      <c r="B861" s="1" t="n">
        <v>45729.36868055556</v>
      </c>
      <c r="C861" s="1" t="n">
        <v>46021</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35846-2023</t>
        </is>
      </c>
      <c r="B862" s="1" t="n">
        <v>45148</v>
      </c>
      <c r="C862" s="1" t="n">
        <v>46021</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35913-2023</t>
        </is>
      </c>
      <c r="B863" s="1" t="n">
        <v>45148</v>
      </c>
      <c r="C863" s="1" t="n">
        <v>46021</v>
      </c>
      <c r="D863" t="inlineStr">
        <is>
          <t>KALMAR LÄN</t>
        </is>
      </c>
      <c r="E863" t="inlineStr">
        <is>
          <t>VIMMERBY</t>
        </is>
      </c>
      <c r="G863" t="n">
        <v>6.9</v>
      </c>
      <c r="H863" t="n">
        <v>0</v>
      </c>
      <c r="I863" t="n">
        <v>0</v>
      </c>
      <c r="J863" t="n">
        <v>0</v>
      </c>
      <c r="K863" t="n">
        <v>0</v>
      </c>
      <c r="L863" t="n">
        <v>0</v>
      </c>
      <c r="M863" t="n">
        <v>0</v>
      </c>
      <c r="N863" t="n">
        <v>0</v>
      </c>
      <c r="O863" t="n">
        <v>0</v>
      </c>
      <c r="P863" t="n">
        <v>0</v>
      </c>
      <c r="Q863" t="n">
        <v>0</v>
      </c>
      <c r="R863" s="2" t="inlineStr"/>
    </row>
    <row r="864" ht="15" customHeight="1">
      <c r="A864" t="inlineStr">
        <is>
          <t>A 38757-2023</t>
        </is>
      </c>
      <c r="B864" s="1" t="n">
        <v>45163.41376157408</v>
      </c>
      <c r="C864" s="1" t="n">
        <v>46021</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20136-2024</t>
        </is>
      </c>
      <c r="B865" s="1" t="n">
        <v>45434.56291666667</v>
      </c>
      <c r="C865" s="1" t="n">
        <v>46021</v>
      </c>
      <c r="D865" t="inlineStr">
        <is>
          <t>KALMAR LÄN</t>
        </is>
      </c>
      <c r="E865" t="inlineStr">
        <is>
          <t>VIMMERBY</t>
        </is>
      </c>
      <c r="F865" t="inlineStr">
        <is>
          <t>Sveaskog</t>
        </is>
      </c>
      <c r="G865" t="n">
        <v>8.4</v>
      </c>
      <c r="H865" t="n">
        <v>0</v>
      </c>
      <c r="I865" t="n">
        <v>0</v>
      </c>
      <c r="J865" t="n">
        <v>0</v>
      </c>
      <c r="K865" t="n">
        <v>0</v>
      </c>
      <c r="L865" t="n">
        <v>0</v>
      </c>
      <c r="M865" t="n">
        <v>0</v>
      </c>
      <c r="N865" t="n">
        <v>0</v>
      </c>
      <c r="O865" t="n">
        <v>0</v>
      </c>
      <c r="P865" t="n">
        <v>0</v>
      </c>
      <c r="Q865" t="n">
        <v>0</v>
      </c>
      <c r="R865" s="2" t="inlineStr"/>
    </row>
    <row r="866" ht="15" customHeight="1">
      <c r="A866" t="inlineStr">
        <is>
          <t>A 24283-2023</t>
        </is>
      </c>
      <c r="B866" s="1" t="n">
        <v>45079.87827546296</v>
      </c>
      <c r="C866" s="1" t="n">
        <v>46021</v>
      </c>
      <c r="D866" t="inlineStr">
        <is>
          <t>KALMAR LÄN</t>
        </is>
      </c>
      <c r="E866" t="inlineStr">
        <is>
          <t>VIMMERBY</t>
        </is>
      </c>
      <c r="G866" t="n">
        <v>2</v>
      </c>
      <c r="H866" t="n">
        <v>0</v>
      </c>
      <c r="I866" t="n">
        <v>0</v>
      </c>
      <c r="J866" t="n">
        <v>0</v>
      </c>
      <c r="K866" t="n">
        <v>0</v>
      </c>
      <c r="L866" t="n">
        <v>0</v>
      </c>
      <c r="M866" t="n">
        <v>0</v>
      </c>
      <c r="N866" t="n">
        <v>0</v>
      </c>
      <c r="O866" t="n">
        <v>0</v>
      </c>
      <c r="P866" t="n">
        <v>0</v>
      </c>
      <c r="Q866" t="n">
        <v>0</v>
      </c>
      <c r="R866" s="2" t="inlineStr"/>
    </row>
    <row r="867" ht="15" customHeight="1">
      <c r="A867" t="inlineStr">
        <is>
          <t>A 55385-2025</t>
        </is>
      </c>
      <c r="B867" s="1" t="n">
        <v>45971.43350694444</v>
      </c>
      <c r="C867" s="1" t="n">
        <v>46021</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59598-2023</t>
        </is>
      </c>
      <c r="B868" s="1" t="n">
        <v>45254.62489583333</v>
      </c>
      <c r="C868" s="1" t="n">
        <v>46021</v>
      </c>
      <c r="D868" t="inlineStr">
        <is>
          <t>KALMAR LÄN</t>
        </is>
      </c>
      <c r="E868" t="inlineStr">
        <is>
          <t>VIMMERBY</t>
        </is>
      </c>
      <c r="F868" t="inlineStr">
        <is>
          <t>Övriga Aktiebolag</t>
        </is>
      </c>
      <c r="G868" t="n">
        <v>4</v>
      </c>
      <c r="H868" t="n">
        <v>0</v>
      </c>
      <c r="I868" t="n">
        <v>0</v>
      </c>
      <c r="J868" t="n">
        <v>0</v>
      </c>
      <c r="K868" t="n">
        <v>0</v>
      </c>
      <c r="L868" t="n">
        <v>0</v>
      </c>
      <c r="M868" t="n">
        <v>0</v>
      </c>
      <c r="N868" t="n">
        <v>0</v>
      </c>
      <c r="O868" t="n">
        <v>0</v>
      </c>
      <c r="P868" t="n">
        <v>0</v>
      </c>
      <c r="Q868" t="n">
        <v>0</v>
      </c>
      <c r="R868" s="2" t="inlineStr"/>
    </row>
    <row r="869" ht="15" customHeight="1">
      <c r="A869" t="inlineStr">
        <is>
          <t>A 30920-2023</t>
        </is>
      </c>
      <c r="B869" s="1" t="n">
        <v>45113.43921296296</v>
      </c>
      <c r="C869" s="1" t="n">
        <v>46021</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55602-2025</t>
        </is>
      </c>
      <c r="B870" s="1" t="n">
        <v>45971</v>
      </c>
      <c r="C870" s="1" t="n">
        <v>46021</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63711-2025</t>
        </is>
      </c>
      <c r="B871" s="1" t="n">
        <v>46014.62724537037</v>
      </c>
      <c r="C871" s="1" t="n">
        <v>46021</v>
      </c>
      <c r="D871" t="inlineStr">
        <is>
          <t>KALMAR LÄN</t>
        </is>
      </c>
      <c r="E871" t="inlineStr">
        <is>
          <t>VIMMERBY</t>
        </is>
      </c>
      <c r="G871" t="n">
        <v>2.1</v>
      </c>
      <c r="H871" t="n">
        <v>0</v>
      </c>
      <c r="I871" t="n">
        <v>0</v>
      </c>
      <c r="J871" t="n">
        <v>0</v>
      </c>
      <c r="K871" t="n">
        <v>0</v>
      </c>
      <c r="L871" t="n">
        <v>0</v>
      </c>
      <c r="M871" t="n">
        <v>0</v>
      </c>
      <c r="N871" t="n">
        <v>0</v>
      </c>
      <c r="O871" t="n">
        <v>0</v>
      </c>
      <c r="P871" t="n">
        <v>0</v>
      </c>
      <c r="Q871" t="n">
        <v>0</v>
      </c>
      <c r="R871" s="2" t="inlineStr"/>
    </row>
    <row r="872" ht="15" customHeight="1">
      <c r="A872" t="inlineStr">
        <is>
          <t>A 55603-2025</t>
        </is>
      </c>
      <c r="B872" s="1" t="n">
        <v>45971</v>
      </c>
      <c r="C872" s="1" t="n">
        <v>46021</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55605-2025</t>
        </is>
      </c>
      <c r="B873" s="1" t="n">
        <v>45971</v>
      </c>
      <c r="C873" s="1" t="n">
        <v>46021</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40929-2022</t>
        </is>
      </c>
      <c r="B874" s="1" t="n">
        <v>44825.4336574074</v>
      </c>
      <c r="C874" s="1" t="n">
        <v>46021</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33380-2023</t>
        </is>
      </c>
      <c r="B875" s="1" t="n">
        <v>45128</v>
      </c>
      <c r="C875" s="1" t="n">
        <v>46021</v>
      </c>
      <c r="D875" t="inlineStr">
        <is>
          <t>KALMAR LÄN</t>
        </is>
      </c>
      <c r="E875" t="inlineStr">
        <is>
          <t>VIMMERBY</t>
        </is>
      </c>
      <c r="G875" t="n">
        <v>5.2</v>
      </c>
      <c r="H875" t="n">
        <v>0</v>
      </c>
      <c r="I875" t="n">
        <v>0</v>
      </c>
      <c r="J875" t="n">
        <v>0</v>
      </c>
      <c r="K875" t="n">
        <v>0</v>
      </c>
      <c r="L875" t="n">
        <v>0</v>
      </c>
      <c r="M875" t="n">
        <v>0</v>
      </c>
      <c r="N875" t="n">
        <v>0</v>
      </c>
      <c r="O875" t="n">
        <v>0</v>
      </c>
      <c r="P875" t="n">
        <v>0</v>
      </c>
      <c r="Q875" t="n">
        <v>0</v>
      </c>
      <c r="R875" s="2" t="inlineStr"/>
    </row>
    <row r="876" ht="15" customHeight="1">
      <c r="A876" t="inlineStr">
        <is>
          <t>A 46144-2023</t>
        </is>
      </c>
      <c r="B876" s="1" t="n">
        <v>45196.57247685185</v>
      </c>
      <c r="C876" s="1" t="n">
        <v>46021</v>
      </c>
      <c r="D876" t="inlineStr">
        <is>
          <t>KALMAR LÄN</t>
        </is>
      </c>
      <c r="E876" t="inlineStr">
        <is>
          <t>VIMMERBY</t>
        </is>
      </c>
      <c r="G876" t="n">
        <v>6.5</v>
      </c>
      <c r="H876" t="n">
        <v>0</v>
      </c>
      <c r="I876" t="n">
        <v>0</v>
      </c>
      <c r="J876" t="n">
        <v>0</v>
      </c>
      <c r="K876" t="n">
        <v>0</v>
      </c>
      <c r="L876" t="n">
        <v>0</v>
      </c>
      <c r="M876" t="n">
        <v>0</v>
      </c>
      <c r="N876" t="n">
        <v>0</v>
      </c>
      <c r="O876" t="n">
        <v>0</v>
      </c>
      <c r="P876" t="n">
        <v>0</v>
      </c>
      <c r="Q876" t="n">
        <v>0</v>
      </c>
      <c r="R876" s="2" t="inlineStr"/>
    </row>
    <row r="877" ht="15" customHeight="1">
      <c r="A877" t="inlineStr">
        <is>
          <t>A 54787-2023</t>
        </is>
      </c>
      <c r="B877" s="1" t="n">
        <v>45236</v>
      </c>
      <c r="C877" s="1" t="n">
        <v>46021</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15715-2022</t>
        </is>
      </c>
      <c r="B878" s="1" t="n">
        <v>44663</v>
      </c>
      <c r="C878" s="1" t="n">
        <v>46021</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43774-2023</t>
        </is>
      </c>
      <c r="B879" s="1" t="n">
        <v>45187</v>
      </c>
      <c r="C879" s="1" t="n">
        <v>46021</v>
      </c>
      <c r="D879" t="inlineStr">
        <is>
          <t>KALMAR LÄN</t>
        </is>
      </c>
      <c r="E879" t="inlineStr">
        <is>
          <t>VIMMERBY</t>
        </is>
      </c>
      <c r="G879" t="n">
        <v>3.4</v>
      </c>
      <c r="H879" t="n">
        <v>0</v>
      </c>
      <c r="I879" t="n">
        <v>0</v>
      </c>
      <c r="J879" t="n">
        <v>0</v>
      </c>
      <c r="K879" t="n">
        <v>0</v>
      </c>
      <c r="L879" t="n">
        <v>0</v>
      </c>
      <c r="M879" t="n">
        <v>0</v>
      </c>
      <c r="N879" t="n">
        <v>0</v>
      </c>
      <c r="O879" t="n">
        <v>0</v>
      </c>
      <c r="P879" t="n">
        <v>0</v>
      </c>
      <c r="Q879" t="n">
        <v>0</v>
      </c>
      <c r="R879" s="2" t="inlineStr"/>
    </row>
    <row r="880" ht="15" customHeight="1">
      <c r="A880" t="inlineStr">
        <is>
          <t>A 43705-2023</t>
        </is>
      </c>
      <c r="B880" s="1" t="n">
        <v>45187.42854166667</v>
      </c>
      <c r="C880" s="1" t="n">
        <v>46021</v>
      </c>
      <c r="D880" t="inlineStr">
        <is>
          <t>KALMAR LÄN</t>
        </is>
      </c>
      <c r="E880" t="inlineStr">
        <is>
          <t>VIMMERBY</t>
        </is>
      </c>
      <c r="G880" t="n">
        <v>1.2</v>
      </c>
      <c r="H880" t="n">
        <v>0</v>
      </c>
      <c r="I880" t="n">
        <v>0</v>
      </c>
      <c r="J880" t="n">
        <v>0</v>
      </c>
      <c r="K880" t="n">
        <v>0</v>
      </c>
      <c r="L880" t="n">
        <v>0</v>
      </c>
      <c r="M880" t="n">
        <v>0</v>
      </c>
      <c r="N880" t="n">
        <v>0</v>
      </c>
      <c r="O880" t="n">
        <v>0</v>
      </c>
      <c r="P880" t="n">
        <v>0</v>
      </c>
      <c r="Q880" t="n">
        <v>0</v>
      </c>
      <c r="R880" s="2" t="inlineStr"/>
    </row>
    <row r="881" ht="15" customHeight="1">
      <c r="A881" t="inlineStr">
        <is>
          <t>A 7932-2025</t>
        </is>
      </c>
      <c r="B881" s="1" t="n">
        <v>45707.3793287037</v>
      </c>
      <c r="C881" s="1" t="n">
        <v>46021</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13532-2025</t>
        </is>
      </c>
      <c r="B882" s="1" t="n">
        <v>45736.50743055555</v>
      </c>
      <c r="C882" s="1" t="n">
        <v>46021</v>
      </c>
      <c r="D882" t="inlineStr">
        <is>
          <t>KALMAR LÄN</t>
        </is>
      </c>
      <c r="E882" t="inlineStr">
        <is>
          <t>VIMMERBY</t>
        </is>
      </c>
      <c r="G882" t="n">
        <v>3.6</v>
      </c>
      <c r="H882" t="n">
        <v>0</v>
      </c>
      <c r="I882" t="n">
        <v>0</v>
      </c>
      <c r="J882" t="n">
        <v>0</v>
      </c>
      <c r="K882" t="n">
        <v>0</v>
      </c>
      <c r="L882" t="n">
        <v>0</v>
      </c>
      <c r="M882" t="n">
        <v>0</v>
      </c>
      <c r="N882" t="n">
        <v>0</v>
      </c>
      <c r="O882" t="n">
        <v>0</v>
      </c>
      <c r="P882" t="n">
        <v>0</v>
      </c>
      <c r="Q882" t="n">
        <v>0</v>
      </c>
      <c r="R882" s="2" t="inlineStr"/>
    </row>
    <row r="883" ht="15" customHeight="1">
      <c r="A883" t="inlineStr">
        <is>
          <t>A 63839-2025</t>
        </is>
      </c>
      <c r="B883" s="1" t="n">
        <v>46020.41998842593</v>
      </c>
      <c r="C883" s="1" t="n">
        <v>46021</v>
      </c>
      <c r="D883" t="inlineStr">
        <is>
          <t>KALMAR LÄN</t>
        </is>
      </c>
      <c r="E883" t="inlineStr">
        <is>
          <t>VIMMERBY</t>
        </is>
      </c>
      <c r="G883" t="n">
        <v>2.9</v>
      </c>
      <c r="H883" t="n">
        <v>0</v>
      </c>
      <c r="I883" t="n">
        <v>0</v>
      </c>
      <c r="J883" t="n">
        <v>0</v>
      </c>
      <c r="K883" t="n">
        <v>0</v>
      </c>
      <c r="L883" t="n">
        <v>0</v>
      </c>
      <c r="M883" t="n">
        <v>0</v>
      </c>
      <c r="N883" t="n">
        <v>0</v>
      </c>
      <c r="O883" t="n">
        <v>0</v>
      </c>
      <c r="P883" t="n">
        <v>0</v>
      </c>
      <c r="Q883" t="n">
        <v>0</v>
      </c>
      <c r="R883" s="2" t="inlineStr"/>
    </row>
    <row r="884" ht="15" customHeight="1">
      <c r="A884" t="inlineStr">
        <is>
          <t>A 63845-2025</t>
        </is>
      </c>
      <c r="B884" s="1" t="n">
        <v>46020.43715277778</v>
      </c>
      <c r="C884" s="1" t="n">
        <v>46021</v>
      </c>
      <c r="D884" t="inlineStr">
        <is>
          <t>KALMAR LÄN</t>
        </is>
      </c>
      <c r="E884" t="inlineStr">
        <is>
          <t>VIMMERBY</t>
        </is>
      </c>
      <c r="G884" t="n">
        <v>3.8</v>
      </c>
      <c r="H884" t="n">
        <v>0</v>
      </c>
      <c r="I884" t="n">
        <v>0</v>
      </c>
      <c r="J884" t="n">
        <v>0</v>
      </c>
      <c r="K884" t="n">
        <v>0</v>
      </c>
      <c r="L884" t="n">
        <v>0</v>
      </c>
      <c r="M884" t="n">
        <v>0</v>
      </c>
      <c r="N884" t="n">
        <v>0</v>
      </c>
      <c r="O884" t="n">
        <v>0</v>
      </c>
      <c r="P884" t="n">
        <v>0</v>
      </c>
      <c r="Q884" t="n">
        <v>0</v>
      </c>
      <c r="R884" s="2" t="inlineStr"/>
    </row>
    <row r="885" ht="15" customHeight="1">
      <c r="A885" t="inlineStr">
        <is>
          <t>A 63848-2025</t>
        </is>
      </c>
      <c r="B885" s="1" t="n">
        <v>46020.44902777778</v>
      </c>
      <c r="C885" s="1" t="n">
        <v>46021</v>
      </c>
      <c r="D885" t="inlineStr">
        <is>
          <t>KALMAR LÄN</t>
        </is>
      </c>
      <c r="E885" t="inlineStr">
        <is>
          <t>VIMMERBY</t>
        </is>
      </c>
      <c r="G885" t="n">
        <v>3.4</v>
      </c>
      <c r="H885" t="n">
        <v>0</v>
      </c>
      <c r="I885" t="n">
        <v>0</v>
      </c>
      <c r="J885" t="n">
        <v>0</v>
      </c>
      <c r="K885" t="n">
        <v>0</v>
      </c>
      <c r="L885" t="n">
        <v>0</v>
      </c>
      <c r="M885" t="n">
        <v>0</v>
      </c>
      <c r="N885" t="n">
        <v>0</v>
      </c>
      <c r="O885" t="n">
        <v>0</v>
      </c>
      <c r="P885" t="n">
        <v>0</v>
      </c>
      <c r="Q885" t="n">
        <v>0</v>
      </c>
      <c r="R885" s="2" t="inlineStr"/>
    </row>
    <row r="886" ht="15" customHeight="1">
      <c r="A886" t="inlineStr">
        <is>
          <t>A 1978-2024</t>
        </is>
      </c>
      <c r="B886" s="1" t="n">
        <v>45308.59001157407</v>
      </c>
      <c r="C886" s="1" t="n">
        <v>46021</v>
      </c>
      <c r="D886" t="inlineStr">
        <is>
          <t>KALMAR LÄN</t>
        </is>
      </c>
      <c r="E886" t="inlineStr">
        <is>
          <t>VIMMERBY</t>
        </is>
      </c>
      <c r="G886" t="n">
        <v>0.9</v>
      </c>
      <c r="H886" t="n">
        <v>0</v>
      </c>
      <c r="I886" t="n">
        <v>0</v>
      </c>
      <c r="J886" t="n">
        <v>0</v>
      </c>
      <c r="K886" t="n">
        <v>0</v>
      </c>
      <c r="L886" t="n">
        <v>0</v>
      </c>
      <c r="M886" t="n">
        <v>0</v>
      </c>
      <c r="N886" t="n">
        <v>0</v>
      </c>
      <c r="O886" t="n">
        <v>0</v>
      </c>
      <c r="P886" t="n">
        <v>0</v>
      </c>
      <c r="Q886" t="n">
        <v>0</v>
      </c>
      <c r="R886" s="2" t="inlineStr"/>
    </row>
    <row r="887" ht="15" customHeight="1">
      <c r="A887" t="inlineStr">
        <is>
          <t>A 6399-2025</t>
        </is>
      </c>
      <c r="B887" s="1" t="n">
        <v>45699.44291666667</v>
      </c>
      <c r="C887" s="1" t="n">
        <v>46021</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41311-2023</t>
        </is>
      </c>
      <c r="B888" s="1" t="n">
        <v>45174</v>
      </c>
      <c r="C888" s="1" t="n">
        <v>46021</v>
      </c>
      <c r="D888" t="inlineStr">
        <is>
          <t>KALMAR LÄN</t>
        </is>
      </c>
      <c r="E888" t="inlineStr">
        <is>
          <t>VIMMERBY</t>
        </is>
      </c>
      <c r="G888" t="n">
        <v>0.7</v>
      </c>
      <c r="H888" t="n">
        <v>0</v>
      </c>
      <c r="I888" t="n">
        <v>0</v>
      </c>
      <c r="J888" t="n">
        <v>0</v>
      </c>
      <c r="K888" t="n">
        <v>0</v>
      </c>
      <c r="L888" t="n">
        <v>0</v>
      </c>
      <c r="M888" t="n">
        <v>0</v>
      </c>
      <c r="N888" t="n">
        <v>0</v>
      </c>
      <c r="O888" t="n">
        <v>0</v>
      </c>
      <c r="P888" t="n">
        <v>0</v>
      </c>
      <c r="Q888" t="n">
        <v>0</v>
      </c>
      <c r="R888" s="2" t="inlineStr"/>
    </row>
    <row r="889" ht="15" customHeight="1">
      <c r="A889" t="inlineStr">
        <is>
          <t>A 63762-2025</t>
        </is>
      </c>
      <c r="B889" s="1" t="n">
        <v>46018.67197916667</v>
      </c>
      <c r="C889" s="1" t="n">
        <v>46021</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63758-2025</t>
        </is>
      </c>
      <c r="B890" s="1" t="n">
        <v>46018.46483796297</v>
      </c>
      <c r="C890" s="1" t="n">
        <v>46021</v>
      </c>
      <c r="D890" t="inlineStr">
        <is>
          <t>KALMAR LÄN</t>
        </is>
      </c>
      <c r="E890" t="inlineStr">
        <is>
          <t>VIMMERBY</t>
        </is>
      </c>
      <c r="G890" t="n">
        <v>0.6</v>
      </c>
      <c r="H890" t="n">
        <v>0</v>
      </c>
      <c r="I890" t="n">
        <v>0</v>
      </c>
      <c r="J890" t="n">
        <v>0</v>
      </c>
      <c r="K890" t="n">
        <v>0</v>
      </c>
      <c r="L890" t="n">
        <v>0</v>
      </c>
      <c r="M890" t="n">
        <v>0</v>
      </c>
      <c r="N890" t="n">
        <v>0</v>
      </c>
      <c r="O890" t="n">
        <v>0</v>
      </c>
      <c r="P890" t="n">
        <v>0</v>
      </c>
      <c r="Q890" t="n">
        <v>0</v>
      </c>
      <c r="R890" s="2" t="inlineStr"/>
    </row>
    <row r="891" ht="15" customHeight="1">
      <c r="A891" t="inlineStr">
        <is>
          <t>A 10785-2025</t>
        </is>
      </c>
      <c r="B891" s="1" t="n">
        <v>45722.48634259259</v>
      </c>
      <c r="C891" s="1" t="n">
        <v>46021</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18020-2025</t>
        </is>
      </c>
      <c r="B892" s="1" t="n">
        <v>45761.4437962963</v>
      </c>
      <c r="C892" s="1" t="n">
        <v>46021</v>
      </c>
      <c r="D892" t="inlineStr">
        <is>
          <t>KALMAR LÄN</t>
        </is>
      </c>
      <c r="E892" t="inlineStr">
        <is>
          <t>VIMMERBY</t>
        </is>
      </c>
      <c r="G892" t="n">
        <v>0.6</v>
      </c>
      <c r="H892" t="n">
        <v>0</v>
      </c>
      <c r="I892" t="n">
        <v>0</v>
      </c>
      <c r="J892" t="n">
        <v>0</v>
      </c>
      <c r="K892" t="n">
        <v>0</v>
      </c>
      <c r="L892" t="n">
        <v>0</v>
      </c>
      <c r="M892" t="n">
        <v>0</v>
      </c>
      <c r="N892" t="n">
        <v>0</v>
      </c>
      <c r="O892" t="n">
        <v>0</v>
      </c>
      <c r="P892" t="n">
        <v>0</v>
      </c>
      <c r="Q892" t="n">
        <v>0</v>
      </c>
      <c r="R892" s="2" t="inlineStr"/>
    </row>
    <row r="893" ht="15" customHeight="1">
      <c r="A893" t="inlineStr">
        <is>
          <t>A 585-2024</t>
        </is>
      </c>
      <c r="B893" s="1" t="n">
        <v>45299.62576388889</v>
      </c>
      <c r="C893" s="1" t="n">
        <v>46021</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6802-2025</t>
        </is>
      </c>
      <c r="B894" s="1" t="n">
        <v>45700.68289351852</v>
      </c>
      <c r="C894" s="1" t="n">
        <v>46021</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56020-2024</t>
        </is>
      </c>
      <c r="B895" s="1" t="n">
        <v>45623.9525462963</v>
      </c>
      <c r="C895" s="1" t="n">
        <v>46021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33842-2022</t>
        </is>
      </c>
      <c r="B896" s="1" t="n">
        <v>44790.49523148148</v>
      </c>
      <c r="C896" s="1" t="n">
        <v>46021</v>
      </c>
      <c r="D896" t="inlineStr">
        <is>
          <t>KALMAR LÄN</t>
        </is>
      </c>
      <c r="E896" t="inlineStr">
        <is>
          <t>VIMMERBY</t>
        </is>
      </c>
      <c r="G896" t="n">
        <v>1.6</v>
      </c>
      <c r="H896" t="n">
        <v>0</v>
      </c>
      <c r="I896" t="n">
        <v>0</v>
      </c>
      <c r="J896" t="n">
        <v>0</v>
      </c>
      <c r="K896" t="n">
        <v>0</v>
      </c>
      <c r="L896" t="n">
        <v>0</v>
      </c>
      <c r="M896" t="n">
        <v>0</v>
      </c>
      <c r="N896" t="n">
        <v>0</v>
      </c>
      <c r="O896" t="n">
        <v>0</v>
      </c>
      <c r="P896" t="n">
        <v>0</v>
      </c>
      <c r="Q896" t="n">
        <v>0</v>
      </c>
      <c r="R896" s="2" t="inlineStr"/>
    </row>
    <row r="897" ht="15" customHeight="1">
      <c r="A897" t="inlineStr">
        <is>
          <t>A 60675-2023</t>
        </is>
      </c>
      <c r="B897" s="1" t="n">
        <v>45260.4716550926</v>
      </c>
      <c r="C897" s="1" t="n">
        <v>46021</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40095-2022</t>
        </is>
      </c>
      <c r="B898" s="1" t="n">
        <v>44820</v>
      </c>
      <c r="C898" s="1" t="n">
        <v>46021</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19537-2022</t>
        </is>
      </c>
      <c r="B899" s="1" t="n">
        <v>44693.62822916666</v>
      </c>
      <c r="C899" s="1" t="n">
        <v>46021</v>
      </c>
      <c r="D899" t="inlineStr">
        <is>
          <t>KALMAR LÄN</t>
        </is>
      </c>
      <c r="E899" t="inlineStr">
        <is>
          <t>VIMMERBY</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57311-2023</t>
        </is>
      </c>
      <c r="B900" s="1" t="n">
        <v>45245.63574074074</v>
      </c>
      <c r="C900" s="1" t="n">
        <v>46021</v>
      </c>
      <c r="D900" t="inlineStr">
        <is>
          <t>KALMAR LÄN</t>
        </is>
      </c>
      <c r="E900" t="inlineStr">
        <is>
          <t>VIMMERBY</t>
        </is>
      </c>
      <c r="G900" t="n">
        <v>1.6</v>
      </c>
      <c r="H900" t="n">
        <v>0</v>
      </c>
      <c r="I900" t="n">
        <v>0</v>
      </c>
      <c r="J900" t="n">
        <v>0</v>
      </c>
      <c r="K900" t="n">
        <v>0</v>
      </c>
      <c r="L900" t="n">
        <v>0</v>
      </c>
      <c r="M900" t="n">
        <v>0</v>
      </c>
      <c r="N900" t="n">
        <v>0</v>
      </c>
      <c r="O900" t="n">
        <v>0</v>
      </c>
      <c r="P900" t="n">
        <v>0</v>
      </c>
      <c r="Q900" t="n">
        <v>0</v>
      </c>
      <c r="R900" s="2" t="inlineStr"/>
    </row>
    <row r="901" ht="15" customHeight="1">
      <c r="A901" t="inlineStr">
        <is>
          <t>A 64428-2023</t>
        </is>
      </c>
      <c r="B901" s="1" t="n">
        <v>45280.66769675926</v>
      </c>
      <c r="C901" s="1" t="n">
        <v>46021</v>
      </c>
      <c r="D901" t="inlineStr">
        <is>
          <t>KALMAR LÄN</t>
        </is>
      </c>
      <c r="E901" t="inlineStr">
        <is>
          <t>VIMMERBY</t>
        </is>
      </c>
      <c r="G901" t="n">
        <v>1.2</v>
      </c>
      <c r="H901" t="n">
        <v>0</v>
      </c>
      <c r="I901" t="n">
        <v>0</v>
      </c>
      <c r="J901" t="n">
        <v>0</v>
      </c>
      <c r="K901" t="n">
        <v>0</v>
      </c>
      <c r="L901" t="n">
        <v>0</v>
      </c>
      <c r="M901" t="n">
        <v>0</v>
      </c>
      <c r="N901" t="n">
        <v>0</v>
      </c>
      <c r="O901" t="n">
        <v>0</v>
      </c>
      <c r="P901" t="n">
        <v>0</v>
      </c>
      <c r="Q901" t="n">
        <v>0</v>
      </c>
      <c r="R901" s="2" t="inlineStr"/>
    </row>
    <row r="902" ht="15" customHeight="1">
      <c r="A902" t="inlineStr">
        <is>
          <t>A 4527-2023</t>
        </is>
      </c>
      <c r="B902" s="1" t="n">
        <v>44956</v>
      </c>
      <c r="C902" s="1" t="n">
        <v>46021</v>
      </c>
      <c r="D902" t="inlineStr">
        <is>
          <t>KALMAR LÄN</t>
        </is>
      </c>
      <c r="E902" t="inlineStr">
        <is>
          <t>VIMMERBY</t>
        </is>
      </c>
      <c r="F902" t="inlineStr">
        <is>
          <t>Kommuner</t>
        </is>
      </c>
      <c r="G902" t="n">
        <v>8.5</v>
      </c>
      <c r="H902" t="n">
        <v>0</v>
      </c>
      <c r="I902" t="n">
        <v>0</v>
      </c>
      <c r="J902" t="n">
        <v>0</v>
      </c>
      <c r="K902" t="n">
        <v>0</v>
      </c>
      <c r="L902" t="n">
        <v>0</v>
      </c>
      <c r="M902" t="n">
        <v>0</v>
      </c>
      <c r="N902" t="n">
        <v>0</v>
      </c>
      <c r="O902" t="n">
        <v>0</v>
      </c>
      <c r="P902" t="n">
        <v>0</v>
      </c>
      <c r="Q902" t="n">
        <v>0</v>
      </c>
      <c r="R902" s="2" t="inlineStr"/>
    </row>
    <row r="903" ht="15" customHeight="1">
      <c r="A903" t="inlineStr">
        <is>
          <t>A 3268-2024</t>
        </is>
      </c>
      <c r="B903" s="1" t="n">
        <v>45317</v>
      </c>
      <c r="C903" s="1" t="n">
        <v>46021</v>
      </c>
      <c r="D903" t="inlineStr">
        <is>
          <t>KALMAR LÄN</t>
        </is>
      </c>
      <c r="E903" t="inlineStr">
        <is>
          <t>VIMMERBY</t>
        </is>
      </c>
      <c r="F903" t="inlineStr">
        <is>
          <t>Övriga Aktiebolag</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51408-2023</t>
        </is>
      </c>
      <c r="B904" s="1" t="n">
        <v>45219.69356481481</v>
      </c>
      <c r="C904" s="1" t="n">
        <v>46021</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c r="A905" t="inlineStr">
        <is>
          <t>A 12480-2024</t>
        </is>
      </c>
      <c r="B905" s="1" t="n">
        <v>45379</v>
      </c>
      <c r="C905" s="1" t="n">
        <v>46021</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2025-12-30T09:56:26Z</dcterms:created>
  <dcterms:modified xmlns:dcterms="http://purl.org/dc/terms/" xmlns:xsi="http://www.w3.org/2001/XMLSchema-instance" xsi:type="dcterms:W3CDTF">2025-12-30T09:56:26Z</dcterms:modified>
</cp:coreProperties>
</file>