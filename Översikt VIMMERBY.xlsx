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46158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46158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46158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46158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46158</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46158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46158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46158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46158</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46158</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46158</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46158</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46158</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46158</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46158</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46158</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46158</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46158</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46158</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46158</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40684-2025</t>
        </is>
      </c>
      <c r="B24" s="1" t="n">
        <v>45896.86820601852</v>
      </c>
      <c r="C24" s="1" t="n">
        <v>46158</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46158</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2518-2023</t>
        </is>
      </c>
      <c r="B26" s="1" t="n">
        <v>44943</v>
      </c>
      <c r="C26" s="1" t="n">
        <v>46158</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46158</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46158</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53787-2025</t>
        </is>
      </c>
      <c r="B29" s="1" t="n">
        <v>45960</v>
      </c>
      <c r="C29" s="1" t="n">
        <v>46158</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19158-2023</t>
        </is>
      </c>
      <c r="B30" s="1" t="n">
        <v>45048</v>
      </c>
      <c r="C30" s="1" t="n">
        <v>46158</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45008.60878472222</v>
      </c>
      <c r="C31" s="1" t="n">
        <v>46158</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14426-2026</t>
        </is>
      </c>
      <c r="B32" s="1" t="n">
        <v>46100.46956018519</v>
      </c>
      <c r="C32" s="1" t="n">
        <v>46158</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22396-2025</t>
        </is>
      </c>
      <c r="B33" s="1" t="n">
        <v>45786.52827546297</v>
      </c>
      <c r="C33" s="1" t="n">
        <v>46158</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46158</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46158</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46158</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46158</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46158</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46158</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53400-2025</t>
        </is>
      </c>
      <c r="B40" s="1" t="n">
        <v>45959.56684027778</v>
      </c>
      <c r="C40" s="1" t="n">
        <v>46158</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53404-2025</t>
        </is>
      </c>
      <c r="B41" s="1" t="n">
        <v>45959.57126157408</v>
      </c>
      <c r="C41" s="1" t="n">
        <v>46158</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55384-2025</t>
        </is>
      </c>
      <c r="B42" s="1" t="n">
        <v>45971.43178240741</v>
      </c>
      <c r="C42" s="1" t="n">
        <v>46158</v>
      </c>
      <c r="D42" t="inlineStr">
        <is>
          <t>KALMAR LÄN</t>
        </is>
      </c>
      <c r="E42" t="inlineStr">
        <is>
          <t>VIMMERBY</t>
        </is>
      </c>
      <c r="G42" t="n">
        <v>1.7</v>
      </c>
      <c r="H42" t="n">
        <v>1</v>
      </c>
      <c r="I42" t="n">
        <v>0</v>
      </c>
      <c r="J42" t="n">
        <v>1</v>
      </c>
      <c r="K42" t="n">
        <v>0</v>
      </c>
      <c r="L42" t="n">
        <v>0</v>
      </c>
      <c r="M42" t="n">
        <v>0</v>
      </c>
      <c r="N42" t="n">
        <v>0</v>
      </c>
      <c r="O42" t="n">
        <v>1</v>
      </c>
      <c r="P42" t="n">
        <v>0</v>
      </c>
      <c r="Q42" t="n">
        <v>1</v>
      </c>
      <c r="R42" s="2" t="inlineStr">
        <is>
          <t>Talltita</t>
        </is>
      </c>
      <c r="S42">
        <f>HYPERLINK("https://klasma.github.io/Logging_0884/artfynd/A 55384-2025 artfynd.xlsx", "A 55384-2025")</f>
        <v/>
      </c>
      <c r="T42">
        <f>HYPERLINK("https://klasma.github.io/Logging_0884/kartor/A 55384-2025 karta.png", "A 55384-2025")</f>
        <v/>
      </c>
      <c r="V42">
        <f>HYPERLINK("https://klasma.github.io/Logging_0884/klagomål/A 55384-2025 FSC-klagomål.docx", "A 55384-2025")</f>
        <v/>
      </c>
      <c r="W42">
        <f>HYPERLINK("https://klasma.github.io/Logging_0884/klagomålsmail/A 55384-2025 FSC-klagomål mail.docx", "A 55384-2025")</f>
        <v/>
      </c>
      <c r="X42">
        <f>HYPERLINK("https://klasma.github.io/Logging_0884/tillsyn/A 55384-2025 tillsynsbegäran.docx", "A 55384-2025")</f>
        <v/>
      </c>
      <c r="Y42">
        <f>HYPERLINK("https://klasma.github.io/Logging_0884/tillsynsmail/A 55384-2025 tillsynsbegäran mail.docx", "A 55384-2025")</f>
        <v/>
      </c>
      <c r="Z42">
        <f>HYPERLINK("https://klasma.github.io/Logging_0884/fåglar/A 55384-2025 prioriterade fågelarter.docx", "A 55384-2025")</f>
        <v/>
      </c>
    </row>
    <row r="43" ht="15" customHeight="1">
      <c r="A43" t="inlineStr">
        <is>
          <t>A 57062-2025</t>
        </is>
      </c>
      <c r="B43" s="1" t="n">
        <v>45979.37598379629</v>
      </c>
      <c r="C43" s="1" t="n">
        <v>46158</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57062-2025 artfynd.xlsx", "A 57062-2025")</f>
        <v/>
      </c>
      <c r="T43">
        <f>HYPERLINK("https://klasma.github.io/Logging_0884/kartor/A 57062-2025 karta.png", "A 57062-2025")</f>
        <v/>
      </c>
      <c r="U43">
        <f>HYPERLINK("https://klasma.github.io/Logging_0884/knärot/A 57062-2025 karta knärot.png", "A 57062-2025")</f>
        <v/>
      </c>
      <c r="V43">
        <f>HYPERLINK("https://klasma.github.io/Logging_0884/klagomål/A 57062-2025 FSC-klagomål.docx", "A 57062-2025")</f>
        <v/>
      </c>
      <c r="W43">
        <f>HYPERLINK("https://klasma.github.io/Logging_0884/klagomålsmail/A 57062-2025 FSC-klagomål mail.docx", "A 57062-2025")</f>
        <v/>
      </c>
      <c r="X43">
        <f>HYPERLINK("https://klasma.github.io/Logging_0884/tillsyn/A 57062-2025 tillsynsbegäran.docx", "A 57062-2025")</f>
        <v/>
      </c>
      <c r="Y43">
        <f>HYPERLINK("https://klasma.github.io/Logging_0884/tillsynsmail/A 57062-2025 tillsynsbegäran mail.docx", "A 57062-2025")</f>
        <v/>
      </c>
    </row>
    <row r="44" ht="15" customHeight="1">
      <c r="A44" t="inlineStr">
        <is>
          <t>A 23602-2023</t>
        </is>
      </c>
      <c r="B44" s="1" t="n">
        <v>45077</v>
      </c>
      <c r="C44" s="1" t="n">
        <v>46158</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15122-2024</t>
        </is>
      </c>
      <c r="B45" s="1" t="n">
        <v>45399.71412037037</v>
      </c>
      <c r="C45" s="1" t="n">
        <v>46158</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46158</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46158</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44515-2024</t>
        </is>
      </c>
      <c r="B48" s="1" t="n">
        <v>45574.42767361111</v>
      </c>
      <c r="C48" s="1" t="n">
        <v>46158</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61860-2024</t>
        </is>
      </c>
      <c r="B49" s="1" t="n">
        <v>45649</v>
      </c>
      <c r="C49" s="1" t="n">
        <v>46158</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9067-2025</t>
        </is>
      </c>
      <c r="B50" s="1" t="n">
        <v>45713</v>
      </c>
      <c r="C50" s="1" t="n">
        <v>46158</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46158</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46158</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59070-2021</t>
        </is>
      </c>
      <c r="B53" s="1" t="n">
        <v>44490.38613425926</v>
      </c>
      <c r="C53" s="1" t="n">
        <v>46158</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46158</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46158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46158</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46158</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46158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46158</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46158</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46158</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46158</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46158</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46158</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46158</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46158</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46158</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46158</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2183-2022</t>
        </is>
      </c>
      <c r="B69" s="1" t="n">
        <v>44578.47597222222</v>
      </c>
      <c r="C69" s="1" t="n">
        <v>46158</v>
      </c>
      <c r="D69" t="inlineStr">
        <is>
          <t>KALMAR LÄN</t>
        </is>
      </c>
      <c r="E69" t="inlineStr">
        <is>
          <t>VIMMERBY</t>
        </is>
      </c>
      <c r="G69" t="n">
        <v>4.8</v>
      </c>
      <c r="H69" t="n">
        <v>0</v>
      </c>
      <c r="I69" t="n">
        <v>0</v>
      </c>
      <c r="J69" t="n">
        <v>0</v>
      </c>
      <c r="K69" t="n">
        <v>0</v>
      </c>
      <c r="L69" t="n">
        <v>0</v>
      </c>
      <c r="M69" t="n">
        <v>0</v>
      </c>
      <c r="N69" t="n">
        <v>0</v>
      </c>
      <c r="O69" t="n">
        <v>0</v>
      </c>
      <c r="P69" t="n">
        <v>0</v>
      </c>
      <c r="Q69" t="n">
        <v>0</v>
      </c>
      <c r="R69" s="2" t="inlineStr"/>
    </row>
    <row r="70" ht="15" customHeight="1">
      <c r="A70" t="inlineStr">
        <is>
          <t>A 65670-2021</t>
        </is>
      </c>
      <c r="B70" s="1" t="n">
        <v>44516.59703703703</v>
      </c>
      <c r="C70" s="1" t="n">
        <v>46158</v>
      </c>
      <c r="D70" t="inlineStr">
        <is>
          <t>KALMAR LÄN</t>
        </is>
      </c>
      <c r="E70" t="inlineStr">
        <is>
          <t>VIMMERBY</t>
        </is>
      </c>
      <c r="G70" t="n">
        <v>1.9</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46158</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46158</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46158</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46158</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46158</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46158</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46158</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46158</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46158</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46158</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46158</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46158</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46158</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46158</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46158</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46158</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46158</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46158</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46158</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46158</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46158</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46158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46158</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46158</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46158</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46158</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46158</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46158</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46158</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46158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24369-2021</t>
        </is>
      </c>
      <c r="B101" s="1" t="n">
        <v>44337</v>
      </c>
      <c r="C101" s="1" t="n">
        <v>46158</v>
      </c>
      <c r="D101" t="inlineStr">
        <is>
          <t>KALMAR LÄN</t>
        </is>
      </c>
      <c r="E101" t="inlineStr">
        <is>
          <t>VIMMERBY</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51972-2021</t>
        </is>
      </c>
      <c r="B102" s="1" t="n">
        <v>44463.29439814815</v>
      </c>
      <c r="C102" s="1" t="n">
        <v>46158</v>
      </c>
      <c r="D102" t="inlineStr">
        <is>
          <t>KALMAR LÄN</t>
        </is>
      </c>
      <c r="E102" t="inlineStr">
        <is>
          <t>VIMMERBY</t>
        </is>
      </c>
      <c r="G102" t="n">
        <v>4.5</v>
      </c>
      <c r="H102" t="n">
        <v>0</v>
      </c>
      <c r="I102" t="n">
        <v>0</v>
      </c>
      <c r="J102" t="n">
        <v>0</v>
      </c>
      <c r="K102" t="n">
        <v>0</v>
      </c>
      <c r="L102" t="n">
        <v>0</v>
      </c>
      <c r="M102" t="n">
        <v>0</v>
      </c>
      <c r="N102" t="n">
        <v>0</v>
      </c>
      <c r="O102" t="n">
        <v>0</v>
      </c>
      <c r="P102" t="n">
        <v>0</v>
      </c>
      <c r="Q102" t="n">
        <v>0</v>
      </c>
      <c r="R102" s="2" t="inlineStr"/>
    </row>
    <row r="103" ht="15" customHeight="1">
      <c r="A103" t="inlineStr">
        <is>
          <t>A 4042-2022</t>
        </is>
      </c>
      <c r="B103" s="1" t="n">
        <v>44588</v>
      </c>
      <c r="C103" s="1" t="n">
        <v>46158</v>
      </c>
      <c r="D103" t="inlineStr">
        <is>
          <t>KALMAR LÄN</t>
        </is>
      </c>
      <c r="E103" t="inlineStr">
        <is>
          <t>VIMMERBY</t>
        </is>
      </c>
      <c r="G103" t="n">
        <v>4.7</v>
      </c>
      <c r="H103" t="n">
        <v>0</v>
      </c>
      <c r="I103" t="n">
        <v>0</v>
      </c>
      <c r="J103" t="n">
        <v>0</v>
      </c>
      <c r="K103" t="n">
        <v>0</v>
      </c>
      <c r="L103" t="n">
        <v>0</v>
      </c>
      <c r="M103" t="n">
        <v>0</v>
      </c>
      <c r="N103" t="n">
        <v>0</v>
      </c>
      <c r="O103" t="n">
        <v>0</v>
      </c>
      <c r="P103" t="n">
        <v>0</v>
      </c>
      <c r="Q103" t="n">
        <v>0</v>
      </c>
      <c r="R103" s="2" t="inlineStr"/>
    </row>
    <row r="104" ht="15" customHeight="1">
      <c r="A104" t="inlineStr">
        <is>
          <t>A 33690-2022</t>
        </is>
      </c>
      <c r="B104" s="1" t="n">
        <v>44789</v>
      </c>
      <c r="C104" s="1" t="n">
        <v>46158</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35198-2021</t>
        </is>
      </c>
      <c r="B105" s="1" t="n">
        <v>44377</v>
      </c>
      <c r="C105" s="1" t="n">
        <v>46158</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34036-2021</t>
        </is>
      </c>
      <c r="B106" s="1" t="n">
        <v>44379</v>
      </c>
      <c r="C106" s="1" t="n">
        <v>46158</v>
      </c>
      <c r="D106" t="inlineStr">
        <is>
          <t>KALMAR LÄN</t>
        </is>
      </c>
      <c r="E106" t="inlineStr">
        <is>
          <t>VIMMERBY</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63244-2021</t>
        </is>
      </c>
      <c r="B107" s="1" t="n">
        <v>44508</v>
      </c>
      <c r="C107" s="1" t="n">
        <v>46158</v>
      </c>
      <c r="D107" t="inlineStr">
        <is>
          <t>KALMAR LÄN</t>
        </is>
      </c>
      <c r="E107" t="inlineStr">
        <is>
          <t>VIMMERBY</t>
        </is>
      </c>
      <c r="F107" t="inlineStr">
        <is>
          <t>Övriga statliga verk och myndigheter</t>
        </is>
      </c>
      <c r="G107" t="n">
        <v>0.6</v>
      </c>
      <c r="H107" t="n">
        <v>0</v>
      </c>
      <c r="I107" t="n">
        <v>0</v>
      </c>
      <c r="J107" t="n">
        <v>0</v>
      </c>
      <c r="K107" t="n">
        <v>0</v>
      </c>
      <c r="L107" t="n">
        <v>0</v>
      </c>
      <c r="M107" t="n">
        <v>0</v>
      </c>
      <c r="N107" t="n">
        <v>0</v>
      </c>
      <c r="O107" t="n">
        <v>0</v>
      </c>
      <c r="P107" t="n">
        <v>0</v>
      </c>
      <c r="Q107" t="n">
        <v>0</v>
      </c>
      <c r="R107" s="2" t="inlineStr"/>
    </row>
    <row r="108" ht="15" customHeight="1">
      <c r="A108" t="inlineStr">
        <is>
          <t>A 11814-2022</t>
        </is>
      </c>
      <c r="B108" s="1" t="n">
        <v>44634.69703703704</v>
      </c>
      <c r="C108" s="1" t="n">
        <v>46158</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56385-2021</t>
        </is>
      </c>
      <c r="B109" s="1" t="n">
        <v>44480</v>
      </c>
      <c r="C109" s="1" t="n">
        <v>46158</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46158</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31053-2022</t>
        </is>
      </c>
      <c r="B111" s="1" t="n">
        <v>44769.45422453704</v>
      </c>
      <c r="C111" s="1" t="n">
        <v>46158</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8454-2022</t>
        </is>
      </c>
      <c r="B112" s="1" t="n">
        <v>44612.86762731482</v>
      </c>
      <c r="C112" s="1" t="n">
        <v>46158</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65887-2021</t>
        </is>
      </c>
      <c r="B113" s="1" t="n">
        <v>44517</v>
      </c>
      <c r="C113" s="1" t="n">
        <v>46158</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46158</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24999-2021</t>
        </is>
      </c>
      <c r="B115" s="1" t="n">
        <v>44341</v>
      </c>
      <c r="C115" s="1" t="n">
        <v>46158</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46158</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46158</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56389-2021</t>
        </is>
      </c>
      <c r="B118" s="1" t="n">
        <v>44480</v>
      </c>
      <c r="C118" s="1" t="n">
        <v>46158</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67952-2021</t>
        </is>
      </c>
      <c r="B119" s="1" t="n">
        <v>44525.63913194444</v>
      </c>
      <c r="C119" s="1" t="n">
        <v>46158</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15533-2022</t>
        </is>
      </c>
      <c r="B120" s="1" t="n">
        <v>44662</v>
      </c>
      <c r="C120" s="1" t="n">
        <v>46158</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165-2022</t>
        </is>
      </c>
      <c r="B121" s="1" t="n">
        <v>44564</v>
      </c>
      <c r="C121" s="1" t="n">
        <v>46158</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34040-2021</t>
        </is>
      </c>
      <c r="B122" s="1" t="n">
        <v>44379</v>
      </c>
      <c r="C122" s="1" t="n">
        <v>46158</v>
      </c>
      <c r="D122" t="inlineStr">
        <is>
          <t>KALMAR LÄN</t>
        </is>
      </c>
      <c r="E122" t="inlineStr">
        <is>
          <t>VIMMERBY</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12107-2022</t>
        </is>
      </c>
      <c r="B123" s="1" t="n">
        <v>44636</v>
      </c>
      <c r="C123" s="1" t="n">
        <v>46158</v>
      </c>
      <c r="D123" t="inlineStr">
        <is>
          <t>KALMAR LÄN</t>
        </is>
      </c>
      <c r="E123" t="inlineStr">
        <is>
          <t>VIMMERBY</t>
        </is>
      </c>
      <c r="G123" t="n">
        <v>1.8</v>
      </c>
      <c r="H123" t="n">
        <v>0</v>
      </c>
      <c r="I123" t="n">
        <v>0</v>
      </c>
      <c r="J123" t="n">
        <v>0</v>
      </c>
      <c r="K123" t="n">
        <v>0</v>
      </c>
      <c r="L123" t="n">
        <v>0</v>
      </c>
      <c r="M123" t="n">
        <v>0</v>
      </c>
      <c r="N123" t="n">
        <v>0</v>
      </c>
      <c r="O123" t="n">
        <v>0</v>
      </c>
      <c r="P123" t="n">
        <v>0</v>
      </c>
      <c r="Q123" t="n">
        <v>0</v>
      </c>
      <c r="R123" s="2" t="inlineStr"/>
    </row>
    <row r="124" ht="15" customHeight="1">
      <c r="A124" t="inlineStr">
        <is>
          <t>A 39225-2022</t>
        </is>
      </c>
      <c r="B124" s="1" t="n">
        <v>44817.57988425926</v>
      </c>
      <c r="C124" s="1" t="n">
        <v>46158</v>
      </c>
      <c r="D124" t="inlineStr">
        <is>
          <t>KALMAR LÄN</t>
        </is>
      </c>
      <c r="E124" t="inlineStr">
        <is>
          <t>VIMMERBY</t>
        </is>
      </c>
      <c r="G124" t="n">
        <v>2.2</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46158</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7167-2022</t>
        </is>
      </c>
      <c r="B126" s="1" t="n">
        <v>44604</v>
      </c>
      <c r="C126" s="1" t="n">
        <v>46158</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46158</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46158</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46158</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47769-2022</t>
        </is>
      </c>
      <c r="B130" s="1" t="n">
        <v>44854</v>
      </c>
      <c r="C130" s="1" t="n">
        <v>46158</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48377-2021</t>
        </is>
      </c>
      <c r="B131" s="1" t="n">
        <v>44451.8375</v>
      </c>
      <c r="C131" s="1" t="n">
        <v>46158</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40472-2022</t>
        </is>
      </c>
      <c r="B132" s="1" t="n">
        <v>44823</v>
      </c>
      <c r="C132" s="1" t="n">
        <v>46158</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35316-2021</t>
        </is>
      </c>
      <c r="B133" s="1" t="n">
        <v>44384</v>
      </c>
      <c r="C133" s="1" t="n">
        <v>46158</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47708-2022</t>
        </is>
      </c>
      <c r="B134" s="1" t="n">
        <v>44854.59157407407</v>
      </c>
      <c r="C134" s="1" t="n">
        <v>46158</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33831-2022</t>
        </is>
      </c>
      <c r="B135" s="1" t="n">
        <v>44790.48503472222</v>
      </c>
      <c r="C135" s="1" t="n">
        <v>46158</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9918-2022</t>
        </is>
      </c>
      <c r="B136" s="1" t="n">
        <v>44620</v>
      </c>
      <c r="C136" s="1" t="n">
        <v>46158</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46158</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47473-2021</t>
        </is>
      </c>
      <c r="B138" s="1" t="n">
        <v>44447</v>
      </c>
      <c r="C138" s="1" t="n">
        <v>46158</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46158</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31660-2021</t>
        </is>
      </c>
      <c r="B140" s="1" t="n">
        <v>44369</v>
      </c>
      <c r="C140" s="1" t="n">
        <v>46158</v>
      </c>
      <c r="D140" t="inlineStr">
        <is>
          <t>KALMAR LÄN</t>
        </is>
      </c>
      <c r="E140" t="inlineStr">
        <is>
          <t>VIMMERBY</t>
        </is>
      </c>
      <c r="G140" t="n">
        <v>4.2</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46158</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46158</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36117-2021</t>
        </is>
      </c>
      <c r="B143" s="1" t="n">
        <v>44386</v>
      </c>
      <c r="C143" s="1" t="n">
        <v>46158</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42521-2021</t>
        </is>
      </c>
      <c r="B144" s="1" t="n">
        <v>44427</v>
      </c>
      <c r="C144" s="1" t="n">
        <v>46158</v>
      </c>
      <c r="D144" t="inlineStr">
        <is>
          <t>KALMAR LÄN</t>
        </is>
      </c>
      <c r="E144" t="inlineStr">
        <is>
          <t>VIMMERBY</t>
        </is>
      </c>
      <c r="G144" t="n">
        <v>5.4</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46158</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46158</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42850-2022</t>
        </is>
      </c>
      <c r="B147" s="1" t="n">
        <v>44832.67608796297</v>
      </c>
      <c r="C147" s="1" t="n">
        <v>46158</v>
      </c>
      <c r="D147" t="inlineStr">
        <is>
          <t>KALMAR LÄN</t>
        </is>
      </c>
      <c r="E147" t="inlineStr">
        <is>
          <t>VIMMERBY</t>
        </is>
      </c>
      <c r="G147" t="n">
        <v>5.9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46158</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53145-2022</t>
        </is>
      </c>
      <c r="B149" s="1" t="n">
        <v>44876.48346064815</v>
      </c>
      <c r="C149" s="1" t="n">
        <v>46158</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25738-2022</t>
        </is>
      </c>
      <c r="B150" s="1" t="n">
        <v>44733.43092592592</v>
      </c>
      <c r="C150" s="1" t="n">
        <v>46158</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8194-2022</t>
        </is>
      </c>
      <c r="B151" s="1" t="n">
        <v>44609</v>
      </c>
      <c r="C151" s="1" t="n">
        <v>46158</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46158</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46158</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8453-2022</t>
        </is>
      </c>
      <c r="B154" s="1" t="n">
        <v>44612.86554398148</v>
      </c>
      <c r="C154" s="1" t="n">
        <v>46158</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46158</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46158</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46158</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11733-2022</t>
        </is>
      </c>
      <c r="B158" s="1" t="n">
        <v>44634</v>
      </c>
      <c r="C158" s="1" t="n">
        <v>46158</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46158</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39042-2022</t>
        </is>
      </c>
      <c r="B160" s="1" t="n">
        <v>44817</v>
      </c>
      <c r="C160" s="1" t="n">
        <v>46158</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29441-2024</t>
        </is>
      </c>
      <c r="B161" s="1" t="n">
        <v>45483.82834490741</v>
      </c>
      <c r="C161" s="1" t="n">
        <v>46158</v>
      </c>
      <c r="D161" t="inlineStr">
        <is>
          <t>KALMAR LÄN</t>
        </is>
      </c>
      <c r="E161" t="inlineStr">
        <is>
          <t>VIMMERBY</t>
        </is>
      </c>
      <c r="G161" t="n">
        <v>1.3</v>
      </c>
      <c r="H161" t="n">
        <v>0</v>
      </c>
      <c r="I161" t="n">
        <v>0</v>
      </c>
      <c r="J161" t="n">
        <v>0</v>
      </c>
      <c r="K161" t="n">
        <v>0</v>
      </c>
      <c r="L161" t="n">
        <v>0</v>
      </c>
      <c r="M161" t="n">
        <v>0</v>
      </c>
      <c r="N161" t="n">
        <v>0</v>
      </c>
      <c r="O161" t="n">
        <v>0</v>
      </c>
      <c r="P161" t="n">
        <v>0</v>
      </c>
      <c r="Q161" t="n">
        <v>0</v>
      </c>
      <c r="R161" s="2" t="inlineStr"/>
    </row>
    <row r="162" ht="15" customHeight="1">
      <c r="A162" t="inlineStr">
        <is>
          <t>A 25728-2023</t>
        </is>
      </c>
      <c r="B162" s="1" t="n">
        <v>45090.38012731481</v>
      </c>
      <c r="C162" s="1" t="n">
        <v>46158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33359-2021</t>
        </is>
      </c>
      <c r="B163" s="1" t="n">
        <v>44377.49684027778</v>
      </c>
      <c r="C163" s="1" t="n">
        <v>46158</v>
      </c>
      <c r="D163" t="inlineStr">
        <is>
          <t>KALMAR LÄN</t>
        </is>
      </c>
      <c r="E163" t="inlineStr">
        <is>
          <t>VIMMERBY</t>
        </is>
      </c>
      <c r="F163" t="inlineStr">
        <is>
          <t>Kommuner</t>
        </is>
      </c>
      <c r="G163" t="n">
        <v>8</v>
      </c>
      <c r="H163" t="n">
        <v>0</v>
      </c>
      <c r="I163" t="n">
        <v>0</v>
      </c>
      <c r="J163" t="n">
        <v>0</v>
      </c>
      <c r="K163" t="n">
        <v>0</v>
      </c>
      <c r="L163" t="n">
        <v>0</v>
      </c>
      <c r="M163" t="n">
        <v>0</v>
      </c>
      <c r="N163" t="n">
        <v>0</v>
      </c>
      <c r="O163" t="n">
        <v>0</v>
      </c>
      <c r="P163" t="n">
        <v>0</v>
      </c>
      <c r="Q163" t="n">
        <v>0</v>
      </c>
      <c r="R163" s="2" t="inlineStr"/>
    </row>
    <row r="164" ht="15" customHeight="1">
      <c r="A164" t="inlineStr">
        <is>
          <t>A 43038-2022</t>
        </is>
      </c>
      <c r="B164" s="1" t="n">
        <v>44833.60123842592</v>
      </c>
      <c r="C164" s="1" t="n">
        <v>46158</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52435-2021</t>
        </is>
      </c>
      <c r="B165" s="1" t="n">
        <v>44466.34962962963</v>
      </c>
      <c r="C165" s="1" t="n">
        <v>46158</v>
      </c>
      <c r="D165" t="inlineStr">
        <is>
          <t>KALMAR LÄN</t>
        </is>
      </c>
      <c r="E165" t="inlineStr">
        <is>
          <t>VIMMERBY</t>
        </is>
      </c>
      <c r="G165" t="n">
        <v>2.8</v>
      </c>
      <c r="H165" t="n">
        <v>0</v>
      </c>
      <c r="I165" t="n">
        <v>0</v>
      </c>
      <c r="J165" t="n">
        <v>0</v>
      </c>
      <c r="K165" t="n">
        <v>0</v>
      </c>
      <c r="L165" t="n">
        <v>0</v>
      </c>
      <c r="M165" t="n">
        <v>0</v>
      </c>
      <c r="N165" t="n">
        <v>0</v>
      </c>
      <c r="O165" t="n">
        <v>0</v>
      </c>
      <c r="P165" t="n">
        <v>0</v>
      </c>
      <c r="Q165" t="n">
        <v>0</v>
      </c>
      <c r="R165" s="2" t="inlineStr"/>
    </row>
    <row r="166" ht="15" customHeight="1">
      <c r="A166" t="inlineStr">
        <is>
          <t>A 29093-2023</t>
        </is>
      </c>
      <c r="B166" s="1" t="n">
        <v>45105</v>
      </c>
      <c r="C166" s="1" t="n">
        <v>46158</v>
      </c>
      <c r="D166" t="inlineStr">
        <is>
          <t>KALMAR LÄN</t>
        </is>
      </c>
      <c r="E166" t="inlineStr">
        <is>
          <t>VIMMERBY</t>
        </is>
      </c>
      <c r="G166" t="n">
        <v>2.9</v>
      </c>
      <c r="H166" t="n">
        <v>0</v>
      </c>
      <c r="I166" t="n">
        <v>0</v>
      </c>
      <c r="J166" t="n">
        <v>0</v>
      </c>
      <c r="K166" t="n">
        <v>0</v>
      </c>
      <c r="L166" t="n">
        <v>0</v>
      </c>
      <c r="M166" t="n">
        <v>0</v>
      </c>
      <c r="N166" t="n">
        <v>0</v>
      </c>
      <c r="O166" t="n">
        <v>0</v>
      </c>
      <c r="P166" t="n">
        <v>0</v>
      </c>
      <c r="Q166" t="n">
        <v>0</v>
      </c>
      <c r="R166" s="2" t="inlineStr"/>
    </row>
    <row r="167" ht="15" customHeight="1">
      <c r="A167" t="inlineStr">
        <is>
          <t>A 50087-2023</t>
        </is>
      </c>
      <c r="B167" s="1" t="n">
        <v>45215.59743055556</v>
      </c>
      <c r="C167" s="1" t="n">
        <v>46158</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33681-2022</t>
        </is>
      </c>
      <c r="B168" s="1" t="n">
        <v>44789</v>
      </c>
      <c r="C168" s="1" t="n">
        <v>46158</v>
      </c>
      <c r="D168" t="inlineStr">
        <is>
          <t>KALMAR LÄN</t>
        </is>
      </c>
      <c r="E168" t="inlineStr">
        <is>
          <t>VIMMERBY</t>
        </is>
      </c>
      <c r="G168" t="n">
        <v>3.2</v>
      </c>
      <c r="H168" t="n">
        <v>0</v>
      </c>
      <c r="I168" t="n">
        <v>0</v>
      </c>
      <c r="J168" t="n">
        <v>0</v>
      </c>
      <c r="K168" t="n">
        <v>0</v>
      </c>
      <c r="L168" t="n">
        <v>0</v>
      </c>
      <c r="M168" t="n">
        <v>0</v>
      </c>
      <c r="N168" t="n">
        <v>0</v>
      </c>
      <c r="O168" t="n">
        <v>0</v>
      </c>
      <c r="P168" t="n">
        <v>0</v>
      </c>
      <c r="Q168" t="n">
        <v>0</v>
      </c>
      <c r="R168" s="2" t="inlineStr"/>
    </row>
    <row r="169" ht="15" customHeight="1">
      <c r="A169" t="inlineStr">
        <is>
          <t>A 12033-2024</t>
        </is>
      </c>
      <c r="B169" s="1" t="n">
        <v>45377.40043981482</v>
      </c>
      <c r="C169" s="1" t="n">
        <v>46158</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6214-2025</t>
        </is>
      </c>
      <c r="B170" s="1" t="n">
        <v>45698.51711805556</v>
      </c>
      <c r="C170" s="1" t="n">
        <v>46158</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49408-2023</t>
        </is>
      </c>
      <c r="B171" s="1" t="n">
        <v>45211.43555555555</v>
      </c>
      <c r="C171" s="1" t="n">
        <v>46158</v>
      </c>
      <c r="D171" t="inlineStr">
        <is>
          <t>KALMAR LÄN</t>
        </is>
      </c>
      <c r="E171" t="inlineStr">
        <is>
          <t>VIMMERBY</t>
        </is>
      </c>
      <c r="G171" t="n">
        <v>13.1</v>
      </c>
      <c r="H171" t="n">
        <v>0</v>
      </c>
      <c r="I171" t="n">
        <v>0</v>
      </c>
      <c r="J171" t="n">
        <v>0</v>
      </c>
      <c r="K171" t="n">
        <v>0</v>
      </c>
      <c r="L171" t="n">
        <v>0</v>
      </c>
      <c r="M171" t="n">
        <v>0</v>
      </c>
      <c r="N171" t="n">
        <v>0</v>
      </c>
      <c r="O171" t="n">
        <v>0</v>
      </c>
      <c r="P171" t="n">
        <v>0</v>
      </c>
      <c r="Q171" t="n">
        <v>0</v>
      </c>
      <c r="R171" s="2" t="inlineStr"/>
    </row>
    <row r="172" ht="15" customHeight="1">
      <c r="A172" t="inlineStr">
        <is>
          <t>A 28395-2023</t>
        </is>
      </c>
      <c r="B172" s="1" t="n">
        <v>45100.4062962963</v>
      </c>
      <c r="C172" s="1" t="n">
        <v>46158</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16825-2024</t>
        </is>
      </c>
      <c r="B173" s="1" t="n">
        <v>45411.47335648148</v>
      </c>
      <c r="C173" s="1" t="n">
        <v>46158</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27443-2023</t>
        </is>
      </c>
      <c r="B174" s="1" t="n">
        <v>45097.40524305555</v>
      </c>
      <c r="C174" s="1" t="n">
        <v>46158</v>
      </c>
      <c r="D174" t="inlineStr">
        <is>
          <t>KALMAR LÄN</t>
        </is>
      </c>
      <c r="E174" t="inlineStr">
        <is>
          <t>VIMMERBY</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18501-2024</t>
        </is>
      </c>
      <c r="B175" s="1" t="n">
        <v>45425.57538194444</v>
      </c>
      <c r="C175" s="1" t="n">
        <v>46158</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57256-2023</t>
        </is>
      </c>
      <c r="B176" s="1" t="n">
        <v>45245.5735300926</v>
      </c>
      <c r="C176" s="1" t="n">
        <v>46158</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25799-2023</t>
        </is>
      </c>
      <c r="B177" s="1" t="n">
        <v>45090</v>
      </c>
      <c r="C177" s="1" t="n">
        <v>46158</v>
      </c>
      <c r="D177" t="inlineStr">
        <is>
          <t>KALMAR LÄN</t>
        </is>
      </c>
      <c r="E177" t="inlineStr">
        <is>
          <t>VIMMERBY</t>
        </is>
      </c>
      <c r="G177" t="n">
        <v>7.7</v>
      </c>
      <c r="H177" t="n">
        <v>0</v>
      </c>
      <c r="I177" t="n">
        <v>0</v>
      </c>
      <c r="J177" t="n">
        <v>0</v>
      </c>
      <c r="K177" t="n">
        <v>0</v>
      </c>
      <c r="L177" t="n">
        <v>0</v>
      </c>
      <c r="M177" t="n">
        <v>0</v>
      </c>
      <c r="N177" t="n">
        <v>0</v>
      </c>
      <c r="O177" t="n">
        <v>0</v>
      </c>
      <c r="P177" t="n">
        <v>0</v>
      </c>
      <c r="Q177" t="n">
        <v>0</v>
      </c>
      <c r="R177" s="2" t="inlineStr"/>
    </row>
    <row r="178" ht="15" customHeight="1">
      <c r="A178" t="inlineStr">
        <is>
          <t>A 23088-2024</t>
        </is>
      </c>
      <c r="B178" s="1" t="n">
        <v>45450.51092592593</v>
      </c>
      <c r="C178" s="1" t="n">
        <v>46158</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57189-2022</t>
        </is>
      </c>
      <c r="B179" s="1" t="n">
        <v>44895.62296296296</v>
      </c>
      <c r="C179" s="1" t="n">
        <v>46158</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16015-2025</t>
        </is>
      </c>
      <c r="B180" s="1" t="n">
        <v>45749.60487268519</v>
      </c>
      <c r="C180" s="1" t="n">
        <v>46158</v>
      </c>
      <c r="D180" t="inlineStr">
        <is>
          <t>KALMAR LÄN</t>
        </is>
      </c>
      <c r="E180" t="inlineStr">
        <is>
          <t>VIMMERBY</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1987-2024</t>
        </is>
      </c>
      <c r="B181" s="1" t="n">
        <v>45308.61152777778</v>
      </c>
      <c r="C181" s="1" t="n">
        <v>46158</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527-2024</t>
        </is>
      </c>
      <c r="B182" s="1" t="n">
        <v>45299.47513888889</v>
      </c>
      <c r="C182" s="1" t="n">
        <v>46158</v>
      </c>
      <c r="D182" t="inlineStr">
        <is>
          <t>KALMAR LÄN</t>
        </is>
      </c>
      <c r="E182" t="inlineStr">
        <is>
          <t>VIMMERBY</t>
        </is>
      </c>
      <c r="G182" t="n">
        <v>2.2</v>
      </c>
      <c r="H182" t="n">
        <v>0</v>
      </c>
      <c r="I182" t="n">
        <v>0</v>
      </c>
      <c r="J182" t="n">
        <v>0</v>
      </c>
      <c r="K182" t="n">
        <v>0</v>
      </c>
      <c r="L182" t="n">
        <v>0</v>
      </c>
      <c r="M182" t="n">
        <v>0</v>
      </c>
      <c r="N182" t="n">
        <v>0</v>
      </c>
      <c r="O182" t="n">
        <v>0</v>
      </c>
      <c r="P182" t="n">
        <v>0</v>
      </c>
      <c r="Q182" t="n">
        <v>0</v>
      </c>
      <c r="R182" s="2" t="inlineStr"/>
    </row>
    <row r="183" ht="15" customHeight="1">
      <c r="A183" t="inlineStr">
        <is>
          <t>A 47063-2022</t>
        </is>
      </c>
      <c r="B183" s="1" t="n">
        <v>44852</v>
      </c>
      <c r="C183" s="1" t="n">
        <v>46158</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12819-2024</t>
        </is>
      </c>
      <c r="B184" s="1" t="n">
        <v>45384.66917824074</v>
      </c>
      <c r="C184" s="1" t="n">
        <v>46158</v>
      </c>
      <c r="D184" t="inlineStr">
        <is>
          <t>KALMAR LÄN</t>
        </is>
      </c>
      <c r="E184" t="inlineStr">
        <is>
          <t>VIMMERBY</t>
        </is>
      </c>
      <c r="G184" t="n">
        <v>5.1</v>
      </c>
      <c r="H184" t="n">
        <v>0</v>
      </c>
      <c r="I184" t="n">
        <v>0</v>
      </c>
      <c r="J184" t="n">
        <v>0</v>
      </c>
      <c r="K184" t="n">
        <v>0</v>
      </c>
      <c r="L184" t="n">
        <v>0</v>
      </c>
      <c r="M184" t="n">
        <v>0</v>
      </c>
      <c r="N184" t="n">
        <v>0</v>
      </c>
      <c r="O184" t="n">
        <v>0</v>
      </c>
      <c r="P184" t="n">
        <v>0</v>
      </c>
      <c r="Q184" t="n">
        <v>0</v>
      </c>
      <c r="R184" s="2" t="inlineStr"/>
    </row>
    <row r="185" ht="15" customHeight="1">
      <c r="A185" t="inlineStr">
        <is>
          <t>A 37192-2024</t>
        </is>
      </c>
      <c r="B185" s="1" t="n">
        <v>45539.66027777778</v>
      </c>
      <c r="C185" s="1" t="n">
        <v>46158</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31382-2023</t>
        </is>
      </c>
      <c r="B186" s="1" t="n">
        <v>45114.55136574074</v>
      </c>
      <c r="C186" s="1" t="n">
        <v>46158</v>
      </c>
      <c r="D186" t="inlineStr">
        <is>
          <t>KALMAR LÄN</t>
        </is>
      </c>
      <c r="E186" t="inlineStr">
        <is>
          <t>VIMMERBY</t>
        </is>
      </c>
      <c r="G186" t="n">
        <v>3.7</v>
      </c>
      <c r="H186" t="n">
        <v>0</v>
      </c>
      <c r="I186" t="n">
        <v>0</v>
      </c>
      <c r="J186" t="n">
        <v>0</v>
      </c>
      <c r="K186" t="n">
        <v>0</v>
      </c>
      <c r="L186" t="n">
        <v>0</v>
      </c>
      <c r="M186" t="n">
        <v>0</v>
      </c>
      <c r="N186" t="n">
        <v>0</v>
      </c>
      <c r="O186" t="n">
        <v>0</v>
      </c>
      <c r="P186" t="n">
        <v>0</v>
      </c>
      <c r="Q186" t="n">
        <v>0</v>
      </c>
      <c r="R186" s="2" t="inlineStr"/>
    </row>
    <row r="187" ht="15" customHeight="1">
      <c r="A187" t="inlineStr">
        <is>
          <t>A 11073-2023</t>
        </is>
      </c>
      <c r="B187" s="1" t="n">
        <v>44992</v>
      </c>
      <c r="C187" s="1" t="n">
        <v>46158</v>
      </c>
      <c r="D187" t="inlineStr">
        <is>
          <t>KALMAR LÄN</t>
        </is>
      </c>
      <c r="E187" t="inlineStr">
        <is>
          <t>VIMMERBY</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61820-2023</t>
        </is>
      </c>
      <c r="B188" s="1" t="n">
        <v>45266.32614583334</v>
      </c>
      <c r="C188" s="1" t="n">
        <v>46158</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3269-2024</t>
        </is>
      </c>
      <c r="B189" s="1" t="n">
        <v>45317.40372685185</v>
      </c>
      <c r="C189" s="1" t="n">
        <v>46158</v>
      </c>
      <c r="D189" t="inlineStr">
        <is>
          <t>KALMAR LÄN</t>
        </is>
      </c>
      <c r="E189" t="inlineStr">
        <is>
          <t>VIMMERBY</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2157-2024</t>
        </is>
      </c>
      <c r="B190" s="1" t="n">
        <v>45309.59487268519</v>
      </c>
      <c r="C190" s="1" t="n">
        <v>46158</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36802-2021</t>
        </is>
      </c>
      <c r="B191" s="1" t="n">
        <v>44392</v>
      </c>
      <c r="C191" s="1" t="n">
        <v>46158</v>
      </c>
      <c r="D191" t="inlineStr">
        <is>
          <t>KALMAR LÄN</t>
        </is>
      </c>
      <c r="E191" t="inlineStr">
        <is>
          <t>VIMMERBY</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9416-2024</t>
        </is>
      </c>
      <c r="B192" s="1" t="n">
        <v>45359.44837962963</v>
      </c>
      <c r="C192" s="1" t="n">
        <v>46158</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58318-2021</t>
        </is>
      </c>
      <c r="B193" s="1" t="n">
        <v>44488.35878472222</v>
      </c>
      <c r="C193" s="1" t="n">
        <v>46158</v>
      </c>
      <c r="D193" t="inlineStr">
        <is>
          <t>KALMAR LÄN</t>
        </is>
      </c>
      <c r="E193" t="inlineStr">
        <is>
          <t>VIMMERBY</t>
        </is>
      </c>
      <c r="G193" t="n">
        <v>4</v>
      </c>
      <c r="H193" t="n">
        <v>0</v>
      </c>
      <c r="I193" t="n">
        <v>0</v>
      </c>
      <c r="J193" t="n">
        <v>0</v>
      </c>
      <c r="K193" t="n">
        <v>0</v>
      </c>
      <c r="L193" t="n">
        <v>0</v>
      </c>
      <c r="M193" t="n">
        <v>0</v>
      </c>
      <c r="N193" t="n">
        <v>0</v>
      </c>
      <c r="O193" t="n">
        <v>0</v>
      </c>
      <c r="P193" t="n">
        <v>0</v>
      </c>
      <c r="Q193" t="n">
        <v>0</v>
      </c>
      <c r="R193" s="2" t="inlineStr"/>
    </row>
    <row r="194" ht="15" customHeight="1">
      <c r="A194" t="inlineStr">
        <is>
          <t>A 59955-2023</t>
        </is>
      </c>
      <c r="B194" s="1" t="n">
        <v>45257.70313657408</v>
      </c>
      <c r="C194" s="1" t="n">
        <v>46158</v>
      </c>
      <c r="D194" t="inlineStr">
        <is>
          <t>KALMAR LÄN</t>
        </is>
      </c>
      <c r="E194" t="inlineStr">
        <is>
          <t>VIMMERBY</t>
        </is>
      </c>
      <c r="G194" t="n">
        <v>13.8</v>
      </c>
      <c r="H194" t="n">
        <v>0</v>
      </c>
      <c r="I194" t="n">
        <v>0</v>
      </c>
      <c r="J194" t="n">
        <v>0</v>
      </c>
      <c r="K194" t="n">
        <v>0</v>
      </c>
      <c r="L194" t="n">
        <v>0</v>
      </c>
      <c r="M194" t="n">
        <v>0</v>
      </c>
      <c r="N194" t="n">
        <v>0</v>
      </c>
      <c r="O194" t="n">
        <v>0</v>
      </c>
      <c r="P194" t="n">
        <v>0</v>
      </c>
      <c r="Q194" t="n">
        <v>0</v>
      </c>
      <c r="R194" s="2" t="inlineStr"/>
    </row>
    <row r="195" ht="15" customHeight="1">
      <c r="A195" t="inlineStr">
        <is>
          <t>A 53083-2021</t>
        </is>
      </c>
      <c r="B195" s="1" t="n">
        <v>44467.83386574074</v>
      </c>
      <c r="C195" s="1" t="n">
        <v>46158</v>
      </c>
      <c r="D195" t="inlineStr">
        <is>
          <t>KALMAR LÄN</t>
        </is>
      </c>
      <c r="E195" t="inlineStr">
        <is>
          <t>VIMMERBY</t>
        </is>
      </c>
      <c r="G195" t="n">
        <v>6.8</v>
      </c>
      <c r="H195" t="n">
        <v>0</v>
      </c>
      <c r="I195" t="n">
        <v>0</v>
      </c>
      <c r="J195" t="n">
        <v>0</v>
      </c>
      <c r="K195" t="n">
        <v>0</v>
      </c>
      <c r="L195" t="n">
        <v>0</v>
      </c>
      <c r="M195" t="n">
        <v>0</v>
      </c>
      <c r="N195" t="n">
        <v>0</v>
      </c>
      <c r="O195" t="n">
        <v>0</v>
      </c>
      <c r="P195" t="n">
        <v>0</v>
      </c>
      <c r="Q195" t="n">
        <v>0</v>
      </c>
      <c r="R195" s="2" t="inlineStr"/>
    </row>
    <row r="196" ht="15" customHeight="1">
      <c r="A196" t="inlineStr">
        <is>
          <t>A 29173-2024</t>
        </is>
      </c>
      <c r="B196" s="1" t="n">
        <v>45482.52887731481</v>
      </c>
      <c r="C196" s="1" t="n">
        <v>46158</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11111-2024</t>
        </is>
      </c>
      <c r="B197" s="1" t="n">
        <v>45371.36359953704</v>
      </c>
      <c r="C197" s="1" t="n">
        <v>46158</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11141-2024</t>
        </is>
      </c>
      <c r="B198" s="1" t="n">
        <v>45371.45865740741</v>
      </c>
      <c r="C198" s="1" t="n">
        <v>46158</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9418-2024</t>
        </is>
      </c>
      <c r="B199" s="1" t="n">
        <v>45359.45038194444</v>
      </c>
      <c r="C199" s="1" t="n">
        <v>46158</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63711-2025</t>
        </is>
      </c>
      <c r="B200" s="1" t="n">
        <v>46014.62724537037</v>
      </c>
      <c r="C200" s="1" t="n">
        <v>46158</v>
      </c>
      <c r="D200" t="inlineStr">
        <is>
          <t>KALMAR LÄN</t>
        </is>
      </c>
      <c r="E200" t="inlineStr">
        <is>
          <t>VIMMERBY</t>
        </is>
      </c>
      <c r="G200" t="n">
        <v>2.1</v>
      </c>
      <c r="H200" t="n">
        <v>0</v>
      </c>
      <c r="I200" t="n">
        <v>0</v>
      </c>
      <c r="J200" t="n">
        <v>0</v>
      </c>
      <c r="K200" t="n">
        <v>0</v>
      </c>
      <c r="L200" t="n">
        <v>0</v>
      </c>
      <c r="M200" t="n">
        <v>0</v>
      </c>
      <c r="N200" t="n">
        <v>0</v>
      </c>
      <c r="O200" t="n">
        <v>0</v>
      </c>
      <c r="P200" t="n">
        <v>0</v>
      </c>
      <c r="Q200" t="n">
        <v>0</v>
      </c>
      <c r="R200" s="2" t="inlineStr"/>
    </row>
    <row r="201" ht="15" customHeight="1">
      <c r="A201" t="inlineStr">
        <is>
          <t>A 49313-2022</t>
        </is>
      </c>
      <c r="B201" s="1" t="n">
        <v>44861.52505787037</v>
      </c>
      <c r="C201" s="1" t="n">
        <v>46158</v>
      </c>
      <c r="D201" t="inlineStr">
        <is>
          <t>KALMAR LÄN</t>
        </is>
      </c>
      <c r="E201" t="inlineStr">
        <is>
          <t>VIMMERBY</t>
        </is>
      </c>
      <c r="G201" t="n">
        <v>1.9</v>
      </c>
      <c r="H201" t="n">
        <v>0</v>
      </c>
      <c r="I201" t="n">
        <v>0</v>
      </c>
      <c r="J201" t="n">
        <v>0</v>
      </c>
      <c r="K201" t="n">
        <v>0</v>
      </c>
      <c r="L201" t="n">
        <v>0</v>
      </c>
      <c r="M201" t="n">
        <v>0</v>
      </c>
      <c r="N201" t="n">
        <v>0</v>
      </c>
      <c r="O201" t="n">
        <v>0</v>
      </c>
      <c r="P201" t="n">
        <v>0</v>
      </c>
      <c r="Q201" t="n">
        <v>0</v>
      </c>
      <c r="R201" s="2" t="inlineStr"/>
    </row>
    <row r="202" ht="15" customHeight="1">
      <c r="A202" t="inlineStr">
        <is>
          <t>A 35998-2024</t>
        </is>
      </c>
      <c r="B202" s="1" t="n">
        <v>45533.54429398148</v>
      </c>
      <c r="C202" s="1" t="n">
        <v>46158</v>
      </c>
      <c r="D202" t="inlineStr">
        <is>
          <t>KALMAR LÄN</t>
        </is>
      </c>
      <c r="E202" t="inlineStr">
        <is>
          <t>VIMMERBY</t>
        </is>
      </c>
      <c r="G202" t="n">
        <v>8.6</v>
      </c>
      <c r="H202" t="n">
        <v>0</v>
      </c>
      <c r="I202" t="n">
        <v>0</v>
      </c>
      <c r="J202" t="n">
        <v>0</v>
      </c>
      <c r="K202" t="n">
        <v>0</v>
      </c>
      <c r="L202" t="n">
        <v>0</v>
      </c>
      <c r="M202" t="n">
        <v>0</v>
      </c>
      <c r="N202" t="n">
        <v>0</v>
      </c>
      <c r="O202" t="n">
        <v>0</v>
      </c>
      <c r="P202" t="n">
        <v>0</v>
      </c>
      <c r="Q202" t="n">
        <v>0</v>
      </c>
      <c r="R202" s="2" t="inlineStr"/>
    </row>
    <row r="203" ht="15" customHeight="1">
      <c r="A203" t="inlineStr">
        <is>
          <t>A 36040-2024</t>
        </is>
      </c>
      <c r="B203" s="1" t="n">
        <v>45533.60232638889</v>
      </c>
      <c r="C203" s="1" t="n">
        <v>46158</v>
      </c>
      <c r="D203" t="inlineStr">
        <is>
          <t>KALMAR LÄN</t>
        </is>
      </c>
      <c r="E203" t="inlineStr">
        <is>
          <t>VIMMERBY</t>
        </is>
      </c>
      <c r="F203" t="inlineStr">
        <is>
          <t>Kommuner</t>
        </is>
      </c>
      <c r="G203" t="n">
        <v>3.6</v>
      </c>
      <c r="H203" t="n">
        <v>0</v>
      </c>
      <c r="I203" t="n">
        <v>0</v>
      </c>
      <c r="J203" t="n">
        <v>0</v>
      </c>
      <c r="K203" t="n">
        <v>0</v>
      </c>
      <c r="L203" t="n">
        <v>0</v>
      </c>
      <c r="M203" t="n">
        <v>0</v>
      </c>
      <c r="N203" t="n">
        <v>0</v>
      </c>
      <c r="O203" t="n">
        <v>0</v>
      </c>
      <c r="P203" t="n">
        <v>0</v>
      </c>
      <c r="Q203" t="n">
        <v>0</v>
      </c>
      <c r="R203" s="2" t="inlineStr"/>
    </row>
    <row r="204" ht="15" customHeight="1">
      <c r="A204" t="inlineStr">
        <is>
          <t>A 23394-2025</t>
        </is>
      </c>
      <c r="B204" s="1" t="n">
        <v>45791.89865740741</v>
      </c>
      <c r="C204" s="1" t="n">
        <v>46158</v>
      </c>
      <c r="D204" t="inlineStr">
        <is>
          <t>KALMAR LÄN</t>
        </is>
      </c>
      <c r="E204" t="inlineStr">
        <is>
          <t>VIMMERBY</t>
        </is>
      </c>
      <c r="G204" t="n">
        <v>3.1</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46158</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22197-2024</t>
        </is>
      </c>
      <c r="B206" s="1" t="n">
        <v>45446.36774305555</v>
      </c>
      <c r="C206" s="1" t="n">
        <v>46158</v>
      </c>
      <c r="D206" t="inlineStr">
        <is>
          <t>KALMAR LÄN</t>
        </is>
      </c>
      <c r="E206" t="inlineStr">
        <is>
          <t>VIMMERBY</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35710-2023</t>
        </is>
      </c>
      <c r="B207" s="1" t="n">
        <v>45147.67096064815</v>
      </c>
      <c r="C207" s="1" t="n">
        <v>46158</v>
      </c>
      <c r="D207" t="inlineStr">
        <is>
          <t>KALMAR LÄN</t>
        </is>
      </c>
      <c r="E207" t="inlineStr">
        <is>
          <t>VIMMERBY</t>
        </is>
      </c>
      <c r="G207" t="n">
        <v>3.1</v>
      </c>
      <c r="H207" t="n">
        <v>0</v>
      </c>
      <c r="I207" t="n">
        <v>0</v>
      </c>
      <c r="J207" t="n">
        <v>0</v>
      </c>
      <c r="K207" t="n">
        <v>0</v>
      </c>
      <c r="L207" t="n">
        <v>0</v>
      </c>
      <c r="M207" t="n">
        <v>0</v>
      </c>
      <c r="N207" t="n">
        <v>0</v>
      </c>
      <c r="O207" t="n">
        <v>0</v>
      </c>
      <c r="P207" t="n">
        <v>0</v>
      </c>
      <c r="Q207" t="n">
        <v>0</v>
      </c>
      <c r="R207" s="2" t="inlineStr"/>
    </row>
    <row r="208" ht="15" customHeight="1">
      <c r="A208" t="inlineStr">
        <is>
          <t>A 35711-2023</t>
        </is>
      </c>
      <c r="B208" s="1" t="n">
        <v>45147.67172453704</v>
      </c>
      <c r="C208" s="1" t="n">
        <v>46158</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63845-2025</t>
        </is>
      </c>
      <c r="B209" s="1" t="n">
        <v>46020.43715277778</v>
      </c>
      <c r="C209" s="1" t="n">
        <v>46158</v>
      </c>
      <c r="D209" t="inlineStr">
        <is>
          <t>KALMAR LÄN</t>
        </is>
      </c>
      <c r="E209" t="inlineStr">
        <is>
          <t>VIMMERBY</t>
        </is>
      </c>
      <c r="G209" t="n">
        <v>3.8</v>
      </c>
      <c r="H209" t="n">
        <v>0</v>
      </c>
      <c r="I209" t="n">
        <v>0</v>
      </c>
      <c r="J209" t="n">
        <v>0</v>
      </c>
      <c r="K209" t="n">
        <v>0</v>
      </c>
      <c r="L209" t="n">
        <v>0</v>
      </c>
      <c r="M209" t="n">
        <v>0</v>
      </c>
      <c r="N209" t="n">
        <v>0</v>
      </c>
      <c r="O209" t="n">
        <v>0</v>
      </c>
      <c r="P209" t="n">
        <v>0</v>
      </c>
      <c r="Q209" t="n">
        <v>0</v>
      </c>
      <c r="R209" s="2" t="inlineStr"/>
    </row>
    <row r="210" ht="15" customHeight="1">
      <c r="A210" t="inlineStr">
        <is>
          <t>A 63848-2025</t>
        </is>
      </c>
      <c r="B210" s="1" t="n">
        <v>46020.44902777778</v>
      </c>
      <c r="C210" s="1" t="n">
        <v>46158</v>
      </c>
      <c r="D210" t="inlineStr">
        <is>
          <t>KALMAR LÄN</t>
        </is>
      </c>
      <c r="E210" t="inlineStr">
        <is>
          <t>VIMMERBY</t>
        </is>
      </c>
      <c r="G210" t="n">
        <v>3.4</v>
      </c>
      <c r="H210" t="n">
        <v>0</v>
      </c>
      <c r="I210" t="n">
        <v>0</v>
      </c>
      <c r="J210" t="n">
        <v>0</v>
      </c>
      <c r="K210" t="n">
        <v>0</v>
      </c>
      <c r="L210" t="n">
        <v>0</v>
      </c>
      <c r="M210" t="n">
        <v>0</v>
      </c>
      <c r="N210" t="n">
        <v>0</v>
      </c>
      <c r="O210" t="n">
        <v>0</v>
      </c>
      <c r="P210" t="n">
        <v>0</v>
      </c>
      <c r="Q210" t="n">
        <v>0</v>
      </c>
      <c r="R210" s="2" t="inlineStr"/>
    </row>
    <row r="211" ht="15" customHeight="1">
      <c r="A211" t="inlineStr">
        <is>
          <t>A 38604-2025</t>
        </is>
      </c>
      <c r="B211" s="1" t="n">
        <v>45884.50613425926</v>
      </c>
      <c r="C211" s="1" t="n">
        <v>46158</v>
      </c>
      <c r="D211" t="inlineStr">
        <is>
          <t>KALMAR LÄN</t>
        </is>
      </c>
      <c r="E211" t="inlineStr">
        <is>
          <t>VIMMERBY</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63758-2025</t>
        </is>
      </c>
      <c r="B212" s="1" t="n">
        <v>46018.46483796297</v>
      </c>
      <c r="C212" s="1" t="n">
        <v>46158</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63839-2025</t>
        </is>
      </c>
      <c r="B213" s="1" t="n">
        <v>46020.41998842593</v>
      </c>
      <c r="C213" s="1" t="n">
        <v>46158</v>
      </c>
      <c r="D213" t="inlineStr">
        <is>
          <t>KALMAR LÄN</t>
        </is>
      </c>
      <c r="E213" t="inlineStr">
        <is>
          <t>VIMMERBY</t>
        </is>
      </c>
      <c r="G213" t="n">
        <v>2.9</v>
      </c>
      <c r="H213" t="n">
        <v>0</v>
      </c>
      <c r="I213" t="n">
        <v>0</v>
      </c>
      <c r="J213" t="n">
        <v>0</v>
      </c>
      <c r="K213" t="n">
        <v>0</v>
      </c>
      <c r="L213" t="n">
        <v>0</v>
      </c>
      <c r="M213" t="n">
        <v>0</v>
      </c>
      <c r="N213" t="n">
        <v>0</v>
      </c>
      <c r="O213" t="n">
        <v>0</v>
      </c>
      <c r="P213" t="n">
        <v>0</v>
      </c>
      <c r="Q213" t="n">
        <v>0</v>
      </c>
      <c r="R213" s="2" t="inlineStr"/>
    </row>
    <row r="214" ht="15" customHeight="1">
      <c r="A214" t="inlineStr">
        <is>
          <t>A 63762-2025</t>
        </is>
      </c>
      <c r="B214" s="1" t="n">
        <v>46018.67197916667</v>
      </c>
      <c r="C214" s="1" t="n">
        <v>46158</v>
      </c>
      <c r="D214" t="inlineStr">
        <is>
          <t>KALMAR LÄN</t>
        </is>
      </c>
      <c r="E214" t="inlineStr">
        <is>
          <t>VIMMERBY</t>
        </is>
      </c>
      <c r="G214" t="n">
        <v>2.5</v>
      </c>
      <c r="H214" t="n">
        <v>0</v>
      </c>
      <c r="I214" t="n">
        <v>0</v>
      </c>
      <c r="J214" t="n">
        <v>0</v>
      </c>
      <c r="K214" t="n">
        <v>0</v>
      </c>
      <c r="L214" t="n">
        <v>0</v>
      </c>
      <c r="M214" t="n">
        <v>0</v>
      </c>
      <c r="N214" t="n">
        <v>0</v>
      </c>
      <c r="O214" t="n">
        <v>0</v>
      </c>
      <c r="P214" t="n">
        <v>0</v>
      </c>
      <c r="Q214" t="n">
        <v>0</v>
      </c>
      <c r="R214" s="2" t="inlineStr"/>
    </row>
    <row r="215" ht="15" customHeight="1">
      <c r="A215" t="inlineStr">
        <is>
          <t>A 34588-2024</t>
        </is>
      </c>
      <c r="B215" s="1" t="n">
        <v>45526.3865625</v>
      </c>
      <c r="C215" s="1" t="n">
        <v>46158</v>
      </c>
      <c r="D215" t="inlineStr">
        <is>
          <t>KALMAR LÄN</t>
        </is>
      </c>
      <c r="E215" t="inlineStr">
        <is>
          <t>VIMMERBY</t>
        </is>
      </c>
      <c r="F215" t="inlineStr">
        <is>
          <t>Övriga Aktiebolag</t>
        </is>
      </c>
      <c r="G215" t="n">
        <v>3.3</v>
      </c>
      <c r="H215" t="n">
        <v>0</v>
      </c>
      <c r="I215" t="n">
        <v>0</v>
      </c>
      <c r="J215" t="n">
        <v>0</v>
      </c>
      <c r="K215" t="n">
        <v>0</v>
      </c>
      <c r="L215" t="n">
        <v>0</v>
      </c>
      <c r="M215" t="n">
        <v>0</v>
      </c>
      <c r="N215" t="n">
        <v>0</v>
      </c>
      <c r="O215" t="n">
        <v>0</v>
      </c>
      <c r="P215" t="n">
        <v>0</v>
      </c>
      <c r="Q215" t="n">
        <v>0</v>
      </c>
      <c r="R215" s="2" t="inlineStr"/>
    </row>
    <row r="216" ht="15" customHeight="1">
      <c r="A216" t="inlineStr">
        <is>
          <t>A 56659-2023</t>
        </is>
      </c>
      <c r="B216" s="1" t="n">
        <v>45243.84869212963</v>
      </c>
      <c r="C216" s="1" t="n">
        <v>46158</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23984-2025</t>
        </is>
      </c>
      <c r="B217" s="1" t="n">
        <v>45796</v>
      </c>
      <c r="C217" s="1" t="n">
        <v>46158</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3331-2023</t>
        </is>
      </c>
      <c r="B218" s="1" t="n">
        <v>44949</v>
      </c>
      <c r="C218" s="1" t="n">
        <v>46158</v>
      </c>
      <c r="D218" t="inlineStr">
        <is>
          <t>KALMAR LÄN</t>
        </is>
      </c>
      <c r="E218" t="inlineStr">
        <is>
          <t>VIMMERBY</t>
        </is>
      </c>
      <c r="G218" t="n">
        <v>6.2</v>
      </c>
      <c r="H218" t="n">
        <v>0</v>
      </c>
      <c r="I218" t="n">
        <v>0</v>
      </c>
      <c r="J218" t="n">
        <v>0</v>
      </c>
      <c r="K218" t="n">
        <v>0</v>
      </c>
      <c r="L218" t="n">
        <v>0</v>
      </c>
      <c r="M218" t="n">
        <v>0</v>
      </c>
      <c r="N218" t="n">
        <v>0</v>
      </c>
      <c r="O218" t="n">
        <v>0</v>
      </c>
      <c r="P218" t="n">
        <v>0</v>
      </c>
      <c r="Q218" t="n">
        <v>0</v>
      </c>
      <c r="R218" s="2" t="inlineStr"/>
    </row>
    <row r="219" ht="15" customHeight="1">
      <c r="A219" t="inlineStr">
        <is>
          <t>A 40828-2023</t>
        </is>
      </c>
      <c r="B219" s="1" t="n">
        <v>45171.96248842592</v>
      </c>
      <c r="C219" s="1" t="n">
        <v>46158</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16734-2023</t>
        </is>
      </c>
      <c r="B220" s="1" t="n">
        <v>45030.71012731481</v>
      </c>
      <c r="C220" s="1" t="n">
        <v>46158</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409-2026</t>
        </is>
      </c>
      <c r="B221" s="1" t="n">
        <v>46028.69432870371</v>
      </c>
      <c r="C221" s="1" t="n">
        <v>46158</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64143-2021</t>
        </is>
      </c>
      <c r="B222" s="1" t="n">
        <v>44510.52157407408</v>
      </c>
      <c r="C222" s="1" t="n">
        <v>46158</v>
      </c>
      <c r="D222" t="inlineStr">
        <is>
          <t>KALMAR LÄN</t>
        </is>
      </c>
      <c r="E222" t="inlineStr">
        <is>
          <t>VIMMERBY</t>
        </is>
      </c>
      <c r="G222" t="n">
        <v>1.6</v>
      </c>
      <c r="H222" t="n">
        <v>0</v>
      </c>
      <c r="I222" t="n">
        <v>0</v>
      </c>
      <c r="J222" t="n">
        <v>0</v>
      </c>
      <c r="K222" t="n">
        <v>0</v>
      </c>
      <c r="L222" t="n">
        <v>0</v>
      </c>
      <c r="M222" t="n">
        <v>0</v>
      </c>
      <c r="N222" t="n">
        <v>0</v>
      </c>
      <c r="O222" t="n">
        <v>0</v>
      </c>
      <c r="P222" t="n">
        <v>0</v>
      </c>
      <c r="Q222" t="n">
        <v>0</v>
      </c>
      <c r="R222" s="2" t="inlineStr"/>
    </row>
    <row r="223" ht="15" customHeight="1">
      <c r="A223" t="inlineStr">
        <is>
          <t>A 9720-2023</t>
        </is>
      </c>
      <c r="B223" s="1" t="n">
        <v>44984</v>
      </c>
      <c r="C223" s="1" t="n">
        <v>46158</v>
      </c>
      <c r="D223" t="inlineStr">
        <is>
          <t>KALMAR LÄN</t>
        </is>
      </c>
      <c r="E223" t="inlineStr">
        <is>
          <t>VIMMERBY</t>
        </is>
      </c>
      <c r="G223" t="n">
        <v>4.4</v>
      </c>
      <c r="H223" t="n">
        <v>0</v>
      </c>
      <c r="I223" t="n">
        <v>0</v>
      </c>
      <c r="J223" t="n">
        <v>0</v>
      </c>
      <c r="K223" t="n">
        <v>0</v>
      </c>
      <c r="L223" t="n">
        <v>0</v>
      </c>
      <c r="M223" t="n">
        <v>0</v>
      </c>
      <c r="N223" t="n">
        <v>0</v>
      </c>
      <c r="O223" t="n">
        <v>0</v>
      </c>
      <c r="P223" t="n">
        <v>0</v>
      </c>
      <c r="Q223" t="n">
        <v>0</v>
      </c>
      <c r="R223" s="2" t="inlineStr"/>
    </row>
    <row r="224" ht="15" customHeight="1">
      <c r="A224" t="inlineStr">
        <is>
          <t>A 5938-2022</t>
        </is>
      </c>
      <c r="B224" s="1" t="n">
        <v>44598</v>
      </c>
      <c r="C224" s="1" t="n">
        <v>46158</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1687-2023</t>
        </is>
      </c>
      <c r="B225" s="1" t="n">
        <v>44938</v>
      </c>
      <c r="C225" s="1" t="n">
        <v>46158</v>
      </c>
      <c r="D225" t="inlineStr">
        <is>
          <t>KALMAR LÄN</t>
        </is>
      </c>
      <c r="E225" t="inlineStr">
        <is>
          <t>VIMMERBY</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29440-2024</t>
        </is>
      </c>
      <c r="B226" s="1" t="n">
        <v>45483.82479166667</v>
      </c>
      <c r="C226" s="1" t="n">
        <v>46158</v>
      </c>
      <c r="D226" t="inlineStr">
        <is>
          <t>KALMAR LÄN</t>
        </is>
      </c>
      <c r="E226" t="inlineStr">
        <is>
          <t>VIMMERBY</t>
        </is>
      </c>
      <c r="G226" t="n">
        <v>4.5</v>
      </c>
      <c r="H226" t="n">
        <v>0</v>
      </c>
      <c r="I226" t="n">
        <v>0</v>
      </c>
      <c r="J226" t="n">
        <v>0</v>
      </c>
      <c r="K226" t="n">
        <v>0</v>
      </c>
      <c r="L226" t="n">
        <v>0</v>
      </c>
      <c r="M226" t="n">
        <v>0</v>
      </c>
      <c r="N226" t="n">
        <v>0</v>
      </c>
      <c r="O226" t="n">
        <v>0</v>
      </c>
      <c r="P226" t="n">
        <v>0</v>
      </c>
      <c r="Q226" t="n">
        <v>0</v>
      </c>
      <c r="R226" s="2" t="inlineStr"/>
    </row>
    <row r="227" ht="15" customHeight="1">
      <c r="A227" t="inlineStr">
        <is>
          <t>A 30921-2024</t>
        </is>
      </c>
      <c r="B227" s="1" t="n">
        <v>45498</v>
      </c>
      <c r="C227" s="1" t="n">
        <v>46158</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53482-2022</t>
        </is>
      </c>
      <c r="B228" s="1" t="n">
        <v>44879</v>
      </c>
      <c r="C228" s="1" t="n">
        <v>46158</v>
      </c>
      <c r="D228" t="inlineStr">
        <is>
          <t>KALMAR LÄN</t>
        </is>
      </c>
      <c r="E228" t="inlineStr">
        <is>
          <t>VIMMERBY</t>
        </is>
      </c>
      <c r="G228" t="n">
        <v>10.1</v>
      </c>
      <c r="H228" t="n">
        <v>0</v>
      </c>
      <c r="I228" t="n">
        <v>0</v>
      </c>
      <c r="J228" t="n">
        <v>0</v>
      </c>
      <c r="K228" t="n">
        <v>0</v>
      </c>
      <c r="L228" t="n">
        <v>0</v>
      </c>
      <c r="M228" t="n">
        <v>0</v>
      </c>
      <c r="N228" t="n">
        <v>0</v>
      </c>
      <c r="O228" t="n">
        <v>0</v>
      </c>
      <c r="P228" t="n">
        <v>0</v>
      </c>
      <c r="Q228" t="n">
        <v>0</v>
      </c>
      <c r="R228" s="2" t="inlineStr"/>
    </row>
    <row r="229" ht="15" customHeight="1">
      <c r="A229" t="inlineStr">
        <is>
          <t>A 29726-2025</t>
        </is>
      </c>
      <c r="B229" s="1" t="n">
        <v>45825.57805555555</v>
      </c>
      <c r="C229" s="1" t="n">
        <v>46158</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51278-2024</t>
        </is>
      </c>
      <c r="B230" s="1" t="n">
        <v>45603.74959490741</v>
      </c>
      <c r="C230" s="1" t="n">
        <v>46158</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29180-2024</t>
        </is>
      </c>
      <c r="B231" s="1" t="n">
        <v>45482.54108796296</v>
      </c>
      <c r="C231" s="1" t="n">
        <v>46158</v>
      </c>
      <c r="D231" t="inlineStr">
        <is>
          <t>KALMAR LÄN</t>
        </is>
      </c>
      <c r="E231" t="inlineStr">
        <is>
          <t>VIMMERBY</t>
        </is>
      </c>
      <c r="G231" t="n">
        <v>3.8</v>
      </c>
      <c r="H231" t="n">
        <v>0</v>
      </c>
      <c r="I231" t="n">
        <v>0</v>
      </c>
      <c r="J231" t="n">
        <v>0</v>
      </c>
      <c r="K231" t="n">
        <v>0</v>
      </c>
      <c r="L231" t="n">
        <v>0</v>
      </c>
      <c r="M231" t="n">
        <v>0</v>
      </c>
      <c r="N231" t="n">
        <v>0</v>
      </c>
      <c r="O231" t="n">
        <v>0</v>
      </c>
      <c r="P231" t="n">
        <v>0</v>
      </c>
      <c r="Q231" t="n">
        <v>0</v>
      </c>
      <c r="R231" s="2" t="inlineStr"/>
    </row>
    <row r="232" ht="15" customHeight="1">
      <c r="A232" t="inlineStr">
        <is>
          <t>A 38964-2025</t>
        </is>
      </c>
      <c r="B232" s="1" t="n">
        <v>45887.68759259259</v>
      </c>
      <c r="C232" s="1" t="n">
        <v>46158</v>
      </c>
      <c r="D232" t="inlineStr">
        <is>
          <t>KALMAR LÄN</t>
        </is>
      </c>
      <c r="E232" t="inlineStr">
        <is>
          <t>VIMMERBY</t>
        </is>
      </c>
      <c r="G232" t="n">
        <v>7.5</v>
      </c>
      <c r="H232" t="n">
        <v>0</v>
      </c>
      <c r="I232" t="n">
        <v>0</v>
      </c>
      <c r="J232" t="n">
        <v>0</v>
      </c>
      <c r="K232" t="n">
        <v>0</v>
      </c>
      <c r="L232" t="n">
        <v>0</v>
      </c>
      <c r="M232" t="n">
        <v>0</v>
      </c>
      <c r="N232" t="n">
        <v>0</v>
      </c>
      <c r="O232" t="n">
        <v>0</v>
      </c>
      <c r="P232" t="n">
        <v>0</v>
      </c>
      <c r="Q232" t="n">
        <v>0</v>
      </c>
      <c r="R232" s="2" t="inlineStr"/>
    </row>
    <row r="233" ht="15" customHeight="1">
      <c r="A233" t="inlineStr">
        <is>
          <t>A 35082-2024</t>
        </is>
      </c>
      <c r="B233" s="1" t="n">
        <v>45527.68784722222</v>
      </c>
      <c r="C233" s="1" t="n">
        <v>46158</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44582-2024</t>
        </is>
      </c>
      <c r="B234" s="1" t="n">
        <v>45574.49298611111</v>
      </c>
      <c r="C234" s="1" t="n">
        <v>46158</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9456-2025</t>
        </is>
      </c>
      <c r="B235" s="1" t="n">
        <v>45715.44159722222</v>
      </c>
      <c r="C235" s="1" t="n">
        <v>46158</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29783-2024</t>
        </is>
      </c>
      <c r="B236" s="1" t="n">
        <v>45485.45778935185</v>
      </c>
      <c r="C236" s="1" t="n">
        <v>46158</v>
      </c>
      <c r="D236" t="inlineStr">
        <is>
          <t>KALMAR LÄN</t>
        </is>
      </c>
      <c r="E236" t="inlineStr">
        <is>
          <t>VIMMERBY</t>
        </is>
      </c>
      <c r="G236" t="n">
        <v>3.1</v>
      </c>
      <c r="H236" t="n">
        <v>0</v>
      </c>
      <c r="I236" t="n">
        <v>0</v>
      </c>
      <c r="J236" t="n">
        <v>0</v>
      </c>
      <c r="K236" t="n">
        <v>0</v>
      </c>
      <c r="L236" t="n">
        <v>0</v>
      </c>
      <c r="M236" t="n">
        <v>0</v>
      </c>
      <c r="N236" t="n">
        <v>0</v>
      </c>
      <c r="O236" t="n">
        <v>0</v>
      </c>
      <c r="P236" t="n">
        <v>0</v>
      </c>
      <c r="Q236" t="n">
        <v>0</v>
      </c>
      <c r="R236" s="2" t="inlineStr"/>
    </row>
    <row r="237" ht="15" customHeight="1">
      <c r="A237" t="inlineStr">
        <is>
          <t>A 54838-2024</t>
        </is>
      </c>
      <c r="B237" s="1" t="n">
        <v>45618.56787037037</v>
      </c>
      <c r="C237" s="1" t="n">
        <v>46158</v>
      </c>
      <c r="D237" t="inlineStr">
        <is>
          <t>KALMAR LÄN</t>
        </is>
      </c>
      <c r="E237" t="inlineStr">
        <is>
          <t>VIMMERBY</t>
        </is>
      </c>
      <c r="G237" t="n">
        <v>3.3</v>
      </c>
      <c r="H237" t="n">
        <v>0</v>
      </c>
      <c r="I237" t="n">
        <v>0</v>
      </c>
      <c r="J237" t="n">
        <v>0</v>
      </c>
      <c r="K237" t="n">
        <v>0</v>
      </c>
      <c r="L237" t="n">
        <v>0</v>
      </c>
      <c r="M237" t="n">
        <v>0</v>
      </c>
      <c r="N237" t="n">
        <v>0</v>
      </c>
      <c r="O237" t="n">
        <v>0</v>
      </c>
      <c r="P237" t="n">
        <v>0</v>
      </c>
      <c r="Q237" t="n">
        <v>0</v>
      </c>
      <c r="R237" s="2" t="inlineStr"/>
    </row>
    <row r="238" ht="15" customHeight="1">
      <c r="A238" t="inlineStr">
        <is>
          <t>A 11111-2023</t>
        </is>
      </c>
      <c r="B238" s="1" t="n">
        <v>44992.4255787037</v>
      </c>
      <c r="C238" s="1" t="n">
        <v>46158</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25987-2024</t>
        </is>
      </c>
      <c r="B239" s="1" t="n">
        <v>45467.74417824074</v>
      </c>
      <c r="C239" s="1" t="n">
        <v>46158</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25109-2023</t>
        </is>
      </c>
      <c r="B240" s="1" t="n">
        <v>45086</v>
      </c>
      <c r="C240" s="1" t="n">
        <v>46158</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39801-2025</t>
        </is>
      </c>
      <c r="B241" s="1" t="n">
        <v>45891.50216435185</v>
      </c>
      <c r="C241" s="1" t="n">
        <v>46158</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62023-2022</t>
        </is>
      </c>
      <c r="B242" s="1" t="n">
        <v>44918.50106481482</v>
      </c>
      <c r="C242" s="1" t="n">
        <v>46158</v>
      </c>
      <c r="D242" t="inlineStr">
        <is>
          <t>KALMAR LÄN</t>
        </is>
      </c>
      <c r="E242" t="inlineStr">
        <is>
          <t>VIMMERBY</t>
        </is>
      </c>
      <c r="G242" t="n">
        <v>0.3</v>
      </c>
      <c r="H242" t="n">
        <v>0</v>
      </c>
      <c r="I242" t="n">
        <v>0</v>
      </c>
      <c r="J242" t="n">
        <v>0</v>
      </c>
      <c r="K242" t="n">
        <v>0</v>
      </c>
      <c r="L242" t="n">
        <v>0</v>
      </c>
      <c r="M242" t="n">
        <v>0</v>
      </c>
      <c r="N242" t="n">
        <v>0</v>
      </c>
      <c r="O242" t="n">
        <v>0</v>
      </c>
      <c r="P242" t="n">
        <v>0</v>
      </c>
      <c r="Q242" t="n">
        <v>0</v>
      </c>
      <c r="R242" s="2" t="inlineStr"/>
    </row>
    <row r="243" ht="15" customHeight="1">
      <c r="A243" t="inlineStr">
        <is>
          <t>A 39807-2025</t>
        </is>
      </c>
      <c r="B243" s="1" t="n">
        <v>45891.50986111111</v>
      </c>
      <c r="C243" s="1" t="n">
        <v>46158</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58724-2024</t>
        </is>
      </c>
      <c r="B244" s="1" t="n">
        <v>45635.66409722222</v>
      </c>
      <c r="C244" s="1" t="n">
        <v>46158</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58104-2024</t>
        </is>
      </c>
      <c r="B245" s="1" t="n">
        <v>45632.37459490741</v>
      </c>
      <c r="C245" s="1" t="n">
        <v>46158</v>
      </c>
      <c r="D245" t="inlineStr">
        <is>
          <t>KALMAR LÄN</t>
        </is>
      </c>
      <c r="E245" t="inlineStr">
        <is>
          <t>VIMMERBY</t>
        </is>
      </c>
      <c r="G245" t="n">
        <v>5</v>
      </c>
      <c r="H245" t="n">
        <v>0</v>
      </c>
      <c r="I245" t="n">
        <v>0</v>
      </c>
      <c r="J245" t="n">
        <v>0</v>
      </c>
      <c r="K245" t="n">
        <v>0</v>
      </c>
      <c r="L245" t="n">
        <v>0</v>
      </c>
      <c r="M245" t="n">
        <v>0</v>
      </c>
      <c r="N245" t="n">
        <v>0</v>
      </c>
      <c r="O245" t="n">
        <v>0</v>
      </c>
      <c r="P245" t="n">
        <v>0</v>
      </c>
      <c r="Q245" t="n">
        <v>0</v>
      </c>
      <c r="R245" s="2" t="inlineStr"/>
    </row>
    <row r="246" ht="15" customHeight="1">
      <c r="A246" t="inlineStr">
        <is>
          <t>A 15494-2024</t>
        </is>
      </c>
      <c r="B246" s="1" t="n">
        <v>45401.53033564815</v>
      </c>
      <c r="C246" s="1" t="n">
        <v>46158</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12215-2024</t>
        </is>
      </c>
      <c r="B247" s="1" t="n">
        <v>45378.32185185186</v>
      </c>
      <c r="C247" s="1" t="n">
        <v>46158</v>
      </c>
      <c r="D247" t="inlineStr">
        <is>
          <t>KALMAR LÄN</t>
        </is>
      </c>
      <c r="E247" t="inlineStr">
        <is>
          <t>VIMMERBY</t>
        </is>
      </c>
      <c r="G247" t="n">
        <v>1.6</v>
      </c>
      <c r="H247" t="n">
        <v>0</v>
      </c>
      <c r="I247" t="n">
        <v>0</v>
      </c>
      <c r="J247" t="n">
        <v>0</v>
      </c>
      <c r="K247" t="n">
        <v>0</v>
      </c>
      <c r="L247" t="n">
        <v>0</v>
      </c>
      <c r="M247" t="n">
        <v>0</v>
      </c>
      <c r="N247" t="n">
        <v>0</v>
      </c>
      <c r="O247" t="n">
        <v>0</v>
      </c>
      <c r="P247" t="n">
        <v>0</v>
      </c>
      <c r="Q247" t="n">
        <v>0</v>
      </c>
      <c r="R247" s="2" t="inlineStr"/>
    </row>
    <row r="248" ht="15" customHeight="1">
      <c r="A248" t="inlineStr">
        <is>
          <t>A 30920-2024</t>
        </is>
      </c>
      <c r="B248" s="1" t="n">
        <v>45498.673125</v>
      </c>
      <c r="C248" s="1" t="n">
        <v>46158</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56536-2022</t>
        </is>
      </c>
      <c r="B249" s="1" t="n">
        <v>44893</v>
      </c>
      <c r="C249" s="1" t="n">
        <v>46158</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406-2026</t>
        </is>
      </c>
      <c r="B250" s="1" t="n">
        <v>46028.68663194445</v>
      </c>
      <c r="C250" s="1" t="n">
        <v>46158</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63541-2023</t>
        </is>
      </c>
      <c r="B251" s="1" t="n">
        <v>45275.32266203704</v>
      </c>
      <c r="C251" s="1" t="n">
        <v>46158</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37323-2024</t>
        </is>
      </c>
      <c r="B252" s="1" t="n">
        <v>45540.50098379629</v>
      </c>
      <c r="C252" s="1" t="n">
        <v>46158</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26039-2025</t>
        </is>
      </c>
      <c r="B253" s="1" t="n">
        <v>45804.6953587963</v>
      </c>
      <c r="C253" s="1" t="n">
        <v>46158</v>
      </c>
      <c r="D253" t="inlineStr">
        <is>
          <t>KALMAR LÄN</t>
        </is>
      </c>
      <c r="E253" t="inlineStr">
        <is>
          <t>VIMMERBY</t>
        </is>
      </c>
      <c r="F253" t="inlineStr">
        <is>
          <t>Sveaskog</t>
        </is>
      </c>
      <c r="G253" t="n">
        <v>5.2</v>
      </c>
      <c r="H253" t="n">
        <v>0</v>
      </c>
      <c r="I253" t="n">
        <v>0</v>
      </c>
      <c r="J253" t="n">
        <v>0</v>
      </c>
      <c r="K253" t="n">
        <v>0</v>
      </c>
      <c r="L253" t="n">
        <v>0</v>
      </c>
      <c r="M253" t="n">
        <v>0</v>
      </c>
      <c r="N253" t="n">
        <v>0</v>
      </c>
      <c r="O253" t="n">
        <v>0</v>
      </c>
      <c r="P253" t="n">
        <v>0</v>
      </c>
      <c r="Q253" t="n">
        <v>0</v>
      </c>
      <c r="R253" s="2" t="inlineStr"/>
    </row>
    <row r="254" ht="15" customHeight="1">
      <c r="A254" t="inlineStr">
        <is>
          <t>A 26046-2025</t>
        </is>
      </c>
      <c r="B254" s="1" t="n">
        <v>45804.708125</v>
      </c>
      <c r="C254" s="1" t="n">
        <v>46158</v>
      </c>
      <c r="D254" t="inlineStr">
        <is>
          <t>KALMAR LÄN</t>
        </is>
      </c>
      <c r="E254" t="inlineStr">
        <is>
          <t>VIMMERBY</t>
        </is>
      </c>
      <c r="F254" t="inlineStr">
        <is>
          <t>Sveaskog</t>
        </is>
      </c>
      <c r="G254" t="n">
        <v>5.1</v>
      </c>
      <c r="H254" t="n">
        <v>0</v>
      </c>
      <c r="I254" t="n">
        <v>0</v>
      </c>
      <c r="J254" t="n">
        <v>0</v>
      </c>
      <c r="K254" t="n">
        <v>0</v>
      </c>
      <c r="L254" t="n">
        <v>0</v>
      </c>
      <c r="M254" t="n">
        <v>0</v>
      </c>
      <c r="N254" t="n">
        <v>0</v>
      </c>
      <c r="O254" t="n">
        <v>0</v>
      </c>
      <c r="P254" t="n">
        <v>0</v>
      </c>
      <c r="Q254" t="n">
        <v>0</v>
      </c>
      <c r="R254" s="2" t="inlineStr"/>
    </row>
    <row r="255" ht="15" customHeight="1">
      <c r="A255" t="inlineStr">
        <is>
          <t>A 39736-2025</t>
        </is>
      </c>
      <c r="B255" s="1" t="n">
        <v>45891</v>
      </c>
      <c r="C255" s="1" t="n">
        <v>46158</v>
      </c>
      <c r="D255" t="inlineStr">
        <is>
          <t>KALMAR LÄN</t>
        </is>
      </c>
      <c r="E255" t="inlineStr">
        <is>
          <t>VIMMERBY</t>
        </is>
      </c>
      <c r="G255" t="n">
        <v>12.8</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46158</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39803-2025</t>
        </is>
      </c>
      <c r="B257" s="1" t="n">
        <v>45891.50525462963</v>
      </c>
      <c r="C257" s="1" t="n">
        <v>46158</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46158</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25830-2025</t>
        </is>
      </c>
      <c r="B259" s="1" t="n">
        <v>45804.44519675926</v>
      </c>
      <c r="C259" s="1" t="n">
        <v>46158</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26124-2025</t>
        </is>
      </c>
      <c r="B260" s="1" t="n">
        <v>45805.39247685186</v>
      </c>
      <c r="C260" s="1" t="n">
        <v>46158</v>
      </c>
      <c r="D260" t="inlineStr">
        <is>
          <t>KALMAR LÄN</t>
        </is>
      </c>
      <c r="E260" t="inlineStr">
        <is>
          <t>VIMMERBY</t>
        </is>
      </c>
      <c r="G260" t="n">
        <v>6.6</v>
      </c>
      <c r="H260" t="n">
        <v>0</v>
      </c>
      <c r="I260" t="n">
        <v>0</v>
      </c>
      <c r="J260" t="n">
        <v>0</v>
      </c>
      <c r="K260" t="n">
        <v>0</v>
      </c>
      <c r="L260" t="n">
        <v>0</v>
      </c>
      <c r="M260" t="n">
        <v>0</v>
      </c>
      <c r="N260" t="n">
        <v>0</v>
      </c>
      <c r="O260" t="n">
        <v>0</v>
      </c>
      <c r="P260" t="n">
        <v>0</v>
      </c>
      <c r="Q260" t="n">
        <v>0</v>
      </c>
      <c r="R260" s="2" t="inlineStr"/>
    </row>
    <row r="261" ht="15" customHeight="1">
      <c r="A261" t="inlineStr">
        <is>
          <t>A 26254-2025</t>
        </is>
      </c>
      <c r="B261" s="1" t="n">
        <v>45805</v>
      </c>
      <c r="C261" s="1" t="n">
        <v>46158</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11429-2022</t>
        </is>
      </c>
      <c r="B262" s="1" t="n">
        <v>44630</v>
      </c>
      <c r="C262" s="1" t="n">
        <v>46158</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56582-2022</t>
        </is>
      </c>
      <c r="B263" s="1" t="n">
        <v>44893</v>
      </c>
      <c r="C263" s="1" t="n">
        <v>46158</v>
      </c>
      <c r="D263" t="inlineStr">
        <is>
          <t>KALMAR LÄN</t>
        </is>
      </c>
      <c r="E263" t="inlineStr">
        <is>
          <t>VIMMERBY</t>
        </is>
      </c>
      <c r="G263" t="n">
        <v>2.2</v>
      </c>
      <c r="H263" t="n">
        <v>0</v>
      </c>
      <c r="I263" t="n">
        <v>0</v>
      </c>
      <c r="J263" t="n">
        <v>0</v>
      </c>
      <c r="K263" t="n">
        <v>0</v>
      </c>
      <c r="L263" t="n">
        <v>0</v>
      </c>
      <c r="M263" t="n">
        <v>0</v>
      </c>
      <c r="N263" t="n">
        <v>0</v>
      </c>
      <c r="O263" t="n">
        <v>0</v>
      </c>
      <c r="P263" t="n">
        <v>0</v>
      </c>
      <c r="Q263" t="n">
        <v>0</v>
      </c>
      <c r="R263" s="2" t="inlineStr"/>
    </row>
    <row r="264" ht="15" customHeight="1">
      <c r="A264" t="inlineStr">
        <is>
          <t>A 26207-2025</t>
        </is>
      </c>
      <c r="B264" s="1" t="n">
        <v>45805.52983796296</v>
      </c>
      <c r="C264" s="1" t="n">
        <v>46158</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46158</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40973-2025</t>
        </is>
      </c>
      <c r="B266" s="1" t="n">
        <v>45897.89737268518</v>
      </c>
      <c r="C266" s="1" t="n">
        <v>46158</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579-2026</t>
        </is>
      </c>
      <c r="B267" s="1" t="n">
        <v>46029.47912037037</v>
      </c>
      <c r="C267" s="1" t="n">
        <v>46158</v>
      </c>
      <c r="D267" t="inlineStr">
        <is>
          <t>KALMAR LÄN</t>
        </is>
      </c>
      <c r="E267" t="inlineStr">
        <is>
          <t>VIMMERBY</t>
        </is>
      </c>
      <c r="G267" t="n">
        <v>3</v>
      </c>
      <c r="H267" t="n">
        <v>0</v>
      </c>
      <c r="I267" t="n">
        <v>0</v>
      </c>
      <c r="J267" t="n">
        <v>0</v>
      </c>
      <c r="K267" t="n">
        <v>0</v>
      </c>
      <c r="L267" t="n">
        <v>0</v>
      </c>
      <c r="M267" t="n">
        <v>0</v>
      </c>
      <c r="N267" t="n">
        <v>0</v>
      </c>
      <c r="O267" t="n">
        <v>0</v>
      </c>
      <c r="P267" t="n">
        <v>0</v>
      </c>
      <c r="Q267" t="n">
        <v>0</v>
      </c>
      <c r="R267" s="2" t="inlineStr"/>
    </row>
    <row r="268" ht="15" customHeight="1">
      <c r="A268" t="inlineStr">
        <is>
          <t>A 6408-2025</t>
        </is>
      </c>
      <c r="B268" s="1" t="n">
        <v>45699.45671296296</v>
      </c>
      <c r="C268" s="1" t="n">
        <v>46158</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41224-2025</t>
        </is>
      </c>
      <c r="B269" s="1" t="n">
        <v>45898.58861111111</v>
      </c>
      <c r="C269" s="1" t="n">
        <v>46158</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11609-2023</t>
        </is>
      </c>
      <c r="B270" s="1" t="n">
        <v>44994.40635416667</v>
      </c>
      <c r="C270" s="1" t="n">
        <v>46158</v>
      </c>
      <c r="D270" t="inlineStr">
        <is>
          <t>KALMAR LÄN</t>
        </is>
      </c>
      <c r="E270" t="inlineStr">
        <is>
          <t>VIMMERBY</t>
        </is>
      </c>
      <c r="G270" t="n">
        <v>4.9</v>
      </c>
      <c r="H270" t="n">
        <v>0</v>
      </c>
      <c r="I270" t="n">
        <v>0</v>
      </c>
      <c r="J270" t="n">
        <v>0</v>
      </c>
      <c r="K270" t="n">
        <v>0</v>
      </c>
      <c r="L270" t="n">
        <v>0</v>
      </c>
      <c r="M270" t="n">
        <v>0</v>
      </c>
      <c r="N270" t="n">
        <v>0</v>
      </c>
      <c r="O270" t="n">
        <v>0</v>
      </c>
      <c r="P270" t="n">
        <v>0</v>
      </c>
      <c r="Q270" t="n">
        <v>0</v>
      </c>
      <c r="R270" s="2" t="inlineStr"/>
    </row>
    <row r="271" ht="15" customHeight="1">
      <c r="A271" t="inlineStr">
        <is>
          <t>A 44464-2024</t>
        </is>
      </c>
      <c r="B271" s="1" t="n">
        <v>45574.35809027778</v>
      </c>
      <c r="C271" s="1" t="n">
        <v>46158</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46158</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40925-2025</t>
        </is>
      </c>
      <c r="B273" s="1" t="n">
        <v>45897.64208333333</v>
      </c>
      <c r="C273" s="1" t="n">
        <v>46158</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40921-2025</t>
        </is>
      </c>
      <c r="B274" s="1" t="n">
        <v>45897.63520833333</v>
      </c>
      <c r="C274" s="1" t="n">
        <v>46158</v>
      </c>
      <c r="D274" t="inlineStr">
        <is>
          <t>KALMAR LÄN</t>
        </is>
      </c>
      <c r="E274" t="inlineStr">
        <is>
          <t>VIMMERBY</t>
        </is>
      </c>
      <c r="G274" t="n">
        <v>4.2</v>
      </c>
      <c r="H274" t="n">
        <v>0</v>
      </c>
      <c r="I274" t="n">
        <v>0</v>
      </c>
      <c r="J274" t="n">
        <v>0</v>
      </c>
      <c r="K274" t="n">
        <v>0</v>
      </c>
      <c r="L274" t="n">
        <v>0</v>
      </c>
      <c r="M274" t="n">
        <v>0</v>
      </c>
      <c r="N274" t="n">
        <v>0</v>
      </c>
      <c r="O274" t="n">
        <v>0</v>
      </c>
      <c r="P274" t="n">
        <v>0</v>
      </c>
      <c r="Q274" t="n">
        <v>0</v>
      </c>
      <c r="R274" s="2" t="inlineStr"/>
    </row>
    <row r="275" ht="15" customHeight="1">
      <c r="A275" t="inlineStr">
        <is>
          <t>A 40971-2025</t>
        </is>
      </c>
      <c r="B275" s="1" t="n">
        <v>45897.88836805556</v>
      </c>
      <c r="C275" s="1" t="n">
        <v>46158</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3816-2022</t>
        </is>
      </c>
      <c r="B276" s="1" t="n">
        <v>44587</v>
      </c>
      <c r="C276" s="1" t="n">
        <v>46158</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1081-2023</t>
        </is>
      </c>
      <c r="B277" s="1" t="n">
        <v>44935</v>
      </c>
      <c r="C277" s="1" t="n">
        <v>46158</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46158</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7047-2022</t>
        </is>
      </c>
      <c r="B279" s="1" t="n">
        <v>44603</v>
      </c>
      <c r="C279" s="1" t="n">
        <v>46158</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12499-2023</t>
        </is>
      </c>
      <c r="B280" s="1" t="n">
        <v>44999.86172453704</v>
      </c>
      <c r="C280" s="1" t="n">
        <v>46158</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12500-2023</t>
        </is>
      </c>
      <c r="B281" s="1" t="n">
        <v>44999.8625</v>
      </c>
      <c r="C281" s="1" t="n">
        <v>46158</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41589-2025</t>
        </is>
      </c>
      <c r="B282" s="1" t="n">
        <v>45901.63219907408</v>
      </c>
      <c r="C282" s="1" t="n">
        <v>46158</v>
      </c>
      <c r="D282" t="inlineStr">
        <is>
          <t>KALMAR LÄN</t>
        </is>
      </c>
      <c r="E282" t="inlineStr">
        <is>
          <t>VIMMERBY</t>
        </is>
      </c>
      <c r="G282" t="n">
        <v>1.7</v>
      </c>
      <c r="H282" t="n">
        <v>0</v>
      </c>
      <c r="I282" t="n">
        <v>0</v>
      </c>
      <c r="J282" t="n">
        <v>0</v>
      </c>
      <c r="K282" t="n">
        <v>0</v>
      </c>
      <c r="L282" t="n">
        <v>0</v>
      </c>
      <c r="M282" t="n">
        <v>0</v>
      </c>
      <c r="N282" t="n">
        <v>0</v>
      </c>
      <c r="O282" t="n">
        <v>0</v>
      </c>
      <c r="P282" t="n">
        <v>0</v>
      </c>
      <c r="Q282" t="n">
        <v>0</v>
      </c>
      <c r="R282" s="2" t="inlineStr"/>
    </row>
    <row r="283" ht="15" customHeight="1">
      <c r="A283" t="inlineStr">
        <is>
          <t>A 6066-2023</t>
        </is>
      </c>
      <c r="B283" s="1" t="n">
        <v>44964.50894675926</v>
      </c>
      <c r="C283" s="1" t="n">
        <v>46158</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33103-2024</t>
        </is>
      </c>
      <c r="B284" s="1" t="n">
        <v>45517.8162037037</v>
      </c>
      <c r="C284" s="1" t="n">
        <v>46158</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33161-2024</t>
        </is>
      </c>
      <c r="B285" s="1" t="n">
        <v>45518.40657407408</v>
      </c>
      <c r="C285" s="1" t="n">
        <v>46158</v>
      </c>
      <c r="D285" t="inlineStr">
        <is>
          <t>KALMAR LÄN</t>
        </is>
      </c>
      <c r="E285" t="inlineStr">
        <is>
          <t>VIMMERBY</t>
        </is>
      </c>
      <c r="G285" t="n">
        <v>4.7</v>
      </c>
      <c r="H285" t="n">
        <v>0</v>
      </c>
      <c r="I285" t="n">
        <v>0</v>
      </c>
      <c r="J285" t="n">
        <v>0</v>
      </c>
      <c r="K285" t="n">
        <v>0</v>
      </c>
      <c r="L285" t="n">
        <v>0</v>
      </c>
      <c r="M285" t="n">
        <v>0</v>
      </c>
      <c r="N285" t="n">
        <v>0</v>
      </c>
      <c r="O285" t="n">
        <v>0</v>
      </c>
      <c r="P285" t="n">
        <v>0</v>
      </c>
      <c r="Q285" t="n">
        <v>0</v>
      </c>
      <c r="R285" s="2" t="inlineStr"/>
    </row>
    <row r="286" ht="15" customHeight="1">
      <c r="A286" t="inlineStr">
        <is>
          <t>A 12510-2022</t>
        </is>
      </c>
      <c r="B286" s="1" t="n">
        <v>44638.55256944444</v>
      </c>
      <c r="C286" s="1" t="n">
        <v>46158</v>
      </c>
      <c r="D286" t="inlineStr">
        <is>
          <t>KALMAR LÄN</t>
        </is>
      </c>
      <c r="E286" t="inlineStr">
        <is>
          <t>VIMMERBY</t>
        </is>
      </c>
      <c r="G286" t="n">
        <v>2.4</v>
      </c>
      <c r="H286" t="n">
        <v>0</v>
      </c>
      <c r="I286" t="n">
        <v>0</v>
      </c>
      <c r="J286" t="n">
        <v>0</v>
      </c>
      <c r="K286" t="n">
        <v>0</v>
      </c>
      <c r="L286" t="n">
        <v>0</v>
      </c>
      <c r="M286" t="n">
        <v>0</v>
      </c>
      <c r="N286" t="n">
        <v>0</v>
      </c>
      <c r="O286" t="n">
        <v>0</v>
      </c>
      <c r="P286" t="n">
        <v>0</v>
      </c>
      <c r="Q286" t="n">
        <v>0</v>
      </c>
      <c r="R286" s="2" t="inlineStr"/>
    </row>
    <row r="287" ht="15" customHeight="1">
      <c r="A287" t="inlineStr">
        <is>
          <t>A 842-2026</t>
        </is>
      </c>
      <c r="B287" s="1" t="n">
        <v>46030.380625</v>
      </c>
      <c r="C287" s="1" t="n">
        <v>46158</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34090-2025</t>
        </is>
      </c>
      <c r="B288" s="1" t="n">
        <v>45845</v>
      </c>
      <c r="C288" s="1" t="n">
        <v>46158</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46158</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1146-2025</t>
        </is>
      </c>
      <c r="B290" s="1" t="n">
        <v>45666</v>
      </c>
      <c r="C290" s="1" t="n">
        <v>46158</v>
      </c>
      <c r="D290" t="inlineStr">
        <is>
          <t>KALMAR LÄN</t>
        </is>
      </c>
      <c r="E290" t="inlineStr">
        <is>
          <t>VIMMERBY</t>
        </is>
      </c>
      <c r="G290" t="n">
        <v>4</v>
      </c>
      <c r="H290" t="n">
        <v>0</v>
      </c>
      <c r="I290" t="n">
        <v>0</v>
      </c>
      <c r="J290" t="n">
        <v>0</v>
      </c>
      <c r="K290" t="n">
        <v>0</v>
      </c>
      <c r="L290" t="n">
        <v>0</v>
      </c>
      <c r="M290" t="n">
        <v>0</v>
      </c>
      <c r="N290" t="n">
        <v>0</v>
      </c>
      <c r="O290" t="n">
        <v>0</v>
      </c>
      <c r="P290" t="n">
        <v>0</v>
      </c>
      <c r="Q290" t="n">
        <v>0</v>
      </c>
      <c r="R290" s="2" t="inlineStr"/>
    </row>
    <row r="291" ht="15" customHeight="1">
      <c r="A291" t="inlineStr">
        <is>
          <t>A 28290-2025</t>
        </is>
      </c>
      <c r="B291" s="1" t="n">
        <v>45818.59261574074</v>
      </c>
      <c r="C291" s="1" t="n">
        <v>46158</v>
      </c>
      <c r="D291" t="inlineStr">
        <is>
          <t>KALMAR LÄN</t>
        </is>
      </c>
      <c r="E291" t="inlineStr">
        <is>
          <t>VIMMERBY</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1069-2026</t>
        </is>
      </c>
      <c r="B292" s="1" t="n">
        <v>46030</v>
      </c>
      <c r="C292" s="1" t="n">
        <v>46158</v>
      </c>
      <c r="D292" t="inlineStr">
        <is>
          <t>KALMAR LÄN</t>
        </is>
      </c>
      <c r="E292" t="inlineStr">
        <is>
          <t>VIMMERBY</t>
        </is>
      </c>
      <c r="G292" t="n">
        <v>3.3</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46158</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28286-2025</t>
        </is>
      </c>
      <c r="B294" s="1" t="n">
        <v>45818.58993055556</v>
      </c>
      <c r="C294" s="1" t="n">
        <v>46158</v>
      </c>
      <c r="D294" t="inlineStr">
        <is>
          <t>KALMAR LÄN</t>
        </is>
      </c>
      <c r="E294" t="inlineStr">
        <is>
          <t>VIMMERBY</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12890-2023</t>
        </is>
      </c>
      <c r="B295" s="1" t="n">
        <v>45001.59209490741</v>
      </c>
      <c r="C295" s="1" t="n">
        <v>46158</v>
      </c>
      <c r="D295" t="inlineStr">
        <is>
          <t>KALMAR LÄN</t>
        </is>
      </c>
      <c r="E295" t="inlineStr">
        <is>
          <t>VIMMERBY</t>
        </is>
      </c>
      <c r="G295" t="n">
        <v>2.8</v>
      </c>
      <c r="H295" t="n">
        <v>0</v>
      </c>
      <c r="I295" t="n">
        <v>0</v>
      </c>
      <c r="J295" t="n">
        <v>0</v>
      </c>
      <c r="K295" t="n">
        <v>0</v>
      </c>
      <c r="L295" t="n">
        <v>0</v>
      </c>
      <c r="M295" t="n">
        <v>0</v>
      </c>
      <c r="N295" t="n">
        <v>0</v>
      </c>
      <c r="O295" t="n">
        <v>0</v>
      </c>
      <c r="P295" t="n">
        <v>0</v>
      </c>
      <c r="Q295" t="n">
        <v>0</v>
      </c>
      <c r="R295" s="2" t="inlineStr"/>
    </row>
    <row r="296" ht="15" customHeight="1">
      <c r="A296" t="inlineStr">
        <is>
          <t>A 3902-2022</t>
        </is>
      </c>
      <c r="B296" s="1" t="n">
        <v>44587.48847222222</v>
      </c>
      <c r="C296" s="1" t="n">
        <v>46158</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89-2023</t>
        </is>
      </c>
      <c r="B297" s="1" t="n">
        <v>44918</v>
      </c>
      <c r="C297" s="1" t="n">
        <v>46158</v>
      </c>
      <c r="D297" t="inlineStr">
        <is>
          <t>KALMAR LÄN</t>
        </is>
      </c>
      <c r="E297" t="inlineStr">
        <is>
          <t>VIMMERBY</t>
        </is>
      </c>
      <c r="G297" t="n">
        <v>16.1</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46158</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46158</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5382-2023</t>
        </is>
      </c>
      <c r="B300" s="1" t="n">
        <v>44959.66407407408</v>
      </c>
      <c r="C300" s="1" t="n">
        <v>46158</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6668-2023</t>
        </is>
      </c>
      <c r="B301" s="1" t="n">
        <v>44966</v>
      </c>
      <c r="C301" s="1" t="n">
        <v>46158</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172-2022</t>
        </is>
      </c>
      <c r="B302" s="1" t="n">
        <v>44564.62598379629</v>
      </c>
      <c r="C302" s="1" t="n">
        <v>46158</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30634-2024</t>
        </is>
      </c>
      <c r="B303" s="1" t="n">
        <v>45495</v>
      </c>
      <c r="C303" s="1" t="n">
        <v>46158</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6355-2022</t>
        </is>
      </c>
      <c r="B304" s="1" t="n">
        <v>44600</v>
      </c>
      <c r="C304" s="1" t="n">
        <v>46158</v>
      </c>
      <c r="D304" t="inlineStr">
        <is>
          <t>KALMAR LÄN</t>
        </is>
      </c>
      <c r="E304" t="inlineStr">
        <is>
          <t>VIMMERBY</t>
        </is>
      </c>
      <c r="G304" t="n">
        <v>4.9</v>
      </c>
      <c r="H304" t="n">
        <v>0</v>
      </c>
      <c r="I304" t="n">
        <v>0</v>
      </c>
      <c r="J304" t="n">
        <v>0</v>
      </c>
      <c r="K304" t="n">
        <v>0</v>
      </c>
      <c r="L304" t="n">
        <v>0</v>
      </c>
      <c r="M304" t="n">
        <v>0</v>
      </c>
      <c r="N304" t="n">
        <v>0</v>
      </c>
      <c r="O304" t="n">
        <v>0</v>
      </c>
      <c r="P304" t="n">
        <v>0</v>
      </c>
      <c r="Q304" t="n">
        <v>0</v>
      </c>
      <c r="R304" s="2" t="inlineStr"/>
    </row>
    <row r="305" ht="15" customHeight="1">
      <c r="A305" t="inlineStr">
        <is>
          <t>A 42828-2025</t>
        </is>
      </c>
      <c r="B305" s="1" t="n">
        <v>45908.57716435185</v>
      </c>
      <c r="C305" s="1" t="n">
        <v>46158</v>
      </c>
      <c r="D305" t="inlineStr">
        <is>
          <t>KALMAR LÄN</t>
        </is>
      </c>
      <c r="E305" t="inlineStr">
        <is>
          <t>VIMMERBY</t>
        </is>
      </c>
      <c r="G305" t="n">
        <v>5.2</v>
      </c>
      <c r="H305" t="n">
        <v>0</v>
      </c>
      <c r="I305" t="n">
        <v>0</v>
      </c>
      <c r="J305" t="n">
        <v>0</v>
      </c>
      <c r="K305" t="n">
        <v>0</v>
      </c>
      <c r="L305" t="n">
        <v>0</v>
      </c>
      <c r="M305" t="n">
        <v>0</v>
      </c>
      <c r="N305" t="n">
        <v>0</v>
      </c>
      <c r="O305" t="n">
        <v>0</v>
      </c>
      <c r="P305" t="n">
        <v>0</v>
      </c>
      <c r="Q305" t="n">
        <v>0</v>
      </c>
      <c r="R305" s="2" t="inlineStr"/>
    </row>
    <row r="306" ht="15" customHeight="1">
      <c r="A306" t="inlineStr">
        <is>
          <t>A 1734-2026</t>
        </is>
      </c>
      <c r="B306" s="1" t="n">
        <v>46034</v>
      </c>
      <c r="C306" s="1" t="n">
        <v>46158</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1743-2026</t>
        </is>
      </c>
      <c r="B307" s="1" t="n">
        <v>46034</v>
      </c>
      <c r="C307" s="1" t="n">
        <v>46158</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42794-2025</t>
        </is>
      </c>
      <c r="B308" s="1" t="n">
        <v>45908</v>
      </c>
      <c r="C308" s="1" t="n">
        <v>46158</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28713-2025</t>
        </is>
      </c>
      <c r="B309" s="1" t="n">
        <v>45820.33930555556</v>
      </c>
      <c r="C309" s="1" t="n">
        <v>46158</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16020-2023</t>
        </is>
      </c>
      <c r="B310" s="1" t="n">
        <v>45026.82216435186</v>
      </c>
      <c r="C310" s="1" t="n">
        <v>46158</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28712-2025</t>
        </is>
      </c>
      <c r="B311" s="1" t="n">
        <v>45820.33708333333</v>
      </c>
      <c r="C311" s="1" t="n">
        <v>46158</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28714-2025</t>
        </is>
      </c>
      <c r="B312" s="1" t="n">
        <v>45820.34128472222</v>
      </c>
      <c r="C312" s="1" t="n">
        <v>46158</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60292-2022</t>
        </is>
      </c>
      <c r="B313" s="1" t="n">
        <v>44910.54231481482</v>
      </c>
      <c r="C313" s="1" t="n">
        <v>46158</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28620-2025</t>
        </is>
      </c>
      <c r="B314" s="1" t="n">
        <v>45819.61060185185</v>
      </c>
      <c r="C314" s="1" t="n">
        <v>46158</v>
      </c>
      <c r="D314" t="inlineStr">
        <is>
          <t>KALMAR LÄN</t>
        </is>
      </c>
      <c r="E314" t="inlineStr">
        <is>
          <t>VIMMERBY</t>
        </is>
      </c>
      <c r="G314" t="n">
        <v>5.6</v>
      </c>
      <c r="H314" t="n">
        <v>0</v>
      </c>
      <c r="I314" t="n">
        <v>0</v>
      </c>
      <c r="J314" t="n">
        <v>0</v>
      </c>
      <c r="K314" t="n">
        <v>0</v>
      </c>
      <c r="L314" t="n">
        <v>0</v>
      </c>
      <c r="M314" t="n">
        <v>0</v>
      </c>
      <c r="N314" t="n">
        <v>0</v>
      </c>
      <c r="O314" t="n">
        <v>0</v>
      </c>
      <c r="P314" t="n">
        <v>0</v>
      </c>
      <c r="Q314" t="n">
        <v>0</v>
      </c>
      <c r="R314" s="2" t="inlineStr"/>
    </row>
    <row r="315" ht="15" customHeight="1">
      <c r="A315" t="inlineStr">
        <is>
          <t>A 42820-2025</t>
        </is>
      </c>
      <c r="B315" s="1" t="n">
        <v>45908</v>
      </c>
      <c r="C315" s="1" t="n">
        <v>46158</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43034-2024</t>
        </is>
      </c>
      <c r="B316" s="1" t="n">
        <v>45567.42011574074</v>
      </c>
      <c r="C316" s="1" t="n">
        <v>46158</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40256-2024</t>
        </is>
      </c>
      <c r="B317" s="1" t="n">
        <v>45554.62944444444</v>
      </c>
      <c r="C317" s="1" t="n">
        <v>46158</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1748-2026</t>
        </is>
      </c>
      <c r="B318" s="1" t="n">
        <v>46034.65589120371</v>
      </c>
      <c r="C318" s="1" t="n">
        <v>46158</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1862-2026</t>
        </is>
      </c>
      <c r="B319" s="1" t="n">
        <v>46035.44689814815</v>
      </c>
      <c r="C319" s="1" t="n">
        <v>46158</v>
      </c>
      <c r="D319" t="inlineStr">
        <is>
          <t>KALMAR LÄN</t>
        </is>
      </c>
      <c r="E319" t="inlineStr">
        <is>
          <t>VIMMERBY</t>
        </is>
      </c>
      <c r="G319" t="n">
        <v>3.1</v>
      </c>
      <c r="H319" t="n">
        <v>0</v>
      </c>
      <c r="I319" t="n">
        <v>0</v>
      </c>
      <c r="J319" t="n">
        <v>0</v>
      </c>
      <c r="K319" t="n">
        <v>0</v>
      </c>
      <c r="L319" t="n">
        <v>0</v>
      </c>
      <c r="M319" t="n">
        <v>0</v>
      </c>
      <c r="N319" t="n">
        <v>0</v>
      </c>
      <c r="O319" t="n">
        <v>0</v>
      </c>
      <c r="P319" t="n">
        <v>0</v>
      </c>
      <c r="Q319" t="n">
        <v>0</v>
      </c>
      <c r="R319" s="2" t="inlineStr"/>
    </row>
    <row r="320" ht="15" customHeight="1">
      <c r="A320" t="inlineStr">
        <is>
          <t>A 34060-2025</t>
        </is>
      </c>
      <c r="B320" s="1" t="n">
        <v>45845.42015046296</v>
      </c>
      <c r="C320" s="1" t="n">
        <v>46158</v>
      </c>
      <c r="D320" t="inlineStr">
        <is>
          <t>KALMAR LÄN</t>
        </is>
      </c>
      <c r="E320" t="inlineStr">
        <is>
          <t>VIMMERBY</t>
        </is>
      </c>
      <c r="G320" t="n">
        <v>5.7</v>
      </c>
      <c r="H320" t="n">
        <v>0</v>
      </c>
      <c r="I320" t="n">
        <v>0</v>
      </c>
      <c r="J320" t="n">
        <v>0</v>
      </c>
      <c r="K320" t="n">
        <v>0</v>
      </c>
      <c r="L320" t="n">
        <v>0</v>
      </c>
      <c r="M320" t="n">
        <v>0</v>
      </c>
      <c r="N320" t="n">
        <v>0</v>
      </c>
      <c r="O320" t="n">
        <v>0</v>
      </c>
      <c r="P320" t="n">
        <v>0</v>
      </c>
      <c r="Q320" t="n">
        <v>0</v>
      </c>
      <c r="R320" s="2" t="inlineStr"/>
    </row>
    <row r="321" ht="15" customHeight="1">
      <c r="A321" t="inlineStr">
        <is>
          <t>A 43617-2025</t>
        </is>
      </c>
      <c r="B321" s="1" t="n">
        <v>45911.67798611111</v>
      </c>
      <c r="C321" s="1" t="n">
        <v>46158</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29727-2025</t>
        </is>
      </c>
      <c r="B322" s="1" t="n">
        <v>45825.5796875</v>
      </c>
      <c r="C322" s="1" t="n">
        <v>46158</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43465-2025</t>
        </is>
      </c>
      <c r="B323" s="1" t="n">
        <v>45911.47138888889</v>
      </c>
      <c r="C323" s="1" t="n">
        <v>46158</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29737-2025</t>
        </is>
      </c>
      <c r="B324" s="1" t="n">
        <v>45825.58672453704</v>
      </c>
      <c r="C324" s="1" t="n">
        <v>46158</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2523-2026</t>
        </is>
      </c>
      <c r="B325" s="1" t="n">
        <v>46037.42825231481</v>
      </c>
      <c r="C325" s="1" t="n">
        <v>46158</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2514-2026</t>
        </is>
      </c>
      <c r="B326" s="1" t="n">
        <v>46037.42219907408</v>
      </c>
      <c r="C326" s="1" t="n">
        <v>46158</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2518-2026</t>
        </is>
      </c>
      <c r="B327" s="1" t="n">
        <v>46037.42511574074</v>
      </c>
      <c r="C327" s="1" t="n">
        <v>46158</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43093-2024</t>
        </is>
      </c>
      <c r="B328" s="1" t="n">
        <v>45567</v>
      </c>
      <c r="C328" s="1" t="n">
        <v>46158</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44329-2025</t>
        </is>
      </c>
      <c r="B329" s="1" t="n">
        <v>45916.41019675926</v>
      </c>
      <c r="C329" s="1" t="n">
        <v>46158</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3266-2026</t>
        </is>
      </c>
      <c r="B330" s="1" t="n">
        <v>46041</v>
      </c>
      <c r="C330" s="1" t="n">
        <v>46158</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35198-2023</t>
        </is>
      </c>
      <c r="B331" s="1" t="n">
        <v>45145</v>
      </c>
      <c r="C331" s="1" t="n">
        <v>46158</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44517-2025</t>
        </is>
      </c>
      <c r="B332" s="1" t="n">
        <v>45916.7103587963</v>
      </c>
      <c r="C332" s="1" t="n">
        <v>46158</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3292-2026</t>
        </is>
      </c>
      <c r="B333" s="1" t="n">
        <v>46041</v>
      </c>
      <c r="C333" s="1" t="n">
        <v>46158</v>
      </c>
      <c r="D333" t="inlineStr">
        <is>
          <t>KALMAR LÄN</t>
        </is>
      </c>
      <c r="E333" t="inlineStr">
        <is>
          <t>VIMMERBY</t>
        </is>
      </c>
      <c r="G333" t="n">
        <v>3.9</v>
      </c>
      <c r="H333" t="n">
        <v>0</v>
      </c>
      <c r="I333" t="n">
        <v>0</v>
      </c>
      <c r="J333" t="n">
        <v>0</v>
      </c>
      <c r="K333" t="n">
        <v>0</v>
      </c>
      <c r="L333" t="n">
        <v>0</v>
      </c>
      <c r="M333" t="n">
        <v>0</v>
      </c>
      <c r="N333" t="n">
        <v>0</v>
      </c>
      <c r="O333" t="n">
        <v>0</v>
      </c>
      <c r="P333" t="n">
        <v>0</v>
      </c>
      <c r="Q333" t="n">
        <v>0</v>
      </c>
      <c r="R333" s="2" t="inlineStr"/>
    </row>
    <row r="334" ht="15" customHeight="1">
      <c r="A334" t="inlineStr">
        <is>
          <t>A 30293-2025</t>
        </is>
      </c>
      <c r="B334" s="1" t="n">
        <v>45827</v>
      </c>
      <c r="C334" s="1" t="n">
        <v>46158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44091-2025</t>
        </is>
      </c>
      <c r="B335" s="1" t="n">
        <v>45915.55950231481</v>
      </c>
      <c r="C335" s="1" t="n">
        <v>46158</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58374-2024</t>
        </is>
      </c>
      <c r="B336" s="1" t="n">
        <v>45632.72635416667</v>
      </c>
      <c r="C336" s="1" t="n">
        <v>46158</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44095-2025</t>
        </is>
      </c>
      <c r="B337" s="1" t="n">
        <v>45915.56430555556</v>
      </c>
      <c r="C337" s="1" t="n">
        <v>46158</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3965-2026</t>
        </is>
      </c>
      <c r="B338" s="1" t="n">
        <v>46044.34563657407</v>
      </c>
      <c r="C338" s="1" t="n">
        <v>46158</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30290-2025</t>
        </is>
      </c>
      <c r="B339" s="1" t="n">
        <v>45827</v>
      </c>
      <c r="C339" s="1" t="n">
        <v>46158</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55300-2021</t>
        </is>
      </c>
      <c r="B340" s="1" t="n">
        <v>44475</v>
      </c>
      <c r="C340" s="1" t="n">
        <v>46158</v>
      </c>
      <c r="D340" t="inlineStr">
        <is>
          <t>KALMAR LÄN</t>
        </is>
      </c>
      <c r="E340" t="inlineStr">
        <is>
          <t>VIMMERBY</t>
        </is>
      </c>
      <c r="G340" t="n">
        <v>3.4</v>
      </c>
      <c r="H340" t="n">
        <v>0</v>
      </c>
      <c r="I340" t="n">
        <v>0</v>
      </c>
      <c r="J340" t="n">
        <v>0</v>
      </c>
      <c r="K340" t="n">
        <v>0</v>
      </c>
      <c r="L340" t="n">
        <v>0</v>
      </c>
      <c r="M340" t="n">
        <v>0</v>
      </c>
      <c r="N340" t="n">
        <v>0</v>
      </c>
      <c r="O340" t="n">
        <v>0</v>
      </c>
      <c r="P340" t="n">
        <v>0</v>
      </c>
      <c r="Q340" t="n">
        <v>0</v>
      </c>
      <c r="R340" s="2" t="inlineStr"/>
    </row>
    <row r="341" ht="15" customHeight="1">
      <c r="A341" t="inlineStr">
        <is>
          <t>A 44742-2025</t>
        </is>
      </c>
      <c r="B341" s="1" t="n">
        <v>45917.67054398148</v>
      </c>
      <c r="C341" s="1" t="n">
        <v>46158</v>
      </c>
      <c r="D341" t="inlineStr">
        <is>
          <t>KALMAR LÄN</t>
        </is>
      </c>
      <c r="E341" t="inlineStr">
        <is>
          <t>VIMMERBY</t>
        </is>
      </c>
      <c r="G341" t="n">
        <v>4.7</v>
      </c>
      <c r="H341" t="n">
        <v>0</v>
      </c>
      <c r="I341" t="n">
        <v>0</v>
      </c>
      <c r="J341" t="n">
        <v>0</v>
      </c>
      <c r="K341" t="n">
        <v>0</v>
      </c>
      <c r="L341" t="n">
        <v>0</v>
      </c>
      <c r="M341" t="n">
        <v>0</v>
      </c>
      <c r="N341" t="n">
        <v>0</v>
      </c>
      <c r="O341" t="n">
        <v>0</v>
      </c>
      <c r="P341" t="n">
        <v>0</v>
      </c>
      <c r="Q341" t="n">
        <v>0</v>
      </c>
      <c r="R341" s="2" t="inlineStr"/>
    </row>
    <row r="342" ht="15" customHeight="1">
      <c r="A342" t="inlineStr">
        <is>
          <t>A 30850-2025</t>
        </is>
      </c>
      <c r="B342" s="1" t="n">
        <v>45831</v>
      </c>
      <c r="C342" s="1" t="n">
        <v>46158</v>
      </c>
      <c r="D342" t="inlineStr">
        <is>
          <t>KALMAR LÄN</t>
        </is>
      </c>
      <c r="E342" t="inlineStr">
        <is>
          <t>VIMMERBY</t>
        </is>
      </c>
      <c r="G342" t="n">
        <v>2.7</v>
      </c>
      <c r="H342" t="n">
        <v>0</v>
      </c>
      <c r="I342" t="n">
        <v>0</v>
      </c>
      <c r="J342" t="n">
        <v>0</v>
      </c>
      <c r="K342" t="n">
        <v>0</v>
      </c>
      <c r="L342" t="n">
        <v>0</v>
      </c>
      <c r="M342" t="n">
        <v>0</v>
      </c>
      <c r="N342" t="n">
        <v>0</v>
      </c>
      <c r="O342" t="n">
        <v>0</v>
      </c>
      <c r="P342" t="n">
        <v>0</v>
      </c>
      <c r="Q342" t="n">
        <v>0</v>
      </c>
      <c r="R342" s="2" t="inlineStr"/>
    </row>
    <row r="343" ht="15" customHeight="1">
      <c r="A343" t="inlineStr">
        <is>
          <t>A 47263-2023</t>
        </is>
      </c>
      <c r="B343" s="1" t="n">
        <v>45202.4209837963</v>
      </c>
      <c r="C343" s="1" t="n">
        <v>46158</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41896-2025</t>
        </is>
      </c>
      <c r="B344" s="1" t="n">
        <v>45903.38800925926</v>
      </c>
      <c r="C344" s="1" t="n">
        <v>46158</v>
      </c>
      <c r="D344" t="inlineStr">
        <is>
          <t>KALMAR LÄN</t>
        </is>
      </c>
      <c r="E344" t="inlineStr">
        <is>
          <t>VIMMERBY</t>
        </is>
      </c>
      <c r="G344" t="n">
        <v>2.9</v>
      </c>
      <c r="H344" t="n">
        <v>0</v>
      </c>
      <c r="I344" t="n">
        <v>0</v>
      </c>
      <c r="J344" t="n">
        <v>0</v>
      </c>
      <c r="K344" t="n">
        <v>0</v>
      </c>
      <c r="L344" t="n">
        <v>0</v>
      </c>
      <c r="M344" t="n">
        <v>0</v>
      </c>
      <c r="N344" t="n">
        <v>0</v>
      </c>
      <c r="O344" t="n">
        <v>0</v>
      </c>
      <c r="P344" t="n">
        <v>0</v>
      </c>
      <c r="Q344" t="n">
        <v>0</v>
      </c>
      <c r="R344" s="2" t="inlineStr"/>
    </row>
    <row r="345" ht="15" customHeight="1">
      <c r="A345" t="inlineStr">
        <is>
          <t>A 3868-2026</t>
        </is>
      </c>
      <c r="B345" s="1" t="n">
        <v>46043.6360300926</v>
      </c>
      <c r="C345" s="1" t="n">
        <v>46158</v>
      </c>
      <c r="D345" t="inlineStr">
        <is>
          <t>KALMAR LÄN</t>
        </is>
      </c>
      <c r="E345" t="inlineStr">
        <is>
          <t>VIMMERBY</t>
        </is>
      </c>
      <c r="G345" t="n">
        <v>0.9</v>
      </c>
      <c r="H345" t="n">
        <v>0</v>
      </c>
      <c r="I345" t="n">
        <v>0</v>
      </c>
      <c r="J345" t="n">
        <v>0</v>
      </c>
      <c r="K345" t="n">
        <v>0</v>
      </c>
      <c r="L345" t="n">
        <v>0</v>
      </c>
      <c r="M345" t="n">
        <v>0</v>
      </c>
      <c r="N345" t="n">
        <v>0</v>
      </c>
      <c r="O345" t="n">
        <v>0</v>
      </c>
      <c r="P345" t="n">
        <v>0</v>
      </c>
      <c r="Q345" t="n">
        <v>0</v>
      </c>
      <c r="R345" s="2" t="inlineStr"/>
    </row>
    <row r="346" ht="15" customHeight="1">
      <c r="A346" t="inlineStr">
        <is>
          <t>A 3869-2026</t>
        </is>
      </c>
      <c r="B346" s="1" t="n">
        <v>46043.63940972222</v>
      </c>
      <c r="C346" s="1" t="n">
        <v>46158</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30882-2025</t>
        </is>
      </c>
      <c r="B347" s="1" t="n">
        <v>45832.34540509259</v>
      </c>
      <c r="C347" s="1" t="n">
        <v>46158</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30971-2025</t>
        </is>
      </c>
      <c r="B348" s="1" t="n">
        <v>45832.46146990741</v>
      </c>
      <c r="C348" s="1" t="n">
        <v>46158</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2536-2023</t>
        </is>
      </c>
      <c r="B349" s="1" t="n">
        <v>44943.62954861111</v>
      </c>
      <c r="C349" s="1" t="n">
        <v>46158</v>
      </c>
      <c r="D349" t="inlineStr">
        <is>
          <t>KALMAR LÄN</t>
        </is>
      </c>
      <c r="E349" t="inlineStr">
        <is>
          <t>VIMMERBY</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2801-2023</t>
        </is>
      </c>
      <c r="B350" s="1" t="n">
        <v>44944.73487268519</v>
      </c>
      <c r="C350" s="1" t="n">
        <v>46158</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45319-2025</t>
        </is>
      </c>
      <c r="B351" s="1" t="n">
        <v>45921.95611111111</v>
      </c>
      <c r="C351" s="1" t="n">
        <v>46158</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45320-2025</t>
        </is>
      </c>
      <c r="B352" s="1" t="n">
        <v>45921.96395833333</v>
      </c>
      <c r="C352" s="1" t="n">
        <v>46158</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31552-2025</t>
        </is>
      </c>
      <c r="B353" s="1" t="n">
        <v>45833.64563657407</v>
      </c>
      <c r="C353" s="1" t="n">
        <v>46158</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31555-2025</t>
        </is>
      </c>
      <c r="B354" s="1" t="n">
        <v>45833.64814814815</v>
      </c>
      <c r="C354" s="1" t="n">
        <v>46158</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17968-2025</t>
        </is>
      </c>
      <c r="B355" s="1" t="n">
        <v>45761.35990740741</v>
      </c>
      <c r="C355" s="1" t="n">
        <v>46158</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45114-2025</t>
        </is>
      </c>
      <c r="B356" s="1" t="n">
        <v>45919.42387731482</v>
      </c>
      <c r="C356" s="1" t="n">
        <v>46158</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31870-2025</t>
        </is>
      </c>
      <c r="B357" s="1" t="n">
        <v>45834.64667824074</v>
      </c>
      <c r="C357" s="1" t="n">
        <v>46158</v>
      </c>
      <c r="D357" t="inlineStr">
        <is>
          <t>KALMAR LÄN</t>
        </is>
      </c>
      <c r="E357" t="inlineStr">
        <is>
          <t>VIMMERBY</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45924.57697916667</v>
      </c>
      <c r="C358" s="1" t="n">
        <v>46158</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8559-2025</t>
        </is>
      </c>
      <c r="B359" s="1" t="n">
        <v>45709.62280092593</v>
      </c>
      <c r="C359" s="1" t="n">
        <v>46158</v>
      </c>
      <c r="D359" t="inlineStr">
        <is>
          <t>KALMAR LÄN</t>
        </is>
      </c>
      <c r="E359" t="inlineStr">
        <is>
          <t>VIMMERBY</t>
        </is>
      </c>
      <c r="G359" t="n">
        <v>8.9</v>
      </c>
      <c r="H359" t="n">
        <v>0</v>
      </c>
      <c r="I359" t="n">
        <v>0</v>
      </c>
      <c r="J359" t="n">
        <v>0</v>
      </c>
      <c r="K359" t="n">
        <v>0</v>
      </c>
      <c r="L359" t="n">
        <v>0</v>
      </c>
      <c r="M359" t="n">
        <v>0</v>
      </c>
      <c r="N359" t="n">
        <v>0</v>
      </c>
      <c r="O359" t="n">
        <v>0</v>
      </c>
      <c r="P359" t="n">
        <v>0</v>
      </c>
      <c r="Q359" t="n">
        <v>0</v>
      </c>
      <c r="R359" s="2" t="inlineStr"/>
    </row>
    <row r="360" ht="15" customHeight="1">
      <c r="A360" t="inlineStr">
        <is>
          <t>A 14451-2024</t>
        </is>
      </c>
      <c r="B360" s="1" t="n">
        <v>45394.50028935185</v>
      </c>
      <c r="C360" s="1" t="n">
        <v>46158</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31872-2025</t>
        </is>
      </c>
      <c r="B361" s="1" t="n">
        <v>45834.65040509259</v>
      </c>
      <c r="C361" s="1" t="n">
        <v>46158</v>
      </c>
      <c r="D361" t="inlineStr">
        <is>
          <t>KALMAR LÄN</t>
        </is>
      </c>
      <c r="E361" t="inlineStr">
        <is>
          <t>VIMMERBY</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31876-2025</t>
        </is>
      </c>
      <c r="B362" s="1" t="n">
        <v>45834.65197916667</v>
      </c>
      <c r="C362" s="1" t="n">
        <v>46158</v>
      </c>
      <c r="D362" t="inlineStr">
        <is>
          <t>KALMAR LÄN</t>
        </is>
      </c>
      <c r="E362" t="inlineStr">
        <is>
          <t>VIMMERBY</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46238-2024</t>
        </is>
      </c>
      <c r="B363" s="1" t="n">
        <v>45581.58418981481</v>
      </c>
      <c r="C363" s="1" t="n">
        <v>46158</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31551-2025</t>
        </is>
      </c>
      <c r="B364" s="1" t="n">
        <v>45833.64237268519</v>
      </c>
      <c r="C364" s="1" t="n">
        <v>46158</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50993-2022</t>
        </is>
      </c>
      <c r="B365" s="1" t="n">
        <v>44867</v>
      </c>
      <c r="C365" s="1" t="n">
        <v>46158</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46225-2024</t>
        </is>
      </c>
      <c r="B366" s="1" t="n">
        <v>45581.57333333333</v>
      </c>
      <c r="C366" s="1" t="n">
        <v>46158</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31987-2025</t>
        </is>
      </c>
      <c r="B367" s="1" t="n">
        <v>45835.36229166666</v>
      </c>
      <c r="C367" s="1" t="n">
        <v>46158</v>
      </c>
      <c r="D367" t="inlineStr">
        <is>
          <t>KALMAR LÄN</t>
        </is>
      </c>
      <c r="E367" t="inlineStr">
        <is>
          <t>VIMMERBY</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32120-2025</t>
        </is>
      </c>
      <c r="B368" s="1" t="n">
        <v>45835.4924537037</v>
      </c>
      <c r="C368" s="1" t="n">
        <v>46158</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36055-2024</t>
        </is>
      </c>
      <c r="B369" s="1" t="n">
        <v>45533.63056712963</v>
      </c>
      <c r="C369" s="1" t="n">
        <v>46158</v>
      </c>
      <c r="D369" t="inlineStr">
        <is>
          <t>KALMAR LÄN</t>
        </is>
      </c>
      <c r="E369" t="inlineStr">
        <is>
          <t>VIMMERBY</t>
        </is>
      </c>
      <c r="F369" t="inlineStr">
        <is>
          <t>Kommuner</t>
        </is>
      </c>
      <c r="G369" t="n">
        <v>1.9</v>
      </c>
      <c r="H369" t="n">
        <v>0</v>
      </c>
      <c r="I369" t="n">
        <v>0</v>
      </c>
      <c r="J369" t="n">
        <v>0</v>
      </c>
      <c r="K369" t="n">
        <v>0</v>
      </c>
      <c r="L369" t="n">
        <v>0</v>
      </c>
      <c r="M369" t="n">
        <v>0</v>
      </c>
      <c r="N369" t="n">
        <v>0</v>
      </c>
      <c r="O369" t="n">
        <v>0</v>
      </c>
      <c r="P369" t="n">
        <v>0</v>
      </c>
      <c r="Q369" t="n">
        <v>0</v>
      </c>
      <c r="R369" s="2" t="inlineStr"/>
    </row>
    <row r="370" ht="15" customHeight="1">
      <c r="A370" t="inlineStr">
        <is>
          <t>A 32116-2025</t>
        </is>
      </c>
      <c r="B370" s="1" t="n">
        <v>45835.48862268519</v>
      </c>
      <c r="C370" s="1" t="n">
        <v>46158</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47859-2024</t>
        </is>
      </c>
      <c r="B371" s="1" t="n">
        <v>45588.67070601852</v>
      </c>
      <c r="C371" s="1" t="n">
        <v>46158</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32835-2022</t>
        </is>
      </c>
      <c r="B372" s="1" t="n">
        <v>44784.42528935185</v>
      </c>
      <c r="C372" s="1" t="n">
        <v>46158</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32380-2025</t>
        </is>
      </c>
      <c r="B373" s="1" t="n">
        <v>45837.77701388889</v>
      </c>
      <c r="C373" s="1" t="n">
        <v>46158</v>
      </c>
      <c r="D373" t="inlineStr">
        <is>
          <t>KALMAR LÄN</t>
        </is>
      </c>
      <c r="E373" t="inlineStr">
        <is>
          <t>VIMMERBY</t>
        </is>
      </c>
      <c r="G373" t="n">
        <v>3.1</v>
      </c>
      <c r="H373" t="n">
        <v>0</v>
      </c>
      <c r="I373" t="n">
        <v>0</v>
      </c>
      <c r="J373" t="n">
        <v>0</v>
      </c>
      <c r="K373" t="n">
        <v>0</v>
      </c>
      <c r="L373" t="n">
        <v>0</v>
      </c>
      <c r="M373" t="n">
        <v>0</v>
      </c>
      <c r="N373" t="n">
        <v>0</v>
      </c>
      <c r="O373" t="n">
        <v>0</v>
      </c>
      <c r="P373" t="n">
        <v>0</v>
      </c>
      <c r="Q373" t="n">
        <v>0</v>
      </c>
      <c r="R373" s="2" t="inlineStr"/>
    </row>
    <row r="374" ht="15" customHeight="1">
      <c r="A374" t="inlineStr">
        <is>
          <t>A 45854-2025</t>
        </is>
      </c>
      <c r="B374" s="1" t="n">
        <v>45923</v>
      </c>
      <c r="C374" s="1" t="n">
        <v>46158</v>
      </c>
      <c r="D374" t="inlineStr">
        <is>
          <t>KALMAR LÄN</t>
        </is>
      </c>
      <c r="E374" t="inlineStr">
        <is>
          <t>VIMMERBY</t>
        </is>
      </c>
      <c r="G374" t="n">
        <v>2.2</v>
      </c>
      <c r="H374" t="n">
        <v>0</v>
      </c>
      <c r="I374" t="n">
        <v>0</v>
      </c>
      <c r="J374" t="n">
        <v>0</v>
      </c>
      <c r="K374" t="n">
        <v>0</v>
      </c>
      <c r="L374" t="n">
        <v>0</v>
      </c>
      <c r="M374" t="n">
        <v>0</v>
      </c>
      <c r="N374" t="n">
        <v>0</v>
      </c>
      <c r="O374" t="n">
        <v>0</v>
      </c>
      <c r="P374" t="n">
        <v>0</v>
      </c>
      <c r="Q374" t="n">
        <v>0</v>
      </c>
      <c r="R374" s="2" t="inlineStr"/>
    </row>
    <row r="375" ht="15" customHeight="1">
      <c r="A375" t="inlineStr">
        <is>
          <t>A 45855-2025</t>
        </is>
      </c>
      <c r="B375" s="1" t="n">
        <v>45923</v>
      </c>
      <c r="C375" s="1" t="n">
        <v>46158</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32109-2025</t>
        </is>
      </c>
      <c r="B376" s="1" t="n">
        <v>45835.48267361111</v>
      </c>
      <c r="C376" s="1" t="n">
        <v>46158</v>
      </c>
      <c r="D376" t="inlineStr">
        <is>
          <t>KALMAR LÄN</t>
        </is>
      </c>
      <c r="E376" t="inlineStr">
        <is>
          <t>VIMMERBY</t>
        </is>
      </c>
      <c r="G376" t="n">
        <v>2.5</v>
      </c>
      <c r="H376" t="n">
        <v>0</v>
      </c>
      <c r="I376" t="n">
        <v>0</v>
      </c>
      <c r="J376" t="n">
        <v>0</v>
      </c>
      <c r="K376" t="n">
        <v>0</v>
      </c>
      <c r="L376" t="n">
        <v>0</v>
      </c>
      <c r="M376" t="n">
        <v>0</v>
      </c>
      <c r="N376" t="n">
        <v>0</v>
      </c>
      <c r="O376" t="n">
        <v>0</v>
      </c>
      <c r="P376" t="n">
        <v>0</v>
      </c>
      <c r="Q376" t="n">
        <v>0</v>
      </c>
      <c r="R376" s="2" t="inlineStr"/>
    </row>
    <row r="377" ht="15" customHeight="1">
      <c r="A377" t="inlineStr">
        <is>
          <t>A 32113-2025</t>
        </is>
      </c>
      <c r="B377" s="1" t="n">
        <v>45835.48445601852</v>
      </c>
      <c r="C377" s="1" t="n">
        <v>46158</v>
      </c>
      <c r="D377" t="inlineStr">
        <is>
          <t>KALMAR LÄN</t>
        </is>
      </c>
      <c r="E377" t="inlineStr">
        <is>
          <t>VIMMERBY</t>
        </is>
      </c>
      <c r="G377" t="n">
        <v>3.5</v>
      </c>
      <c r="H377" t="n">
        <v>0</v>
      </c>
      <c r="I377" t="n">
        <v>0</v>
      </c>
      <c r="J377" t="n">
        <v>0</v>
      </c>
      <c r="K377" t="n">
        <v>0</v>
      </c>
      <c r="L377" t="n">
        <v>0</v>
      </c>
      <c r="M377" t="n">
        <v>0</v>
      </c>
      <c r="N377" t="n">
        <v>0</v>
      </c>
      <c r="O377" t="n">
        <v>0</v>
      </c>
      <c r="P377" t="n">
        <v>0</v>
      </c>
      <c r="Q377" t="n">
        <v>0</v>
      </c>
      <c r="R377" s="2" t="inlineStr"/>
    </row>
    <row r="378" ht="15" customHeight="1">
      <c r="A378" t="inlineStr">
        <is>
          <t>A 46361-2025</t>
        </is>
      </c>
      <c r="B378" s="1" t="n">
        <v>45925.49670138889</v>
      </c>
      <c r="C378" s="1" t="n">
        <v>46158</v>
      </c>
      <c r="D378" t="inlineStr">
        <is>
          <t>KALMAR LÄN</t>
        </is>
      </c>
      <c r="E378" t="inlineStr">
        <is>
          <t>VIMMERBY</t>
        </is>
      </c>
      <c r="G378" t="n">
        <v>4.2</v>
      </c>
      <c r="H378" t="n">
        <v>0</v>
      </c>
      <c r="I378" t="n">
        <v>0</v>
      </c>
      <c r="J378" t="n">
        <v>0</v>
      </c>
      <c r="K378" t="n">
        <v>0</v>
      </c>
      <c r="L378" t="n">
        <v>0</v>
      </c>
      <c r="M378" t="n">
        <v>0</v>
      </c>
      <c r="N378" t="n">
        <v>0</v>
      </c>
      <c r="O378" t="n">
        <v>0</v>
      </c>
      <c r="P378" t="n">
        <v>0</v>
      </c>
      <c r="Q378" t="n">
        <v>0</v>
      </c>
      <c r="R378" s="2" t="inlineStr"/>
    </row>
    <row r="379" ht="15" customHeight="1">
      <c r="A379" t="inlineStr">
        <is>
          <t>A 46365-2025</t>
        </is>
      </c>
      <c r="B379" s="1" t="n">
        <v>45925.50075231482</v>
      </c>
      <c r="C379" s="1" t="n">
        <v>46158</v>
      </c>
      <c r="D379" t="inlineStr">
        <is>
          <t>KALMAR LÄN</t>
        </is>
      </c>
      <c r="E379" t="inlineStr">
        <is>
          <t>VIMMERBY</t>
        </is>
      </c>
      <c r="G379" t="n">
        <v>5.6</v>
      </c>
      <c r="H379" t="n">
        <v>0</v>
      </c>
      <c r="I379" t="n">
        <v>0</v>
      </c>
      <c r="J379" t="n">
        <v>0</v>
      </c>
      <c r="K379" t="n">
        <v>0</v>
      </c>
      <c r="L379" t="n">
        <v>0</v>
      </c>
      <c r="M379" t="n">
        <v>0</v>
      </c>
      <c r="N379" t="n">
        <v>0</v>
      </c>
      <c r="O379" t="n">
        <v>0</v>
      </c>
      <c r="P379" t="n">
        <v>0</v>
      </c>
      <c r="Q379" t="n">
        <v>0</v>
      </c>
      <c r="R379" s="2" t="inlineStr"/>
    </row>
    <row r="380" ht="15" customHeight="1">
      <c r="A380" t="inlineStr">
        <is>
          <t>A 32077-2025</t>
        </is>
      </c>
      <c r="B380" s="1" t="n">
        <v>45835.45099537037</v>
      </c>
      <c r="C380" s="1" t="n">
        <v>46158</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32064-2025</t>
        </is>
      </c>
      <c r="B381" s="1" t="n">
        <v>45835.44709490741</v>
      </c>
      <c r="C381" s="1" t="n">
        <v>46158</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32065-2025</t>
        </is>
      </c>
      <c r="B382" s="1" t="n">
        <v>45835.44732638889</v>
      </c>
      <c r="C382" s="1" t="n">
        <v>46158</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45856-2025</t>
        </is>
      </c>
      <c r="B383" s="1" t="n">
        <v>45923</v>
      </c>
      <c r="C383" s="1" t="n">
        <v>46158</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41896-2023</t>
        </is>
      </c>
      <c r="B384" s="1" t="n">
        <v>45176.72427083334</v>
      </c>
      <c r="C384" s="1" t="n">
        <v>46158</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46887-2025</t>
        </is>
      </c>
      <c r="B385" s="1" t="n">
        <v>45929.3672337963</v>
      </c>
      <c r="C385" s="1" t="n">
        <v>46158</v>
      </c>
      <c r="D385" t="inlineStr">
        <is>
          <t>KALMAR LÄN</t>
        </is>
      </c>
      <c r="E385" t="inlineStr">
        <is>
          <t>VIMMERBY</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33186-2025</t>
        </is>
      </c>
      <c r="B386" s="1" t="n">
        <v>45840.59474537037</v>
      </c>
      <c r="C386" s="1" t="n">
        <v>46158</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43606-2024</t>
        </is>
      </c>
      <c r="B387" s="1" t="n">
        <v>45569.45017361111</v>
      </c>
      <c r="C387" s="1" t="n">
        <v>46158</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47227-2025</t>
        </is>
      </c>
      <c r="B388" s="1" t="n">
        <v>45930.39769675926</v>
      </c>
      <c r="C388" s="1" t="n">
        <v>46158</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12325-2023</t>
        </is>
      </c>
      <c r="B389" s="1" t="n">
        <v>44999.35858796296</v>
      </c>
      <c r="C389" s="1" t="n">
        <v>46158</v>
      </c>
      <c r="D389" t="inlineStr">
        <is>
          <t>KALMAR LÄN</t>
        </is>
      </c>
      <c r="E389" t="inlineStr">
        <is>
          <t>VIMMERBY</t>
        </is>
      </c>
      <c r="G389" t="n">
        <v>3.4</v>
      </c>
      <c r="H389" t="n">
        <v>0</v>
      </c>
      <c r="I389" t="n">
        <v>0</v>
      </c>
      <c r="J389" t="n">
        <v>0</v>
      </c>
      <c r="K389" t="n">
        <v>0</v>
      </c>
      <c r="L389" t="n">
        <v>0</v>
      </c>
      <c r="M389" t="n">
        <v>0</v>
      </c>
      <c r="N389" t="n">
        <v>0</v>
      </c>
      <c r="O389" t="n">
        <v>0</v>
      </c>
      <c r="P389" t="n">
        <v>0</v>
      </c>
      <c r="Q389" t="n">
        <v>0</v>
      </c>
      <c r="R389" s="2" t="inlineStr"/>
    </row>
    <row r="390" ht="15" customHeight="1">
      <c r="A390" t="inlineStr">
        <is>
          <t>A 30977-2025</t>
        </is>
      </c>
      <c r="B390" s="1" t="n">
        <v>45832.46649305556</v>
      </c>
      <c r="C390" s="1" t="n">
        <v>46158</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8945-2025</t>
        </is>
      </c>
      <c r="B391" s="1" t="n">
        <v>45713.45311342592</v>
      </c>
      <c r="C391" s="1" t="n">
        <v>46158</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33695-2025</t>
        </is>
      </c>
      <c r="B392" s="1" t="n">
        <v>45841.70569444444</v>
      </c>
      <c r="C392" s="1" t="n">
        <v>46158</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33698-2025</t>
        </is>
      </c>
      <c r="B393" s="1" t="n">
        <v>45841.70868055556</v>
      </c>
      <c r="C393" s="1" t="n">
        <v>46158</v>
      </c>
      <c r="D393" t="inlineStr">
        <is>
          <t>KALMAR LÄN</t>
        </is>
      </c>
      <c r="E393" t="inlineStr">
        <is>
          <t>VIMMERBY</t>
        </is>
      </c>
      <c r="G393" t="n">
        <v>3.7</v>
      </c>
      <c r="H393" t="n">
        <v>0</v>
      </c>
      <c r="I393" t="n">
        <v>0</v>
      </c>
      <c r="J393" t="n">
        <v>0</v>
      </c>
      <c r="K393" t="n">
        <v>0</v>
      </c>
      <c r="L393" t="n">
        <v>0</v>
      </c>
      <c r="M393" t="n">
        <v>0</v>
      </c>
      <c r="N393" t="n">
        <v>0</v>
      </c>
      <c r="O393" t="n">
        <v>0</v>
      </c>
      <c r="P393" t="n">
        <v>0</v>
      </c>
      <c r="Q393" t="n">
        <v>0</v>
      </c>
      <c r="R393" s="2" t="inlineStr"/>
    </row>
    <row r="394" ht="15" customHeight="1">
      <c r="A394" t="inlineStr">
        <is>
          <t>A 40665-2023</t>
        </is>
      </c>
      <c r="B394" s="1" t="n">
        <v>45170</v>
      </c>
      <c r="C394" s="1" t="n">
        <v>46158</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13307-2025</t>
        </is>
      </c>
      <c r="B395" s="1" t="n">
        <v>45735.58024305556</v>
      </c>
      <c r="C395" s="1" t="n">
        <v>46158</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28034-2022</t>
        </is>
      </c>
      <c r="B396" s="1" t="n">
        <v>44746.38834490741</v>
      </c>
      <c r="C396" s="1" t="n">
        <v>46158</v>
      </c>
      <c r="D396" t="inlineStr">
        <is>
          <t>KALMAR LÄN</t>
        </is>
      </c>
      <c r="E396" t="inlineStr">
        <is>
          <t>VIMMERBY</t>
        </is>
      </c>
      <c r="G396" t="n">
        <v>2</v>
      </c>
      <c r="H396" t="n">
        <v>0</v>
      </c>
      <c r="I396" t="n">
        <v>0</v>
      </c>
      <c r="J396" t="n">
        <v>0</v>
      </c>
      <c r="K396" t="n">
        <v>0</v>
      </c>
      <c r="L396" t="n">
        <v>0</v>
      </c>
      <c r="M396" t="n">
        <v>0</v>
      </c>
      <c r="N396" t="n">
        <v>0</v>
      </c>
      <c r="O396" t="n">
        <v>0</v>
      </c>
      <c r="P396" t="n">
        <v>0</v>
      </c>
      <c r="Q396" t="n">
        <v>0</v>
      </c>
      <c r="R396" s="2" t="inlineStr"/>
    </row>
    <row r="397" ht="15" customHeight="1">
      <c r="A397" t="inlineStr">
        <is>
          <t>A 33696-2025</t>
        </is>
      </c>
      <c r="B397" s="1" t="n">
        <v>45841.7072337963</v>
      </c>
      <c r="C397" s="1" t="n">
        <v>46158</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55605-2024</t>
        </is>
      </c>
      <c r="B398" s="1" t="n">
        <v>45622</v>
      </c>
      <c r="C398" s="1" t="n">
        <v>46158</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47965-2025</t>
        </is>
      </c>
      <c r="B399" s="1" t="n">
        <v>45932.59597222223</v>
      </c>
      <c r="C399" s="1" t="n">
        <v>46158</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42165-2024</t>
        </is>
      </c>
      <c r="B400" s="1" t="n">
        <v>45562.46342592593</v>
      </c>
      <c r="C400" s="1" t="n">
        <v>46158</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20129-2024</t>
        </is>
      </c>
      <c r="B401" s="1" t="n">
        <v>45434.55831018519</v>
      </c>
      <c r="C401" s="1" t="n">
        <v>46158</v>
      </c>
      <c r="D401" t="inlineStr">
        <is>
          <t>KALMAR LÄN</t>
        </is>
      </c>
      <c r="E401" t="inlineStr">
        <is>
          <t>VIMMERBY</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20137-2024</t>
        </is>
      </c>
      <c r="B402" s="1" t="n">
        <v>45434.56398148148</v>
      </c>
      <c r="C402" s="1" t="n">
        <v>46158</v>
      </c>
      <c r="D402" t="inlineStr">
        <is>
          <t>KALMAR LÄN</t>
        </is>
      </c>
      <c r="E402" t="inlineStr">
        <is>
          <t>VIMMERBY</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28702-2025</t>
        </is>
      </c>
      <c r="B403" s="1" t="n">
        <v>45820.03976851852</v>
      </c>
      <c r="C403" s="1" t="n">
        <v>46158</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23095-2023</t>
        </is>
      </c>
      <c r="B404" s="1" t="n">
        <v>45075.43059027778</v>
      </c>
      <c r="C404" s="1" t="n">
        <v>46158</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32919-2022</t>
        </is>
      </c>
      <c r="B405" s="1" t="n">
        <v>44784.62724537037</v>
      </c>
      <c r="C405" s="1" t="n">
        <v>46158</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47955-2025</t>
        </is>
      </c>
      <c r="B406" s="1" t="n">
        <v>45932.58896990741</v>
      </c>
      <c r="C406" s="1" t="n">
        <v>46158</v>
      </c>
      <c r="D406" t="inlineStr">
        <is>
          <t>KALMAR LÄN</t>
        </is>
      </c>
      <c r="E406" t="inlineStr">
        <is>
          <t>VIMMERBY</t>
        </is>
      </c>
      <c r="G406" t="n">
        <v>3.4</v>
      </c>
      <c r="H406" t="n">
        <v>0</v>
      </c>
      <c r="I406" t="n">
        <v>0</v>
      </c>
      <c r="J406" t="n">
        <v>0</v>
      </c>
      <c r="K406" t="n">
        <v>0</v>
      </c>
      <c r="L406" t="n">
        <v>0</v>
      </c>
      <c r="M406" t="n">
        <v>0</v>
      </c>
      <c r="N406" t="n">
        <v>0</v>
      </c>
      <c r="O406" t="n">
        <v>0</v>
      </c>
      <c r="P406" t="n">
        <v>0</v>
      </c>
      <c r="Q406" t="n">
        <v>0</v>
      </c>
      <c r="R406" s="2" t="inlineStr"/>
    </row>
    <row r="407" ht="15" customHeight="1">
      <c r="A407" t="inlineStr">
        <is>
          <t>A 48299-2025</t>
        </is>
      </c>
      <c r="B407" s="1" t="n">
        <v>45933.60982638889</v>
      </c>
      <c r="C407" s="1" t="n">
        <v>46158</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34071-2025</t>
        </is>
      </c>
      <c r="B408" s="1" t="n">
        <v>45845.43803240741</v>
      </c>
      <c r="C408" s="1" t="n">
        <v>46158</v>
      </c>
      <c r="D408" t="inlineStr">
        <is>
          <t>KALMAR LÄN</t>
        </is>
      </c>
      <c r="E408" t="inlineStr">
        <is>
          <t>VIMMERBY</t>
        </is>
      </c>
      <c r="G408" t="n">
        <v>6.8</v>
      </c>
      <c r="H408" t="n">
        <v>0</v>
      </c>
      <c r="I408" t="n">
        <v>0</v>
      </c>
      <c r="J408" t="n">
        <v>0</v>
      </c>
      <c r="K408" t="n">
        <v>0</v>
      </c>
      <c r="L408" t="n">
        <v>0</v>
      </c>
      <c r="M408" t="n">
        <v>0</v>
      </c>
      <c r="N408" t="n">
        <v>0</v>
      </c>
      <c r="O408" t="n">
        <v>0</v>
      </c>
      <c r="P408" t="n">
        <v>0</v>
      </c>
      <c r="Q408" t="n">
        <v>0</v>
      </c>
      <c r="R408" s="2" t="inlineStr"/>
    </row>
    <row r="409" ht="15" customHeight="1">
      <c r="A409" t="inlineStr">
        <is>
          <t>A 34106-2025</t>
        </is>
      </c>
      <c r="B409" s="1" t="n">
        <v>45845.49414351852</v>
      </c>
      <c r="C409" s="1" t="n">
        <v>46158</v>
      </c>
      <c r="D409" t="inlineStr">
        <is>
          <t>KALMAR LÄN</t>
        </is>
      </c>
      <c r="E409" t="inlineStr">
        <is>
          <t>VIMMERBY</t>
        </is>
      </c>
      <c r="G409" t="n">
        <v>6</v>
      </c>
      <c r="H409" t="n">
        <v>0</v>
      </c>
      <c r="I409" t="n">
        <v>0</v>
      </c>
      <c r="J409" t="n">
        <v>0</v>
      </c>
      <c r="K409" t="n">
        <v>0</v>
      </c>
      <c r="L409" t="n">
        <v>0</v>
      </c>
      <c r="M409" t="n">
        <v>0</v>
      </c>
      <c r="N409" t="n">
        <v>0</v>
      </c>
      <c r="O409" t="n">
        <v>0</v>
      </c>
      <c r="P409" t="n">
        <v>0</v>
      </c>
      <c r="Q409" t="n">
        <v>0</v>
      </c>
      <c r="R409" s="2" t="inlineStr"/>
    </row>
    <row r="410" ht="15" customHeight="1">
      <c r="A410" t="inlineStr">
        <is>
          <t>A 7068-2024</t>
        </is>
      </c>
      <c r="B410" s="1" t="n">
        <v>45343.68038194445</v>
      </c>
      <c r="C410" s="1" t="n">
        <v>46158</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26956-2025</t>
        </is>
      </c>
      <c r="B411" s="1" t="n">
        <v>45811.45460648148</v>
      </c>
      <c r="C411" s="1" t="n">
        <v>46158</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48723-2025</t>
        </is>
      </c>
      <c r="B412" s="1" t="n">
        <v>45936.65121527778</v>
      </c>
      <c r="C412" s="1" t="n">
        <v>46158</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48600-2025</t>
        </is>
      </c>
      <c r="B413" s="1" t="n">
        <v>45935</v>
      </c>
      <c r="C413" s="1" t="n">
        <v>46158</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32655-2023</t>
        </is>
      </c>
      <c r="B414" s="1" t="n">
        <v>45121.61318287037</v>
      </c>
      <c r="C414" s="1" t="n">
        <v>46158</v>
      </c>
      <c r="D414" t="inlineStr">
        <is>
          <t>KALMAR LÄN</t>
        </is>
      </c>
      <c r="E414" t="inlineStr">
        <is>
          <t>VIMMERBY</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48408-2025</t>
        </is>
      </c>
      <c r="B415" s="1" t="n">
        <v>45934.40527777778</v>
      </c>
      <c r="C415" s="1" t="n">
        <v>46158</v>
      </c>
      <c r="D415" t="inlineStr">
        <is>
          <t>KALMAR LÄN</t>
        </is>
      </c>
      <c r="E415" t="inlineStr">
        <is>
          <t>VIMMERBY</t>
        </is>
      </c>
      <c r="G415" t="n">
        <v>2.4</v>
      </c>
      <c r="H415" t="n">
        <v>0</v>
      </c>
      <c r="I415" t="n">
        <v>0</v>
      </c>
      <c r="J415" t="n">
        <v>0</v>
      </c>
      <c r="K415" t="n">
        <v>0</v>
      </c>
      <c r="L415" t="n">
        <v>0</v>
      </c>
      <c r="M415" t="n">
        <v>0</v>
      </c>
      <c r="N415" t="n">
        <v>0</v>
      </c>
      <c r="O415" t="n">
        <v>0</v>
      </c>
      <c r="P415" t="n">
        <v>0</v>
      </c>
      <c r="Q415" t="n">
        <v>0</v>
      </c>
      <c r="R415" s="2" t="inlineStr"/>
    </row>
    <row r="416" ht="15" customHeight="1">
      <c r="A416" t="inlineStr">
        <is>
          <t>A 48409-2025</t>
        </is>
      </c>
      <c r="B416" s="1" t="n">
        <v>45934.41387731482</v>
      </c>
      <c r="C416" s="1" t="n">
        <v>46158</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54409-2024</t>
        </is>
      </c>
      <c r="B417" s="1" t="n">
        <v>45617.47570601852</v>
      </c>
      <c r="C417" s="1" t="n">
        <v>46158</v>
      </c>
      <c r="D417" t="inlineStr">
        <is>
          <t>KALMAR LÄN</t>
        </is>
      </c>
      <c r="E417" t="inlineStr">
        <is>
          <t>VIMMERBY</t>
        </is>
      </c>
      <c r="G417" t="n">
        <v>4.3</v>
      </c>
      <c r="H417" t="n">
        <v>0</v>
      </c>
      <c r="I417" t="n">
        <v>0</v>
      </c>
      <c r="J417" t="n">
        <v>0</v>
      </c>
      <c r="K417" t="n">
        <v>0</v>
      </c>
      <c r="L417" t="n">
        <v>0</v>
      </c>
      <c r="M417" t="n">
        <v>0</v>
      </c>
      <c r="N417" t="n">
        <v>0</v>
      </c>
      <c r="O417" t="n">
        <v>0</v>
      </c>
      <c r="P417" t="n">
        <v>0</v>
      </c>
      <c r="Q417" t="n">
        <v>0</v>
      </c>
      <c r="R417" s="2" t="inlineStr"/>
    </row>
    <row r="418" ht="15" customHeight="1">
      <c r="A418" t="inlineStr">
        <is>
          <t>A 34628-2025</t>
        </is>
      </c>
      <c r="B418" s="1" t="n">
        <v>45847.91280092593</v>
      </c>
      <c r="C418" s="1" t="n">
        <v>46158</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48712-2025</t>
        </is>
      </c>
      <c r="B419" s="1" t="n">
        <v>45936.63373842592</v>
      </c>
      <c r="C419" s="1" t="n">
        <v>46158</v>
      </c>
      <c r="D419" t="inlineStr">
        <is>
          <t>KALMAR LÄN</t>
        </is>
      </c>
      <c r="E419" t="inlineStr">
        <is>
          <t>VIMMERBY</t>
        </is>
      </c>
      <c r="G419" t="n">
        <v>3</v>
      </c>
      <c r="H419" t="n">
        <v>0</v>
      </c>
      <c r="I419" t="n">
        <v>0</v>
      </c>
      <c r="J419" t="n">
        <v>0</v>
      </c>
      <c r="K419" t="n">
        <v>0</v>
      </c>
      <c r="L419" t="n">
        <v>0</v>
      </c>
      <c r="M419" t="n">
        <v>0</v>
      </c>
      <c r="N419" t="n">
        <v>0</v>
      </c>
      <c r="O419" t="n">
        <v>0</v>
      </c>
      <c r="P419" t="n">
        <v>0</v>
      </c>
      <c r="Q419" t="n">
        <v>0</v>
      </c>
      <c r="R419" s="2" t="inlineStr"/>
    </row>
    <row r="420" ht="15" customHeight="1">
      <c r="A420" t="inlineStr">
        <is>
          <t>A 9475-2023</t>
        </is>
      </c>
      <c r="B420" s="1" t="n">
        <v>44981.58834490741</v>
      </c>
      <c r="C420" s="1" t="n">
        <v>46158</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35270-2025</t>
        </is>
      </c>
      <c r="B421" s="1" t="n">
        <v>45853.87112268519</v>
      </c>
      <c r="C421" s="1" t="n">
        <v>46158</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35271-2025</t>
        </is>
      </c>
      <c r="B422" s="1" t="n">
        <v>45853.87599537037</v>
      </c>
      <c r="C422" s="1" t="n">
        <v>46158</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35272-2025</t>
        </is>
      </c>
      <c r="B423" s="1" t="n">
        <v>45853.88070601852</v>
      </c>
      <c r="C423" s="1" t="n">
        <v>46158</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16953-2025</t>
        </is>
      </c>
      <c r="B424" s="1" t="n">
        <v>45755.44333333334</v>
      </c>
      <c r="C424" s="1" t="n">
        <v>46158</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43092-2024</t>
        </is>
      </c>
      <c r="B425" s="1" t="n">
        <v>45567</v>
      </c>
      <c r="C425" s="1" t="n">
        <v>46158</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11619-2023</t>
        </is>
      </c>
      <c r="B426" s="1" t="n">
        <v>44994.42113425926</v>
      </c>
      <c r="C426" s="1" t="n">
        <v>46158</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5074-2023</t>
        </is>
      </c>
      <c r="B427" s="1" t="n">
        <v>44958.61047453704</v>
      </c>
      <c r="C427" s="1" t="n">
        <v>46158</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6368-2023</t>
        </is>
      </c>
      <c r="B428" s="1" t="n">
        <v>44965</v>
      </c>
      <c r="C428" s="1" t="n">
        <v>46158</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5701-2024</t>
        </is>
      </c>
      <c r="B429" s="1" t="n">
        <v>45334.78826388889</v>
      </c>
      <c r="C429" s="1" t="n">
        <v>46158</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49871-2025</t>
        </is>
      </c>
      <c r="B430" s="1" t="n">
        <v>45940.54104166666</v>
      </c>
      <c r="C430" s="1" t="n">
        <v>46158</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35597-2025</t>
        </is>
      </c>
      <c r="B431" s="1" t="n">
        <v>45858.66019675926</v>
      </c>
      <c r="C431" s="1" t="n">
        <v>46158</v>
      </c>
      <c r="D431" t="inlineStr">
        <is>
          <t>KALMAR LÄN</t>
        </is>
      </c>
      <c r="E431" t="inlineStr">
        <is>
          <t>VIMMERBY</t>
        </is>
      </c>
      <c r="G431" t="n">
        <v>6.4</v>
      </c>
      <c r="H431" t="n">
        <v>0</v>
      </c>
      <c r="I431" t="n">
        <v>0</v>
      </c>
      <c r="J431" t="n">
        <v>0</v>
      </c>
      <c r="K431" t="n">
        <v>0</v>
      </c>
      <c r="L431" t="n">
        <v>0</v>
      </c>
      <c r="M431" t="n">
        <v>0</v>
      </c>
      <c r="N431" t="n">
        <v>0</v>
      </c>
      <c r="O431" t="n">
        <v>0</v>
      </c>
      <c r="P431" t="n">
        <v>0</v>
      </c>
      <c r="Q431" t="n">
        <v>0</v>
      </c>
      <c r="R431" s="2" t="inlineStr"/>
    </row>
    <row r="432" ht="15" customHeight="1">
      <c r="A432" t="inlineStr">
        <is>
          <t>A 7797-2023</t>
        </is>
      </c>
      <c r="B432" s="1" t="n">
        <v>44973.43075231482</v>
      </c>
      <c r="C432" s="1" t="n">
        <v>46158</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35596-2025</t>
        </is>
      </c>
      <c r="B433" s="1" t="n">
        <v>45858.60641203704</v>
      </c>
      <c r="C433" s="1" t="n">
        <v>46158</v>
      </c>
      <c r="D433" t="inlineStr">
        <is>
          <t>KALMAR LÄN</t>
        </is>
      </c>
      <c r="E433" t="inlineStr">
        <is>
          <t>VIMMERBY</t>
        </is>
      </c>
      <c r="G433" t="n">
        <v>2.8</v>
      </c>
      <c r="H433" t="n">
        <v>0</v>
      </c>
      <c r="I433" t="n">
        <v>0</v>
      </c>
      <c r="J433" t="n">
        <v>0</v>
      </c>
      <c r="K433" t="n">
        <v>0</v>
      </c>
      <c r="L433" t="n">
        <v>0</v>
      </c>
      <c r="M433" t="n">
        <v>0</v>
      </c>
      <c r="N433" t="n">
        <v>0</v>
      </c>
      <c r="O433" t="n">
        <v>0</v>
      </c>
      <c r="P433" t="n">
        <v>0</v>
      </c>
      <c r="Q433" t="n">
        <v>0</v>
      </c>
      <c r="R433" s="2" t="inlineStr"/>
    </row>
    <row r="434" ht="15" customHeight="1">
      <c r="A434" t="inlineStr">
        <is>
          <t>A 24655-2021</t>
        </is>
      </c>
      <c r="B434" s="1" t="n">
        <v>44340</v>
      </c>
      <c r="C434" s="1" t="n">
        <v>46158</v>
      </c>
      <c r="D434" t="inlineStr">
        <is>
          <t>KALMAR LÄN</t>
        </is>
      </c>
      <c r="E434" t="inlineStr">
        <is>
          <t>VIMMERBY</t>
        </is>
      </c>
      <c r="G434" t="n">
        <v>14.9</v>
      </c>
      <c r="H434" t="n">
        <v>0</v>
      </c>
      <c r="I434" t="n">
        <v>0</v>
      </c>
      <c r="J434" t="n">
        <v>0</v>
      </c>
      <c r="K434" t="n">
        <v>0</v>
      </c>
      <c r="L434" t="n">
        <v>0</v>
      </c>
      <c r="M434" t="n">
        <v>0</v>
      </c>
      <c r="N434" t="n">
        <v>0</v>
      </c>
      <c r="O434" t="n">
        <v>0</v>
      </c>
      <c r="P434" t="n">
        <v>0</v>
      </c>
      <c r="Q434" t="n">
        <v>0</v>
      </c>
      <c r="R434" s="2" t="inlineStr"/>
    </row>
    <row r="435" ht="15" customHeight="1">
      <c r="A435" t="inlineStr">
        <is>
          <t>A 50324-2025</t>
        </is>
      </c>
      <c r="B435" s="1" t="n">
        <v>45944.45962962963</v>
      </c>
      <c r="C435" s="1" t="n">
        <v>46158</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8410-2023</t>
        </is>
      </c>
      <c r="B436" s="1" t="n">
        <v>44977</v>
      </c>
      <c r="C436" s="1" t="n">
        <v>46158</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6028-2023</t>
        </is>
      </c>
      <c r="B437" s="1" t="n">
        <v>44964.44356481481</v>
      </c>
      <c r="C437" s="1" t="n">
        <v>46158</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52823-2024</t>
        </is>
      </c>
      <c r="B438" s="1" t="n">
        <v>45610.59094907407</v>
      </c>
      <c r="C438" s="1" t="n">
        <v>46158</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19502-2025</t>
        </is>
      </c>
      <c r="B439" s="1" t="n">
        <v>45769</v>
      </c>
      <c r="C439" s="1" t="n">
        <v>46158</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50544-2025</t>
        </is>
      </c>
      <c r="B440" s="1" t="n">
        <v>45945.50736111111</v>
      </c>
      <c r="C440" s="1" t="n">
        <v>46158</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56853-2022</t>
        </is>
      </c>
      <c r="B441" s="1" t="n">
        <v>44894.49538194444</v>
      </c>
      <c r="C441" s="1" t="n">
        <v>46158</v>
      </c>
      <c r="D441" t="inlineStr">
        <is>
          <t>KALMAR LÄN</t>
        </is>
      </c>
      <c r="E441" t="inlineStr">
        <is>
          <t>VIMMERBY</t>
        </is>
      </c>
      <c r="G441" t="n">
        <v>4.3</v>
      </c>
      <c r="H441" t="n">
        <v>0</v>
      </c>
      <c r="I441" t="n">
        <v>0</v>
      </c>
      <c r="J441" t="n">
        <v>0</v>
      </c>
      <c r="K441" t="n">
        <v>0</v>
      </c>
      <c r="L441" t="n">
        <v>0</v>
      </c>
      <c r="M441" t="n">
        <v>0</v>
      </c>
      <c r="N441" t="n">
        <v>0</v>
      </c>
      <c r="O441" t="n">
        <v>0</v>
      </c>
      <c r="P441" t="n">
        <v>0</v>
      </c>
      <c r="Q441" t="n">
        <v>0</v>
      </c>
      <c r="R441" s="2" t="inlineStr"/>
    </row>
    <row r="442" ht="15" customHeight="1">
      <c r="A442" t="inlineStr">
        <is>
          <t>A 11152-2023</t>
        </is>
      </c>
      <c r="B442" s="1" t="n">
        <v>44992</v>
      </c>
      <c r="C442" s="1" t="n">
        <v>46158</v>
      </c>
      <c r="D442" t="inlineStr">
        <is>
          <t>KALMAR LÄN</t>
        </is>
      </c>
      <c r="E442" t="inlineStr">
        <is>
          <t>VIMMERBY</t>
        </is>
      </c>
      <c r="G442" t="n">
        <v>10.6</v>
      </c>
      <c r="H442" t="n">
        <v>0</v>
      </c>
      <c r="I442" t="n">
        <v>0</v>
      </c>
      <c r="J442" t="n">
        <v>0</v>
      </c>
      <c r="K442" t="n">
        <v>0</v>
      </c>
      <c r="L442" t="n">
        <v>0</v>
      </c>
      <c r="M442" t="n">
        <v>0</v>
      </c>
      <c r="N442" t="n">
        <v>0</v>
      </c>
      <c r="O442" t="n">
        <v>0</v>
      </c>
      <c r="P442" t="n">
        <v>0</v>
      </c>
      <c r="Q442" t="n">
        <v>0</v>
      </c>
      <c r="R442" s="2" t="inlineStr"/>
    </row>
    <row r="443" ht="15" customHeight="1">
      <c r="A443" t="inlineStr">
        <is>
          <t>A 15550-2023</t>
        </is>
      </c>
      <c r="B443" s="1" t="n">
        <v>45020</v>
      </c>
      <c r="C443" s="1" t="n">
        <v>46158</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36273-2025</t>
        </is>
      </c>
      <c r="B444" s="1" t="n">
        <v>45867.63094907408</v>
      </c>
      <c r="C444" s="1" t="n">
        <v>46158</v>
      </c>
      <c r="D444" t="inlineStr">
        <is>
          <t>KALMAR LÄN</t>
        </is>
      </c>
      <c r="E444" t="inlineStr">
        <is>
          <t>VIMMERBY</t>
        </is>
      </c>
      <c r="G444" t="n">
        <v>1.7</v>
      </c>
      <c r="H444" t="n">
        <v>0</v>
      </c>
      <c r="I444" t="n">
        <v>0</v>
      </c>
      <c r="J444" t="n">
        <v>0</v>
      </c>
      <c r="K444" t="n">
        <v>0</v>
      </c>
      <c r="L444" t="n">
        <v>0</v>
      </c>
      <c r="M444" t="n">
        <v>0</v>
      </c>
      <c r="N444" t="n">
        <v>0</v>
      </c>
      <c r="O444" t="n">
        <v>0</v>
      </c>
      <c r="P444" t="n">
        <v>0</v>
      </c>
      <c r="Q444" t="n">
        <v>0</v>
      </c>
      <c r="R444" s="2" t="inlineStr"/>
    </row>
    <row r="445" ht="15" customHeight="1">
      <c r="A445" t="inlineStr">
        <is>
          <t>A 51062-2025</t>
        </is>
      </c>
      <c r="B445" s="1" t="n">
        <v>45947.44685185186</v>
      </c>
      <c r="C445" s="1" t="n">
        <v>46158</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36299-2025</t>
        </is>
      </c>
      <c r="B446" s="1" t="n">
        <v>45867.69346064814</v>
      </c>
      <c r="C446" s="1" t="n">
        <v>46158</v>
      </c>
      <c r="D446" t="inlineStr">
        <is>
          <t>KALMAR LÄN</t>
        </is>
      </c>
      <c r="E446" t="inlineStr">
        <is>
          <t>VIMMERBY</t>
        </is>
      </c>
      <c r="G446" t="n">
        <v>7.6</v>
      </c>
      <c r="H446" t="n">
        <v>0</v>
      </c>
      <c r="I446" t="n">
        <v>0</v>
      </c>
      <c r="J446" t="n">
        <v>0</v>
      </c>
      <c r="K446" t="n">
        <v>0</v>
      </c>
      <c r="L446" t="n">
        <v>0</v>
      </c>
      <c r="M446" t="n">
        <v>0</v>
      </c>
      <c r="N446" t="n">
        <v>0</v>
      </c>
      <c r="O446" t="n">
        <v>0</v>
      </c>
      <c r="P446" t="n">
        <v>0</v>
      </c>
      <c r="Q446" t="n">
        <v>0</v>
      </c>
      <c r="R446" s="2" t="inlineStr"/>
    </row>
    <row r="447" ht="15" customHeight="1">
      <c r="A447" t="inlineStr">
        <is>
          <t>A 36221-2025</t>
        </is>
      </c>
      <c r="B447" s="1" t="n">
        <v>45867.50792824074</v>
      </c>
      <c r="C447" s="1" t="n">
        <v>46158</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36226-2025</t>
        </is>
      </c>
      <c r="B448" s="1" t="n">
        <v>45867.51630787037</v>
      </c>
      <c r="C448" s="1" t="n">
        <v>46158</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31355-2023</t>
        </is>
      </c>
      <c r="B449" s="1" t="n">
        <v>45114.49505787037</v>
      </c>
      <c r="C449" s="1" t="n">
        <v>46158</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18330-2023</t>
        </is>
      </c>
      <c r="B450" s="1" t="n">
        <v>45041</v>
      </c>
      <c r="C450" s="1" t="n">
        <v>46158</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36297-2025</t>
        </is>
      </c>
      <c r="B451" s="1" t="n">
        <v>45867.68625</v>
      </c>
      <c r="C451" s="1" t="n">
        <v>46158</v>
      </c>
      <c r="D451" t="inlineStr">
        <is>
          <t>KALMAR LÄN</t>
        </is>
      </c>
      <c r="E451" t="inlineStr">
        <is>
          <t>VIMMERBY</t>
        </is>
      </c>
      <c r="G451" t="n">
        <v>4.9</v>
      </c>
      <c r="H451" t="n">
        <v>0</v>
      </c>
      <c r="I451" t="n">
        <v>0</v>
      </c>
      <c r="J451" t="n">
        <v>0</v>
      </c>
      <c r="K451" t="n">
        <v>0</v>
      </c>
      <c r="L451" t="n">
        <v>0</v>
      </c>
      <c r="M451" t="n">
        <v>0</v>
      </c>
      <c r="N451" t="n">
        <v>0</v>
      </c>
      <c r="O451" t="n">
        <v>0</v>
      </c>
      <c r="P451" t="n">
        <v>0</v>
      </c>
      <c r="Q451" t="n">
        <v>0</v>
      </c>
      <c r="R451" s="2" t="inlineStr"/>
    </row>
    <row r="452" ht="15" customHeight="1">
      <c r="A452" t="inlineStr">
        <is>
          <t>A 36246-2025</t>
        </is>
      </c>
      <c r="B452" s="1" t="n">
        <v>45867.56320601852</v>
      </c>
      <c r="C452" s="1" t="n">
        <v>46158</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46158</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58100-2024</t>
        </is>
      </c>
      <c r="B454" s="1" t="n">
        <v>45632.36706018518</v>
      </c>
      <c r="C454" s="1" t="n">
        <v>46158</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36538-2025</t>
        </is>
      </c>
      <c r="B455" s="1" t="n">
        <v>45869.62276620371</v>
      </c>
      <c r="C455" s="1" t="n">
        <v>46158</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27993-2022</t>
        </is>
      </c>
      <c r="B456" s="1" t="n">
        <v>44745.84396990741</v>
      </c>
      <c r="C456" s="1" t="n">
        <v>46158</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38969-2023</t>
        </is>
      </c>
      <c r="B457" s="1" t="n">
        <v>45163.63621527778</v>
      </c>
      <c r="C457" s="1" t="n">
        <v>46158</v>
      </c>
      <c r="D457" t="inlineStr">
        <is>
          <t>KALMAR LÄN</t>
        </is>
      </c>
      <c r="E457" t="inlineStr">
        <is>
          <t>VIMMERBY</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36598-2025</t>
        </is>
      </c>
      <c r="B458" s="1" t="n">
        <v>45870.51708333333</v>
      </c>
      <c r="C458" s="1" t="n">
        <v>46158</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36602-2025</t>
        </is>
      </c>
      <c r="B459" s="1" t="n">
        <v>45870.52111111111</v>
      </c>
      <c r="C459" s="1" t="n">
        <v>46158</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36600-2025</t>
        </is>
      </c>
      <c r="B460" s="1" t="n">
        <v>45870.51958333333</v>
      </c>
      <c r="C460" s="1" t="n">
        <v>46158</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36601-2025</t>
        </is>
      </c>
      <c r="B461" s="1" t="n">
        <v>45870.52005787037</v>
      </c>
      <c r="C461" s="1" t="n">
        <v>46158</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36603-2025</t>
        </is>
      </c>
      <c r="B462" s="1" t="n">
        <v>45870.52142361111</v>
      </c>
      <c r="C462" s="1" t="n">
        <v>46158</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53752-2024</t>
        </is>
      </c>
      <c r="B463" s="1" t="n">
        <v>45615.48927083334</v>
      </c>
      <c r="C463" s="1" t="n">
        <v>46158</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51993-2025</t>
        </is>
      </c>
      <c r="B464" s="1" t="n">
        <v>45952.58194444444</v>
      </c>
      <c r="C464" s="1" t="n">
        <v>46158</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51990-2025</t>
        </is>
      </c>
      <c r="B465" s="1" t="n">
        <v>45952.58061342593</v>
      </c>
      <c r="C465" s="1" t="n">
        <v>46158</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52473-2025</t>
        </is>
      </c>
      <c r="B466" s="1" t="n">
        <v>45954.45947916667</v>
      </c>
      <c r="C466" s="1" t="n">
        <v>46158</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52480-2025</t>
        </is>
      </c>
      <c r="B467" s="1" t="n">
        <v>45954.47172453703</v>
      </c>
      <c r="C467" s="1" t="n">
        <v>46158</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58728-2024</t>
        </is>
      </c>
      <c r="B468" s="1" t="n">
        <v>45635.66695601852</v>
      </c>
      <c r="C468" s="1" t="n">
        <v>46158</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43242-2024</t>
        </is>
      </c>
      <c r="B469" s="1" t="n">
        <v>45568.30189814815</v>
      </c>
      <c r="C469" s="1" t="n">
        <v>46158</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16983-2023</t>
        </is>
      </c>
      <c r="B470" s="1" t="n">
        <v>45033.76043981482</v>
      </c>
      <c r="C470" s="1" t="n">
        <v>46158</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52466-2025</t>
        </is>
      </c>
      <c r="B471" s="1" t="n">
        <v>45954.44707175926</v>
      </c>
      <c r="C471" s="1" t="n">
        <v>46158</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6405-2025</t>
        </is>
      </c>
      <c r="B472" s="1" t="n">
        <v>45699.45392361111</v>
      </c>
      <c r="C472" s="1" t="n">
        <v>46158</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36843-2023</t>
        </is>
      </c>
      <c r="B473" s="1" t="n">
        <v>45154.49831018518</v>
      </c>
      <c r="C473" s="1" t="n">
        <v>46158</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52516-2025</t>
        </is>
      </c>
      <c r="B474" s="1" t="n">
        <v>45954.51412037037</v>
      </c>
      <c r="C474" s="1" t="n">
        <v>46158</v>
      </c>
      <c r="D474" t="inlineStr">
        <is>
          <t>KALMAR LÄN</t>
        </is>
      </c>
      <c r="E474" t="inlineStr">
        <is>
          <t>VIMMERBY</t>
        </is>
      </c>
      <c r="G474" t="n">
        <v>2.8</v>
      </c>
      <c r="H474" t="n">
        <v>0</v>
      </c>
      <c r="I474" t="n">
        <v>0</v>
      </c>
      <c r="J474" t="n">
        <v>0</v>
      </c>
      <c r="K474" t="n">
        <v>0</v>
      </c>
      <c r="L474" t="n">
        <v>0</v>
      </c>
      <c r="M474" t="n">
        <v>0</v>
      </c>
      <c r="N474" t="n">
        <v>0</v>
      </c>
      <c r="O474" t="n">
        <v>0</v>
      </c>
      <c r="P474" t="n">
        <v>0</v>
      </c>
      <c r="Q474" t="n">
        <v>0</v>
      </c>
      <c r="R474" s="2" t="inlineStr"/>
    </row>
    <row r="475" ht="15" customHeight="1">
      <c r="A475" t="inlineStr">
        <is>
          <t>A 36934-2025</t>
        </is>
      </c>
      <c r="B475" s="1" t="n">
        <v>45874.57109953704</v>
      </c>
      <c r="C475" s="1" t="n">
        <v>46158</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52465-2025</t>
        </is>
      </c>
      <c r="B476" s="1" t="n">
        <v>45954.44543981482</v>
      </c>
      <c r="C476" s="1" t="n">
        <v>46158</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57486-2024</t>
        </is>
      </c>
      <c r="B477" s="1" t="n">
        <v>45630.35827546296</v>
      </c>
      <c r="C477" s="1" t="n">
        <v>46158</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37088-2025</t>
        </is>
      </c>
      <c r="B478" s="1" t="n">
        <v>45875.45716435185</v>
      </c>
      <c r="C478" s="1" t="n">
        <v>46158</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37102-2025</t>
        </is>
      </c>
      <c r="B479" s="1" t="n">
        <v>45875.47454861111</v>
      </c>
      <c r="C479" s="1" t="n">
        <v>46158</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44423-2023</t>
        </is>
      </c>
      <c r="B480" s="1" t="n">
        <v>45189</v>
      </c>
      <c r="C480" s="1" t="n">
        <v>46158</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6817-2026</t>
        </is>
      </c>
      <c r="B481" s="1" t="n">
        <v>46057.38412037037</v>
      </c>
      <c r="C481" s="1" t="n">
        <v>46158</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20-2025</t>
        </is>
      </c>
      <c r="B482" s="1" t="n">
        <v>45658.80232638889</v>
      </c>
      <c r="C482" s="1" t="n">
        <v>46158</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23-2025</t>
        </is>
      </c>
      <c r="B483" s="1" t="n">
        <v>45658.80827546296</v>
      </c>
      <c r="C483" s="1" t="n">
        <v>46158</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21496-2023</t>
        </is>
      </c>
      <c r="B484" s="1" t="n">
        <v>45063.49936342592</v>
      </c>
      <c r="C484" s="1" t="n">
        <v>46158</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37079-2025</t>
        </is>
      </c>
      <c r="B485" s="1" t="n">
        <v>45875.42716435185</v>
      </c>
      <c r="C485" s="1" t="n">
        <v>46158</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31056-2022</t>
        </is>
      </c>
      <c r="B486" s="1" t="n">
        <v>44769.45805555556</v>
      </c>
      <c r="C486" s="1" t="n">
        <v>46158</v>
      </c>
      <c r="D486" t="inlineStr">
        <is>
          <t>KALMAR LÄN</t>
        </is>
      </c>
      <c r="E486" t="inlineStr">
        <is>
          <t>VIMMERBY</t>
        </is>
      </c>
      <c r="G486" t="n">
        <v>2</v>
      </c>
      <c r="H486" t="n">
        <v>0</v>
      </c>
      <c r="I486" t="n">
        <v>0</v>
      </c>
      <c r="J486" t="n">
        <v>0</v>
      </c>
      <c r="K486" t="n">
        <v>0</v>
      </c>
      <c r="L486" t="n">
        <v>0</v>
      </c>
      <c r="M486" t="n">
        <v>0</v>
      </c>
      <c r="N486" t="n">
        <v>0</v>
      </c>
      <c r="O486" t="n">
        <v>0</v>
      </c>
      <c r="P486" t="n">
        <v>0</v>
      </c>
      <c r="Q486" t="n">
        <v>0</v>
      </c>
      <c r="R486" s="2" t="inlineStr"/>
    </row>
    <row r="487" ht="15" customHeight="1">
      <c r="A487" t="inlineStr">
        <is>
          <t>A 37668-2025</t>
        </is>
      </c>
      <c r="B487" s="1" t="n">
        <v>45880.51550925926</v>
      </c>
      <c r="C487" s="1" t="n">
        <v>46158</v>
      </c>
      <c r="D487" t="inlineStr">
        <is>
          <t>KALMAR LÄN</t>
        </is>
      </c>
      <c r="E487" t="inlineStr">
        <is>
          <t>VIMMERBY</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37578-2025</t>
        </is>
      </c>
      <c r="B488" s="1" t="n">
        <v>45880.38380787037</v>
      </c>
      <c r="C488" s="1" t="n">
        <v>46158</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52475-2025</t>
        </is>
      </c>
      <c r="B489" s="1" t="n">
        <v>45954.468125</v>
      </c>
      <c r="C489" s="1" t="n">
        <v>46158</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53220-2025</t>
        </is>
      </c>
      <c r="B490" s="1" t="n">
        <v>45958.60146990741</v>
      </c>
      <c r="C490" s="1" t="n">
        <v>46158</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72701-2021</t>
        </is>
      </c>
      <c r="B491" s="1" t="n">
        <v>44546</v>
      </c>
      <c r="C491" s="1" t="n">
        <v>46158</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52294-2023</t>
        </is>
      </c>
      <c r="B492" s="1" t="n">
        <v>45224.60075231481</v>
      </c>
      <c r="C492" s="1" t="n">
        <v>46158</v>
      </c>
      <c r="D492" t="inlineStr">
        <is>
          <t>KALMAR LÄN</t>
        </is>
      </c>
      <c r="E492" t="inlineStr">
        <is>
          <t>VIMMERBY</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46158</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52451-2025</t>
        </is>
      </c>
      <c r="B494" s="1" t="n">
        <v>45954.42326388889</v>
      </c>
      <c r="C494" s="1" t="n">
        <v>46158</v>
      </c>
      <c r="D494" t="inlineStr">
        <is>
          <t>KALMAR LÄN</t>
        </is>
      </c>
      <c r="E494" t="inlineStr">
        <is>
          <t>VIMMERBY</t>
        </is>
      </c>
      <c r="G494" t="n">
        <v>2.8</v>
      </c>
      <c r="H494" t="n">
        <v>0</v>
      </c>
      <c r="I494" t="n">
        <v>0</v>
      </c>
      <c r="J494" t="n">
        <v>0</v>
      </c>
      <c r="K494" t="n">
        <v>0</v>
      </c>
      <c r="L494" t="n">
        <v>0</v>
      </c>
      <c r="M494" t="n">
        <v>0</v>
      </c>
      <c r="N494" t="n">
        <v>0</v>
      </c>
      <c r="O494" t="n">
        <v>0</v>
      </c>
      <c r="P494" t="n">
        <v>0</v>
      </c>
      <c r="Q494" t="n">
        <v>0</v>
      </c>
      <c r="R494" s="2" t="inlineStr"/>
    </row>
    <row r="495" ht="15" customHeight="1">
      <c r="A495" t="inlineStr">
        <is>
          <t>A 53393-2025</t>
        </is>
      </c>
      <c r="B495" s="1" t="n">
        <v>45959.55284722222</v>
      </c>
      <c r="C495" s="1" t="n">
        <v>46158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53398-2025</t>
        </is>
      </c>
      <c r="B496" s="1" t="n">
        <v>45959.56247685185</v>
      </c>
      <c r="C496" s="1" t="n">
        <v>46158</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53397-2025</t>
        </is>
      </c>
      <c r="B497" s="1" t="n">
        <v>45959.55918981481</v>
      </c>
      <c r="C497" s="1" t="n">
        <v>46158</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53416-2025</t>
        </is>
      </c>
      <c r="B498" s="1" t="n">
        <v>45959.58387731481</v>
      </c>
      <c r="C498" s="1" t="n">
        <v>46158</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53413-2025</t>
        </is>
      </c>
      <c r="B499" s="1" t="n">
        <v>45959.5787037037</v>
      </c>
      <c r="C499" s="1" t="n">
        <v>46158</v>
      </c>
      <c r="D499" t="inlineStr">
        <is>
          <t>KALMAR LÄN</t>
        </is>
      </c>
      <c r="E499" t="inlineStr">
        <is>
          <t>VIMMERBY</t>
        </is>
      </c>
      <c r="G499" t="n">
        <v>4.3</v>
      </c>
      <c r="H499" t="n">
        <v>0</v>
      </c>
      <c r="I499" t="n">
        <v>0</v>
      </c>
      <c r="J499" t="n">
        <v>0</v>
      </c>
      <c r="K499" t="n">
        <v>0</v>
      </c>
      <c r="L499" t="n">
        <v>0</v>
      </c>
      <c r="M499" t="n">
        <v>0</v>
      </c>
      <c r="N499" t="n">
        <v>0</v>
      </c>
      <c r="O499" t="n">
        <v>0</v>
      </c>
      <c r="P499" t="n">
        <v>0</v>
      </c>
      <c r="Q499" t="n">
        <v>0</v>
      </c>
      <c r="R499" s="2" t="inlineStr"/>
    </row>
    <row r="500" ht="15" customHeight="1">
      <c r="A500" t="inlineStr">
        <is>
          <t>A 33374-2021</t>
        </is>
      </c>
      <c r="B500" s="1" t="n">
        <v>44377</v>
      </c>
      <c r="C500" s="1" t="n">
        <v>46158</v>
      </c>
      <c r="D500" t="inlineStr">
        <is>
          <t>KALMAR LÄN</t>
        </is>
      </c>
      <c r="E500" t="inlineStr">
        <is>
          <t>VIMMERBY</t>
        </is>
      </c>
      <c r="G500" t="n">
        <v>3.3</v>
      </c>
      <c r="H500" t="n">
        <v>0</v>
      </c>
      <c r="I500" t="n">
        <v>0</v>
      </c>
      <c r="J500" t="n">
        <v>0</v>
      </c>
      <c r="K500" t="n">
        <v>0</v>
      </c>
      <c r="L500" t="n">
        <v>0</v>
      </c>
      <c r="M500" t="n">
        <v>0</v>
      </c>
      <c r="N500" t="n">
        <v>0</v>
      </c>
      <c r="O500" t="n">
        <v>0</v>
      </c>
      <c r="P500" t="n">
        <v>0</v>
      </c>
      <c r="Q500" t="n">
        <v>0</v>
      </c>
      <c r="R500" s="2" t="inlineStr"/>
    </row>
    <row r="501" ht="15" customHeight="1">
      <c r="A501" t="inlineStr">
        <is>
          <t>A 10759-2023</t>
        </is>
      </c>
      <c r="B501" s="1" t="n">
        <v>44988</v>
      </c>
      <c r="C501" s="1" t="n">
        <v>46158</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18899-2025</t>
        </is>
      </c>
      <c r="B502" s="1" t="n">
        <v>45764.44931712963</v>
      </c>
      <c r="C502" s="1" t="n">
        <v>46158</v>
      </c>
      <c r="D502" t="inlineStr">
        <is>
          <t>KALMAR LÄN</t>
        </is>
      </c>
      <c r="E502" t="inlineStr">
        <is>
          <t>VIMMERBY</t>
        </is>
      </c>
      <c r="F502" t="inlineStr">
        <is>
          <t>Kommuner</t>
        </is>
      </c>
      <c r="G502" t="n">
        <v>4</v>
      </c>
      <c r="H502" t="n">
        <v>0</v>
      </c>
      <c r="I502" t="n">
        <v>0</v>
      </c>
      <c r="J502" t="n">
        <v>0</v>
      </c>
      <c r="K502" t="n">
        <v>0</v>
      </c>
      <c r="L502" t="n">
        <v>0</v>
      </c>
      <c r="M502" t="n">
        <v>0</v>
      </c>
      <c r="N502" t="n">
        <v>0</v>
      </c>
      <c r="O502" t="n">
        <v>0</v>
      </c>
      <c r="P502" t="n">
        <v>0</v>
      </c>
      <c r="Q502" t="n">
        <v>0</v>
      </c>
      <c r="R502" s="2" t="inlineStr"/>
    </row>
    <row r="503" ht="15" customHeight="1">
      <c r="A503" t="inlineStr">
        <is>
          <t>A 53396-2025</t>
        </is>
      </c>
      <c r="B503" s="1" t="n">
        <v>45959.55577546296</v>
      </c>
      <c r="C503" s="1" t="n">
        <v>46158</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53788-2025</t>
        </is>
      </c>
      <c r="B504" s="1" t="n">
        <v>45960</v>
      </c>
      <c r="C504" s="1" t="n">
        <v>46158</v>
      </c>
      <c r="D504" t="inlineStr">
        <is>
          <t>KALMAR LÄN</t>
        </is>
      </c>
      <c r="E504" t="inlineStr">
        <is>
          <t>VIMMERBY</t>
        </is>
      </c>
      <c r="F504" t="inlineStr">
        <is>
          <t>Övriga statliga verk och myndigheter</t>
        </is>
      </c>
      <c r="G504" t="n">
        <v>6.3</v>
      </c>
      <c r="H504" t="n">
        <v>0</v>
      </c>
      <c r="I504" t="n">
        <v>0</v>
      </c>
      <c r="J504" t="n">
        <v>0</v>
      </c>
      <c r="K504" t="n">
        <v>0</v>
      </c>
      <c r="L504" t="n">
        <v>0</v>
      </c>
      <c r="M504" t="n">
        <v>0</v>
      </c>
      <c r="N504" t="n">
        <v>0</v>
      </c>
      <c r="O504" t="n">
        <v>0</v>
      </c>
      <c r="P504" t="n">
        <v>0</v>
      </c>
      <c r="Q504" t="n">
        <v>0</v>
      </c>
      <c r="R504" s="2" t="inlineStr"/>
    </row>
    <row r="505" ht="15" customHeight="1">
      <c r="A505" t="inlineStr">
        <is>
          <t>A 37866-2025</t>
        </is>
      </c>
      <c r="B505" s="1" t="n">
        <v>45881</v>
      </c>
      <c r="C505" s="1" t="n">
        <v>46158</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53927-2025</t>
        </is>
      </c>
      <c r="B506" s="1" t="n">
        <v>45961.46740740741</v>
      </c>
      <c r="C506" s="1" t="n">
        <v>46158</v>
      </c>
      <c r="D506" t="inlineStr">
        <is>
          <t>KALMAR LÄN</t>
        </is>
      </c>
      <c r="E506" t="inlineStr">
        <is>
          <t>VIMMERBY</t>
        </is>
      </c>
      <c r="G506" t="n">
        <v>2.5</v>
      </c>
      <c r="H506" t="n">
        <v>0</v>
      </c>
      <c r="I506" t="n">
        <v>0</v>
      </c>
      <c r="J506" t="n">
        <v>0</v>
      </c>
      <c r="K506" t="n">
        <v>0</v>
      </c>
      <c r="L506" t="n">
        <v>0</v>
      </c>
      <c r="M506" t="n">
        <v>0</v>
      </c>
      <c r="N506" t="n">
        <v>0</v>
      </c>
      <c r="O506" t="n">
        <v>0</v>
      </c>
      <c r="P506" t="n">
        <v>0</v>
      </c>
      <c r="Q506" t="n">
        <v>0</v>
      </c>
      <c r="R506" s="2" t="inlineStr"/>
    </row>
    <row r="507" ht="15" customHeight="1">
      <c r="A507" t="inlineStr">
        <is>
          <t>A 53933-2025</t>
        </is>
      </c>
      <c r="B507" s="1" t="n">
        <v>45961.47650462963</v>
      </c>
      <c r="C507" s="1" t="n">
        <v>46158</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54236-2025</t>
        </is>
      </c>
      <c r="B508" s="1" t="n">
        <v>45964.62671296296</v>
      </c>
      <c r="C508" s="1" t="n">
        <v>46158</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53923-2025</t>
        </is>
      </c>
      <c r="B509" s="1" t="n">
        <v>45961.4569212963</v>
      </c>
      <c r="C509" s="1" t="n">
        <v>46158</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53920-2025</t>
        </is>
      </c>
      <c r="B510" s="1" t="n">
        <v>45961.44951388889</v>
      </c>
      <c r="C510" s="1" t="n">
        <v>46158</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32614-2023</t>
        </is>
      </c>
      <c r="B511" s="1" t="n">
        <v>45121</v>
      </c>
      <c r="C511" s="1" t="n">
        <v>46158</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61939-2021</t>
        </is>
      </c>
      <c r="B512" s="1" t="n">
        <v>44502</v>
      </c>
      <c r="C512" s="1" t="n">
        <v>46158</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37939-2025</t>
        </is>
      </c>
      <c r="B513" s="1" t="n">
        <v>45881.59877314815</v>
      </c>
      <c r="C513" s="1" t="n">
        <v>46158</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54234-2025</t>
        </is>
      </c>
      <c r="B514" s="1" t="n">
        <v>45964.62486111111</v>
      </c>
      <c r="C514" s="1" t="n">
        <v>46158</v>
      </c>
      <c r="D514" t="inlineStr">
        <is>
          <t>KALMAR LÄN</t>
        </is>
      </c>
      <c r="E514" t="inlineStr">
        <is>
          <t>VIMMERBY</t>
        </is>
      </c>
      <c r="G514" t="n">
        <v>4.1</v>
      </c>
      <c r="H514" t="n">
        <v>0</v>
      </c>
      <c r="I514" t="n">
        <v>0</v>
      </c>
      <c r="J514" t="n">
        <v>0</v>
      </c>
      <c r="K514" t="n">
        <v>0</v>
      </c>
      <c r="L514" t="n">
        <v>0</v>
      </c>
      <c r="M514" t="n">
        <v>0</v>
      </c>
      <c r="N514" t="n">
        <v>0</v>
      </c>
      <c r="O514" t="n">
        <v>0</v>
      </c>
      <c r="P514" t="n">
        <v>0</v>
      </c>
      <c r="Q514" t="n">
        <v>0</v>
      </c>
      <c r="R514" s="2" t="inlineStr"/>
    </row>
    <row r="515" ht="15" customHeight="1">
      <c r="A515" t="inlineStr">
        <is>
          <t>A 53789-2025</t>
        </is>
      </c>
      <c r="B515" s="1" t="n">
        <v>45960</v>
      </c>
      <c r="C515" s="1" t="n">
        <v>46158</v>
      </c>
      <c r="D515" t="inlineStr">
        <is>
          <t>KALMAR LÄN</t>
        </is>
      </c>
      <c r="E515" t="inlineStr">
        <is>
          <t>VIMMERBY</t>
        </is>
      </c>
      <c r="F515" t="inlineStr">
        <is>
          <t>Övriga statliga verk och myndigheter</t>
        </is>
      </c>
      <c r="G515" t="n">
        <v>1.6</v>
      </c>
      <c r="H515" t="n">
        <v>0</v>
      </c>
      <c r="I515" t="n">
        <v>0</v>
      </c>
      <c r="J515" t="n">
        <v>0</v>
      </c>
      <c r="K515" t="n">
        <v>0</v>
      </c>
      <c r="L515" t="n">
        <v>0</v>
      </c>
      <c r="M515" t="n">
        <v>0</v>
      </c>
      <c r="N515" t="n">
        <v>0</v>
      </c>
      <c r="O515" t="n">
        <v>0</v>
      </c>
      <c r="P515" t="n">
        <v>0</v>
      </c>
      <c r="Q515" t="n">
        <v>0</v>
      </c>
      <c r="R515" s="2" t="inlineStr"/>
    </row>
    <row r="516" ht="15" customHeight="1">
      <c r="A516" t="inlineStr">
        <is>
          <t>A 53903-2025</t>
        </is>
      </c>
      <c r="B516" s="1" t="n">
        <v>45961.43738425926</v>
      </c>
      <c r="C516" s="1" t="n">
        <v>46158</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54737-2025</t>
        </is>
      </c>
      <c r="B517" s="1" t="n">
        <v>45966.56826388889</v>
      </c>
      <c r="C517" s="1" t="n">
        <v>46158</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6218-2025</t>
        </is>
      </c>
      <c r="B518" s="1" t="n">
        <v>45698.53336805556</v>
      </c>
      <c r="C518" s="1" t="n">
        <v>46158</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40076-2021</t>
        </is>
      </c>
      <c r="B519" s="1" t="n">
        <v>44418</v>
      </c>
      <c r="C519" s="1" t="n">
        <v>46158</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54813-2025</t>
        </is>
      </c>
      <c r="B520" s="1" t="n">
        <v>45966.64881944445</v>
      </c>
      <c r="C520" s="1" t="n">
        <v>46158</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8696-2026</t>
        </is>
      </c>
      <c r="B521" s="1" t="n">
        <v>46066.45273148148</v>
      </c>
      <c r="C521" s="1" t="n">
        <v>46158</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8595-2026</t>
        </is>
      </c>
      <c r="B522" s="1" t="n">
        <v>46065.7372337963</v>
      </c>
      <c r="C522" s="1" t="n">
        <v>46158</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55385-2025</t>
        </is>
      </c>
      <c r="B523" s="1" t="n">
        <v>45971.43350694444</v>
      </c>
      <c r="C523" s="1" t="n">
        <v>46158</v>
      </c>
      <c r="D523" t="inlineStr">
        <is>
          <t>KALMAR LÄN</t>
        </is>
      </c>
      <c r="E523" t="inlineStr">
        <is>
          <t>VIMMERBY</t>
        </is>
      </c>
      <c r="G523" t="n">
        <v>5</v>
      </c>
      <c r="H523" t="n">
        <v>0</v>
      </c>
      <c r="I523" t="n">
        <v>0</v>
      </c>
      <c r="J523" t="n">
        <v>0</v>
      </c>
      <c r="K523" t="n">
        <v>0</v>
      </c>
      <c r="L523" t="n">
        <v>0</v>
      </c>
      <c r="M523" t="n">
        <v>0</v>
      </c>
      <c r="N523" t="n">
        <v>0</v>
      </c>
      <c r="O523" t="n">
        <v>0</v>
      </c>
      <c r="P523" t="n">
        <v>0</v>
      </c>
      <c r="Q523" t="n">
        <v>0</v>
      </c>
      <c r="R523" s="2" t="inlineStr"/>
    </row>
    <row r="524" ht="15" customHeight="1">
      <c r="A524" t="inlineStr">
        <is>
          <t>A 12588-2025</t>
        </is>
      </c>
      <c r="B524" s="1" t="n">
        <v>45732.76936342593</v>
      </c>
      <c r="C524" s="1" t="n">
        <v>46158</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25979-2023</t>
        </is>
      </c>
      <c r="B525" s="1" t="n">
        <v>45090.89653935185</v>
      </c>
      <c r="C525" s="1" t="n">
        <v>46158</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25980-2023</t>
        </is>
      </c>
      <c r="B526" s="1" t="n">
        <v>45090.89880787037</v>
      </c>
      <c r="C526" s="1" t="n">
        <v>46158</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55602-2025</t>
        </is>
      </c>
      <c r="B527" s="1" t="n">
        <v>45971</v>
      </c>
      <c r="C527" s="1" t="n">
        <v>46158</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55603-2025</t>
        </is>
      </c>
      <c r="B528" s="1" t="n">
        <v>45971</v>
      </c>
      <c r="C528" s="1" t="n">
        <v>46158</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55605-2025</t>
        </is>
      </c>
      <c r="B529" s="1" t="n">
        <v>45971</v>
      </c>
      <c r="C529" s="1" t="n">
        <v>46158</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46921-2023</t>
        </is>
      </c>
      <c r="B530" s="1" t="n">
        <v>45201.39996527778</v>
      </c>
      <c r="C530" s="1" t="n">
        <v>46158</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10837-2023</t>
        </is>
      </c>
      <c r="B531" s="1" t="n">
        <v>44991.30547453704</v>
      </c>
      <c r="C531" s="1" t="n">
        <v>46158</v>
      </c>
      <c r="D531" t="inlineStr">
        <is>
          <t>KALMAR LÄN</t>
        </is>
      </c>
      <c r="E531" t="inlineStr">
        <is>
          <t>VIMMERBY</t>
        </is>
      </c>
      <c r="G531" t="n">
        <v>7.3</v>
      </c>
      <c r="H531" t="n">
        <v>0</v>
      </c>
      <c r="I531" t="n">
        <v>0</v>
      </c>
      <c r="J531" t="n">
        <v>0</v>
      </c>
      <c r="K531" t="n">
        <v>0</v>
      </c>
      <c r="L531" t="n">
        <v>0</v>
      </c>
      <c r="M531" t="n">
        <v>0</v>
      </c>
      <c r="N531" t="n">
        <v>0</v>
      </c>
      <c r="O531" t="n">
        <v>0</v>
      </c>
      <c r="P531" t="n">
        <v>0</v>
      </c>
      <c r="Q531" t="n">
        <v>0</v>
      </c>
      <c r="R531" s="2" t="inlineStr"/>
    </row>
    <row r="532" ht="15" customHeight="1">
      <c r="A532" t="inlineStr">
        <is>
          <t>A 10838-2023</t>
        </is>
      </c>
      <c r="B532" s="1" t="n">
        <v>44991</v>
      </c>
      <c r="C532" s="1" t="n">
        <v>46158</v>
      </c>
      <c r="D532" t="inlineStr">
        <is>
          <t>KALMAR LÄN</t>
        </is>
      </c>
      <c r="E532" t="inlineStr">
        <is>
          <t>VIMMERBY</t>
        </is>
      </c>
      <c r="G532" t="n">
        <v>5.1</v>
      </c>
      <c r="H532" t="n">
        <v>0</v>
      </c>
      <c r="I532" t="n">
        <v>0</v>
      </c>
      <c r="J532" t="n">
        <v>0</v>
      </c>
      <c r="K532" t="n">
        <v>0</v>
      </c>
      <c r="L532" t="n">
        <v>0</v>
      </c>
      <c r="M532" t="n">
        <v>0</v>
      </c>
      <c r="N532" t="n">
        <v>0</v>
      </c>
      <c r="O532" t="n">
        <v>0</v>
      </c>
      <c r="P532" t="n">
        <v>0</v>
      </c>
      <c r="Q532" t="n">
        <v>0</v>
      </c>
      <c r="R532" s="2" t="inlineStr"/>
    </row>
    <row r="533" ht="15" customHeight="1">
      <c r="A533" t="inlineStr">
        <is>
          <t>A 30912-2023</t>
        </is>
      </c>
      <c r="B533" s="1" t="n">
        <v>45113.41633101852</v>
      </c>
      <c r="C533" s="1" t="n">
        <v>46158</v>
      </c>
      <c r="D533" t="inlineStr">
        <is>
          <t>KALMAR LÄN</t>
        </is>
      </c>
      <c r="E533" t="inlineStr">
        <is>
          <t>VIMMERBY</t>
        </is>
      </c>
      <c r="G533" t="n">
        <v>5</v>
      </c>
      <c r="H533" t="n">
        <v>0</v>
      </c>
      <c r="I533" t="n">
        <v>0</v>
      </c>
      <c r="J533" t="n">
        <v>0</v>
      </c>
      <c r="K533" t="n">
        <v>0</v>
      </c>
      <c r="L533" t="n">
        <v>0</v>
      </c>
      <c r="M533" t="n">
        <v>0</v>
      </c>
      <c r="N533" t="n">
        <v>0</v>
      </c>
      <c r="O533" t="n">
        <v>0</v>
      </c>
      <c r="P533" t="n">
        <v>0</v>
      </c>
      <c r="Q533" t="n">
        <v>0</v>
      </c>
      <c r="R533" s="2" t="inlineStr"/>
    </row>
    <row r="534" ht="15" customHeight="1">
      <c r="A534" t="inlineStr">
        <is>
          <t>A 55436-2023</t>
        </is>
      </c>
      <c r="B534" s="1" t="n">
        <v>45238.4328587963</v>
      </c>
      <c r="C534" s="1" t="n">
        <v>46158</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21507-2023</t>
        </is>
      </c>
      <c r="B535" s="1" t="n">
        <v>45063.508125</v>
      </c>
      <c r="C535" s="1" t="n">
        <v>46158</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51187-2023</t>
        </is>
      </c>
      <c r="B536" s="1" t="n">
        <v>45219.40528935185</v>
      </c>
      <c r="C536" s="1" t="n">
        <v>46158</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13290-2025</t>
        </is>
      </c>
      <c r="B537" s="1" t="n">
        <v>45735.56751157407</v>
      </c>
      <c r="C537" s="1" t="n">
        <v>46158</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45560-2021</t>
        </is>
      </c>
      <c r="B538" s="1" t="n">
        <v>44440</v>
      </c>
      <c r="C538" s="1" t="n">
        <v>46158</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16622-2025</t>
        </is>
      </c>
      <c r="B539" s="1" t="n">
        <v>45754.33641203704</v>
      </c>
      <c r="C539" s="1" t="n">
        <v>46158</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31340-2023</t>
        </is>
      </c>
      <c r="B540" s="1" t="n">
        <v>45114.47895833333</v>
      </c>
      <c r="C540" s="1" t="n">
        <v>46158</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29168-2024</t>
        </is>
      </c>
      <c r="B541" s="1" t="n">
        <v>45482.49870370371</v>
      </c>
      <c r="C541" s="1" t="n">
        <v>46158</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29186-2024</t>
        </is>
      </c>
      <c r="B542" s="1" t="n">
        <v>45482.54844907407</v>
      </c>
      <c r="C542" s="1" t="n">
        <v>46158</v>
      </c>
      <c r="D542" t="inlineStr">
        <is>
          <t>KALMAR LÄN</t>
        </is>
      </c>
      <c r="E542" t="inlineStr">
        <is>
          <t>VIMMERBY</t>
        </is>
      </c>
      <c r="G542" t="n">
        <v>2.6</v>
      </c>
      <c r="H542" t="n">
        <v>0</v>
      </c>
      <c r="I542" t="n">
        <v>0</v>
      </c>
      <c r="J542" t="n">
        <v>0</v>
      </c>
      <c r="K542" t="n">
        <v>0</v>
      </c>
      <c r="L542" t="n">
        <v>0</v>
      </c>
      <c r="M542" t="n">
        <v>0</v>
      </c>
      <c r="N542" t="n">
        <v>0</v>
      </c>
      <c r="O542" t="n">
        <v>0</v>
      </c>
      <c r="P542" t="n">
        <v>0</v>
      </c>
      <c r="Q542" t="n">
        <v>0</v>
      </c>
      <c r="R542" s="2" t="inlineStr"/>
    </row>
    <row r="543" ht="15" customHeight="1">
      <c r="A543" t="inlineStr">
        <is>
          <t>A 35895-2024</t>
        </is>
      </c>
      <c r="B543" s="1" t="n">
        <v>45533.38870370371</v>
      </c>
      <c r="C543" s="1" t="n">
        <v>46158</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12590-2025</t>
        </is>
      </c>
      <c r="B544" s="1" t="n">
        <v>45732.79925925926</v>
      </c>
      <c r="C544" s="1" t="n">
        <v>46158</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30318-2023</t>
        </is>
      </c>
      <c r="B545" s="1" t="n">
        <v>45111.30824074074</v>
      </c>
      <c r="C545" s="1" t="n">
        <v>46158</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43186-2021</t>
        </is>
      </c>
      <c r="B546" s="1" t="n">
        <v>44431.84840277778</v>
      </c>
      <c r="C546" s="1" t="n">
        <v>46158</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60215-2022</t>
        </is>
      </c>
      <c r="B547" s="1" t="n">
        <v>44910.41346064815</v>
      </c>
      <c r="C547" s="1" t="n">
        <v>46158</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60230-2022</t>
        </is>
      </c>
      <c r="B548" s="1" t="n">
        <v>44910</v>
      </c>
      <c r="C548" s="1" t="n">
        <v>46158</v>
      </c>
      <c r="D548" t="inlineStr">
        <is>
          <t>KALMAR LÄN</t>
        </is>
      </c>
      <c r="E548" t="inlineStr">
        <is>
          <t>VIMMERBY</t>
        </is>
      </c>
      <c r="G548" t="n">
        <v>11.3</v>
      </c>
      <c r="H548" t="n">
        <v>0</v>
      </c>
      <c r="I548" t="n">
        <v>0</v>
      </c>
      <c r="J548" t="n">
        <v>0</v>
      </c>
      <c r="K548" t="n">
        <v>0</v>
      </c>
      <c r="L548" t="n">
        <v>0</v>
      </c>
      <c r="M548" t="n">
        <v>0</v>
      </c>
      <c r="N548" t="n">
        <v>0</v>
      </c>
      <c r="O548" t="n">
        <v>0</v>
      </c>
      <c r="P548" t="n">
        <v>0</v>
      </c>
      <c r="Q548" t="n">
        <v>0</v>
      </c>
      <c r="R548" s="2" t="inlineStr"/>
    </row>
    <row r="549" ht="15" customHeight="1">
      <c r="A549" t="inlineStr">
        <is>
          <t>A 5925-2022</t>
        </is>
      </c>
      <c r="B549" s="1" t="n">
        <v>44598.7384837963</v>
      </c>
      <c r="C549" s="1" t="n">
        <v>46158</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845-2023</t>
        </is>
      </c>
      <c r="B550" s="1" t="n">
        <v>44931</v>
      </c>
      <c r="C550" s="1" t="n">
        <v>46158</v>
      </c>
      <c r="D550" t="inlineStr">
        <is>
          <t>KALMAR LÄN</t>
        </is>
      </c>
      <c r="E550" t="inlineStr">
        <is>
          <t>VIMMERBY</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16119-2023</t>
        </is>
      </c>
      <c r="B551" s="1" t="n">
        <v>45027.59450231482</v>
      </c>
      <c r="C551" s="1" t="n">
        <v>46158</v>
      </c>
      <c r="D551" t="inlineStr">
        <is>
          <t>KALMAR LÄN</t>
        </is>
      </c>
      <c r="E551" t="inlineStr">
        <is>
          <t>VIMMERBY</t>
        </is>
      </c>
      <c r="F551" t="inlineStr">
        <is>
          <t>Kommuner</t>
        </is>
      </c>
      <c r="G551" t="n">
        <v>4.4</v>
      </c>
      <c r="H551" t="n">
        <v>0</v>
      </c>
      <c r="I551" t="n">
        <v>0</v>
      </c>
      <c r="J551" t="n">
        <v>0</v>
      </c>
      <c r="K551" t="n">
        <v>0</v>
      </c>
      <c r="L551" t="n">
        <v>0</v>
      </c>
      <c r="M551" t="n">
        <v>0</v>
      </c>
      <c r="N551" t="n">
        <v>0</v>
      </c>
      <c r="O551" t="n">
        <v>0</v>
      </c>
      <c r="P551" t="n">
        <v>0</v>
      </c>
      <c r="Q551" t="n">
        <v>0</v>
      </c>
      <c r="R551" s="2" t="inlineStr"/>
    </row>
    <row r="552" ht="15" customHeight="1">
      <c r="A552" t="inlineStr">
        <is>
          <t>A 30588-2023</t>
        </is>
      </c>
      <c r="B552" s="1" t="n">
        <v>45112.33599537037</v>
      </c>
      <c r="C552" s="1" t="n">
        <v>46158</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45528-2021</t>
        </is>
      </c>
      <c r="B553" s="1" t="n">
        <v>44440.60415509259</v>
      </c>
      <c r="C553" s="1" t="n">
        <v>46158</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57728-2025</t>
        </is>
      </c>
      <c r="B554" s="1" t="n">
        <v>45981</v>
      </c>
      <c r="C554" s="1" t="n">
        <v>46158</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16516-2023</t>
        </is>
      </c>
      <c r="B555" s="1" t="n">
        <v>45029</v>
      </c>
      <c r="C555" s="1" t="n">
        <v>46158</v>
      </c>
      <c r="D555" t="inlineStr">
        <is>
          <t>KALMAR LÄN</t>
        </is>
      </c>
      <c r="E555" t="inlineStr">
        <is>
          <t>VIMMERBY</t>
        </is>
      </c>
      <c r="G555" t="n">
        <v>4.3</v>
      </c>
      <c r="H555" t="n">
        <v>0</v>
      </c>
      <c r="I555" t="n">
        <v>0</v>
      </c>
      <c r="J555" t="n">
        <v>0</v>
      </c>
      <c r="K555" t="n">
        <v>0</v>
      </c>
      <c r="L555" t="n">
        <v>0</v>
      </c>
      <c r="M555" t="n">
        <v>0</v>
      </c>
      <c r="N555" t="n">
        <v>0</v>
      </c>
      <c r="O555" t="n">
        <v>0</v>
      </c>
      <c r="P555" t="n">
        <v>0</v>
      </c>
      <c r="Q555" t="n">
        <v>0</v>
      </c>
      <c r="R555" s="2" t="inlineStr"/>
    </row>
    <row r="556" ht="15" customHeight="1">
      <c r="A556" t="inlineStr">
        <is>
          <t>A 58442-2025</t>
        </is>
      </c>
      <c r="B556" s="1" t="n">
        <v>45985.61635416667</v>
      </c>
      <c r="C556" s="1" t="n">
        <v>46158</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58498-2025</t>
        </is>
      </c>
      <c r="B557" s="1" t="n">
        <v>45985.68671296296</v>
      </c>
      <c r="C557" s="1" t="n">
        <v>46158</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58501-2025</t>
        </is>
      </c>
      <c r="B558" s="1" t="n">
        <v>45985.69153935185</v>
      </c>
      <c r="C558" s="1" t="n">
        <v>46158</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58514-2025</t>
        </is>
      </c>
      <c r="B559" s="1" t="n">
        <v>45985.70513888889</v>
      </c>
      <c r="C559" s="1" t="n">
        <v>46158</v>
      </c>
      <c r="D559" t="inlineStr">
        <is>
          <t>KALMAR LÄN</t>
        </is>
      </c>
      <c r="E559" t="inlineStr">
        <is>
          <t>VIMMERBY</t>
        </is>
      </c>
      <c r="G559" t="n">
        <v>3.7</v>
      </c>
      <c r="H559" t="n">
        <v>0</v>
      </c>
      <c r="I559" t="n">
        <v>0</v>
      </c>
      <c r="J559" t="n">
        <v>0</v>
      </c>
      <c r="K559" t="n">
        <v>0</v>
      </c>
      <c r="L559" t="n">
        <v>0</v>
      </c>
      <c r="M559" t="n">
        <v>0</v>
      </c>
      <c r="N559" t="n">
        <v>0</v>
      </c>
      <c r="O559" t="n">
        <v>0</v>
      </c>
      <c r="P559" t="n">
        <v>0</v>
      </c>
      <c r="Q559" t="n">
        <v>0</v>
      </c>
      <c r="R559" s="2" t="inlineStr"/>
    </row>
    <row r="560" ht="15" customHeight="1">
      <c r="A560" t="inlineStr">
        <is>
          <t>A 2510-2023</t>
        </is>
      </c>
      <c r="B560" s="1" t="n">
        <v>44943.57309027778</v>
      </c>
      <c r="C560" s="1" t="n">
        <v>46158</v>
      </c>
      <c r="D560" t="inlineStr">
        <is>
          <t>KALMAR LÄN</t>
        </is>
      </c>
      <c r="E560" t="inlineStr">
        <is>
          <t>VIMMERBY</t>
        </is>
      </c>
      <c r="G560" t="n">
        <v>8.6</v>
      </c>
      <c r="H560" t="n">
        <v>0</v>
      </c>
      <c r="I560" t="n">
        <v>0</v>
      </c>
      <c r="J560" t="n">
        <v>0</v>
      </c>
      <c r="K560" t="n">
        <v>0</v>
      </c>
      <c r="L560" t="n">
        <v>0</v>
      </c>
      <c r="M560" t="n">
        <v>0</v>
      </c>
      <c r="N560" t="n">
        <v>0</v>
      </c>
      <c r="O560" t="n">
        <v>0</v>
      </c>
      <c r="P560" t="n">
        <v>0</v>
      </c>
      <c r="Q560" t="n">
        <v>0</v>
      </c>
      <c r="R560" s="2" t="inlineStr"/>
    </row>
    <row r="561" ht="15" customHeight="1">
      <c r="A561" t="inlineStr">
        <is>
          <t>A 58503-2025</t>
        </is>
      </c>
      <c r="B561" s="1" t="n">
        <v>45985.69509259259</v>
      </c>
      <c r="C561" s="1" t="n">
        <v>46158</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58446-2025</t>
        </is>
      </c>
      <c r="B562" s="1" t="n">
        <v>45985.62168981481</v>
      </c>
      <c r="C562" s="1" t="n">
        <v>46158</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58500-2025</t>
        </is>
      </c>
      <c r="B563" s="1" t="n">
        <v>45985.69008101852</v>
      </c>
      <c r="C563" s="1" t="n">
        <v>46158</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48373-2021</t>
        </is>
      </c>
      <c r="B564" s="1" t="n">
        <v>44451</v>
      </c>
      <c r="C564" s="1" t="n">
        <v>46158</v>
      </c>
      <c r="D564" t="inlineStr">
        <is>
          <t>KALMAR LÄN</t>
        </is>
      </c>
      <c r="E564" t="inlineStr">
        <is>
          <t>VIMMERBY</t>
        </is>
      </c>
      <c r="G564" t="n">
        <v>2.2</v>
      </c>
      <c r="H564" t="n">
        <v>0</v>
      </c>
      <c r="I564" t="n">
        <v>0</v>
      </c>
      <c r="J564" t="n">
        <v>0</v>
      </c>
      <c r="K564" t="n">
        <v>0</v>
      </c>
      <c r="L564" t="n">
        <v>0</v>
      </c>
      <c r="M564" t="n">
        <v>0</v>
      </c>
      <c r="N564" t="n">
        <v>0</v>
      </c>
      <c r="O564" t="n">
        <v>0</v>
      </c>
      <c r="P564" t="n">
        <v>0</v>
      </c>
      <c r="Q564" t="n">
        <v>0</v>
      </c>
      <c r="R564" s="2" t="inlineStr"/>
    </row>
    <row r="565" ht="15" customHeight="1">
      <c r="A565" t="inlineStr">
        <is>
          <t>A 58435-2025</t>
        </is>
      </c>
      <c r="B565" s="1" t="n">
        <v>45985.61501157407</v>
      </c>
      <c r="C565" s="1" t="n">
        <v>46158</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7485-2024</t>
        </is>
      </c>
      <c r="B566" s="1" t="n">
        <v>45346.67184027778</v>
      </c>
      <c r="C566" s="1" t="n">
        <v>46158</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59037-2025</t>
        </is>
      </c>
      <c r="B567" s="1" t="n">
        <v>45988.36508101852</v>
      </c>
      <c r="C567" s="1" t="n">
        <v>46158</v>
      </c>
      <c r="D567" t="inlineStr">
        <is>
          <t>KALMAR LÄN</t>
        </is>
      </c>
      <c r="E567" t="inlineStr">
        <is>
          <t>VIMMERBY</t>
        </is>
      </c>
      <c r="F567" t="inlineStr">
        <is>
          <t>Sveaskog</t>
        </is>
      </c>
      <c r="G567" t="n">
        <v>4</v>
      </c>
      <c r="H567" t="n">
        <v>0</v>
      </c>
      <c r="I567" t="n">
        <v>0</v>
      </c>
      <c r="J567" t="n">
        <v>0</v>
      </c>
      <c r="K567" t="n">
        <v>0</v>
      </c>
      <c r="L567" t="n">
        <v>0</v>
      </c>
      <c r="M567" t="n">
        <v>0</v>
      </c>
      <c r="N567" t="n">
        <v>0</v>
      </c>
      <c r="O567" t="n">
        <v>0</v>
      </c>
      <c r="P567" t="n">
        <v>0</v>
      </c>
      <c r="Q567" t="n">
        <v>0</v>
      </c>
      <c r="R567" s="2" t="inlineStr"/>
    </row>
    <row r="568" ht="15" customHeight="1">
      <c r="A568" t="inlineStr">
        <is>
          <t>A 59034-2025</t>
        </is>
      </c>
      <c r="B568" s="1" t="n">
        <v>45988.36243055556</v>
      </c>
      <c r="C568" s="1" t="n">
        <v>46158</v>
      </c>
      <c r="D568" t="inlineStr">
        <is>
          <t>KALMAR LÄN</t>
        </is>
      </c>
      <c r="E568" t="inlineStr">
        <is>
          <t>VIMMERBY</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59068-2025</t>
        </is>
      </c>
      <c r="B569" s="1" t="n">
        <v>45988.41725694444</v>
      </c>
      <c r="C569" s="1" t="n">
        <v>46158</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58858-2025</t>
        </is>
      </c>
      <c r="B570" s="1" t="n">
        <v>45987.4243287037</v>
      </c>
      <c r="C570" s="1" t="n">
        <v>46158</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59039-2025</t>
        </is>
      </c>
      <c r="B571" s="1" t="n">
        <v>45988.36790509259</v>
      </c>
      <c r="C571" s="1" t="n">
        <v>46158</v>
      </c>
      <c r="D571" t="inlineStr">
        <is>
          <t>KALMAR LÄN</t>
        </is>
      </c>
      <c r="E571" t="inlineStr">
        <is>
          <t>VIMMERBY</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6574-2023</t>
        </is>
      </c>
      <c r="B572" s="1" t="n">
        <v>44966</v>
      </c>
      <c r="C572" s="1" t="n">
        <v>46158</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20054-2023</t>
        </is>
      </c>
      <c r="B573" s="1" t="n">
        <v>45054.6750462963</v>
      </c>
      <c r="C573" s="1" t="n">
        <v>46158</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58750-2022</t>
        </is>
      </c>
      <c r="B574" s="1" t="n">
        <v>44903.33363425926</v>
      </c>
      <c r="C574" s="1" t="n">
        <v>46158</v>
      </c>
      <c r="D574" t="inlineStr">
        <is>
          <t>KALMAR LÄN</t>
        </is>
      </c>
      <c r="E574" t="inlineStr">
        <is>
          <t>VIMMERBY</t>
        </is>
      </c>
      <c r="G574" t="n">
        <v>3.3</v>
      </c>
      <c r="H574" t="n">
        <v>0</v>
      </c>
      <c r="I574" t="n">
        <v>0</v>
      </c>
      <c r="J574" t="n">
        <v>0</v>
      </c>
      <c r="K574" t="n">
        <v>0</v>
      </c>
      <c r="L574" t="n">
        <v>0</v>
      </c>
      <c r="M574" t="n">
        <v>0</v>
      </c>
      <c r="N574" t="n">
        <v>0</v>
      </c>
      <c r="O574" t="n">
        <v>0</v>
      </c>
      <c r="P574" t="n">
        <v>0</v>
      </c>
      <c r="Q574" t="n">
        <v>0</v>
      </c>
      <c r="R574" s="2" t="inlineStr"/>
    </row>
    <row r="575" ht="15" customHeight="1">
      <c r="A575" t="inlineStr">
        <is>
          <t>A 58841-2025</t>
        </is>
      </c>
      <c r="B575" s="1" t="n">
        <v>45987.36275462963</v>
      </c>
      <c r="C575" s="1" t="n">
        <v>46158</v>
      </c>
      <c r="D575" t="inlineStr">
        <is>
          <t>KALMAR LÄN</t>
        </is>
      </c>
      <c r="E575" t="inlineStr">
        <is>
          <t>VIMMERBY</t>
        </is>
      </c>
      <c r="G575" t="n">
        <v>3.5</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44578.62943287037</v>
      </c>
      <c r="C576" s="1" t="n">
        <v>46158</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50860-2022</t>
        </is>
      </c>
      <c r="B577" s="1" t="n">
        <v>44867</v>
      </c>
      <c r="C577" s="1" t="n">
        <v>46158</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53483-2022</t>
        </is>
      </c>
      <c r="B578" s="1" t="n">
        <v>44879.55940972222</v>
      </c>
      <c r="C578" s="1" t="n">
        <v>46158</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58962-2022</t>
        </is>
      </c>
      <c r="B579" s="1" t="n">
        <v>44903</v>
      </c>
      <c r="C579" s="1" t="n">
        <v>46158</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59579-2025</t>
        </is>
      </c>
      <c r="B580" s="1" t="n">
        <v>45992.30569444445</v>
      </c>
      <c r="C580" s="1" t="n">
        <v>46158</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58967-2022</t>
        </is>
      </c>
      <c r="B581" s="1" t="n">
        <v>44896</v>
      </c>
      <c r="C581" s="1" t="n">
        <v>46158</v>
      </c>
      <c r="D581" t="inlineStr">
        <is>
          <t>KALMAR LÄN</t>
        </is>
      </c>
      <c r="E581" t="inlineStr">
        <is>
          <t>VIMMERBY</t>
        </is>
      </c>
      <c r="G581" t="n">
        <v>5</v>
      </c>
      <c r="H581" t="n">
        <v>0</v>
      </c>
      <c r="I581" t="n">
        <v>0</v>
      </c>
      <c r="J581" t="n">
        <v>0</v>
      </c>
      <c r="K581" t="n">
        <v>0</v>
      </c>
      <c r="L581" t="n">
        <v>0</v>
      </c>
      <c r="M581" t="n">
        <v>0</v>
      </c>
      <c r="N581" t="n">
        <v>0</v>
      </c>
      <c r="O581" t="n">
        <v>0</v>
      </c>
      <c r="P581" t="n">
        <v>0</v>
      </c>
      <c r="Q581" t="n">
        <v>0</v>
      </c>
      <c r="R581" s="2" t="inlineStr"/>
    </row>
    <row r="582" ht="15" customHeight="1">
      <c r="A582" t="inlineStr">
        <is>
          <t>A 57682-2022</t>
        </is>
      </c>
      <c r="B582" s="1" t="n">
        <v>44890</v>
      </c>
      <c r="C582" s="1" t="n">
        <v>46158</v>
      </c>
      <c r="D582" t="inlineStr">
        <is>
          <t>KALMAR LÄN</t>
        </is>
      </c>
      <c r="E582" t="inlineStr">
        <is>
          <t>VIMMERBY</t>
        </is>
      </c>
      <c r="G582" t="n">
        <v>1.5</v>
      </c>
      <c r="H582" t="n">
        <v>0</v>
      </c>
      <c r="I582" t="n">
        <v>0</v>
      </c>
      <c r="J582" t="n">
        <v>0</v>
      </c>
      <c r="K582" t="n">
        <v>0</v>
      </c>
      <c r="L582" t="n">
        <v>0</v>
      </c>
      <c r="M582" t="n">
        <v>0</v>
      </c>
      <c r="N582" t="n">
        <v>0</v>
      </c>
      <c r="O582" t="n">
        <v>0</v>
      </c>
      <c r="P582" t="n">
        <v>0</v>
      </c>
      <c r="Q582" t="n">
        <v>0</v>
      </c>
      <c r="R582" s="2" t="inlineStr"/>
    </row>
    <row r="583" ht="15" customHeight="1">
      <c r="A583" t="inlineStr">
        <is>
          <t>A 60180-2025</t>
        </is>
      </c>
      <c r="B583" s="1" t="n">
        <v>45994.46428240741</v>
      </c>
      <c r="C583" s="1" t="n">
        <v>46158</v>
      </c>
      <c r="D583" t="inlineStr">
        <is>
          <t>KALMAR LÄN</t>
        </is>
      </c>
      <c r="E583" t="inlineStr">
        <is>
          <t>VIMMERBY</t>
        </is>
      </c>
      <c r="G583" t="n">
        <v>6.8</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44588.37998842593</v>
      </c>
      <c r="C584" s="1" t="n">
        <v>46158</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46158</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60297-2025</t>
        </is>
      </c>
      <c r="B586" s="1" t="n">
        <v>45994</v>
      </c>
      <c r="C586" s="1" t="n">
        <v>46158</v>
      </c>
      <c r="D586" t="inlineStr">
        <is>
          <t>KALMAR LÄN</t>
        </is>
      </c>
      <c r="E586" t="inlineStr">
        <is>
          <t>VIMMERBY</t>
        </is>
      </c>
      <c r="G586" t="n">
        <v>4.2</v>
      </c>
      <c r="H586" t="n">
        <v>0</v>
      </c>
      <c r="I586" t="n">
        <v>0</v>
      </c>
      <c r="J586" t="n">
        <v>0</v>
      </c>
      <c r="K586" t="n">
        <v>0</v>
      </c>
      <c r="L586" t="n">
        <v>0</v>
      </c>
      <c r="M586" t="n">
        <v>0</v>
      </c>
      <c r="N586" t="n">
        <v>0</v>
      </c>
      <c r="O586" t="n">
        <v>0</v>
      </c>
      <c r="P586" t="n">
        <v>0</v>
      </c>
      <c r="Q586" t="n">
        <v>0</v>
      </c>
      <c r="R586" s="2" t="inlineStr"/>
    </row>
    <row r="587" ht="15" customHeight="1">
      <c r="A587" t="inlineStr">
        <is>
          <t>A 17713-2026</t>
        </is>
      </c>
      <c r="B587" s="1" t="n">
        <v>46121.72810185186</v>
      </c>
      <c r="C587" s="1" t="n">
        <v>46158</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9624-2024</t>
        </is>
      </c>
      <c r="B588" s="1" t="n">
        <v>45361.90282407407</v>
      </c>
      <c r="C588" s="1" t="n">
        <v>46158</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52327-2023</t>
        </is>
      </c>
      <c r="B589" s="1" t="n">
        <v>45224.6515162037</v>
      </c>
      <c r="C589" s="1" t="n">
        <v>46158</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29616-2022</t>
        </is>
      </c>
      <c r="B590" s="1" t="n">
        <v>44754</v>
      </c>
      <c r="C590" s="1" t="n">
        <v>46158</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29348-2023</t>
        </is>
      </c>
      <c r="B591" s="1" t="n">
        <v>45106.25025462963</v>
      </c>
      <c r="C591" s="1" t="n">
        <v>46158</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28403-2023</t>
        </is>
      </c>
      <c r="B592" s="1" t="n">
        <v>45100.85270833333</v>
      </c>
      <c r="C592" s="1" t="n">
        <v>46158</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17511-2024</t>
        </is>
      </c>
      <c r="B593" s="1" t="n">
        <v>45415.57682870371</v>
      </c>
      <c r="C593" s="1" t="n">
        <v>46158</v>
      </c>
      <c r="D593" t="inlineStr">
        <is>
          <t>KALMAR LÄN</t>
        </is>
      </c>
      <c r="E593" t="inlineStr">
        <is>
          <t>VIMMERBY</t>
        </is>
      </c>
      <c r="G593" t="n">
        <v>5.3</v>
      </c>
      <c r="H593" t="n">
        <v>0</v>
      </c>
      <c r="I593" t="n">
        <v>0</v>
      </c>
      <c r="J593" t="n">
        <v>0</v>
      </c>
      <c r="K593" t="n">
        <v>0</v>
      </c>
      <c r="L593" t="n">
        <v>0</v>
      </c>
      <c r="M593" t="n">
        <v>0</v>
      </c>
      <c r="N593" t="n">
        <v>0</v>
      </c>
      <c r="O593" t="n">
        <v>0</v>
      </c>
      <c r="P593" t="n">
        <v>0</v>
      </c>
      <c r="Q593" t="n">
        <v>0</v>
      </c>
      <c r="R593" s="2" t="inlineStr"/>
    </row>
    <row r="594" ht="15" customHeight="1">
      <c r="A594" t="inlineStr">
        <is>
          <t>A 10965-2026</t>
        </is>
      </c>
      <c r="B594" s="1" t="n">
        <v>46079.43295138889</v>
      </c>
      <c r="C594" s="1" t="n">
        <v>46158</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66022-2021</t>
        </is>
      </c>
      <c r="B595" s="1" t="n">
        <v>44517</v>
      </c>
      <c r="C595" s="1" t="n">
        <v>46158</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29973-2023</t>
        </is>
      </c>
      <c r="B596" s="1" t="n">
        <v>45108.703125</v>
      </c>
      <c r="C596" s="1" t="n">
        <v>46158</v>
      </c>
      <c r="D596" t="inlineStr">
        <is>
          <t>KALMAR LÄN</t>
        </is>
      </c>
      <c r="E596" t="inlineStr">
        <is>
          <t>VIMMERBY</t>
        </is>
      </c>
      <c r="G596" t="n">
        <v>4</v>
      </c>
      <c r="H596" t="n">
        <v>0</v>
      </c>
      <c r="I596" t="n">
        <v>0</v>
      </c>
      <c r="J596" t="n">
        <v>0</v>
      </c>
      <c r="K596" t="n">
        <v>0</v>
      </c>
      <c r="L596" t="n">
        <v>0</v>
      </c>
      <c r="M596" t="n">
        <v>0</v>
      </c>
      <c r="N596" t="n">
        <v>0</v>
      </c>
      <c r="O596" t="n">
        <v>0</v>
      </c>
      <c r="P596" t="n">
        <v>0</v>
      </c>
      <c r="Q596" t="n">
        <v>0</v>
      </c>
      <c r="R596" s="2" t="inlineStr"/>
    </row>
    <row r="597" ht="15" customHeight="1">
      <c r="A597" t="inlineStr">
        <is>
          <t>A 30070-2023</t>
        </is>
      </c>
      <c r="B597" s="1" t="n">
        <v>45110.4275</v>
      </c>
      <c r="C597" s="1" t="n">
        <v>46158</v>
      </c>
      <c r="D597" t="inlineStr">
        <is>
          <t>KALMAR LÄN</t>
        </is>
      </c>
      <c r="E597" t="inlineStr">
        <is>
          <t>VIMMERBY</t>
        </is>
      </c>
      <c r="G597" t="n">
        <v>1.6</v>
      </c>
      <c r="H597" t="n">
        <v>0</v>
      </c>
      <c r="I597" t="n">
        <v>0</v>
      </c>
      <c r="J597" t="n">
        <v>0</v>
      </c>
      <c r="K597" t="n">
        <v>0</v>
      </c>
      <c r="L597" t="n">
        <v>0</v>
      </c>
      <c r="M597" t="n">
        <v>0</v>
      </c>
      <c r="N597" t="n">
        <v>0</v>
      </c>
      <c r="O597" t="n">
        <v>0</v>
      </c>
      <c r="P597" t="n">
        <v>0</v>
      </c>
      <c r="Q597" t="n">
        <v>0</v>
      </c>
      <c r="R597" s="2" t="inlineStr"/>
    </row>
    <row r="598" ht="15" customHeight="1">
      <c r="A598" t="inlineStr">
        <is>
          <t>A 46078-2023</t>
        </is>
      </c>
      <c r="B598" s="1" t="n">
        <v>45196</v>
      </c>
      <c r="C598" s="1" t="n">
        <v>46158</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61790-2025</t>
        </is>
      </c>
      <c r="B599" s="1" t="n">
        <v>46002.68768518518</v>
      </c>
      <c r="C599" s="1" t="n">
        <v>46158</v>
      </c>
      <c r="D599" t="inlineStr">
        <is>
          <t>KALMAR LÄN</t>
        </is>
      </c>
      <c r="E599" t="inlineStr">
        <is>
          <t>VIMMERBY</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61726-2025</t>
        </is>
      </c>
      <c r="B600" s="1" t="n">
        <v>46002.58822916666</v>
      </c>
      <c r="C600" s="1" t="n">
        <v>46158</v>
      </c>
      <c r="D600" t="inlineStr">
        <is>
          <t>KALMAR LÄN</t>
        </is>
      </c>
      <c r="E600" t="inlineStr">
        <is>
          <t>VIMMERBY</t>
        </is>
      </c>
      <c r="F600" t="inlineStr">
        <is>
          <t>Sveaskog</t>
        </is>
      </c>
      <c r="G600" t="n">
        <v>0.2</v>
      </c>
      <c r="H600" t="n">
        <v>0</v>
      </c>
      <c r="I600" t="n">
        <v>0</v>
      </c>
      <c r="J600" t="n">
        <v>0</v>
      </c>
      <c r="K600" t="n">
        <v>0</v>
      </c>
      <c r="L600" t="n">
        <v>0</v>
      </c>
      <c r="M600" t="n">
        <v>0</v>
      </c>
      <c r="N600" t="n">
        <v>0</v>
      </c>
      <c r="O600" t="n">
        <v>0</v>
      </c>
      <c r="P600" t="n">
        <v>0</v>
      </c>
      <c r="Q600" t="n">
        <v>0</v>
      </c>
      <c r="R600" s="2" t="inlineStr"/>
    </row>
    <row r="601" ht="15" customHeight="1">
      <c r="A601" t="inlineStr">
        <is>
          <t>A 11407-2026</t>
        </is>
      </c>
      <c r="B601" s="1" t="n">
        <v>46083</v>
      </c>
      <c r="C601" s="1" t="n">
        <v>46158</v>
      </c>
      <c r="D601" t="inlineStr">
        <is>
          <t>KALMAR LÄN</t>
        </is>
      </c>
      <c r="E601" t="inlineStr">
        <is>
          <t>VIMMERBY</t>
        </is>
      </c>
      <c r="G601" t="n">
        <v>2.3</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46158</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3494-2023</t>
        </is>
      </c>
      <c r="B603" s="1" t="n">
        <v>44949</v>
      </c>
      <c r="C603" s="1" t="n">
        <v>46158</v>
      </c>
      <c r="D603" t="inlineStr">
        <is>
          <t>KALMAR LÄN</t>
        </is>
      </c>
      <c r="E603" t="inlineStr">
        <is>
          <t>VIMMERBY</t>
        </is>
      </c>
      <c r="F603" t="inlineStr">
        <is>
          <t>Kyrkan</t>
        </is>
      </c>
      <c r="G603" t="n">
        <v>0.8</v>
      </c>
      <c r="H603" t="n">
        <v>0</v>
      </c>
      <c r="I603" t="n">
        <v>0</v>
      </c>
      <c r="J603" t="n">
        <v>0</v>
      </c>
      <c r="K603" t="n">
        <v>0</v>
      </c>
      <c r="L603" t="n">
        <v>0</v>
      </c>
      <c r="M603" t="n">
        <v>0</v>
      </c>
      <c r="N603" t="n">
        <v>0</v>
      </c>
      <c r="O603" t="n">
        <v>0</v>
      </c>
      <c r="P603" t="n">
        <v>0</v>
      </c>
      <c r="Q603" t="n">
        <v>0</v>
      </c>
      <c r="R603" s="2" t="inlineStr"/>
    </row>
    <row r="604" ht="15" customHeight="1">
      <c r="A604" t="inlineStr">
        <is>
          <t>A 61725-2025</t>
        </is>
      </c>
      <c r="B604" s="1" t="n">
        <v>46002.58680555555</v>
      </c>
      <c r="C604" s="1" t="n">
        <v>46158</v>
      </c>
      <c r="D604" t="inlineStr">
        <is>
          <t>KALMAR LÄN</t>
        </is>
      </c>
      <c r="E604" t="inlineStr">
        <is>
          <t>VIMMERBY</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32633-2023</t>
        </is>
      </c>
      <c r="B605" s="1" t="n">
        <v>45121.58699074074</v>
      </c>
      <c r="C605" s="1" t="n">
        <v>46158</v>
      </c>
      <c r="D605" t="inlineStr">
        <is>
          <t>KALMAR LÄN</t>
        </is>
      </c>
      <c r="E605" t="inlineStr">
        <is>
          <t>VIMMERBY</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43601-2024</t>
        </is>
      </c>
      <c r="B606" s="1" t="n">
        <v>45569.44684027778</v>
      </c>
      <c r="C606" s="1" t="n">
        <v>46158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18122-2026</t>
        </is>
      </c>
      <c r="B607" s="1" t="n">
        <v>46125.58524305555</v>
      </c>
      <c r="C607" s="1" t="n">
        <v>46158</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13813-2024</t>
        </is>
      </c>
      <c r="B608" s="1" t="n">
        <v>45391.41310185185</v>
      </c>
      <c r="C608" s="1" t="n">
        <v>46158</v>
      </c>
      <c r="D608" t="inlineStr">
        <is>
          <t>KALMAR LÄN</t>
        </is>
      </c>
      <c r="E608" t="inlineStr">
        <is>
          <t>VIMMERBY</t>
        </is>
      </c>
      <c r="G608" t="n">
        <v>0.4</v>
      </c>
      <c r="H608" t="n">
        <v>0</v>
      </c>
      <c r="I608" t="n">
        <v>0</v>
      </c>
      <c r="J608" t="n">
        <v>0</v>
      </c>
      <c r="K608" t="n">
        <v>0</v>
      </c>
      <c r="L608" t="n">
        <v>0</v>
      </c>
      <c r="M608" t="n">
        <v>0</v>
      </c>
      <c r="N608" t="n">
        <v>0</v>
      </c>
      <c r="O608" t="n">
        <v>0</v>
      </c>
      <c r="P608" t="n">
        <v>0</v>
      </c>
      <c r="Q608" t="n">
        <v>0</v>
      </c>
      <c r="R608" s="2" t="inlineStr"/>
    </row>
    <row r="609" ht="15" customHeight="1">
      <c r="A609" t="inlineStr">
        <is>
          <t>A 11273-2026</t>
        </is>
      </c>
      <c r="B609" s="1" t="n">
        <v>46080.57634259259</v>
      </c>
      <c r="C609" s="1" t="n">
        <v>46158</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25234-2023</t>
        </is>
      </c>
      <c r="B610" s="1" t="n">
        <v>45086.63194444445</v>
      </c>
      <c r="C610" s="1" t="n">
        <v>46158</v>
      </c>
      <c r="D610" t="inlineStr">
        <is>
          <t>KALMAR LÄN</t>
        </is>
      </c>
      <c r="E610" t="inlineStr">
        <is>
          <t>VIMMERBY</t>
        </is>
      </c>
      <c r="G610" t="n">
        <v>2.1</v>
      </c>
      <c r="H610" t="n">
        <v>0</v>
      </c>
      <c r="I610" t="n">
        <v>0</v>
      </c>
      <c r="J610" t="n">
        <v>0</v>
      </c>
      <c r="K610" t="n">
        <v>0</v>
      </c>
      <c r="L610" t="n">
        <v>0</v>
      </c>
      <c r="M610" t="n">
        <v>0</v>
      </c>
      <c r="N610" t="n">
        <v>0</v>
      </c>
      <c r="O610" t="n">
        <v>0</v>
      </c>
      <c r="P610" t="n">
        <v>0</v>
      </c>
      <c r="Q610" t="n">
        <v>0</v>
      </c>
      <c r="R610" s="2" t="inlineStr"/>
    </row>
    <row r="611" ht="15" customHeight="1">
      <c r="A611" t="inlineStr">
        <is>
          <t>A 11415-2026</t>
        </is>
      </c>
      <c r="B611" s="1" t="n">
        <v>46083</v>
      </c>
      <c r="C611" s="1" t="n">
        <v>46158</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25236-2023</t>
        </is>
      </c>
      <c r="B612" s="1" t="n">
        <v>45086.63334490741</v>
      </c>
      <c r="C612" s="1" t="n">
        <v>46158</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25244-2023</t>
        </is>
      </c>
      <c r="B613" s="1" t="n">
        <v>45086</v>
      </c>
      <c r="C613" s="1" t="n">
        <v>46158</v>
      </c>
      <c r="D613" t="inlineStr">
        <is>
          <t>KALMAR LÄN</t>
        </is>
      </c>
      <c r="E613" t="inlineStr">
        <is>
          <t>VIMMERBY</t>
        </is>
      </c>
      <c r="G613" t="n">
        <v>4.7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46158</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71793-2021</t>
        </is>
      </c>
      <c r="B615" s="1" t="n">
        <v>44539</v>
      </c>
      <c r="C615" s="1" t="n">
        <v>46158</v>
      </c>
      <c r="D615" t="inlineStr">
        <is>
          <t>KALMAR LÄN</t>
        </is>
      </c>
      <c r="E615" t="inlineStr">
        <is>
          <t>VIMMERBY</t>
        </is>
      </c>
      <c r="G615" t="n">
        <v>2.7</v>
      </c>
      <c r="H615" t="n">
        <v>0</v>
      </c>
      <c r="I615" t="n">
        <v>0</v>
      </c>
      <c r="J615" t="n">
        <v>0</v>
      </c>
      <c r="K615" t="n">
        <v>0</v>
      </c>
      <c r="L615" t="n">
        <v>0</v>
      </c>
      <c r="M615" t="n">
        <v>0</v>
      </c>
      <c r="N615" t="n">
        <v>0</v>
      </c>
      <c r="O615" t="n">
        <v>0</v>
      </c>
      <c r="P615" t="n">
        <v>0</v>
      </c>
      <c r="Q615" t="n">
        <v>0</v>
      </c>
      <c r="R615" s="2" t="inlineStr"/>
    </row>
    <row r="616" ht="15" customHeight="1">
      <c r="A616" t="inlineStr">
        <is>
          <t>A 73938-2021</t>
        </is>
      </c>
      <c r="B616" s="1" t="n">
        <v>44553</v>
      </c>
      <c r="C616" s="1" t="n">
        <v>46158</v>
      </c>
      <c r="D616" t="inlineStr">
        <is>
          <t>KALMAR LÄN</t>
        </is>
      </c>
      <c r="E616" t="inlineStr">
        <is>
          <t>VIMMERBY</t>
        </is>
      </c>
      <c r="G616" t="n">
        <v>3.2</v>
      </c>
      <c r="H616" t="n">
        <v>0</v>
      </c>
      <c r="I616" t="n">
        <v>0</v>
      </c>
      <c r="J616" t="n">
        <v>0</v>
      </c>
      <c r="K616" t="n">
        <v>0</v>
      </c>
      <c r="L616" t="n">
        <v>0</v>
      </c>
      <c r="M616" t="n">
        <v>0</v>
      </c>
      <c r="N616" t="n">
        <v>0</v>
      </c>
      <c r="O616" t="n">
        <v>0</v>
      </c>
      <c r="P616" t="n">
        <v>0</v>
      </c>
      <c r="Q616" t="n">
        <v>0</v>
      </c>
      <c r="R616" s="2" t="inlineStr"/>
    </row>
    <row r="617" ht="15" customHeight="1">
      <c r="A617" t="inlineStr">
        <is>
          <t>A 6069-2023</t>
        </is>
      </c>
      <c r="B617" s="1" t="n">
        <v>44964.5115162037</v>
      </c>
      <c r="C617" s="1" t="n">
        <v>46158</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50995-2022</t>
        </is>
      </c>
      <c r="B618" s="1" t="n">
        <v>44867</v>
      </c>
      <c r="C618" s="1" t="n">
        <v>46158</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27122-2023</t>
        </is>
      </c>
      <c r="B619" s="1" t="n">
        <v>45096.45247685185</v>
      </c>
      <c r="C619" s="1" t="n">
        <v>46158</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30402-2023</t>
        </is>
      </c>
      <c r="B620" s="1" t="n">
        <v>45111.48395833333</v>
      </c>
      <c r="C620" s="1" t="n">
        <v>46158</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61937-2025</t>
        </is>
      </c>
      <c r="B621" s="1" t="n">
        <v>46003</v>
      </c>
      <c r="C621" s="1" t="n">
        <v>46158</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46158</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46158</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46158</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11798-2026</t>
        </is>
      </c>
      <c r="B625" s="1" t="n">
        <v>46085.34020833333</v>
      </c>
      <c r="C625" s="1" t="n">
        <v>46158</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29013-2024</t>
        </is>
      </c>
      <c r="B626" s="1" t="n">
        <v>45481.55984953704</v>
      </c>
      <c r="C626" s="1" t="n">
        <v>46158</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37028-2024</t>
        </is>
      </c>
      <c r="B627" s="1" t="n">
        <v>45539.38744212963</v>
      </c>
      <c r="C627" s="1" t="n">
        <v>46158</v>
      </c>
      <c r="D627" t="inlineStr">
        <is>
          <t>KALMAR LÄN</t>
        </is>
      </c>
      <c r="E627" t="inlineStr">
        <is>
          <t>VIMMERBY</t>
        </is>
      </c>
      <c r="G627" t="n">
        <v>5.2</v>
      </c>
      <c r="H627" t="n">
        <v>0</v>
      </c>
      <c r="I627" t="n">
        <v>0</v>
      </c>
      <c r="J627" t="n">
        <v>0</v>
      </c>
      <c r="K627" t="n">
        <v>0</v>
      </c>
      <c r="L627" t="n">
        <v>0</v>
      </c>
      <c r="M627" t="n">
        <v>0</v>
      </c>
      <c r="N627" t="n">
        <v>0</v>
      </c>
      <c r="O627" t="n">
        <v>0</v>
      </c>
      <c r="P627" t="n">
        <v>0</v>
      </c>
      <c r="Q627" t="n">
        <v>0</v>
      </c>
      <c r="R627" s="2" t="inlineStr"/>
    </row>
    <row r="628" ht="15" customHeight="1">
      <c r="A628" t="inlineStr">
        <is>
          <t>A 37187-2024</t>
        </is>
      </c>
      <c r="B628" s="1" t="n">
        <v>45539.65212962963</v>
      </c>
      <c r="C628" s="1" t="n">
        <v>46158</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18633-2026</t>
        </is>
      </c>
      <c r="B629" s="1" t="n">
        <v>46128.26289351852</v>
      </c>
      <c r="C629" s="1" t="n">
        <v>46158</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12630-2023</t>
        </is>
      </c>
      <c r="B630" s="1" t="n">
        <v>45000.47998842593</v>
      </c>
      <c r="C630" s="1" t="n">
        <v>46158</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39584-2024</t>
        </is>
      </c>
      <c r="B631" s="1" t="n">
        <v>45552.36759259259</v>
      </c>
      <c r="C631" s="1" t="n">
        <v>46158</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27705-2023</t>
        </is>
      </c>
      <c r="B632" s="1" t="n">
        <v>45098.30535879629</v>
      </c>
      <c r="C632" s="1" t="n">
        <v>46158</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31013-2023</t>
        </is>
      </c>
      <c r="B633" s="1" t="n">
        <v>45113.56574074074</v>
      </c>
      <c r="C633" s="1" t="n">
        <v>46158</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15388-2025</t>
        </is>
      </c>
      <c r="B634" s="1" t="n">
        <v>45747.42633101852</v>
      </c>
      <c r="C634" s="1" t="n">
        <v>46158</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15391-2025</t>
        </is>
      </c>
      <c r="B635" s="1" t="n">
        <v>45747.42958333333</v>
      </c>
      <c r="C635" s="1" t="n">
        <v>46158</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11303-2025</t>
        </is>
      </c>
      <c r="B636" s="1" t="n">
        <v>45726.44471064815</v>
      </c>
      <c r="C636" s="1" t="n">
        <v>46158</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33352-2022</t>
        </is>
      </c>
      <c r="B637" s="1" t="n">
        <v>44788</v>
      </c>
      <c r="C637" s="1" t="n">
        <v>46158</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46234-2024</t>
        </is>
      </c>
      <c r="B638" s="1" t="n">
        <v>45581.57958333333</v>
      </c>
      <c r="C638" s="1" t="n">
        <v>46158</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39053-2024</t>
        </is>
      </c>
      <c r="B639" s="1" t="n">
        <v>45548</v>
      </c>
      <c r="C639" s="1" t="n">
        <v>46158</v>
      </c>
      <c r="D639" t="inlineStr">
        <is>
          <t>KALMAR LÄN</t>
        </is>
      </c>
      <c r="E639" t="inlineStr">
        <is>
          <t>VIMMERBY</t>
        </is>
      </c>
      <c r="G639" t="n">
        <v>5</v>
      </c>
      <c r="H639" t="n">
        <v>0</v>
      </c>
      <c r="I639" t="n">
        <v>0</v>
      </c>
      <c r="J639" t="n">
        <v>0</v>
      </c>
      <c r="K639" t="n">
        <v>0</v>
      </c>
      <c r="L639" t="n">
        <v>0</v>
      </c>
      <c r="M639" t="n">
        <v>0</v>
      </c>
      <c r="N639" t="n">
        <v>0</v>
      </c>
      <c r="O639" t="n">
        <v>0</v>
      </c>
      <c r="P639" t="n">
        <v>0</v>
      </c>
      <c r="Q639" t="n">
        <v>0</v>
      </c>
      <c r="R639" s="2" t="inlineStr"/>
    </row>
    <row r="640" ht="15" customHeight="1">
      <c r="A640" t="inlineStr">
        <is>
          <t>A 12730-2026</t>
        </is>
      </c>
      <c r="B640" s="1" t="n">
        <v>46091</v>
      </c>
      <c r="C640" s="1" t="n">
        <v>46158</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46158</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46158</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46158</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46158</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30400-2023</t>
        </is>
      </c>
      <c r="B645" s="1" t="n">
        <v>45111.48225694444</v>
      </c>
      <c r="C645" s="1" t="n">
        <v>46158</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30404-2023</t>
        </is>
      </c>
      <c r="B646" s="1" t="n">
        <v>45111.48636574074</v>
      </c>
      <c r="C646" s="1" t="n">
        <v>46158</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55123-2024</t>
        </is>
      </c>
      <c r="B647" s="1" t="n">
        <v>45621.46103009259</v>
      </c>
      <c r="C647" s="1" t="n">
        <v>46158</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31405-2023</t>
        </is>
      </c>
      <c r="B648" s="1" t="n">
        <v>45114.58148148148</v>
      </c>
      <c r="C648" s="1" t="n">
        <v>46158</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24707-2024</t>
        </is>
      </c>
      <c r="B649" s="1" t="n">
        <v>45460.62172453704</v>
      </c>
      <c r="C649" s="1" t="n">
        <v>46158</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36049-2024</t>
        </is>
      </c>
      <c r="B650" s="1" t="n">
        <v>45533.61996527778</v>
      </c>
      <c r="C650" s="1" t="n">
        <v>46158</v>
      </c>
      <c r="D650" t="inlineStr">
        <is>
          <t>KALMAR LÄN</t>
        </is>
      </c>
      <c r="E650" t="inlineStr">
        <is>
          <t>VIMMERBY</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12820-2026</t>
        </is>
      </c>
      <c r="B651" s="1" t="n">
        <v>46092.40909722223</v>
      </c>
      <c r="C651" s="1" t="n">
        <v>46158</v>
      </c>
      <c r="D651" t="inlineStr">
        <is>
          <t>KALMAR LÄN</t>
        </is>
      </c>
      <c r="E651" t="inlineStr">
        <is>
          <t>VIMMERBY</t>
        </is>
      </c>
      <c r="G651" t="n">
        <v>4.3</v>
      </c>
      <c r="H651" t="n">
        <v>0</v>
      </c>
      <c r="I651" t="n">
        <v>0</v>
      </c>
      <c r="J651" t="n">
        <v>0</v>
      </c>
      <c r="K651" t="n">
        <v>0</v>
      </c>
      <c r="L651" t="n">
        <v>0</v>
      </c>
      <c r="M651" t="n">
        <v>0</v>
      </c>
      <c r="N651" t="n">
        <v>0</v>
      </c>
      <c r="O651" t="n">
        <v>0</v>
      </c>
      <c r="P651" t="n">
        <v>0</v>
      </c>
      <c r="Q651" t="n">
        <v>0</v>
      </c>
      <c r="R651" s="2" t="inlineStr"/>
    </row>
    <row r="652" ht="15" customHeight="1">
      <c r="A652" t="inlineStr">
        <is>
          <t>A 12821-2026</t>
        </is>
      </c>
      <c r="B652" s="1" t="n">
        <v>46092.41256944444</v>
      </c>
      <c r="C652" s="1" t="n">
        <v>46158</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12825-2026</t>
        </is>
      </c>
      <c r="B653" s="1" t="n">
        <v>46092.41561342592</v>
      </c>
      <c r="C653" s="1" t="n">
        <v>46158</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58159-2024</t>
        </is>
      </c>
      <c r="B654" s="1" t="n">
        <v>45632.44886574074</v>
      </c>
      <c r="C654" s="1" t="n">
        <v>46158</v>
      </c>
      <c r="D654" t="inlineStr">
        <is>
          <t>KALMAR LÄN</t>
        </is>
      </c>
      <c r="E654" t="inlineStr">
        <is>
          <t>VIMMERBY</t>
        </is>
      </c>
      <c r="G654" t="n">
        <v>7.5</v>
      </c>
      <c r="H654" t="n">
        <v>0</v>
      </c>
      <c r="I654" t="n">
        <v>0</v>
      </c>
      <c r="J654" t="n">
        <v>0</v>
      </c>
      <c r="K654" t="n">
        <v>0</v>
      </c>
      <c r="L654" t="n">
        <v>0</v>
      </c>
      <c r="M654" t="n">
        <v>0</v>
      </c>
      <c r="N654" t="n">
        <v>0</v>
      </c>
      <c r="O654" t="n">
        <v>0</v>
      </c>
      <c r="P654" t="n">
        <v>0</v>
      </c>
      <c r="Q654" t="n">
        <v>0</v>
      </c>
      <c r="R654" s="2" t="inlineStr"/>
    </row>
    <row r="655" ht="15" customHeight="1">
      <c r="A655" t="inlineStr">
        <is>
          <t>A 14359-2025</t>
        </is>
      </c>
      <c r="B655" s="1" t="n">
        <v>45741.37270833334</v>
      </c>
      <c r="C655" s="1" t="n">
        <v>46158</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20017-2026</t>
        </is>
      </c>
      <c r="B656" s="1" t="n">
        <v>46136.49986111111</v>
      </c>
      <c r="C656" s="1" t="n">
        <v>46158</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20018-2026</t>
        </is>
      </c>
      <c r="B657" s="1" t="n">
        <v>46136.50282407407</v>
      </c>
      <c r="C657" s="1" t="n">
        <v>46158</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39578-2024</t>
        </is>
      </c>
      <c r="B658" s="1" t="n">
        <v>45552.36484953704</v>
      </c>
      <c r="C658" s="1" t="n">
        <v>46158</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13667-2026</t>
        </is>
      </c>
      <c r="B659" s="1" t="n">
        <v>46097</v>
      </c>
      <c r="C659" s="1" t="n">
        <v>46158</v>
      </c>
      <c r="D659" t="inlineStr">
        <is>
          <t>KALMAR LÄN</t>
        </is>
      </c>
      <c r="E659" t="inlineStr">
        <is>
          <t>VIMMERBY</t>
        </is>
      </c>
      <c r="G659" t="n">
        <v>6.8</v>
      </c>
      <c r="H659" t="n">
        <v>0</v>
      </c>
      <c r="I659" t="n">
        <v>0</v>
      </c>
      <c r="J659" t="n">
        <v>0</v>
      </c>
      <c r="K659" t="n">
        <v>0</v>
      </c>
      <c r="L659" t="n">
        <v>0</v>
      </c>
      <c r="M659" t="n">
        <v>0</v>
      </c>
      <c r="N659" t="n">
        <v>0</v>
      </c>
      <c r="O659" t="n">
        <v>0</v>
      </c>
      <c r="P659" t="n">
        <v>0</v>
      </c>
      <c r="Q659" t="n">
        <v>0</v>
      </c>
      <c r="R659" s="2" t="inlineStr"/>
    </row>
    <row r="660" ht="15" customHeight="1">
      <c r="A660" t="inlineStr">
        <is>
          <t>A 62779-2023</t>
        </is>
      </c>
      <c r="B660" s="1" t="n">
        <v>45271.66576388889</v>
      </c>
      <c r="C660" s="1" t="n">
        <v>46158</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13714-2026</t>
        </is>
      </c>
      <c r="B661" s="1" t="n">
        <v>46097.58472222222</v>
      </c>
      <c r="C661" s="1" t="n">
        <v>46158</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46399-2024</t>
        </is>
      </c>
      <c r="B662" s="1" t="n">
        <v>45582.41200231481</v>
      </c>
      <c r="C662" s="1" t="n">
        <v>46158</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3425-2022</t>
        </is>
      </c>
      <c r="B663" s="1" t="n">
        <v>44585.51060185185</v>
      </c>
      <c r="C663" s="1" t="n">
        <v>46158</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43962-2024</t>
        </is>
      </c>
      <c r="B664" s="1" t="n">
        <v>45572.48293981481</v>
      </c>
      <c r="C664" s="1" t="n">
        <v>46158</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46158</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43068-2023</t>
        </is>
      </c>
      <c r="B666" s="1" t="n">
        <v>45182.78834490741</v>
      </c>
      <c r="C666" s="1" t="n">
        <v>46158</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13793-2026</t>
        </is>
      </c>
      <c r="B667" s="1" t="n">
        <v>46097.79199074074</v>
      </c>
      <c r="C667" s="1" t="n">
        <v>46158</v>
      </c>
      <c r="D667" t="inlineStr">
        <is>
          <t>KALMAR LÄN</t>
        </is>
      </c>
      <c r="E667" t="inlineStr">
        <is>
          <t>VIMMERBY</t>
        </is>
      </c>
      <c r="G667" t="n">
        <v>2.9</v>
      </c>
      <c r="H667" t="n">
        <v>0</v>
      </c>
      <c r="I667" t="n">
        <v>0</v>
      </c>
      <c r="J667" t="n">
        <v>0</v>
      </c>
      <c r="K667" t="n">
        <v>0</v>
      </c>
      <c r="L667" t="n">
        <v>0</v>
      </c>
      <c r="M667" t="n">
        <v>0</v>
      </c>
      <c r="N667" t="n">
        <v>0</v>
      </c>
      <c r="O667" t="n">
        <v>0</v>
      </c>
      <c r="P667" t="n">
        <v>0</v>
      </c>
      <c r="Q667" t="n">
        <v>0</v>
      </c>
      <c r="R667" s="2" t="inlineStr"/>
    </row>
    <row r="668" ht="15" customHeight="1">
      <c r="A668" t="inlineStr">
        <is>
          <t>A 14279-2026</t>
        </is>
      </c>
      <c r="B668" s="1" t="n">
        <v>46099.66826388889</v>
      </c>
      <c r="C668" s="1" t="n">
        <v>46158</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12075-2024</t>
        </is>
      </c>
      <c r="B669" s="1" t="n">
        <v>45377</v>
      </c>
      <c r="C669" s="1" t="n">
        <v>46158</v>
      </c>
      <c r="D669" t="inlineStr">
        <is>
          <t>KALMAR LÄN</t>
        </is>
      </c>
      <c r="E669" t="inlineStr">
        <is>
          <t>VIMMERBY</t>
        </is>
      </c>
      <c r="G669" t="n">
        <v>3.7</v>
      </c>
      <c r="H669" t="n">
        <v>0</v>
      </c>
      <c r="I669" t="n">
        <v>0</v>
      </c>
      <c r="J669" t="n">
        <v>0</v>
      </c>
      <c r="K669" t="n">
        <v>0</v>
      </c>
      <c r="L669" t="n">
        <v>0</v>
      </c>
      <c r="M669" t="n">
        <v>0</v>
      </c>
      <c r="N669" t="n">
        <v>0</v>
      </c>
      <c r="O669" t="n">
        <v>0</v>
      </c>
      <c r="P669" t="n">
        <v>0</v>
      </c>
      <c r="Q669" t="n">
        <v>0</v>
      </c>
      <c r="R669" s="2" t="inlineStr"/>
    </row>
    <row r="670" ht="15" customHeight="1">
      <c r="A670" t="inlineStr">
        <is>
          <t>A 1799-2025</t>
        </is>
      </c>
      <c r="B670" s="1" t="n">
        <v>45671.46746527778</v>
      </c>
      <c r="C670" s="1" t="n">
        <v>46158</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14277-2026</t>
        </is>
      </c>
      <c r="B671" s="1" t="n">
        <v>46099.66305555555</v>
      </c>
      <c r="C671" s="1" t="n">
        <v>46158</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2462-2022</t>
        </is>
      </c>
      <c r="B672" s="1" t="n">
        <v>44579.62225694444</v>
      </c>
      <c r="C672" s="1" t="n">
        <v>46158</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14320-2026</t>
        </is>
      </c>
      <c r="B673" s="1" t="n">
        <v>46099.88449074074</v>
      </c>
      <c r="C673" s="1" t="n">
        <v>46158</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13015-2022</t>
        </is>
      </c>
      <c r="B674" s="1" t="n">
        <v>44643</v>
      </c>
      <c r="C674" s="1" t="n">
        <v>46158</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4624-2024</t>
        </is>
      </c>
      <c r="B675" s="1" t="n">
        <v>45328.38755787037</v>
      </c>
      <c r="C675" s="1" t="n">
        <v>46158</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9129-2025</t>
        </is>
      </c>
      <c r="B676" s="1" t="n">
        <v>45713.92412037037</v>
      </c>
      <c r="C676" s="1" t="n">
        <v>46158</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14318-2026</t>
        </is>
      </c>
      <c r="B677" s="1" t="n">
        <v>46099.87961805556</v>
      </c>
      <c r="C677" s="1" t="n">
        <v>46158</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22643-2023</t>
        </is>
      </c>
      <c r="B678" s="1" t="n">
        <v>45071</v>
      </c>
      <c r="C678" s="1" t="n">
        <v>46158</v>
      </c>
      <c r="D678" t="inlineStr">
        <is>
          <t>KALMAR LÄN</t>
        </is>
      </c>
      <c r="E678" t="inlineStr">
        <is>
          <t>VIMMERBY</t>
        </is>
      </c>
      <c r="G678" t="n">
        <v>3.9</v>
      </c>
      <c r="H678" t="n">
        <v>0</v>
      </c>
      <c r="I678" t="n">
        <v>0</v>
      </c>
      <c r="J678" t="n">
        <v>0</v>
      </c>
      <c r="K678" t="n">
        <v>0</v>
      </c>
      <c r="L678" t="n">
        <v>0</v>
      </c>
      <c r="M678" t="n">
        <v>0</v>
      </c>
      <c r="N678" t="n">
        <v>0</v>
      </c>
      <c r="O678" t="n">
        <v>0</v>
      </c>
      <c r="P678" t="n">
        <v>0</v>
      </c>
      <c r="Q678" t="n">
        <v>0</v>
      </c>
      <c r="R678" s="2" t="inlineStr"/>
    </row>
    <row r="679" ht="15" customHeight="1">
      <c r="A679" t="inlineStr">
        <is>
          <t>A 15205-2026</t>
        </is>
      </c>
      <c r="B679" s="1" t="n">
        <v>46105.48628472222</v>
      </c>
      <c r="C679" s="1" t="n">
        <v>46158</v>
      </c>
      <c r="D679" t="inlineStr">
        <is>
          <t>KALMAR LÄN</t>
        </is>
      </c>
      <c r="E679" t="inlineStr">
        <is>
          <t>VIMMERBY</t>
        </is>
      </c>
      <c r="G679" t="n">
        <v>2.1</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46158</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40079-2023</t>
        </is>
      </c>
      <c r="B681" s="1" t="n">
        <v>45168.89298611111</v>
      </c>
      <c r="C681" s="1" t="n">
        <v>46158</v>
      </c>
      <c r="D681" t="inlineStr">
        <is>
          <t>KALMAR LÄN</t>
        </is>
      </c>
      <c r="E681" t="inlineStr">
        <is>
          <t>VIMMERBY</t>
        </is>
      </c>
      <c r="G681" t="n">
        <v>1.2</v>
      </c>
      <c r="H681" t="n">
        <v>0</v>
      </c>
      <c r="I681" t="n">
        <v>0</v>
      </c>
      <c r="J681" t="n">
        <v>0</v>
      </c>
      <c r="K681" t="n">
        <v>0</v>
      </c>
      <c r="L681" t="n">
        <v>0</v>
      </c>
      <c r="M681" t="n">
        <v>0</v>
      </c>
      <c r="N681" t="n">
        <v>0</v>
      </c>
      <c r="O681" t="n">
        <v>0</v>
      </c>
      <c r="P681" t="n">
        <v>0</v>
      </c>
      <c r="Q681" t="n">
        <v>0</v>
      </c>
      <c r="R681" s="2" t="inlineStr"/>
    </row>
    <row r="682" ht="15" customHeight="1">
      <c r="A682" t="inlineStr">
        <is>
          <t>A 15054-2026</t>
        </is>
      </c>
      <c r="B682" s="1" t="n">
        <v>46104.6815162037</v>
      </c>
      <c r="C682" s="1" t="n">
        <v>46158</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19833-2023</t>
        </is>
      </c>
      <c r="B683" s="1" t="n">
        <v>45052</v>
      </c>
      <c r="C683" s="1" t="n">
        <v>46158</v>
      </c>
      <c r="D683" t="inlineStr">
        <is>
          <t>KALMAR LÄN</t>
        </is>
      </c>
      <c r="E683" t="inlineStr">
        <is>
          <t>VIMMERBY</t>
        </is>
      </c>
      <c r="G683" t="n">
        <v>6.7</v>
      </c>
      <c r="H683" t="n">
        <v>0</v>
      </c>
      <c r="I683" t="n">
        <v>0</v>
      </c>
      <c r="J683" t="n">
        <v>0</v>
      </c>
      <c r="K683" t="n">
        <v>0</v>
      </c>
      <c r="L683" t="n">
        <v>0</v>
      </c>
      <c r="M683" t="n">
        <v>0</v>
      </c>
      <c r="N683" t="n">
        <v>0</v>
      </c>
      <c r="O683" t="n">
        <v>0</v>
      </c>
      <c r="P683" t="n">
        <v>0</v>
      </c>
      <c r="Q683" t="n">
        <v>0</v>
      </c>
      <c r="R683" s="2" t="inlineStr"/>
    </row>
    <row r="684" ht="15" customHeight="1">
      <c r="A684" t="inlineStr">
        <is>
          <t>A 14793-2026</t>
        </is>
      </c>
      <c r="B684" s="1" t="n">
        <v>46101.92108796296</v>
      </c>
      <c r="C684" s="1" t="n">
        <v>46158</v>
      </c>
      <c r="D684" t="inlineStr">
        <is>
          <t>KALMAR LÄN</t>
        </is>
      </c>
      <c r="E684" t="inlineStr">
        <is>
          <t>VIMMERBY</t>
        </is>
      </c>
      <c r="G684" t="n">
        <v>5.7</v>
      </c>
      <c r="H684" t="n">
        <v>0</v>
      </c>
      <c r="I684" t="n">
        <v>0</v>
      </c>
      <c r="J684" t="n">
        <v>0</v>
      </c>
      <c r="K684" t="n">
        <v>0</v>
      </c>
      <c r="L684" t="n">
        <v>0</v>
      </c>
      <c r="M684" t="n">
        <v>0</v>
      </c>
      <c r="N684" t="n">
        <v>0</v>
      </c>
      <c r="O684" t="n">
        <v>0</v>
      </c>
      <c r="P684" t="n">
        <v>0</v>
      </c>
      <c r="Q684" t="n">
        <v>0</v>
      </c>
      <c r="R684" s="2" t="inlineStr"/>
    </row>
    <row r="685" ht="15" customHeight="1">
      <c r="A685" t="inlineStr">
        <is>
          <t>A 14792-2026</t>
        </is>
      </c>
      <c r="B685" s="1" t="n">
        <v>46101.91993055555</v>
      </c>
      <c r="C685" s="1" t="n">
        <v>46158</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17084-2025</t>
        </is>
      </c>
      <c r="B686" s="1" t="n">
        <v>45755.64450231481</v>
      </c>
      <c r="C686" s="1" t="n">
        <v>46158</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56022-2024</t>
        </is>
      </c>
      <c r="B687" s="1" t="n">
        <v>45623.95947916667</v>
      </c>
      <c r="C687" s="1" t="n">
        <v>46158</v>
      </c>
      <c r="D687" t="inlineStr">
        <is>
          <t>KALMAR LÄN</t>
        </is>
      </c>
      <c r="E687" t="inlineStr">
        <is>
          <t>VIMMERBY</t>
        </is>
      </c>
      <c r="G687" t="n">
        <v>0.3</v>
      </c>
      <c r="H687" t="n">
        <v>0</v>
      </c>
      <c r="I687" t="n">
        <v>0</v>
      </c>
      <c r="J687" t="n">
        <v>0</v>
      </c>
      <c r="K687" t="n">
        <v>0</v>
      </c>
      <c r="L687" t="n">
        <v>0</v>
      </c>
      <c r="M687" t="n">
        <v>0</v>
      </c>
      <c r="N687" t="n">
        <v>0</v>
      </c>
      <c r="O687" t="n">
        <v>0</v>
      </c>
      <c r="P687" t="n">
        <v>0</v>
      </c>
      <c r="Q687" t="n">
        <v>0</v>
      </c>
      <c r="R687" s="2" t="inlineStr"/>
    </row>
    <row r="688" ht="15" customHeight="1">
      <c r="A688" t="inlineStr">
        <is>
          <t>A 11928-2022</t>
        </is>
      </c>
      <c r="B688" s="1" t="n">
        <v>44635</v>
      </c>
      <c r="C688" s="1" t="n">
        <v>46158</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5527-2022</t>
        </is>
      </c>
      <c r="B689" s="1" t="n">
        <v>44595.583125</v>
      </c>
      <c r="C689" s="1" t="n">
        <v>46158</v>
      </c>
      <c r="D689" t="inlineStr">
        <is>
          <t>KALMAR LÄN</t>
        </is>
      </c>
      <c r="E689" t="inlineStr">
        <is>
          <t>VIMMERBY</t>
        </is>
      </c>
      <c r="G689" t="n">
        <v>3.6</v>
      </c>
      <c r="H689" t="n">
        <v>0</v>
      </c>
      <c r="I689" t="n">
        <v>0</v>
      </c>
      <c r="J689" t="n">
        <v>0</v>
      </c>
      <c r="K689" t="n">
        <v>0</v>
      </c>
      <c r="L689" t="n">
        <v>0</v>
      </c>
      <c r="M689" t="n">
        <v>0</v>
      </c>
      <c r="N689" t="n">
        <v>0</v>
      </c>
      <c r="O689" t="n">
        <v>0</v>
      </c>
      <c r="P689" t="n">
        <v>0</v>
      </c>
      <c r="Q689" t="n">
        <v>0</v>
      </c>
      <c r="R689" s="2" t="inlineStr"/>
    </row>
    <row r="690" ht="15" customHeight="1">
      <c r="A690" t="inlineStr">
        <is>
          <t>A 49461-2023</t>
        </is>
      </c>
      <c r="B690" s="1" t="n">
        <v>45211.52642361111</v>
      </c>
      <c r="C690" s="1" t="n">
        <v>46158</v>
      </c>
      <c r="D690" t="inlineStr">
        <is>
          <t>KALMAR LÄN</t>
        </is>
      </c>
      <c r="E690" t="inlineStr">
        <is>
          <t>VIMMERBY</t>
        </is>
      </c>
      <c r="G690" t="n">
        <v>1.5</v>
      </c>
      <c r="H690" t="n">
        <v>0</v>
      </c>
      <c r="I690" t="n">
        <v>0</v>
      </c>
      <c r="J690" t="n">
        <v>0</v>
      </c>
      <c r="K690" t="n">
        <v>0</v>
      </c>
      <c r="L690" t="n">
        <v>0</v>
      </c>
      <c r="M690" t="n">
        <v>0</v>
      </c>
      <c r="N690" t="n">
        <v>0</v>
      </c>
      <c r="O690" t="n">
        <v>0</v>
      </c>
      <c r="P690" t="n">
        <v>0</v>
      </c>
      <c r="Q690" t="n">
        <v>0</v>
      </c>
      <c r="R690" s="2" t="inlineStr"/>
    </row>
    <row r="691" ht="15" customHeight="1">
      <c r="A691" t="inlineStr">
        <is>
          <t>A 49474-2023</t>
        </is>
      </c>
      <c r="B691" s="1" t="n">
        <v>45211.541875</v>
      </c>
      <c r="C691" s="1" t="n">
        <v>46158</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61861-2024</t>
        </is>
      </c>
      <c r="B692" s="1" t="n">
        <v>45650.37370370371</v>
      </c>
      <c r="C692" s="1" t="n">
        <v>46158</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45846-2023</t>
        </is>
      </c>
      <c r="B693" s="1" t="n">
        <v>45195.58452546296</v>
      </c>
      <c r="C693" s="1" t="n">
        <v>46158</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8167-2024</t>
        </is>
      </c>
      <c r="B694" s="1" t="n">
        <v>45351.6062962963</v>
      </c>
      <c r="C694" s="1" t="n">
        <v>46158</v>
      </c>
      <c r="D694" t="inlineStr">
        <is>
          <t>KALMAR LÄN</t>
        </is>
      </c>
      <c r="E694" t="inlineStr">
        <is>
          <t>VIMMERBY</t>
        </is>
      </c>
      <c r="G694" t="n">
        <v>3.8</v>
      </c>
      <c r="H694" t="n">
        <v>0</v>
      </c>
      <c r="I694" t="n">
        <v>0</v>
      </c>
      <c r="J694" t="n">
        <v>0</v>
      </c>
      <c r="K694" t="n">
        <v>0</v>
      </c>
      <c r="L694" t="n">
        <v>0</v>
      </c>
      <c r="M694" t="n">
        <v>0</v>
      </c>
      <c r="N694" t="n">
        <v>0</v>
      </c>
      <c r="O694" t="n">
        <v>0</v>
      </c>
      <c r="P694" t="n">
        <v>0</v>
      </c>
      <c r="Q694" t="n">
        <v>0</v>
      </c>
      <c r="R694" s="2" t="inlineStr"/>
    </row>
    <row r="695" ht="15" customHeight="1">
      <c r="A695" t="inlineStr">
        <is>
          <t>A 49382-2023</t>
        </is>
      </c>
      <c r="B695" s="1" t="n">
        <v>45208</v>
      </c>
      <c r="C695" s="1" t="n">
        <v>46158</v>
      </c>
      <c r="D695" t="inlineStr">
        <is>
          <t>KALMAR LÄN</t>
        </is>
      </c>
      <c r="E695" t="inlineStr">
        <is>
          <t>VIMMERBY</t>
        </is>
      </c>
      <c r="G695" t="n">
        <v>2.2</v>
      </c>
      <c r="H695" t="n">
        <v>0</v>
      </c>
      <c r="I695" t="n">
        <v>0</v>
      </c>
      <c r="J695" t="n">
        <v>0</v>
      </c>
      <c r="K695" t="n">
        <v>0</v>
      </c>
      <c r="L695" t="n">
        <v>0</v>
      </c>
      <c r="M695" t="n">
        <v>0</v>
      </c>
      <c r="N695" t="n">
        <v>0</v>
      </c>
      <c r="O695" t="n">
        <v>0</v>
      </c>
      <c r="P695" t="n">
        <v>0</v>
      </c>
      <c r="Q695" t="n">
        <v>0</v>
      </c>
      <c r="R695" s="2" t="inlineStr"/>
    </row>
    <row r="696" ht="15" customHeight="1">
      <c r="A696" t="inlineStr">
        <is>
          <t>A 12121-2025</t>
        </is>
      </c>
      <c r="B696" s="1" t="n">
        <v>45729.36868055556</v>
      </c>
      <c r="C696" s="1" t="n">
        <v>46158</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35846-2023</t>
        </is>
      </c>
      <c r="B697" s="1" t="n">
        <v>45148</v>
      </c>
      <c r="C697" s="1" t="n">
        <v>46158</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46158</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38757-2023</t>
        </is>
      </c>
      <c r="B699" s="1" t="n">
        <v>45163.41376157408</v>
      </c>
      <c r="C699" s="1" t="n">
        <v>46158</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20136-2024</t>
        </is>
      </c>
      <c r="B700" s="1" t="n">
        <v>45434.56291666667</v>
      </c>
      <c r="C700" s="1" t="n">
        <v>46158</v>
      </c>
      <c r="D700" t="inlineStr">
        <is>
          <t>KALMAR LÄN</t>
        </is>
      </c>
      <c r="E700" t="inlineStr">
        <is>
          <t>VIMMERBY</t>
        </is>
      </c>
      <c r="F700" t="inlineStr">
        <is>
          <t>Sveaskog</t>
        </is>
      </c>
      <c r="G700" t="n">
        <v>8.4</v>
      </c>
      <c r="H700" t="n">
        <v>0</v>
      </c>
      <c r="I700" t="n">
        <v>0</v>
      </c>
      <c r="J700" t="n">
        <v>0</v>
      </c>
      <c r="K700" t="n">
        <v>0</v>
      </c>
      <c r="L700" t="n">
        <v>0</v>
      </c>
      <c r="M700" t="n">
        <v>0</v>
      </c>
      <c r="N700" t="n">
        <v>0</v>
      </c>
      <c r="O700" t="n">
        <v>0</v>
      </c>
      <c r="P700" t="n">
        <v>0</v>
      </c>
      <c r="Q700" t="n">
        <v>0</v>
      </c>
      <c r="R700" s="2" t="inlineStr"/>
    </row>
    <row r="701" ht="15" customHeight="1">
      <c r="A701" t="inlineStr">
        <is>
          <t>A 21882-2026</t>
        </is>
      </c>
      <c r="B701" s="1" t="n">
        <v>46150.59287037037</v>
      </c>
      <c r="C701" s="1" t="n">
        <v>46158</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24283-2023</t>
        </is>
      </c>
      <c r="B702" s="1" t="n">
        <v>45079.87827546296</v>
      </c>
      <c r="C702" s="1" t="n">
        <v>46158</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59598-2023</t>
        </is>
      </c>
      <c r="B703" s="1" t="n">
        <v>45254.62489583333</v>
      </c>
      <c r="C703" s="1" t="n">
        <v>46158</v>
      </c>
      <c r="D703" t="inlineStr">
        <is>
          <t>KALMAR LÄN</t>
        </is>
      </c>
      <c r="E703" t="inlineStr">
        <is>
          <t>VIMMERBY</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30920-2023</t>
        </is>
      </c>
      <c r="B704" s="1" t="n">
        <v>45113.43921296296</v>
      </c>
      <c r="C704" s="1" t="n">
        <v>46158</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16183-2026</t>
        </is>
      </c>
      <c r="B705" s="1" t="n">
        <v>46111</v>
      </c>
      <c r="C705" s="1" t="n">
        <v>46158</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40929-2022</t>
        </is>
      </c>
      <c r="B706" s="1" t="n">
        <v>44825.4336574074</v>
      </c>
      <c r="C706" s="1" t="n">
        <v>46158</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46158</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46158</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16632-2026</t>
        </is>
      </c>
      <c r="B709" s="1" t="n">
        <v>46112.62212962963</v>
      </c>
      <c r="C709" s="1" t="n">
        <v>46158</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16653-2026</t>
        </is>
      </c>
      <c r="B710" s="1" t="n">
        <v>46112.64597222222</v>
      </c>
      <c r="C710" s="1" t="n">
        <v>46158</v>
      </c>
      <c r="D710" t="inlineStr">
        <is>
          <t>KALMAR LÄN</t>
        </is>
      </c>
      <c r="E710" t="inlineStr">
        <is>
          <t>VIMMERBY</t>
        </is>
      </c>
      <c r="F710" t="inlineStr">
        <is>
          <t>Kommuner</t>
        </is>
      </c>
      <c r="G710" t="n">
        <v>4.4</v>
      </c>
      <c r="H710" t="n">
        <v>0</v>
      </c>
      <c r="I710" t="n">
        <v>0</v>
      </c>
      <c r="J710" t="n">
        <v>0</v>
      </c>
      <c r="K710" t="n">
        <v>0</v>
      </c>
      <c r="L710" t="n">
        <v>0</v>
      </c>
      <c r="M710" t="n">
        <v>0</v>
      </c>
      <c r="N710" t="n">
        <v>0</v>
      </c>
      <c r="O710" t="n">
        <v>0</v>
      </c>
      <c r="P710" t="n">
        <v>0</v>
      </c>
      <c r="Q710" t="n">
        <v>0</v>
      </c>
      <c r="R710" s="2" t="inlineStr"/>
    </row>
    <row r="711" ht="15" customHeight="1">
      <c r="A711" t="inlineStr">
        <is>
          <t>A 54787-2023</t>
        </is>
      </c>
      <c r="B711" s="1" t="n">
        <v>45236</v>
      </c>
      <c r="C711" s="1" t="n">
        <v>46158</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15715-2022</t>
        </is>
      </c>
      <c r="B712" s="1" t="n">
        <v>44663</v>
      </c>
      <c r="C712" s="1" t="n">
        <v>46158</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43774-2023</t>
        </is>
      </c>
      <c r="B713" s="1" t="n">
        <v>45187</v>
      </c>
      <c r="C713" s="1" t="n">
        <v>46158</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16672-2026</t>
        </is>
      </c>
      <c r="B714" s="1" t="n">
        <v>46112.67336805556</v>
      </c>
      <c r="C714" s="1" t="n">
        <v>46158</v>
      </c>
      <c r="D714" t="inlineStr">
        <is>
          <t>KALMAR LÄN</t>
        </is>
      </c>
      <c r="E714" t="inlineStr">
        <is>
          <t>VIMMERBY</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43705-2023</t>
        </is>
      </c>
      <c r="B715" s="1" t="n">
        <v>45187.42854166667</v>
      </c>
      <c r="C715" s="1" t="n">
        <v>46158</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7932-2025</t>
        </is>
      </c>
      <c r="B716" s="1" t="n">
        <v>45707.3793287037</v>
      </c>
      <c r="C716" s="1" t="n">
        <v>46158</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13532-2025</t>
        </is>
      </c>
      <c r="B717" s="1" t="n">
        <v>45736.50743055555</v>
      </c>
      <c r="C717" s="1" t="n">
        <v>46158</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16870-2026</t>
        </is>
      </c>
      <c r="B718" s="1" t="n">
        <v>46113.5822800926</v>
      </c>
      <c r="C718" s="1" t="n">
        <v>46158</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16795-2026</t>
        </is>
      </c>
      <c r="B719" s="1" t="n">
        <v>46113.47216435185</v>
      </c>
      <c r="C719" s="1" t="n">
        <v>46158</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16799-2026</t>
        </is>
      </c>
      <c r="B720" s="1" t="n">
        <v>46113.47913194444</v>
      </c>
      <c r="C720" s="1" t="n">
        <v>46158</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16801-2026</t>
        </is>
      </c>
      <c r="B721" s="1" t="n">
        <v>46113.48400462963</v>
      </c>
      <c r="C721" s="1" t="n">
        <v>46158</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16675-2026</t>
        </is>
      </c>
      <c r="B722" s="1" t="n">
        <v>46112.68202546296</v>
      </c>
      <c r="C722" s="1" t="n">
        <v>46158</v>
      </c>
      <c r="D722" t="inlineStr">
        <is>
          <t>KALMAR LÄN</t>
        </is>
      </c>
      <c r="E722" t="inlineStr">
        <is>
          <t>VIMMERBY</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16678-2026</t>
        </is>
      </c>
      <c r="B723" s="1" t="n">
        <v>46112.69435185185</v>
      </c>
      <c r="C723" s="1" t="n">
        <v>46158</v>
      </c>
      <c r="D723" t="inlineStr">
        <is>
          <t>KALMAR LÄN</t>
        </is>
      </c>
      <c r="E723" t="inlineStr">
        <is>
          <t>VIMMERBY</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16648-2026</t>
        </is>
      </c>
      <c r="B724" s="1" t="n">
        <v>46112.64032407408</v>
      </c>
      <c r="C724" s="1" t="n">
        <v>46158</v>
      </c>
      <c r="D724" t="inlineStr">
        <is>
          <t>KALMAR LÄN</t>
        </is>
      </c>
      <c r="E724" t="inlineStr">
        <is>
          <t>VIMMERBY</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16656-2026</t>
        </is>
      </c>
      <c r="B725" s="1" t="n">
        <v>46112.65111111111</v>
      </c>
      <c r="C725" s="1" t="n">
        <v>46158</v>
      </c>
      <c r="D725" t="inlineStr">
        <is>
          <t>KALMAR LÄN</t>
        </is>
      </c>
      <c r="E725" t="inlineStr">
        <is>
          <t>VIMMERBY</t>
        </is>
      </c>
      <c r="F725" t="inlineStr">
        <is>
          <t>Kommuner</t>
        </is>
      </c>
      <c r="G725" t="n">
        <v>5.5</v>
      </c>
      <c r="H725" t="n">
        <v>0</v>
      </c>
      <c r="I725" t="n">
        <v>0</v>
      </c>
      <c r="J725" t="n">
        <v>0</v>
      </c>
      <c r="K725" t="n">
        <v>0</v>
      </c>
      <c r="L725" t="n">
        <v>0</v>
      </c>
      <c r="M725" t="n">
        <v>0</v>
      </c>
      <c r="N725" t="n">
        <v>0</v>
      </c>
      <c r="O725" t="n">
        <v>0</v>
      </c>
      <c r="P725" t="n">
        <v>0</v>
      </c>
      <c r="Q725" t="n">
        <v>0</v>
      </c>
      <c r="R725" s="2" t="inlineStr"/>
    </row>
    <row r="726" ht="15" customHeight="1">
      <c r="A726" t="inlineStr">
        <is>
          <t>A 1978-2024</t>
        </is>
      </c>
      <c r="B726" s="1" t="n">
        <v>45308.59001157407</v>
      </c>
      <c r="C726" s="1" t="n">
        <v>46158</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6399-2025</t>
        </is>
      </c>
      <c r="B727" s="1" t="n">
        <v>45699.44291666667</v>
      </c>
      <c r="C727" s="1" t="n">
        <v>46158</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41311-2023</t>
        </is>
      </c>
      <c r="B728" s="1" t="n">
        <v>45174</v>
      </c>
      <c r="C728" s="1" t="n">
        <v>46158</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16823-2026</t>
        </is>
      </c>
      <c r="B729" s="1" t="n">
        <v>46113.51649305555</v>
      </c>
      <c r="C729" s="1" t="n">
        <v>46158</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16617-2026</t>
        </is>
      </c>
      <c r="B730" s="1" t="n">
        <v>46112.60607638889</v>
      </c>
      <c r="C730" s="1" t="n">
        <v>46158</v>
      </c>
      <c r="D730" t="inlineStr">
        <is>
          <t>KALMAR LÄN</t>
        </is>
      </c>
      <c r="E730" t="inlineStr">
        <is>
          <t>VIMMERBY</t>
        </is>
      </c>
      <c r="F730" t="inlineStr">
        <is>
          <t>Kommuner</t>
        </is>
      </c>
      <c r="G730" t="n">
        <v>0.6</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46158</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18020-2025</t>
        </is>
      </c>
      <c r="B732" s="1" t="n">
        <v>45761.4437962963</v>
      </c>
      <c r="C732" s="1" t="n">
        <v>46158</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585-2024</t>
        </is>
      </c>
      <c r="B733" s="1" t="n">
        <v>45299.62576388889</v>
      </c>
      <c r="C733" s="1" t="n">
        <v>46158</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6802-2025</t>
        </is>
      </c>
      <c r="B734" s="1" t="n">
        <v>45700.68289351852</v>
      </c>
      <c r="C734" s="1" t="n">
        <v>46158</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56020-2024</t>
        </is>
      </c>
      <c r="B735" s="1" t="n">
        <v>45623.9525462963</v>
      </c>
      <c r="C735" s="1" t="n">
        <v>46158</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33842-2022</t>
        </is>
      </c>
      <c r="B736" s="1" t="n">
        <v>44790.49523148148</v>
      </c>
      <c r="C736" s="1" t="n">
        <v>46158</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60675-2023</t>
        </is>
      </c>
      <c r="B737" s="1" t="n">
        <v>45260.4716550926</v>
      </c>
      <c r="C737" s="1" t="n">
        <v>46158</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40095-2022</t>
        </is>
      </c>
      <c r="B738" s="1" t="n">
        <v>44820</v>
      </c>
      <c r="C738" s="1" t="n">
        <v>46158</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19537-2022</t>
        </is>
      </c>
      <c r="B739" s="1" t="n">
        <v>44693.62822916666</v>
      </c>
      <c r="C739" s="1" t="n">
        <v>46158</v>
      </c>
      <c r="D739" t="inlineStr">
        <is>
          <t>KALMAR LÄN</t>
        </is>
      </c>
      <c r="E739" t="inlineStr">
        <is>
          <t>VIMMERBY</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57311-2023</t>
        </is>
      </c>
      <c r="B740" s="1" t="n">
        <v>45245.63574074074</v>
      </c>
      <c r="C740" s="1" t="n">
        <v>46158</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64428-2023</t>
        </is>
      </c>
      <c r="B741" s="1" t="n">
        <v>45280.66769675926</v>
      </c>
      <c r="C741" s="1" t="n">
        <v>46158</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4527-2023</t>
        </is>
      </c>
      <c r="B742" s="1" t="n">
        <v>44956</v>
      </c>
      <c r="C742" s="1" t="n">
        <v>46158</v>
      </c>
      <c r="D742" t="inlineStr">
        <is>
          <t>KALMAR LÄN</t>
        </is>
      </c>
      <c r="E742" t="inlineStr">
        <is>
          <t>VIMMERBY</t>
        </is>
      </c>
      <c r="F742" t="inlineStr">
        <is>
          <t>Kommuner</t>
        </is>
      </c>
      <c r="G742" t="n">
        <v>8.5</v>
      </c>
      <c r="H742" t="n">
        <v>0</v>
      </c>
      <c r="I742" t="n">
        <v>0</v>
      </c>
      <c r="J742" t="n">
        <v>0</v>
      </c>
      <c r="K742" t="n">
        <v>0</v>
      </c>
      <c r="L742" t="n">
        <v>0</v>
      </c>
      <c r="M742" t="n">
        <v>0</v>
      </c>
      <c r="N742" t="n">
        <v>0</v>
      </c>
      <c r="O742" t="n">
        <v>0</v>
      </c>
      <c r="P742" t="n">
        <v>0</v>
      </c>
      <c r="Q742" t="n">
        <v>0</v>
      </c>
      <c r="R742" s="2" t="inlineStr"/>
    </row>
    <row r="743" ht="15" customHeight="1">
      <c r="A743" t="inlineStr">
        <is>
          <t>A 3268-2024</t>
        </is>
      </c>
      <c r="B743" s="1" t="n">
        <v>45317</v>
      </c>
      <c r="C743" s="1" t="n">
        <v>46158</v>
      </c>
      <c r="D743" t="inlineStr">
        <is>
          <t>KALMAR LÄN</t>
        </is>
      </c>
      <c r="E743" t="inlineStr">
        <is>
          <t>VIMMERBY</t>
        </is>
      </c>
      <c r="F743" t="inlineStr">
        <is>
          <t>Övriga Aktiebolag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51408-2023</t>
        </is>
      </c>
      <c r="B744" s="1" t="n">
        <v>45219.69356481481</v>
      </c>
      <c r="C744" s="1" t="n">
        <v>46158</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12480-2024</t>
        </is>
      </c>
      <c r="B745" s="1" t="n">
        <v>45379</v>
      </c>
      <c r="C745" s="1" t="n">
        <v>46158</v>
      </c>
      <c r="D745" t="inlineStr">
        <is>
          <t>KALMAR LÄN</t>
        </is>
      </c>
      <c r="E745" t="inlineStr">
        <is>
          <t>VIMMERBY</t>
        </is>
      </c>
      <c r="G745" t="n">
        <v>2.8</v>
      </c>
      <c r="H745" t="n">
        <v>0</v>
      </c>
      <c r="I745" t="n">
        <v>0</v>
      </c>
      <c r="J745" t="n">
        <v>0</v>
      </c>
      <c r="K745" t="n">
        <v>0</v>
      </c>
      <c r="L745" t="n">
        <v>0</v>
      </c>
      <c r="M745" t="n">
        <v>0</v>
      </c>
      <c r="N745" t="n">
        <v>0</v>
      </c>
      <c r="O745" t="n">
        <v>0</v>
      </c>
      <c r="P745" t="n">
        <v>0</v>
      </c>
      <c r="Q745" t="n">
        <v>0</v>
      </c>
      <c r="R745" s="2" t="inlineStr"/>
    </row>
    <row r="746" ht="15" customHeight="1">
      <c r="A746" t="inlineStr">
        <is>
          <t>A 52588-2023</t>
        </is>
      </c>
      <c r="B746" s="1" t="n">
        <v>45225.60192129629</v>
      </c>
      <c r="C746" s="1" t="n">
        <v>46158</v>
      </c>
      <c r="D746" t="inlineStr">
        <is>
          <t>KALMAR LÄN</t>
        </is>
      </c>
      <c r="E746" t="inlineStr">
        <is>
          <t>VIMMERBY</t>
        </is>
      </c>
      <c r="G746" t="n">
        <v>2.9</v>
      </c>
      <c r="H746" t="n">
        <v>0</v>
      </c>
      <c r="I746" t="n">
        <v>0</v>
      </c>
      <c r="J746" t="n">
        <v>0</v>
      </c>
      <c r="K746" t="n">
        <v>0</v>
      </c>
      <c r="L746" t="n">
        <v>0</v>
      </c>
      <c r="M746" t="n">
        <v>0</v>
      </c>
      <c r="N746" t="n">
        <v>0</v>
      </c>
      <c r="O746" t="n">
        <v>0</v>
      </c>
      <c r="P746" t="n">
        <v>0</v>
      </c>
      <c r="Q746" t="n">
        <v>0</v>
      </c>
      <c r="R746" s="2" t="inlineStr"/>
    </row>
    <row r="747" ht="15" customHeight="1">
      <c r="A747" t="inlineStr">
        <is>
          <t>A 55236-2023</t>
        </is>
      </c>
      <c r="B747" s="1" t="n">
        <v>45237.63225694445</v>
      </c>
      <c r="C747" s="1" t="n">
        <v>46158</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55245-2023</t>
        </is>
      </c>
      <c r="B748" s="1" t="n">
        <v>45237.64408564815</v>
      </c>
      <c r="C748" s="1" t="n">
        <v>46158</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19111-2025</t>
        </is>
      </c>
      <c r="B749" s="1" t="n">
        <v>45768.65611111111</v>
      </c>
      <c r="C749" s="1" t="n">
        <v>46158</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44732.3659837963</v>
      </c>
      <c r="C750" s="1" t="n">
        <v>46158</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33838-2022</t>
        </is>
      </c>
      <c r="B751" s="1" t="n">
        <v>44790.49040509259</v>
      </c>
      <c r="C751" s="1" t="n">
        <v>46158</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4058-2024</t>
        </is>
      </c>
      <c r="B752" s="1" t="n">
        <v>45323.53744212963</v>
      </c>
      <c r="C752" s="1" t="n">
        <v>46158</v>
      </c>
      <c r="D752" t="inlineStr">
        <is>
          <t>KALMAR LÄN</t>
        </is>
      </c>
      <c r="E752" t="inlineStr">
        <is>
          <t>VIMMERBY</t>
        </is>
      </c>
      <c r="G752" t="n">
        <v>6.5</v>
      </c>
      <c r="H752" t="n">
        <v>0</v>
      </c>
      <c r="I752" t="n">
        <v>0</v>
      </c>
      <c r="J752" t="n">
        <v>0</v>
      </c>
      <c r="K752" t="n">
        <v>0</v>
      </c>
      <c r="L752" t="n">
        <v>0</v>
      </c>
      <c r="M752" t="n">
        <v>0</v>
      </c>
      <c r="N752" t="n">
        <v>0</v>
      </c>
      <c r="O752" t="n">
        <v>0</v>
      </c>
      <c r="P752" t="n">
        <v>0</v>
      </c>
      <c r="Q752" t="n">
        <v>0</v>
      </c>
      <c r="R752" s="2" t="inlineStr"/>
    </row>
    <row r="753" ht="15" customHeight="1">
      <c r="A753" t="inlineStr">
        <is>
          <t>A 36008-2024</t>
        </is>
      </c>
      <c r="B753" s="1" t="n">
        <v>45533.55362268518</v>
      </c>
      <c r="C753" s="1" t="n">
        <v>46158</v>
      </c>
      <c r="D753" t="inlineStr">
        <is>
          <t>KALMAR LÄN</t>
        </is>
      </c>
      <c r="E753" t="inlineStr">
        <is>
          <t>VIMMERBY</t>
        </is>
      </c>
      <c r="G753" t="n">
        <v>3.7</v>
      </c>
      <c r="H753" t="n">
        <v>0</v>
      </c>
      <c r="I753" t="n">
        <v>0</v>
      </c>
      <c r="J753" t="n">
        <v>0</v>
      </c>
      <c r="K753" t="n">
        <v>0</v>
      </c>
      <c r="L753" t="n">
        <v>0</v>
      </c>
      <c r="M753" t="n">
        <v>0</v>
      </c>
      <c r="N753" t="n">
        <v>0</v>
      </c>
      <c r="O753" t="n">
        <v>0</v>
      </c>
      <c r="P753" t="n">
        <v>0</v>
      </c>
      <c r="Q753" t="n">
        <v>0</v>
      </c>
      <c r="R753" s="2" t="inlineStr"/>
    </row>
    <row r="754" ht="15" customHeight="1">
      <c r="A754" t="inlineStr">
        <is>
          <t>A 18669-2025</t>
        </is>
      </c>
      <c r="B754" s="1" t="n">
        <v>45763.59436342592</v>
      </c>
      <c r="C754" s="1" t="n">
        <v>46158</v>
      </c>
      <c r="D754" t="inlineStr">
        <is>
          <t>KALMAR LÄN</t>
        </is>
      </c>
      <c r="E754" t="inlineStr">
        <is>
          <t>VIMMERBY</t>
        </is>
      </c>
      <c r="G754" t="n">
        <v>2.7</v>
      </c>
      <c r="H754" t="n">
        <v>0</v>
      </c>
      <c r="I754" t="n">
        <v>0</v>
      </c>
      <c r="J754" t="n">
        <v>0</v>
      </c>
      <c r="K754" t="n">
        <v>0</v>
      </c>
      <c r="L754" t="n">
        <v>0</v>
      </c>
      <c r="M754" t="n">
        <v>0</v>
      </c>
      <c r="N754" t="n">
        <v>0</v>
      </c>
      <c r="O754" t="n">
        <v>0</v>
      </c>
      <c r="P754" t="n">
        <v>0</v>
      </c>
      <c r="Q754" t="n">
        <v>0</v>
      </c>
      <c r="R754" s="2" t="inlineStr"/>
    </row>
    <row r="755" ht="15" customHeight="1">
      <c r="A755" t="inlineStr">
        <is>
          <t>A 8540-2024</t>
        </is>
      </c>
      <c r="B755" s="1" t="n">
        <v>45355.54138888889</v>
      </c>
      <c r="C755" s="1" t="n">
        <v>46158</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9623-2024</t>
        </is>
      </c>
      <c r="B756" s="1" t="n">
        <v>45361.87975694444</v>
      </c>
      <c r="C756" s="1" t="n">
        <v>46158</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5146-2024</t>
        </is>
      </c>
      <c r="B757" s="1" t="n">
        <v>45330</v>
      </c>
      <c r="C757" s="1" t="n">
        <v>46158</v>
      </c>
      <c r="D757" t="inlineStr">
        <is>
          <t>KALMAR LÄN</t>
        </is>
      </c>
      <c r="E757" t="inlineStr">
        <is>
          <t>VIMMERBY</t>
        </is>
      </c>
      <c r="G757" t="n">
        <v>5.3</v>
      </c>
      <c r="H757" t="n">
        <v>0</v>
      </c>
      <c r="I757" t="n">
        <v>0</v>
      </c>
      <c r="J757" t="n">
        <v>0</v>
      </c>
      <c r="K757" t="n">
        <v>0</v>
      </c>
      <c r="L757" t="n">
        <v>0</v>
      </c>
      <c r="M757" t="n">
        <v>0</v>
      </c>
      <c r="N757" t="n">
        <v>0</v>
      </c>
      <c r="O757" t="n">
        <v>0</v>
      </c>
      <c r="P757" t="n">
        <v>0</v>
      </c>
      <c r="Q757" t="n">
        <v>0</v>
      </c>
      <c r="R757" s="2" t="inlineStr"/>
    </row>
    <row r="758" ht="15" customHeight="1">
      <c r="A758" t="inlineStr">
        <is>
          <t>A 5148-2024</t>
        </is>
      </c>
      <c r="B758" s="1" t="n">
        <v>45330</v>
      </c>
      <c r="C758" s="1" t="n">
        <v>46158</v>
      </c>
      <c r="D758" t="inlineStr">
        <is>
          <t>KALMAR LÄN</t>
        </is>
      </c>
      <c r="E758" t="inlineStr">
        <is>
          <t>VIMMERBY</t>
        </is>
      </c>
      <c r="G758" t="n">
        <v>5.6</v>
      </c>
      <c r="H758" t="n">
        <v>0</v>
      </c>
      <c r="I758" t="n">
        <v>0</v>
      </c>
      <c r="J758" t="n">
        <v>0</v>
      </c>
      <c r="K758" t="n">
        <v>0</v>
      </c>
      <c r="L758" t="n">
        <v>0</v>
      </c>
      <c r="M758" t="n">
        <v>0</v>
      </c>
      <c r="N758" t="n">
        <v>0</v>
      </c>
      <c r="O758" t="n">
        <v>0</v>
      </c>
      <c r="P758" t="n">
        <v>0</v>
      </c>
      <c r="Q758" t="n">
        <v>0</v>
      </c>
      <c r="R758" s="2" t="inlineStr"/>
    </row>
    <row r="759" ht="15" customHeight="1">
      <c r="A759" t="inlineStr">
        <is>
          <t>A 44179-2022</t>
        </is>
      </c>
      <c r="B759" s="1" t="n">
        <v>44839.4528125</v>
      </c>
      <c r="C759" s="1" t="n">
        <v>46158</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50648-2023</t>
        </is>
      </c>
      <c r="B760" s="1" t="n">
        <v>45217.47834490741</v>
      </c>
      <c r="C760" s="1" t="n">
        <v>46158</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2121-2022</t>
        </is>
      </c>
      <c r="B761" s="1" t="n">
        <v>44578.32717592592</v>
      </c>
      <c r="C761" s="1" t="n">
        <v>46158</v>
      </c>
      <c r="D761" t="inlineStr">
        <is>
          <t>KALMAR LÄN</t>
        </is>
      </c>
      <c r="E761" t="inlineStr">
        <is>
          <t>VIMMERBY</t>
        </is>
      </c>
      <c r="G761" t="n">
        <v>2</v>
      </c>
      <c r="H761" t="n">
        <v>0</v>
      </c>
      <c r="I761" t="n">
        <v>0</v>
      </c>
      <c r="J761" t="n">
        <v>0</v>
      </c>
      <c r="K761" t="n">
        <v>0</v>
      </c>
      <c r="L761" t="n">
        <v>0</v>
      </c>
      <c r="M761" t="n">
        <v>0</v>
      </c>
      <c r="N761" t="n">
        <v>0</v>
      </c>
      <c r="O761" t="n">
        <v>0</v>
      </c>
      <c r="P761" t="n">
        <v>0</v>
      </c>
      <c r="Q761" t="n">
        <v>0</v>
      </c>
      <c r="R761" s="2" t="inlineStr"/>
    </row>
    <row r="762" ht="15" customHeight="1">
      <c r="A762" t="inlineStr">
        <is>
          <t>A 57799-2022</t>
        </is>
      </c>
      <c r="B762" s="1" t="n">
        <v>44897</v>
      </c>
      <c r="C762" s="1" t="n">
        <v>46158</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15394-2025</t>
        </is>
      </c>
      <c r="B763" s="1" t="n">
        <v>45747.43196759259</v>
      </c>
      <c r="C763" s="1" t="n">
        <v>46158</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26318-2023</t>
        </is>
      </c>
      <c r="B764" s="1" t="n">
        <v>45091.67936342592</v>
      </c>
      <c r="C764" s="1" t="n">
        <v>46158</v>
      </c>
      <c r="D764" t="inlineStr">
        <is>
          <t>KALMAR LÄN</t>
        </is>
      </c>
      <c r="E764" t="inlineStr">
        <is>
          <t>VIMMERBY</t>
        </is>
      </c>
      <c r="G764" t="n">
        <v>3.8</v>
      </c>
      <c r="H764" t="n">
        <v>0</v>
      </c>
      <c r="I764" t="n">
        <v>0</v>
      </c>
      <c r="J764" t="n">
        <v>0</v>
      </c>
      <c r="K764" t="n">
        <v>0</v>
      </c>
      <c r="L764" t="n">
        <v>0</v>
      </c>
      <c r="M764" t="n">
        <v>0</v>
      </c>
      <c r="N764" t="n">
        <v>0</v>
      </c>
      <c r="O764" t="n">
        <v>0</v>
      </c>
      <c r="P764" t="n">
        <v>0</v>
      </c>
      <c r="Q764" t="n">
        <v>0</v>
      </c>
      <c r="R764" s="2" t="inlineStr"/>
    </row>
    <row r="765" ht="15" customHeight="1">
      <c r="A765" t="inlineStr">
        <is>
          <t>A 60437-2023</t>
        </is>
      </c>
      <c r="B765" s="1" t="n">
        <v>45259.51916666667</v>
      </c>
      <c r="C765" s="1" t="n">
        <v>46158</v>
      </c>
      <c r="D765" t="inlineStr">
        <is>
          <t>KALMAR LÄN</t>
        </is>
      </c>
      <c r="E765" t="inlineStr">
        <is>
          <t>VIMMERBY</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60438-2023</t>
        </is>
      </c>
      <c r="B766" s="1" t="n">
        <v>45259.52020833334</v>
      </c>
      <c r="C766" s="1" t="n">
        <v>46158</v>
      </c>
      <c r="D766" t="inlineStr">
        <is>
          <t>KALMAR LÄN</t>
        </is>
      </c>
      <c r="E766" t="inlineStr">
        <is>
          <t>VIMMERBY</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7758-2024</t>
        </is>
      </c>
      <c r="B767" s="1" t="n">
        <v>45349.54434027777</v>
      </c>
      <c r="C767" s="1" t="n">
        <v>46158</v>
      </c>
      <c r="D767" t="inlineStr">
        <is>
          <t>KALMAR LÄN</t>
        </is>
      </c>
      <c r="E767" t="inlineStr">
        <is>
          <t>VIMMERBY</t>
        </is>
      </c>
      <c r="G767" t="n">
        <v>3.5</v>
      </c>
      <c r="H767" t="n">
        <v>0</v>
      </c>
      <c r="I767" t="n">
        <v>0</v>
      </c>
      <c r="J767" t="n">
        <v>0</v>
      </c>
      <c r="K767" t="n">
        <v>0</v>
      </c>
      <c r="L767" t="n">
        <v>0</v>
      </c>
      <c r="M767" t="n">
        <v>0</v>
      </c>
      <c r="N767" t="n">
        <v>0</v>
      </c>
      <c r="O767" t="n">
        <v>0</v>
      </c>
      <c r="P767" t="n">
        <v>0</v>
      </c>
      <c r="Q767" t="n">
        <v>0</v>
      </c>
      <c r="R767" s="2" t="inlineStr"/>
    </row>
    <row r="768" ht="15" customHeight="1">
      <c r="A768" t="inlineStr">
        <is>
          <t>A 7456-2024</t>
        </is>
      </c>
      <c r="B768" s="1" t="n">
        <v>45345.83557870371</v>
      </c>
      <c r="C768" s="1" t="n">
        <v>46158</v>
      </c>
      <c r="D768" t="inlineStr">
        <is>
          <t>KALMAR LÄN</t>
        </is>
      </c>
      <c r="E768" t="inlineStr">
        <is>
          <t>VIMMERBY</t>
        </is>
      </c>
      <c r="G768" t="n">
        <v>4.1</v>
      </c>
      <c r="H768" t="n">
        <v>0</v>
      </c>
      <c r="I768" t="n">
        <v>0</v>
      </c>
      <c r="J768" t="n">
        <v>0</v>
      </c>
      <c r="K768" t="n">
        <v>0</v>
      </c>
      <c r="L768" t="n">
        <v>0</v>
      </c>
      <c r="M768" t="n">
        <v>0</v>
      </c>
      <c r="N768" t="n">
        <v>0</v>
      </c>
      <c r="O768" t="n">
        <v>0</v>
      </c>
      <c r="P768" t="n">
        <v>0</v>
      </c>
      <c r="Q768" t="n">
        <v>0</v>
      </c>
      <c r="R768" s="2" t="inlineStr"/>
    </row>
    <row r="769" ht="15" customHeight="1">
      <c r="A769" t="inlineStr">
        <is>
          <t>A 6082-2022</t>
        </is>
      </c>
      <c r="B769" s="1" t="n">
        <v>44599</v>
      </c>
      <c r="C769" s="1" t="n">
        <v>46158</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46979-2023</t>
        </is>
      </c>
      <c r="B770" s="1" t="n">
        <v>45201</v>
      </c>
      <c r="C770" s="1" t="n">
        <v>46158</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2596-2025</t>
        </is>
      </c>
      <c r="B771" s="1" t="n">
        <v>45674.71810185185</v>
      </c>
      <c r="C771" s="1" t="n">
        <v>46158</v>
      </c>
      <c r="D771" t="inlineStr">
        <is>
          <t>KALMAR LÄN</t>
        </is>
      </c>
      <c r="E771" t="inlineStr">
        <is>
          <t>VIMMERBY</t>
        </is>
      </c>
      <c r="G771" t="n">
        <v>9</v>
      </c>
      <c r="H771" t="n">
        <v>0</v>
      </c>
      <c r="I771" t="n">
        <v>0</v>
      </c>
      <c r="J771" t="n">
        <v>0</v>
      </c>
      <c r="K771" t="n">
        <v>0</v>
      </c>
      <c r="L771" t="n">
        <v>0</v>
      </c>
      <c r="M771" t="n">
        <v>0</v>
      </c>
      <c r="N771" t="n">
        <v>0</v>
      </c>
      <c r="O771" t="n">
        <v>0</v>
      </c>
      <c r="P771" t="n">
        <v>0</v>
      </c>
      <c r="Q771" t="n">
        <v>0</v>
      </c>
      <c r="R771" s="2" t="inlineStr"/>
    </row>
    <row r="772" ht="15" customHeight="1">
      <c r="A772" t="inlineStr">
        <is>
          <t>A 47855-2024</t>
        </is>
      </c>
      <c r="B772" s="1" t="n">
        <v>45588.66457175926</v>
      </c>
      <c r="C772" s="1" t="n">
        <v>46158</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63583-2023</t>
        </is>
      </c>
      <c r="B773" s="1" t="n">
        <v>45275.41833333333</v>
      </c>
      <c r="C773" s="1" t="n">
        <v>46158</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60228-2021</t>
        </is>
      </c>
      <c r="B774" s="1" t="n">
        <v>44495</v>
      </c>
      <c r="C774" s="1" t="n">
        <v>46158</v>
      </c>
      <c r="D774" t="inlineStr">
        <is>
          <t>KALMAR LÄN</t>
        </is>
      </c>
      <c r="E774" t="inlineStr">
        <is>
          <t>VIMMERBY</t>
        </is>
      </c>
      <c r="G774" t="n">
        <v>4.1</v>
      </c>
      <c r="H774" t="n">
        <v>0</v>
      </c>
      <c r="I774" t="n">
        <v>0</v>
      </c>
      <c r="J774" t="n">
        <v>0</v>
      </c>
      <c r="K774" t="n">
        <v>0</v>
      </c>
      <c r="L774" t="n">
        <v>0</v>
      </c>
      <c r="M774" t="n">
        <v>0</v>
      </c>
      <c r="N774" t="n">
        <v>0</v>
      </c>
      <c r="O774" t="n">
        <v>0</v>
      </c>
      <c r="P774" t="n">
        <v>0</v>
      </c>
      <c r="Q774" t="n">
        <v>0</v>
      </c>
      <c r="R774" s="2" t="inlineStr"/>
    </row>
    <row r="775" ht="15" customHeight="1">
      <c r="A775" t="inlineStr">
        <is>
          <t>A 46522-2022</t>
        </is>
      </c>
      <c r="B775" s="1" t="n">
        <v>44848.59133101852</v>
      </c>
      <c r="C775" s="1" t="n">
        <v>46158</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21109-2024</t>
        </is>
      </c>
      <c r="B776" s="1" t="n">
        <v>45440.28329861111</v>
      </c>
      <c r="C776" s="1" t="n">
        <v>46158</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33815-2022</t>
        </is>
      </c>
      <c r="B777" s="1" t="n">
        <v>44790.45876157407</v>
      </c>
      <c r="C777" s="1" t="n">
        <v>46158</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49461-2022</t>
        </is>
      </c>
      <c r="B778" s="1" t="n">
        <v>44861</v>
      </c>
      <c r="C778" s="1" t="n">
        <v>46158</v>
      </c>
      <c r="D778" t="inlineStr">
        <is>
          <t>KALMAR LÄN</t>
        </is>
      </c>
      <c r="E778" t="inlineStr">
        <is>
          <t>VIMMERBY</t>
        </is>
      </c>
      <c r="G778" t="n">
        <v>3.2</v>
      </c>
      <c r="H778" t="n">
        <v>0</v>
      </c>
      <c r="I778" t="n">
        <v>0</v>
      </c>
      <c r="J778" t="n">
        <v>0</v>
      </c>
      <c r="K778" t="n">
        <v>0</v>
      </c>
      <c r="L778" t="n">
        <v>0</v>
      </c>
      <c r="M778" t="n">
        <v>0</v>
      </c>
      <c r="N778" t="n">
        <v>0</v>
      </c>
      <c r="O778" t="n">
        <v>0</v>
      </c>
      <c r="P778" t="n">
        <v>0</v>
      </c>
      <c r="Q778" t="n">
        <v>0</v>
      </c>
      <c r="R778" s="2" t="inlineStr"/>
    </row>
    <row r="779" ht="15" customHeight="1">
      <c r="A779" t="inlineStr">
        <is>
          <t>A 53542-2022</t>
        </is>
      </c>
      <c r="B779" s="1" t="n">
        <v>44879.62173611111</v>
      </c>
      <c r="C779" s="1" t="n">
        <v>46158</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35713-2023</t>
        </is>
      </c>
      <c r="B780" s="1" t="n">
        <v>45147</v>
      </c>
      <c r="C780" s="1" t="n">
        <v>46158</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10424-2023</t>
        </is>
      </c>
      <c r="B781" s="1" t="n">
        <v>44987.54104166666</v>
      </c>
      <c r="C781" s="1" t="n">
        <v>46158</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33340-2023</t>
        </is>
      </c>
      <c r="B782" s="1" t="n">
        <v>45128.37305555555</v>
      </c>
      <c r="C782" s="1" t="n">
        <v>46158</v>
      </c>
      <c r="D782" t="inlineStr">
        <is>
          <t>KALMAR LÄN</t>
        </is>
      </c>
      <c r="E782" t="inlineStr">
        <is>
          <t>VIMMERBY</t>
        </is>
      </c>
      <c r="G782" t="n">
        <v>1.5</v>
      </c>
      <c r="H782" t="n">
        <v>0</v>
      </c>
      <c r="I782" t="n">
        <v>0</v>
      </c>
      <c r="J782" t="n">
        <v>0</v>
      </c>
      <c r="K782" t="n">
        <v>0</v>
      </c>
      <c r="L782" t="n">
        <v>0</v>
      </c>
      <c r="M782" t="n">
        <v>0</v>
      </c>
      <c r="N782" t="n">
        <v>0</v>
      </c>
      <c r="O782" t="n">
        <v>0</v>
      </c>
      <c r="P782" t="n">
        <v>0</v>
      </c>
      <c r="Q782" t="n">
        <v>0</v>
      </c>
      <c r="R782" s="2" t="inlineStr"/>
    </row>
    <row r="783" ht="15" customHeight="1">
      <c r="A783" t="inlineStr">
        <is>
          <t>A 29017-2024</t>
        </is>
      </c>
      <c r="B783" s="1" t="n">
        <v>45481.56722222222</v>
      </c>
      <c r="C783" s="1" t="n">
        <v>46158</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58046-2022</t>
        </is>
      </c>
      <c r="B784" s="1" t="n">
        <v>44900.57393518519</v>
      </c>
      <c r="C784" s="1" t="n">
        <v>46158</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14548-2024</t>
        </is>
      </c>
      <c r="B785" s="1" t="n">
        <v>45394.66887731481</v>
      </c>
      <c r="C785" s="1" t="n">
        <v>46158</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48120-2022</t>
        </is>
      </c>
      <c r="B786" s="1" t="n">
        <v>44857.65989583333</v>
      </c>
      <c r="C786" s="1" t="n">
        <v>46158</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3423-2022</t>
        </is>
      </c>
      <c r="B787" s="1" t="n">
        <v>44585.50431712963</v>
      </c>
      <c r="C787" s="1" t="n">
        <v>46158</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11074-2023</t>
        </is>
      </c>
      <c r="B788" s="1" t="n">
        <v>44992.34151620371</v>
      </c>
      <c r="C788" s="1" t="n">
        <v>46158</v>
      </c>
      <c r="D788" t="inlineStr">
        <is>
          <t>KALMAR LÄN</t>
        </is>
      </c>
      <c r="E788" t="inlineStr">
        <is>
          <t>VIMMERBY</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71631-2021</t>
        </is>
      </c>
      <c r="B789" s="1" t="n">
        <v>44542.90072916666</v>
      </c>
      <c r="C789" s="1" t="n">
        <v>46158</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49039-2021</t>
        </is>
      </c>
      <c r="B790" s="1" t="n">
        <v>44453.56578703703</v>
      </c>
      <c r="C790" s="1" t="n">
        <v>46158</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42918-2021</t>
        </is>
      </c>
      <c r="B791" s="1" t="n">
        <v>44431</v>
      </c>
      <c r="C791" s="1" t="n">
        <v>46158</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529-2022</t>
        </is>
      </c>
      <c r="B792" s="1" t="n">
        <v>44566</v>
      </c>
      <c r="C792" s="1" t="n">
        <v>46158</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14855-2025</t>
        </is>
      </c>
      <c r="B793" s="1" t="n">
        <v>45743.41148148148</v>
      </c>
      <c r="C793" s="1" t="n">
        <v>46158</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60951-2023</t>
        </is>
      </c>
      <c r="B794" s="1" t="n">
        <v>45261.44914351852</v>
      </c>
      <c r="C794" s="1" t="n">
        <v>46158</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19162-2023</t>
        </is>
      </c>
      <c r="B795" s="1" t="n">
        <v>45048.59699074074</v>
      </c>
      <c r="C795" s="1" t="n">
        <v>46158</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31209-2024</t>
        </is>
      </c>
      <c r="B796" s="1" t="n">
        <v>45503.5658912037</v>
      </c>
      <c r="C796" s="1" t="n">
        <v>46158</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5864-2022</t>
        </is>
      </c>
      <c r="B797" s="1" t="n">
        <v>44596</v>
      </c>
      <c r="C797" s="1" t="n">
        <v>46158</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3938-2023</t>
        </is>
      </c>
      <c r="B798" s="1" t="n">
        <v>44952.35775462963</v>
      </c>
      <c r="C798" s="1" t="n">
        <v>46158</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26937-2023</t>
        </is>
      </c>
      <c r="B799" s="1" t="n">
        <v>45093.62777777778</v>
      </c>
      <c r="C799" s="1" t="n">
        <v>46158</v>
      </c>
      <c r="D799" t="inlineStr">
        <is>
          <t>KALMAR LÄN</t>
        </is>
      </c>
      <c r="E799" t="inlineStr">
        <is>
          <t>VIMMERBY</t>
        </is>
      </c>
      <c r="F799" t="inlineStr">
        <is>
          <t>Sveaskog</t>
        </is>
      </c>
      <c r="G799" t="n">
        <v>14.5</v>
      </c>
      <c r="H799" t="n">
        <v>0</v>
      </c>
      <c r="I799" t="n">
        <v>0</v>
      </c>
      <c r="J799" t="n">
        <v>0</v>
      </c>
      <c r="K799" t="n">
        <v>0</v>
      </c>
      <c r="L799" t="n">
        <v>0</v>
      </c>
      <c r="M799" t="n">
        <v>0</v>
      </c>
      <c r="N799" t="n">
        <v>0</v>
      </c>
      <c r="O799" t="n">
        <v>0</v>
      </c>
      <c r="P799" t="n">
        <v>0</v>
      </c>
      <c r="Q799" t="n">
        <v>0</v>
      </c>
      <c r="R799" s="2" t="inlineStr"/>
    </row>
    <row r="800" ht="15" customHeight="1">
      <c r="A800" t="inlineStr">
        <is>
          <t>A 50085-2023</t>
        </is>
      </c>
      <c r="B800" s="1" t="n">
        <v>45215.5959375</v>
      </c>
      <c r="C800" s="1" t="n">
        <v>46158</v>
      </c>
      <c r="D800" t="inlineStr">
        <is>
          <t>KALMAR LÄN</t>
        </is>
      </c>
      <c r="E800" t="inlineStr">
        <is>
          <t>VIMMERBY</t>
        </is>
      </c>
      <c r="G800" t="n">
        <v>1.1</v>
      </c>
      <c r="H800" t="n">
        <v>0</v>
      </c>
      <c r="I800" t="n">
        <v>0</v>
      </c>
      <c r="J800" t="n">
        <v>0</v>
      </c>
      <c r="K800" t="n">
        <v>0</v>
      </c>
      <c r="L800" t="n">
        <v>0</v>
      </c>
      <c r="M800" t="n">
        <v>0</v>
      </c>
      <c r="N800" t="n">
        <v>0</v>
      </c>
      <c r="O800" t="n">
        <v>0</v>
      </c>
      <c r="P800" t="n">
        <v>0</v>
      </c>
      <c r="Q800" t="n">
        <v>0</v>
      </c>
      <c r="R800" s="2" t="inlineStr"/>
    </row>
    <row r="801" ht="15" customHeight="1">
      <c r="A801" t="inlineStr">
        <is>
          <t>A 11219-2023</t>
        </is>
      </c>
      <c r="B801" s="1" t="n">
        <v>44992.62498842592</v>
      </c>
      <c r="C801" s="1" t="n">
        <v>46158</v>
      </c>
      <c r="D801" t="inlineStr">
        <is>
          <t>KALMAR LÄN</t>
        </is>
      </c>
      <c r="E801" t="inlineStr">
        <is>
          <t>VIMMERBY</t>
        </is>
      </c>
      <c r="G801" t="n">
        <v>2.5</v>
      </c>
      <c r="H801" t="n">
        <v>0</v>
      </c>
      <c r="I801" t="n">
        <v>0</v>
      </c>
      <c r="J801" t="n">
        <v>0</v>
      </c>
      <c r="K801" t="n">
        <v>0</v>
      </c>
      <c r="L801" t="n">
        <v>0</v>
      </c>
      <c r="M801" t="n">
        <v>0</v>
      </c>
      <c r="N801" t="n">
        <v>0</v>
      </c>
      <c r="O801" t="n">
        <v>0</v>
      </c>
      <c r="P801" t="n">
        <v>0</v>
      </c>
      <c r="Q801" t="n">
        <v>0</v>
      </c>
      <c r="R801" s="2" t="inlineStr"/>
    </row>
    <row r="802" ht="15" customHeight="1">
      <c r="A802" t="inlineStr">
        <is>
          <t>A 6850-2023</t>
        </is>
      </c>
      <c r="B802" s="1" t="n">
        <v>44967.44255787037</v>
      </c>
      <c r="C802" s="1" t="n">
        <v>46158</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6358-2022</t>
        </is>
      </c>
      <c r="B803" s="1" t="n">
        <v>44600</v>
      </c>
      <c r="C803" s="1" t="n">
        <v>46158</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43853-2023</t>
        </is>
      </c>
      <c r="B804" s="1" t="n">
        <v>45187.60813657408</v>
      </c>
      <c r="C804" s="1" t="n">
        <v>46158</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48673-2021</t>
        </is>
      </c>
      <c r="B805" s="1" t="n">
        <v>44452</v>
      </c>
      <c r="C805" s="1" t="n">
        <v>46158</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14137-2023</t>
        </is>
      </c>
      <c r="B806" s="1" t="n">
        <v>45009.4671875</v>
      </c>
      <c r="C806" s="1" t="n">
        <v>46158</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7630-2025</t>
        </is>
      </c>
      <c r="B807" s="1" t="n">
        <v>45705.74418981482</v>
      </c>
      <c r="C807" s="1" t="n">
        <v>46158</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38780-2021</t>
        </is>
      </c>
      <c r="B808" s="1" t="n">
        <v>44410</v>
      </c>
      <c r="C808" s="1" t="n">
        <v>46158</v>
      </c>
      <c r="D808" t="inlineStr">
        <is>
          <t>KALMAR LÄN</t>
        </is>
      </c>
      <c r="E808" t="inlineStr">
        <is>
          <t>VIMMERBY</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30503-2023</t>
        </is>
      </c>
      <c r="B809" s="1" t="n">
        <v>45111</v>
      </c>
      <c r="C809" s="1" t="n">
        <v>46158</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60110-2022</t>
        </is>
      </c>
      <c r="B810" s="1" t="n">
        <v>44909</v>
      </c>
      <c r="C810" s="1" t="n">
        <v>46158</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59300-2024</t>
        </is>
      </c>
      <c r="B811" s="1" t="n">
        <v>45637.66542824074</v>
      </c>
      <c r="C811" s="1" t="n">
        <v>46158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46158</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46158</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46158</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46158</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46158</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46158</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46158</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46158</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46158</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46158</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46158</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46158</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46158</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46158</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46158</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46158</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46158</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46158</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46158</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46158</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46158</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46158</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46158</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46158</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46158</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46158</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46158</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46158</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46158</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46158</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46158</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46158</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46158</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46158</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46158</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46158</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46158</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46158</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46158</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52279-2023</t>
        </is>
      </c>
      <c r="B851" s="1" t="n">
        <v>45224</v>
      </c>
      <c r="C851" s="1" t="n">
        <v>46158</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52324-2023</t>
        </is>
      </c>
      <c r="B852" s="1" t="n">
        <v>45224.64659722222</v>
      </c>
      <c r="C852" s="1" t="n">
        <v>46158</v>
      </c>
      <c r="D852" t="inlineStr">
        <is>
          <t>KALMAR LÄN</t>
        </is>
      </c>
      <c r="E852" t="inlineStr">
        <is>
          <t>VIMMERBY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32639-2023</t>
        </is>
      </c>
      <c r="B853" s="1" t="n">
        <v>45121.5965162037</v>
      </c>
      <c r="C853" s="1" t="n">
        <v>46158</v>
      </c>
      <c r="D853" t="inlineStr">
        <is>
          <t>KALMAR LÄN</t>
        </is>
      </c>
      <c r="E853" t="inlineStr">
        <is>
          <t>VIMMERBY</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32642-2023</t>
        </is>
      </c>
      <c r="B854" s="1" t="n">
        <v>45121.59954861111</v>
      </c>
      <c r="C854" s="1" t="n">
        <v>46158</v>
      </c>
      <c r="D854" t="inlineStr">
        <is>
          <t>KALMAR LÄN</t>
        </is>
      </c>
      <c r="E854" t="inlineStr">
        <is>
          <t>VIMMERBY</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32651-2023</t>
        </is>
      </c>
      <c r="B855" s="1" t="n">
        <v>45121.6096875</v>
      </c>
      <c r="C855" s="1" t="n">
        <v>46158</v>
      </c>
      <c r="D855" t="inlineStr">
        <is>
          <t>KALMAR LÄN</t>
        </is>
      </c>
      <c r="E855" t="inlineStr">
        <is>
          <t>VIMMERBY</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40730-2024</t>
        </is>
      </c>
      <c r="B856" s="1" t="n">
        <v>45558.44914351852</v>
      </c>
      <c r="C856" s="1" t="n">
        <v>46158</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9643-2023</t>
        </is>
      </c>
      <c r="B857" s="1" t="n">
        <v>44984</v>
      </c>
      <c r="C857" s="1" t="n">
        <v>46158</v>
      </c>
      <c r="D857" t="inlineStr">
        <is>
          <t>KALMAR LÄN</t>
        </is>
      </c>
      <c r="E857" t="inlineStr">
        <is>
          <t>VIMMERBY</t>
        </is>
      </c>
      <c r="G857" t="n">
        <v>2</v>
      </c>
      <c r="H857" t="n">
        <v>0</v>
      </c>
      <c r="I857" t="n">
        <v>0</v>
      </c>
      <c r="J857" t="n">
        <v>0</v>
      </c>
      <c r="K857" t="n">
        <v>0</v>
      </c>
      <c r="L857" t="n">
        <v>0</v>
      </c>
      <c r="M857" t="n">
        <v>0</v>
      </c>
      <c r="N857" t="n">
        <v>0</v>
      </c>
      <c r="O857" t="n">
        <v>0</v>
      </c>
      <c r="P857" t="n">
        <v>0</v>
      </c>
      <c r="Q857" t="n">
        <v>0</v>
      </c>
      <c r="R857" s="2" t="inlineStr"/>
    </row>
    <row r="858" ht="15" customHeight="1">
      <c r="A858" t="inlineStr">
        <is>
          <t>A 56213-2024</t>
        </is>
      </c>
      <c r="B858" s="1" t="n">
        <v>45624.60141203704</v>
      </c>
      <c r="C858" s="1" t="n">
        <v>46158</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20126-2024</t>
        </is>
      </c>
      <c r="B859" s="1" t="n">
        <v>45434.55471064815</v>
      </c>
      <c r="C859" s="1" t="n">
        <v>46158</v>
      </c>
      <c r="D859" t="inlineStr">
        <is>
          <t>KALMAR LÄN</t>
        </is>
      </c>
      <c r="E859" t="inlineStr">
        <is>
          <t>VIMMERBY</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9694-2023</t>
        </is>
      </c>
      <c r="B860" s="1" t="n">
        <v>44984.45895833334</v>
      </c>
      <c r="C860" s="1" t="n">
        <v>46158</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9710-2023</t>
        </is>
      </c>
      <c r="B861" s="1" t="n">
        <v>44984</v>
      </c>
      <c r="C861" s="1" t="n">
        <v>46158</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46158</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7944-2024</t>
        </is>
      </c>
      <c r="B863" s="1" t="n">
        <v>45350.53306712963</v>
      </c>
      <c r="C863" s="1" t="n">
        <v>46158</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598-2025</t>
        </is>
      </c>
      <c r="B864" s="1" t="n">
        <v>45660</v>
      </c>
      <c r="C864" s="1" t="n">
        <v>46158</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10807-2024</t>
        </is>
      </c>
      <c r="B865" s="1" t="n">
        <v>45369.62780092593</v>
      </c>
      <c r="C865" s="1" t="n">
        <v>46158</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40260-2024</t>
        </is>
      </c>
      <c r="B866" s="1" t="n">
        <v>45554.63225694445</v>
      </c>
      <c r="C866" s="1" t="n">
        <v>46158</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10787-2025</t>
        </is>
      </c>
      <c r="B867" s="1" t="n">
        <v>45722.48915509259</v>
      </c>
      <c r="C867" s="1" t="n">
        <v>46158</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58577-2024</t>
        </is>
      </c>
      <c r="B868" s="1" t="n">
        <v>45635.4874537037</v>
      </c>
      <c r="C868" s="1" t="n">
        <v>46158</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38198-2024</t>
        </is>
      </c>
      <c r="B869" s="1" t="n">
        <v>45545.49508101852</v>
      </c>
      <c r="C869" s="1" t="n">
        <v>46158</v>
      </c>
      <c r="D869" t="inlineStr">
        <is>
          <t>KALMAR LÄN</t>
        </is>
      </c>
      <c r="E869" t="inlineStr">
        <is>
          <t>VIMMERBY</t>
        </is>
      </c>
      <c r="G869" t="n">
        <v>7.9</v>
      </c>
      <c r="H869" t="n">
        <v>0</v>
      </c>
      <c r="I869" t="n">
        <v>0</v>
      </c>
      <c r="J869" t="n">
        <v>0</v>
      </c>
      <c r="K869" t="n">
        <v>0</v>
      </c>
      <c r="L869" t="n">
        <v>0</v>
      </c>
      <c r="M869" t="n">
        <v>0</v>
      </c>
      <c r="N869" t="n">
        <v>0</v>
      </c>
      <c r="O869" t="n">
        <v>0</v>
      </c>
      <c r="P869" t="n">
        <v>0</v>
      </c>
      <c r="Q869" t="n">
        <v>0</v>
      </c>
      <c r="R869" s="2" t="inlineStr"/>
    </row>
    <row r="870" ht="15" customHeight="1">
      <c r="A870" t="inlineStr">
        <is>
          <t>A 43617-2024</t>
        </is>
      </c>
      <c r="B870" s="1" t="n">
        <v>45569.47494212963</v>
      </c>
      <c r="C870" s="1" t="n">
        <v>46158</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45070.3665625</v>
      </c>
      <c r="C871" s="1" t="n">
        <v>46158</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22266-2023</t>
        </is>
      </c>
      <c r="B872" s="1" t="n">
        <v>45070</v>
      </c>
      <c r="C872" s="1" t="n">
        <v>46158</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50091-2023</t>
        </is>
      </c>
      <c r="B873" s="1" t="n">
        <v>45215.60199074074</v>
      </c>
      <c r="C873" s="1" t="n">
        <v>46158</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10303-2025</t>
        </is>
      </c>
      <c r="B874" s="1" t="n">
        <v>45720.44217592593</v>
      </c>
      <c r="C874" s="1" t="n">
        <v>46158</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11027-2023</t>
        </is>
      </c>
      <c r="B875" s="1" t="n">
        <v>44991.89657407408</v>
      </c>
      <c r="C875" s="1" t="n">
        <v>46158</v>
      </c>
      <c r="D875" t="inlineStr">
        <is>
          <t>KALMAR LÄN</t>
        </is>
      </c>
      <c r="E875" t="inlineStr">
        <is>
          <t>VIMMERBY</t>
        </is>
      </c>
      <c r="G875" t="n">
        <v>0.8</v>
      </c>
      <c r="H875" t="n">
        <v>0</v>
      </c>
      <c r="I875" t="n">
        <v>0</v>
      </c>
      <c r="J875" t="n">
        <v>0</v>
      </c>
      <c r="K875" t="n">
        <v>0</v>
      </c>
      <c r="L875" t="n">
        <v>0</v>
      </c>
      <c r="M875" t="n">
        <v>0</v>
      </c>
      <c r="N875" t="n">
        <v>0</v>
      </c>
      <c r="O875" t="n">
        <v>0</v>
      </c>
      <c r="P875" t="n">
        <v>0</v>
      </c>
      <c r="Q875" t="n">
        <v>0</v>
      </c>
      <c r="R875" s="2" t="inlineStr"/>
    </row>
    <row r="876" ht="15" customHeight="1">
      <c r="A876" t="inlineStr">
        <is>
          <t>A 11661-2023</t>
        </is>
      </c>
      <c r="B876" s="1" t="n">
        <v>44994.46908564815</v>
      </c>
      <c r="C876" s="1" t="n">
        <v>46158</v>
      </c>
      <c r="D876" t="inlineStr">
        <is>
          <t>KALMAR LÄN</t>
        </is>
      </c>
      <c r="E876" t="inlineStr">
        <is>
          <t>VIMMERBY</t>
        </is>
      </c>
      <c r="G876" t="n">
        <v>2.7</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46158</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46158</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63950-2023</t>
        </is>
      </c>
      <c r="B879" s="1" t="n">
        <v>45278</v>
      </c>
      <c r="C879" s="1" t="n">
        <v>46158</v>
      </c>
      <c r="D879" t="inlineStr">
        <is>
          <t>KALMAR LÄN</t>
        </is>
      </c>
      <c r="E879" t="inlineStr">
        <is>
          <t>VIMMERBY</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24096-2024</t>
        </is>
      </c>
      <c r="B880" s="1" t="n">
        <v>45456.59289351852</v>
      </c>
      <c r="C880" s="1" t="n">
        <v>46158</v>
      </c>
      <c r="D880" t="inlineStr">
        <is>
          <t>KALMAR LÄN</t>
        </is>
      </c>
      <c r="E880" t="inlineStr">
        <is>
          <t>VIMMERBY</t>
        </is>
      </c>
      <c r="G880" t="n">
        <v>2.3</v>
      </c>
      <c r="H880" t="n">
        <v>0</v>
      </c>
      <c r="I880" t="n">
        <v>0</v>
      </c>
      <c r="J880" t="n">
        <v>0</v>
      </c>
      <c r="K880" t="n">
        <v>0</v>
      </c>
      <c r="L880" t="n">
        <v>0</v>
      </c>
      <c r="M880" t="n">
        <v>0</v>
      </c>
      <c r="N880" t="n">
        <v>0</v>
      </c>
      <c r="O880" t="n">
        <v>0</v>
      </c>
      <c r="P880" t="n">
        <v>0</v>
      </c>
      <c r="Q880" t="n">
        <v>0</v>
      </c>
      <c r="R880" s="2" t="inlineStr"/>
    </row>
    <row r="881" ht="15" customHeight="1">
      <c r="A881" t="inlineStr">
        <is>
          <t>A 13015-2023</t>
        </is>
      </c>
      <c r="B881" s="1" t="n">
        <v>45002</v>
      </c>
      <c r="C881" s="1" t="n">
        <v>46158</v>
      </c>
      <c r="D881" t="inlineStr">
        <is>
          <t>KALMAR LÄN</t>
        </is>
      </c>
      <c r="E881" t="inlineStr">
        <is>
          <t>VIMMERBY</t>
        </is>
      </c>
      <c r="G881" t="n">
        <v>3.2</v>
      </c>
      <c r="H881" t="n">
        <v>0</v>
      </c>
      <c r="I881" t="n">
        <v>0</v>
      </c>
      <c r="J881" t="n">
        <v>0</v>
      </c>
      <c r="K881" t="n">
        <v>0</v>
      </c>
      <c r="L881" t="n">
        <v>0</v>
      </c>
      <c r="M881" t="n">
        <v>0</v>
      </c>
      <c r="N881" t="n">
        <v>0</v>
      </c>
      <c r="O881" t="n">
        <v>0</v>
      </c>
      <c r="P881" t="n">
        <v>0</v>
      </c>
      <c r="Q881" t="n">
        <v>0</v>
      </c>
      <c r="R881" s="2" t="inlineStr"/>
    </row>
    <row r="882" ht="15" customHeight="1">
      <c r="A882" t="inlineStr">
        <is>
          <t>A 41199-2023</t>
        </is>
      </c>
      <c r="B882" s="1" t="n">
        <v>45174.40454861111</v>
      </c>
      <c r="C882" s="1" t="n">
        <v>46158</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46158</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46158</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6321-2023</t>
        </is>
      </c>
      <c r="B885" s="1" t="n">
        <v>44965.4815162037</v>
      </c>
      <c r="C885" s="1" t="n">
        <v>46158</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52755-2022</t>
        </is>
      </c>
      <c r="B886" s="1" t="n">
        <v>44875.27736111111</v>
      </c>
      <c r="C886" s="1" t="n">
        <v>46158</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40823-2023</t>
        </is>
      </c>
      <c r="B887" s="1" t="n">
        <v>45171.77335648148</v>
      </c>
      <c r="C887" s="1" t="n">
        <v>46158</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27761-2024</t>
        </is>
      </c>
      <c r="B888" s="1" t="n">
        <v>45475.49018518518</v>
      </c>
      <c r="C888" s="1" t="n">
        <v>46158</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46158</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64203-2021</t>
        </is>
      </c>
      <c r="B890" s="1" t="n">
        <v>44510.60921296296</v>
      </c>
      <c r="C890" s="1" t="n">
        <v>46158</v>
      </c>
      <c r="D890" t="inlineStr">
        <is>
          <t>KALMAR LÄN</t>
        </is>
      </c>
      <c r="E890" t="inlineStr">
        <is>
          <t>VIMMERBY</t>
        </is>
      </c>
      <c r="F890" t="inlineStr">
        <is>
          <t>Övriga Aktiebolag</t>
        </is>
      </c>
      <c r="G890" t="n">
        <v>5.4</v>
      </c>
      <c r="H890" t="n">
        <v>0</v>
      </c>
      <c r="I890" t="n">
        <v>0</v>
      </c>
      <c r="J890" t="n">
        <v>0</v>
      </c>
      <c r="K890" t="n">
        <v>0</v>
      </c>
      <c r="L890" t="n">
        <v>0</v>
      </c>
      <c r="M890" t="n">
        <v>0</v>
      </c>
      <c r="N890" t="n">
        <v>0</v>
      </c>
      <c r="O890" t="n">
        <v>0</v>
      </c>
      <c r="P890" t="n">
        <v>0</v>
      </c>
      <c r="Q890" t="n">
        <v>0</v>
      </c>
      <c r="R890" s="2" t="inlineStr"/>
    </row>
    <row r="891" ht="15" customHeight="1">
      <c r="A891" t="inlineStr">
        <is>
          <t>A 1016-2024</t>
        </is>
      </c>
      <c r="B891" s="1" t="n">
        <v>45301</v>
      </c>
      <c r="C891" s="1" t="n">
        <v>46158</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1024-2024</t>
        </is>
      </c>
      <c r="B892" s="1" t="n">
        <v>45301.68237268519</v>
      </c>
      <c r="C892" s="1" t="n">
        <v>46158</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27758-2024</t>
        </is>
      </c>
      <c r="B893" s="1" t="n">
        <v>45475.48303240741</v>
      </c>
      <c r="C893" s="1" t="n">
        <v>46158</v>
      </c>
      <c r="D893" t="inlineStr">
        <is>
          <t>KALMAR LÄN</t>
        </is>
      </c>
      <c r="E893" t="inlineStr">
        <is>
          <t>VIMMERBY</t>
        </is>
      </c>
      <c r="G893" t="n">
        <v>2.6</v>
      </c>
      <c r="H893" t="n">
        <v>0</v>
      </c>
      <c r="I893" t="n">
        <v>0</v>
      </c>
      <c r="J893" t="n">
        <v>0</v>
      </c>
      <c r="K893" t="n">
        <v>0</v>
      </c>
      <c r="L893" t="n">
        <v>0</v>
      </c>
      <c r="M893" t="n">
        <v>0</v>
      </c>
      <c r="N893" t="n">
        <v>0</v>
      </c>
      <c r="O893" t="n">
        <v>0</v>
      </c>
      <c r="P893" t="n">
        <v>0</v>
      </c>
      <c r="Q893" t="n">
        <v>0</v>
      </c>
      <c r="R893" s="2" t="inlineStr"/>
    </row>
    <row r="894" ht="15" customHeight="1">
      <c r="A894" t="inlineStr">
        <is>
          <t>A 32865-2023</t>
        </is>
      </c>
      <c r="B894" s="1" t="n">
        <v>45124</v>
      </c>
      <c r="C894" s="1" t="n">
        <v>46158</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22194-2024</t>
        </is>
      </c>
      <c r="B895" s="1" t="n">
        <v>45446.36482638889</v>
      </c>
      <c r="C895" s="1" t="n">
        <v>46158</v>
      </c>
      <c r="D895" t="inlineStr">
        <is>
          <t>KALMAR LÄN</t>
        </is>
      </c>
      <c r="E895" t="inlineStr">
        <is>
          <t>VIMMERBY</t>
        </is>
      </c>
      <c r="F895" t="inlineStr">
        <is>
          <t>Sveaskog</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17926-2025</t>
        </is>
      </c>
      <c r="B896" s="1" t="n">
        <v>45759.38987268518</v>
      </c>
      <c r="C896" s="1" t="n">
        <v>46158</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35127-2024</t>
        </is>
      </c>
      <c r="B897" s="1" t="n">
        <v>45530.33202546297</v>
      </c>
      <c r="C897" s="1" t="n">
        <v>46158</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33383-2023</t>
        </is>
      </c>
      <c r="B898" s="1" t="n">
        <v>45128.58414351852</v>
      </c>
      <c r="C898" s="1" t="n">
        <v>46158</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4297-2022</t>
        </is>
      </c>
      <c r="B899" s="1" t="n">
        <v>44588</v>
      </c>
      <c r="C899" s="1" t="n">
        <v>46158</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55716-2023</t>
        </is>
      </c>
      <c r="B900" s="1" t="n">
        <v>45232</v>
      </c>
      <c r="C900" s="1" t="n">
        <v>46158</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34386-2024</t>
        </is>
      </c>
      <c r="B901" s="1" t="n">
        <v>45525.41762731481</v>
      </c>
      <c r="C901" s="1" t="n">
        <v>46158</v>
      </c>
      <c r="D901" t="inlineStr">
        <is>
          <t>KALMAR LÄN</t>
        </is>
      </c>
      <c r="E901" t="inlineStr">
        <is>
          <t>VIMMERBY</t>
        </is>
      </c>
      <c r="G901" t="n">
        <v>0.3</v>
      </c>
      <c r="H901" t="n">
        <v>0</v>
      </c>
      <c r="I901" t="n">
        <v>0</v>
      </c>
      <c r="J901" t="n">
        <v>0</v>
      </c>
      <c r="K901" t="n">
        <v>0</v>
      </c>
      <c r="L901" t="n">
        <v>0</v>
      </c>
      <c r="M901" t="n">
        <v>0</v>
      </c>
      <c r="N901" t="n">
        <v>0</v>
      </c>
      <c r="O901" t="n">
        <v>0</v>
      </c>
      <c r="P901" t="n">
        <v>0</v>
      </c>
      <c r="Q901" t="n">
        <v>0</v>
      </c>
      <c r="R901" s="2" t="inlineStr"/>
    </row>
    <row r="902" ht="15" customHeight="1">
      <c r="A902" t="inlineStr">
        <is>
          <t>A 42429-2024</t>
        </is>
      </c>
      <c r="B902" s="1" t="n">
        <v>45565.40657407408</v>
      </c>
      <c r="C902" s="1" t="n">
        <v>46158</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11946-2025</t>
        </is>
      </c>
      <c r="B903" s="1" t="n">
        <v>45728.54832175926</v>
      </c>
      <c r="C903" s="1" t="n">
        <v>46158</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59943-2023</t>
        </is>
      </c>
      <c r="B904" s="1" t="n">
        <v>45257.67958333333</v>
      </c>
      <c r="C904" s="1" t="n">
        <v>46158</v>
      </c>
      <c r="D904" t="inlineStr">
        <is>
          <t>KALMAR LÄN</t>
        </is>
      </c>
      <c r="E904" t="inlineStr">
        <is>
          <t>VIMMERBY</t>
        </is>
      </c>
      <c r="G904" t="n">
        <v>6.4</v>
      </c>
      <c r="H904" t="n">
        <v>0</v>
      </c>
      <c r="I904" t="n">
        <v>0</v>
      </c>
      <c r="J904" t="n">
        <v>0</v>
      </c>
      <c r="K904" t="n">
        <v>0</v>
      </c>
      <c r="L904" t="n">
        <v>0</v>
      </c>
      <c r="M904" t="n">
        <v>0</v>
      </c>
      <c r="N904" t="n">
        <v>0</v>
      </c>
      <c r="O904" t="n">
        <v>0</v>
      </c>
      <c r="P904" t="n">
        <v>0</v>
      </c>
      <c r="Q904" t="n">
        <v>0</v>
      </c>
      <c r="R904" s="2" t="inlineStr"/>
    </row>
    <row r="905" ht="15" customHeight="1">
      <c r="A905" t="inlineStr">
        <is>
          <t>A 15493-2023</t>
        </is>
      </c>
      <c r="B905" s="1" t="n">
        <v>45018</v>
      </c>
      <c r="C905" s="1" t="n">
        <v>46158</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51881-2024</t>
        </is>
      </c>
      <c r="B906" s="1" t="n">
        <v>45607.56773148148</v>
      </c>
      <c r="C906" s="1" t="n">
        <v>46158</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1021-2024</t>
        </is>
      </c>
      <c r="B907" s="1" t="n">
        <v>45301.67736111111</v>
      </c>
      <c r="C907" s="1" t="n">
        <v>46158</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32569-2024</t>
        </is>
      </c>
      <c r="B908" s="1" t="n">
        <v>45513.55840277778</v>
      </c>
      <c r="C908" s="1" t="n">
        <v>46158</v>
      </c>
      <c r="D908" t="inlineStr">
        <is>
          <t>KALMAR LÄN</t>
        </is>
      </c>
      <c r="E908" t="inlineStr">
        <is>
          <t>VIMMERBY</t>
        </is>
      </c>
      <c r="G908" t="n">
        <v>3.7</v>
      </c>
      <c r="H908" t="n">
        <v>0</v>
      </c>
      <c r="I908" t="n">
        <v>0</v>
      </c>
      <c r="J908" t="n">
        <v>0</v>
      </c>
      <c r="K908" t="n">
        <v>0</v>
      </c>
      <c r="L908" t="n">
        <v>0</v>
      </c>
      <c r="M908" t="n">
        <v>0</v>
      </c>
      <c r="N908" t="n">
        <v>0</v>
      </c>
      <c r="O908" t="n">
        <v>0</v>
      </c>
      <c r="P908" t="n">
        <v>0</v>
      </c>
      <c r="Q908" t="n">
        <v>0</v>
      </c>
      <c r="R908" s="2" t="inlineStr"/>
    </row>
    <row r="909" ht="15" customHeight="1">
      <c r="A909" t="inlineStr">
        <is>
          <t>A 32575-2024</t>
        </is>
      </c>
      <c r="B909" s="1" t="n">
        <v>45513.56527777778</v>
      </c>
      <c r="C909" s="1" t="n">
        <v>46158</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30063-2023</t>
        </is>
      </c>
      <c r="B910" s="1" t="n">
        <v>45110.4184375</v>
      </c>
      <c r="C910" s="1" t="n">
        <v>46158</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17482-2024</t>
        </is>
      </c>
      <c r="B911" s="1" t="n">
        <v>45415.47848379629</v>
      </c>
      <c r="C911" s="1" t="n">
        <v>46158</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13817-2024</t>
        </is>
      </c>
      <c r="B912" s="1" t="n">
        <v>45391.41976851852</v>
      </c>
      <c r="C912" s="1" t="n">
        <v>46158</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30406-2023</t>
        </is>
      </c>
      <c r="B913" s="1" t="n">
        <v>45111.48787037037</v>
      </c>
      <c r="C913" s="1" t="n">
        <v>46158</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29020-2024</t>
        </is>
      </c>
      <c r="B914" s="1" t="n">
        <v>45481.58048611111</v>
      </c>
      <c r="C914" s="1" t="n">
        <v>46158</v>
      </c>
      <c r="D914" t="inlineStr">
        <is>
          <t>KALMAR LÄN</t>
        </is>
      </c>
      <c r="E914" t="inlineStr">
        <is>
          <t>VIMMERBY</t>
        </is>
      </c>
      <c r="G914" t="n">
        <v>2.3</v>
      </c>
      <c r="H914" t="n">
        <v>0</v>
      </c>
      <c r="I914" t="n">
        <v>0</v>
      </c>
      <c r="J914" t="n">
        <v>0</v>
      </c>
      <c r="K914" t="n">
        <v>0</v>
      </c>
      <c r="L914" t="n">
        <v>0</v>
      </c>
      <c r="M914" t="n">
        <v>0</v>
      </c>
      <c r="N914" t="n">
        <v>0</v>
      </c>
      <c r="O914" t="n">
        <v>0</v>
      </c>
      <c r="P914" t="n">
        <v>0</v>
      </c>
      <c r="Q914" t="n">
        <v>0</v>
      </c>
      <c r="R914" s="2" t="inlineStr"/>
    </row>
    <row r="915" ht="15" customHeight="1">
      <c r="A915" t="inlineStr">
        <is>
          <t>A 25582-2024</t>
        </is>
      </c>
      <c r="B915" s="1" t="n">
        <v>45463</v>
      </c>
      <c r="C915" s="1" t="n">
        <v>46158</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57578-2024</t>
        </is>
      </c>
      <c r="B916" s="1" t="n">
        <v>45630.47564814815</v>
      </c>
      <c r="C916" s="1" t="n">
        <v>46158</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22399-2025</t>
        </is>
      </c>
      <c r="B917" s="1" t="n">
        <v>45786.52996527778</v>
      </c>
      <c r="C917" s="1" t="n">
        <v>46158</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22397-2025</t>
        </is>
      </c>
      <c r="B918" s="1" t="n">
        <v>45786.52878472222</v>
      </c>
      <c r="C918" s="1" t="n">
        <v>46158</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11442-2025</t>
        </is>
      </c>
      <c r="B919" s="1" t="n">
        <v>45726.62721064815</v>
      </c>
      <c r="C919" s="1" t="n">
        <v>46158</v>
      </c>
      <c r="D919" t="inlineStr">
        <is>
          <t>KALMAR LÄN</t>
        </is>
      </c>
      <c r="E919" t="inlineStr">
        <is>
          <t>VIMMERBY</t>
        </is>
      </c>
      <c r="G919" t="n">
        <v>2.6</v>
      </c>
      <c r="H919" t="n">
        <v>0</v>
      </c>
      <c r="I919" t="n">
        <v>0</v>
      </c>
      <c r="J919" t="n">
        <v>0</v>
      </c>
      <c r="K919" t="n">
        <v>0</v>
      </c>
      <c r="L919" t="n">
        <v>0</v>
      </c>
      <c r="M919" t="n">
        <v>0</v>
      </c>
      <c r="N919" t="n">
        <v>0</v>
      </c>
      <c r="O919" t="n">
        <v>0</v>
      </c>
      <c r="P919" t="n">
        <v>0</v>
      </c>
      <c r="Q919" t="n">
        <v>0</v>
      </c>
      <c r="R919" s="2" t="inlineStr"/>
    </row>
    <row r="920">
      <c r="A920" t="inlineStr">
        <is>
          <t>A 6307-2025</t>
        </is>
      </c>
      <c r="B920" s="1" t="n">
        <v>45698.69016203703</v>
      </c>
      <c r="C920" s="1" t="n">
        <v>46158</v>
      </c>
      <c r="D920" t="inlineStr">
        <is>
          <t>KALMAR LÄN</t>
        </is>
      </c>
      <c r="E920" t="inlineStr">
        <is>
          <t>VIMMERBY</t>
        </is>
      </c>
      <c r="G920" t="n">
        <v>3</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2026-05-16T12:13:35Z</dcterms:created>
  <dcterms:modified xmlns:dcterms="http://purl.org/dc/terms/" xmlns:xsi="http://www.w3.org/2001/XMLSchema-instance" xsi:type="dcterms:W3CDTF">2026-05-16T12:13:36Z</dcterms:modified>
</cp:coreProperties>
</file>