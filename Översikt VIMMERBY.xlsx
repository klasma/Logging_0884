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46010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46010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46010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46010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46010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46010</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46010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46010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46010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46010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55604-2025</t>
        </is>
      </c>
      <c r="B13" s="1" t="n">
        <v>45971</v>
      </c>
      <c r="C13" s="1" t="n">
        <v>46010</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3075-2025</t>
        </is>
      </c>
      <c r="B14" s="1" t="n">
        <v>45678</v>
      </c>
      <c r="C14" s="1" t="n">
        <v>46010</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46010</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32645-2023</t>
        </is>
      </c>
      <c r="B16" s="1" t="n">
        <v>45121.60543981481</v>
      </c>
      <c r="C16" s="1" t="n">
        <v>46010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8411-2021</t>
        </is>
      </c>
      <c r="B17" s="1" t="n">
        <v>44245</v>
      </c>
      <c r="C17" s="1" t="n">
        <v>46010</v>
      </c>
      <c r="D17" t="inlineStr">
        <is>
          <t>KALMAR LÄN</t>
        </is>
      </c>
      <c r="E17" t="inlineStr">
        <is>
          <t>VIMMERBY</t>
        </is>
      </c>
      <c r="G17" t="n">
        <v>12.5</v>
      </c>
      <c r="H17" t="n">
        <v>1</v>
      </c>
      <c r="I17" t="n">
        <v>1</v>
      </c>
      <c r="J17" t="n">
        <v>1</v>
      </c>
      <c r="K17" t="n">
        <v>0</v>
      </c>
      <c r="L17" t="n">
        <v>0</v>
      </c>
      <c r="M17" t="n">
        <v>0</v>
      </c>
      <c r="N17" t="n">
        <v>0</v>
      </c>
      <c r="O17" t="n">
        <v>1</v>
      </c>
      <c r="P17" t="n">
        <v>0</v>
      </c>
      <c r="Q17" t="n">
        <v>3</v>
      </c>
      <c r="R17" s="2" t="inlineStr">
        <is>
          <t>Motaggsvamp
Svart trolldruva
Revlummer</t>
        </is>
      </c>
      <c r="S17">
        <f>HYPERLINK("https://klasma.github.io/Logging_0884/artfynd/A 8411-2021 artfynd.xlsx", "A 8411-2021")</f>
        <v/>
      </c>
      <c r="T17">
        <f>HYPERLINK("https://klasma.github.io/Logging_0884/kartor/A 8411-2021 karta.png", "A 8411-2021")</f>
        <v/>
      </c>
      <c r="V17">
        <f>HYPERLINK("https://klasma.github.io/Logging_0884/klagomål/A 8411-2021 FSC-klagomål.docx", "A 8411-2021")</f>
        <v/>
      </c>
      <c r="W17">
        <f>HYPERLINK("https://klasma.github.io/Logging_0884/klagomålsmail/A 8411-2021 FSC-klagomål mail.docx", "A 8411-2021")</f>
        <v/>
      </c>
      <c r="X17">
        <f>HYPERLINK("https://klasma.github.io/Logging_0884/tillsyn/A 8411-2021 tillsynsbegäran.docx", "A 8411-2021")</f>
        <v/>
      </c>
      <c r="Y17">
        <f>HYPERLINK("https://klasma.github.io/Logging_0884/tillsynsmail/A 8411-2021 tillsynsbegäran mail.docx", "A 8411-2021")</f>
        <v/>
      </c>
    </row>
    <row r="18" ht="15" customHeight="1">
      <c r="A18" t="inlineStr">
        <is>
          <t>A 37901-2022</t>
        </is>
      </c>
      <c r="B18" s="1" t="n">
        <v>44811</v>
      </c>
      <c r="C18" s="1" t="n">
        <v>46010</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46010</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46010</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46010</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46010</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46010</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46010</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46010</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46010</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46010</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46010</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46010</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46010</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46010</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46010</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46010</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46010</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46010</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46010</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6841-2021</t>
        </is>
      </c>
      <c r="B37" s="1" t="n">
        <v>44236</v>
      </c>
      <c r="C37" s="1" t="n">
        <v>46010</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61860-2024</t>
        </is>
      </c>
      <c r="B38" s="1" t="n">
        <v>45649</v>
      </c>
      <c r="C38" s="1" t="n">
        <v>46010</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52301-2023</t>
        </is>
      </c>
      <c r="B39" s="1" t="n">
        <v>45224</v>
      </c>
      <c r="C39" s="1" t="n">
        <v>46010</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1201-2025</t>
        </is>
      </c>
      <c r="B40" s="1" t="n">
        <v>45667</v>
      </c>
      <c r="C40" s="1" t="n">
        <v>46010</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29183-2025</t>
        </is>
      </c>
      <c r="B41" s="1" t="n">
        <v>45821</v>
      </c>
      <c r="C41" s="1" t="n">
        <v>46010</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40083-2023</t>
        </is>
      </c>
      <c r="B42" s="1" t="n">
        <v>45168</v>
      </c>
      <c r="C42" s="1" t="n">
        <v>46010</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46010</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23602-2023</t>
        </is>
      </c>
      <c r="B44" s="1" t="n">
        <v>45077</v>
      </c>
      <c r="C44" s="1" t="n">
        <v>46010</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57062-2025</t>
        </is>
      </c>
      <c r="B45" s="1" t="n">
        <v>45979.37598379629</v>
      </c>
      <c r="C45" s="1" t="n">
        <v>46010</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32985-2023</t>
        </is>
      </c>
      <c r="B46" s="1" t="n">
        <v>45125</v>
      </c>
      <c r="C46" s="1" t="n">
        <v>46010</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15122-2024</t>
        </is>
      </c>
      <c r="B47" s="1" t="n">
        <v>45399.71412037037</v>
      </c>
      <c r="C47" s="1" t="n">
        <v>46010</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53404-2025</t>
        </is>
      </c>
      <c r="B48" s="1" t="n">
        <v>45959.57126157408</v>
      </c>
      <c r="C48" s="1" t="n">
        <v>46010</v>
      </c>
      <c r="D48" t="inlineStr">
        <is>
          <t>KALMAR LÄN</t>
        </is>
      </c>
      <c r="E48" t="inlineStr">
        <is>
          <t>VIMMERBY</t>
        </is>
      </c>
      <c r="G48" t="n">
        <v>6.4</v>
      </c>
      <c r="H48" t="n">
        <v>1</v>
      </c>
      <c r="I48" t="n">
        <v>0</v>
      </c>
      <c r="J48" t="n">
        <v>0</v>
      </c>
      <c r="K48" t="n">
        <v>1</v>
      </c>
      <c r="L48" t="n">
        <v>0</v>
      </c>
      <c r="M48" t="n">
        <v>0</v>
      </c>
      <c r="N48" t="n">
        <v>0</v>
      </c>
      <c r="O48" t="n">
        <v>1</v>
      </c>
      <c r="P48" t="n">
        <v>1</v>
      </c>
      <c r="Q48" t="n">
        <v>1</v>
      </c>
      <c r="R48" s="2" t="inlineStr">
        <is>
          <t>Knärot</t>
        </is>
      </c>
      <c r="S48">
        <f>HYPERLINK("https://klasma.github.io/Logging_0884/artfynd/A 53404-2025 artfynd.xlsx", "A 53404-2025")</f>
        <v/>
      </c>
      <c r="T48">
        <f>HYPERLINK("https://klasma.github.io/Logging_0884/kartor/A 53404-2025 karta.png", "A 53404-2025")</f>
        <v/>
      </c>
      <c r="U48">
        <f>HYPERLINK("https://klasma.github.io/Logging_0884/knärot/A 53404-2025 karta knärot.png", "A 53404-2025")</f>
        <v/>
      </c>
      <c r="V48">
        <f>HYPERLINK("https://klasma.github.io/Logging_0884/klagomål/A 53404-2025 FSC-klagomål.docx", "A 53404-2025")</f>
        <v/>
      </c>
      <c r="W48">
        <f>HYPERLINK("https://klasma.github.io/Logging_0884/klagomålsmail/A 53404-2025 FSC-klagomål mail.docx", "A 53404-2025")</f>
        <v/>
      </c>
      <c r="X48">
        <f>HYPERLINK("https://klasma.github.io/Logging_0884/tillsyn/A 53404-2025 tillsynsbegäran.docx", "A 53404-2025")</f>
        <v/>
      </c>
      <c r="Y48">
        <f>HYPERLINK("https://klasma.github.io/Logging_0884/tillsynsmail/A 53404-2025 tillsynsbegäran mail.docx", "A 53404-2025")</f>
        <v/>
      </c>
    </row>
    <row r="49" ht="15" customHeight="1">
      <c r="A49" t="inlineStr">
        <is>
          <t>A 53400-2025</t>
        </is>
      </c>
      <c r="B49" s="1" t="n">
        <v>45959.56684027778</v>
      </c>
      <c r="C49" s="1" t="n">
        <v>46010</v>
      </c>
      <c r="D49" t="inlineStr">
        <is>
          <t>KALMAR LÄN</t>
        </is>
      </c>
      <c r="E49" t="inlineStr">
        <is>
          <t>VIMMERBY</t>
        </is>
      </c>
      <c r="G49" t="n">
        <v>9.199999999999999</v>
      </c>
      <c r="H49" t="n">
        <v>1</v>
      </c>
      <c r="I49" t="n">
        <v>0</v>
      </c>
      <c r="J49" t="n">
        <v>0</v>
      </c>
      <c r="K49" t="n">
        <v>1</v>
      </c>
      <c r="L49" t="n">
        <v>0</v>
      </c>
      <c r="M49" t="n">
        <v>0</v>
      </c>
      <c r="N49" t="n">
        <v>0</v>
      </c>
      <c r="O49" t="n">
        <v>1</v>
      </c>
      <c r="P49" t="n">
        <v>1</v>
      </c>
      <c r="Q49" t="n">
        <v>1</v>
      </c>
      <c r="R49" s="2" t="inlineStr">
        <is>
          <t>Knärot</t>
        </is>
      </c>
      <c r="S49">
        <f>HYPERLINK("https://klasma.github.io/Logging_0884/artfynd/A 53400-2025 artfynd.xlsx", "A 53400-2025")</f>
        <v/>
      </c>
      <c r="T49">
        <f>HYPERLINK("https://klasma.github.io/Logging_0884/kartor/A 53400-2025 karta.png", "A 53400-2025")</f>
        <v/>
      </c>
      <c r="U49">
        <f>HYPERLINK("https://klasma.github.io/Logging_0884/knärot/A 53400-2025 karta knärot.png", "A 53400-2025")</f>
        <v/>
      </c>
      <c r="V49">
        <f>HYPERLINK("https://klasma.github.io/Logging_0884/klagomål/A 53400-2025 FSC-klagomål.docx", "A 53400-2025")</f>
        <v/>
      </c>
      <c r="W49">
        <f>HYPERLINK("https://klasma.github.io/Logging_0884/klagomålsmail/A 53400-2025 FSC-klagomål mail.docx", "A 53400-2025")</f>
        <v/>
      </c>
      <c r="X49">
        <f>HYPERLINK("https://klasma.github.io/Logging_0884/tillsyn/A 53400-2025 tillsynsbegäran.docx", "A 53400-2025")</f>
        <v/>
      </c>
      <c r="Y49">
        <f>HYPERLINK("https://klasma.github.io/Logging_0884/tillsynsmail/A 53400-2025 tillsynsbegäran mail.docx", "A 53400-2025")</f>
        <v/>
      </c>
    </row>
    <row r="50" ht="15" customHeight="1">
      <c r="A50" t="inlineStr">
        <is>
          <t>A 37930-2021</t>
        </is>
      </c>
      <c r="B50" s="1" t="n">
        <v>44403</v>
      </c>
      <c r="C50" s="1" t="n">
        <v>46010</v>
      </c>
      <c r="D50" t="inlineStr">
        <is>
          <t>KALMAR LÄN</t>
        </is>
      </c>
      <c r="E50" t="inlineStr">
        <is>
          <t>VIMMERBY</t>
        </is>
      </c>
      <c r="G50" t="n">
        <v>4.4</v>
      </c>
      <c r="H50" t="n">
        <v>0</v>
      </c>
      <c r="I50" t="n">
        <v>0</v>
      </c>
      <c r="J50" t="n">
        <v>1</v>
      </c>
      <c r="K50" t="n">
        <v>0</v>
      </c>
      <c r="L50" t="n">
        <v>0</v>
      </c>
      <c r="M50" t="n">
        <v>0</v>
      </c>
      <c r="N50" t="n">
        <v>0</v>
      </c>
      <c r="O50" t="n">
        <v>1</v>
      </c>
      <c r="P50" t="n">
        <v>0</v>
      </c>
      <c r="Q50" t="n">
        <v>1</v>
      </c>
      <c r="R50" s="2" t="inlineStr">
        <is>
          <t>Spindelört</t>
        </is>
      </c>
      <c r="S50">
        <f>HYPERLINK("https://klasma.github.io/Logging_0884/artfynd/A 37930-2021 artfynd.xlsx", "A 37930-2021")</f>
        <v/>
      </c>
      <c r="T50">
        <f>HYPERLINK("https://klasma.github.io/Logging_0884/kartor/A 37930-2021 karta.png", "A 37930-2021")</f>
        <v/>
      </c>
      <c r="V50">
        <f>HYPERLINK("https://klasma.github.io/Logging_0884/klagomål/A 37930-2021 FSC-klagomål.docx", "A 37930-2021")</f>
        <v/>
      </c>
      <c r="W50">
        <f>HYPERLINK("https://klasma.github.io/Logging_0884/klagomålsmail/A 37930-2021 FSC-klagomål mail.docx", "A 37930-2021")</f>
        <v/>
      </c>
      <c r="X50">
        <f>HYPERLINK("https://klasma.github.io/Logging_0884/tillsyn/A 37930-2021 tillsynsbegäran.docx", "A 37930-2021")</f>
        <v/>
      </c>
      <c r="Y50">
        <f>HYPERLINK("https://klasma.github.io/Logging_0884/tillsynsmail/A 37930-2021 tillsynsbegäran mail.docx", "A 37930-2021")</f>
        <v/>
      </c>
    </row>
    <row r="51" ht="15" customHeight="1">
      <c r="A51" t="inlineStr">
        <is>
          <t>A 33436-2021</t>
        </is>
      </c>
      <c r="B51" s="1" t="n">
        <v>44377.61104166666</v>
      </c>
      <c r="C51" s="1" t="n">
        <v>46010</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44515-2024</t>
        </is>
      </c>
      <c r="B52" s="1" t="n">
        <v>45574.42767361111</v>
      </c>
      <c r="C52" s="1" t="n">
        <v>46010</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15092-2021</t>
        </is>
      </c>
      <c r="B53" s="1" t="n">
        <v>44281.79269675926</v>
      </c>
      <c r="C53" s="1" t="n">
        <v>46010</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46010</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46010</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1929-2021</t>
        </is>
      </c>
      <c r="B56" s="1" t="n">
        <v>44210</v>
      </c>
      <c r="C56" s="1" t="n">
        <v>46010</v>
      </c>
      <c r="D56" t="inlineStr">
        <is>
          <t>KALMAR LÄN</t>
        </is>
      </c>
      <c r="E56" t="inlineStr">
        <is>
          <t>VIMMERBY</t>
        </is>
      </c>
      <c r="G56" t="n">
        <v>1.6</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46010</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46010</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46010</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46010</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46010</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46010</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46010</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46010</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46010</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46010</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18756-2021</t>
        </is>
      </c>
      <c r="B67" s="1" t="n">
        <v>44307</v>
      </c>
      <c r="C67" s="1" t="n">
        <v>46010</v>
      </c>
      <c r="D67" t="inlineStr">
        <is>
          <t>KALMAR LÄN</t>
        </is>
      </c>
      <c r="E67" t="inlineStr">
        <is>
          <t>VIMMERBY</t>
        </is>
      </c>
      <c r="G67" t="n">
        <v>7.4</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46010</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22637-2021</t>
        </is>
      </c>
      <c r="B69" s="1" t="n">
        <v>44327.47658564815</v>
      </c>
      <c r="C69" s="1" t="n">
        <v>46010</v>
      </c>
      <c r="D69" t="inlineStr">
        <is>
          <t>KALMAR LÄN</t>
        </is>
      </c>
      <c r="E69" t="inlineStr">
        <is>
          <t>VIMMERBY</t>
        </is>
      </c>
      <c r="G69" t="n">
        <v>0.5</v>
      </c>
      <c r="H69" t="n">
        <v>0</v>
      </c>
      <c r="I69" t="n">
        <v>0</v>
      </c>
      <c r="J69" t="n">
        <v>0</v>
      </c>
      <c r="K69" t="n">
        <v>0</v>
      </c>
      <c r="L69" t="n">
        <v>0</v>
      </c>
      <c r="M69" t="n">
        <v>0</v>
      </c>
      <c r="N69" t="n">
        <v>0</v>
      </c>
      <c r="O69" t="n">
        <v>0</v>
      </c>
      <c r="P69" t="n">
        <v>0</v>
      </c>
      <c r="Q69" t="n">
        <v>0</v>
      </c>
      <c r="R69" s="2" t="inlineStr"/>
    </row>
    <row r="70" ht="15" customHeight="1">
      <c r="A70" t="inlineStr">
        <is>
          <t>A 63926-2021</t>
        </is>
      </c>
      <c r="B70" s="1" t="n">
        <v>44509</v>
      </c>
      <c r="C70" s="1" t="n">
        <v>46010</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38348-2021</t>
        </is>
      </c>
      <c r="B71" s="1" t="n">
        <v>44406</v>
      </c>
      <c r="C71" s="1" t="n">
        <v>46010</v>
      </c>
      <c r="D71" t="inlineStr">
        <is>
          <t>KALMAR LÄN</t>
        </is>
      </c>
      <c r="E71" t="inlineStr">
        <is>
          <t>VIMMERBY</t>
        </is>
      </c>
      <c r="G71" t="n">
        <v>2.2</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46010</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46010</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46010</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46010</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46010</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46010</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46010</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46010</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2183-2022</t>
        </is>
      </c>
      <c r="B80" s="1" t="n">
        <v>44578.47597222222</v>
      </c>
      <c r="C80" s="1" t="n">
        <v>46010</v>
      </c>
      <c r="D80" t="inlineStr">
        <is>
          <t>KALMAR LÄN</t>
        </is>
      </c>
      <c r="E80" t="inlineStr">
        <is>
          <t>VIMMERBY</t>
        </is>
      </c>
      <c r="G80" t="n">
        <v>4.8</v>
      </c>
      <c r="H80" t="n">
        <v>0</v>
      </c>
      <c r="I80" t="n">
        <v>0</v>
      </c>
      <c r="J80" t="n">
        <v>0</v>
      </c>
      <c r="K80" t="n">
        <v>0</v>
      </c>
      <c r="L80" t="n">
        <v>0</v>
      </c>
      <c r="M80" t="n">
        <v>0</v>
      </c>
      <c r="N80" t="n">
        <v>0</v>
      </c>
      <c r="O80" t="n">
        <v>0</v>
      </c>
      <c r="P80" t="n">
        <v>0</v>
      </c>
      <c r="Q80" t="n">
        <v>0</v>
      </c>
      <c r="R80" s="2" t="inlineStr"/>
    </row>
    <row r="81" ht="15" customHeight="1">
      <c r="A81" t="inlineStr">
        <is>
          <t>A 65670-2021</t>
        </is>
      </c>
      <c r="B81" s="1" t="n">
        <v>44516.59703703703</v>
      </c>
      <c r="C81" s="1" t="n">
        <v>46010</v>
      </c>
      <c r="D81" t="inlineStr">
        <is>
          <t>KALMAR LÄN</t>
        </is>
      </c>
      <c r="E81" t="inlineStr">
        <is>
          <t>VIMMERBY</t>
        </is>
      </c>
      <c r="G81" t="n">
        <v>1.9</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46010</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7049-2022</t>
        </is>
      </c>
      <c r="B83" s="1" t="n">
        <v>44603</v>
      </c>
      <c r="C83" s="1" t="n">
        <v>46010</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46010</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46010</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57416-2021</t>
        </is>
      </c>
      <c r="B86" s="1" t="n">
        <v>44483.58295138889</v>
      </c>
      <c r="C86" s="1" t="n">
        <v>46010</v>
      </c>
      <c r="D86" t="inlineStr">
        <is>
          <t>KALMAR LÄN</t>
        </is>
      </c>
      <c r="E86" t="inlineStr">
        <is>
          <t>VIMMERBY</t>
        </is>
      </c>
      <c r="G86" t="n">
        <v>2.9</v>
      </c>
      <c r="H86" t="n">
        <v>0</v>
      </c>
      <c r="I86" t="n">
        <v>0</v>
      </c>
      <c r="J86" t="n">
        <v>0</v>
      </c>
      <c r="K86" t="n">
        <v>0</v>
      </c>
      <c r="L86" t="n">
        <v>0</v>
      </c>
      <c r="M86" t="n">
        <v>0</v>
      </c>
      <c r="N86" t="n">
        <v>0</v>
      </c>
      <c r="O86" t="n">
        <v>0</v>
      </c>
      <c r="P86" t="n">
        <v>0</v>
      </c>
      <c r="Q86" t="n">
        <v>0</v>
      </c>
      <c r="R86" s="2" t="inlineStr"/>
    </row>
    <row r="87" ht="15" customHeight="1">
      <c r="A87" t="inlineStr">
        <is>
          <t>A 59791-2021</t>
        </is>
      </c>
      <c r="B87" s="1" t="n">
        <v>44494</v>
      </c>
      <c r="C87" s="1" t="n">
        <v>46010</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46010</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27762-2021</t>
        </is>
      </c>
      <c r="B89" s="1" t="n">
        <v>44354</v>
      </c>
      <c r="C89" s="1" t="n">
        <v>46010</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64923-2021</t>
        </is>
      </c>
      <c r="B90" s="1" t="n">
        <v>44512.70245370371</v>
      </c>
      <c r="C90" s="1" t="n">
        <v>46010</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46010</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3621-2021</t>
        </is>
      </c>
      <c r="B92" s="1" t="n">
        <v>44221.39408564815</v>
      </c>
      <c r="C92" s="1" t="n">
        <v>46010</v>
      </c>
      <c r="D92" t="inlineStr">
        <is>
          <t>KALMAR LÄN</t>
        </is>
      </c>
      <c r="E92" t="inlineStr">
        <is>
          <t>VIMMERBY</t>
        </is>
      </c>
      <c r="G92" t="n">
        <v>0.7</v>
      </c>
      <c r="H92" t="n">
        <v>0</v>
      </c>
      <c r="I92" t="n">
        <v>0</v>
      </c>
      <c r="J92" t="n">
        <v>0</v>
      </c>
      <c r="K92" t="n">
        <v>0</v>
      </c>
      <c r="L92" t="n">
        <v>0</v>
      </c>
      <c r="M92" t="n">
        <v>0</v>
      </c>
      <c r="N92" t="n">
        <v>0</v>
      </c>
      <c r="O92" t="n">
        <v>0</v>
      </c>
      <c r="P92" t="n">
        <v>0</v>
      </c>
      <c r="Q92" t="n">
        <v>0</v>
      </c>
      <c r="R92" s="2" t="inlineStr"/>
    </row>
    <row r="93" ht="15" customHeight="1">
      <c r="A93" t="inlineStr">
        <is>
          <t>A 11145-2021</t>
        </is>
      </c>
      <c r="B93" s="1" t="n">
        <v>44261</v>
      </c>
      <c r="C93" s="1" t="n">
        <v>46010</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68840-2021</t>
        </is>
      </c>
      <c r="B94" s="1" t="n">
        <v>44530.38055555556</v>
      </c>
      <c r="C94" s="1" t="n">
        <v>46010</v>
      </c>
      <c r="D94" t="inlineStr">
        <is>
          <t>KALMAR LÄN</t>
        </is>
      </c>
      <c r="E94" t="inlineStr">
        <is>
          <t>VIMMERBY</t>
        </is>
      </c>
      <c r="G94" t="n">
        <v>1.4</v>
      </c>
      <c r="H94" t="n">
        <v>0</v>
      </c>
      <c r="I94" t="n">
        <v>0</v>
      </c>
      <c r="J94" t="n">
        <v>0</v>
      </c>
      <c r="K94" t="n">
        <v>0</v>
      </c>
      <c r="L94" t="n">
        <v>0</v>
      </c>
      <c r="M94" t="n">
        <v>0</v>
      </c>
      <c r="N94" t="n">
        <v>0</v>
      </c>
      <c r="O94" t="n">
        <v>0</v>
      </c>
      <c r="P94" t="n">
        <v>0</v>
      </c>
      <c r="Q94" t="n">
        <v>0</v>
      </c>
      <c r="R94" s="2" t="inlineStr"/>
    </row>
    <row r="95" ht="15" customHeight="1">
      <c r="A95" t="inlineStr">
        <is>
          <t>A 4118-2022</t>
        </is>
      </c>
      <c r="B95" s="1" t="n">
        <v>44588</v>
      </c>
      <c r="C95" s="1" t="n">
        <v>46010</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4126-2022</t>
        </is>
      </c>
      <c r="B96" s="1" t="n">
        <v>44588</v>
      </c>
      <c r="C96" s="1" t="n">
        <v>46010</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33820-2022</t>
        </is>
      </c>
      <c r="B97" s="1" t="n">
        <v>44790</v>
      </c>
      <c r="C97" s="1" t="n">
        <v>46010</v>
      </c>
      <c r="D97" t="inlineStr">
        <is>
          <t>KALMAR LÄN</t>
        </is>
      </c>
      <c r="E97" t="inlineStr">
        <is>
          <t>VIMMERBY</t>
        </is>
      </c>
      <c r="G97" t="n">
        <v>3</v>
      </c>
      <c r="H97" t="n">
        <v>0</v>
      </c>
      <c r="I97" t="n">
        <v>0</v>
      </c>
      <c r="J97" t="n">
        <v>0</v>
      </c>
      <c r="K97" t="n">
        <v>0</v>
      </c>
      <c r="L97" t="n">
        <v>0</v>
      </c>
      <c r="M97" t="n">
        <v>0</v>
      </c>
      <c r="N97" t="n">
        <v>0</v>
      </c>
      <c r="O97" t="n">
        <v>0</v>
      </c>
      <c r="P97" t="n">
        <v>0</v>
      </c>
      <c r="Q97" t="n">
        <v>0</v>
      </c>
      <c r="R97" s="2" t="inlineStr"/>
    </row>
    <row r="98" ht="15" customHeight="1">
      <c r="A98" t="inlineStr">
        <is>
          <t>A 33824-2022</t>
        </is>
      </c>
      <c r="B98" s="1" t="n">
        <v>44790.47628472222</v>
      </c>
      <c r="C98" s="1" t="n">
        <v>46010</v>
      </c>
      <c r="D98" t="inlineStr">
        <is>
          <t>KALMAR LÄN</t>
        </is>
      </c>
      <c r="E98" t="inlineStr">
        <is>
          <t>VIMMERBY</t>
        </is>
      </c>
      <c r="G98" t="n">
        <v>2.3</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46010</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46010</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46010</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14347-2021</t>
        </is>
      </c>
      <c r="B102" s="1" t="n">
        <v>44279.33400462963</v>
      </c>
      <c r="C102" s="1" t="n">
        <v>46010</v>
      </c>
      <c r="D102" t="inlineStr">
        <is>
          <t>KALMAR LÄN</t>
        </is>
      </c>
      <c r="E102" t="inlineStr">
        <is>
          <t>VIMMERBY</t>
        </is>
      </c>
      <c r="G102" t="n">
        <v>6.4</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46010</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55297-2021</t>
        </is>
      </c>
      <c r="B104" s="1" t="n">
        <v>44475</v>
      </c>
      <c r="C104" s="1" t="n">
        <v>46010</v>
      </c>
      <c r="D104" t="inlineStr">
        <is>
          <t>KALMAR LÄN</t>
        </is>
      </c>
      <c r="E104" t="inlineStr">
        <is>
          <t>VIMMERBY</t>
        </is>
      </c>
      <c r="G104" t="n">
        <v>4.1</v>
      </c>
      <c r="H104" t="n">
        <v>0</v>
      </c>
      <c r="I104" t="n">
        <v>0</v>
      </c>
      <c r="J104" t="n">
        <v>0</v>
      </c>
      <c r="K104" t="n">
        <v>0</v>
      </c>
      <c r="L104" t="n">
        <v>0</v>
      </c>
      <c r="M104" t="n">
        <v>0</v>
      </c>
      <c r="N104" t="n">
        <v>0</v>
      </c>
      <c r="O104" t="n">
        <v>0</v>
      </c>
      <c r="P104" t="n">
        <v>0</v>
      </c>
      <c r="Q104" t="n">
        <v>0</v>
      </c>
      <c r="R104" s="2" t="inlineStr"/>
    </row>
    <row r="105" ht="15" customHeight="1">
      <c r="A105" t="inlineStr">
        <is>
          <t>A 35531-2021</t>
        </is>
      </c>
      <c r="B105" s="1" t="n">
        <v>44385</v>
      </c>
      <c r="C105" s="1" t="n">
        <v>46010</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46010</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46010</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12848-2021</t>
        </is>
      </c>
      <c r="B108" s="1" t="n">
        <v>44271.37226851852</v>
      </c>
      <c r="C108" s="1" t="n">
        <v>46010</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46010</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46010</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46010</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31533-2022</t>
        </is>
      </c>
      <c r="B112" s="1" t="n">
        <v>44774</v>
      </c>
      <c r="C112" s="1" t="n">
        <v>46010</v>
      </c>
      <c r="D112" t="inlineStr">
        <is>
          <t>KALMAR LÄN</t>
        </is>
      </c>
      <c r="E112" t="inlineStr">
        <is>
          <t>VIMMERBY</t>
        </is>
      </c>
      <c r="G112" t="n">
        <v>2.5</v>
      </c>
      <c r="H112" t="n">
        <v>0</v>
      </c>
      <c r="I112" t="n">
        <v>0</v>
      </c>
      <c r="J112" t="n">
        <v>0</v>
      </c>
      <c r="K112" t="n">
        <v>0</v>
      </c>
      <c r="L112" t="n">
        <v>0</v>
      </c>
      <c r="M112" t="n">
        <v>0</v>
      </c>
      <c r="N112" t="n">
        <v>0</v>
      </c>
      <c r="O112" t="n">
        <v>0</v>
      </c>
      <c r="P112" t="n">
        <v>0</v>
      </c>
      <c r="Q112" t="n">
        <v>0</v>
      </c>
      <c r="R112" s="2" t="inlineStr"/>
    </row>
    <row r="113" ht="15" customHeight="1">
      <c r="A113" t="inlineStr">
        <is>
          <t>A 25859-2022</t>
        </is>
      </c>
      <c r="B113" s="1" t="n">
        <v>44733</v>
      </c>
      <c r="C113" s="1" t="n">
        <v>46010</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25868-2022</t>
        </is>
      </c>
      <c r="B114" s="1" t="n">
        <v>44733</v>
      </c>
      <c r="C114" s="1" t="n">
        <v>46010</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32386-2021</t>
        </is>
      </c>
      <c r="B115" s="1" t="n">
        <v>44371.62743055556</v>
      </c>
      <c r="C115" s="1" t="n">
        <v>46010</v>
      </c>
      <c r="D115" t="inlineStr">
        <is>
          <t>KALMAR LÄN</t>
        </is>
      </c>
      <c r="E115" t="inlineStr">
        <is>
          <t>VIMMERBY</t>
        </is>
      </c>
      <c r="G115" t="n">
        <v>1.6</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46010</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35633-2021</t>
        </is>
      </c>
      <c r="B117" s="1" t="n">
        <v>44386.40783564815</v>
      </c>
      <c r="C117" s="1" t="n">
        <v>46010</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56343-2021</t>
        </is>
      </c>
      <c r="B118" s="1" t="n">
        <v>44480</v>
      </c>
      <c r="C118" s="1" t="n">
        <v>46010</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24369-2021</t>
        </is>
      </c>
      <c r="B119" s="1" t="n">
        <v>44337</v>
      </c>
      <c r="C119" s="1" t="n">
        <v>46010</v>
      </c>
      <c r="D119" t="inlineStr">
        <is>
          <t>KALMAR LÄN</t>
        </is>
      </c>
      <c r="E119" t="inlineStr">
        <is>
          <t>VIMMERBY</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46010</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51972-2021</t>
        </is>
      </c>
      <c r="B121" s="1" t="n">
        <v>44463.29439814815</v>
      </c>
      <c r="C121" s="1" t="n">
        <v>46010</v>
      </c>
      <c r="D121" t="inlineStr">
        <is>
          <t>KALMAR LÄN</t>
        </is>
      </c>
      <c r="E121" t="inlineStr">
        <is>
          <t>VIMMERBY</t>
        </is>
      </c>
      <c r="G121" t="n">
        <v>4.5</v>
      </c>
      <c r="H121" t="n">
        <v>0</v>
      </c>
      <c r="I121" t="n">
        <v>0</v>
      </c>
      <c r="J121" t="n">
        <v>0</v>
      </c>
      <c r="K121" t="n">
        <v>0</v>
      </c>
      <c r="L121" t="n">
        <v>0</v>
      </c>
      <c r="M121" t="n">
        <v>0</v>
      </c>
      <c r="N121" t="n">
        <v>0</v>
      </c>
      <c r="O121" t="n">
        <v>0</v>
      </c>
      <c r="P121" t="n">
        <v>0</v>
      </c>
      <c r="Q121" t="n">
        <v>0</v>
      </c>
      <c r="R121" s="2" t="inlineStr"/>
    </row>
    <row r="122" ht="15" customHeight="1">
      <c r="A122" t="inlineStr">
        <is>
          <t>A 4042-2022</t>
        </is>
      </c>
      <c r="B122" s="1" t="n">
        <v>44588</v>
      </c>
      <c r="C122" s="1" t="n">
        <v>46010</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33690-2022</t>
        </is>
      </c>
      <c r="B123" s="1" t="n">
        <v>44789</v>
      </c>
      <c r="C123" s="1" t="n">
        <v>46010</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35198-2021</t>
        </is>
      </c>
      <c r="B124" s="1" t="n">
        <v>44377</v>
      </c>
      <c r="C124" s="1" t="n">
        <v>46010</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34036-2021</t>
        </is>
      </c>
      <c r="B125" s="1" t="n">
        <v>44379</v>
      </c>
      <c r="C125" s="1" t="n">
        <v>46010</v>
      </c>
      <c r="D125" t="inlineStr">
        <is>
          <t>KALMAR LÄN</t>
        </is>
      </c>
      <c r="E125" t="inlineStr">
        <is>
          <t>VIMMERBY</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63244-2021</t>
        </is>
      </c>
      <c r="B126" s="1" t="n">
        <v>44508</v>
      </c>
      <c r="C126" s="1" t="n">
        <v>46010</v>
      </c>
      <c r="D126" t="inlineStr">
        <is>
          <t>KALMAR LÄN</t>
        </is>
      </c>
      <c r="E126" t="inlineStr">
        <is>
          <t>VIMMERBY</t>
        </is>
      </c>
      <c r="F126" t="inlineStr">
        <is>
          <t>Övriga statliga verk och myndigheter</t>
        </is>
      </c>
      <c r="G126" t="n">
        <v>0.6</v>
      </c>
      <c r="H126" t="n">
        <v>0</v>
      </c>
      <c r="I126" t="n">
        <v>0</v>
      </c>
      <c r="J126" t="n">
        <v>0</v>
      </c>
      <c r="K126" t="n">
        <v>0</v>
      </c>
      <c r="L126" t="n">
        <v>0</v>
      </c>
      <c r="M126" t="n">
        <v>0</v>
      </c>
      <c r="N126" t="n">
        <v>0</v>
      </c>
      <c r="O126" t="n">
        <v>0</v>
      </c>
      <c r="P126" t="n">
        <v>0</v>
      </c>
      <c r="Q126" t="n">
        <v>0</v>
      </c>
      <c r="R126" s="2" t="inlineStr"/>
    </row>
    <row r="127" ht="15" customHeight="1">
      <c r="A127" t="inlineStr">
        <is>
          <t>A 11814-2022</t>
        </is>
      </c>
      <c r="B127" s="1" t="n">
        <v>44634.69703703704</v>
      </c>
      <c r="C127" s="1" t="n">
        <v>46010</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56385-2021</t>
        </is>
      </c>
      <c r="B128" s="1" t="n">
        <v>44480</v>
      </c>
      <c r="C128" s="1" t="n">
        <v>46010</v>
      </c>
      <c r="D128" t="inlineStr">
        <is>
          <t>KALMAR LÄN</t>
        </is>
      </c>
      <c r="E128" t="inlineStr">
        <is>
          <t>VIMMERBY</t>
        </is>
      </c>
      <c r="G128" t="n">
        <v>1.9</v>
      </c>
      <c r="H128" t="n">
        <v>0</v>
      </c>
      <c r="I128" t="n">
        <v>0</v>
      </c>
      <c r="J128" t="n">
        <v>0</v>
      </c>
      <c r="K128" t="n">
        <v>0</v>
      </c>
      <c r="L128" t="n">
        <v>0</v>
      </c>
      <c r="M128" t="n">
        <v>0</v>
      </c>
      <c r="N128" t="n">
        <v>0</v>
      </c>
      <c r="O128" t="n">
        <v>0</v>
      </c>
      <c r="P128" t="n">
        <v>0</v>
      </c>
      <c r="Q128" t="n">
        <v>0</v>
      </c>
      <c r="R128" s="2" t="inlineStr"/>
    </row>
    <row r="129" ht="15" customHeight="1">
      <c r="A129" t="inlineStr">
        <is>
          <t>A 24738-2021</t>
        </is>
      </c>
      <c r="B129" s="1" t="n">
        <v>44340.58002314815</v>
      </c>
      <c r="C129" s="1" t="n">
        <v>46010</v>
      </c>
      <c r="D129" t="inlineStr">
        <is>
          <t>KALMAR LÄN</t>
        </is>
      </c>
      <c r="E129" t="inlineStr">
        <is>
          <t>VIMMERBY</t>
        </is>
      </c>
      <c r="G129" t="n">
        <v>3.5</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46010</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8454-2022</t>
        </is>
      </c>
      <c r="B131" s="1" t="n">
        <v>44612.86762731482</v>
      </c>
      <c r="C131" s="1" t="n">
        <v>46010</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65887-2021</t>
        </is>
      </c>
      <c r="B132" s="1" t="n">
        <v>44517</v>
      </c>
      <c r="C132" s="1" t="n">
        <v>46010</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39959-2022</t>
        </is>
      </c>
      <c r="B133" s="1" t="n">
        <v>44819</v>
      </c>
      <c r="C133" s="1" t="n">
        <v>46010</v>
      </c>
      <c r="D133" t="inlineStr">
        <is>
          <t>KALMAR LÄN</t>
        </is>
      </c>
      <c r="E133" t="inlineStr">
        <is>
          <t>VIMMERBY</t>
        </is>
      </c>
      <c r="G133" t="n">
        <v>0.9</v>
      </c>
      <c r="H133" t="n">
        <v>0</v>
      </c>
      <c r="I133" t="n">
        <v>0</v>
      </c>
      <c r="J133" t="n">
        <v>0</v>
      </c>
      <c r="K133" t="n">
        <v>0</v>
      </c>
      <c r="L133" t="n">
        <v>0</v>
      </c>
      <c r="M133" t="n">
        <v>0</v>
      </c>
      <c r="N133" t="n">
        <v>0</v>
      </c>
      <c r="O133" t="n">
        <v>0</v>
      </c>
      <c r="P133" t="n">
        <v>0</v>
      </c>
      <c r="Q133" t="n">
        <v>0</v>
      </c>
      <c r="R133" s="2" t="inlineStr"/>
    </row>
    <row r="134" ht="15" customHeight="1">
      <c r="A134" t="inlineStr">
        <is>
          <t>A 12661-2021</t>
        </is>
      </c>
      <c r="B134" s="1" t="n">
        <v>44270</v>
      </c>
      <c r="C134" s="1" t="n">
        <v>46010</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24999-2021</t>
        </is>
      </c>
      <c r="B135" s="1" t="n">
        <v>44341</v>
      </c>
      <c r="C135" s="1" t="n">
        <v>46010</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46010</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46010</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16705-2021</t>
        </is>
      </c>
      <c r="B138" s="1" t="n">
        <v>44294</v>
      </c>
      <c r="C138" s="1" t="n">
        <v>46010</v>
      </c>
      <c r="D138" t="inlineStr">
        <is>
          <t>KALMAR LÄN</t>
        </is>
      </c>
      <c r="E138" t="inlineStr">
        <is>
          <t>VIMMERBY</t>
        </is>
      </c>
      <c r="G138" t="n">
        <v>2.6</v>
      </c>
      <c r="H138" t="n">
        <v>0</v>
      </c>
      <c r="I138" t="n">
        <v>0</v>
      </c>
      <c r="J138" t="n">
        <v>0</v>
      </c>
      <c r="K138" t="n">
        <v>0</v>
      </c>
      <c r="L138" t="n">
        <v>0</v>
      </c>
      <c r="M138" t="n">
        <v>0</v>
      </c>
      <c r="N138" t="n">
        <v>0</v>
      </c>
      <c r="O138" t="n">
        <v>0</v>
      </c>
      <c r="P138" t="n">
        <v>0</v>
      </c>
      <c r="Q138" t="n">
        <v>0</v>
      </c>
      <c r="R138" s="2" t="inlineStr"/>
    </row>
    <row r="139" ht="15" customHeight="1">
      <c r="A139" t="inlineStr">
        <is>
          <t>A 56389-2021</t>
        </is>
      </c>
      <c r="B139" s="1" t="n">
        <v>44480</v>
      </c>
      <c r="C139" s="1" t="n">
        <v>46010</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67952-2021</t>
        </is>
      </c>
      <c r="B140" s="1" t="n">
        <v>44525.63913194444</v>
      </c>
      <c r="C140" s="1" t="n">
        <v>46010</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15533-2022</t>
        </is>
      </c>
      <c r="B141" s="1" t="n">
        <v>44662</v>
      </c>
      <c r="C141" s="1" t="n">
        <v>46010</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14521-2021</t>
        </is>
      </c>
      <c r="B142" s="1" t="n">
        <v>44279.64934027778</v>
      </c>
      <c r="C142" s="1" t="n">
        <v>46010</v>
      </c>
      <c r="D142" t="inlineStr">
        <is>
          <t>KALMAR LÄN</t>
        </is>
      </c>
      <c r="E142" t="inlineStr">
        <is>
          <t>VIMMERBY</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165-2022</t>
        </is>
      </c>
      <c r="B143" s="1" t="n">
        <v>44564</v>
      </c>
      <c r="C143" s="1" t="n">
        <v>46010</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34040-2021</t>
        </is>
      </c>
      <c r="B144" s="1" t="n">
        <v>44379</v>
      </c>
      <c r="C144" s="1" t="n">
        <v>46010</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15200-2021</t>
        </is>
      </c>
      <c r="B145" s="1" t="n">
        <v>44284.44574074074</v>
      </c>
      <c r="C145" s="1" t="n">
        <v>46010</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12107-2022</t>
        </is>
      </c>
      <c r="B146" s="1" t="n">
        <v>44636</v>
      </c>
      <c r="C146" s="1" t="n">
        <v>46010</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39225-2022</t>
        </is>
      </c>
      <c r="B147" s="1" t="n">
        <v>44817.57988425926</v>
      </c>
      <c r="C147" s="1" t="n">
        <v>46010</v>
      </c>
      <c r="D147" t="inlineStr">
        <is>
          <t>KALMAR LÄN</t>
        </is>
      </c>
      <c r="E147" t="inlineStr">
        <is>
          <t>VIMMERBY</t>
        </is>
      </c>
      <c r="G147" t="n">
        <v>2.2</v>
      </c>
      <c r="H147" t="n">
        <v>0</v>
      </c>
      <c r="I147" t="n">
        <v>0</v>
      </c>
      <c r="J147" t="n">
        <v>0</v>
      </c>
      <c r="K147" t="n">
        <v>0</v>
      </c>
      <c r="L147" t="n">
        <v>0</v>
      </c>
      <c r="M147" t="n">
        <v>0</v>
      </c>
      <c r="N147" t="n">
        <v>0</v>
      </c>
      <c r="O147" t="n">
        <v>0</v>
      </c>
      <c r="P147" t="n">
        <v>0</v>
      </c>
      <c r="Q147" t="n">
        <v>0</v>
      </c>
      <c r="R147" s="2" t="inlineStr"/>
    </row>
    <row r="148" ht="15" customHeight="1">
      <c r="A148" t="inlineStr">
        <is>
          <t>A 16602-2021</t>
        </is>
      </c>
      <c r="B148" s="1" t="n">
        <v>44294</v>
      </c>
      <c r="C148" s="1" t="n">
        <v>46010</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16607-2021</t>
        </is>
      </c>
      <c r="B149" s="1" t="n">
        <v>44294</v>
      </c>
      <c r="C149" s="1" t="n">
        <v>46010</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17029-2022</t>
        </is>
      </c>
      <c r="B150" s="1" t="n">
        <v>44676.85248842592</v>
      </c>
      <c r="C150" s="1" t="n">
        <v>46010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18356-2021</t>
        </is>
      </c>
      <c r="B151" s="1" t="n">
        <v>44305</v>
      </c>
      <c r="C151" s="1" t="n">
        <v>46010</v>
      </c>
      <c r="D151" t="inlineStr">
        <is>
          <t>KALMAR LÄN</t>
        </is>
      </c>
      <c r="E151" t="inlineStr">
        <is>
          <t>VIMMERBY</t>
        </is>
      </c>
      <c r="G151" t="n">
        <v>3.4</v>
      </c>
      <c r="H151" t="n">
        <v>0</v>
      </c>
      <c r="I151" t="n">
        <v>0</v>
      </c>
      <c r="J151" t="n">
        <v>0</v>
      </c>
      <c r="K151" t="n">
        <v>0</v>
      </c>
      <c r="L151" t="n">
        <v>0</v>
      </c>
      <c r="M151" t="n">
        <v>0</v>
      </c>
      <c r="N151" t="n">
        <v>0</v>
      </c>
      <c r="O151" t="n">
        <v>0</v>
      </c>
      <c r="P151" t="n">
        <v>0</v>
      </c>
      <c r="Q151" t="n">
        <v>0</v>
      </c>
      <c r="R151" s="2" t="inlineStr"/>
    </row>
    <row r="152" ht="15" customHeight="1">
      <c r="A152" t="inlineStr">
        <is>
          <t>A 7167-2022</t>
        </is>
      </c>
      <c r="B152" s="1" t="n">
        <v>44604</v>
      </c>
      <c r="C152" s="1" t="n">
        <v>46010</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35001-2021</t>
        </is>
      </c>
      <c r="B153" s="1" t="n">
        <v>44383</v>
      </c>
      <c r="C153" s="1" t="n">
        <v>46010</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55674-2021</t>
        </is>
      </c>
      <c r="B154" s="1" t="n">
        <v>44476</v>
      </c>
      <c r="C154" s="1" t="n">
        <v>46010</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40077-2021</t>
        </is>
      </c>
      <c r="B155" s="1" t="n">
        <v>44418</v>
      </c>
      <c r="C155" s="1" t="n">
        <v>46010</v>
      </c>
      <c r="D155" t="inlineStr">
        <is>
          <t>KALMAR LÄN</t>
        </is>
      </c>
      <c r="E155" t="inlineStr">
        <is>
          <t>VIMMERBY</t>
        </is>
      </c>
      <c r="G155" t="n">
        <v>2.9</v>
      </c>
      <c r="H155" t="n">
        <v>0</v>
      </c>
      <c r="I155" t="n">
        <v>0</v>
      </c>
      <c r="J155" t="n">
        <v>0</v>
      </c>
      <c r="K155" t="n">
        <v>0</v>
      </c>
      <c r="L155" t="n">
        <v>0</v>
      </c>
      <c r="M155" t="n">
        <v>0</v>
      </c>
      <c r="N155" t="n">
        <v>0</v>
      </c>
      <c r="O155" t="n">
        <v>0</v>
      </c>
      <c r="P155" t="n">
        <v>0</v>
      </c>
      <c r="Q155" t="n">
        <v>0</v>
      </c>
      <c r="R155" s="2" t="inlineStr"/>
    </row>
    <row r="156" ht="15" customHeight="1">
      <c r="A156" t="inlineStr">
        <is>
          <t>A 47769-2022</t>
        </is>
      </c>
      <c r="B156" s="1" t="n">
        <v>44854</v>
      </c>
      <c r="C156" s="1" t="n">
        <v>46010</v>
      </c>
      <c r="D156" t="inlineStr">
        <is>
          <t>KALMAR LÄN</t>
        </is>
      </c>
      <c r="E156" t="inlineStr">
        <is>
          <t>VIMMERBY</t>
        </is>
      </c>
      <c r="G156" t="n">
        <v>1.1</v>
      </c>
      <c r="H156" t="n">
        <v>0</v>
      </c>
      <c r="I156" t="n">
        <v>0</v>
      </c>
      <c r="J156" t="n">
        <v>0</v>
      </c>
      <c r="K156" t="n">
        <v>0</v>
      </c>
      <c r="L156" t="n">
        <v>0</v>
      </c>
      <c r="M156" t="n">
        <v>0</v>
      </c>
      <c r="N156" t="n">
        <v>0</v>
      </c>
      <c r="O156" t="n">
        <v>0</v>
      </c>
      <c r="P156" t="n">
        <v>0</v>
      </c>
      <c r="Q156" t="n">
        <v>0</v>
      </c>
      <c r="R156" s="2" t="inlineStr"/>
    </row>
    <row r="157" ht="15" customHeight="1">
      <c r="A157" t="inlineStr">
        <is>
          <t>A 48377-2021</t>
        </is>
      </c>
      <c r="B157" s="1" t="n">
        <v>44451.8375</v>
      </c>
      <c r="C157" s="1" t="n">
        <v>46010</v>
      </c>
      <c r="D157" t="inlineStr">
        <is>
          <t>KALMAR LÄN</t>
        </is>
      </c>
      <c r="E157" t="inlineStr">
        <is>
          <t>VIMMERBY</t>
        </is>
      </c>
      <c r="G157" t="n">
        <v>0.4</v>
      </c>
      <c r="H157" t="n">
        <v>0</v>
      </c>
      <c r="I157" t="n">
        <v>0</v>
      </c>
      <c r="J157" t="n">
        <v>0</v>
      </c>
      <c r="K157" t="n">
        <v>0</v>
      </c>
      <c r="L157" t="n">
        <v>0</v>
      </c>
      <c r="M157" t="n">
        <v>0</v>
      </c>
      <c r="N157" t="n">
        <v>0</v>
      </c>
      <c r="O157" t="n">
        <v>0</v>
      </c>
      <c r="P157" t="n">
        <v>0</v>
      </c>
      <c r="Q157" t="n">
        <v>0</v>
      </c>
      <c r="R157" s="2" t="inlineStr"/>
    </row>
    <row r="158" ht="15" customHeight="1">
      <c r="A158" t="inlineStr">
        <is>
          <t>A 40472-2022</t>
        </is>
      </c>
      <c r="B158" s="1" t="n">
        <v>44823</v>
      </c>
      <c r="C158" s="1" t="n">
        <v>46010</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35316-2021</t>
        </is>
      </c>
      <c r="B159" s="1" t="n">
        <v>44384</v>
      </c>
      <c r="C159" s="1" t="n">
        <v>46010</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47708-2022</t>
        </is>
      </c>
      <c r="B160" s="1" t="n">
        <v>44854.59157407407</v>
      </c>
      <c r="C160" s="1" t="n">
        <v>46010</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9918-2022</t>
        </is>
      </c>
      <c r="B161" s="1" t="n">
        <v>44620</v>
      </c>
      <c r="C161" s="1" t="n">
        <v>46010</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618-2021</t>
        </is>
      </c>
      <c r="B162" s="1" t="n">
        <v>44203</v>
      </c>
      <c r="C162" s="1" t="n">
        <v>46010</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33831-2022</t>
        </is>
      </c>
      <c r="B163" s="1" t="n">
        <v>44790.48503472222</v>
      </c>
      <c r="C163" s="1" t="n">
        <v>46010</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46010</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46010</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23825-2022</t>
        </is>
      </c>
      <c r="B166" s="1" t="n">
        <v>44722.48768518519</v>
      </c>
      <c r="C166" s="1" t="n">
        <v>46010</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47473-2021</t>
        </is>
      </c>
      <c r="B167" s="1" t="n">
        <v>44447</v>
      </c>
      <c r="C167" s="1" t="n">
        <v>46010</v>
      </c>
      <c r="D167" t="inlineStr">
        <is>
          <t>KALMAR LÄN</t>
        </is>
      </c>
      <c r="E167" t="inlineStr">
        <is>
          <t>VIMMERBY</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46010</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41056-2022</t>
        </is>
      </c>
      <c r="B169" s="1" t="n">
        <v>44824</v>
      </c>
      <c r="C169" s="1" t="n">
        <v>46010</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31660-2021</t>
        </is>
      </c>
      <c r="B170" s="1" t="n">
        <v>44369</v>
      </c>
      <c r="C170" s="1" t="n">
        <v>46010</v>
      </c>
      <c r="D170" t="inlineStr">
        <is>
          <t>KALMAR LÄN</t>
        </is>
      </c>
      <c r="E170" t="inlineStr">
        <is>
          <t>VIMMERBY</t>
        </is>
      </c>
      <c r="G170" t="n">
        <v>4.2</v>
      </c>
      <c r="H170" t="n">
        <v>0</v>
      </c>
      <c r="I170" t="n">
        <v>0</v>
      </c>
      <c r="J170" t="n">
        <v>0</v>
      </c>
      <c r="K170" t="n">
        <v>0</v>
      </c>
      <c r="L170" t="n">
        <v>0</v>
      </c>
      <c r="M170" t="n">
        <v>0</v>
      </c>
      <c r="N170" t="n">
        <v>0</v>
      </c>
      <c r="O170" t="n">
        <v>0</v>
      </c>
      <c r="P170" t="n">
        <v>0</v>
      </c>
      <c r="Q170" t="n">
        <v>0</v>
      </c>
      <c r="R170" s="2" t="inlineStr"/>
    </row>
    <row r="171" ht="15" customHeight="1">
      <c r="A171" t="inlineStr">
        <is>
          <t>A 27455-2022</t>
        </is>
      </c>
      <c r="B171" s="1" t="n">
        <v>44742</v>
      </c>
      <c r="C171" s="1" t="n">
        <v>46010</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3330-2021</t>
        </is>
      </c>
      <c r="B172" s="1" t="n">
        <v>44217.79856481482</v>
      </c>
      <c r="C172" s="1" t="n">
        <v>46010</v>
      </c>
      <c r="D172" t="inlineStr">
        <is>
          <t>KALMAR LÄN</t>
        </is>
      </c>
      <c r="E172" t="inlineStr">
        <is>
          <t>VIMMERBY</t>
        </is>
      </c>
      <c r="G172" t="n">
        <v>11.1</v>
      </c>
      <c r="H172" t="n">
        <v>0</v>
      </c>
      <c r="I172" t="n">
        <v>0</v>
      </c>
      <c r="J172" t="n">
        <v>0</v>
      </c>
      <c r="K172" t="n">
        <v>0</v>
      </c>
      <c r="L172" t="n">
        <v>0</v>
      </c>
      <c r="M172" t="n">
        <v>0</v>
      </c>
      <c r="N172" t="n">
        <v>0</v>
      </c>
      <c r="O172" t="n">
        <v>0</v>
      </c>
      <c r="P172" t="n">
        <v>0</v>
      </c>
      <c r="Q172" t="n">
        <v>0</v>
      </c>
      <c r="R172" s="2" t="inlineStr"/>
    </row>
    <row r="173" ht="15" customHeight="1">
      <c r="A173" t="inlineStr">
        <is>
          <t>A 32603-2021</t>
        </is>
      </c>
      <c r="B173" s="1" t="n">
        <v>44375.38789351852</v>
      </c>
      <c r="C173" s="1" t="n">
        <v>46010</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36117-2021</t>
        </is>
      </c>
      <c r="B174" s="1" t="n">
        <v>44386</v>
      </c>
      <c r="C174" s="1" t="n">
        <v>46010</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42521-2021</t>
        </is>
      </c>
      <c r="B175" s="1" t="n">
        <v>44427</v>
      </c>
      <c r="C175" s="1" t="n">
        <v>46010</v>
      </c>
      <c r="D175" t="inlineStr">
        <is>
          <t>KALMAR LÄN</t>
        </is>
      </c>
      <c r="E175" t="inlineStr">
        <is>
          <t>VIMMERBY</t>
        </is>
      </c>
      <c r="G175" t="n">
        <v>5.4</v>
      </c>
      <c r="H175" t="n">
        <v>0</v>
      </c>
      <c r="I175" t="n">
        <v>0</v>
      </c>
      <c r="J175" t="n">
        <v>0</v>
      </c>
      <c r="K175" t="n">
        <v>0</v>
      </c>
      <c r="L175" t="n">
        <v>0</v>
      </c>
      <c r="M175" t="n">
        <v>0</v>
      </c>
      <c r="N175" t="n">
        <v>0</v>
      </c>
      <c r="O175" t="n">
        <v>0</v>
      </c>
      <c r="P175" t="n">
        <v>0</v>
      </c>
      <c r="Q175" t="n">
        <v>0</v>
      </c>
      <c r="R175" s="2" t="inlineStr"/>
    </row>
    <row r="176" ht="15" customHeight="1">
      <c r="A176" t="inlineStr">
        <is>
          <t>A 46964-2022</t>
        </is>
      </c>
      <c r="B176" s="1" t="n">
        <v>44851.95016203704</v>
      </c>
      <c r="C176" s="1" t="n">
        <v>46010</v>
      </c>
      <c r="D176" t="inlineStr">
        <is>
          <t>KALMAR LÄN</t>
        </is>
      </c>
      <c r="E176" t="inlineStr">
        <is>
          <t>VIMMERBY</t>
        </is>
      </c>
      <c r="G176" t="n">
        <v>0.2</v>
      </c>
      <c r="H176" t="n">
        <v>0</v>
      </c>
      <c r="I176" t="n">
        <v>0</v>
      </c>
      <c r="J176" t="n">
        <v>0</v>
      </c>
      <c r="K176" t="n">
        <v>0</v>
      </c>
      <c r="L176" t="n">
        <v>0</v>
      </c>
      <c r="M176" t="n">
        <v>0</v>
      </c>
      <c r="N176" t="n">
        <v>0</v>
      </c>
      <c r="O176" t="n">
        <v>0</v>
      </c>
      <c r="P176" t="n">
        <v>0</v>
      </c>
      <c r="Q176" t="n">
        <v>0</v>
      </c>
      <c r="R176" s="2" t="inlineStr"/>
    </row>
    <row r="177" ht="15" customHeight="1">
      <c r="A177" t="inlineStr">
        <is>
          <t>A 13180-2022</t>
        </is>
      </c>
      <c r="B177" s="1" t="n">
        <v>44644</v>
      </c>
      <c r="C177" s="1" t="n">
        <v>46010</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42850-2022</t>
        </is>
      </c>
      <c r="B178" s="1" t="n">
        <v>44832.67608796297</v>
      </c>
      <c r="C178" s="1" t="n">
        <v>46010</v>
      </c>
      <c r="D178" t="inlineStr">
        <is>
          <t>KALMAR LÄN</t>
        </is>
      </c>
      <c r="E178" t="inlineStr">
        <is>
          <t>VIMMERBY</t>
        </is>
      </c>
      <c r="G178" t="n">
        <v>5.9</v>
      </c>
      <c r="H178" t="n">
        <v>0</v>
      </c>
      <c r="I178" t="n">
        <v>0</v>
      </c>
      <c r="J178" t="n">
        <v>0</v>
      </c>
      <c r="K178" t="n">
        <v>0</v>
      </c>
      <c r="L178" t="n">
        <v>0</v>
      </c>
      <c r="M178" t="n">
        <v>0</v>
      </c>
      <c r="N178" t="n">
        <v>0</v>
      </c>
      <c r="O178" t="n">
        <v>0</v>
      </c>
      <c r="P178" t="n">
        <v>0</v>
      </c>
      <c r="Q178" t="n">
        <v>0</v>
      </c>
      <c r="R178" s="2" t="inlineStr"/>
    </row>
    <row r="179" ht="15" customHeight="1">
      <c r="A179" t="inlineStr">
        <is>
          <t>A 10086-2022</t>
        </is>
      </c>
      <c r="B179" s="1" t="n">
        <v>44621</v>
      </c>
      <c r="C179" s="1" t="n">
        <v>46010</v>
      </c>
      <c r="D179" t="inlineStr">
        <is>
          <t>KALMAR LÄN</t>
        </is>
      </c>
      <c r="E179" t="inlineStr">
        <is>
          <t>VIMMERBY</t>
        </is>
      </c>
      <c r="G179" t="n">
        <v>1.2</v>
      </c>
      <c r="H179" t="n">
        <v>0</v>
      </c>
      <c r="I179" t="n">
        <v>0</v>
      </c>
      <c r="J179" t="n">
        <v>0</v>
      </c>
      <c r="K179" t="n">
        <v>0</v>
      </c>
      <c r="L179" t="n">
        <v>0</v>
      </c>
      <c r="M179" t="n">
        <v>0</v>
      </c>
      <c r="N179" t="n">
        <v>0</v>
      </c>
      <c r="O179" t="n">
        <v>0</v>
      </c>
      <c r="P179" t="n">
        <v>0</v>
      </c>
      <c r="Q179" t="n">
        <v>0</v>
      </c>
      <c r="R179" s="2" t="inlineStr"/>
    </row>
    <row r="180" ht="15" customHeight="1">
      <c r="A180" t="inlineStr">
        <is>
          <t>A 53145-2022</t>
        </is>
      </c>
      <c r="B180" s="1" t="n">
        <v>44876.48346064815</v>
      </c>
      <c r="C180" s="1" t="n">
        <v>46010</v>
      </c>
      <c r="D180" t="inlineStr">
        <is>
          <t>KALMAR LÄN</t>
        </is>
      </c>
      <c r="E180" t="inlineStr">
        <is>
          <t>VIMMERBY</t>
        </is>
      </c>
      <c r="G180" t="n">
        <v>0.4</v>
      </c>
      <c r="H180" t="n">
        <v>0</v>
      </c>
      <c r="I180" t="n">
        <v>0</v>
      </c>
      <c r="J180" t="n">
        <v>0</v>
      </c>
      <c r="K180" t="n">
        <v>0</v>
      </c>
      <c r="L180" t="n">
        <v>0</v>
      </c>
      <c r="M180" t="n">
        <v>0</v>
      </c>
      <c r="N180" t="n">
        <v>0</v>
      </c>
      <c r="O180" t="n">
        <v>0</v>
      </c>
      <c r="P180" t="n">
        <v>0</v>
      </c>
      <c r="Q180" t="n">
        <v>0</v>
      </c>
      <c r="R180" s="2" t="inlineStr"/>
    </row>
    <row r="181" ht="15" customHeight="1">
      <c r="A181" t="inlineStr">
        <is>
          <t>A 25738-2022</t>
        </is>
      </c>
      <c r="B181" s="1" t="n">
        <v>44733.43092592592</v>
      </c>
      <c r="C181" s="1" t="n">
        <v>46010</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15191-2021</t>
        </is>
      </c>
      <c r="B182" s="1" t="n">
        <v>44284.42348379629</v>
      </c>
      <c r="C182" s="1" t="n">
        <v>46010</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8194-2022</t>
        </is>
      </c>
      <c r="B183" s="1" t="n">
        <v>44609</v>
      </c>
      <c r="C183" s="1" t="n">
        <v>46010</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40971-2021</t>
        </is>
      </c>
      <c r="B184" s="1" t="n">
        <v>44421</v>
      </c>
      <c r="C184" s="1" t="n">
        <v>46010</v>
      </c>
      <c r="D184" t="inlineStr">
        <is>
          <t>KALMAR LÄN</t>
        </is>
      </c>
      <c r="E184" t="inlineStr">
        <is>
          <t>VIMMERBY</t>
        </is>
      </c>
      <c r="G184" t="n">
        <v>1.1</v>
      </c>
      <c r="H184" t="n">
        <v>0</v>
      </c>
      <c r="I184" t="n">
        <v>0</v>
      </c>
      <c r="J184" t="n">
        <v>0</v>
      </c>
      <c r="K184" t="n">
        <v>0</v>
      </c>
      <c r="L184" t="n">
        <v>0</v>
      </c>
      <c r="M184" t="n">
        <v>0</v>
      </c>
      <c r="N184" t="n">
        <v>0</v>
      </c>
      <c r="O184" t="n">
        <v>0</v>
      </c>
      <c r="P184" t="n">
        <v>0</v>
      </c>
      <c r="Q184" t="n">
        <v>0</v>
      </c>
      <c r="R184" s="2" t="inlineStr"/>
    </row>
    <row r="185" ht="15" customHeight="1">
      <c r="A185" t="inlineStr">
        <is>
          <t>A 68744-2020</t>
        </is>
      </c>
      <c r="B185" s="1" t="n">
        <v>44186</v>
      </c>
      <c r="C185" s="1" t="n">
        <v>46010</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14278-2021</t>
        </is>
      </c>
      <c r="B186" s="1" t="n">
        <v>44278.63479166666</v>
      </c>
      <c r="C186" s="1" t="n">
        <v>46010</v>
      </c>
      <c r="D186" t="inlineStr">
        <is>
          <t>KALMAR LÄN</t>
        </is>
      </c>
      <c r="E186" t="inlineStr">
        <is>
          <t>VIMMERBY</t>
        </is>
      </c>
      <c r="F186" t="inlineStr">
        <is>
          <t>Övriga statliga verk och myndigheter</t>
        </is>
      </c>
      <c r="G186" t="n">
        <v>0.8</v>
      </c>
      <c r="H186" t="n">
        <v>0</v>
      </c>
      <c r="I186" t="n">
        <v>0</v>
      </c>
      <c r="J186" t="n">
        <v>0</v>
      </c>
      <c r="K186" t="n">
        <v>0</v>
      </c>
      <c r="L186" t="n">
        <v>0</v>
      </c>
      <c r="M186" t="n">
        <v>0</v>
      </c>
      <c r="N186" t="n">
        <v>0</v>
      </c>
      <c r="O186" t="n">
        <v>0</v>
      </c>
      <c r="P186" t="n">
        <v>0</v>
      </c>
      <c r="Q186" t="n">
        <v>0</v>
      </c>
      <c r="R186" s="2" t="inlineStr"/>
    </row>
    <row r="187" ht="15" customHeight="1">
      <c r="A187" t="inlineStr">
        <is>
          <t>A 8453-2022</t>
        </is>
      </c>
      <c r="B187" s="1" t="n">
        <v>44612.86554398148</v>
      </c>
      <c r="C187" s="1" t="n">
        <v>46010</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54065-2021</t>
        </is>
      </c>
      <c r="B188" s="1" t="n">
        <v>44470.44232638889</v>
      </c>
      <c r="C188" s="1" t="n">
        <v>46010</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46010</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46010</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31824-2022</t>
        </is>
      </c>
      <c r="B191" s="1" t="n">
        <v>44776</v>
      </c>
      <c r="C191" s="1" t="n">
        <v>46010</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11733-2022</t>
        </is>
      </c>
      <c r="B192" s="1" t="n">
        <v>44634</v>
      </c>
      <c r="C192" s="1" t="n">
        <v>46010</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13457-2021</t>
        </is>
      </c>
      <c r="B193" s="1" t="n">
        <v>44273</v>
      </c>
      <c r="C193" s="1" t="n">
        <v>46010</v>
      </c>
      <c r="D193" t="inlineStr">
        <is>
          <t>KALMAR LÄN</t>
        </is>
      </c>
      <c r="E193" t="inlineStr">
        <is>
          <t>VIMMERBY</t>
        </is>
      </c>
      <c r="G193" t="n">
        <v>1.4</v>
      </c>
      <c r="H193" t="n">
        <v>0</v>
      </c>
      <c r="I193" t="n">
        <v>0</v>
      </c>
      <c r="J193" t="n">
        <v>0</v>
      </c>
      <c r="K193" t="n">
        <v>0</v>
      </c>
      <c r="L193" t="n">
        <v>0</v>
      </c>
      <c r="M193" t="n">
        <v>0</v>
      </c>
      <c r="N193" t="n">
        <v>0</v>
      </c>
      <c r="O193" t="n">
        <v>0</v>
      </c>
      <c r="P193" t="n">
        <v>0</v>
      </c>
      <c r="Q193" t="n">
        <v>0</v>
      </c>
      <c r="R193" s="2" t="inlineStr"/>
    </row>
    <row r="194" ht="15" customHeight="1">
      <c r="A194" t="inlineStr">
        <is>
          <t>A 39042-2022</t>
        </is>
      </c>
      <c r="B194" s="1" t="n">
        <v>44817</v>
      </c>
      <c r="C194" s="1" t="n">
        <v>46010</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7804-2022</t>
        </is>
      </c>
      <c r="B195" s="1" t="n">
        <v>44608.50458333334</v>
      </c>
      <c r="C195" s="1" t="n">
        <v>46010</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16288-2021</t>
        </is>
      </c>
      <c r="B196" s="1" t="n">
        <v>44292</v>
      </c>
      <c r="C196" s="1" t="n">
        <v>46010</v>
      </c>
      <c r="D196" t="inlineStr">
        <is>
          <t>KALMAR LÄN</t>
        </is>
      </c>
      <c r="E196" t="inlineStr">
        <is>
          <t>VIMMERBY</t>
        </is>
      </c>
      <c r="F196" t="inlineStr">
        <is>
          <t>Övriga Aktiebolag</t>
        </is>
      </c>
      <c r="G196" t="n">
        <v>27.6</v>
      </c>
      <c r="H196" t="n">
        <v>0</v>
      </c>
      <c r="I196" t="n">
        <v>0</v>
      </c>
      <c r="J196" t="n">
        <v>0</v>
      </c>
      <c r="K196" t="n">
        <v>0</v>
      </c>
      <c r="L196" t="n">
        <v>0</v>
      </c>
      <c r="M196" t="n">
        <v>0</v>
      </c>
      <c r="N196" t="n">
        <v>0</v>
      </c>
      <c r="O196" t="n">
        <v>0</v>
      </c>
      <c r="P196" t="n">
        <v>0</v>
      </c>
      <c r="Q196" t="n">
        <v>0</v>
      </c>
      <c r="R196" s="2" t="inlineStr"/>
    </row>
    <row r="197" ht="15" customHeight="1">
      <c r="A197" t="inlineStr">
        <is>
          <t>A 16983-2023</t>
        </is>
      </c>
      <c r="B197" s="1" t="n">
        <v>45033.76043981482</v>
      </c>
      <c r="C197" s="1" t="n">
        <v>46010</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30402-2023</t>
        </is>
      </c>
      <c r="B198" s="1" t="n">
        <v>45111.48395833333</v>
      </c>
      <c r="C198" s="1" t="n">
        <v>46010</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46144-2023</t>
        </is>
      </c>
      <c r="B199" s="1" t="n">
        <v>45196.57247685185</v>
      </c>
      <c r="C199" s="1" t="n">
        <v>46010</v>
      </c>
      <c r="D199" t="inlineStr">
        <is>
          <t>KALMAR LÄN</t>
        </is>
      </c>
      <c r="E199" t="inlineStr">
        <is>
          <t>VIMMERBY</t>
        </is>
      </c>
      <c r="G199" t="n">
        <v>6.5</v>
      </c>
      <c r="H199" t="n">
        <v>0</v>
      </c>
      <c r="I199" t="n">
        <v>0</v>
      </c>
      <c r="J199" t="n">
        <v>0</v>
      </c>
      <c r="K199" t="n">
        <v>0</v>
      </c>
      <c r="L199" t="n">
        <v>0</v>
      </c>
      <c r="M199" t="n">
        <v>0</v>
      </c>
      <c r="N199" t="n">
        <v>0</v>
      </c>
      <c r="O199" t="n">
        <v>0</v>
      </c>
      <c r="P199" t="n">
        <v>0</v>
      </c>
      <c r="Q199" t="n">
        <v>0</v>
      </c>
      <c r="R199" s="2" t="inlineStr"/>
    </row>
    <row r="200" ht="15" customHeight="1">
      <c r="A200" t="inlineStr">
        <is>
          <t>A 11609-2023</t>
        </is>
      </c>
      <c r="B200" s="1" t="n">
        <v>44994.40635416667</v>
      </c>
      <c r="C200" s="1" t="n">
        <v>46010</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4076-2022</t>
        </is>
      </c>
      <c r="B201" s="1" t="n">
        <v>44588.37998842593</v>
      </c>
      <c r="C201" s="1" t="n">
        <v>46010</v>
      </c>
      <c r="D201" t="inlineStr">
        <is>
          <t>KALMAR LÄN</t>
        </is>
      </c>
      <c r="E201" t="inlineStr">
        <is>
          <t>VIMMERBY</t>
        </is>
      </c>
      <c r="G201" t="n">
        <v>3</v>
      </c>
      <c r="H201" t="n">
        <v>0</v>
      </c>
      <c r="I201" t="n">
        <v>0</v>
      </c>
      <c r="J201" t="n">
        <v>0</v>
      </c>
      <c r="K201" t="n">
        <v>0</v>
      </c>
      <c r="L201" t="n">
        <v>0</v>
      </c>
      <c r="M201" t="n">
        <v>0</v>
      </c>
      <c r="N201" t="n">
        <v>0</v>
      </c>
      <c r="O201" t="n">
        <v>0</v>
      </c>
      <c r="P201" t="n">
        <v>0</v>
      </c>
      <c r="Q201" t="n">
        <v>0</v>
      </c>
      <c r="R201" s="2" t="inlineStr"/>
    </row>
    <row r="202" ht="15" customHeight="1">
      <c r="A202" t="inlineStr">
        <is>
          <t>A 4122-2022</t>
        </is>
      </c>
      <c r="B202" s="1" t="n">
        <v>44588</v>
      </c>
      <c r="C202" s="1" t="n">
        <v>46010</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7643-2022</t>
        </is>
      </c>
      <c r="B203" s="1" t="n">
        <v>44607</v>
      </c>
      <c r="C203" s="1" t="n">
        <v>46010</v>
      </c>
      <c r="D203" t="inlineStr">
        <is>
          <t>KALMAR LÄN</t>
        </is>
      </c>
      <c r="E203" t="inlineStr">
        <is>
          <t>VIMMERBY</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56213-2024</t>
        </is>
      </c>
      <c r="B204" s="1" t="n">
        <v>45624.60141203704</v>
      </c>
      <c r="C204" s="1" t="n">
        <v>46010</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54409-2024</t>
        </is>
      </c>
      <c r="B205" s="1" t="n">
        <v>45617.47570601852</v>
      </c>
      <c r="C205" s="1" t="n">
        <v>46010</v>
      </c>
      <c r="D205" t="inlineStr">
        <is>
          <t>KALMAR LÄN</t>
        </is>
      </c>
      <c r="E205" t="inlineStr">
        <is>
          <t>VIMMERBY</t>
        </is>
      </c>
      <c r="G205" t="n">
        <v>4.3</v>
      </c>
      <c r="H205" t="n">
        <v>0</v>
      </c>
      <c r="I205" t="n">
        <v>0</v>
      </c>
      <c r="J205" t="n">
        <v>0</v>
      </c>
      <c r="K205" t="n">
        <v>0</v>
      </c>
      <c r="L205" t="n">
        <v>0</v>
      </c>
      <c r="M205" t="n">
        <v>0</v>
      </c>
      <c r="N205" t="n">
        <v>0</v>
      </c>
      <c r="O205" t="n">
        <v>0</v>
      </c>
      <c r="P205" t="n">
        <v>0</v>
      </c>
      <c r="Q205" t="n">
        <v>0</v>
      </c>
      <c r="R205" s="2" t="inlineStr"/>
    </row>
    <row r="206" ht="15" customHeight="1">
      <c r="A206" t="inlineStr">
        <is>
          <t>A 11027-2023</t>
        </is>
      </c>
      <c r="B206" s="1" t="n">
        <v>44991.89657407408</v>
      </c>
      <c r="C206" s="1" t="n">
        <v>46010</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58374-2024</t>
        </is>
      </c>
      <c r="B207" s="1" t="n">
        <v>45632.72635416667</v>
      </c>
      <c r="C207" s="1" t="n">
        <v>46010</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16825-2024</t>
        </is>
      </c>
      <c r="B208" s="1" t="n">
        <v>45411.47335648148</v>
      </c>
      <c r="C208" s="1" t="n">
        <v>46010</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31382-2023</t>
        </is>
      </c>
      <c r="B209" s="1" t="n">
        <v>45114.55136574074</v>
      </c>
      <c r="C209" s="1" t="n">
        <v>46010</v>
      </c>
      <c r="D209" t="inlineStr">
        <is>
          <t>KALMAR LÄN</t>
        </is>
      </c>
      <c r="E209" t="inlineStr">
        <is>
          <t>VIMMERBY</t>
        </is>
      </c>
      <c r="G209" t="n">
        <v>3.7</v>
      </c>
      <c r="H209" t="n">
        <v>0</v>
      </c>
      <c r="I209" t="n">
        <v>0</v>
      </c>
      <c r="J209" t="n">
        <v>0</v>
      </c>
      <c r="K209" t="n">
        <v>0</v>
      </c>
      <c r="L209" t="n">
        <v>0</v>
      </c>
      <c r="M209" t="n">
        <v>0</v>
      </c>
      <c r="N209" t="n">
        <v>0</v>
      </c>
      <c r="O209" t="n">
        <v>0</v>
      </c>
      <c r="P209" t="n">
        <v>0</v>
      </c>
      <c r="Q209" t="n">
        <v>0</v>
      </c>
      <c r="R209" s="2" t="inlineStr"/>
    </row>
    <row r="210" ht="15" customHeight="1">
      <c r="A210" t="inlineStr">
        <is>
          <t>A 53483-2022</t>
        </is>
      </c>
      <c r="B210" s="1" t="n">
        <v>44879.55940972222</v>
      </c>
      <c r="C210" s="1" t="n">
        <v>46010</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58962-2022</t>
        </is>
      </c>
      <c r="B211" s="1" t="n">
        <v>44903</v>
      </c>
      <c r="C211" s="1" t="n">
        <v>46010</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18899-2025</t>
        </is>
      </c>
      <c r="B212" s="1" t="n">
        <v>45764.44931712963</v>
      </c>
      <c r="C212" s="1" t="n">
        <v>46010</v>
      </c>
      <c r="D212" t="inlineStr">
        <is>
          <t>KALMAR LÄN</t>
        </is>
      </c>
      <c r="E212" t="inlineStr">
        <is>
          <t>VIMMERBY</t>
        </is>
      </c>
      <c r="F212" t="inlineStr">
        <is>
          <t>Kommuner</t>
        </is>
      </c>
      <c r="G212" t="n">
        <v>4</v>
      </c>
      <c r="H212" t="n">
        <v>0</v>
      </c>
      <c r="I212" t="n">
        <v>0</v>
      </c>
      <c r="J212" t="n">
        <v>0</v>
      </c>
      <c r="K212" t="n">
        <v>0</v>
      </c>
      <c r="L212" t="n">
        <v>0</v>
      </c>
      <c r="M212" t="n">
        <v>0</v>
      </c>
      <c r="N212" t="n">
        <v>0</v>
      </c>
      <c r="O212" t="n">
        <v>0</v>
      </c>
      <c r="P212" t="n">
        <v>0</v>
      </c>
      <c r="Q212" t="n">
        <v>0</v>
      </c>
      <c r="R212" s="2" t="inlineStr"/>
    </row>
    <row r="213" ht="15" customHeight="1">
      <c r="A213" t="inlineStr">
        <is>
          <t>A 20054-2023</t>
        </is>
      </c>
      <c r="B213" s="1" t="n">
        <v>45054.6750462963</v>
      </c>
      <c r="C213" s="1" t="n">
        <v>46010</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46010</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10838-2023</t>
        </is>
      </c>
      <c r="B215" s="1" t="n">
        <v>44991</v>
      </c>
      <c r="C215" s="1" t="n">
        <v>46010</v>
      </c>
      <c r="D215" t="inlineStr">
        <is>
          <t>KALMAR LÄN</t>
        </is>
      </c>
      <c r="E215" t="inlineStr">
        <is>
          <t>VIMMERBY</t>
        </is>
      </c>
      <c r="G215" t="n">
        <v>5.1</v>
      </c>
      <c r="H215" t="n">
        <v>0</v>
      </c>
      <c r="I215" t="n">
        <v>0</v>
      </c>
      <c r="J215" t="n">
        <v>0</v>
      </c>
      <c r="K215" t="n">
        <v>0</v>
      </c>
      <c r="L215" t="n">
        <v>0</v>
      </c>
      <c r="M215" t="n">
        <v>0</v>
      </c>
      <c r="N215" t="n">
        <v>0</v>
      </c>
      <c r="O215" t="n">
        <v>0</v>
      </c>
      <c r="P215" t="n">
        <v>0</v>
      </c>
      <c r="Q215" t="n">
        <v>0</v>
      </c>
      <c r="R215" s="2" t="inlineStr"/>
    </row>
    <row r="216" ht="15" customHeight="1">
      <c r="A216" t="inlineStr">
        <is>
          <t>A 13290-2025</t>
        </is>
      </c>
      <c r="B216" s="1" t="n">
        <v>45735.56751157407</v>
      </c>
      <c r="C216" s="1" t="n">
        <v>46010</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19162-2023</t>
        </is>
      </c>
      <c r="B217" s="1" t="n">
        <v>45048.59699074074</v>
      </c>
      <c r="C217" s="1" t="n">
        <v>46010</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11946-2025</t>
        </is>
      </c>
      <c r="B218" s="1" t="n">
        <v>45728.54832175926</v>
      </c>
      <c r="C218" s="1" t="n">
        <v>46010</v>
      </c>
      <c r="D218" t="inlineStr">
        <is>
          <t>KALMAR LÄN</t>
        </is>
      </c>
      <c r="E218" t="inlineStr">
        <is>
          <t>VIMMERBY</t>
        </is>
      </c>
      <c r="G218" t="n">
        <v>0.4</v>
      </c>
      <c r="H218" t="n">
        <v>0</v>
      </c>
      <c r="I218" t="n">
        <v>0</v>
      </c>
      <c r="J218" t="n">
        <v>0</v>
      </c>
      <c r="K218" t="n">
        <v>0</v>
      </c>
      <c r="L218" t="n">
        <v>0</v>
      </c>
      <c r="M218" t="n">
        <v>0</v>
      </c>
      <c r="N218" t="n">
        <v>0</v>
      </c>
      <c r="O218" t="n">
        <v>0</v>
      </c>
      <c r="P218" t="n">
        <v>0</v>
      </c>
      <c r="Q218" t="n">
        <v>0</v>
      </c>
      <c r="R218" s="2" t="inlineStr"/>
    </row>
    <row r="219" ht="15" customHeight="1">
      <c r="A219" t="inlineStr">
        <is>
          <t>A 19537-2022</t>
        </is>
      </c>
      <c r="B219" s="1" t="n">
        <v>44693.62822916666</v>
      </c>
      <c r="C219" s="1" t="n">
        <v>46010</v>
      </c>
      <c r="D219" t="inlineStr">
        <is>
          <t>KALMAR LÄN</t>
        </is>
      </c>
      <c r="E219" t="inlineStr">
        <is>
          <t>VIMMERBY</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60951-2023</t>
        </is>
      </c>
      <c r="B220" s="1" t="n">
        <v>45261.44914351852</v>
      </c>
      <c r="C220" s="1" t="n">
        <v>46010</v>
      </c>
      <c r="D220" t="inlineStr">
        <is>
          <t>KALMAR LÄN</t>
        </is>
      </c>
      <c r="E220" t="inlineStr">
        <is>
          <t>VIMMERBY</t>
        </is>
      </c>
      <c r="G220" t="n">
        <v>4.3</v>
      </c>
      <c r="H220" t="n">
        <v>0</v>
      </c>
      <c r="I220" t="n">
        <v>0</v>
      </c>
      <c r="J220" t="n">
        <v>0</v>
      </c>
      <c r="K220" t="n">
        <v>0</v>
      </c>
      <c r="L220" t="n">
        <v>0</v>
      </c>
      <c r="M220" t="n">
        <v>0</v>
      </c>
      <c r="N220" t="n">
        <v>0</v>
      </c>
      <c r="O220" t="n">
        <v>0</v>
      </c>
      <c r="P220" t="n">
        <v>0</v>
      </c>
      <c r="Q220" t="n">
        <v>0</v>
      </c>
      <c r="R220" s="2" t="inlineStr"/>
    </row>
    <row r="221" ht="15" customHeight="1">
      <c r="A221" t="inlineStr">
        <is>
          <t>A 9475-2023</t>
        </is>
      </c>
      <c r="B221" s="1" t="n">
        <v>44981.58834490741</v>
      </c>
      <c r="C221" s="1" t="n">
        <v>46010</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60292-2022</t>
        </is>
      </c>
      <c r="B222" s="1" t="n">
        <v>44910.54231481482</v>
      </c>
      <c r="C222" s="1" t="n">
        <v>46010</v>
      </c>
      <c r="D222" t="inlineStr">
        <is>
          <t>KALMAR LÄN</t>
        </is>
      </c>
      <c r="E222" t="inlineStr">
        <is>
          <t>VIMMERBY</t>
        </is>
      </c>
      <c r="G222" t="n">
        <v>4.4</v>
      </c>
      <c r="H222" t="n">
        <v>0</v>
      </c>
      <c r="I222" t="n">
        <v>0</v>
      </c>
      <c r="J222" t="n">
        <v>0</v>
      </c>
      <c r="K222" t="n">
        <v>0</v>
      </c>
      <c r="L222" t="n">
        <v>0</v>
      </c>
      <c r="M222" t="n">
        <v>0</v>
      </c>
      <c r="N222" t="n">
        <v>0</v>
      </c>
      <c r="O222" t="n">
        <v>0</v>
      </c>
      <c r="P222" t="n">
        <v>0</v>
      </c>
      <c r="Q222" t="n">
        <v>0</v>
      </c>
      <c r="R222" s="2" t="inlineStr"/>
    </row>
    <row r="223" ht="15" customHeight="1">
      <c r="A223" t="inlineStr">
        <is>
          <t>A 7485-2024</t>
        </is>
      </c>
      <c r="B223" s="1" t="n">
        <v>45346.67184027778</v>
      </c>
      <c r="C223" s="1" t="n">
        <v>46010</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12590-2025</t>
        </is>
      </c>
      <c r="B224" s="1" t="n">
        <v>45732.79925925926</v>
      </c>
      <c r="C224" s="1" t="n">
        <v>46010</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35710-2023</t>
        </is>
      </c>
      <c r="B225" s="1" t="n">
        <v>45147.67096064815</v>
      </c>
      <c r="C225" s="1" t="n">
        <v>46010</v>
      </c>
      <c r="D225" t="inlineStr">
        <is>
          <t>KALMAR LÄN</t>
        </is>
      </c>
      <c r="E225" t="inlineStr">
        <is>
          <t>VIMMERBY</t>
        </is>
      </c>
      <c r="G225" t="n">
        <v>3.1</v>
      </c>
      <c r="H225" t="n">
        <v>0</v>
      </c>
      <c r="I225" t="n">
        <v>0</v>
      </c>
      <c r="J225" t="n">
        <v>0</v>
      </c>
      <c r="K225" t="n">
        <v>0</v>
      </c>
      <c r="L225" t="n">
        <v>0</v>
      </c>
      <c r="M225" t="n">
        <v>0</v>
      </c>
      <c r="N225" t="n">
        <v>0</v>
      </c>
      <c r="O225" t="n">
        <v>0</v>
      </c>
      <c r="P225" t="n">
        <v>0</v>
      </c>
      <c r="Q225" t="n">
        <v>0</v>
      </c>
      <c r="R225" s="2" t="inlineStr"/>
    </row>
    <row r="226" ht="15" customHeight="1">
      <c r="A226" t="inlineStr">
        <is>
          <t>A 11147-2023</t>
        </is>
      </c>
      <c r="B226" s="1" t="n">
        <v>44992</v>
      </c>
      <c r="C226" s="1" t="n">
        <v>46010</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52823-2024</t>
        </is>
      </c>
      <c r="B227" s="1" t="n">
        <v>45610.59094907407</v>
      </c>
      <c r="C227" s="1" t="n">
        <v>46010</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19833-2023</t>
        </is>
      </c>
      <c r="B228" s="1" t="n">
        <v>45052</v>
      </c>
      <c r="C228" s="1" t="n">
        <v>46010</v>
      </c>
      <c r="D228" t="inlineStr">
        <is>
          <t>KALMAR LÄN</t>
        </is>
      </c>
      <c r="E228" t="inlineStr">
        <is>
          <t>VIMMERBY</t>
        </is>
      </c>
      <c r="G228" t="n">
        <v>6.7</v>
      </c>
      <c r="H228" t="n">
        <v>0</v>
      </c>
      <c r="I228" t="n">
        <v>0</v>
      </c>
      <c r="J228" t="n">
        <v>0</v>
      </c>
      <c r="K228" t="n">
        <v>0</v>
      </c>
      <c r="L228" t="n">
        <v>0</v>
      </c>
      <c r="M228" t="n">
        <v>0</v>
      </c>
      <c r="N228" t="n">
        <v>0</v>
      </c>
      <c r="O228" t="n">
        <v>0</v>
      </c>
      <c r="P228" t="n">
        <v>0</v>
      </c>
      <c r="Q228" t="n">
        <v>0</v>
      </c>
      <c r="R228" s="2" t="inlineStr"/>
    </row>
    <row r="229" ht="15" customHeight="1">
      <c r="A229" t="inlineStr">
        <is>
          <t>A 14548-2024</t>
        </is>
      </c>
      <c r="B229" s="1" t="n">
        <v>45394.66887731481</v>
      </c>
      <c r="C229" s="1" t="n">
        <v>46010</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18411-2021</t>
        </is>
      </c>
      <c r="B230" s="1" t="n">
        <v>44302</v>
      </c>
      <c r="C230" s="1" t="n">
        <v>46010</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47855-2024</t>
        </is>
      </c>
      <c r="B231" s="1" t="n">
        <v>45588.66457175926</v>
      </c>
      <c r="C231" s="1" t="n">
        <v>46010</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585-2024</t>
        </is>
      </c>
      <c r="B232" s="1" t="n">
        <v>45299.62576388889</v>
      </c>
      <c r="C232" s="1" t="n">
        <v>46010</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23252-2024</t>
        </is>
      </c>
      <c r="B233" s="1" t="n">
        <v>45453.36067129629</v>
      </c>
      <c r="C233" s="1" t="n">
        <v>46010</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56020-2024</t>
        </is>
      </c>
      <c r="B234" s="1" t="n">
        <v>45623.9525462963</v>
      </c>
      <c r="C234" s="1" t="n">
        <v>46010</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172-2022</t>
        </is>
      </c>
      <c r="B235" s="1" t="n">
        <v>44564.62598379629</v>
      </c>
      <c r="C235" s="1" t="n">
        <v>46010</v>
      </c>
      <c r="D235" t="inlineStr">
        <is>
          <t>KALMAR LÄN</t>
        </is>
      </c>
      <c r="E235" t="inlineStr">
        <is>
          <t>VIMMERBY</t>
        </is>
      </c>
      <c r="G235" t="n">
        <v>2.1</v>
      </c>
      <c r="H235" t="n">
        <v>0</v>
      </c>
      <c r="I235" t="n">
        <v>0</v>
      </c>
      <c r="J235" t="n">
        <v>0</v>
      </c>
      <c r="K235" t="n">
        <v>0</v>
      </c>
      <c r="L235" t="n">
        <v>0</v>
      </c>
      <c r="M235" t="n">
        <v>0</v>
      </c>
      <c r="N235" t="n">
        <v>0</v>
      </c>
      <c r="O235" t="n">
        <v>0</v>
      </c>
      <c r="P235" t="n">
        <v>0</v>
      </c>
      <c r="Q235" t="n">
        <v>0</v>
      </c>
      <c r="R235" s="2" t="inlineStr"/>
    </row>
    <row r="236" ht="15" customHeight="1">
      <c r="A236" t="inlineStr">
        <is>
          <t>A 39584-2024</t>
        </is>
      </c>
      <c r="B236" s="1" t="n">
        <v>45552.36759259259</v>
      </c>
      <c r="C236" s="1" t="n">
        <v>46010</v>
      </c>
      <c r="D236" t="inlineStr">
        <is>
          <t>KALMAR LÄN</t>
        </is>
      </c>
      <c r="E236" t="inlineStr">
        <is>
          <t>VIMMERBY</t>
        </is>
      </c>
      <c r="G236" t="n">
        <v>1.9</v>
      </c>
      <c r="H236" t="n">
        <v>0</v>
      </c>
      <c r="I236" t="n">
        <v>0</v>
      </c>
      <c r="J236" t="n">
        <v>0</v>
      </c>
      <c r="K236" t="n">
        <v>0</v>
      </c>
      <c r="L236" t="n">
        <v>0</v>
      </c>
      <c r="M236" t="n">
        <v>0</v>
      </c>
      <c r="N236" t="n">
        <v>0</v>
      </c>
      <c r="O236" t="n">
        <v>0</v>
      </c>
      <c r="P236" t="n">
        <v>0</v>
      </c>
      <c r="Q236" t="n">
        <v>0</v>
      </c>
      <c r="R236" s="2" t="inlineStr"/>
    </row>
    <row r="237" ht="15" customHeight="1">
      <c r="A237" t="inlineStr">
        <is>
          <t>A 15550-2023</t>
        </is>
      </c>
      <c r="B237" s="1" t="n">
        <v>45020</v>
      </c>
      <c r="C237" s="1" t="n">
        <v>46010</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51881-2024</t>
        </is>
      </c>
      <c r="B238" s="1" t="n">
        <v>45607.56773148148</v>
      </c>
      <c r="C238" s="1" t="n">
        <v>46010</v>
      </c>
      <c r="D238" t="inlineStr">
        <is>
          <t>KALMAR LÄN</t>
        </is>
      </c>
      <c r="E238" t="inlineStr">
        <is>
          <t>VIMMERBY</t>
        </is>
      </c>
      <c r="G238" t="n">
        <v>3.4</v>
      </c>
      <c r="H238" t="n">
        <v>0</v>
      </c>
      <c r="I238" t="n">
        <v>0</v>
      </c>
      <c r="J238" t="n">
        <v>0</v>
      </c>
      <c r="K238" t="n">
        <v>0</v>
      </c>
      <c r="L238" t="n">
        <v>0</v>
      </c>
      <c r="M238" t="n">
        <v>0</v>
      </c>
      <c r="N238" t="n">
        <v>0</v>
      </c>
      <c r="O238" t="n">
        <v>0</v>
      </c>
      <c r="P238" t="n">
        <v>0</v>
      </c>
      <c r="Q238" t="n">
        <v>0</v>
      </c>
      <c r="R238" s="2" t="inlineStr"/>
    </row>
    <row r="239" ht="15" customHeight="1">
      <c r="A239" t="inlineStr">
        <is>
          <t>A 11219-2023</t>
        </is>
      </c>
      <c r="B239" s="1" t="n">
        <v>44992.62498842592</v>
      </c>
      <c r="C239" s="1" t="n">
        <v>46010</v>
      </c>
      <c r="D239" t="inlineStr">
        <is>
          <t>KALMAR LÄN</t>
        </is>
      </c>
      <c r="E239" t="inlineStr">
        <is>
          <t>VIMMERBY</t>
        </is>
      </c>
      <c r="G239" t="n">
        <v>2.5</v>
      </c>
      <c r="H239" t="n">
        <v>0</v>
      </c>
      <c r="I239" t="n">
        <v>0</v>
      </c>
      <c r="J239" t="n">
        <v>0</v>
      </c>
      <c r="K239" t="n">
        <v>0</v>
      </c>
      <c r="L239" t="n">
        <v>0</v>
      </c>
      <c r="M239" t="n">
        <v>0</v>
      </c>
      <c r="N239" t="n">
        <v>0</v>
      </c>
      <c r="O239" t="n">
        <v>0</v>
      </c>
      <c r="P239" t="n">
        <v>0</v>
      </c>
      <c r="Q239" t="n">
        <v>0</v>
      </c>
      <c r="R239" s="2" t="inlineStr"/>
    </row>
    <row r="240" ht="15" customHeight="1">
      <c r="A240" t="inlineStr">
        <is>
          <t>A 2596-2025</t>
        </is>
      </c>
      <c r="B240" s="1" t="n">
        <v>45674.71810185185</v>
      </c>
      <c r="C240" s="1" t="n">
        <v>46010</v>
      </c>
      <c r="D240" t="inlineStr">
        <is>
          <t>KALMAR LÄN</t>
        </is>
      </c>
      <c r="E240" t="inlineStr">
        <is>
          <t>VIMMERBY</t>
        </is>
      </c>
      <c r="G240" t="n">
        <v>9</v>
      </c>
      <c r="H240" t="n">
        <v>0</v>
      </c>
      <c r="I240" t="n">
        <v>0</v>
      </c>
      <c r="J240" t="n">
        <v>0</v>
      </c>
      <c r="K240" t="n">
        <v>0</v>
      </c>
      <c r="L240" t="n">
        <v>0</v>
      </c>
      <c r="M240" t="n">
        <v>0</v>
      </c>
      <c r="N240" t="n">
        <v>0</v>
      </c>
      <c r="O240" t="n">
        <v>0</v>
      </c>
      <c r="P240" t="n">
        <v>0</v>
      </c>
      <c r="Q240" t="n">
        <v>0</v>
      </c>
      <c r="R240" s="2" t="inlineStr"/>
    </row>
    <row r="241" ht="15" customHeight="1">
      <c r="A241" t="inlineStr">
        <is>
          <t>A 16734-2023</t>
        </is>
      </c>
      <c r="B241" s="1" t="n">
        <v>45030.71012731481</v>
      </c>
      <c r="C241" s="1" t="n">
        <v>46010</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52324-2023</t>
        </is>
      </c>
      <c r="B242" s="1" t="n">
        <v>45224.64659722222</v>
      </c>
      <c r="C242" s="1" t="n">
        <v>46010</v>
      </c>
      <c r="D242" t="inlineStr">
        <is>
          <t>KALMAR LÄN</t>
        </is>
      </c>
      <c r="E242" t="inlineStr">
        <is>
          <t>VIMMERBY</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20129-2024</t>
        </is>
      </c>
      <c r="B243" s="1" t="n">
        <v>45434.55831018519</v>
      </c>
      <c r="C243" s="1" t="n">
        <v>46010</v>
      </c>
      <c r="D243" t="inlineStr">
        <is>
          <t>KALMAR LÄN</t>
        </is>
      </c>
      <c r="E243" t="inlineStr">
        <is>
          <t>VIMMERBY</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20137-2024</t>
        </is>
      </c>
      <c r="B244" s="1" t="n">
        <v>45434.56398148148</v>
      </c>
      <c r="C244" s="1" t="n">
        <v>46010</v>
      </c>
      <c r="D244" t="inlineStr">
        <is>
          <t>KALMAR LÄN</t>
        </is>
      </c>
      <c r="E244" t="inlineStr">
        <is>
          <t>VIMMERBY</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7456-2024</t>
        </is>
      </c>
      <c r="B245" s="1" t="n">
        <v>45345.83557870371</v>
      </c>
      <c r="C245" s="1" t="n">
        <v>46010</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17988-2025</t>
        </is>
      </c>
      <c r="B246" s="1" t="n">
        <v>45761.39600694444</v>
      </c>
      <c r="C246" s="1" t="n">
        <v>46010</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23341-2022</t>
        </is>
      </c>
      <c r="B247" s="1" t="n">
        <v>44720.53898148148</v>
      </c>
      <c r="C247" s="1" t="n">
        <v>46010</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37028-2024</t>
        </is>
      </c>
      <c r="B248" s="1" t="n">
        <v>45539.38744212963</v>
      </c>
      <c r="C248" s="1" t="n">
        <v>46010</v>
      </c>
      <c r="D248" t="inlineStr">
        <is>
          <t>KALMAR LÄN</t>
        </is>
      </c>
      <c r="E248" t="inlineStr">
        <is>
          <t>VIMMERBY</t>
        </is>
      </c>
      <c r="G248" t="n">
        <v>5.2</v>
      </c>
      <c r="H248" t="n">
        <v>0</v>
      </c>
      <c r="I248" t="n">
        <v>0</v>
      </c>
      <c r="J248" t="n">
        <v>0</v>
      </c>
      <c r="K248" t="n">
        <v>0</v>
      </c>
      <c r="L248" t="n">
        <v>0</v>
      </c>
      <c r="M248" t="n">
        <v>0</v>
      </c>
      <c r="N248" t="n">
        <v>0</v>
      </c>
      <c r="O248" t="n">
        <v>0</v>
      </c>
      <c r="P248" t="n">
        <v>0</v>
      </c>
      <c r="Q248" t="n">
        <v>0</v>
      </c>
      <c r="R248" s="2" t="inlineStr"/>
    </row>
    <row r="249" ht="15" customHeight="1">
      <c r="A249" t="inlineStr">
        <is>
          <t>A 6668-2023</t>
        </is>
      </c>
      <c r="B249" s="1" t="n">
        <v>44966</v>
      </c>
      <c r="C249" s="1" t="n">
        <v>46010</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29168-2024</t>
        </is>
      </c>
      <c r="B250" s="1" t="n">
        <v>45482.49870370371</v>
      </c>
      <c r="C250" s="1" t="n">
        <v>46010</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8086-2021</t>
        </is>
      </c>
      <c r="B251" s="1" t="n">
        <v>44243</v>
      </c>
      <c r="C251" s="1" t="n">
        <v>46010</v>
      </c>
      <c r="D251" t="inlineStr">
        <is>
          <t>KALMAR LÄN</t>
        </is>
      </c>
      <c r="E251" t="inlineStr">
        <is>
          <t>VIMMERBY</t>
        </is>
      </c>
      <c r="G251" t="n">
        <v>4.1</v>
      </c>
      <c r="H251" t="n">
        <v>0</v>
      </c>
      <c r="I251" t="n">
        <v>0</v>
      </c>
      <c r="J251" t="n">
        <v>0</v>
      </c>
      <c r="K251" t="n">
        <v>0</v>
      </c>
      <c r="L251" t="n">
        <v>0</v>
      </c>
      <c r="M251" t="n">
        <v>0</v>
      </c>
      <c r="N251" t="n">
        <v>0</v>
      </c>
      <c r="O251" t="n">
        <v>0</v>
      </c>
      <c r="P251" t="n">
        <v>0</v>
      </c>
      <c r="Q251" t="n">
        <v>0</v>
      </c>
      <c r="R251" s="2" t="inlineStr"/>
    </row>
    <row r="252" ht="15" customHeight="1">
      <c r="A252" t="inlineStr">
        <is>
          <t>A 55236-2023</t>
        </is>
      </c>
      <c r="B252" s="1" t="n">
        <v>45237.63225694445</v>
      </c>
      <c r="C252" s="1" t="n">
        <v>46010</v>
      </c>
      <c r="D252" t="inlineStr">
        <is>
          <t>KALMAR LÄN</t>
        </is>
      </c>
      <c r="E252" t="inlineStr">
        <is>
          <t>VIMMERBY</t>
        </is>
      </c>
      <c r="G252" t="n">
        <v>1.1</v>
      </c>
      <c r="H252" t="n">
        <v>0</v>
      </c>
      <c r="I252" t="n">
        <v>0</v>
      </c>
      <c r="J252" t="n">
        <v>0</v>
      </c>
      <c r="K252" t="n">
        <v>0</v>
      </c>
      <c r="L252" t="n">
        <v>0</v>
      </c>
      <c r="M252" t="n">
        <v>0</v>
      </c>
      <c r="N252" t="n">
        <v>0</v>
      </c>
      <c r="O252" t="n">
        <v>0</v>
      </c>
      <c r="P252" t="n">
        <v>0</v>
      </c>
      <c r="Q252" t="n">
        <v>0</v>
      </c>
      <c r="R252" s="2" t="inlineStr"/>
    </row>
    <row r="253" ht="15" customHeight="1">
      <c r="A253" t="inlineStr">
        <is>
          <t>A 55245-2023</t>
        </is>
      </c>
      <c r="B253" s="1" t="n">
        <v>45237.64408564815</v>
      </c>
      <c r="C253" s="1" t="n">
        <v>46010</v>
      </c>
      <c r="D253" t="inlineStr">
        <is>
          <t>KALMAR LÄN</t>
        </is>
      </c>
      <c r="E253" t="inlineStr">
        <is>
          <t>VIMMERBY</t>
        </is>
      </c>
      <c r="G253" t="n">
        <v>1.3</v>
      </c>
      <c r="H253" t="n">
        <v>0</v>
      </c>
      <c r="I253" t="n">
        <v>0</v>
      </c>
      <c r="J253" t="n">
        <v>0</v>
      </c>
      <c r="K253" t="n">
        <v>0</v>
      </c>
      <c r="L253" t="n">
        <v>0</v>
      </c>
      <c r="M253" t="n">
        <v>0</v>
      </c>
      <c r="N253" t="n">
        <v>0</v>
      </c>
      <c r="O253" t="n">
        <v>0</v>
      </c>
      <c r="P253" t="n">
        <v>0</v>
      </c>
      <c r="Q253" t="n">
        <v>0</v>
      </c>
      <c r="R253" s="2" t="inlineStr"/>
    </row>
    <row r="254" ht="15" customHeight="1">
      <c r="A254" t="inlineStr">
        <is>
          <t>A 36055-2024</t>
        </is>
      </c>
      <c r="B254" s="1" t="n">
        <v>45533.63056712963</v>
      </c>
      <c r="C254" s="1" t="n">
        <v>46010</v>
      </c>
      <c r="D254" t="inlineStr">
        <is>
          <t>KALMAR LÄN</t>
        </is>
      </c>
      <c r="E254" t="inlineStr">
        <is>
          <t>VIMMERBY</t>
        </is>
      </c>
      <c r="F254" t="inlineStr">
        <is>
          <t>Kommuner</t>
        </is>
      </c>
      <c r="G254" t="n">
        <v>1.9</v>
      </c>
      <c r="H254" t="n">
        <v>0</v>
      </c>
      <c r="I254" t="n">
        <v>0</v>
      </c>
      <c r="J254" t="n">
        <v>0</v>
      </c>
      <c r="K254" t="n">
        <v>0</v>
      </c>
      <c r="L254" t="n">
        <v>0</v>
      </c>
      <c r="M254" t="n">
        <v>0</v>
      </c>
      <c r="N254" t="n">
        <v>0</v>
      </c>
      <c r="O254" t="n">
        <v>0</v>
      </c>
      <c r="P254" t="n">
        <v>0</v>
      </c>
      <c r="Q254" t="n">
        <v>0</v>
      </c>
      <c r="R254" s="2" t="inlineStr"/>
    </row>
    <row r="255" ht="15" customHeight="1">
      <c r="A255" t="inlineStr">
        <is>
          <t>A 38604-2025</t>
        </is>
      </c>
      <c r="B255" s="1" t="n">
        <v>45884.50613425926</v>
      </c>
      <c r="C255" s="1" t="n">
        <v>46010</v>
      </c>
      <c r="D255" t="inlineStr">
        <is>
          <t>KALMAR LÄN</t>
        </is>
      </c>
      <c r="E255" t="inlineStr">
        <is>
          <t>VIMMERBY</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23394-2025</t>
        </is>
      </c>
      <c r="B256" s="1" t="n">
        <v>45791.89865740741</v>
      </c>
      <c r="C256" s="1" t="n">
        <v>46010</v>
      </c>
      <c r="D256" t="inlineStr">
        <is>
          <t>KALMAR LÄN</t>
        </is>
      </c>
      <c r="E256" t="inlineStr">
        <is>
          <t>VIMMERBY</t>
        </is>
      </c>
      <c r="G256" t="n">
        <v>3.1</v>
      </c>
      <c r="H256" t="n">
        <v>0</v>
      </c>
      <c r="I256" t="n">
        <v>0</v>
      </c>
      <c r="J256" t="n">
        <v>0</v>
      </c>
      <c r="K256" t="n">
        <v>0</v>
      </c>
      <c r="L256" t="n">
        <v>0</v>
      </c>
      <c r="M256" t="n">
        <v>0</v>
      </c>
      <c r="N256" t="n">
        <v>0</v>
      </c>
      <c r="O256" t="n">
        <v>0</v>
      </c>
      <c r="P256" t="n">
        <v>0</v>
      </c>
      <c r="Q256" t="n">
        <v>0</v>
      </c>
      <c r="R256" s="2" t="inlineStr"/>
    </row>
    <row r="257" ht="15" customHeight="1">
      <c r="A257" t="inlineStr">
        <is>
          <t>A 27443-2023</t>
        </is>
      </c>
      <c r="B257" s="1" t="n">
        <v>45097.40524305555</v>
      </c>
      <c r="C257" s="1" t="n">
        <v>46010</v>
      </c>
      <c r="D257" t="inlineStr">
        <is>
          <t>KALMAR LÄN</t>
        </is>
      </c>
      <c r="E257" t="inlineStr">
        <is>
          <t>VIMMERBY</t>
        </is>
      </c>
      <c r="F257" t="inlineStr">
        <is>
          <t>Övriga Aktiebolag</t>
        </is>
      </c>
      <c r="G257" t="n">
        <v>2.3</v>
      </c>
      <c r="H257" t="n">
        <v>0</v>
      </c>
      <c r="I257" t="n">
        <v>0</v>
      </c>
      <c r="J257" t="n">
        <v>0</v>
      </c>
      <c r="K257" t="n">
        <v>0</v>
      </c>
      <c r="L257" t="n">
        <v>0</v>
      </c>
      <c r="M257" t="n">
        <v>0</v>
      </c>
      <c r="N257" t="n">
        <v>0</v>
      </c>
      <c r="O257" t="n">
        <v>0</v>
      </c>
      <c r="P257" t="n">
        <v>0</v>
      </c>
      <c r="Q257" t="n">
        <v>0</v>
      </c>
      <c r="R257" s="2" t="inlineStr"/>
    </row>
    <row r="258" ht="15" customHeight="1">
      <c r="A258" t="inlineStr">
        <is>
          <t>A 845-2023</t>
        </is>
      </c>
      <c r="B258" s="1" t="n">
        <v>44931</v>
      </c>
      <c r="C258" s="1" t="n">
        <v>46010</v>
      </c>
      <c r="D258" t="inlineStr">
        <is>
          <t>KALMAR LÄN</t>
        </is>
      </c>
      <c r="E258" t="inlineStr">
        <is>
          <t>VIMMERBY</t>
        </is>
      </c>
      <c r="F258" t="inlineStr">
        <is>
          <t>Övriga Aktiebolag</t>
        </is>
      </c>
      <c r="G258" t="n">
        <v>19</v>
      </c>
      <c r="H258" t="n">
        <v>0</v>
      </c>
      <c r="I258" t="n">
        <v>0</v>
      </c>
      <c r="J258" t="n">
        <v>0</v>
      </c>
      <c r="K258" t="n">
        <v>0</v>
      </c>
      <c r="L258" t="n">
        <v>0</v>
      </c>
      <c r="M258" t="n">
        <v>0</v>
      </c>
      <c r="N258" t="n">
        <v>0</v>
      </c>
      <c r="O258" t="n">
        <v>0</v>
      </c>
      <c r="P258" t="n">
        <v>0</v>
      </c>
      <c r="Q258" t="n">
        <v>0</v>
      </c>
      <c r="R258" s="2" t="inlineStr"/>
    </row>
    <row r="259" ht="15" customHeight="1">
      <c r="A259" t="inlineStr">
        <is>
          <t>A 29726-2025</t>
        </is>
      </c>
      <c r="B259" s="1" t="n">
        <v>45825.57805555555</v>
      </c>
      <c r="C259" s="1" t="n">
        <v>46010</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6321-2023</t>
        </is>
      </c>
      <c r="B260" s="1" t="n">
        <v>44965.4815162037</v>
      </c>
      <c r="C260" s="1" t="n">
        <v>46010</v>
      </c>
      <c r="D260" t="inlineStr">
        <is>
          <t>KALMAR LÄN</t>
        </is>
      </c>
      <c r="E260" t="inlineStr">
        <is>
          <t>VIMMERBY</t>
        </is>
      </c>
      <c r="G260" t="n">
        <v>1.8</v>
      </c>
      <c r="H260" t="n">
        <v>0</v>
      </c>
      <c r="I260" t="n">
        <v>0</v>
      </c>
      <c r="J260" t="n">
        <v>0</v>
      </c>
      <c r="K260" t="n">
        <v>0</v>
      </c>
      <c r="L260" t="n">
        <v>0</v>
      </c>
      <c r="M260" t="n">
        <v>0</v>
      </c>
      <c r="N260" t="n">
        <v>0</v>
      </c>
      <c r="O260" t="n">
        <v>0</v>
      </c>
      <c r="P260" t="n">
        <v>0</v>
      </c>
      <c r="Q260" t="n">
        <v>0</v>
      </c>
      <c r="R260" s="2" t="inlineStr"/>
    </row>
    <row r="261" ht="15" customHeight="1">
      <c r="A261" t="inlineStr">
        <is>
          <t>A 4624-2024</t>
        </is>
      </c>
      <c r="B261" s="1" t="n">
        <v>45328.38755787037</v>
      </c>
      <c r="C261" s="1" t="n">
        <v>46010</v>
      </c>
      <c r="D261" t="inlineStr">
        <is>
          <t>KALMAR LÄN</t>
        </is>
      </c>
      <c r="E261" t="inlineStr">
        <is>
          <t>VIMMERBY</t>
        </is>
      </c>
      <c r="G261" t="n">
        <v>1.7</v>
      </c>
      <c r="H261" t="n">
        <v>0</v>
      </c>
      <c r="I261" t="n">
        <v>0</v>
      </c>
      <c r="J261" t="n">
        <v>0</v>
      </c>
      <c r="K261" t="n">
        <v>0</v>
      </c>
      <c r="L261" t="n">
        <v>0</v>
      </c>
      <c r="M261" t="n">
        <v>0</v>
      </c>
      <c r="N261" t="n">
        <v>0</v>
      </c>
      <c r="O261" t="n">
        <v>0</v>
      </c>
      <c r="P261" t="n">
        <v>0</v>
      </c>
      <c r="Q261" t="n">
        <v>0</v>
      </c>
      <c r="R261" s="2" t="inlineStr"/>
    </row>
    <row r="262" ht="15" customHeight="1">
      <c r="A262" t="inlineStr">
        <is>
          <t>A 39801-2025</t>
        </is>
      </c>
      <c r="B262" s="1" t="n">
        <v>45891.50216435185</v>
      </c>
      <c r="C262" s="1" t="n">
        <v>46010</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23984-2025</t>
        </is>
      </c>
      <c r="B263" s="1" t="n">
        <v>45796</v>
      </c>
      <c r="C263" s="1" t="n">
        <v>46010</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40730-2024</t>
        </is>
      </c>
      <c r="B264" s="1" t="n">
        <v>45558.44914351852</v>
      </c>
      <c r="C264" s="1" t="n">
        <v>46010</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39807-2025</t>
        </is>
      </c>
      <c r="B265" s="1" t="n">
        <v>45891.50986111111</v>
      </c>
      <c r="C265" s="1" t="n">
        <v>46010</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2157-2024</t>
        </is>
      </c>
      <c r="B266" s="1" t="n">
        <v>45309.59487268519</v>
      </c>
      <c r="C266" s="1" t="n">
        <v>46010</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39736-2025</t>
        </is>
      </c>
      <c r="B267" s="1" t="n">
        <v>45891</v>
      </c>
      <c r="C267" s="1" t="n">
        <v>46010</v>
      </c>
      <c r="D267" t="inlineStr">
        <is>
          <t>KALMAR LÄN</t>
        </is>
      </c>
      <c r="E267" t="inlineStr">
        <is>
          <t>VIMMERBY</t>
        </is>
      </c>
      <c r="G267" t="n">
        <v>12.8</v>
      </c>
      <c r="H267" t="n">
        <v>0</v>
      </c>
      <c r="I267" t="n">
        <v>0</v>
      </c>
      <c r="J267" t="n">
        <v>0</v>
      </c>
      <c r="K267" t="n">
        <v>0</v>
      </c>
      <c r="L267" t="n">
        <v>0</v>
      </c>
      <c r="M267" t="n">
        <v>0</v>
      </c>
      <c r="N267" t="n">
        <v>0</v>
      </c>
      <c r="O267" t="n">
        <v>0</v>
      </c>
      <c r="P267" t="n">
        <v>0</v>
      </c>
      <c r="Q267" t="n">
        <v>0</v>
      </c>
      <c r="R267" s="2" t="inlineStr"/>
    </row>
    <row r="268" ht="15" customHeight="1">
      <c r="A268" t="inlineStr">
        <is>
          <t>A 49461-2022</t>
        </is>
      </c>
      <c r="B268" s="1" t="n">
        <v>44861</v>
      </c>
      <c r="C268" s="1" t="n">
        <v>46010</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694-2024</t>
        </is>
      </c>
      <c r="B269" s="1" t="n">
        <v>45300.3794212963</v>
      </c>
      <c r="C269" s="1" t="n">
        <v>46010</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59598-2023</t>
        </is>
      </c>
      <c r="B270" s="1" t="n">
        <v>45254.62489583333</v>
      </c>
      <c r="C270" s="1" t="n">
        <v>46010</v>
      </c>
      <c r="D270" t="inlineStr">
        <is>
          <t>KALMAR LÄN</t>
        </is>
      </c>
      <c r="E270" t="inlineStr">
        <is>
          <t>VIMMERBY</t>
        </is>
      </c>
      <c r="F270" t="inlineStr">
        <is>
          <t>Övriga Aktiebolag</t>
        </is>
      </c>
      <c r="G270" t="n">
        <v>4</v>
      </c>
      <c r="H270" t="n">
        <v>0</v>
      </c>
      <c r="I270" t="n">
        <v>0</v>
      </c>
      <c r="J270" t="n">
        <v>0</v>
      </c>
      <c r="K270" t="n">
        <v>0</v>
      </c>
      <c r="L270" t="n">
        <v>0</v>
      </c>
      <c r="M270" t="n">
        <v>0</v>
      </c>
      <c r="N270" t="n">
        <v>0</v>
      </c>
      <c r="O270" t="n">
        <v>0</v>
      </c>
      <c r="P270" t="n">
        <v>0</v>
      </c>
      <c r="Q270" t="n">
        <v>0</v>
      </c>
      <c r="R270" s="2" t="inlineStr"/>
    </row>
    <row r="271" ht="15" customHeight="1">
      <c r="A271" t="inlineStr">
        <is>
          <t>A 7944-2024</t>
        </is>
      </c>
      <c r="B271" s="1" t="n">
        <v>45350.53306712963</v>
      </c>
      <c r="C271" s="1" t="n">
        <v>46010</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35082-2024</t>
        </is>
      </c>
      <c r="B272" s="1" t="n">
        <v>45527.68784722222</v>
      </c>
      <c r="C272" s="1" t="n">
        <v>46010</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21496-2023</t>
        </is>
      </c>
      <c r="B273" s="1" t="n">
        <v>45063.49936342592</v>
      </c>
      <c r="C273" s="1" t="n">
        <v>46010</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51278-2024</t>
        </is>
      </c>
      <c r="B274" s="1" t="n">
        <v>45603.74959490741</v>
      </c>
      <c r="C274" s="1" t="n">
        <v>46010</v>
      </c>
      <c r="D274" t="inlineStr">
        <is>
          <t>KALMAR LÄN</t>
        </is>
      </c>
      <c r="E274" t="inlineStr">
        <is>
          <t>VIMMERBY</t>
        </is>
      </c>
      <c r="G274" t="n">
        <v>3.4</v>
      </c>
      <c r="H274" t="n">
        <v>0</v>
      </c>
      <c r="I274" t="n">
        <v>0</v>
      </c>
      <c r="J274" t="n">
        <v>0</v>
      </c>
      <c r="K274" t="n">
        <v>0</v>
      </c>
      <c r="L274" t="n">
        <v>0</v>
      </c>
      <c r="M274" t="n">
        <v>0</v>
      </c>
      <c r="N274" t="n">
        <v>0</v>
      </c>
      <c r="O274" t="n">
        <v>0</v>
      </c>
      <c r="P274" t="n">
        <v>0</v>
      </c>
      <c r="Q274" t="n">
        <v>0</v>
      </c>
      <c r="R274" s="2" t="inlineStr"/>
    </row>
    <row r="275" ht="15" customHeight="1">
      <c r="A275" t="inlineStr">
        <is>
          <t>A 9456-2025</t>
        </is>
      </c>
      <c r="B275" s="1" t="n">
        <v>45715.44159722222</v>
      </c>
      <c r="C275" s="1" t="n">
        <v>46010</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39803-2025</t>
        </is>
      </c>
      <c r="B276" s="1" t="n">
        <v>45891.50525462963</v>
      </c>
      <c r="C276" s="1" t="n">
        <v>46010</v>
      </c>
      <c r="D276" t="inlineStr">
        <is>
          <t>KALMAR LÄN</t>
        </is>
      </c>
      <c r="E276" t="inlineStr">
        <is>
          <t>VIMMERBY</t>
        </is>
      </c>
      <c r="G276" t="n">
        <v>0.5</v>
      </c>
      <c r="H276" t="n">
        <v>0</v>
      </c>
      <c r="I276" t="n">
        <v>0</v>
      </c>
      <c r="J276" t="n">
        <v>0</v>
      </c>
      <c r="K276" t="n">
        <v>0</v>
      </c>
      <c r="L276" t="n">
        <v>0</v>
      </c>
      <c r="M276" t="n">
        <v>0</v>
      </c>
      <c r="N276" t="n">
        <v>0</v>
      </c>
      <c r="O276" t="n">
        <v>0</v>
      </c>
      <c r="P276" t="n">
        <v>0</v>
      </c>
      <c r="Q276" t="n">
        <v>0</v>
      </c>
      <c r="R276" s="2" t="inlineStr"/>
    </row>
    <row r="277" ht="15" customHeight="1">
      <c r="A277" t="inlineStr">
        <is>
          <t>A 11111-2023</t>
        </is>
      </c>
      <c r="B277" s="1" t="n">
        <v>44992.4255787037</v>
      </c>
      <c r="C277" s="1" t="n">
        <v>46010</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39889-2025</t>
        </is>
      </c>
      <c r="B278" s="1" t="n">
        <v>45891</v>
      </c>
      <c r="C278" s="1" t="n">
        <v>46010</v>
      </c>
      <c r="D278" t="inlineStr">
        <is>
          <t>KALMAR LÄN</t>
        </is>
      </c>
      <c r="E278" t="inlineStr">
        <is>
          <t>VIMMERBY</t>
        </is>
      </c>
      <c r="G278" t="n">
        <v>4.5</v>
      </c>
      <c r="H278" t="n">
        <v>0</v>
      </c>
      <c r="I278" t="n">
        <v>0</v>
      </c>
      <c r="J278" t="n">
        <v>0</v>
      </c>
      <c r="K278" t="n">
        <v>0</v>
      </c>
      <c r="L278" t="n">
        <v>0</v>
      </c>
      <c r="M278" t="n">
        <v>0</v>
      </c>
      <c r="N278" t="n">
        <v>0</v>
      </c>
      <c r="O278" t="n">
        <v>0</v>
      </c>
      <c r="P278" t="n">
        <v>0</v>
      </c>
      <c r="Q278" t="n">
        <v>0</v>
      </c>
      <c r="R278" s="2" t="inlineStr"/>
    </row>
    <row r="279" ht="15" customHeight="1">
      <c r="A279" t="inlineStr">
        <is>
          <t>A 29783-2024</t>
        </is>
      </c>
      <c r="B279" s="1" t="n">
        <v>45485.45778935185</v>
      </c>
      <c r="C279" s="1" t="n">
        <v>46010</v>
      </c>
      <c r="D279" t="inlineStr">
        <is>
          <t>KALMAR LÄN</t>
        </is>
      </c>
      <c r="E279" t="inlineStr">
        <is>
          <t>VIMMERBY</t>
        </is>
      </c>
      <c r="G279" t="n">
        <v>3.1</v>
      </c>
      <c r="H279" t="n">
        <v>0</v>
      </c>
      <c r="I279" t="n">
        <v>0</v>
      </c>
      <c r="J279" t="n">
        <v>0</v>
      </c>
      <c r="K279" t="n">
        <v>0</v>
      </c>
      <c r="L279" t="n">
        <v>0</v>
      </c>
      <c r="M279" t="n">
        <v>0</v>
      </c>
      <c r="N279" t="n">
        <v>0</v>
      </c>
      <c r="O279" t="n">
        <v>0</v>
      </c>
      <c r="P279" t="n">
        <v>0</v>
      </c>
      <c r="Q279" t="n">
        <v>0</v>
      </c>
      <c r="R279" s="2" t="inlineStr"/>
    </row>
    <row r="280" ht="15" customHeight="1">
      <c r="A280" t="inlineStr">
        <is>
          <t>A 44582-2024</t>
        </is>
      </c>
      <c r="B280" s="1" t="n">
        <v>45574.49298611111</v>
      </c>
      <c r="C280" s="1" t="n">
        <v>46010</v>
      </c>
      <c r="D280" t="inlineStr">
        <is>
          <t>KALMAR LÄN</t>
        </is>
      </c>
      <c r="E280" t="inlineStr">
        <is>
          <t>VIMMERBY</t>
        </is>
      </c>
      <c r="G280" t="n">
        <v>1.1</v>
      </c>
      <c r="H280" t="n">
        <v>0</v>
      </c>
      <c r="I280" t="n">
        <v>0</v>
      </c>
      <c r="J280" t="n">
        <v>0</v>
      </c>
      <c r="K280" t="n">
        <v>0</v>
      </c>
      <c r="L280" t="n">
        <v>0</v>
      </c>
      <c r="M280" t="n">
        <v>0</v>
      </c>
      <c r="N280" t="n">
        <v>0</v>
      </c>
      <c r="O280" t="n">
        <v>0</v>
      </c>
      <c r="P280" t="n">
        <v>0</v>
      </c>
      <c r="Q280" t="n">
        <v>0</v>
      </c>
      <c r="R280" s="2" t="inlineStr"/>
    </row>
    <row r="281" ht="15" customHeight="1">
      <c r="A281" t="inlineStr">
        <is>
          <t>A 35198-2023</t>
        </is>
      </c>
      <c r="B281" s="1" t="n">
        <v>45145</v>
      </c>
      <c r="C281" s="1" t="n">
        <v>46010</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43853-2023</t>
        </is>
      </c>
      <c r="B282" s="1" t="n">
        <v>45187.60813657408</v>
      </c>
      <c r="C282" s="1" t="n">
        <v>46010</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15494-2024</t>
        </is>
      </c>
      <c r="B283" s="1" t="n">
        <v>45401.53033564815</v>
      </c>
      <c r="C283" s="1" t="n">
        <v>46010</v>
      </c>
      <c r="D283" t="inlineStr">
        <is>
          <t>KALMAR LÄN</t>
        </is>
      </c>
      <c r="E283" t="inlineStr">
        <is>
          <t>VIMMERBY</t>
        </is>
      </c>
      <c r="G283" t="n">
        <v>3.2</v>
      </c>
      <c r="H283" t="n">
        <v>0</v>
      </c>
      <c r="I283" t="n">
        <v>0</v>
      </c>
      <c r="J283" t="n">
        <v>0</v>
      </c>
      <c r="K283" t="n">
        <v>0</v>
      </c>
      <c r="L283" t="n">
        <v>0</v>
      </c>
      <c r="M283" t="n">
        <v>0</v>
      </c>
      <c r="N283" t="n">
        <v>0</v>
      </c>
      <c r="O283" t="n">
        <v>0</v>
      </c>
      <c r="P283" t="n">
        <v>0</v>
      </c>
      <c r="Q283" t="n">
        <v>0</v>
      </c>
      <c r="R283" s="2" t="inlineStr"/>
    </row>
    <row r="284" ht="15" customHeight="1">
      <c r="A284" t="inlineStr">
        <is>
          <t>A 9511-2023</t>
        </is>
      </c>
      <c r="B284" s="1" t="n">
        <v>44981.64725694444</v>
      </c>
      <c r="C284" s="1" t="n">
        <v>46010</v>
      </c>
      <c r="D284" t="inlineStr">
        <is>
          <t>KALMAR LÄN</t>
        </is>
      </c>
      <c r="E284" t="inlineStr">
        <is>
          <t>VIMMERBY</t>
        </is>
      </c>
      <c r="G284" t="n">
        <v>3.5</v>
      </c>
      <c r="H284" t="n">
        <v>0</v>
      </c>
      <c r="I284" t="n">
        <v>0</v>
      </c>
      <c r="J284" t="n">
        <v>0</v>
      </c>
      <c r="K284" t="n">
        <v>0</v>
      </c>
      <c r="L284" t="n">
        <v>0</v>
      </c>
      <c r="M284" t="n">
        <v>0</v>
      </c>
      <c r="N284" t="n">
        <v>0</v>
      </c>
      <c r="O284" t="n">
        <v>0</v>
      </c>
      <c r="P284" t="n">
        <v>0</v>
      </c>
      <c r="Q284" t="n">
        <v>0</v>
      </c>
      <c r="R284" s="2" t="inlineStr"/>
    </row>
    <row r="285" ht="15" customHeight="1">
      <c r="A285" t="inlineStr">
        <is>
          <t>A 38757-2023</t>
        </is>
      </c>
      <c r="B285" s="1" t="n">
        <v>45163.41376157408</v>
      </c>
      <c r="C285" s="1" t="n">
        <v>46010</v>
      </c>
      <c r="D285" t="inlineStr">
        <is>
          <t>KALMAR LÄN</t>
        </is>
      </c>
      <c r="E285" t="inlineStr">
        <is>
          <t>VIMMERBY</t>
        </is>
      </c>
      <c r="G285" t="n">
        <v>2.5</v>
      </c>
      <c r="H285" t="n">
        <v>0</v>
      </c>
      <c r="I285" t="n">
        <v>0</v>
      </c>
      <c r="J285" t="n">
        <v>0</v>
      </c>
      <c r="K285" t="n">
        <v>0</v>
      </c>
      <c r="L285" t="n">
        <v>0</v>
      </c>
      <c r="M285" t="n">
        <v>0</v>
      </c>
      <c r="N285" t="n">
        <v>0</v>
      </c>
      <c r="O285" t="n">
        <v>0</v>
      </c>
      <c r="P285" t="n">
        <v>0</v>
      </c>
      <c r="Q285" t="n">
        <v>0</v>
      </c>
      <c r="R285" s="2" t="inlineStr"/>
    </row>
    <row r="286" ht="15" customHeight="1">
      <c r="A286" t="inlineStr">
        <is>
          <t>A 29973-2023</t>
        </is>
      </c>
      <c r="B286" s="1" t="n">
        <v>45108.703125</v>
      </c>
      <c r="C286" s="1" t="n">
        <v>46010</v>
      </c>
      <c r="D286" t="inlineStr">
        <is>
          <t>KALMAR LÄN</t>
        </is>
      </c>
      <c r="E286" t="inlineStr">
        <is>
          <t>VIMMERBY</t>
        </is>
      </c>
      <c r="G286" t="n">
        <v>4</v>
      </c>
      <c r="H286" t="n">
        <v>0</v>
      </c>
      <c r="I286" t="n">
        <v>0</v>
      </c>
      <c r="J286" t="n">
        <v>0</v>
      </c>
      <c r="K286" t="n">
        <v>0</v>
      </c>
      <c r="L286" t="n">
        <v>0</v>
      </c>
      <c r="M286" t="n">
        <v>0</v>
      </c>
      <c r="N286" t="n">
        <v>0</v>
      </c>
      <c r="O286" t="n">
        <v>0</v>
      </c>
      <c r="P286" t="n">
        <v>0</v>
      </c>
      <c r="Q286" t="n">
        <v>0</v>
      </c>
      <c r="R286" s="2" t="inlineStr"/>
    </row>
    <row r="287" ht="15" customHeight="1">
      <c r="A287" t="inlineStr">
        <is>
          <t>A 64143-2021</t>
        </is>
      </c>
      <c r="B287" s="1" t="n">
        <v>44510.52157407408</v>
      </c>
      <c r="C287" s="1" t="n">
        <v>46010</v>
      </c>
      <c r="D287" t="inlineStr">
        <is>
          <t>KALMAR LÄN</t>
        </is>
      </c>
      <c r="E287" t="inlineStr">
        <is>
          <t>VIMMERBY</t>
        </is>
      </c>
      <c r="G287" t="n">
        <v>1.6</v>
      </c>
      <c r="H287" t="n">
        <v>0</v>
      </c>
      <c r="I287" t="n">
        <v>0</v>
      </c>
      <c r="J287" t="n">
        <v>0</v>
      </c>
      <c r="K287" t="n">
        <v>0</v>
      </c>
      <c r="L287" t="n">
        <v>0</v>
      </c>
      <c r="M287" t="n">
        <v>0</v>
      </c>
      <c r="N287" t="n">
        <v>0</v>
      </c>
      <c r="O287" t="n">
        <v>0</v>
      </c>
      <c r="P287" t="n">
        <v>0</v>
      </c>
      <c r="Q287" t="n">
        <v>0</v>
      </c>
      <c r="R287" s="2" t="inlineStr"/>
    </row>
    <row r="288" ht="15" customHeight="1">
      <c r="A288" t="inlineStr">
        <is>
          <t>A 58724-2024</t>
        </is>
      </c>
      <c r="B288" s="1" t="n">
        <v>45635.66409722222</v>
      </c>
      <c r="C288" s="1" t="n">
        <v>46010</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73938-2021</t>
        </is>
      </c>
      <c r="B289" s="1" t="n">
        <v>44553</v>
      </c>
      <c r="C289" s="1" t="n">
        <v>46010</v>
      </c>
      <c r="D289" t="inlineStr">
        <is>
          <t>KALMAR LÄN</t>
        </is>
      </c>
      <c r="E289" t="inlineStr">
        <is>
          <t>VIMMERBY</t>
        </is>
      </c>
      <c r="G289" t="n">
        <v>3.2</v>
      </c>
      <c r="H289" t="n">
        <v>0</v>
      </c>
      <c r="I289" t="n">
        <v>0</v>
      </c>
      <c r="J289" t="n">
        <v>0</v>
      </c>
      <c r="K289" t="n">
        <v>0</v>
      </c>
      <c r="L289" t="n">
        <v>0</v>
      </c>
      <c r="M289" t="n">
        <v>0</v>
      </c>
      <c r="N289" t="n">
        <v>0</v>
      </c>
      <c r="O289" t="n">
        <v>0</v>
      </c>
      <c r="P289" t="n">
        <v>0</v>
      </c>
      <c r="Q289" t="n">
        <v>0</v>
      </c>
      <c r="R289" s="2" t="inlineStr"/>
    </row>
    <row r="290" ht="15" customHeight="1">
      <c r="A290" t="inlineStr">
        <is>
          <t>A 40925-2025</t>
        </is>
      </c>
      <c r="B290" s="1" t="n">
        <v>45897.64208333333</v>
      </c>
      <c r="C290" s="1" t="n">
        <v>46010</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25792-2025</t>
        </is>
      </c>
      <c r="B291" s="1" t="n">
        <v>45804.39141203704</v>
      </c>
      <c r="C291" s="1" t="n">
        <v>46010</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26039-2025</t>
        </is>
      </c>
      <c r="B292" s="1" t="n">
        <v>45804.6953587963</v>
      </c>
      <c r="C292" s="1" t="n">
        <v>46010</v>
      </c>
      <c r="D292" t="inlineStr">
        <is>
          <t>KALMAR LÄN</t>
        </is>
      </c>
      <c r="E292" t="inlineStr">
        <is>
          <t>VIMMERBY</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40076-2021</t>
        </is>
      </c>
      <c r="B293" s="1" t="n">
        <v>44418</v>
      </c>
      <c r="C293" s="1" t="n">
        <v>46010</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40921-2025</t>
        </is>
      </c>
      <c r="B294" s="1" t="n">
        <v>45897.63520833333</v>
      </c>
      <c r="C294" s="1" t="n">
        <v>46010</v>
      </c>
      <c r="D294" t="inlineStr">
        <is>
          <t>KALMAR LÄN</t>
        </is>
      </c>
      <c r="E294" t="inlineStr">
        <is>
          <t>VIMMERBY</t>
        </is>
      </c>
      <c r="G294" t="n">
        <v>4.2</v>
      </c>
      <c r="H294" t="n">
        <v>0</v>
      </c>
      <c r="I294" t="n">
        <v>0</v>
      </c>
      <c r="J294" t="n">
        <v>0</v>
      </c>
      <c r="K294" t="n">
        <v>0</v>
      </c>
      <c r="L294" t="n">
        <v>0</v>
      </c>
      <c r="M294" t="n">
        <v>0</v>
      </c>
      <c r="N294" t="n">
        <v>0</v>
      </c>
      <c r="O294" t="n">
        <v>0</v>
      </c>
      <c r="P294" t="n">
        <v>0</v>
      </c>
      <c r="Q294" t="n">
        <v>0</v>
      </c>
      <c r="R294" s="2" t="inlineStr"/>
    </row>
    <row r="295" ht="15" customHeight="1">
      <c r="A295" t="inlineStr">
        <is>
          <t>A 26046-2025</t>
        </is>
      </c>
      <c r="B295" s="1" t="n">
        <v>45804.708125</v>
      </c>
      <c r="C295" s="1" t="n">
        <v>46010</v>
      </c>
      <c r="D295" t="inlineStr">
        <is>
          <t>KALMAR LÄN</t>
        </is>
      </c>
      <c r="E295" t="inlineStr">
        <is>
          <t>VIMMERBY</t>
        </is>
      </c>
      <c r="F295" t="inlineStr">
        <is>
          <t>Sveaskog</t>
        </is>
      </c>
      <c r="G295" t="n">
        <v>5.1</v>
      </c>
      <c r="H295" t="n">
        <v>0</v>
      </c>
      <c r="I295" t="n">
        <v>0</v>
      </c>
      <c r="J295" t="n">
        <v>0</v>
      </c>
      <c r="K295" t="n">
        <v>0</v>
      </c>
      <c r="L295" t="n">
        <v>0</v>
      </c>
      <c r="M295" t="n">
        <v>0</v>
      </c>
      <c r="N295" t="n">
        <v>0</v>
      </c>
      <c r="O295" t="n">
        <v>0</v>
      </c>
      <c r="P295" t="n">
        <v>0</v>
      </c>
      <c r="Q295" t="n">
        <v>0</v>
      </c>
      <c r="R295" s="2" t="inlineStr"/>
    </row>
    <row r="296" ht="15" customHeight="1">
      <c r="A296" t="inlineStr">
        <is>
          <t>A 26124-2025</t>
        </is>
      </c>
      <c r="B296" s="1" t="n">
        <v>45805.39247685186</v>
      </c>
      <c r="C296" s="1" t="n">
        <v>46010</v>
      </c>
      <c r="D296" t="inlineStr">
        <is>
          <t>KALMAR LÄN</t>
        </is>
      </c>
      <c r="E296" t="inlineStr">
        <is>
          <t>VIMMERBY</t>
        </is>
      </c>
      <c r="G296" t="n">
        <v>6.6</v>
      </c>
      <c r="H296" t="n">
        <v>0</v>
      </c>
      <c r="I296" t="n">
        <v>0</v>
      </c>
      <c r="J296" t="n">
        <v>0</v>
      </c>
      <c r="K296" t="n">
        <v>0</v>
      </c>
      <c r="L296" t="n">
        <v>0</v>
      </c>
      <c r="M296" t="n">
        <v>0</v>
      </c>
      <c r="N296" t="n">
        <v>0</v>
      </c>
      <c r="O296" t="n">
        <v>0</v>
      </c>
      <c r="P296" t="n">
        <v>0</v>
      </c>
      <c r="Q296" t="n">
        <v>0</v>
      </c>
      <c r="R296" s="2" t="inlineStr"/>
    </row>
    <row r="297" ht="15" customHeight="1">
      <c r="A297" t="inlineStr">
        <is>
          <t>A 50648-2023</t>
        </is>
      </c>
      <c r="B297" s="1" t="n">
        <v>45217.47834490741</v>
      </c>
      <c r="C297" s="1" t="n">
        <v>46010</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529-2022</t>
        </is>
      </c>
      <c r="B298" s="1" t="n">
        <v>44566</v>
      </c>
      <c r="C298" s="1" t="n">
        <v>46010</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58318-2021</t>
        </is>
      </c>
      <c r="B299" s="1" t="n">
        <v>44488.35878472222</v>
      </c>
      <c r="C299" s="1" t="n">
        <v>46010</v>
      </c>
      <c r="D299" t="inlineStr">
        <is>
          <t>KALMAR LÄN</t>
        </is>
      </c>
      <c r="E299" t="inlineStr">
        <is>
          <t>VIMMERBY</t>
        </is>
      </c>
      <c r="G299" t="n">
        <v>4</v>
      </c>
      <c r="H299" t="n">
        <v>0</v>
      </c>
      <c r="I299" t="n">
        <v>0</v>
      </c>
      <c r="J299" t="n">
        <v>0</v>
      </c>
      <c r="K299" t="n">
        <v>0</v>
      </c>
      <c r="L299" t="n">
        <v>0</v>
      </c>
      <c r="M299" t="n">
        <v>0</v>
      </c>
      <c r="N299" t="n">
        <v>0</v>
      </c>
      <c r="O299" t="n">
        <v>0</v>
      </c>
      <c r="P299" t="n">
        <v>0</v>
      </c>
      <c r="Q299" t="n">
        <v>0</v>
      </c>
      <c r="R299" s="2" t="inlineStr"/>
    </row>
    <row r="300" ht="15" customHeight="1">
      <c r="A300" t="inlineStr">
        <is>
          <t>A 89-2023</t>
        </is>
      </c>
      <c r="B300" s="1" t="n">
        <v>44918</v>
      </c>
      <c r="C300" s="1" t="n">
        <v>46010</v>
      </c>
      <c r="D300" t="inlineStr">
        <is>
          <t>KALMAR LÄN</t>
        </is>
      </c>
      <c r="E300" t="inlineStr">
        <is>
          <t>VIMMERBY</t>
        </is>
      </c>
      <c r="G300" t="n">
        <v>16.1</v>
      </c>
      <c r="H300" t="n">
        <v>0</v>
      </c>
      <c r="I300" t="n">
        <v>0</v>
      </c>
      <c r="J300" t="n">
        <v>0</v>
      </c>
      <c r="K300" t="n">
        <v>0</v>
      </c>
      <c r="L300" t="n">
        <v>0</v>
      </c>
      <c r="M300" t="n">
        <v>0</v>
      </c>
      <c r="N300" t="n">
        <v>0</v>
      </c>
      <c r="O300" t="n">
        <v>0</v>
      </c>
      <c r="P300" t="n">
        <v>0</v>
      </c>
      <c r="Q300" t="n">
        <v>0</v>
      </c>
      <c r="R300" s="2" t="inlineStr"/>
    </row>
    <row r="301" ht="15" customHeight="1">
      <c r="A301" t="inlineStr">
        <is>
          <t>A 23088-2024</t>
        </is>
      </c>
      <c r="B301" s="1" t="n">
        <v>45450.51092592593</v>
      </c>
      <c r="C301" s="1" t="n">
        <v>46010</v>
      </c>
      <c r="D301" t="inlineStr">
        <is>
          <t>KALMAR LÄN</t>
        </is>
      </c>
      <c r="E301" t="inlineStr">
        <is>
          <t>VIMMERBY</t>
        </is>
      </c>
      <c r="G301" t="n">
        <v>1.9</v>
      </c>
      <c r="H301" t="n">
        <v>0</v>
      </c>
      <c r="I301" t="n">
        <v>0</v>
      </c>
      <c r="J301" t="n">
        <v>0</v>
      </c>
      <c r="K301" t="n">
        <v>0</v>
      </c>
      <c r="L301" t="n">
        <v>0</v>
      </c>
      <c r="M301" t="n">
        <v>0</v>
      </c>
      <c r="N301" t="n">
        <v>0</v>
      </c>
      <c r="O301" t="n">
        <v>0</v>
      </c>
      <c r="P301" t="n">
        <v>0</v>
      </c>
      <c r="Q301" t="n">
        <v>0</v>
      </c>
      <c r="R301" s="2" t="inlineStr"/>
    </row>
    <row r="302" ht="15" customHeight="1">
      <c r="A302" t="inlineStr">
        <is>
          <t>A 26207-2025</t>
        </is>
      </c>
      <c r="B302" s="1" t="n">
        <v>45805.52983796296</v>
      </c>
      <c r="C302" s="1" t="n">
        <v>46010</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25830-2025</t>
        </is>
      </c>
      <c r="B303" s="1" t="n">
        <v>45804.44519675926</v>
      </c>
      <c r="C303" s="1" t="n">
        <v>46010</v>
      </c>
      <c r="D303" t="inlineStr">
        <is>
          <t>KALMAR LÄN</t>
        </is>
      </c>
      <c r="E303" t="inlineStr">
        <is>
          <t>VIMMERBY</t>
        </is>
      </c>
      <c r="G303" t="n">
        <v>4.9</v>
      </c>
      <c r="H303" t="n">
        <v>0</v>
      </c>
      <c r="I303" t="n">
        <v>0</v>
      </c>
      <c r="J303" t="n">
        <v>0</v>
      </c>
      <c r="K303" t="n">
        <v>0</v>
      </c>
      <c r="L303" t="n">
        <v>0</v>
      </c>
      <c r="M303" t="n">
        <v>0</v>
      </c>
      <c r="N303" t="n">
        <v>0</v>
      </c>
      <c r="O303" t="n">
        <v>0</v>
      </c>
      <c r="P303" t="n">
        <v>0</v>
      </c>
      <c r="Q303" t="n">
        <v>0</v>
      </c>
      <c r="R303" s="2" t="inlineStr"/>
    </row>
    <row r="304" ht="15" customHeight="1">
      <c r="A304" t="inlineStr">
        <is>
          <t>A 38851-2023</t>
        </is>
      </c>
      <c r="B304" s="1" t="n">
        <v>45163</v>
      </c>
      <c r="C304" s="1" t="n">
        <v>46010</v>
      </c>
      <c r="D304" t="inlineStr">
        <is>
          <t>KALMAR LÄN</t>
        </is>
      </c>
      <c r="E304" t="inlineStr">
        <is>
          <t>VIMMERBY</t>
        </is>
      </c>
      <c r="G304" t="n">
        <v>4.3</v>
      </c>
      <c r="H304" t="n">
        <v>0</v>
      </c>
      <c r="I304" t="n">
        <v>0</v>
      </c>
      <c r="J304" t="n">
        <v>0</v>
      </c>
      <c r="K304" t="n">
        <v>0</v>
      </c>
      <c r="L304" t="n">
        <v>0</v>
      </c>
      <c r="M304" t="n">
        <v>0</v>
      </c>
      <c r="N304" t="n">
        <v>0</v>
      </c>
      <c r="O304" t="n">
        <v>0</v>
      </c>
      <c r="P304" t="n">
        <v>0</v>
      </c>
      <c r="Q304" t="n">
        <v>0</v>
      </c>
      <c r="R304" s="2" t="inlineStr"/>
    </row>
    <row r="305" ht="15" customHeight="1">
      <c r="A305" t="inlineStr">
        <is>
          <t>A 10759-2023</t>
        </is>
      </c>
      <c r="B305" s="1" t="n">
        <v>44988</v>
      </c>
      <c r="C305" s="1" t="n">
        <v>46010</v>
      </c>
      <c r="D305" t="inlineStr">
        <is>
          <t>KALMAR LÄN</t>
        </is>
      </c>
      <c r="E305" t="inlineStr">
        <is>
          <t>VIMMERBY</t>
        </is>
      </c>
      <c r="G305" t="n">
        <v>0.4</v>
      </c>
      <c r="H305" t="n">
        <v>0</v>
      </c>
      <c r="I305" t="n">
        <v>0</v>
      </c>
      <c r="J305" t="n">
        <v>0</v>
      </c>
      <c r="K305" t="n">
        <v>0</v>
      </c>
      <c r="L305" t="n">
        <v>0</v>
      </c>
      <c r="M305" t="n">
        <v>0</v>
      </c>
      <c r="N305" t="n">
        <v>0</v>
      </c>
      <c r="O305" t="n">
        <v>0</v>
      </c>
      <c r="P305" t="n">
        <v>0</v>
      </c>
      <c r="Q305" t="n">
        <v>0</v>
      </c>
      <c r="R305" s="2" t="inlineStr"/>
    </row>
    <row r="306" ht="15" customHeight="1">
      <c r="A306" t="inlineStr">
        <is>
          <t>A 26254-2025</t>
        </is>
      </c>
      <c r="B306" s="1" t="n">
        <v>45805</v>
      </c>
      <c r="C306" s="1" t="n">
        <v>46010</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63583-2023</t>
        </is>
      </c>
      <c r="B307" s="1" t="n">
        <v>45275.41833333333</v>
      </c>
      <c r="C307" s="1" t="n">
        <v>46010</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40079-2023</t>
        </is>
      </c>
      <c r="B308" s="1" t="n">
        <v>45168.89298611111</v>
      </c>
      <c r="C308" s="1" t="n">
        <v>46010</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43774-2023</t>
        </is>
      </c>
      <c r="B309" s="1" t="n">
        <v>45187</v>
      </c>
      <c r="C309" s="1" t="n">
        <v>46010</v>
      </c>
      <c r="D309" t="inlineStr">
        <is>
          <t>KALMAR LÄN</t>
        </is>
      </c>
      <c r="E309" t="inlineStr">
        <is>
          <t>VIMMERBY</t>
        </is>
      </c>
      <c r="G309" t="n">
        <v>3.4</v>
      </c>
      <c r="H309" t="n">
        <v>0</v>
      </c>
      <c r="I309" t="n">
        <v>0</v>
      </c>
      <c r="J309" t="n">
        <v>0</v>
      </c>
      <c r="K309" t="n">
        <v>0</v>
      </c>
      <c r="L309" t="n">
        <v>0</v>
      </c>
      <c r="M309" t="n">
        <v>0</v>
      </c>
      <c r="N309" t="n">
        <v>0</v>
      </c>
      <c r="O309" t="n">
        <v>0</v>
      </c>
      <c r="P309" t="n">
        <v>0</v>
      </c>
      <c r="Q309" t="n">
        <v>0</v>
      </c>
      <c r="R309" s="2" t="inlineStr"/>
    </row>
    <row r="310" ht="15" customHeight="1">
      <c r="A310" t="inlineStr">
        <is>
          <t>A 29616-2022</t>
        </is>
      </c>
      <c r="B310" s="1" t="n">
        <v>44754</v>
      </c>
      <c r="C310" s="1" t="n">
        <v>46010</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39578-2024</t>
        </is>
      </c>
      <c r="B311" s="1" t="n">
        <v>45552.36484953704</v>
      </c>
      <c r="C311" s="1" t="n">
        <v>46010</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24707-2024</t>
        </is>
      </c>
      <c r="B312" s="1" t="n">
        <v>45460.62172453704</v>
      </c>
      <c r="C312" s="1" t="n">
        <v>46010</v>
      </c>
      <c r="D312" t="inlineStr">
        <is>
          <t>KALMAR LÄN</t>
        </is>
      </c>
      <c r="E312" t="inlineStr">
        <is>
          <t>VIMMERBY</t>
        </is>
      </c>
      <c r="G312" t="n">
        <v>1.7</v>
      </c>
      <c r="H312" t="n">
        <v>0</v>
      </c>
      <c r="I312" t="n">
        <v>0</v>
      </c>
      <c r="J312" t="n">
        <v>0</v>
      </c>
      <c r="K312" t="n">
        <v>0</v>
      </c>
      <c r="L312" t="n">
        <v>0</v>
      </c>
      <c r="M312" t="n">
        <v>0</v>
      </c>
      <c r="N312" t="n">
        <v>0</v>
      </c>
      <c r="O312" t="n">
        <v>0</v>
      </c>
      <c r="P312" t="n">
        <v>0</v>
      </c>
      <c r="Q312" t="n">
        <v>0</v>
      </c>
      <c r="R312" s="2" t="inlineStr"/>
    </row>
    <row r="313" ht="15" customHeight="1">
      <c r="A313" t="inlineStr">
        <is>
          <t>A 41224-2025</t>
        </is>
      </c>
      <c r="B313" s="1" t="n">
        <v>45898.58861111111</v>
      </c>
      <c r="C313" s="1" t="n">
        <v>46010</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31056-2022</t>
        </is>
      </c>
      <c r="B314" s="1" t="n">
        <v>44769.45805555556</v>
      </c>
      <c r="C314" s="1" t="n">
        <v>46010</v>
      </c>
      <c r="D314" t="inlineStr">
        <is>
          <t>KALMAR LÄN</t>
        </is>
      </c>
      <c r="E314" t="inlineStr">
        <is>
          <t>VIMMERBY</t>
        </is>
      </c>
      <c r="G314" t="n">
        <v>2</v>
      </c>
      <c r="H314" t="n">
        <v>0</v>
      </c>
      <c r="I314" t="n">
        <v>0</v>
      </c>
      <c r="J314" t="n">
        <v>0</v>
      </c>
      <c r="K314" t="n">
        <v>0</v>
      </c>
      <c r="L314" t="n">
        <v>0</v>
      </c>
      <c r="M314" t="n">
        <v>0</v>
      </c>
      <c r="N314" t="n">
        <v>0</v>
      </c>
      <c r="O314" t="n">
        <v>0</v>
      </c>
      <c r="P314" t="n">
        <v>0</v>
      </c>
      <c r="Q314" t="n">
        <v>0</v>
      </c>
      <c r="R314" s="2" t="inlineStr"/>
    </row>
    <row r="315" ht="15" customHeight="1">
      <c r="A315" t="inlineStr">
        <is>
          <t>A 33383-2023</t>
        </is>
      </c>
      <c r="B315" s="1" t="n">
        <v>45128.58414351852</v>
      </c>
      <c r="C315" s="1" t="n">
        <v>46010</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40828-2023</t>
        </is>
      </c>
      <c r="B316" s="1" t="n">
        <v>45171.96248842592</v>
      </c>
      <c r="C316" s="1" t="n">
        <v>46010</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41591-2025</t>
        </is>
      </c>
      <c r="B317" s="1" t="n">
        <v>45901.6327662037</v>
      </c>
      <c r="C317" s="1" t="n">
        <v>46010</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40971-2025</t>
        </is>
      </c>
      <c r="B318" s="1" t="n">
        <v>45897.88836805556</v>
      </c>
      <c r="C318" s="1" t="n">
        <v>46010</v>
      </c>
      <c r="D318" t="inlineStr">
        <is>
          <t>KALMAR LÄN</t>
        </is>
      </c>
      <c r="E318" t="inlineStr">
        <is>
          <t>VIMMERBY</t>
        </is>
      </c>
      <c r="G318" t="n">
        <v>1.5</v>
      </c>
      <c r="H318" t="n">
        <v>0</v>
      </c>
      <c r="I318" t="n">
        <v>0</v>
      </c>
      <c r="J318" t="n">
        <v>0</v>
      </c>
      <c r="K318" t="n">
        <v>0</v>
      </c>
      <c r="L318" t="n">
        <v>0</v>
      </c>
      <c r="M318" t="n">
        <v>0</v>
      </c>
      <c r="N318" t="n">
        <v>0</v>
      </c>
      <c r="O318" t="n">
        <v>0</v>
      </c>
      <c r="P318" t="n">
        <v>0</v>
      </c>
      <c r="Q318" t="n">
        <v>0</v>
      </c>
      <c r="R318" s="2" t="inlineStr"/>
    </row>
    <row r="319" ht="15" customHeight="1">
      <c r="A319" t="inlineStr">
        <is>
          <t>A 41589-2025</t>
        </is>
      </c>
      <c r="B319" s="1" t="n">
        <v>45901.63219907408</v>
      </c>
      <c r="C319" s="1" t="n">
        <v>46010</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61861-2024</t>
        </is>
      </c>
      <c r="B320" s="1" t="n">
        <v>45650.37370370371</v>
      </c>
      <c r="C320" s="1" t="n">
        <v>46010</v>
      </c>
      <c r="D320" t="inlineStr">
        <is>
          <t>KALMAR LÄN</t>
        </is>
      </c>
      <c r="E320" t="inlineStr">
        <is>
          <t>VIMMERBY</t>
        </is>
      </c>
      <c r="G320" t="n">
        <v>1</v>
      </c>
      <c r="H320" t="n">
        <v>0</v>
      </c>
      <c r="I320" t="n">
        <v>0</v>
      </c>
      <c r="J320" t="n">
        <v>0</v>
      </c>
      <c r="K320" t="n">
        <v>0</v>
      </c>
      <c r="L320" t="n">
        <v>0</v>
      </c>
      <c r="M320" t="n">
        <v>0</v>
      </c>
      <c r="N320" t="n">
        <v>0</v>
      </c>
      <c r="O320" t="n">
        <v>0</v>
      </c>
      <c r="P320" t="n">
        <v>0</v>
      </c>
      <c r="Q320" t="n">
        <v>0</v>
      </c>
      <c r="R320" s="2" t="inlineStr"/>
    </row>
    <row r="321" ht="15" customHeight="1">
      <c r="A321" t="inlineStr">
        <is>
          <t>A 40970-2025</t>
        </is>
      </c>
      <c r="B321" s="1" t="n">
        <v>45897.88706018519</v>
      </c>
      <c r="C321" s="1" t="n">
        <v>46010</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40973-2025</t>
        </is>
      </c>
      <c r="B322" s="1" t="n">
        <v>45897.89737268518</v>
      </c>
      <c r="C322" s="1" t="n">
        <v>46010</v>
      </c>
      <c r="D322" t="inlineStr">
        <is>
          <t>KALMAR LÄN</t>
        </is>
      </c>
      <c r="E322" t="inlineStr">
        <is>
          <t>VIMMERBY</t>
        </is>
      </c>
      <c r="G322" t="n">
        <v>1.8</v>
      </c>
      <c r="H322" t="n">
        <v>0</v>
      </c>
      <c r="I322" t="n">
        <v>0</v>
      </c>
      <c r="J322" t="n">
        <v>0</v>
      </c>
      <c r="K322" t="n">
        <v>0</v>
      </c>
      <c r="L322" t="n">
        <v>0</v>
      </c>
      <c r="M322" t="n">
        <v>0</v>
      </c>
      <c r="N322" t="n">
        <v>0</v>
      </c>
      <c r="O322" t="n">
        <v>0</v>
      </c>
      <c r="P322" t="n">
        <v>0</v>
      </c>
      <c r="Q322" t="n">
        <v>0</v>
      </c>
      <c r="R322" s="2" t="inlineStr"/>
    </row>
    <row r="323" ht="15" customHeight="1">
      <c r="A323" t="inlineStr">
        <is>
          <t>A 8650-2022</t>
        </is>
      </c>
      <c r="B323" s="1" t="n">
        <v>44613</v>
      </c>
      <c r="C323" s="1" t="n">
        <v>46010</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33340-2023</t>
        </is>
      </c>
      <c r="B324" s="1" t="n">
        <v>45128.37305555555</v>
      </c>
      <c r="C324" s="1" t="n">
        <v>46010</v>
      </c>
      <c r="D324" t="inlineStr">
        <is>
          <t>KALMAR LÄN</t>
        </is>
      </c>
      <c r="E324" t="inlineStr">
        <is>
          <t>VIMMERBY</t>
        </is>
      </c>
      <c r="G324" t="n">
        <v>1.5</v>
      </c>
      <c r="H324" t="n">
        <v>0</v>
      </c>
      <c r="I324" t="n">
        <v>0</v>
      </c>
      <c r="J324" t="n">
        <v>0</v>
      </c>
      <c r="K324" t="n">
        <v>0</v>
      </c>
      <c r="L324" t="n">
        <v>0</v>
      </c>
      <c r="M324" t="n">
        <v>0</v>
      </c>
      <c r="N324" t="n">
        <v>0</v>
      </c>
      <c r="O324" t="n">
        <v>0</v>
      </c>
      <c r="P324" t="n">
        <v>0</v>
      </c>
      <c r="Q324" t="n">
        <v>0</v>
      </c>
      <c r="R324" s="2" t="inlineStr"/>
    </row>
    <row r="325" ht="15" customHeight="1">
      <c r="A325" t="inlineStr">
        <is>
          <t>A 44423-2023</t>
        </is>
      </c>
      <c r="B325" s="1" t="n">
        <v>45189</v>
      </c>
      <c r="C325" s="1" t="n">
        <v>46010</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34090-2025</t>
        </is>
      </c>
      <c r="B326" s="1" t="n">
        <v>45845</v>
      </c>
      <c r="C326" s="1" t="n">
        <v>46010</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37323-2024</t>
        </is>
      </c>
      <c r="B327" s="1" t="n">
        <v>45540.50098379629</v>
      </c>
      <c r="C327" s="1" t="n">
        <v>46010</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18501-2024</t>
        </is>
      </c>
      <c r="B328" s="1" t="n">
        <v>45425.57538194444</v>
      </c>
      <c r="C328" s="1" t="n">
        <v>46010</v>
      </c>
      <c r="D328" t="inlineStr">
        <is>
          <t>KALMAR LÄN</t>
        </is>
      </c>
      <c r="E328" t="inlineStr">
        <is>
          <t>VIMMERBY</t>
        </is>
      </c>
      <c r="G328" t="n">
        <v>2</v>
      </c>
      <c r="H328" t="n">
        <v>0</v>
      </c>
      <c r="I328" t="n">
        <v>0</v>
      </c>
      <c r="J328" t="n">
        <v>0</v>
      </c>
      <c r="K328" t="n">
        <v>0</v>
      </c>
      <c r="L328" t="n">
        <v>0</v>
      </c>
      <c r="M328" t="n">
        <v>0</v>
      </c>
      <c r="N328" t="n">
        <v>0</v>
      </c>
      <c r="O328" t="n">
        <v>0</v>
      </c>
      <c r="P328" t="n">
        <v>0</v>
      </c>
      <c r="Q328" t="n">
        <v>0</v>
      </c>
      <c r="R328" s="2" t="inlineStr"/>
    </row>
    <row r="329" ht="15" customHeight="1">
      <c r="A329" t="inlineStr">
        <is>
          <t>A 28286-2025</t>
        </is>
      </c>
      <c r="B329" s="1" t="n">
        <v>45818.58993055556</v>
      </c>
      <c r="C329" s="1" t="n">
        <v>46010</v>
      </c>
      <c r="D329" t="inlineStr">
        <is>
          <t>KALMAR LÄN</t>
        </is>
      </c>
      <c r="E329" t="inlineStr">
        <is>
          <t>VIMMERBY</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28282-2025</t>
        </is>
      </c>
      <c r="B330" s="1" t="n">
        <v>45818.58769675926</v>
      </c>
      <c r="C330" s="1" t="n">
        <v>46010</v>
      </c>
      <c r="D330" t="inlineStr">
        <is>
          <t>KALMAR LÄN</t>
        </is>
      </c>
      <c r="E330" t="inlineStr">
        <is>
          <t>VIMMERBY</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28294-2025</t>
        </is>
      </c>
      <c r="B331" s="1" t="n">
        <v>45818.595625</v>
      </c>
      <c r="C331" s="1" t="n">
        <v>46010</v>
      </c>
      <c r="D331" t="inlineStr">
        <is>
          <t>KALMAR LÄN</t>
        </is>
      </c>
      <c r="E331" t="inlineStr">
        <is>
          <t>VIMMERBY</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28290-2025</t>
        </is>
      </c>
      <c r="B332" s="1" t="n">
        <v>45818.59261574074</v>
      </c>
      <c r="C332" s="1" t="n">
        <v>46010</v>
      </c>
      <c r="D332" t="inlineStr">
        <is>
          <t>KALMAR LÄN</t>
        </is>
      </c>
      <c r="E332" t="inlineStr">
        <is>
          <t>VIMMERBY</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27758-2024</t>
        </is>
      </c>
      <c r="B333" s="1" t="n">
        <v>45475.48303240741</v>
      </c>
      <c r="C333" s="1" t="n">
        <v>46010</v>
      </c>
      <c r="D333" t="inlineStr">
        <is>
          <t>KALMAR LÄN</t>
        </is>
      </c>
      <c r="E333" t="inlineStr">
        <is>
          <t>VIMMERBY</t>
        </is>
      </c>
      <c r="G333" t="n">
        <v>2.6</v>
      </c>
      <c r="H333" t="n">
        <v>0</v>
      </c>
      <c r="I333" t="n">
        <v>0</v>
      </c>
      <c r="J333" t="n">
        <v>0</v>
      </c>
      <c r="K333" t="n">
        <v>0</v>
      </c>
      <c r="L333" t="n">
        <v>0</v>
      </c>
      <c r="M333" t="n">
        <v>0</v>
      </c>
      <c r="N333" t="n">
        <v>0</v>
      </c>
      <c r="O333" t="n">
        <v>0</v>
      </c>
      <c r="P333" t="n">
        <v>0</v>
      </c>
      <c r="Q333" t="n">
        <v>0</v>
      </c>
      <c r="R333" s="2" t="inlineStr"/>
    </row>
    <row r="334" ht="15" customHeight="1">
      <c r="A334" t="inlineStr">
        <is>
          <t>A 13307-2025</t>
        </is>
      </c>
      <c r="B334" s="1" t="n">
        <v>45735.58024305556</v>
      </c>
      <c r="C334" s="1" t="n">
        <v>46010</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41735-2025</t>
        </is>
      </c>
      <c r="B335" s="1" t="n">
        <v>45902.47164351852</v>
      </c>
      <c r="C335" s="1" t="n">
        <v>46010</v>
      </c>
      <c r="D335" t="inlineStr">
        <is>
          <t>KALMAR LÄN</t>
        </is>
      </c>
      <c r="E335" t="inlineStr">
        <is>
          <t>VIMMERBY</t>
        </is>
      </c>
      <c r="G335" t="n">
        <v>3</v>
      </c>
      <c r="H335" t="n">
        <v>0</v>
      </c>
      <c r="I335" t="n">
        <v>0</v>
      </c>
      <c r="J335" t="n">
        <v>0</v>
      </c>
      <c r="K335" t="n">
        <v>0</v>
      </c>
      <c r="L335" t="n">
        <v>0</v>
      </c>
      <c r="M335" t="n">
        <v>0</v>
      </c>
      <c r="N335" t="n">
        <v>0</v>
      </c>
      <c r="O335" t="n">
        <v>0</v>
      </c>
      <c r="P335" t="n">
        <v>0</v>
      </c>
      <c r="Q335" t="n">
        <v>0</v>
      </c>
      <c r="R335" s="2" t="inlineStr"/>
    </row>
    <row r="336" ht="15" customHeight="1">
      <c r="A336" t="inlineStr">
        <is>
          <t>A 28280-2025</t>
        </is>
      </c>
      <c r="B336" s="1" t="n">
        <v>45818.5862037037</v>
      </c>
      <c r="C336" s="1" t="n">
        <v>46010</v>
      </c>
      <c r="D336" t="inlineStr">
        <is>
          <t>KALMAR LÄN</t>
        </is>
      </c>
      <c r="E336" t="inlineStr">
        <is>
          <t>VIMMERBY</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55716-2023</t>
        </is>
      </c>
      <c r="B337" s="1" t="n">
        <v>45232</v>
      </c>
      <c r="C337" s="1" t="n">
        <v>46010</v>
      </c>
      <c r="D337" t="inlineStr">
        <is>
          <t>KALMAR LÄN</t>
        </is>
      </c>
      <c r="E337" t="inlineStr">
        <is>
          <t>VIMMERBY</t>
        </is>
      </c>
      <c r="G337" t="n">
        <v>2.3</v>
      </c>
      <c r="H337" t="n">
        <v>0</v>
      </c>
      <c r="I337" t="n">
        <v>0</v>
      </c>
      <c r="J337" t="n">
        <v>0</v>
      </c>
      <c r="K337" t="n">
        <v>0</v>
      </c>
      <c r="L337" t="n">
        <v>0</v>
      </c>
      <c r="M337" t="n">
        <v>0</v>
      </c>
      <c r="N337" t="n">
        <v>0</v>
      </c>
      <c r="O337" t="n">
        <v>0</v>
      </c>
      <c r="P337" t="n">
        <v>0</v>
      </c>
      <c r="Q337" t="n">
        <v>0</v>
      </c>
      <c r="R337" s="2" t="inlineStr"/>
    </row>
    <row r="338" ht="15" customHeight="1">
      <c r="A338" t="inlineStr">
        <is>
          <t>A 28620-2025</t>
        </is>
      </c>
      <c r="B338" s="1" t="n">
        <v>45819.61060185185</v>
      </c>
      <c r="C338" s="1" t="n">
        <v>46010</v>
      </c>
      <c r="D338" t="inlineStr">
        <is>
          <t>KALMAR LÄN</t>
        </is>
      </c>
      <c r="E338" t="inlineStr">
        <is>
          <t>VIMMERBY</t>
        </is>
      </c>
      <c r="G338" t="n">
        <v>5.6</v>
      </c>
      <c r="H338" t="n">
        <v>0</v>
      </c>
      <c r="I338" t="n">
        <v>0</v>
      </c>
      <c r="J338" t="n">
        <v>0</v>
      </c>
      <c r="K338" t="n">
        <v>0</v>
      </c>
      <c r="L338" t="n">
        <v>0</v>
      </c>
      <c r="M338" t="n">
        <v>0</v>
      </c>
      <c r="N338" t="n">
        <v>0</v>
      </c>
      <c r="O338" t="n">
        <v>0</v>
      </c>
      <c r="P338" t="n">
        <v>0</v>
      </c>
      <c r="Q338" t="n">
        <v>0</v>
      </c>
      <c r="R338" s="2" t="inlineStr"/>
    </row>
    <row r="339" ht="15" customHeight="1">
      <c r="A339" t="inlineStr">
        <is>
          <t>A 18329-2023</t>
        </is>
      </c>
      <c r="B339" s="1" t="n">
        <v>45041.63380787037</v>
      </c>
      <c r="C339" s="1" t="n">
        <v>46010</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28712-2025</t>
        </is>
      </c>
      <c r="B340" s="1" t="n">
        <v>45820.33708333333</v>
      </c>
      <c r="C340" s="1" t="n">
        <v>46010</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28714-2025</t>
        </is>
      </c>
      <c r="B341" s="1" t="n">
        <v>45820.34128472222</v>
      </c>
      <c r="C341" s="1" t="n">
        <v>46010</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28713-2025</t>
        </is>
      </c>
      <c r="B342" s="1" t="n">
        <v>45820.33930555556</v>
      </c>
      <c r="C342" s="1" t="n">
        <v>46010</v>
      </c>
      <c r="D342" t="inlineStr">
        <is>
          <t>KALMAR LÄN</t>
        </is>
      </c>
      <c r="E342" t="inlineStr">
        <is>
          <t>VIMMERBY</t>
        </is>
      </c>
      <c r="G342" t="n">
        <v>2.3</v>
      </c>
      <c r="H342" t="n">
        <v>0</v>
      </c>
      <c r="I342" t="n">
        <v>0</v>
      </c>
      <c r="J342" t="n">
        <v>0</v>
      </c>
      <c r="K342" t="n">
        <v>0</v>
      </c>
      <c r="L342" t="n">
        <v>0</v>
      </c>
      <c r="M342" t="n">
        <v>0</v>
      </c>
      <c r="N342" t="n">
        <v>0</v>
      </c>
      <c r="O342" t="n">
        <v>0</v>
      </c>
      <c r="P342" t="n">
        <v>0</v>
      </c>
      <c r="Q342" t="n">
        <v>0</v>
      </c>
      <c r="R342" s="2" t="inlineStr"/>
    </row>
    <row r="343" ht="15" customHeight="1">
      <c r="A343" t="inlineStr">
        <is>
          <t>A 13015-2023</t>
        </is>
      </c>
      <c r="B343" s="1" t="n">
        <v>45002</v>
      </c>
      <c r="C343" s="1" t="n">
        <v>46010</v>
      </c>
      <c r="D343" t="inlineStr">
        <is>
          <t>KALMAR LÄN</t>
        </is>
      </c>
      <c r="E343" t="inlineStr">
        <is>
          <t>VIMMERBY</t>
        </is>
      </c>
      <c r="G343" t="n">
        <v>3.2</v>
      </c>
      <c r="H343" t="n">
        <v>0</v>
      </c>
      <c r="I343" t="n">
        <v>0</v>
      </c>
      <c r="J343" t="n">
        <v>0</v>
      </c>
      <c r="K343" t="n">
        <v>0</v>
      </c>
      <c r="L343" t="n">
        <v>0</v>
      </c>
      <c r="M343" t="n">
        <v>0</v>
      </c>
      <c r="N343" t="n">
        <v>0</v>
      </c>
      <c r="O343" t="n">
        <v>0</v>
      </c>
      <c r="P343" t="n">
        <v>0</v>
      </c>
      <c r="Q343" t="n">
        <v>0</v>
      </c>
      <c r="R343" s="2" t="inlineStr"/>
    </row>
    <row r="344" ht="15" customHeight="1">
      <c r="A344" t="inlineStr">
        <is>
          <t>A 29737-2025</t>
        </is>
      </c>
      <c r="B344" s="1" t="n">
        <v>45825.58672453704</v>
      </c>
      <c r="C344" s="1" t="n">
        <v>46010</v>
      </c>
      <c r="D344" t="inlineStr">
        <is>
          <t>KALMAR LÄN</t>
        </is>
      </c>
      <c r="E344" t="inlineStr">
        <is>
          <t>VIMMERBY</t>
        </is>
      </c>
      <c r="G344" t="n">
        <v>1.2</v>
      </c>
      <c r="H344" t="n">
        <v>0</v>
      </c>
      <c r="I344" t="n">
        <v>0</v>
      </c>
      <c r="J344" t="n">
        <v>0</v>
      </c>
      <c r="K344" t="n">
        <v>0</v>
      </c>
      <c r="L344" t="n">
        <v>0</v>
      </c>
      <c r="M344" t="n">
        <v>0</v>
      </c>
      <c r="N344" t="n">
        <v>0</v>
      </c>
      <c r="O344" t="n">
        <v>0</v>
      </c>
      <c r="P344" t="n">
        <v>0</v>
      </c>
      <c r="Q344" t="n">
        <v>0</v>
      </c>
      <c r="R344" s="2" t="inlineStr"/>
    </row>
    <row r="345" ht="15" customHeight="1">
      <c r="A345" t="inlineStr">
        <is>
          <t>A 29186-2024</t>
        </is>
      </c>
      <c r="B345" s="1" t="n">
        <v>45482.54844907407</v>
      </c>
      <c r="C345" s="1" t="n">
        <v>46010</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50993-2022</t>
        </is>
      </c>
      <c r="B346" s="1" t="n">
        <v>44867</v>
      </c>
      <c r="C346" s="1" t="n">
        <v>46010</v>
      </c>
      <c r="D346" t="inlineStr">
        <is>
          <t>KALMAR LÄN</t>
        </is>
      </c>
      <c r="E346" t="inlineStr">
        <is>
          <t>VIMMERBY</t>
        </is>
      </c>
      <c r="G346" t="n">
        <v>1.7</v>
      </c>
      <c r="H346" t="n">
        <v>0</v>
      </c>
      <c r="I346" t="n">
        <v>0</v>
      </c>
      <c r="J346" t="n">
        <v>0</v>
      </c>
      <c r="K346" t="n">
        <v>0</v>
      </c>
      <c r="L346" t="n">
        <v>0</v>
      </c>
      <c r="M346" t="n">
        <v>0</v>
      </c>
      <c r="N346" t="n">
        <v>0</v>
      </c>
      <c r="O346" t="n">
        <v>0</v>
      </c>
      <c r="P346" t="n">
        <v>0</v>
      </c>
      <c r="Q346" t="n">
        <v>0</v>
      </c>
      <c r="R346" s="2" t="inlineStr"/>
    </row>
    <row r="347" ht="15" customHeight="1">
      <c r="A347" t="inlineStr">
        <is>
          <t>A 29727-2025</t>
        </is>
      </c>
      <c r="B347" s="1" t="n">
        <v>45825.5796875</v>
      </c>
      <c r="C347" s="1" t="n">
        <v>46010</v>
      </c>
      <c r="D347" t="inlineStr">
        <is>
          <t>KALMAR LÄN</t>
        </is>
      </c>
      <c r="E347" t="inlineStr">
        <is>
          <t>VIMMERBY</t>
        </is>
      </c>
      <c r="G347" t="n">
        <v>1.3</v>
      </c>
      <c r="H347" t="n">
        <v>0</v>
      </c>
      <c r="I347" t="n">
        <v>0</v>
      </c>
      <c r="J347" t="n">
        <v>0</v>
      </c>
      <c r="K347" t="n">
        <v>0</v>
      </c>
      <c r="L347" t="n">
        <v>0</v>
      </c>
      <c r="M347" t="n">
        <v>0</v>
      </c>
      <c r="N347" t="n">
        <v>0</v>
      </c>
      <c r="O347" t="n">
        <v>0</v>
      </c>
      <c r="P347" t="n">
        <v>0</v>
      </c>
      <c r="Q347" t="n">
        <v>0</v>
      </c>
      <c r="R347" s="2" t="inlineStr"/>
    </row>
    <row r="348" ht="15" customHeight="1">
      <c r="A348" t="inlineStr">
        <is>
          <t>A 54787-2023</t>
        </is>
      </c>
      <c r="B348" s="1" t="n">
        <v>45236</v>
      </c>
      <c r="C348" s="1" t="n">
        <v>46010</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32614-2023</t>
        </is>
      </c>
      <c r="B349" s="1" t="n">
        <v>45121</v>
      </c>
      <c r="C349" s="1" t="n">
        <v>46010</v>
      </c>
      <c r="D349" t="inlineStr">
        <is>
          <t>KALMAR LÄN</t>
        </is>
      </c>
      <c r="E349" t="inlineStr">
        <is>
          <t>VIMMERBY</t>
        </is>
      </c>
      <c r="G349" t="n">
        <v>0.6</v>
      </c>
      <c r="H349" t="n">
        <v>0</v>
      </c>
      <c r="I349" t="n">
        <v>0</v>
      </c>
      <c r="J349" t="n">
        <v>0</v>
      </c>
      <c r="K349" t="n">
        <v>0</v>
      </c>
      <c r="L349" t="n">
        <v>0</v>
      </c>
      <c r="M349" t="n">
        <v>0</v>
      </c>
      <c r="N349" t="n">
        <v>0</v>
      </c>
      <c r="O349" t="n">
        <v>0</v>
      </c>
      <c r="P349" t="n">
        <v>0</v>
      </c>
      <c r="Q349" t="n">
        <v>0</v>
      </c>
      <c r="R349" s="2" t="inlineStr"/>
    </row>
    <row r="350" ht="15" customHeight="1">
      <c r="A350" t="inlineStr">
        <is>
          <t>A 6850-2023</t>
        </is>
      </c>
      <c r="B350" s="1" t="n">
        <v>44967.44255787037</v>
      </c>
      <c r="C350" s="1" t="n">
        <v>46010</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58750-2022</t>
        </is>
      </c>
      <c r="B351" s="1" t="n">
        <v>44903.33363425926</v>
      </c>
      <c r="C351" s="1" t="n">
        <v>46010</v>
      </c>
      <c r="D351" t="inlineStr">
        <is>
          <t>KALMAR LÄN</t>
        </is>
      </c>
      <c r="E351" t="inlineStr">
        <is>
          <t>VIMMERBY</t>
        </is>
      </c>
      <c r="G351" t="n">
        <v>3.3</v>
      </c>
      <c r="H351" t="n">
        <v>0</v>
      </c>
      <c r="I351" t="n">
        <v>0</v>
      </c>
      <c r="J351" t="n">
        <v>0</v>
      </c>
      <c r="K351" t="n">
        <v>0</v>
      </c>
      <c r="L351" t="n">
        <v>0</v>
      </c>
      <c r="M351" t="n">
        <v>0</v>
      </c>
      <c r="N351" t="n">
        <v>0</v>
      </c>
      <c r="O351" t="n">
        <v>0</v>
      </c>
      <c r="P351" t="n">
        <v>0</v>
      </c>
      <c r="Q351" t="n">
        <v>0</v>
      </c>
      <c r="R351" s="2" t="inlineStr"/>
    </row>
    <row r="352" ht="15" customHeight="1">
      <c r="A352" t="inlineStr">
        <is>
          <t>A 41158-2023</t>
        </is>
      </c>
      <c r="B352" s="1" t="n">
        <v>45174.31395833333</v>
      </c>
      <c r="C352" s="1" t="n">
        <v>46010</v>
      </c>
      <c r="D352" t="inlineStr">
        <is>
          <t>KALMAR LÄN</t>
        </is>
      </c>
      <c r="E352" t="inlineStr">
        <is>
          <t>VIMMERBY</t>
        </is>
      </c>
      <c r="G352" t="n">
        <v>1.4</v>
      </c>
      <c r="H352" t="n">
        <v>0</v>
      </c>
      <c r="I352" t="n">
        <v>0</v>
      </c>
      <c r="J352" t="n">
        <v>0</v>
      </c>
      <c r="K352" t="n">
        <v>0</v>
      </c>
      <c r="L352" t="n">
        <v>0</v>
      </c>
      <c r="M352" t="n">
        <v>0</v>
      </c>
      <c r="N352" t="n">
        <v>0</v>
      </c>
      <c r="O352" t="n">
        <v>0</v>
      </c>
      <c r="P352" t="n">
        <v>0</v>
      </c>
      <c r="Q352" t="n">
        <v>0</v>
      </c>
      <c r="R352" s="2" t="inlineStr"/>
    </row>
    <row r="353" ht="15" customHeight="1">
      <c r="A353" t="inlineStr">
        <is>
          <t>A 42828-2025</t>
        </is>
      </c>
      <c r="B353" s="1" t="n">
        <v>45908.57716435185</v>
      </c>
      <c r="C353" s="1" t="n">
        <v>46010</v>
      </c>
      <c r="D353" t="inlineStr">
        <is>
          <t>KALMAR LÄN</t>
        </is>
      </c>
      <c r="E353" t="inlineStr">
        <is>
          <t>VIMMERBY</t>
        </is>
      </c>
      <c r="G353" t="n">
        <v>5.2</v>
      </c>
      <c r="H353" t="n">
        <v>0</v>
      </c>
      <c r="I353" t="n">
        <v>0</v>
      </c>
      <c r="J353" t="n">
        <v>0</v>
      </c>
      <c r="K353" t="n">
        <v>0</v>
      </c>
      <c r="L353" t="n">
        <v>0</v>
      </c>
      <c r="M353" t="n">
        <v>0</v>
      </c>
      <c r="N353" t="n">
        <v>0</v>
      </c>
      <c r="O353" t="n">
        <v>0</v>
      </c>
      <c r="P353" t="n">
        <v>0</v>
      </c>
      <c r="Q353" t="n">
        <v>0</v>
      </c>
      <c r="R353" s="2" t="inlineStr"/>
    </row>
    <row r="354" ht="15" customHeight="1">
      <c r="A354" t="inlineStr">
        <is>
          <t>A 2510-2023</t>
        </is>
      </c>
      <c r="B354" s="1" t="n">
        <v>44943.57309027778</v>
      </c>
      <c r="C354" s="1" t="n">
        <v>46010</v>
      </c>
      <c r="D354" t="inlineStr">
        <is>
          <t>KALMAR LÄN</t>
        </is>
      </c>
      <c r="E354" t="inlineStr">
        <is>
          <t>VIMMERBY</t>
        </is>
      </c>
      <c r="G354" t="n">
        <v>8.6</v>
      </c>
      <c r="H354" t="n">
        <v>0</v>
      </c>
      <c r="I354" t="n">
        <v>0</v>
      </c>
      <c r="J354" t="n">
        <v>0</v>
      </c>
      <c r="K354" t="n">
        <v>0</v>
      </c>
      <c r="L354" t="n">
        <v>0</v>
      </c>
      <c r="M354" t="n">
        <v>0</v>
      </c>
      <c r="N354" t="n">
        <v>0</v>
      </c>
      <c r="O354" t="n">
        <v>0</v>
      </c>
      <c r="P354" t="n">
        <v>0</v>
      </c>
      <c r="Q354" t="n">
        <v>0</v>
      </c>
      <c r="R354" s="2" t="inlineStr"/>
    </row>
    <row r="355" ht="15" customHeight="1">
      <c r="A355" t="inlineStr">
        <is>
          <t>A 30293-2025</t>
        </is>
      </c>
      <c r="B355" s="1" t="n">
        <v>45827</v>
      </c>
      <c r="C355" s="1" t="n">
        <v>46010</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30290-2025</t>
        </is>
      </c>
      <c r="B356" s="1" t="n">
        <v>45827</v>
      </c>
      <c r="C356" s="1" t="n">
        <v>46010</v>
      </c>
      <c r="D356" t="inlineStr">
        <is>
          <t>KALMAR LÄN</t>
        </is>
      </c>
      <c r="E356" t="inlineStr">
        <is>
          <t>VIMMERBY</t>
        </is>
      </c>
      <c r="G356" t="n">
        <v>1</v>
      </c>
      <c r="H356" t="n">
        <v>0</v>
      </c>
      <c r="I356" t="n">
        <v>0</v>
      </c>
      <c r="J356" t="n">
        <v>0</v>
      </c>
      <c r="K356" t="n">
        <v>0</v>
      </c>
      <c r="L356" t="n">
        <v>0</v>
      </c>
      <c r="M356" t="n">
        <v>0</v>
      </c>
      <c r="N356" t="n">
        <v>0</v>
      </c>
      <c r="O356" t="n">
        <v>0</v>
      </c>
      <c r="P356" t="n">
        <v>0</v>
      </c>
      <c r="Q356" t="n">
        <v>0</v>
      </c>
      <c r="R356" s="2" t="inlineStr"/>
    </row>
    <row r="357" ht="15" customHeight="1">
      <c r="A357" t="inlineStr">
        <is>
          <t>A 42794-2025</t>
        </is>
      </c>
      <c r="B357" s="1" t="n">
        <v>45908</v>
      </c>
      <c r="C357" s="1" t="n">
        <v>46010</v>
      </c>
      <c r="D357" t="inlineStr">
        <is>
          <t>KALMAR LÄN</t>
        </is>
      </c>
      <c r="E357" t="inlineStr">
        <is>
          <t>VIMMERBY</t>
        </is>
      </c>
      <c r="G357" t="n">
        <v>0.9</v>
      </c>
      <c r="H357" t="n">
        <v>0</v>
      </c>
      <c r="I357" t="n">
        <v>0</v>
      </c>
      <c r="J357" t="n">
        <v>0</v>
      </c>
      <c r="K357" t="n">
        <v>0</v>
      </c>
      <c r="L357" t="n">
        <v>0</v>
      </c>
      <c r="M357" t="n">
        <v>0</v>
      </c>
      <c r="N357" t="n">
        <v>0</v>
      </c>
      <c r="O357" t="n">
        <v>0</v>
      </c>
      <c r="P357" t="n">
        <v>0</v>
      </c>
      <c r="Q357" t="n">
        <v>0</v>
      </c>
      <c r="R357" s="2" t="inlineStr"/>
    </row>
    <row r="358" ht="15" customHeight="1">
      <c r="A358" t="inlineStr">
        <is>
          <t>A 42820-2025</t>
        </is>
      </c>
      <c r="B358" s="1" t="n">
        <v>45908</v>
      </c>
      <c r="C358" s="1" t="n">
        <v>46010</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3269-2024</t>
        </is>
      </c>
      <c r="B359" s="1" t="n">
        <v>45317.40372685185</v>
      </c>
      <c r="C359" s="1" t="n">
        <v>46010</v>
      </c>
      <c r="D359" t="inlineStr">
        <is>
          <t>KALMAR LÄN</t>
        </is>
      </c>
      <c r="E359" t="inlineStr">
        <is>
          <t>VIMMERBY</t>
        </is>
      </c>
      <c r="F359" t="inlineStr">
        <is>
          <t>Övriga Aktiebolag</t>
        </is>
      </c>
      <c r="G359" t="n">
        <v>1.7</v>
      </c>
      <c r="H359" t="n">
        <v>0</v>
      </c>
      <c r="I359" t="n">
        <v>0</v>
      </c>
      <c r="J359" t="n">
        <v>0</v>
      </c>
      <c r="K359" t="n">
        <v>0</v>
      </c>
      <c r="L359" t="n">
        <v>0</v>
      </c>
      <c r="M359" t="n">
        <v>0</v>
      </c>
      <c r="N359" t="n">
        <v>0</v>
      </c>
      <c r="O359" t="n">
        <v>0</v>
      </c>
      <c r="P359" t="n">
        <v>0</v>
      </c>
      <c r="Q359" t="n">
        <v>0</v>
      </c>
      <c r="R359" s="2" t="inlineStr"/>
    </row>
    <row r="360" ht="15" customHeight="1">
      <c r="A360" t="inlineStr">
        <is>
          <t>A 48120-2022</t>
        </is>
      </c>
      <c r="B360" s="1" t="n">
        <v>44857.65989583333</v>
      </c>
      <c r="C360" s="1" t="n">
        <v>46010</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6368-2023</t>
        </is>
      </c>
      <c r="B361" s="1" t="n">
        <v>44965</v>
      </c>
      <c r="C361" s="1" t="n">
        <v>46010</v>
      </c>
      <c r="D361" t="inlineStr">
        <is>
          <t>KALMAR LÄN</t>
        </is>
      </c>
      <c r="E361" t="inlineStr">
        <is>
          <t>VIMMERBY</t>
        </is>
      </c>
      <c r="G361" t="n">
        <v>1.3</v>
      </c>
      <c r="H361" t="n">
        <v>0</v>
      </c>
      <c r="I361" t="n">
        <v>0</v>
      </c>
      <c r="J361" t="n">
        <v>0</v>
      </c>
      <c r="K361" t="n">
        <v>0</v>
      </c>
      <c r="L361" t="n">
        <v>0</v>
      </c>
      <c r="M361" t="n">
        <v>0</v>
      </c>
      <c r="N361" t="n">
        <v>0</v>
      </c>
      <c r="O361" t="n">
        <v>0</v>
      </c>
      <c r="P361" t="n">
        <v>0</v>
      </c>
      <c r="Q361" t="n">
        <v>0</v>
      </c>
      <c r="R361" s="2" t="inlineStr"/>
    </row>
    <row r="362" ht="15" customHeight="1">
      <c r="A362" t="inlineStr">
        <is>
          <t>A 9416-2024</t>
        </is>
      </c>
      <c r="B362" s="1" t="n">
        <v>45359.44837962963</v>
      </c>
      <c r="C362" s="1" t="n">
        <v>46010</v>
      </c>
      <c r="D362" t="inlineStr">
        <is>
          <t>KALMAR LÄN</t>
        </is>
      </c>
      <c r="E362" t="inlineStr">
        <is>
          <t>VIMMERBY</t>
        </is>
      </c>
      <c r="G362" t="n">
        <v>3.2</v>
      </c>
      <c r="H362" t="n">
        <v>0</v>
      </c>
      <c r="I362" t="n">
        <v>0</v>
      </c>
      <c r="J362" t="n">
        <v>0</v>
      </c>
      <c r="K362" t="n">
        <v>0</v>
      </c>
      <c r="L362" t="n">
        <v>0</v>
      </c>
      <c r="M362" t="n">
        <v>0</v>
      </c>
      <c r="N362" t="n">
        <v>0</v>
      </c>
      <c r="O362" t="n">
        <v>0</v>
      </c>
      <c r="P362" t="n">
        <v>0</v>
      </c>
      <c r="Q362" t="n">
        <v>0</v>
      </c>
      <c r="R362" s="2" t="inlineStr"/>
    </row>
    <row r="363" ht="15" customHeight="1">
      <c r="A363" t="inlineStr">
        <is>
          <t>A 2797-2023</t>
        </is>
      </c>
      <c r="B363" s="1" t="n">
        <v>44944.71386574074</v>
      </c>
      <c r="C363" s="1" t="n">
        <v>46010</v>
      </c>
      <c r="D363" t="inlineStr">
        <is>
          <t>KALMAR LÄN</t>
        </is>
      </c>
      <c r="E363" t="inlineStr">
        <is>
          <t>VIMMERBY</t>
        </is>
      </c>
      <c r="G363" t="n">
        <v>3.4</v>
      </c>
      <c r="H363" t="n">
        <v>0</v>
      </c>
      <c r="I363" t="n">
        <v>0</v>
      </c>
      <c r="J363" t="n">
        <v>0</v>
      </c>
      <c r="K363" t="n">
        <v>0</v>
      </c>
      <c r="L363" t="n">
        <v>0</v>
      </c>
      <c r="M363" t="n">
        <v>0</v>
      </c>
      <c r="N363" t="n">
        <v>0</v>
      </c>
      <c r="O363" t="n">
        <v>0</v>
      </c>
      <c r="P363" t="n">
        <v>0</v>
      </c>
      <c r="Q363" t="n">
        <v>0</v>
      </c>
      <c r="R363" s="2" t="inlineStr"/>
    </row>
    <row r="364" ht="15" customHeight="1">
      <c r="A364" t="inlineStr">
        <is>
          <t>A 2799-2023</t>
        </is>
      </c>
      <c r="B364" s="1" t="n">
        <v>44944.72100694444</v>
      </c>
      <c r="C364" s="1" t="n">
        <v>46010</v>
      </c>
      <c r="D364" t="inlineStr">
        <is>
          <t>KALMAR LÄN</t>
        </is>
      </c>
      <c r="E364" t="inlineStr">
        <is>
          <t>VIMMERBY</t>
        </is>
      </c>
      <c r="G364" t="n">
        <v>1.3</v>
      </c>
      <c r="H364" t="n">
        <v>0</v>
      </c>
      <c r="I364" t="n">
        <v>0</v>
      </c>
      <c r="J364" t="n">
        <v>0</v>
      </c>
      <c r="K364" t="n">
        <v>0</v>
      </c>
      <c r="L364" t="n">
        <v>0</v>
      </c>
      <c r="M364" t="n">
        <v>0</v>
      </c>
      <c r="N364" t="n">
        <v>0</v>
      </c>
      <c r="O364" t="n">
        <v>0</v>
      </c>
      <c r="P364" t="n">
        <v>0</v>
      </c>
      <c r="Q364" t="n">
        <v>0</v>
      </c>
      <c r="R364" s="2" t="inlineStr"/>
    </row>
    <row r="365" ht="15" customHeight="1">
      <c r="A365" t="inlineStr">
        <is>
          <t>A 34060-2025</t>
        </is>
      </c>
      <c r="B365" s="1" t="n">
        <v>45845.42015046296</v>
      </c>
      <c r="C365" s="1" t="n">
        <v>46010</v>
      </c>
      <c r="D365" t="inlineStr">
        <is>
          <t>KALMAR LÄN</t>
        </is>
      </c>
      <c r="E365" t="inlineStr">
        <is>
          <t>VIMMERBY</t>
        </is>
      </c>
      <c r="G365" t="n">
        <v>5.7</v>
      </c>
      <c r="H365" t="n">
        <v>0</v>
      </c>
      <c r="I365" t="n">
        <v>0</v>
      </c>
      <c r="J365" t="n">
        <v>0</v>
      </c>
      <c r="K365" t="n">
        <v>0</v>
      </c>
      <c r="L365" t="n">
        <v>0</v>
      </c>
      <c r="M365" t="n">
        <v>0</v>
      </c>
      <c r="N365" t="n">
        <v>0</v>
      </c>
      <c r="O365" t="n">
        <v>0</v>
      </c>
      <c r="P365" t="n">
        <v>0</v>
      </c>
      <c r="Q365" t="n">
        <v>0</v>
      </c>
      <c r="R365" s="2" t="inlineStr"/>
    </row>
    <row r="366" ht="15" customHeight="1">
      <c r="A366" t="inlineStr">
        <is>
          <t>A 25987-2024</t>
        </is>
      </c>
      <c r="B366" s="1" t="n">
        <v>45467.74417824074</v>
      </c>
      <c r="C366" s="1" t="n">
        <v>46010</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22194-2024</t>
        </is>
      </c>
      <c r="B367" s="1" t="n">
        <v>45446.36482638889</v>
      </c>
      <c r="C367" s="1" t="n">
        <v>46010</v>
      </c>
      <c r="D367" t="inlineStr">
        <is>
          <t>KALMAR LÄN</t>
        </is>
      </c>
      <c r="E367" t="inlineStr">
        <is>
          <t>VIMMERBY</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30850-2025</t>
        </is>
      </c>
      <c r="B368" s="1" t="n">
        <v>45831</v>
      </c>
      <c r="C368" s="1" t="n">
        <v>46010</v>
      </c>
      <c r="D368" t="inlineStr">
        <is>
          <t>KALMAR LÄN</t>
        </is>
      </c>
      <c r="E368" t="inlineStr">
        <is>
          <t>VIMMERBY</t>
        </is>
      </c>
      <c r="G368" t="n">
        <v>2.7</v>
      </c>
      <c r="H368" t="n">
        <v>0</v>
      </c>
      <c r="I368" t="n">
        <v>0</v>
      </c>
      <c r="J368" t="n">
        <v>0</v>
      </c>
      <c r="K368" t="n">
        <v>0</v>
      </c>
      <c r="L368" t="n">
        <v>0</v>
      </c>
      <c r="M368" t="n">
        <v>0</v>
      </c>
      <c r="N368" t="n">
        <v>0</v>
      </c>
      <c r="O368" t="n">
        <v>0</v>
      </c>
      <c r="P368" t="n">
        <v>0</v>
      </c>
      <c r="Q368" t="n">
        <v>0</v>
      </c>
      <c r="R368" s="2" t="inlineStr"/>
    </row>
    <row r="369" ht="15" customHeight="1">
      <c r="A369" t="inlineStr">
        <is>
          <t>A 19865-2021</t>
        </is>
      </c>
      <c r="B369" s="1" t="n">
        <v>44312</v>
      </c>
      <c r="C369" s="1" t="n">
        <v>46010</v>
      </c>
      <c r="D369" t="inlineStr">
        <is>
          <t>KALMAR LÄN</t>
        </is>
      </c>
      <c r="E369" t="inlineStr">
        <is>
          <t>VIMMERBY</t>
        </is>
      </c>
      <c r="G369" t="n">
        <v>8.6</v>
      </c>
      <c r="H369" t="n">
        <v>0</v>
      </c>
      <c r="I369" t="n">
        <v>0</v>
      </c>
      <c r="J369" t="n">
        <v>0</v>
      </c>
      <c r="K369" t="n">
        <v>0</v>
      </c>
      <c r="L369" t="n">
        <v>0</v>
      </c>
      <c r="M369" t="n">
        <v>0</v>
      </c>
      <c r="N369" t="n">
        <v>0</v>
      </c>
      <c r="O369" t="n">
        <v>0</v>
      </c>
      <c r="P369" t="n">
        <v>0</v>
      </c>
      <c r="Q369" t="n">
        <v>0</v>
      </c>
      <c r="R369" s="2" t="inlineStr"/>
    </row>
    <row r="370" ht="15" customHeight="1">
      <c r="A370" t="inlineStr">
        <is>
          <t>A 43465-2025</t>
        </is>
      </c>
      <c r="B370" s="1" t="n">
        <v>45911.47138888889</v>
      </c>
      <c r="C370" s="1" t="n">
        <v>46010</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12630-2023</t>
        </is>
      </c>
      <c r="B371" s="1" t="n">
        <v>45000.47998842593</v>
      </c>
      <c r="C371" s="1" t="n">
        <v>46010</v>
      </c>
      <c r="D371" t="inlineStr">
        <is>
          <t>KALMAR LÄN</t>
        </is>
      </c>
      <c r="E371" t="inlineStr">
        <is>
          <t>VIMMERBY</t>
        </is>
      </c>
      <c r="G371" t="n">
        <v>2.1</v>
      </c>
      <c r="H371" t="n">
        <v>0</v>
      </c>
      <c r="I371" t="n">
        <v>0</v>
      </c>
      <c r="J371" t="n">
        <v>0</v>
      </c>
      <c r="K371" t="n">
        <v>0</v>
      </c>
      <c r="L371" t="n">
        <v>0</v>
      </c>
      <c r="M371" t="n">
        <v>0</v>
      </c>
      <c r="N371" t="n">
        <v>0</v>
      </c>
      <c r="O371" t="n">
        <v>0</v>
      </c>
      <c r="P371" t="n">
        <v>0</v>
      </c>
      <c r="Q371" t="n">
        <v>0</v>
      </c>
      <c r="R371" s="2" t="inlineStr"/>
    </row>
    <row r="372" ht="15" customHeight="1">
      <c r="A372" t="inlineStr">
        <is>
          <t>A 43617-2025</t>
        </is>
      </c>
      <c r="B372" s="1" t="n">
        <v>45911.67798611111</v>
      </c>
      <c r="C372" s="1" t="n">
        <v>46010</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21109-2024</t>
        </is>
      </c>
      <c r="B373" s="1" t="n">
        <v>45440.28329861111</v>
      </c>
      <c r="C373" s="1" t="n">
        <v>46010</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31552-2025</t>
        </is>
      </c>
      <c r="B374" s="1" t="n">
        <v>45833.64563657407</v>
      </c>
      <c r="C374" s="1" t="n">
        <v>46010</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31555-2025</t>
        </is>
      </c>
      <c r="B375" s="1" t="n">
        <v>45833.64814814815</v>
      </c>
      <c r="C375" s="1" t="n">
        <v>46010</v>
      </c>
      <c r="D375" t="inlineStr">
        <is>
          <t>KALMAR LÄN</t>
        </is>
      </c>
      <c r="E375" t="inlineStr">
        <is>
          <t>VIMMERBY</t>
        </is>
      </c>
      <c r="G375" t="n">
        <v>1.8</v>
      </c>
      <c r="H375" t="n">
        <v>0</v>
      </c>
      <c r="I375" t="n">
        <v>0</v>
      </c>
      <c r="J375" t="n">
        <v>0</v>
      </c>
      <c r="K375" t="n">
        <v>0</v>
      </c>
      <c r="L375" t="n">
        <v>0</v>
      </c>
      <c r="M375" t="n">
        <v>0</v>
      </c>
      <c r="N375" t="n">
        <v>0</v>
      </c>
      <c r="O375" t="n">
        <v>0</v>
      </c>
      <c r="P375" t="n">
        <v>0</v>
      </c>
      <c r="Q375" t="n">
        <v>0</v>
      </c>
      <c r="R375" s="2" t="inlineStr"/>
    </row>
    <row r="376" ht="15" customHeight="1">
      <c r="A376" t="inlineStr">
        <is>
          <t>A 30634-2024</t>
        </is>
      </c>
      <c r="B376" s="1" t="n">
        <v>45495</v>
      </c>
      <c r="C376" s="1" t="n">
        <v>46010</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40260-2024</t>
        </is>
      </c>
      <c r="B377" s="1" t="n">
        <v>45554.63225694445</v>
      </c>
      <c r="C377" s="1" t="n">
        <v>46010</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30971-2025</t>
        </is>
      </c>
      <c r="B378" s="1" t="n">
        <v>45832.46146990741</v>
      </c>
      <c r="C378" s="1" t="n">
        <v>46010</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31551-2025</t>
        </is>
      </c>
      <c r="B379" s="1" t="n">
        <v>45833.64237268519</v>
      </c>
      <c r="C379" s="1" t="n">
        <v>46010</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59943-2023</t>
        </is>
      </c>
      <c r="B380" s="1" t="n">
        <v>45257.67958333333</v>
      </c>
      <c r="C380" s="1" t="n">
        <v>46010</v>
      </c>
      <c r="D380" t="inlineStr">
        <is>
          <t>KALMAR LÄN</t>
        </is>
      </c>
      <c r="E380" t="inlineStr">
        <is>
          <t>VIMMERBY</t>
        </is>
      </c>
      <c r="G380" t="n">
        <v>6.4</v>
      </c>
      <c r="H380" t="n">
        <v>0</v>
      </c>
      <c r="I380" t="n">
        <v>0</v>
      </c>
      <c r="J380" t="n">
        <v>0</v>
      </c>
      <c r="K380" t="n">
        <v>0</v>
      </c>
      <c r="L380" t="n">
        <v>0</v>
      </c>
      <c r="M380" t="n">
        <v>0</v>
      </c>
      <c r="N380" t="n">
        <v>0</v>
      </c>
      <c r="O380" t="n">
        <v>0</v>
      </c>
      <c r="P380" t="n">
        <v>0</v>
      </c>
      <c r="Q380" t="n">
        <v>0</v>
      </c>
      <c r="R380" s="2" t="inlineStr"/>
    </row>
    <row r="381" ht="15" customHeight="1">
      <c r="A381" t="inlineStr">
        <is>
          <t>A 30882-2025</t>
        </is>
      </c>
      <c r="B381" s="1" t="n">
        <v>45832.34540509259</v>
      </c>
      <c r="C381" s="1" t="n">
        <v>46010</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31872-2025</t>
        </is>
      </c>
      <c r="B382" s="1" t="n">
        <v>45834.65040509259</v>
      </c>
      <c r="C382" s="1" t="n">
        <v>46010</v>
      </c>
      <c r="D382" t="inlineStr">
        <is>
          <t>KALMAR LÄN</t>
        </is>
      </c>
      <c r="E382" t="inlineStr">
        <is>
          <t>VIMMERBY</t>
        </is>
      </c>
      <c r="F382" t="inlineStr">
        <is>
          <t>Sveaskog</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5527-2022</t>
        </is>
      </c>
      <c r="B383" s="1" t="n">
        <v>44595.583125</v>
      </c>
      <c r="C383" s="1" t="n">
        <v>46010</v>
      </c>
      <c r="D383" t="inlineStr">
        <is>
          <t>KALMAR LÄN</t>
        </is>
      </c>
      <c r="E383" t="inlineStr">
        <is>
          <t>VIMMERBY</t>
        </is>
      </c>
      <c r="G383" t="n">
        <v>3.6</v>
      </c>
      <c r="H383" t="n">
        <v>0</v>
      </c>
      <c r="I383" t="n">
        <v>0</v>
      </c>
      <c r="J383" t="n">
        <v>0</v>
      </c>
      <c r="K383" t="n">
        <v>0</v>
      </c>
      <c r="L383" t="n">
        <v>0</v>
      </c>
      <c r="M383" t="n">
        <v>0</v>
      </c>
      <c r="N383" t="n">
        <v>0</v>
      </c>
      <c r="O383" t="n">
        <v>0</v>
      </c>
      <c r="P383" t="n">
        <v>0</v>
      </c>
      <c r="Q383" t="n">
        <v>0</v>
      </c>
      <c r="R383" s="2" t="inlineStr"/>
    </row>
    <row r="384" ht="15" customHeight="1">
      <c r="A384" t="inlineStr">
        <is>
          <t>A 44095-2025</t>
        </is>
      </c>
      <c r="B384" s="1" t="n">
        <v>45915.56430555556</v>
      </c>
      <c r="C384" s="1" t="n">
        <v>46010</v>
      </c>
      <c r="D384" t="inlineStr">
        <is>
          <t>KALMAR LÄN</t>
        </is>
      </c>
      <c r="E384" t="inlineStr">
        <is>
          <t>VIMMERBY</t>
        </is>
      </c>
      <c r="G384" t="n">
        <v>2.4</v>
      </c>
      <c r="H384" t="n">
        <v>0</v>
      </c>
      <c r="I384" t="n">
        <v>0</v>
      </c>
      <c r="J384" t="n">
        <v>0</v>
      </c>
      <c r="K384" t="n">
        <v>0</v>
      </c>
      <c r="L384" t="n">
        <v>0</v>
      </c>
      <c r="M384" t="n">
        <v>0</v>
      </c>
      <c r="N384" t="n">
        <v>0</v>
      </c>
      <c r="O384" t="n">
        <v>0</v>
      </c>
      <c r="P384" t="n">
        <v>0</v>
      </c>
      <c r="Q384" t="n">
        <v>0</v>
      </c>
      <c r="R384" s="2" t="inlineStr"/>
    </row>
    <row r="385" ht="15" customHeight="1">
      <c r="A385" t="inlineStr">
        <is>
          <t>A 8559-2025</t>
        </is>
      </c>
      <c r="B385" s="1" t="n">
        <v>45709.62280092593</v>
      </c>
      <c r="C385" s="1" t="n">
        <v>46010</v>
      </c>
      <c r="D385" t="inlineStr">
        <is>
          <t>KALMAR LÄN</t>
        </is>
      </c>
      <c r="E385" t="inlineStr">
        <is>
          <t>VIMMERBY</t>
        </is>
      </c>
      <c r="G385" t="n">
        <v>8.9</v>
      </c>
      <c r="H385" t="n">
        <v>0</v>
      </c>
      <c r="I385" t="n">
        <v>0</v>
      </c>
      <c r="J385" t="n">
        <v>0</v>
      </c>
      <c r="K385" t="n">
        <v>0</v>
      </c>
      <c r="L385" t="n">
        <v>0</v>
      </c>
      <c r="M385" t="n">
        <v>0</v>
      </c>
      <c r="N385" t="n">
        <v>0</v>
      </c>
      <c r="O385" t="n">
        <v>0</v>
      </c>
      <c r="P385" t="n">
        <v>0</v>
      </c>
      <c r="Q385" t="n">
        <v>0</v>
      </c>
      <c r="R385" s="2" t="inlineStr"/>
    </row>
    <row r="386" ht="15" customHeight="1">
      <c r="A386" t="inlineStr">
        <is>
          <t>A 32064-2025</t>
        </is>
      </c>
      <c r="B386" s="1" t="n">
        <v>45835.44709490741</v>
      </c>
      <c r="C386" s="1" t="n">
        <v>46010</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32109-2025</t>
        </is>
      </c>
      <c r="B387" s="1" t="n">
        <v>45835.48267361111</v>
      </c>
      <c r="C387" s="1" t="n">
        <v>46010</v>
      </c>
      <c r="D387" t="inlineStr">
        <is>
          <t>KALMAR LÄN</t>
        </is>
      </c>
      <c r="E387" t="inlineStr">
        <is>
          <t>VIMMERBY</t>
        </is>
      </c>
      <c r="G387" t="n">
        <v>2.5</v>
      </c>
      <c r="H387" t="n">
        <v>0</v>
      </c>
      <c r="I387" t="n">
        <v>0</v>
      </c>
      <c r="J387" t="n">
        <v>0</v>
      </c>
      <c r="K387" t="n">
        <v>0</v>
      </c>
      <c r="L387" t="n">
        <v>0</v>
      </c>
      <c r="M387" t="n">
        <v>0</v>
      </c>
      <c r="N387" t="n">
        <v>0</v>
      </c>
      <c r="O387" t="n">
        <v>0</v>
      </c>
      <c r="P387" t="n">
        <v>0</v>
      </c>
      <c r="Q387" t="n">
        <v>0</v>
      </c>
      <c r="R387" s="2" t="inlineStr"/>
    </row>
    <row r="388" ht="15" customHeight="1">
      <c r="A388" t="inlineStr">
        <is>
          <t>A 32113-2025</t>
        </is>
      </c>
      <c r="B388" s="1" t="n">
        <v>45835.48445601852</v>
      </c>
      <c r="C388" s="1" t="n">
        <v>46010</v>
      </c>
      <c r="D388" t="inlineStr">
        <is>
          <t>KALMAR LÄN</t>
        </is>
      </c>
      <c r="E388" t="inlineStr">
        <is>
          <t>VIMMERBY</t>
        </is>
      </c>
      <c r="G388" t="n">
        <v>3.5</v>
      </c>
      <c r="H388" t="n">
        <v>0</v>
      </c>
      <c r="I388" t="n">
        <v>0</v>
      </c>
      <c r="J388" t="n">
        <v>0</v>
      </c>
      <c r="K388" t="n">
        <v>0</v>
      </c>
      <c r="L388" t="n">
        <v>0</v>
      </c>
      <c r="M388" t="n">
        <v>0</v>
      </c>
      <c r="N388" t="n">
        <v>0</v>
      </c>
      <c r="O388" t="n">
        <v>0</v>
      </c>
      <c r="P388" t="n">
        <v>0</v>
      </c>
      <c r="Q388" t="n">
        <v>0</v>
      </c>
      <c r="R388" s="2" t="inlineStr"/>
    </row>
    <row r="389" ht="15" customHeight="1">
      <c r="A389" t="inlineStr">
        <is>
          <t>A 32116-2025</t>
        </is>
      </c>
      <c r="B389" s="1" t="n">
        <v>45835.48862268519</v>
      </c>
      <c r="C389" s="1" t="n">
        <v>46010</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12325-2023</t>
        </is>
      </c>
      <c r="B390" s="1" t="n">
        <v>44999.35858796296</v>
      </c>
      <c r="C390" s="1" t="n">
        <v>46010</v>
      </c>
      <c r="D390" t="inlineStr">
        <is>
          <t>KALMAR LÄN</t>
        </is>
      </c>
      <c r="E390" t="inlineStr">
        <is>
          <t>VIMMERBY</t>
        </is>
      </c>
      <c r="G390" t="n">
        <v>3.4</v>
      </c>
      <c r="H390" t="n">
        <v>0</v>
      </c>
      <c r="I390" t="n">
        <v>0</v>
      </c>
      <c r="J390" t="n">
        <v>0</v>
      </c>
      <c r="K390" t="n">
        <v>0</v>
      </c>
      <c r="L390" t="n">
        <v>0</v>
      </c>
      <c r="M390" t="n">
        <v>0</v>
      </c>
      <c r="N390" t="n">
        <v>0</v>
      </c>
      <c r="O390" t="n">
        <v>0</v>
      </c>
      <c r="P390" t="n">
        <v>0</v>
      </c>
      <c r="Q390" t="n">
        <v>0</v>
      </c>
      <c r="R390" s="2" t="inlineStr"/>
    </row>
    <row r="391" ht="15" customHeight="1">
      <c r="A391" t="inlineStr">
        <is>
          <t>A 31870-2025</t>
        </is>
      </c>
      <c r="B391" s="1" t="n">
        <v>45834.64667824074</v>
      </c>
      <c r="C391" s="1" t="n">
        <v>46010</v>
      </c>
      <c r="D391" t="inlineStr">
        <is>
          <t>KALMAR LÄN</t>
        </is>
      </c>
      <c r="E391" t="inlineStr">
        <is>
          <t>VIMMERBY</t>
        </is>
      </c>
      <c r="F391" t="inlineStr">
        <is>
          <t>Sveaskog</t>
        </is>
      </c>
      <c r="G391" t="n">
        <v>3.5</v>
      </c>
      <c r="H391" t="n">
        <v>0</v>
      </c>
      <c r="I391" t="n">
        <v>0</v>
      </c>
      <c r="J391" t="n">
        <v>0</v>
      </c>
      <c r="K391" t="n">
        <v>0</v>
      </c>
      <c r="L391" t="n">
        <v>0</v>
      </c>
      <c r="M391" t="n">
        <v>0</v>
      </c>
      <c r="N391" t="n">
        <v>0</v>
      </c>
      <c r="O391" t="n">
        <v>0</v>
      </c>
      <c r="P391" t="n">
        <v>0</v>
      </c>
      <c r="Q391" t="n">
        <v>0</v>
      </c>
      <c r="R391" s="2" t="inlineStr"/>
    </row>
    <row r="392" ht="15" customHeight="1">
      <c r="A392" t="inlineStr">
        <is>
          <t>A 32065-2025</t>
        </is>
      </c>
      <c r="B392" s="1" t="n">
        <v>45835.44732638889</v>
      </c>
      <c r="C392" s="1" t="n">
        <v>46010</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1016-2024</t>
        </is>
      </c>
      <c r="B393" s="1" t="n">
        <v>45301</v>
      </c>
      <c r="C393" s="1" t="n">
        <v>46010</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31987-2025</t>
        </is>
      </c>
      <c r="B394" s="1" t="n">
        <v>45835.36229166666</v>
      </c>
      <c r="C394" s="1" t="n">
        <v>46010</v>
      </c>
      <c r="D394" t="inlineStr">
        <is>
          <t>KALMAR LÄN</t>
        </is>
      </c>
      <c r="E394" t="inlineStr">
        <is>
          <t>VIMMERBY</t>
        </is>
      </c>
      <c r="F394" t="inlineStr">
        <is>
          <t>Kyrkan</t>
        </is>
      </c>
      <c r="G394" t="n">
        <v>1.2</v>
      </c>
      <c r="H394" t="n">
        <v>0</v>
      </c>
      <c r="I394" t="n">
        <v>0</v>
      </c>
      <c r="J394" t="n">
        <v>0</v>
      </c>
      <c r="K394" t="n">
        <v>0</v>
      </c>
      <c r="L394" t="n">
        <v>0</v>
      </c>
      <c r="M394" t="n">
        <v>0</v>
      </c>
      <c r="N394" t="n">
        <v>0</v>
      </c>
      <c r="O394" t="n">
        <v>0</v>
      </c>
      <c r="P394" t="n">
        <v>0</v>
      </c>
      <c r="Q394" t="n">
        <v>0</v>
      </c>
      <c r="R394" s="2" t="inlineStr"/>
    </row>
    <row r="395" ht="15" customHeight="1">
      <c r="A395" t="inlineStr">
        <is>
          <t>A 32077-2025</t>
        </is>
      </c>
      <c r="B395" s="1" t="n">
        <v>45835.45099537037</v>
      </c>
      <c r="C395" s="1" t="n">
        <v>46010</v>
      </c>
      <c r="D395" t="inlineStr">
        <is>
          <t>KALMAR LÄN</t>
        </is>
      </c>
      <c r="E395" t="inlineStr">
        <is>
          <t>VIMMERBY</t>
        </is>
      </c>
      <c r="G395" t="n">
        <v>1.8</v>
      </c>
      <c r="H395" t="n">
        <v>0</v>
      </c>
      <c r="I395" t="n">
        <v>0</v>
      </c>
      <c r="J395" t="n">
        <v>0</v>
      </c>
      <c r="K395" t="n">
        <v>0</v>
      </c>
      <c r="L395" t="n">
        <v>0</v>
      </c>
      <c r="M395" t="n">
        <v>0</v>
      </c>
      <c r="N395" t="n">
        <v>0</v>
      </c>
      <c r="O395" t="n">
        <v>0</v>
      </c>
      <c r="P395" t="n">
        <v>0</v>
      </c>
      <c r="Q395" t="n">
        <v>0</v>
      </c>
      <c r="R395" s="2" t="inlineStr"/>
    </row>
    <row r="396" ht="15" customHeight="1">
      <c r="A396" t="inlineStr">
        <is>
          <t>A 32120-2025</t>
        </is>
      </c>
      <c r="B396" s="1" t="n">
        <v>45835.4924537037</v>
      </c>
      <c r="C396" s="1" t="n">
        <v>46010</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31876-2025</t>
        </is>
      </c>
      <c r="B397" s="1" t="n">
        <v>45834.65197916667</v>
      </c>
      <c r="C397" s="1" t="n">
        <v>46010</v>
      </c>
      <c r="D397" t="inlineStr">
        <is>
          <t>KALMAR LÄN</t>
        </is>
      </c>
      <c r="E397" t="inlineStr">
        <is>
          <t>VIMMERBY</t>
        </is>
      </c>
      <c r="F397" t="inlineStr">
        <is>
          <t>Sveaskog</t>
        </is>
      </c>
      <c r="G397" t="n">
        <v>3.3</v>
      </c>
      <c r="H397" t="n">
        <v>0</v>
      </c>
      <c r="I397" t="n">
        <v>0</v>
      </c>
      <c r="J397" t="n">
        <v>0</v>
      </c>
      <c r="K397" t="n">
        <v>0</v>
      </c>
      <c r="L397" t="n">
        <v>0</v>
      </c>
      <c r="M397" t="n">
        <v>0</v>
      </c>
      <c r="N397" t="n">
        <v>0</v>
      </c>
      <c r="O397" t="n">
        <v>0</v>
      </c>
      <c r="P397" t="n">
        <v>0</v>
      </c>
      <c r="Q397" t="n">
        <v>0</v>
      </c>
      <c r="R397" s="2" t="inlineStr"/>
    </row>
    <row r="398" ht="15" customHeight="1">
      <c r="A398" t="inlineStr">
        <is>
          <t>A 44091-2025</t>
        </is>
      </c>
      <c r="B398" s="1" t="n">
        <v>45915.55950231481</v>
      </c>
      <c r="C398" s="1" t="n">
        <v>46010</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33681-2022</t>
        </is>
      </c>
      <c r="B399" s="1" t="n">
        <v>44789</v>
      </c>
      <c r="C399" s="1" t="n">
        <v>46010</v>
      </c>
      <c r="D399" t="inlineStr">
        <is>
          <t>KALMAR LÄN</t>
        </is>
      </c>
      <c r="E399" t="inlineStr">
        <is>
          <t>VIMMERBY</t>
        </is>
      </c>
      <c r="G399" t="n">
        <v>3.2</v>
      </c>
      <c r="H399" t="n">
        <v>0</v>
      </c>
      <c r="I399" t="n">
        <v>0</v>
      </c>
      <c r="J399" t="n">
        <v>0</v>
      </c>
      <c r="K399" t="n">
        <v>0</v>
      </c>
      <c r="L399" t="n">
        <v>0</v>
      </c>
      <c r="M399" t="n">
        <v>0</v>
      </c>
      <c r="N399" t="n">
        <v>0</v>
      </c>
      <c r="O399" t="n">
        <v>0</v>
      </c>
      <c r="P399" t="n">
        <v>0</v>
      </c>
      <c r="Q399" t="n">
        <v>0</v>
      </c>
      <c r="R399" s="2" t="inlineStr"/>
    </row>
    <row r="400" ht="15" customHeight="1">
      <c r="A400" t="inlineStr">
        <is>
          <t>A 5074-2023</t>
        </is>
      </c>
      <c r="B400" s="1" t="n">
        <v>44958.61047453704</v>
      </c>
      <c r="C400" s="1" t="n">
        <v>46010</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51187-2023</t>
        </is>
      </c>
      <c r="B401" s="1" t="n">
        <v>45219.40528935185</v>
      </c>
      <c r="C401" s="1" t="n">
        <v>46010</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32380-2025</t>
        </is>
      </c>
      <c r="B402" s="1" t="n">
        <v>45837.77701388889</v>
      </c>
      <c r="C402" s="1" t="n">
        <v>46010</v>
      </c>
      <c r="D402" t="inlineStr">
        <is>
          <t>KALMAR LÄN</t>
        </is>
      </c>
      <c r="E402" t="inlineStr">
        <is>
          <t>VIMMERBY</t>
        </is>
      </c>
      <c r="G402" t="n">
        <v>3.1</v>
      </c>
      <c r="H402" t="n">
        <v>0</v>
      </c>
      <c r="I402" t="n">
        <v>0</v>
      </c>
      <c r="J402" t="n">
        <v>0</v>
      </c>
      <c r="K402" t="n">
        <v>0</v>
      </c>
      <c r="L402" t="n">
        <v>0</v>
      </c>
      <c r="M402" t="n">
        <v>0</v>
      </c>
      <c r="N402" t="n">
        <v>0</v>
      </c>
      <c r="O402" t="n">
        <v>0</v>
      </c>
      <c r="P402" t="n">
        <v>0</v>
      </c>
      <c r="Q402" t="n">
        <v>0</v>
      </c>
      <c r="R402" s="2" t="inlineStr"/>
    </row>
    <row r="403" ht="15" customHeight="1">
      <c r="A403" t="inlineStr">
        <is>
          <t>A 44517-2025</t>
        </is>
      </c>
      <c r="B403" s="1" t="n">
        <v>45916.7103587963</v>
      </c>
      <c r="C403" s="1" t="n">
        <v>46010</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33186-2025</t>
        </is>
      </c>
      <c r="B404" s="1" t="n">
        <v>45840.59474537037</v>
      </c>
      <c r="C404" s="1" t="n">
        <v>46010</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33695-2025</t>
        </is>
      </c>
      <c r="B405" s="1" t="n">
        <v>45841.70569444444</v>
      </c>
      <c r="C405" s="1" t="n">
        <v>46010</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33698-2025</t>
        </is>
      </c>
      <c r="B406" s="1" t="n">
        <v>45841.70868055556</v>
      </c>
      <c r="C406" s="1" t="n">
        <v>46010</v>
      </c>
      <c r="D406" t="inlineStr">
        <is>
          <t>KALMAR LÄN</t>
        </is>
      </c>
      <c r="E406" t="inlineStr">
        <is>
          <t>VIMMERBY</t>
        </is>
      </c>
      <c r="G406" t="n">
        <v>3.7</v>
      </c>
      <c r="H406" t="n">
        <v>0</v>
      </c>
      <c r="I406" t="n">
        <v>0</v>
      </c>
      <c r="J406" t="n">
        <v>0</v>
      </c>
      <c r="K406" t="n">
        <v>0</v>
      </c>
      <c r="L406" t="n">
        <v>0</v>
      </c>
      <c r="M406" t="n">
        <v>0</v>
      </c>
      <c r="N406" t="n">
        <v>0</v>
      </c>
      <c r="O406" t="n">
        <v>0</v>
      </c>
      <c r="P406" t="n">
        <v>0</v>
      </c>
      <c r="Q406" t="n">
        <v>0</v>
      </c>
      <c r="R406" s="2" t="inlineStr"/>
    </row>
    <row r="407" ht="15" customHeight="1">
      <c r="A407" t="inlineStr">
        <is>
          <t>A 15715-2022</t>
        </is>
      </c>
      <c r="B407" s="1" t="n">
        <v>44663</v>
      </c>
      <c r="C407" s="1" t="n">
        <v>46010</v>
      </c>
      <c r="D407" t="inlineStr">
        <is>
          <t>KALMAR LÄN</t>
        </is>
      </c>
      <c r="E407" t="inlineStr">
        <is>
          <t>VIMMERBY</t>
        </is>
      </c>
      <c r="G407" t="n">
        <v>2.3</v>
      </c>
      <c r="H407" t="n">
        <v>0</v>
      </c>
      <c r="I407" t="n">
        <v>0</v>
      </c>
      <c r="J407" t="n">
        <v>0</v>
      </c>
      <c r="K407" t="n">
        <v>0</v>
      </c>
      <c r="L407" t="n">
        <v>0</v>
      </c>
      <c r="M407" t="n">
        <v>0</v>
      </c>
      <c r="N407" t="n">
        <v>0</v>
      </c>
      <c r="O407" t="n">
        <v>0</v>
      </c>
      <c r="P407" t="n">
        <v>0</v>
      </c>
      <c r="Q407" t="n">
        <v>0</v>
      </c>
      <c r="R407" s="2" t="inlineStr"/>
    </row>
    <row r="408" ht="15" customHeight="1">
      <c r="A408" t="inlineStr">
        <is>
          <t>A 44742-2025</t>
        </is>
      </c>
      <c r="B408" s="1" t="n">
        <v>45917.67054398148</v>
      </c>
      <c r="C408" s="1" t="n">
        <v>46010</v>
      </c>
      <c r="D408" t="inlineStr">
        <is>
          <t>KALMAR LÄN</t>
        </is>
      </c>
      <c r="E408" t="inlineStr">
        <is>
          <t>VIMMERBY</t>
        </is>
      </c>
      <c r="G408" t="n">
        <v>4.7</v>
      </c>
      <c r="H408" t="n">
        <v>0</v>
      </c>
      <c r="I408" t="n">
        <v>0</v>
      </c>
      <c r="J408" t="n">
        <v>0</v>
      </c>
      <c r="K408" t="n">
        <v>0</v>
      </c>
      <c r="L408" t="n">
        <v>0</v>
      </c>
      <c r="M408" t="n">
        <v>0</v>
      </c>
      <c r="N408" t="n">
        <v>0</v>
      </c>
      <c r="O408" t="n">
        <v>0</v>
      </c>
      <c r="P408" t="n">
        <v>0</v>
      </c>
      <c r="Q408" t="n">
        <v>0</v>
      </c>
      <c r="R408" s="2" t="inlineStr"/>
    </row>
    <row r="409" ht="15" customHeight="1">
      <c r="A409" t="inlineStr">
        <is>
          <t>A 43093-2024</t>
        </is>
      </c>
      <c r="B409" s="1" t="n">
        <v>45567</v>
      </c>
      <c r="C409" s="1" t="n">
        <v>46010</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56022-2024</t>
        </is>
      </c>
      <c r="B410" s="1" t="n">
        <v>45623.95947916667</v>
      </c>
      <c r="C410" s="1" t="n">
        <v>46010</v>
      </c>
      <c r="D410" t="inlineStr">
        <is>
          <t>KALMAR LÄN</t>
        </is>
      </c>
      <c r="E410" t="inlineStr">
        <is>
          <t>VIMMERBY</t>
        </is>
      </c>
      <c r="G410" t="n">
        <v>0.3</v>
      </c>
      <c r="H410" t="n">
        <v>0</v>
      </c>
      <c r="I410" t="n">
        <v>0</v>
      </c>
      <c r="J410" t="n">
        <v>0</v>
      </c>
      <c r="K410" t="n">
        <v>0</v>
      </c>
      <c r="L410" t="n">
        <v>0</v>
      </c>
      <c r="M410" t="n">
        <v>0</v>
      </c>
      <c r="N410" t="n">
        <v>0</v>
      </c>
      <c r="O410" t="n">
        <v>0</v>
      </c>
      <c r="P410" t="n">
        <v>0</v>
      </c>
      <c r="Q410" t="n">
        <v>0</v>
      </c>
      <c r="R410" s="2" t="inlineStr"/>
    </row>
    <row r="411" ht="15" customHeight="1">
      <c r="A411" t="inlineStr">
        <is>
          <t>A 44329-2025</t>
        </is>
      </c>
      <c r="B411" s="1" t="n">
        <v>45916.41019675926</v>
      </c>
      <c r="C411" s="1" t="n">
        <v>46010</v>
      </c>
      <c r="D411" t="inlineStr">
        <is>
          <t>KALMAR LÄN</t>
        </is>
      </c>
      <c r="E411" t="inlineStr">
        <is>
          <t>VIMMERBY</t>
        </is>
      </c>
      <c r="G411" t="n">
        <v>4.3</v>
      </c>
      <c r="H411" t="n">
        <v>0</v>
      </c>
      <c r="I411" t="n">
        <v>0</v>
      </c>
      <c r="J411" t="n">
        <v>0</v>
      </c>
      <c r="K411" t="n">
        <v>0</v>
      </c>
      <c r="L411" t="n">
        <v>0</v>
      </c>
      <c r="M411" t="n">
        <v>0</v>
      </c>
      <c r="N411" t="n">
        <v>0</v>
      </c>
      <c r="O411" t="n">
        <v>0</v>
      </c>
      <c r="P411" t="n">
        <v>0</v>
      </c>
      <c r="Q411" t="n">
        <v>0</v>
      </c>
      <c r="R411" s="2" t="inlineStr"/>
    </row>
    <row r="412" ht="15" customHeight="1">
      <c r="A412" t="inlineStr">
        <is>
          <t>A 30977-2025</t>
        </is>
      </c>
      <c r="B412" s="1" t="n">
        <v>45832.46649305556</v>
      </c>
      <c r="C412" s="1" t="n">
        <v>46010</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18330-2023</t>
        </is>
      </c>
      <c r="B413" s="1" t="n">
        <v>45041</v>
      </c>
      <c r="C413" s="1" t="n">
        <v>46010</v>
      </c>
      <c r="D413" t="inlineStr">
        <is>
          <t>KALMAR LÄN</t>
        </is>
      </c>
      <c r="E413" t="inlineStr">
        <is>
          <t>VIMMERBY</t>
        </is>
      </c>
      <c r="G413" t="n">
        <v>1.7</v>
      </c>
      <c r="H413" t="n">
        <v>0</v>
      </c>
      <c r="I413" t="n">
        <v>0</v>
      </c>
      <c r="J413" t="n">
        <v>0</v>
      </c>
      <c r="K413" t="n">
        <v>0</v>
      </c>
      <c r="L413" t="n">
        <v>0</v>
      </c>
      <c r="M413" t="n">
        <v>0</v>
      </c>
      <c r="N413" t="n">
        <v>0</v>
      </c>
      <c r="O413" t="n">
        <v>0</v>
      </c>
      <c r="P413" t="n">
        <v>0</v>
      </c>
      <c r="Q413" t="n">
        <v>0</v>
      </c>
      <c r="R413" s="2" t="inlineStr"/>
    </row>
    <row r="414" ht="15" customHeight="1">
      <c r="A414" t="inlineStr">
        <is>
          <t>A 41896-2025</t>
        </is>
      </c>
      <c r="B414" s="1" t="n">
        <v>45903.38800925926</v>
      </c>
      <c r="C414" s="1" t="n">
        <v>46010</v>
      </c>
      <c r="D414" t="inlineStr">
        <is>
          <t>KALMAR LÄN</t>
        </is>
      </c>
      <c r="E414" t="inlineStr">
        <is>
          <t>VIMMERBY</t>
        </is>
      </c>
      <c r="G414" t="n">
        <v>2.9</v>
      </c>
      <c r="H414" t="n">
        <v>0</v>
      </c>
      <c r="I414" t="n">
        <v>0</v>
      </c>
      <c r="J414" t="n">
        <v>0</v>
      </c>
      <c r="K414" t="n">
        <v>0</v>
      </c>
      <c r="L414" t="n">
        <v>0</v>
      </c>
      <c r="M414" t="n">
        <v>0</v>
      </c>
      <c r="N414" t="n">
        <v>0</v>
      </c>
      <c r="O414" t="n">
        <v>0</v>
      </c>
      <c r="P414" t="n">
        <v>0</v>
      </c>
      <c r="Q414" t="n">
        <v>0</v>
      </c>
      <c r="R414" s="2" t="inlineStr"/>
    </row>
    <row r="415" ht="15" customHeight="1">
      <c r="A415" t="inlineStr">
        <is>
          <t>A 33696-2025</t>
        </is>
      </c>
      <c r="B415" s="1" t="n">
        <v>45841.7072337963</v>
      </c>
      <c r="C415" s="1" t="n">
        <v>46010</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20126-2024</t>
        </is>
      </c>
      <c r="B416" s="1" t="n">
        <v>45434.55471064815</v>
      </c>
      <c r="C416" s="1" t="n">
        <v>46010</v>
      </c>
      <c r="D416" t="inlineStr">
        <is>
          <t>KALMAR LÄN</t>
        </is>
      </c>
      <c r="E416" t="inlineStr">
        <is>
          <t>VIMMERBY</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20136-2024</t>
        </is>
      </c>
      <c r="B417" s="1" t="n">
        <v>45434.56291666667</v>
      </c>
      <c r="C417" s="1" t="n">
        <v>46010</v>
      </c>
      <c r="D417" t="inlineStr">
        <is>
          <t>KALMAR LÄN</t>
        </is>
      </c>
      <c r="E417" t="inlineStr">
        <is>
          <t>VIMMERBY</t>
        </is>
      </c>
      <c r="F417" t="inlineStr">
        <is>
          <t>Sveaskog</t>
        </is>
      </c>
      <c r="G417" t="n">
        <v>8.4</v>
      </c>
      <c r="H417" t="n">
        <v>0</v>
      </c>
      <c r="I417" t="n">
        <v>0</v>
      </c>
      <c r="J417" t="n">
        <v>0</v>
      </c>
      <c r="K417" t="n">
        <v>0</v>
      </c>
      <c r="L417" t="n">
        <v>0</v>
      </c>
      <c r="M417" t="n">
        <v>0</v>
      </c>
      <c r="N417" t="n">
        <v>0</v>
      </c>
      <c r="O417" t="n">
        <v>0</v>
      </c>
      <c r="P417" t="n">
        <v>0</v>
      </c>
      <c r="Q417" t="n">
        <v>0</v>
      </c>
      <c r="R417" s="2" t="inlineStr"/>
    </row>
    <row r="418" ht="15" customHeight="1">
      <c r="A418" t="inlineStr">
        <is>
          <t>A 26956-2025</t>
        </is>
      </c>
      <c r="B418" s="1" t="n">
        <v>45811.45460648148</v>
      </c>
      <c r="C418" s="1" t="n">
        <v>46010</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46921-2023</t>
        </is>
      </c>
      <c r="B419" s="1" t="n">
        <v>45201.39996527778</v>
      </c>
      <c r="C419" s="1" t="n">
        <v>46010</v>
      </c>
      <c r="D419" t="inlineStr">
        <is>
          <t>KALMAR LÄN</t>
        </is>
      </c>
      <c r="E419" t="inlineStr">
        <is>
          <t>VIMMERBY</t>
        </is>
      </c>
      <c r="G419" t="n">
        <v>2.6</v>
      </c>
      <c r="H419" t="n">
        <v>0</v>
      </c>
      <c r="I419" t="n">
        <v>0</v>
      </c>
      <c r="J419" t="n">
        <v>0</v>
      </c>
      <c r="K419" t="n">
        <v>0</v>
      </c>
      <c r="L419" t="n">
        <v>0</v>
      </c>
      <c r="M419" t="n">
        <v>0</v>
      </c>
      <c r="N419" t="n">
        <v>0</v>
      </c>
      <c r="O419" t="n">
        <v>0</v>
      </c>
      <c r="P419" t="n">
        <v>0</v>
      </c>
      <c r="Q419" t="n">
        <v>0</v>
      </c>
      <c r="R419" s="2" t="inlineStr"/>
    </row>
    <row r="420" ht="15" customHeight="1">
      <c r="A420" t="inlineStr">
        <is>
          <t>A 25236-2023</t>
        </is>
      </c>
      <c r="B420" s="1" t="n">
        <v>45086.63334490741</v>
      </c>
      <c r="C420" s="1" t="n">
        <v>46010</v>
      </c>
      <c r="D420" t="inlineStr">
        <is>
          <t>KALMAR LÄN</t>
        </is>
      </c>
      <c r="E420" t="inlineStr">
        <is>
          <t>VIMMERBY</t>
        </is>
      </c>
      <c r="G420" t="n">
        <v>0.9</v>
      </c>
      <c r="H420" t="n">
        <v>0</v>
      </c>
      <c r="I420" t="n">
        <v>0</v>
      </c>
      <c r="J420" t="n">
        <v>0</v>
      </c>
      <c r="K420" t="n">
        <v>0</v>
      </c>
      <c r="L420" t="n">
        <v>0</v>
      </c>
      <c r="M420" t="n">
        <v>0</v>
      </c>
      <c r="N420" t="n">
        <v>0</v>
      </c>
      <c r="O420" t="n">
        <v>0</v>
      </c>
      <c r="P420" t="n">
        <v>0</v>
      </c>
      <c r="Q420" t="n">
        <v>0</v>
      </c>
      <c r="R420" s="2" t="inlineStr"/>
    </row>
    <row r="421" ht="15" customHeight="1">
      <c r="A421" t="inlineStr">
        <is>
          <t>A 34071-2025</t>
        </is>
      </c>
      <c r="B421" s="1" t="n">
        <v>45845.43803240741</v>
      </c>
      <c r="C421" s="1" t="n">
        <v>46010</v>
      </c>
      <c r="D421" t="inlineStr">
        <is>
          <t>KALMAR LÄN</t>
        </is>
      </c>
      <c r="E421" t="inlineStr">
        <is>
          <t>VIMMERBY</t>
        </is>
      </c>
      <c r="G421" t="n">
        <v>6.8</v>
      </c>
      <c r="H421" t="n">
        <v>0</v>
      </c>
      <c r="I421" t="n">
        <v>0</v>
      </c>
      <c r="J421" t="n">
        <v>0</v>
      </c>
      <c r="K421" t="n">
        <v>0</v>
      </c>
      <c r="L421" t="n">
        <v>0</v>
      </c>
      <c r="M421" t="n">
        <v>0</v>
      </c>
      <c r="N421" t="n">
        <v>0</v>
      </c>
      <c r="O421" t="n">
        <v>0</v>
      </c>
      <c r="P421" t="n">
        <v>0</v>
      </c>
      <c r="Q421" t="n">
        <v>0</v>
      </c>
      <c r="R421" s="2" t="inlineStr"/>
    </row>
    <row r="422" ht="15" customHeight="1">
      <c r="A422" t="inlineStr">
        <is>
          <t>A 34106-2025</t>
        </is>
      </c>
      <c r="B422" s="1" t="n">
        <v>45845.49414351852</v>
      </c>
      <c r="C422" s="1" t="n">
        <v>46010</v>
      </c>
      <c r="D422" t="inlineStr">
        <is>
          <t>KALMAR LÄN</t>
        </is>
      </c>
      <c r="E422" t="inlineStr">
        <is>
          <t>VIMMERBY</t>
        </is>
      </c>
      <c r="G422" t="n">
        <v>6</v>
      </c>
      <c r="H422" t="n">
        <v>0</v>
      </c>
      <c r="I422" t="n">
        <v>0</v>
      </c>
      <c r="J422" t="n">
        <v>0</v>
      </c>
      <c r="K422" t="n">
        <v>0</v>
      </c>
      <c r="L422" t="n">
        <v>0</v>
      </c>
      <c r="M422" t="n">
        <v>0</v>
      </c>
      <c r="N422" t="n">
        <v>0</v>
      </c>
      <c r="O422" t="n">
        <v>0</v>
      </c>
      <c r="P422" t="n">
        <v>0</v>
      </c>
      <c r="Q422" t="n">
        <v>0</v>
      </c>
      <c r="R422" s="2" t="inlineStr"/>
    </row>
    <row r="423" ht="15" customHeight="1">
      <c r="A423" t="inlineStr">
        <is>
          <t>A 28702-2025</t>
        </is>
      </c>
      <c r="B423" s="1" t="n">
        <v>45820.03976851852</v>
      </c>
      <c r="C423" s="1" t="n">
        <v>46010</v>
      </c>
      <c r="D423" t="inlineStr">
        <is>
          <t>KALMAR LÄN</t>
        </is>
      </c>
      <c r="E423" t="inlineStr">
        <is>
          <t>VIMMERBY</t>
        </is>
      </c>
      <c r="G423" t="n">
        <v>2.1</v>
      </c>
      <c r="H423" t="n">
        <v>0</v>
      </c>
      <c r="I423" t="n">
        <v>0</v>
      </c>
      <c r="J423" t="n">
        <v>0</v>
      </c>
      <c r="K423" t="n">
        <v>0</v>
      </c>
      <c r="L423" t="n">
        <v>0</v>
      </c>
      <c r="M423" t="n">
        <v>0</v>
      </c>
      <c r="N423" t="n">
        <v>0</v>
      </c>
      <c r="O423" t="n">
        <v>0</v>
      </c>
      <c r="P423" t="n">
        <v>0</v>
      </c>
      <c r="Q423" t="n">
        <v>0</v>
      </c>
      <c r="R423" s="2" t="inlineStr"/>
    </row>
    <row r="424" ht="15" customHeight="1">
      <c r="A424" t="inlineStr">
        <is>
          <t>A 6082-2022</t>
        </is>
      </c>
      <c r="B424" s="1" t="n">
        <v>44599</v>
      </c>
      <c r="C424" s="1" t="n">
        <v>46010</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2801-2023</t>
        </is>
      </c>
      <c r="B425" s="1" t="n">
        <v>44944.73487268519</v>
      </c>
      <c r="C425" s="1" t="n">
        <v>46010</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5146-2024</t>
        </is>
      </c>
      <c r="B426" s="1" t="n">
        <v>45330</v>
      </c>
      <c r="C426" s="1" t="n">
        <v>46010</v>
      </c>
      <c r="D426" t="inlineStr">
        <is>
          <t>KALMAR LÄN</t>
        </is>
      </c>
      <c r="E426" t="inlineStr">
        <is>
          <t>VIMMERBY</t>
        </is>
      </c>
      <c r="G426" t="n">
        <v>5.3</v>
      </c>
      <c r="H426" t="n">
        <v>0</v>
      </c>
      <c r="I426" t="n">
        <v>0</v>
      </c>
      <c r="J426" t="n">
        <v>0</v>
      </c>
      <c r="K426" t="n">
        <v>0</v>
      </c>
      <c r="L426" t="n">
        <v>0</v>
      </c>
      <c r="M426" t="n">
        <v>0</v>
      </c>
      <c r="N426" t="n">
        <v>0</v>
      </c>
      <c r="O426" t="n">
        <v>0</v>
      </c>
      <c r="P426" t="n">
        <v>0</v>
      </c>
      <c r="Q426" t="n">
        <v>0</v>
      </c>
      <c r="R426" s="2" t="inlineStr"/>
    </row>
    <row r="427" ht="15" customHeight="1">
      <c r="A427" t="inlineStr">
        <is>
          <t>A 5148-2024</t>
        </is>
      </c>
      <c r="B427" s="1" t="n">
        <v>45330</v>
      </c>
      <c r="C427" s="1" t="n">
        <v>46010</v>
      </c>
      <c r="D427" t="inlineStr">
        <is>
          <t>KALMAR LÄN</t>
        </is>
      </c>
      <c r="E427" t="inlineStr">
        <is>
          <t>VIMMERBY</t>
        </is>
      </c>
      <c r="G427" t="n">
        <v>5.6</v>
      </c>
      <c r="H427" t="n">
        <v>0</v>
      </c>
      <c r="I427" t="n">
        <v>0</v>
      </c>
      <c r="J427" t="n">
        <v>0</v>
      </c>
      <c r="K427" t="n">
        <v>0</v>
      </c>
      <c r="L427" t="n">
        <v>0</v>
      </c>
      <c r="M427" t="n">
        <v>0</v>
      </c>
      <c r="N427" t="n">
        <v>0</v>
      </c>
      <c r="O427" t="n">
        <v>0</v>
      </c>
      <c r="P427" t="n">
        <v>0</v>
      </c>
      <c r="Q427" t="n">
        <v>0</v>
      </c>
      <c r="R427" s="2" t="inlineStr"/>
    </row>
    <row r="428" ht="15" customHeight="1">
      <c r="A428" t="inlineStr">
        <is>
          <t>A 58278-2023</t>
        </is>
      </c>
      <c r="B428" s="1" t="n">
        <v>45250.5278587963</v>
      </c>
      <c r="C428" s="1" t="n">
        <v>46010</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34628-2025</t>
        </is>
      </c>
      <c r="B429" s="1" t="n">
        <v>45847.91280092593</v>
      </c>
      <c r="C429" s="1" t="n">
        <v>46010</v>
      </c>
      <c r="D429" t="inlineStr">
        <is>
          <t>KALMAR LÄN</t>
        </is>
      </c>
      <c r="E429" t="inlineStr">
        <is>
          <t>VIMMERBY</t>
        </is>
      </c>
      <c r="G429" t="n">
        <v>4.2</v>
      </c>
      <c r="H429" t="n">
        <v>0</v>
      </c>
      <c r="I429" t="n">
        <v>0</v>
      </c>
      <c r="J429" t="n">
        <v>0</v>
      </c>
      <c r="K429" t="n">
        <v>0</v>
      </c>
      <c r="L429" t="n">
        <v>0</v>
      </c>
      <c r="M429" t="n">
        <v>0</v>
      </c>
      <c r="N429" t="n">
        <v>0</v>
      </c>
      <c r="O429" t="n">
        <v>0</v>
      </c>
      <c r="P429" t="n">
        <v>0</v>
      </c>
      <c r="Q429" t="n">
        <v>0</v>
      </c>
      <c r="R429" s="2" t="inlineStr"/>
    </row>
    <row r="430" ht="15" customHeight="1">
      <c r="A430" t="inlineStr">
        <is>
          <t>A 22266-2023</t>
        </is>
      </c>
      <c r="B430" s="1" t="n">
        <v>45070</v>
      </c>
      <c r="C430" s="1" t="n">
        <v>46010</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52588-2023</t>
        </is>
      </c>
      <c r="B431" s="1" t="n">
        <v>45225.60192129629</v>
      </c>
      <c r="C431" s="1" t="n">
        <v>46010</v>
      </c>
      <c r="D431" t="inlineStr">
        <is>
          <t>KALMAR LÄN</t>
        </is>
      </c>
      <c r="E431" t="inlineStr">
        <is>
          <t>VIMMERBY</t>
        </is>
      </c>
      <c r="G431" t="n">
        <v>2.9</v>
      </c>
      <c r="H431" t="n">
        <v>0</v>
      </c>
      <c r="I431" t="n">
        <v>0</v>
      </c>
      <c r="J431" t="n">
        <v>0</v>
      </c>
      <c r="K431" t="n">
        <v>0</v>
      </c>
      <c r="L431" t="n">
        <v>0</v>
      </c>
      <c r="M431" t="n">
        <v>0</v>
      </c>
      <c r="N431" t="n">
        <v>0</v>
      </c>
      <c r="O431" t="n">
        <v>0</v>
      </c>
      <c r="P431" t="n">
        <v>0</v>
      </c>
      <c r="Q431" t="n">
        <v>0</v>
      </c>
      <c r="R431" s="2" t="inlineStr"/>
    </row>
    <row r="432" ht="15" customHeight="1">
      <c r="A432" t="inlineStr">
        <is>
          <t>A 45114-2025</t>
        </is>
      </c>
      <c r="B432" s="1" t="n">
        <v>45919.42387731482</v>
      </c>
      <c r="C432" s="1" t="n">
        <v>46010</v>
      </c>
      <c r="D432" t="inlineStr">
        <is>
          <t>KALMAR LÄN</t>
        </is>
      </c>
      <c r="E432" t="inlineStr">
        <is>
          <t>VIMMERBY</t>
        </is>
      </c>
      <c r="G432" t="n">
        <v>2.7</v>
      </c>
      <c r="H432" t="n">
        <v>0</v>
      </c>
      <c r="I432" t="n">
        <v>0</v>
      </c>
      <c r="J432" t="n">
        <v>0</v>
      </c>
      <c r="K432" t="n">
        <v>0</v>
      </c>
      <c r="L432" t="n">
        <v>0</v>
      </c>
      <c r="M432" t="n">
        <v>0</v>
      </c>
      <c r="N432" t="n">
        <v>0</v>
      </c>
      <c r="O432" t="n">
        <v>0</v>
      </c>
      <c r="P432" t="n">
        <v>0</v>
      </c>
      <c r="Q432" t="n">
        <v>0</v>
      </c>
      <c r="R432" s="2" t="inlineStr"/>
    </row>
    <row r="433" ht="15" customHeight="1">
      <c r="A433" t="inlineStr">
        <is>
          <t>A 6802-2025</t>
        </is>
      </c>
      <c r="B433" s="1" t="n">
        <v>45700.68289351852</v>
      </c>
      <c r="C433" s="1" t="n">
        <v>46010</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71793-2021</t>
        </is>
      </c>
      <c r="B434" s="1" t="n">
        <v>44539</v>
      </c>
      <c r="C434" s="1" t="n">
        <v>46010</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527-2024</t>
        </is>
      </c>
      <c r="B435" s="1" t="n">
        <v>45299.47513888889</v>
      </c>
      <c r="C435" s="1" t="n">
        <v>46010</v>
      </c>
      <c r="D435" t="inlineStr">
        <is>
          <t>KALMAR LÄN</t>
        </is>
      </c>
      <c r="E435" t="inlineStr">
        <is>
          <t>VIMMERBY</t>
        </is>
      </c>
      <c r="G435" t="n">
        <v>2.2</v>
      </c>
      <c r="H435" t="n">
        <v>0</v>
      </c>
      <c r="I435" t="n">
        <v>0</v>
      </c>
      <c r="J435" t="n">
        <v>0</v>
      </c>
      <c r="K435" t="n">
        <v>0</v>
      </c>
      <c r="L435" t="n">
        <v>0</v>
      </c>
      <c r="M435" t="n">
        <v>0</v>
      </c>
      <c r="N435" t="n">
        <v>0</v>
      </c>
      <c r="O435" t="n">
        <v>0</v>
      </c>
      <c r="P435" t="n">
        <v>0</v>
      </c>
      <c r="Q435" t="n">
        <v>0</v>
      </c>
      <c r="R435" s="2" t="inlineStr"/>
    </row>
    <row r="436" ht="15" customHeight="1">
      <c r="A436" t="inlineStr">
        <is>
          <t>A 60230-2022</t>
        </is>
      </c>
      <c r="B436" s="1" t="n">
        <v>44910</v>
      </c>
      <c r="C436" s="1" t="n">
        <v>46010</v>
      </c>
      <c r="D436" t="inlineStr">
        <is>
          <t>KALMAR LÄN</t>
        </is>
      </c>
      <c r="E436" t="inlineStr">
        <is>
          <t>VIMMERBY</t>
        </is>
      </c>
      <c r="G436" t="n">
        <v>11.3</v>
      </c>
      <c r="H436" t="n">
        <v>0</v>
      </c>
      <c r="I436" t="n">
        <v>0</v>
      </c>
      <c r="J436" t="n">
        <v>0</v>
      </c>
      <c r="K436" t="n">
        <v>0</v>
      </c>
      <c r="L436" t="n">
        <v>0</v>
      </c>
      <c r="M436" t="n">
        <v>0</v>
      </c>
      <c r="N436" t="n">
        <v>0</v>
      </c>
      <c r="O436" t="n">
        <v>0</v>
      </c>
      <c r="P436" t="n">
        <v>0</v>
      </c>
      <c r="Q436" t="n">
        <v>0</v>
      </c>
      <c r="R436" s="2" t="inlineStr"/>
    </row>
    <row r="437" ht="15" customHeight="1">
      <c r="A437" t="inlineStr">
        <is>
          <t>A 5925-2022</t>
        </is>
      </c>
      <c r="B437" s="1" t="n">
        <v>44598.7384837963</v>
      </c>
      <c r="C437" s="1" t="n">
        <v>46010</v>
      </c>
      <c r="D437" t="inlineStr">
        <is>
          <t>KALMAR LÄN</t>
        </is>
      </c>
      <c r="E437" t="inlineStr">
        <is>
          <t>VIMMERBY</t>
        </is>
      </c>
      <c r="G437" t="n">
        <v>2.1</v>
      </c>
      <c r="H437" t="n">
        <v>0</v>
      </c>
      <c r="I437" t="n">
        <v>0</v>
      </c>
      <c r="J437" t="n">
        <v>0</v>
      </c>
      <c r="K437" t="n">
        <v>0</v>
      </c>
      <c r="L437" t="n">
        <v>0</v>
      </c>
      <c r="M437" t="n">
        <v>0</v>
      </c>
      <c r="N437" t="n">
        <v>0</v>
      </c>
      <c r="O437" t="n">
        <v>0</v>
      </c>
      <c r="P437" t="n">
        <v>0</v>
      </c>
      <c r="Q437" t="n">
        <v>0</v>
      </c>
      <c r="R437" s="2" t="inlineStr"/>
    </row>
    <row r="438" ht="15" customHeight="1">
      <c r="A438" t="inlineStr">
        <is>
          <t>A 46522-2022</t>
        </is>
      </c>
      <c r="B438" s="1" t="n">
        <v>44848.59133101852</v>
      </c>
      <c r="C438" s="1" t="n">
        <v>46010</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35270-2025</t>
        </is>
      </c>
      <c r="B439" s="1" t="n">
        <v>45853.87112268519</v>
      </c>
      <c r="C439" s="1" t="n">
        <v>46010</v>
      </c>
      <c r="D439" t="inlineStr">
        <is>
          <t>KALMAR LÄN</t>
        </is>
      </c>
      <c r="E439" t="inlineStr">
        <is>
          <t>VIMMERBY</t>
        </is>
      </c>
      <c r="G439" t="n">
        <v>2.4</v>
      </c>
      <c r="H439" t="n">
        <v>0</v>
      </c>
      <c r="I439" t="n">
        <v>0</v>
      </c>
      <c r="J439" t="n">
        <v>0</v>
      </c>
      <c r="K439" t="n">
        <v>0</v>
      </c>
      <c r="L439" t="n">
        <v>0</v>
      </c>
      <c r="M439" t="n">
        <v>0</v>
      </c>
      <c r="N439" t="n">
        <v>0</v>
      </c>
      <c r="O439" t="n">
        <v>0</v>
      </c>
      <c r="P439" t="n">
        <v>0</v>
      </c>
      <c r="Q439" t="n">
        <v>0</v>
      </c>
      <c r="R439" s="2" t="inlineStr"/>
    </row>
    <row r="440" ht="15" customHeight="1">
      <c r="A440" t="inlineStr">
        <is>
          <t>A 35271-2025</t>
        </is>
      </c>
      <c r="B440" s="1" t="n">
        <v>45853.87599537037</v>
      </c>
      <c r="C440" s="1" t="n">
        <v>46010</v>
      </c>
      <c r="D440" t="inlineStr">
        <is>
          <t>KALMAR LÄN</t>
        </is>
      </c>
      <c r="E440" t="inlineStr">
        <is>
          <t>VIMMERBY</t>
        </is>
      </c>
      <c r="G440" t="n">
        <v>0.4</v>
      </c>
      <c r="H440" t="n">
        <v>0</v>
      </c>
      <c r="I440" t="n">
        <v>0</v>
      </c>
      <c r="J440" t="n">
        <v>0</v>
      </c>
      <c r="K440" t="n">
        <v>0</v>
      </c>
      <c r="L440" t="n">
        <v>0</v>
      </c>
      <c r="M440" t="n">
        <v>0</v>
      </c>
      <c r="N440" t="n">
        <v>0</v>
      </c>
      <c r="O440" t="n">
        <v>0</v>
      </c>
      <c r="P440" t="n">
        <v>0</v>
      </c>
      <c r="Q440" t="n">
        <v>0</v>
      </c>
      <c r="R440" s="2" t="inlineStr"/>
    </row>
    <row r="441" ht="15" customHeight="1">
      <c r="A441" t="inlineStr">
        <is>
          <t>A 35272-2025</t>
        </is>
      </c>
      <c r="B441" s="1" t="n">
        <v>45853.88070601852</v>
      </c>
      <c r="C441" s="1" t="n">
        <v>46010</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45319-2025</t>
        </is>
      </c>
      <c r="B442" s="1" t="n">
        <v>45921.95611111111</v>
      </c>
      <c r="C442" s="1" t="n">
        <v>46010</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16953-2025</t>
        </is>
      </c>
      <c r="B443" s="1" t="n">
        <v>45755.44333333334</v>
      </c>
      <c r="C443" s="1" t="n">
        <v>46010</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35596-2025</t>
        </is>
      </c>
      <c r="B444" s="1" t="n">
        <v>45858.60641203704</v>
      </c>
      <c r="C444" s="1" t="n">
        <v>46010</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41066-2024</t>
        </is>
      </c>
      <c r="B445" s="1" t="n">
        <v>45559.38876157408</v>
      </c>
      <c r="C445" s="1" t="n">
        <v>46010</v>
      </c>
      <c r="D445" t="inlineStr">
        <is>
          <t>KALMAR LÄN</t>
        </is>
      </c>
      <c r="E445" t="inlineStr">
        <is>
          <t>VIMMERBY</t>
        </is>
      </c>
      <c r="G445" t="n">
        <v>2.4</v>
      </c>
      <c r="H445" t="n">
        <v>0</v>
      </c>
      <c r="I445" t="n">
        <v>0</v>
      </c>
      <c r="J445" t="n">
        <v>0</v>
      </c>
      <c r="K445" t="n">
        <v>0</v>
      </c>
      <c r="L445" t="n">
        <v>0</v>
      </c>
      <c r="M445" t="n">
        <v>0</v>
      </c>
      <c r="N445" t="n">
        <v>0</v>
      </c>
      <c r="O445" t="n">
        <v>0</v>
      </c>
      <c r="P445" t="n">
        <v>0</v>
      </c>
      <c r="Q445" t="n">
        <v>0</v>
      </c>
      <c r="R445" s="2" t="inlineStr"/>
    </row>
    <row r="446" ht="15" customHeight="1">
      <c r="A446" t="inlineStr">
        <is>
          <t>A 35597-2025</t>
        </is>
      </c>
      <c r="B446" s="1" t="n">
        <v>45858.66019675926</v>
      </c>
      <c r="C446" s="1" t="n">
        <v>46010</v>
      </c>
      <c r="D446" t="inlineStr">
        <is>
          <t>KALMAR LÄN</t>
        </is>
      </c>
      <c r="E446" t="inlineStr">
        <is>
          <t>VIMMERBY</t>
        </is>
      </c>
      <c r="G446" t="n">
        <v>6.4</v>
      </c>
      <c r="H446" t="n">
        <v>0</v>
      </c>
      <c r="I446" t="n">
        <v>0</v>
      </c>
      <c r="J446" t="n">
        <v>0</v>
      </c>
      <c r="K446" t="n">
        <v>0</v>
      </c>
      <c r="L446" t="n">
        <v>0</v>
      </c>
      <c r="M446" t="n">
        <v>0</v>
      </c>
      <c r="N446" t="n">
        <v>0</v>
      </c>
      <c r="O446" t="n">
        <v>0</v>
      </c>
      <c r="P446" t="n">
        <v>0</v>
      </c>
      <c r="Q446" t="n">
        <v>0</v>
      </c>
      <c r="R446" s="2" t="inlineStr"/>
    </row>
    <row r="447" ht="15" customHeight="1">
      <c r="A447" t="inlineStr">
        <is>
          <t>A 52279-2023</t>
        </is>
      </c>
      <c r="B447" s="1" t="n">
        <v>45224</v>
      </c>
      <c r="C447" s="1" t="n">
        <v>46010</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45320-2025</t>
        </is>
      </c>
      <c r="B448" s="1" t="n">
        <v>45921.96395833333</v>
      </c>
      <c r="C448" s="1" t="n">
        <v>46010</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17486-2024</t>
        </is>
      </c>
      <c r="B449" s="1" t="n">
        <v>45415.48979166667</v>
      </c>
      <c r="C449" s="1" t="n">
        <v>46010</v>
      </c>
      <c r="D449" t="inlineStr">
        <is>
          <t>KALMAR LÄN</t>
        </is>
      </c>
      <c r="E449" t="inlineStr">
        <is>
          <t>VIMMERBY</t>
        </is>
      </c>
      <c r="G449" t="n">
        <v>2.6</v>
      </c>
      <c r="H449" t="n">
        <v>0</v>
      </c>
      <c r="I449" t="n">
        <v>0</v>
      </c>
      <c r="J449" t="n">
        <v>0</v>
      </c>
      <c r="K449" t="n">
        <v>0</v>
      </c>
      <c r="L449" t="n">
        <v>0</v>
      </c>
      <c r="M449" t="n">
        <v>0</v>
      </c>
      <c r="N449" t="n">
        <v>0</v>
      </c>
      <c r="O449" t="n">
        <v>0</v>
      </c>
      <c r="P449" t="n">
        <v>0</v>
      </c>
      <c r="Q449" t="n">
        <v>0</v>
      </c>
      <c r="R449" s="2" t="inlineStr"/>
    </row>
    <row r="450" ht="15" customHeight="1">
      <c r="A450" t="inlineStr">
        <is>
          <t>A 71631-2021</t>
        </is>
      </c>
      <c r="B450" s="1" t="n">
        <v>44542.90072916666</v>
      </c>
      <c r="C450" s="1" t="n">
        <v>46010</v>
      </c>
      <c r="D450" t="inlineStr">
        <is>
          <t>KALMAR LÄN</t>
        </is>
      </c>
      <c r="E450" t="inlineStr">
        <is>
          <t>VIMMERBY</t>
        </is>
      </c>
      <c r="G450" t="n">
        <v>0.9</v>
      </c>
      <c r="H450" t="n">
        <v>0</v>
      </c>
      <c r="I450" t="n">
        <v>0</v>
      </c>
      <c r="J450" t="n">
        <v>0</v>
      </c>
      <c r="K450" t="n">
        <v>0</v>
      </c>
      <c r="L450" t="n">
        <v>0</v>
      </c>
      <c r="M450" t="n">
        <v>0</v>
      </c>
      <c r="N450" t="n">
        <v>0</v>
      </c>
      <c r="O450" t="n">
        <v>0</v>
      </c>
      <c r="P450" t="n">
        <v>0</v>
      </c>
      <c r="Q450" t="n">
        <v>0</v>
      </c>
      <c r="R450" s="2" t="inlineStr"/>
    </row>
    <row r="451" ht="15" customHeight="1">
      <c r="A451" t="inlineStr">
        <is>
          <t>A 46118-2025</t>
        </is>
      </c>
      <c r="B451" s="1" t="n">
        <v>45924.57697916667</v>
      </c>
      <c r="C451" s="1" t="n">
        <v>46010</v>
      </c>
      <c r="D451" t="inlineStr">
        <is>
          <t>KALMAR LÄN</t>
        </is>
      </c>
      <c r="E451" t="inlineStr">
        <is>
          <t>VIMMERBY</t>
        </is>
      </c>
      <c r="G451" t="n">
        <v>2.9</v>
      </c>
      <c r="H451" t="n">
        <v>0</v>
      </c>
      <c r="I451" t="n">
        <v>0</v>
      </c>
      <c r="J451" t="n">
        <v>0</v>
      </c>
      <c r="K451" t="n">
        <v>0</v>
      </c>
      <c r="L451" t="n">
        <v>0</v>
      </c>
      <c r="M451" t="n">
        <v>0</v>
      </c>
      <c r="N451" t="n">
        <v>0</v>
      </c>
      <c r="O451" t="n">
        <v>0</v>
      </c>
      <c r="P451" t="n">
        <v>0</v>
      </c>
      <c r="Q451" t="n">
        <v>0</v>
      </c>
      <c r="R451" s="2" t="inlineStr"/>
    </row>
    <row r="452" ht="15" customHeight="1">
      <c r="A452" t="inlineStr">
        <is>
          <t>A 46365-2025</t>
        </is>
      </c>
      <c r="B452" s="1" t="n">
        <v>45925.50075231482</v>
      </c>
      <c r="C452" s="1" t="n">
        <v>46010</v>
      </c>
      <c r="D452" t="inlineStr">
        <is>
          <t>KALMAR LÄN</t>
        </is>
      </c>
      <c r="E452" t="inlineStr">
        <is>
          <t>VIMMERBY</t>
        </is>
      </c>
      <c r="G452" t="n">
        <v>5.6</v>
      </c>
      <c r="H452" t="n">
        <v>0</v>
      </c>
      <c r="I452" t="n">
        <v>0</v>
      </c>
      <c r="J452" t="n">
        <v>0</v>
      </c>
      <c r="K452" t="n">
        <v>0</v>
      </c>
      <c r="L452" t="n">
        <v>0</v>
      </c>
      <c r="M452" t="n">
        <v>0</v>
      </c>
      <c r="N452" t="n">
        <v>0</v>
      </c>
      <c r="O452" t="n">
        <v>0</v>
      </c>
      <c r="P452" t="n">
        <v>0</v>
      </c>
      <c r="Q452" t="n">
        <v>0</v>
      </c>
      <c r="R452" s="2" t="inlineStr"/>
    </row>
    <row r="453" ht="15" customHeight="1">
      <c r="A453" t="inlineStr">
        <is>
          <t>A 16015-2025</t>
        </is>
      </c>
      <c r="B453" s="1" t="n">
        <v>45749.60487268519</v>
      </c>
      <c r="C453" s="1" t="n">
        <v>46010</v>
      </c>
      <c r="D453" t="inlineStr">
        <is>
          <t>KALMAR LÄN</t>
        </is>
      </c>
      <c r="E453" t="inlineStr">
        <is>
          <t>VIMMERBY</t>
        </is>
      </c>
      <c r="F453" t="inlineStr">
        <is>
          <t>Kyrkan</t>
        </is>
      </c>
      <c r="G453" t="n">
        <v>2.7</v>
      </c>
      <c r="H453" t="n">
        <v>0</v>
      </c>
      <c r="I453" t="n">
        <v>0</v>
      </c>
      <c r="J453" t="n">
        <v>0</v>
      </c>
      <c r="K453" t="n">
        <v>0</v>
      </c>
      <c r="L453" t="n">
        <v>0</v>
      </c>
      <c r="M453" t="n">
        <v>0</v>
      </c>
      <c r="N453" t="n">
        <v>0</v>
      </c>
      <c r="O453" t="n">
        <v>0</v>
      </c>
      <c r="P453" t="n">
        <v>0</v>
      </c>
      <c r="Q453" t="n">
        <v>0</v>
      </c>
      <c r="R453" s="2" t="inlineStr"/>
    </row>
    <row r="454" ht="15" customHeight="1">
      <c r="A454" t="inlineStr">
        <is>
          <t>A 36226-2025</t>
        </is>
      </c>
      <c r="B454" s="1" t="n">
        <v>45867.51630787037</v>
      </c>
      <c r="C454" s="1" t="n">
        <v>46010</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36273-2025</t>
        </is>
      </c>
      <c r="B455" s="1" t="n">
        <v>45867.63094907408</v>
      </c>
      <c r="C455" s="1" t="n">
        <v>46010</v>
      </c>
      <c r="D455" t="inlineStr">
        <is>
          <t>KALMAR LÄN</t>
        </is>
      </c>
      <c r="E455" t="inlineStr">
        <is>
          <t>VIMMERBY</t>
        </is>
      </c>
      <c r="G455" t="n">
        <v>1.7</v>
      </c>
      <c r="H455" t="n">
        <v>0</v>
      </c>
      <c r="I455" t="n">
        <v>0</v>
      </c>
      <c r="J455" t="n">
        <v>0</v>
      </c>
      <c r="K455" t="n">
        <v>0</v>
      </c>
      <c r="L455" t="n">
        <v>0</v>
      </c>
      <c r="M455" t="n">
        <v>0</v>
      </c>
      <c r="N455" t="n">
        <v>0</v>
      </c>
      <c r="O455" t="n">
        <v>0</v>
      </c>
      <c r="P455" t="n">
        <v>0</v>
      </c>
      <c r="Q455" t="n">
        <v>0</v>
      </c>
      <c r="R455" s="2" t="inlineStr"/>
    </row>
    <row r="456" ht="15" customHeight="1">
      <c r="A456" t="inlineStr">
        <is>
          <t>A 36282-2025</t>
        </is>
      </c>
      <c r="B456" s="1" t="n">
        <v>45867.64663194444</v>
      </c>
      <c r="C456" s="1" t="n">
        <v>46010</v>
      </c>
      <c r="D456" t="inlineStr">
        <is>
          <t>KALMAR LÄN</t>
        </is>
      </c>
      <c r="E456" t="inlineStr">
        <is>
          <t>VIMMERBY</t>
        </is>
      </c>
      <c r="G456" t="n">
        <v>1.4</v>
      </c>
      <c r="H456" t="n">
        <v>0</v>
      </c>
      <c r="I456" t="n">
        <v>0</v>
      </c>
      <c r="J456" t="n">
        <v>0</v>
      </c>
      <c r="K456" t="n">
        <v>0</v>
      </c>
      <c r="L456" t="n">
        <v>0</v>
      </c>
      <c r="M456" t="n">
        <v>0</v>
      </c>
      <c r="N456" t="n">
        <v>0</v>
      </c>
      <c r="O456" t="n">
        <v>0</v>
      </c>
      <c r="P456" t="n">
        <v>0</v>
      </c>
      <c r="Q456" t="n">
        <v>0</v>
      </c>
      <c r="R456" s="2" t="inlineStr"/>
    </row>
    <row r="457" ht="15" customHeight="1">
      <c r="A457" t="inlineStr">
        <is>
          <t>A 9694-2023</t>
        </is>
      </c>
      <c r="B457" s="1" t="n">
        <v>44984.45895833334</v>
      </c>
      <c r="C457" s="1" t="n">
        <v>46010</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36246-2025</t>
        </is>
      </c>
      <c r="B458" s="1" t="n">
        <v>45867.56320601852</v>
      </c>
      <c r="C458" s="1" t="n">
        <v>46010</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36297-2025</t>
        </is>
      </c>
      <c r="B459" s="1" t="n">
        <v>45867.68625</v>
      </c>
      <c r="C459" s="1" t="n">
        <v>46010</v>
      </c>
      <c r="D459" t="inlineStr">
        <is>
          <t>KALMAR LÄN</t>
        </is>
      </c>
      <c r="E459" t="inlineStr">
        <is>
          <t>VIMMERBY</t>
        </is>
      </c>
      <c r="G459" t="n">
        <v>4.9</v>
      </c>
      <c r="H459" t="n">
        <v>0</v>
      </c>
      <c r="I459" t="n">
        <v>0</v>
      </c>
      <c r="J459" t="n">
        <v>0</v>
      </c>
      <c r="K459" t="n">
        <v>0</v>
      </c>
      <c r="L459" t="n">
        <v>0</v>
      </c>
      <c r="M459" t="n">
        <v>0</v>
      </c>
      <c r="N459" t="n">
        <v>0</v>
      </c>
      <c r="O459" t="n">
        <v>0</v>
      </c>
      <c r="P459" t="n">
        <v>0</v>
      </c>
      <c r="Q459" t="n">
        <v>0</v>
      </c>
      <c r="R459" s="2" t="inlineStr"/>
    </row>
    <row r="460" ht="15" customHeight="1">
      <c r="A460" t="inlineStr">
        <is>
          <t>A 36221-2025</t>
        </is>
      </c>
      <c r="B460" s="1" t="n">
        <v>45867.50792824074</v>
      </c>
      <c r="C460" s="1" t="n">
        <v>46010</v>
      </c>
      <c r="D460" t="inlineStr">
        <is>
          <t>KALMAR LÄN</t>
        </is>
      </c>
      <c r="E460" t="inlineStr">
        <is>
          <t>VIMMERBY</t>
        </is>
      </c>
      <c r="G460" t="n">
        <v>2.5</v>
      </c>
      <c r="H460" t="n">
        <v>0</v>
      </c>
      <c r="I460" t="n">
        <v>0</v>
      </c>
      <c r="J460" t="n">
        <v>0</v>
      </c>
      <c r="K460" t="n">
        <v>0</v>
      </c>
      <c r="L460" t="n">
        <v>0</v>
      </c>
      <c r="M460" t="n">
        <v>0</v>
      </c>
      <c r="N460" t="n">
        <v>0</v>
      </c>
      <c r="O460" t="n">
        <v>0</v>
      </c>
      <c r="P460" t="n">
        <v>0</v>
      </c>
      <c r="Q460" t="n">
        <v>0</v>
      </c>
      <c r="R460" s="2" t="inlineStr"/>
    </row>
    <row r="461" ht="15" customHeight="1">
      <c r="A461" t="inlineStr">
        <is>
          <t>A 22198-2024</t>
        </is>
      </c>
      <c r="B461" s="1" t="n">
        <v>45446.36865740741</v>
      </c>
      <c r="C461" s="1" t="n">
        <v>46010</v>
      </c>
      <c r="D461" t="inlineStr">
        <is>
          <t>KALMAR LÄN</t>
        </is>
      </c>
      <c r="E461" t="inlineStr">
        <is>
          <t>VIMMERBY</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57311-2023</t>
        </is>
      </c>
      <c r="B462" s="1" t="n">
        <v>45245.63574074074</v>
      </c>
      <c r="C462" s="1" t="n">
        <v>46010</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19502-2025</t>
        </is>
      </c>
      <c r="B463" s="1" t="n">
        <v>45769</v>
      </c>
      <c r="C463" s="1" t="n">
        <v>46010</v>
      </c>
      <c r="D463" t="inlineStr">
        <is>
          <t>KALMAR LÄN</t>
        </is>
      </c>
      <c r="E463" t="inlineStr">
        <is>
          <t>VIMMERBY</t>
        </is>
      </c>
      <c r="G463" t="n">
        <v>1.9</v>
      </c>
      <c r="H463" t="n">
        <v>0</v>
      </c>
      <c r="I463" t="n">
        <v>0</v>
      </c>
      <c r="J463" t="n">
        <v>0</v>
      </c>
      <c r="K463" t="n">
        <v>0</v>
      </c>
      <c r="L463" t="n">
        <v>0</v>
      </c>
      <c r="M463" t="n">
        <v>0</v>
      </c>
      <c r="N463" t="n">
        <v>0</v>
      </c>
      <c r="O463" t="n">
        <v>0</v>
      </c>
      <c r="P463" t="n">
        <v>0</v>
      </c>
      <c r="Q463" t="n">
        <v>0</v>
      </c>
      <c r="R463" s="2" t="inlineStr"/>
    </row>
    <row r="464" ht="15" customHeight="1">
      <c r="A464" t="inlineStr">
        <is>
          <t>A 12588-2025</t>
        </is>
      </c>
      <c r="B464" s="1" t="n">
        <v>45732.76936342593</v>
      </c>
      <c r="C464" s="1" t="n">
        <v>46010</v>
      </c>
      <c r="D464" t="inlineStr">
        <is>
          <t>KALMAR LÄN</t>
        </is>
      </c>
      <c r="E464" t="inlineStr">
        <is>
          <t>VIMMERBY</t>
        </is>
      </c>
      <c r="G464" t="n">
        <v>1.6</v>
      </c>
      <c r="H464" t="n">
        <v>0</v>
      </c>
      <c r="I464" t="n">
        <v>0</v>
      </c>
      <c r="J464" t="n">
        <v>0</v>
      </c>
      <c r="K464" t="n">
        <v>0</v>
      </c>
      <c r="L464" t="n">
        <v>0</v>
      </c>
      <c r="M464" t="n">
        <v>0</v>
      </c>
      <c r="N464" t="n">
        <v>0</v>
      </c>
      <c r="O464" t="n">
        <v>0</v>
      </c>
      <c r="P464" t="n">
        <v>0</v>
      </c>
      <c r="Q464" t="n">
        <v>0</v>
      </c>
      <c r="R464" s="2" t="inlineStr"/>
    </row>
    <row r="465" ht="15" customHeight="1">
      <c r="A465" t="inlineStr">
        <is>
          <t>A 36299-2025</t>
        </is>
      </c>
      <c r="B465" s="1" t="n">
        <v>45867.69346064814</v>
      </c>
      <c r="C465" s="1" t="n">
        <v>46010</v>
      </c>
      <c r="D465" t="inlineStr">
        <is>
          <t>KALMAR LÄN</t>
        </is>
      </c>
      <c r="E465" t="inlineStr">
        <is>
          <t>VIMMERBY</t>
        </is>
      </c>
      <c r="G465" t="n">
        <v>7.6</v>
      </c>
      <c r="H465" t="n">
        <v>0</v>
      </c>
      <c r="I465" t="n">
        <v>0</v>
      </c>
      <c r="J465" t="n">
        <v>0</v>
      </c>
      <c r="K465" t="n">
        <v>0</v>
      </c>
      <c r="L465" t="n">
        <v>0</v>
      </c>
      <c r="M465" t="n">
        <v>0</v>
      </c>
      <c r="N465" t="n">
        <v>0</v>
      </c>
      <c r="O465" t="n">
        <v>0</v>
      </c>
      <c r="P465" t="n">
        <v>0</v>
      </c>
      <c r="Q465" t="n">
        <v>0</v>
      </c>
      <c r="R465" s="2" t="inlineStr"/>
    </row>
    <row r="466" ht="15" customHeight="1">
      <c r="A466" t="inlineStr">
        <is>
          <t>A 7932-2025</t>
        </is>
      </c>
      <c r="B466" s="1" t="n">
        <v>45707.3793287037</v>
      </c>
      <c r="C466" s="1" t="n">
        <v>46010</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46361-2025</t>
        </is>
      </c>
      <c r="B467" s="1" t="n">
        <v>45925.49670138889</v>
      </c>
      <c r="C467" s="1" t="n">
        <v>46010</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36538-2025</t>
        </is>
      </c>
      <c r="B468" s="1" t="n">
        <v>45869.62276620371</v>
      </c>
      <c r="C468" s="1" t="n">
        <v>46010</v>
      </c>
      <c r="D468" t="inlineStr">
        <is>
          <t>KALMAR LÄN</t>
        </is>
      </c>
      <c r="E468" t="inlineStr">
        <is>
          <t>VIMMERBY</t>
        </is>
      </c>
      <c r="G468" t="n">
        <v>2.6</v>
      </c>
      <c r="H468" t="n">
        <v>0</v>
      </c>
      <c r="I468" t="n">
        <v>0</v>
      </c>
      <c r="J468" t="n">
        <v>0</v>
      </c>
      <c r="K468" t="n">
        <v>0</v>
      </c>
      <c r="L468" t="n">
        <v>0</v>
      </c>
      <c r="M468" t="n">
        <v>0</v>
      </c>
      <c r="N468" t="n">
        <v>0</v>
      </c>
      <c r="O468" t="n">
        <v>0</v>
      </c>
      <c r="P468" t="n">
        <v>0</v>
      </c>
      <c r="Q468" t="n">
        <v>0</v>
      </c>
      <c r="R468" s="2" t="inlineStr"/>
    </row>
    <row r="469" ht="15" customHeight="1">
      <c r="A469" t="inlineStr">
        <is>
          <t>A 36598-2025</t>
        </is>
      </c>
      <c r="B469" s="1" t="n">
        <v>45870.51708333333</v>
      </c>
      <c r="C469" s="1" t="n">
        <v>46010</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36602-2025</t>
        </is>
      </c>
      <c r="B470" s="1" t="n">
        <v>45870.52111111111</v>
      </c>
      <c r="C470" s="1" t="n">
        <v>46010</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2121-2022</t>
        </is>
      </c>
      <c r="B471" s="1" t="n">
        <v>44578.32717592592</v>
      </c>
      <c r="C471" s="1" t="n">
        <v>46010</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34386-2024</t>
        </is>
      </c>
      <c r="B472" s="1" t="n">
        <v>45525.41762731481</v>
      </c>
      <c r="C472" s="1" t="n">
        <v>46010</v>
      </c>
      <c r="D472" t="inlineStr">
        <is>
          <t>KALMAR LÄN</t>
        </is>
      </c>
      <c r="E472" t="inlineStr">
        <is>
          <t>VIMMERBY</t>
        </is>
      </c>
      <c r="G472" t="n">
        <v>0.3</v>
      </c>
      <c r="H472" t="n">
        <v>0</v>
      </c>
      <c r="I472" t="n">
        <v>0</v>
      </c>
      <c r="J472" t="n">
        <v>0</v>
      </c>
      <c r="K472" t="n">
        <v>0</v>
      </c>
      <c r="L472" t="n">
        <v>0</v>
      </c>
      <c r="M472" t="n">
        <v>0</v>
      </c>
      <c r="N472" t="n">
        <v>0</v>
      </c>
      <c r="O472" t="n">
        <v>0</v>
      </c>
      <c r="P472" t="n">
        <v>0</v>
      </c>
      <c r="Q472" t="n">
        <v>0</v>
      </c>
      <c r="R472" s="2" t="inlineStr"/>
    </row>
    <row r="473" ht="15" customHeight="1">
      <c r="A473" t="inlineStr">
        <is>
          <t>A 6069-2023</t>
        </is>
      </c>
      <c r="B473" s="1" t="n">
        <v>44964.5115162037</v>
      </c>
      <c r="C473" s="1" t="n">
        <v>46010</v>
      </c>
      <c r="D473" t="inlineStr">
        <is>
          <t>KALMAR LÄN</t>
        </is>
      </c>
      <c r="E473" t="inlineStr">
        <is>
          <t>VIMMERBY</t>
        </is>
      </c>
      <c r="G473" t="n">
        <v>1.1</v>
      </c>
      <c r="H473" t="n">
        <v>0</v>
      </c>
      <c r="I473" t="n">
        <v>0</v>
      </c>
      <c r="J473" t="n">
        <v>0</v>
      </c>
      <c r="K473" t="n">
        <v>0</v>
      </c>
      <c r="L473" t="n">
        <v>0</v>
      </c>
      <c r="M473" t="n">
        <v>0</v>
      </c>
      <c r="N473" t="n">
        <v>0</v>
      </c>
      <c r="O473" t="n">
        <v>0</v>
      </c>
      <c r="P473" t="n">
        <v>0</v>
      </c>
      <c r="Q473" t="n">
        <v>0</v>
      </c>
      <c r="R473" s="2" t="inlineStr"/>
    </row>
    <row r="474" ht="15" customHeight="1">
      <c r="A474" t="inlineStr">
        <is>
          <t>A 36603-2025</t>
        </is>
      </c>
      <c r="B474" s="1" t="n">
        <v>45870.52142361111</v>
      </c>
      <c r="C474" s="1" t="n">
        <v>46010</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36600-2025</t>
        </is>
      </c>
      <c r="B475" s="1" t="n">
        <v>45870.51958333333</v>
      </c>
      <c r="C475" s="1" t="n">
        <v>46010</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36601-2025</t>
        </is>
      </c>
      <c r="B476" s="1" t="n">
        <v>45870.52005787037</v>
      </c>
      <c r="C476" s="1" t="n">
        <v>46010</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46887-2025</t>
        </is>
      </c>
      <c r="B477" s="1" t="n">
        <v>45929.3672337963</v>
      </c>
      <c r="C477" s="1" t="n">
        <v>46010</v>
      </c>
      <c r="D477" t="inlineStr">
        <is>
          <t>KALMAR LÄN</t>
        </is>
      </c>
      <c r="E477" t="inlineStr">
        <is>
          <t>VIMMERBY</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37088-2025</t>
        </is>
      </c>
      <c r="B478" s="1" t="n">
        <v>45875.45716435185</v>
      </c>
      <c r="C478" s="1" t="n">
        <v>46010</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37102-2025</t>
        </is>
      </c>
      <c r="B479" s="1" t="n">
        <v>45875.47454861111</v>
      </c>
      <c r="C479" s="1" t="n">
        <v>46010</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32633-2023</t>
        </is>
      </c>
      <c r="B480" s="1" t="n">
        <v>45121.58699074074</v>
      </c>
      <c r="C480" s="1" t="n">
        <v>46010</v>
      </c>
      <c r="D480" t="inlineStr">
        <is>
          <t>KALMAR LÄN</t>
        </is>
      </c>
      <c r="E480" t="inlineStr">
        <is>
          <t>VIMMERBY</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45856-2025</t>
        </is>
      </c>
      <c r="B481" s="1" t="n">
        <v>45923</v>
      </c>
      <c r="C481" s="1" t="n">
        <v>46010</v>
      </c>
      <c r="D481" t="inlineStr">
        <is>
          <t>KALMAR LÄN</t>
        </is>
      </c>
      <c r="E481" t="inlineStr">
        <is>
          <t>VIMMERBY</t>
        </is>
      </c>
      <c r="G481" t="n">
        <v>2.1</v>
      </c>
      <c r="H481" t="n">
        <v>0</v>
      </c>
      <c r="I481" t="n">
        <v>0</v>
      </c>
      <c r="J481" t="n">
        <v>0</v>
      </c>
      <c r="K481" t="n">
        <v>0</v>
      </c>
      <c r="L481" t="n">
        <v>0</v>
      </c>
      <c r="M481" t="n">
        <v>0</v>
      </c>
      <c r="N481" t="n">
        <v>0</v>
      </c>
      <c r="O481" t="n">
        <v>0</v>
      </c>
      <c r="P481" t="n">
        <v>0</v>
      </c>
      <c r="Q481" t="n">
        <v>0</v>
      </c>
      <c r="R481" s="2" t="inlineStr"/>
    </row>
    <row r="482" ht="15" customHeight="1">
      <c r="A482" t="inlineStr">
        <is>
          <t>A 37079-2025</t>
        </is>
      </c>
      <c r="B482" s="1" t="n">
        <v>45875.42716435185</v>
      </c>
      <c r="C482" s="1" t="n">
        <v>46010</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49461-2023</t>
        </is>
      </c>
      <c r="B483" s="1" t="n">
        <v>45211.52642361111</v>
      </c>
      <c r="C483" s="1" t="n">
        <v>46010</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23095-2023</t>
        </is>
      </c>
      <c r="B484" s="1" t="n">
        <v>45075.43059027778</v>
      </c>
      <c r="C484" s="1" t="n">
        <v>46010</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11429-2022</t>
        </is>
      </c>
      <c r="B485" s="1" t="n">
        <v>44630</v>
      </c>
      <c r="C485" s="1" t="n">
        <v>46010</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36934-2025</t>
        </is>
      </c>
      <c r="B486" s="1" t="n">
        <v>45874.57109953704</v>
      </c>
      <c r="C486" s="1" t="n">
        <v>46010</v>
      </c>
      <c r="D486" t="inlineStr">
        <is>
          <t>KALMAR LÄN</t>
        </is>
      </c>
      <c r="E486" t="inlineStr">
        <is>
          <t>VIMMERBY</t>
        </is>
      </c>
      <c r="G486" t="n">
        <v>4.2</v>
      </c>
      <c r="H486" t="n">
        <v>0</v>
      </c>
      <c r="I486" t="n">
        <v>0</v>
      </c>
      <c r="J486" t="n">
        <v>0</v>
      </c>
      <c r="K486" t="n">
        <v>0</v>
      </c>
      <c r="L486" t="n">
        <v>0</v>
      </c>
      <c r="M486" t="n">
        <v>0</v>
      </c>
      <c r="N486" t="n">
        <v>0</v>
      </c>
      <c r="O486" t="n">
        <v>0</v>
      </c>
      <c r="P486" t="n">
        <v>0</v>
      </c>
      <c r="Q486" t="n">
        <v>0</v>
      </c>
      <c r="R486" s="2" t="inlineStr"/>
    </row>
    <row r="487" ht="15" customHeight="1">
      <c r="A487" t="inlineStr">
        <is>
          <t>A 11141-2024</t>
        </is>
      </c>
      <c r="B487" s="1" t="n">
        <v>45371.45865740741</v>
      </c>
      <c r="C487" s="1" t="n">
        <v>46010</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28395-2023</t>
        </is>
      </c>
      <c r="B488" s="1" t="n">
        <v>45100.4062962963</v>
      </c>
      <c r="C488" s="1" t="n">
        <v>46010</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34597-2022</t>
        </is>
      </c>
      <c r="B489" s="1" t="n">
        <v>44795</v>
      </c>
      <c r="C489" s="1" t="n">
        <v>46010</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37578-2025</t>
        </is>
      </c>
      <c r="B490" s="1" t="n">
        <v>45880.38380787037</v>
      </c>
      <c r="C490" s="1" t="n">
        <v>46010</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64428-2023</t>
        </is>
      </c>
      <c r="B491" s="1" t="n">
        <v>45280.66769675926</v>
      </c>
      <c r="C491" s="1" t="n">
        <v>46010</v>
      </c>
      <c r="D491" t="inlineStr">
        <is>
          <t>KALMAR LÄN</t>
        </is>
      </c>
      <c r="E491" t="inlineStr">
        <is>
          <t>VIMMERBY</t>
        </is>
      </c>
      <c r="G491" t="n">
        <v>1.2</v>
      </c>
      <c r="H491" t="n">
        <v>0</v>
      </c>
      <c r="I491" t="n">
        <v>0</v>
      </c>
      <c r="J491" t="n">
        <v>0</v>
      </c>
      <c r="K491" t="n">
        <v>0</v>
      </c>
      <c r="L491" t="n">
        <v>0</v>
      </c>
      <c r="M491" t="n">
        <v>0</v>
      </c>
      <c r="N491" t="n">
        <v>0</v>
      </c>
      <c r="O491" t="n">
        <v>0</v>
      </c>
      <c r="P491" t="n">
        <v>0</v>
      </c>
      <c r="Q491" t="n">
        <v>0</v>
      </c>
      <c r="R491" s="2" t="inlineStr"/>
    </row>
    <row r="492" ht="15" customHeight="1">
      <c r="A492" t="inlineStr">
        <is>
          <t>A 30588-2023</t>
        </is>
      </c>
      <c r="B492" s="1" t="n">
        <v>45112.33599537037</v>
      </c>
      <c r="C492" s="1" t="n">
        <v>46010</v>
      </c>
      <c r="D492" t="inlineStr">
        <is>
          <t>KALMAR LÄN</t>
        </is>
      </c>
      <c r="E492" t="inlineStr">
        <is>
          <t>VIMMERBY</t>
        </is>
      </c>
      <c r="G492" t="n">
        <v>2.7</v>
      </c>
      <c r="H492" t="n">
        <v>0</v>
      </c>
      <c r="I492" t="n">
        <v>0</v>
      </c>
      <c r="J492" t="n">
        <v>0</v>
      </c>
      <c r="K492" t="n">
        <v>0</v>
      </c>
      <c r="L492" t="n">
        <v>0</v>
      </c>
      <c r="M492" t="n">
        <v>0</v>
      </c>
      <c r="N492" t="n">
        <v>0</v>
      </c>
      <c r="O492" t="n">
        <v>0</v>
      </c>
      <c r="P492" t="n">
        <v>0</v>
      </c>
      <c r="Q492" t="n">
        <v>0</v>
      </c>
      <c r="R492" s="2" t="inlineStr"/>
    </row>
    <row r="493" ht="15" customHeight="1">
      <c r="A493" t="inlineStr">
        <is>
          <t>A 30503-2023</t>
        </is>
      </c>
      <c r="B493" s="1" t="n">
        <v>45111</v>
      </c>
      <c r="C493" s="1" t="n">
        <v>46010</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37668-2025</t>
        </is>
      </c>
      <c r="B494" s="1" t="n">
        <v>45880.51550925926</v>
      </c>
      <c r="C494" s="1" t="n">
        <v>46010</v>
      </c>
      <c r="D494" t="inlineStr">
        <is>
          <t>KALMAR LÄN</t>
        </is>
      </c>
      <c r="E494" t="inlineStr">
        <is>
          <t>VIMMERBY</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37939-2025</t>
        </is>
      </c>
      <c r="B495" s="1" t="n">
        <v>45881.59877314815</v>
      </c>
      <c r="C495" s="1" t="n">
        <v>46010</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37866-2025</t>
        </is>
      </c>
      <c r="B496" s="1" t="n">
        <v>45881</v>
      </c>
      <c r="C496" s="1" t="n">
        <v>46010</v>
      </c>
      <c r="D496" t="inlineStr">
        <is>
          <t>KALMAR LÄN</t>
        </is>
      </c>
      <c r="E496" t="inlineStr">
        <is>
          <t>VIMMERBY</t>
        </is>
      </c>
      <c r="G496" t="n">
        <v>3.4</v>
      </c>
      <c r="H496" t="n">
        <v>0</v>
      </c>
      <c r="I496" t="n">
        <v>0</v>
      </c>
      <c r="J496" t="n">
        <v>0</v>
      </c>
      <c r="K496" t="n">
        <v>0</v>
      </c>
      <c r="L496" t="n">
        <v>0</v>
      </c>
      <c r="M496" t="n">
        <v>0</v>
      </c>
      <c r="N496" t="n">
        <v>0</v>
      </c>
      <c r="O496" t="n">
        <v>0</v>
      </c>
      <c r="P496" t="n">
        <v>0</v>
      </c>
      <c r="Q496" t="n">
        <v>0</v>
      </c>
      <c r="R496" s="2" t="inlineStr"/>
    </row>
    <row r="497" ht="15" customHeight="1">
      <c r="A497" t="inlineStr">
        <is>
          <t>A 47263-2023</t>
        </is>
      </c>
      <c r="B497" s="1" t="n">
        <v>45202.4209837963</v>
      </c>
      <c r="C497" s="1" t="n">
        <v>46010</v>
      </c>
      <c r="D497" t="inlineStr">
        <is>
          <t>KALMAR LÄN</t>
        </is>
      </c>
      <c r="E497" t="inlineStr">
        <is>
          <t>VIMMERBY</t>
        </is>
      </c>
      <c r="G497" t="n">
        <v>1.8</v>
      </c>
      <c r="H497" t="n">
        <v>0</v>
      </c>
      <c r="I497" t="n">
        <v>0</v>
      </c>
      <c r="J497" t="n">
        <v>0</v>
      </c>
      <c r="K497" t="n">
        <v>0</v>
      </c>
      <c r="L497" t="n">
        <v>0</v>
      </c>
      <c r="M497" t="n">
        <v>0</v>
      </c>
      <c r="N497" t="n">
        <v>0</v>
      </c>
      <c r="O497" t="n">
        <v>0</v>
      </c>
      <c r="P497" t="n">
        <v>0</v>
      </c>
      <c r="Q497" t="n">
        <v>0</v>
      </c>
      <c r="R497" s="2" t="inlineStr"/>
    </row>
    <row r="498" ht="15" customHeight="1">
      <c r="A498" t="inlineStr">
        <is>
          <t>A 45854-2025</t>
        </is>
      </c>
      <c r="B498" s="1" t="n">
        <v>45923</v>
      </c>
      <c r="C498" s="1" t="n">
        <v>46010</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45855-2025</t>
        </is>
      </c>
      <c r="B499" s="1" t="n">
        <v>45923</v>
      </c>
      <c r="C499" s="1" t="n">
        <v>46010</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58100-2024</t>
        </is>
      </c>
      <c r="B500" s="1" t="n">
        <v>45632.36706018518</v>
      </c>
      <c r="C500" s="1" t="n">
        <v>46010</v>
      </c>
      <c r="D500" t="inlineStr">
        <is>
          <t>KALMAR LÄN</t>
        </is>
      </c>
      <c r="E500" t="inlineStr">
        <is>
          <t>VIMMERBY</t>
        </is>
      </c>
      <c r="G500" t="n">
        <v>0.9</v>
      </c>
      <c r="H500" t="n">
        <v>0</v>
      </c>
      <c r="I500" t="n">
        <v>0</v>
      </c>
      <c r="J500" t="n">
        <v>0</v>
      </c>
      <c r="K500" t="n">
        <v>0</v>
      </c>
      <c r="L500" t="n">
        <v>0</v>
      </c>
      <c r="M500" t="n">
        <v>0</v>
      </c>
      <c r="N500" t="n">
        <v>0</v>
      </c>
      <c r="O500" t="n">
        <v>0</v>
      </c>
      <c r="P500" t="n">
        <v>0</v>
      </c>
      <c r="Q500" t="n">
        <v>0</v>
      </c>
      <c r="R500" s="2" t="inlineStr"/>
    </row>
    <row r="501" ht="15" customHeight="1">
      <c r="A501" t="inlineStr">
        <is>
          <t>A 58159-2024</t>
        </is>
      </c>
      <c r="B501" s="1" t="n">
        <v>45632.44886574074</v>
      </c>
      <c r="C501" s="1" t="n">
        <v>46010</v>
      </c>
      <c r="D501" t="inlineStr">
        <is>
          <t>KALMAR LÄN</t>
        </is>
      </c>
      <c r="E501" t="inlineStr">
        <is>
          <t>VIMMERBY</t>
        </is>
      </c>
      <c r="G501" t="n">
        <v>7.5</v>
      </c>
      <c r="H501" t="n">
        <v>0</v>
      </c>
      <c r="I501" t="n">
        <v>0</v>
      </c>
      <c r="J501" t="n">
        <v>0</v>
      </c>
      <c r="K501" t="n">
        <v>0</v>
      </c>
      <c r="L501" t="n">
        <v>0</v>
      </c>
      <c r="M501" t="n">
        <v>0</v>
      </c>
      <c r="N501" t="n">
        <v>0</v>
      </c>
      <c r="O501" t="n">
        <v>0</v>
      </c>
      <c r="P501" t="n">
        <v>0</v>
      </c>
      <c r="Q501" t="n">
        <v>0</v>
      </c>
      <c r="R501" s="2" t="inlineStr"/>
    </row>
    <row r="502" ht="15" customHeight="1">
      <c r="A502" t="inlineStr">
        <is>
          <t>A 57114-2023</t>
        </is>
      </c>
      <c r="B502" s="1" t="n">
        <v>45245.36174768519</v>
      </c>
      <c r="C502" s="1" t="n">
        <v>46010</v>
      </c>
      <c r="D502" t="inlineStr">
        <is>
          <t>KALMAR LÄN</t>
        </is>
      </c>
      <c r="E502" t="inlineStr">
        <is>
          <t>VIMMERBY</t>
        </is>
      </c>
      <c r="G502" t="n">
        <v>1.5</v>
      </c>
      <c r="H502" t="n">
        <v>0</v>
      </c>
      <c r="I502" t="n">
        <v>0</v>
      </c>
      <c r="J502" t="n">
        <v>0</v>
      </c>
      <c r="K502" t="n">
        <v>0</v>
      </c>
      <c r="L502" t="n">
        <v>0</v>
      </c>
      <c r="M502" t="n">
        <v>0</v>
      </c>
      <c r="N502" t="n">
        <v>0</v>
      </c>
      <c r="O502" t="n">
        <v>0</v>
      </c>
      <c r="P502" t="n">
        <v>0</v>
      </c>
      <c r="Q502" t="n">
        <v>0</v>
      </c>
      <c r="R502" s="2" t="inlineStr"/>
    </row>
    <row r="503" ht="15" customHeight="1">
      <c r="A503" t="inlineStr">
        <is>
          <t>A 3423-2022</t>
        </is>
      </c>
      <c r="B503" s="1" t="n">
        <v>44585.50431712963</v>
      </c>
      <c r="C503" s="1" t="n">
        <v>46010</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40665-2023</t>
        </is>
      </c>
      <c r="B504" s="1" t="n">
        <v>45170</v>
      </c>
      <c r="C504" s="1" t="n">
        <v>46010</v>
      </c>
      <c r="D504" t="inlineStr">
        <is>
          <t>KALMAR LÄN</t>
        </is>
      </c>
      <c r="E504" t="inlineStr">
        <is>
          <t>VIMMERBY</t>
        </is>
      </c>
      <c r="G504" t="n">
        <v>2.6</v>
      </c>
      <c r="H504" t="n">
        <v>0</v>
      </c>
      <c r="I504" t="n">
        <v>0</v>
      </c>
      <c r="J504" t="n">
        <v>0</v>
      </c>
      <c r="K504" t="n">
        <v>0</v>
      </c>
      <c r="L504" t="n">
        <v>0</v>
      </c>
      <c r="M504" t="n">
        <v>0</v>
      </c>
      <c r="N504" t="n">
        <v>0</v>
      </c>
      <c r="O504" t="n">
        <v>0</v>
      </c>
      <c r="P504" t="n">
        <v>0</v>
      </c>
      <c r="Q504" t="n">
        <v>0</v>
      </c>
      <c r="R504" s="2" t="inlineStr"/>
    </row>
    <row r="505" ht="15" customHeight="1">
      <c r="A505" t="inlineStr">
        <is>
          <t>A 38964-2025</t>
        </is>
      </c>
      <c r="B505" s="1" t="n">
        <v>45887.68759259259</v>
      </c>
      <c r="C505" s="1" t="n">
        <v>46010</v>
      </c>
      <c r="D505" t="inlineStr">
        <is>
          <t>KALMAR LÄN</t>
        </is>
      </c>
      <c r="E505" t="inlineStr">
        <is>
          <t>VIMMERBY</t>
        </is>
      </c>
      <c r="G505" t="n">
        <v>7.5</v>
      </c>
      <c r="H505" t="n">
        <v>0</v>
      </c>
      <c r="I505" t="n">
        <v>0</v>
      </c>
      <c r="J505" t="n">
        <v>0</v>
      </c>
      <c r="K505" t="n">
        <v>0</v>
      </c>
      <c r="L505" t="n">
        <v>0</v>
      </c>
      <c r="M505" t="n">
        <v>0</v>
      </c>
      <c r="N505" t="n">
        <v>0</v>
      </c>
      <c r="O505" t="n">
        <v>0</v>
      </c>
      <c r="P505" t="n">
        <v>0</v>
      </c>
      <c r="Q505" t="n">
        <v>0</v>
      </c>
      <c r="R505" s="2" t="inlineStr"/>
    </row>
    <row r="506" ht="15" customHeight="1">
      <c r="A506" t="inlineStr">
        <is>
          <t>A 55384-2025</t>
        </is>
      </c>
      <c r="B506" s="1" t="n">
        <v>45971.43178240741</v>
      </c>
      <c r="C506" s="1" t="n">
        <v>46010</v>
      </c>
      <c r="D506" t="inlineStr">
        <is>
          <t>KALMAR LÄN</t>
        </is>
      </c>
      <c r="E506" t="inlineStr">
        <is>
          <t>VIMMERBY</t>
        </is>
      </c>
      <c r="G506" t="n">
        <v>1.7</v>
      </c>
      <c r="H506" t="n">
        <v>0</v>
      </c>
      <c r="I506" t="n">
        <v>0</v>
      </c>
      <c r="J506" t="n">
        <v>0</v>
      </c>
      <c r="K506" t="n">
        <v>0</v>
      </c>
      <c r="L506" t="n">
        <v>0</v>
      </c>
      <c r="M506" t="n">
        <v>0</v>
      </c>
      <c r="N506" t="n">
        <v>0</v>
      </c>
      <c r="O506" t="n">
        <v>0</v>
      </c>
      <c r="P506" t="n">
        <v>0</v>
      </c>
      <c r="Q506" t="n">
        <v>0</v>
      </c>
      <c r="R506" s="2" t="inlineStr"/>
    </row>
    <row r="507" ht="15" customHeight="1">
      <c r="A507" t="inlineStr">
        <is>
          <t>A 55385-2025</t>
        </is>
      </c>
      <c r="B507" s="1" t="n">
        <v>45971.43350694444</v>
      </c>
      <c r="C507" s="1" t="n">
        <v>46010</v>
      </c>
      <c r="D507" t="inlineStr">
        <is>
          <t>KALMAR LÄN</t>
        </is>
      </c>
      <c r="E507" t="inlineStr">
        <is>
          <t>VIMMERBY</t>
        </is>
      </c>
      <c r="G507" t="n">
        <v>5</v>
      </c>
      <c r="H507" t="n">
        <v>0</v>
      </c>
      <c r="I507" t="n">
        <v>0</v>
      </c>
      <c r="J507" t="n">
        <v>0</v>
      </c>
      <c r="K507" t="n">
        <v>0</v>
      </c>
      <c r="L507" t="n">
        <v>0</v>
      </c>
      <c r="M507" t="n">
        <v>0</v>
      </c>
      <c r="N507" t="n">
        <v>0</v>
      </c>
      <c r="O507" t="n">
        <v>0</v>
      </c>
      <c r="P507" t="n">
        <v>0</v>
      </c>
      <c r="Q507" t="n">
        <v>0</v>
      </c>
      <c r="R507" s="2" t="inlineStr"/>
    </row>
    <row r="508" ht="15" customHeight="1">
      <c r="A508" t="inlineStr">
        <is>
          <t>A 50860-2022</t>
        </is>
      </c>
      <c r="B508" s="1" t="n">
        <v>44867</v>
      </c>
      <c r="C508" s="1" t="n">
        <v>46010</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25370-2022</t>
        </is>
      </c>
      <c r="B509" s="1" t="n">
        <v>44732.3659837963</v>
      </c>
      <c r="C509" s="1" t="n">
        <v>46010</v>
      </c>
      <c r="D509" t="inlineStr">
        <is>
          <t>KALMAR LÄN</t>
        </is>
      </c>
      <c r="E509" t="inlineStr">
        <is>
          <t>VIMMERBY</t>
        </is>
      </c>
      <c r="G509" t="n">
        <v>1.2</v>
      </c>
      <c r="H509" t="n">
        <v>0</v>
      </c>
      <c r="I509" t="n">
        <v>0</v>
      </c>
      <c r="J509" t="n">
        <v>0</v>
      </c>
      <c r="K509" t="n">
        <v>0</v>
      </c>
      <c r="L509" t="n">
        <v>0</v>
      </c>
      <c r="M509" t="n">
        <v>0</v>
      </c>
      <c r="N509" t="n">
        <v>0</v>
      </c>
      <c r="O509" t="n">
        <v>0</v>
      </c>
      <c r="P509" t="n">
        <v>0</v>
      </c>
      <c r="Q509" t="n">
        <v>0</v>
      </c>
      <c r="R509" s="2" t="inlineStr"/>
    </row>
    <row r="510" ht="15" customHeight="1">
      <c r="A510" t="inlineStr">
        <is>
          <t>A 58577-2024</t>
        </is>
      </c>
      <c r="B510" s="1" t="n">
        <v>45635.4874537037</v>
      </c>
      <c r="C510" s="1" t="n">
        <v>46010</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55602-2025</t>
        </is>
      </c>
      <c r="B511" s="1" t="n">
        <v>45971</v>
      </c>
      <c r="C511" s="1" t="n">
        <v>46010</v>
      </c>
      <c r="D511" t="inlineStr">
        <is>
          <t>KALMAR LÄN</t>
        </is>
      </c>
      <c r="E511" t="inlineStr">
        <is>
          <t>VIMMERBY</t>
        </is>
      </c>
      <c r="G511" t="n">
        <v>2.7</v>
      </c>
      <c r="H511" t="n">
        <v>0</v>
      </c>
      <c r="I511" t="n">
        <v>0</v>
      </c>
      <c r="J511" t="n">
        <v>0</v>
      </c>
      <c r="K511" t="n">
        <v>0</v>
      </c>
      <c r="L511" t="n">
        <v>0</v>
      </c>
      <c r="M511" t="n">
        <v>0</v>
      </c>
      <c r="N511" t="n">
        <v>0</v>
      </c>
      <c r="O511" t="n">
        <v>0</v>
      </c>
      <c r="P511" t="n">
        <v>0</v>
      </c>
      <c r="Q511" t="n">
        <v>0</v>
      </c>
      <c r="R511" s="2" t="inlineStr"/>
    </row>
    <row r="512" ht="15" customHeight="1">
      <c r="A512" t="inlineStr">
        <is>
          <t>A 29440-2024</t>
        </is>
      </c>
      <c r="B512" s="1" t="n">
        <v>45483.82479166667</v>
      </c>
      <c r="C512" s="1" t="n">
        <v>46010</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47227-2025</t>
        </is>
      </c>
      <c r="B513" s="1" t="n">
        <v>45930.39769675926</v>
      </c>
      <c r="C513" s="1" t="n">
        <v>46010</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9129-2025</t>
        </is>
      </c>
      <c r="B514" s="1" t="n">
        <v>45713.92412037037</v>
      </c>
      <c r="C514" s="1" t="n">
        <v>46010</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22197-2024</t>
        </is>
      </c>
      <c r="B515" s="1" t="n">
        <v>45446.36774305555</v>
      </c>
      <c r="C515" s="1" t="n">
        <v>46010</v>
      </c>
      <c r="D515" t="inlineStr">
        <is>
          <t>KALMAR LÄN</t>
        </is>
      </c>
      <c r="E515" t="inlineStr">
        <is>
          <t>VIMMERBY</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53752-2024</t>
        </is>
      </c>
      <c r="B516" s="1" t="n">
        <v>45615.48927083334</v>
      </c>
      <c r="C516" s="1" t="n">
        <v>46010</v>
      </c>
      <c r="D516" t="inlineStr">
        <is>
          <t>KALMAR LÄN</t>
        </is>
      </c>
      <c r="E516" t="inlineStr">
        <is>
          <t>VIMMERBY</t>
        </is>
      </c>
      <c r="G516" t="n">
        <v>2.4</v>
      </c>
      <c r="H516" t="n">
        <v>0</v>
      </c>
      <c r="I516" t="n">
        <v>0</v>
      </c>
      <c r="J516" t="n">
        <v>0</v>
      </c>
      <c r="K516" t="n">
        <v>0</v>
      </c>
      <c r="L516" t="n">
        <v>0</v>
      </c>
      <c r="M516" t="n">
        <v>0</v>
      </c>
      <c r="N516" t="n">
        <v>0</v>
      </c>
      <c r="O516" t="n">
        <v>0</v>
      </c>
      <c r="P516" t="n">
        <v>0</v>
      </c>
      <c r="Q516" t="n">
        <v>0</v>
      </c>
      <c r="R516" s="2" t="inlineStr"/>
    </row>
    <row r="517" ht="15" customHeight="1">
      <c r="A517" t="inlineStr">
        <is>
          <t>A 12121-2025</t>
        </is>
      </c>
      <c r="B517" s="1" t="n">
        <v>45729.36868055556</v>
      </c>
      <c r="C517" s="1" t="n">
        <v>46010</v>
      </c>
      <c r="D517" t="inlineStr">
        <is>
          <t>KALMAR LÄN</t>
        </is>
      </c>
      <c r="E517" t="inlineStr">
        <is>
          <t>VIMMERBY</t>
        </is>
      </c>
      <c r="G517" t="n">
        <v>4.3</v>
      </c>
      <c r="H517" t="n">
        <v>0</v>
      </c>
      <c r="I517" t="n">
        <v>0</v>
      </c>
      <c r="J517" t="n">
        <v>0</v>
      </c>
      <c r="K517" t="n">
        <v>0</v>
      </c>
      <c r="L517" t="n">
        <v>0</v>
      </c>
      <c r="M517" t="n">
        <v>0</v>
      </c>
      <c r="N517" t="n">
        <v>0</v>
      </c>
      <c r="O517" t="n">
        <v>0</v>
      </c>
      <c r="P517" t="n">
        <v>0</v>
      </c>
      <c r="Q517" t="n">
        <v>0</v>
      </c>
      <c r="R517" s="2" t="inlineStr"/>
    </row>
    <row r="518" ht="15" customHeight="1">
      <c r="A518" t="inlineStr">
        <is>
          <t>A 9710-2023</t>
        </is>
      </c>
      <c r="B518" s="1" t="n">
        <v>44984</v>
      </c>
      <c r="C518" s="1" t="n">
        <v>46010</v>
      </c>
      <c r="D518" t="inlineStr">
        <is>
          <t>KALMAR LÄN</t>
        </is>
      </c>
      <c r="E518" t="inlineStr">
        <is>
          <t>VIMMERBY</t>
        </is>
      </c>
      <c r="G518" t="n">
        <v>3.7</v>
      </c>
      <c r="H518" t="n">
        <v>0</v>
      </c>
      <c r="I518" t="n">
        <v>0</v>
      </c>
      <c r="J518" t="n">
        <v>0</v>
      </c>
      <c r="K518" t="n">
        <v>0</v>
      </c>
      <c r="L518" t="n">
        <v>0</v>
      </c>
      <c r="M518" t="n">
        <v>0</v>
      </c>
      <c r="N518" t="n">
        <v>0</v>
      </c>
      <c r="O518" t="n">
        <v>0</v>
      </c>
      <c r="P518" t="n">
        <v>0</v>
      </c>
      <c r="Q518" t="n">
        <v>0</v>
      </c>
      <c r="R518" s="2" t="inlineStr"/>
    </row>
    <row r="519" ht="15" customHeight="1">
      <c r="A519" t="inlineStr">
        <is>
          <t>A 9720-2023</t>
        </is>
      </c>
      <c r="B519" s="1" t="n">
        <v>44984</v>
      </c>
      <c r="C519" s="1" t="n">
        <v>46010</v>
      </c>
      <c r="D519" t="inlineStr">
        <is>
          <t>KALMAR LÄN</t>
        </is>
      </c>
      <c r="E519" t="inlineStr">
        <is>
          <t>VIMMERBY</t>
        </is>
      </c>
      <c r="G519" t="n">
        <v>4.4</v>
      </c>
      <c r="H519" t="n">
        <v>0</v>
      </c>
      <c r="I519" t="n">
        <v>0</v>
      </c>
      <c r="J519" t="n">
        <v>0</v>
      </c>
      <c r="K519" t="n">
        <v>0</v>
      </c>
      <c r="L519" t="n">
        <v>0</v>
      </c>
      <c r="M519" t="n">
        <v>0</v>
      </c>
      <c r="N519" t="n">
        <v>0</v>
      </c>
      <c r="O519" t="n">
        <v>0</v>
      </c>
      <c r="P519" t="n">
        <v>0</v>
      </c>
      <c r="Q519" t="n">
        <v>0</v>
      </c>
      <c r="R519" s="2" t="inlineStr"/>
    </row>
    <row r="520" ht="15" customHeight="1">
      <c r="A520" t="inlineStr">
        <is>
          <t>A 15493-2023</t>
        </is>
      </c>
      <c r="B520" s="1" t="n">
        <v>45018</v>
      </c>
      <c r="C520" s="1" t="n">
        <v>46010</v>
      </c>
      <c r="D520" t="inlineStr">
        <is>
          <t>KALMAR LÄN</t>
        </is>
      </c>
      <c r="E520" t="inlineStr">
        <is>
          <t>VIMMERBY</t>
        </is>
      </c>
      <c r="G520" t="n">
        <v>1</v>
      </c>
      <c r="H520" t="n">
        <v>0</v>
      </c>
      <c r="I520" t="n">
        <v>0</v>
      </c>
      <c r="J520" t="n">
        <v>0</v>
      </c>
      <c r="K520" t="n">
        <v>0</v>
      </c>
      <c r="L520" t="n">
        <v>0</v>
      </c>
      <c r="M520" t="n">
        <v>0</v>
      </c>
      <c r="N520" t="n">
        <v>0</v>
      </c>
      <c r="O520" t="n">
        <v>0</v>
      </c>
      <c r="P520" t="n">
        <v>0</v>
      </c>
      <c r="Q520" t="n">
        <v>0</v>
      </c>
      <c r="R520" s="2" t="inlineStr"/>
    </row>
    <row r="521" ht="15" customHeight="1">
      <c r="A521" t="inlineStr">
        <is>
          <t>A 55603-2025</t>
        </is>
      </c>
      <c r="B521" s="1" t="n">
        <v>45971</v>
      </c>
      <c r="C521" s="1" t="n">
        <v>46010</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55605-2025</t>
        </is>
      </c>
      <c r="B522" s="1" t="n">
        <v>45971</v>
      </c>
      <c r="C522" s="1" t="n">
        <v>46010</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48299-2025</t>
        </is>
      </c>
      <c r="B523" s="1" t="n">
        <v>45933.60982638889</v>
      </c>
      <c r="C523" s="1" t="n">
        <v>46010</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29093-2023</t>
        </is>
      </c>
      <c r="B524" s="1" t="n">
        <v>45105</v>
      </c>
      <c r="C524" s="1" t="n">
        <v>46010</v>
      </c>
      <c r="D524" t="inlineStr">
        <is>
          <t>KALMAR LÄN</t>
        </is>
      </c>
      <c r="E524" t="inlineStr">
        <is>
          <t>VIMMERBY</t>
        </is>
      </c>
      <c r="G524" t="n">
        <v>2.9</v>
      </c>
      <c r="H524" t="n">
        <v>0</v>
      </c>
      <c r="I524" t="n">
        <v>0</v>
      </c>
      <c r="J524" t="n">
        <v>0</v>
      </c>
      <c r="K524" t="n">
        <v>0</v>
      </c>
      <c r="L524" t="n">
        <v>0</v>
      </c>
      <c r="M524" t="n">
        <v>0</v>
      </c>
      <c r="N524" t="n">
        <v>0</v>
      </c>
      <c r="O524" t="n">
        <v>0</v>
      </c>
      <c r="P524" t="n">
        <v>0</v>
      </c>
      <c r="Q524" t="n">
        <v>0</v>
      </c>
      <c r="R524" s="2" t="inlineStr"/>
    </row>
    <row r="525" ht="15" customHeight="1">
      <c r="A525" t="inlineStr">
        <is>
          <t>A 33352-2022</t>
        </is>
      </c>
      <c r="B525" s="1" t="n">
        <v>44788</v>
      </c>
      <c r="C525" s="1" t="n">
        <v>46010</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10674-2021</t>
        </is>
      </c>
      <c r="B526" s="1" t="n">
        <v>44258</v>
      </c>
      <c r="C526" s="1" t="n">
        <v>46010</v>
      </c>
      <c r="D526" t="inlineStr">
        <is>
          <t>KALMAR LÄN</t>
        </is>
      </c>
      <c r="E526" t="inlineStr">
        <is>
          <t>VIMMERBY</t>
        </is>
      </c>
      <c r="G526" t="n">
        <v>8.4</v>
      </c>
      <c r="H526" t="n">
        <v>0</v>
      </c>
      <c r="I526" t="n">
        <v>0</v>
      </c>
      <c r="J526" t="n">
        <v>0</v>
      </c>
      <c r="K526" t="n">
        <v>0</v>
      </c>
      <c r="L526" t="n">
        <v>0</v>
      </c>
      <c r="M526" t="n">
        <v>0</v>
      </c>
      <c r="N526" t="n">
        <v>0</v>
      </c>
      <c r="O526" t="n">
        <v>0</v>
      </c>
      <c r="P526" t="n">
        <v>0</v>
      </c>
      <c r="Q526" t="n">
        <v>0</v>
      </c>
      <c r="R526" s="2" t="inlineStr"/>
    </row>
    <row r="527" ht="15" customHeight="1">
      <c r="A527" t="inlineStr">
        <is>
          <t>A 22264-2023</t>
        </is>
      </c>
      <c r="B527" s="1" t="n">
        <v>45070.3665625</v>
      </c>
      <c r="C527" s="1" t="n">
        <v>46010</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16676-2023</t>
        </is>
      </c>
      <c r="B528" s="1" t="n">
        <v>45028</v>
      </c>
      <c r="C528" s="1" t="n">
        <v>46010</v>
      </c>
      <c r="D528" t="inlineStr">
        <is>
          <t>KALMAR LÄN</t>
        </is>
      </c>
      <c r="E528" t="inlineStr">
        <is>
          <t>VIMMERBY</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6220-2025</t>
        </is>
      </c>
      <c r="B529" s="1" t="n">
        <v>45698.53725694444</v>
      </c>
      <c r="C529" s="1" t="n">
        <v>46010</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24096-2024</t>
        </is>
      </c>
      <c r="B530" s="1" t="n">
        <v>45456.59289351852</v>
      </c>
      <c r="C530" s="1" t="n">
        <v>46010</v>
      </c>
      <c r="D530" t="inlineStr">
        <is>
          <t>KALMAR LÄN</t>
        </is>
      </c>
      <c r="E530" t="inlineStr">
        <is>
          <t>VIMMERBY</t>
        </is>
      </c>
      <c r="G530" t="n">
        <v>2.3</v>
      </c>
      <c r="H530" t="n">
        <v>0</v>
      </c>
      <c r="I530" t="n">
        <v>0</v>
      </c>
      <c r="J530" t="n">
        <v>0</v>
      </c>
      <c r="K530" t="n">
        <v>0</v>
      </c>
      <c r="L530" t="n">
        <v>0</v>
      </c>
      <c r="M530" t="n">
        <v>0</v>
      </c>
      <c r="N530" t="n">
        <v>0</v>
      </c>
      <c r="O530" t="n">
        <v>0</v>
      </c>
      <c r="P530" t="n">
        <v>0</v>
      </c>
      <c r="Q530" t="n">
        <v>0</v>
      </c>
      <c r="R530" s="2" t="inlineStr"/>
    </row>
    <row r="531" ht="15" customHeight="1">
      <c r="A531" t="inlineStr">
        <is>
          <t>A 47965-2025</t>
        </is>
      </c>
      <c r="B531" s="1" t="n">
        <v>45932.59597222223</v>
      </c>
      <c r="C531" s="1" t="n">
        <v>46010</v>
      </c>
      <c r="D531" t="inlineStr">
        <is>
          <t>KALMAR LÄN</t>
        </is>
      </c>
      <c r="E531" t="inlineStr">
        <is>
          <t>VIMMERBY</t>
        </is>
      </c>
      <c r="G531" t="n">
        <v>2.2</v>
      </c>
      <c r="H531" t="n">
        <v>0</v>
      </c>
      <c r="I531" t="n">
        <v>0</v>
      </c>
      <c r="J531" t="n">
        <v>0</v>
      </c>
      <c r="K531" t="n">
        <v>0</v>
      </c>
      <c r="L531" t="n">
        <v>0</v>
      </c>
      <c r="M531" t="n">
        <v>0</v>
      </c>
      <c r="N531" t="n">
        <v>0</v>
      </c>
      <c r="O531" t="n">
        <v>0</v>
      </c>
      <c r="P531" t="n">
        <v>0</v>
      </c>
      <c r="Q531" t="n">
        <v>0</v>
      </c>
      <c r="R531" s="2" t="inlineStr"/>
    </row>
    <row r="532" ht="15" customHeight="1">
      <c r="A532" t="inlineStr">
        <is>
          <t>A 29013-2024</t>
        </is>
      </c>
      <c r="B532" s="1" t="n">
        <v>45481.55984953704</v>
      </c>
      <c r="C532" s="1" t="n">
        <v>46010</v>
      </c>
      <c r="D532" t="inlineStr">
        <is>
          <t>KALMAR LÄN</t>
        </is>
      </c>
      <c r="E532" t="inlineStr">
        <is>
          <t>VIMMERBY</t>
        </is>
      </c>
      <c r="G532" t="n">
        <v>3.4</v>
      </c>
      <c r="H532" t="n">
        <v>0</v>
      </c>
      <c r="I532" t="n">
        <v>0</v>
      </c>
      <c r="J532" t="n">
        <v>0</v>
      </c>
      <c r="K532" t="n">
        <v>0</v>
      </c>
      <c r="L532" t="n">
        <v>0</v>
      </c>
      <c r="M532" t="n">
        <v>0</v>
      </c>
      <c r="N532" t="n">
        <v>0</v>
      </c>
      <c r="O532" t="n">
        <v>0</v>
      </c>
      <c r="P532" t="n">
        <v>0</v>
      </c>
      <c r="Q532" t="n">
        <v>0</v>
      </c>
      <c r="R532" s="2" t="inlineStr"/>
    </row>
    <row r="533" ht="15" customHeight="1">
      <c r="A533" t="inlineStr">
        <is>
          <t>A 6066-2023</t>
        </is>
      </c>
      <c r="B533" s="1" t="n">
        <v>44964.50894675926</v>
      </c>
      <c r="C533" s="1" t="n">
        <v>46010</v>
      </c>
      <c r="D533" t="inlineStr">
        <is>
          <t>KALMAR LÄN</t>
        </is>
      </c>
      <c r="E533" t="inlineStr">
        <is>
          <t>VIMMERBY</t>
        </is>
      </c>
      <c r="G533" t="n">
        <v>2.8</v>
      </c>
      <c r="H533" t="n">
        <v>0</v>
      </c>
      <c r="I533" t="n">
        <v>0</v>
      </c>
      <c r="J533" t="n">
        <v>0</v>
      </c>
      <c r="K533" t="n">
        <v>0</v>
      </c>
      <c r="L533" t="n">
        <v>0</v>
      </c>
      <c r="M533" t="n">
        <v>0</v>
      </c>
      <c r="N533" t="n">
        <v>0</v>
      </c>
      <c r="O533" t="n">
        <v>0</v>
      </c>
      <c r="P533" t="n">
        <v>0</v>
      </c>
      <c r="Q533" t="n">
        <v>0</v>
      </c>
      <c r="R533" s="2" t="inlineStr"/>
    </row>
    <row r="534" ht="15" customHeight="1">
      <c r="A534" t="inlineStr">
        <is>
          <t>A 59955-2023</t>
        </is>
      </c>
      <c r="B534" s="1" t="n">
        <v>45257.70313657408</v>
      </c>
      <c r="C534" s="1" t="n">
        <v>46010</v>
      </c>
      <c r="D534" t="inlineStr">
        <is>
          <t>KALMAR LÄN</t>
        </is>
      </c>
      <c r="E534" t="inlineStr">
        <is>
          <t>VIMMERBY</t>
        </is>
      </c>
      <c r="G534" t="n">
        <v>13.8</v>
      </c>
      <c r="H534" t="n">
        <v>0</v>
      </c>
      <c r="I534" t="n">
        <v>0</v>
      </c>
      <c r="J534" t="n">
        <v>0</v>
      </c>
      <c r="K534" t="n">
        <v>0</v>
      </c>
      <c r="L534" t="n">
        <v>0</v>
      </c>
      <c r="M534" t="n">
        <v>0</v>
      </c>
      <c r="N534" t="n">
        <v>0</v>
      </c>
      <c r="O534" t="n">
        <v>0</v>
      </c>
      <c r="P534" t="n">
        <v>0</v>
      </c>
      <c r="Q534" t="n">
        <v>0</v>
      </c>
      <c r="R534" s="2" t="inlineStr"/>
    </row>
    <row r="535" ht="15" customHeight="1">
      <c r="A535" t="inlineStr">
        <is>
          <t>A 36040-2024</t>
        </is>
      </c>
      <c r="B535" s="1" t="n">
        <v>45533.60232638889</v>
      </c>
      <c r="C535" s="1" t="n">
        <v>46010</v>
      </c>
      <c r="D535" t="inlineStr">
        <is>
          <t>KALMAR LÄN</t>
        </is>
      </c>
      <c r="E535" t="inlineStr">
        <is>
          <t>VIMMERBY</t>
        </is>
      </c>
      <c r="F535" t="inlineStr">
        <is>
          <t>Kommuner</t>
        </is>
      </c>
      <c r="G535" t="n">
        <v>3.6</v>
      </c>
      <c r="H535" t="n">
        <v>0</v>
      </c>
      <c r="I535" t="n">
        <v>0</v>
      </c>
      <c r="J535" t="n">
        <v>0</v>
      </c>
      <c r="K535" t="n">
        <v>0</v>
      </c>
      <c r="L535" t="n">
        <v>0</v>
      </c>
      <c r="M535" t="n">
        <v>0</v>
      </c>
      <c r="N535" t="n">
        <v>0</v>
      </c>
      <c r="O535" t="n">
        <v>0</v>
      </c>
      <c r="P535" t="n">
        <v>0</v>
      </c>
      <c r="Q535" t="n">
        <v>0</v>
      </c>
      <c r="R535" s="2" t="inlineStr"/>
    </row>
    <row r="536" ht="15" customHeight="1">
      <c r="A536" t="inlineStr">
        <is>
          <t>A 36043-2024</t>
        </is>
      </c>
      <c r="B536" s="1" t="n">
        <v>45533.60770833334</v>
      </c>
      <c r="C536" s="1" t="n">
        <v>46010</v>
      </c>
      <c r="D536" t="inlineStr">
        <is>
          <t>KALMAR LÄN</t>
        </is>
      </c>
      <c r="E536" t="inlineStr">
        <is>
          <t>VIMMERBY</t>
        </is>
      </c>
      <c r="F536" t="inlineStr">
        <is>
          <t>Kommuner</t>
        </is>
      </c>
      <c r="G536" t="n">
        <v>1.5</v>
      </c>
      <c r="H536" t="n">
        <v>0</v>
      </c>
      <c r="I536" t="n">
        <v>0</v>
      </c>
      <c r="J536" t="n">
        <v>0</v>
      </c>
      <c r="K536" t="n">
        <v>0</v>
      </c>
      <c r="L536" t="n">
        <v>0</v>
      </c>
      <c r="M536" t="n">
        <v>0</v>
      </c>
      <c r="N536" t="n">
        <v>0</v>
      </c>
      <c r="O536" t="n">
        <v>0</v>
      </c>
      <c r="P536" t="n">
        <v>0</v>
      </c>
      <c r="Q536" t="n">
        <v>0</v>
      </c>
      <c r="R536" s="2" t="inlineStr"/>
    </row>
    <row r="537" ht="15" customHeight="1">
      <c r="A537" t="inlineStr">
        <is>
          <t>A 12890-2023</t>
        </is>
      </c>
      <c r="B537" s="1" t="n">
        <v>45001.59209490741</v>
      </c>
      <c r="C537" s="1" t="n">
        <v>46010</v>
      </c>
      <c r="D537" t="inlineStr">
        <is>
          <t>KALMAR LÄN</t>
        </is>
      </c>
      <c r="E537" t="inlineStr">
        <is>
          <t>VIMMERBY</t>
        </is>
      </c>
      <c r="G537" t="n">
        <v>2.8</v>
      </c>
      <c r="H537" t="n">
        <v>0</v>
      </c>
      <c r="I537" t="n">
        <v>0</v>
      </c>
      <c r="J537" t="n">
        <v>0</v>
      </c>
      <c r="K537" t="n">
        <v>0</v>
      </c>
      <c r="L537" t="n">
        <v>0</v>
      </c>
      <c r="M537" t="n">
        <v>0</v>
      </c>
      <c r="N537" t="n">
        <v>0</v>
      </c>
      <c r="O537" t="n">
        <v>0</v>
      </c>
      <c r="P537" t="n">
        <v>0</v>
      </c>
      <c r="Q537" t="n">
        <v>0</v>
      </c>
      <c r="R537" s="2" t="inlineStr"/>
    </row>
    <row r="538" ht="15" customHeight="1">
      <c r="A538" t="inlineStr">
        <is>
          <t>A 43594-2024</t>
        </is>
      </c>
      <c r="B538" s="1" t="n">
        <v>45569.44295138889</v>
      </c>
      <c r="C538" s="1" t="n">
        <v>46010</v>
      </c>
      <c r="D538" t="inlineStr">
        <is>
          <t>KALMAR LÄN</t>
        </is>
      </c>
      <c r="E538" t="inlineStr">
        <is>
          <t>VIMMERBY</t>
        </is>
      </c>
      <c r="G538" t="n">
        <v>3.9</v>
      </c>
      <c r="H538" t="n">
        <v>0</v>
      </c>
      <c r="I538" t="n">
        <v>0</v>
      </c>
      <c r="J538" t="n">
        <v>0</v>
      </c>
      <c r="K538" t="n">
        <v>0</v>
      </c>
      <c r="L538" t="n">
        <v>0</v>
      </c>
      <c r="M538" t="n">
        <v>0</v>
      </c>
      <c r="N538" t="n">
        <v>0</v>
      </c>
      <c r="O538" t="n">
        <v>0</v>
      </c>
      <c r="P538" t="n">
        <v>0</v>
      </c>
      <c r="Q538" t="n">
        <v>0</v>
      </c>
      <c r="R538" s="2" t="inlineStr"/>
    </row>
    <row r="539" ht="15" customHeight="1">
      <c r="A539" t="inlineStr">
        <is>
          <t>A 53482-2022</t>
        </is>
      </c>
      <c r="B539" s="1" t="n">
        <v>44879</v>
      </c>
      <c r="C539" s="1" t="n">
        <v>46010</v>
      </c>
      <c r="D539" t="inlineStr">
        <is>
          <t>KALMAR LÄN</t>
        </is>
      </c>
      <c r="E539" t="inlineStr">
        <is>
          <t>VIMMERBY</t>
        </is>
      </c>
      <c r="G539" t="n">
        <v>10.1</v>
      </c>
      <c r="H539" t="n">
        <v>0</v>
      </c>
      <c r="I539" t="n">
        <v>0</v>
      </c>
      <c r="J539" t="n">
        <v>0</v>
      </c>
      <c r="K539" t="n">
        <v>0</v>
      </c>
      <c r="L539" t="n">
        <v>0</v>
      </c>
      <c r="M539" t="n">
        <v>0</v>
      </c>
      <c r="N539" t="n">
        <v>0</v>
      </c>
      <c r="O539" t="n">
        <v>0</v>
      </c>
      <c r="P539" t="n">
        <v>0</v>
      </c>
      <c r="Q539" t="n">
        <v>0</v>
      </c>
      <c r="R539" s="2" t="inlineStr"/>
    </row>
    <row r="540" ht="15" customHeight="1">
      <c r="A540" t="inlineStr">
        <is>
          <t>A 27761-2024</t>
        </is>
      </c>
      <c r="B540" s="1" t="n">
        <v>45475.49018518518</v>
      </c>
      <c r="C540" s="1" t="n">
        <v>46010</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64203-2021</t>
        </is>
      </c>
      <c r="B541" s="1" t="n">
        <v>44510.60921296296</v>
      </c>
      <c r="C541" s="1" t="n">
        <v>46010</v>
      </c>
      <c r="D541" t="inlineStr">
        <is>
          <t>KALMAR LÄN</t>
        </is>
      </c>
      <c r="E541" t="inlineStr">
        <is>
          <t>VIMMERBY</t>
        </is>
      </c>
      <c r="F541" t="inlineStr">
        <is>
          <t>Övriga Aktiebolag</t>
        </is>
      </c>
      <c r="G541" t="n">
        <v>5.4</v>
      </c>
      <c r="H541" t="n">
        <v>0</v>
      </c>
      <c r="I541" t="n">
        <v>0</v>
      </c>
      <c r="J541" t="n">
        <v>0</v>
      </c>
      <c r="K541" t="n">
        <v>0</v>
      </c>
      <c r="L541" t="n">
        <v>0</v>
      </c>
      <c r="M541" t="n">
        <v>0</v>
      </c>
      <c r="N541" t="n">
        <v>0</v>
      </c>
      <c r="O541" t="n">
        <v>0</v>
      </c>
      <c r="P541" t="n">
        <v>0</v>
      </c>
      <c r="Q541" t="n">
        <v>0</v>
      </c>
      <c r="R541" s="2" t="inlineStr"/>
    </row>
    <row r="542" ht="15" customHeight="1">
      <c r="A542" t="inlineStr">
        <is>
          <t>A 5720-2023</t>
        </is>
      </c>
      <c r="B542" s="1" t="n">
        <v>44961</v>
      </c>
      <c r="C542" s="1" t="n">
        <v>46010</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47955-2025</t>
        </is>
      </c>
      <c r="B543" s="1" t="n">
        <v>45932.58896990741</v>
      </c>
      <c r="C543" s="1" t="n">
        <v>46010</v>
      </c>
      <c r="D543" t="inlineStr">
        <is>
          <t>KALMAR LÄN</t>
        </is>
      </c>
      <c r="E543" t="inlineStr">
        <is>
          <t>VIMMERBY</t>
        </is>
      </c>
      <c r="G543" t="n">
        <v>3.4</v>
      </c>
      <c r="H543" t="n">
        <v>0</v>
      </c>
      <c r="I543" t="n">
        <v>0</v>
      </c>
      <c r="J543" t="n">
        <v>0</v>
      </c>
      <c r="K543" t="n">
        <v>0</v>
      </c>
      <c r="L543" t="n">
        <v>0</v>
      </c>
      <c r="M543" t="n">
        <v>0</v>
      </c>
      <c r="N543" t="n">
        <v>0</v>
      </c>
      <c r="O543" t="n">
        <v>0</v>
      </c>
      <c r="P543" t="n">
        <v>0</v>
      </c>
      <c r="Q543" t="n">
        <v>0</v>
      </c>
      <c r="R543" s="2" t="inlineStr"/>
    </row>
    <row r="544" ht="15" customHeight="1">
      <c r="A544" t="inlineStr">
        <is>
          <t>A 9643-2023</t>
        </is>
      </c>
      <c r="B544" s="1" t="n">
        <v>44984</v>
      </c>
      <c r="C544" s="1" t="n">
        <v>46010</v>
      </c>
      <c r="D544" t="inlineStr">
        <is>
          <t>KALMAR LÄN</t>
        </is>
      </c>
      <c r="E544" t="inlineStr">
        <is>
          <t>VIMMERBY</t>
        </is>
      </c>
      <c r="G544" t="n">
        <v>2</v>
      </c>
      <c r="H544" t="n">
        <v>0</v>
      </c>
      <c r="I544" t="n">
        <v>0</v>
      </c>
      <c r="J544" t="n">
        <v>0</v>
      </c>
      <c r="K544" t="n">
        <v>0</v>
      </c>
      <c r="L544" t="n">
        <v>0</v>
      </c>
      <c r="M544" t="n">
        <v>0</v>
      </c>
      <c r="N544" t="n">
        <v>0</v>
      </c>
      <c r="O544" t="n">
        <v>0</v>
      </c>
      <c r="P544" t="n">
        <v>0</v>
      </c>
      <c r="Q544" t="n">
        <v>0</v>
      </c>
      <c r="R544" s="2" t="inlineStr"/>
    </row>
    <row r="545" ht="15" customHeight="1">
      <c r="A545" t="inlineStr">
        <is>
          <t>A 25728-2023</t>
        </is>
      </c>
      <c r="B545" s="1" t="n">
        <v>45090.38012731481</v>
      </c>
      <c r="C545" s="1" t="n">
        <v>46010</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48723-2025</t>
        </is>
      </c>
      <c r="B546" s="1" t="n">
        <v>45936.65121527778</v>
      </c>
      <c r="C546" s="1" t="n">
        <v>46010</v>
      </c>
      <c r="D546" t="inlineStr">
        <is>
          <t>KALMAR LÄN</t>
        </is>
      </c>
      <c r="E546" t="inlineStr">
        <is>
          <t>VIMMERBY</t>
        </is>
      </c>
      <c r="G546" t="n">
        <v>3</v>
      </c>
      <c r="H546" t="n">
        <v>0</v>
      </c>
      <c r="I546" t="n">
        <v>0</v>
      </c>
      <c r="J546" t="n">
        <v>0</v>
      </c>
      <c r="K546" t="n">
        <v>0</v>
      </c>
      <c r="L546" t="n">
        <v>0</v>
      </c>
      <c r="M546" t="n">
        <v>0</v>
      </c>
      <c r="N546" t="n">
        <v>0</v>
      </c>
      <c r="O546" t="n">
        <v>0</v>
      </c>
      <c r="P546" t="n">
        <v>0</v>
      </c>
      <c r="Q546" t="n">
        <v>0</v>
      </c>
      <c r="R546" s="2" t="inlineStr"/>
    </row>
    <row r="547" ht="15" customHeight="1">
      <c r="A547" t="inlineStr">
        <is>
          <t>A 41311-2023</t>
        </is>
      </c>
      <c r="B547" s="1" t="n">
        <v>45174</v>
      </c>
      <c r="C547" s="1" t="n">
        <v>46010</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48712-2025</t>
        </is>
      </c>
      <c r="B548" s="1" t="n">
        <v>45936.63373842592</v>
      </c>
      <c r="C548" s="1" t="n">
        <v>46010</v>
      </c>
      <c r="D548" t="inlineStr">
        <is>
          <t>KALMAR LÄN</t>
        </is>
      </c>
      <c r="E548" t="inlineStr">
        <is>
          <t>VIMMERBY</t>
        </is>
      </c>
      <c r="G548" t="n">
        <v>3</v>
      </c>
      <c r="H548" t="n">
        <v>0</v>
      </c>
      <c r="I548" t="n">
        <v>0</v>
      </c>
      <c r="J548" t="n">
        <v>0</v>
      </c>
      <c r="K548" t="n">
        <v>0</v>
      </c>
      <c r="L548" t="n">
        <v>0</v>
      </c>
      <c r="M548" t="n">
        <v>0</v>
      </c>
      <c r="N548" t="n">
        <v>0</v>
      </c>
      <c r="O548" t="n">
        <v>0</v>
      </c>
      <c r="P548" t="n">
        <v>0</v>
      </c>
      <c r="Q548" t="n">
        <v>0</v>
      </c>
      <c r="R548" s="2" t="inlineStr"/>
    </row>
    <row r="549" ht="15" customHeight="1">
      <c r="A549" t="inlineStr">
        <is>
          <t>A 26318-2023</t>
        </is>
      </c>
      <c r="B549" s="1" t="n">
        <v>45091.67936342592</v>
      </c>
      <c r="C549" s="1" t="n">
        <v>46010</v>
      </c>
      <c r="D549" t="inlineStr">
        <is>
          <t>KALMAR LÄN</t>
        </is>
      </c>
      <c r="E549" t="inlineStr">
        <is>
          <t>VIMMERBY</t>
        </is>
      </c>
      <c r="G549" t="n">
        <v>3.8</v>
      </c>
      <c r="H549" t="n">
        <v>0</v>
      </c>
      <c r="I549" t="n">
        <v>0</v>
      </c>
      <c r="J549" t="n">
        <v>0</v>
      </c>
      <c r="K549" t="n">
        <v>0</v>
      </c>
      <c r="L549" t="n">
        <v>0</v>
      </c>
      <c r="M549" t="n">
        <v>0</v>
      </c>
      <c r="N549" t="n">
        <v>0</v>
      </c>
      <c r="O549" t="n">
        <v>0</v>
      </c>
      <c r="P549" t="n">
        <v>0</v>
      </c>
      <c r="Q549" t="n">
        <v>0</v>
      </c>
      <c r="R549" s="2" t="inlineStr"/>
    </row>
    <row r="550" ht="15" customHeight="1">
      <c r="A550" t="inlineStr">
        <is>
          <t>A 48408-2025</t>
        </is>
      </c>
      <c r="B550" s="1" t="n">
        <v>45934.40527777778</v>
      </c>
      <c r="C550" s="1" t="n">
        <v>46010</v>
      </c>
      <c r="D550" t="inlineStr">
        <is>
          <t>KALMAR LÄN</t>
        </is>
      </c>
      <c r="E550" t="inlineStr">
        <is>
          <t>VIMMERBY</t>
        </is>
      </c>
      <c r="G550" t="n">
        <v>2.4</v>
      </c>
      <c r="H550" t="n">
        <v>0</v>
      </c>
      <c r="I550" t="n">
        <v>0</v>
      </c>
      <c r="J550" t="n">
        <v>0</v>
      </c>
      <c r="K550" t="n">
        <v>0</v>
      </c>
      <c r="L550" t="n">
        <v>0</v>
      </c>
      <c r="M550" t="n">
        <v>0</v>
      </c>
      <c r="N550" t="n">
        <v>0</v>
      </c>
      <c r="O550" t="n">
        <v>0</v>
      </c>
      <c r="P550" t="n">
        <v>0</v>
      </c>
      <c r="Q550" t="n">
        <v>0</v>
      </c>
      <c r="R550" s="2" t="inlineStr"/>
    </row>
    <row r="551" ht="15" customHeight="1">
      <c r="A551" t="inlineStr">
        <is>
          <t>A 61355-2024</t>
        </is>
      </c>
      <c r="B551" s="1" t="n">
        <v>45646.38200231481</v>
      </c>
      <c r="C551" s="1" t="n">
        <v>46010</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48409-2025</t>
        </is>
      </c>
      <c r="B552" s="1" t="n">
        <v>45934.41387731482</v>
      </c>
      <c r="C552" s="1" t="n">
        <v>46010</v>
      </c>
      <c r="D552" t="inlineStr">
        <is>
          <t>KALMAR LÄN</t>
        </is>
      </c>
      <c r="E552" t="inlineStr">
        <is>
          <t>VIMMERBY</t>
        </is>
      </c>
      <c r="G552" t="n">
        <v>1.2</v>
      </c>
      <c r="H552" t="n">
        <v>0</v>
      </c>
      <c r="I552" t="n">
        <v>0</v>
      </c>
      <c r="J552" t="n">
        <v>0</v>
      </c>
      <c r="K552" t="n">
        <v>0</v>
      </c>
      <c r="L552" t="n">
        <v>0</v>
      </c>
      <c r="M552" t="n">
        <v>0</v>
      </c>
      <c r="N552" t="n">
        <v>0</v>
      </c>
      <c r="O552" t="n">
        <v>0</v>
      </c>
      <c r="P552" t="n">
        <v>0</v>
      </c>
      <c r="Q552" t="n">
        <v>0</v>
      </c>
      <c r="R552" s="2" t="inlineStr"/>
    </row>
    <row r="553" ht="15" customHeight="1">
      <c r="A553" t="inlineStr">
        <is>
          <t>A 48600-2025</t>
        </is>
      </c>
      <c r="B553" s="1" t="n">
        <v>45935</v>
      </c>
      <c r="C553" s="1" t="n">
        <v>46010</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36802-2021</t>
        </is>
      </c>
      <c r="B554" s="1" t="n">
        <v>44392</v>
      </c>
      <c r="C554" s="1" t="n">
        <v>46010</v>
      </c>
      <c r="D554" t="inlineStr">
        <is>
          <t>KALMAR LÄN</t>
        </is>
      </c>
      <c r="E554" t="inlineStr">
        <is>
          <t>VIMMERBY</t>
        </is>
      </c>
      <c r="F554" t="inlineStr">
        <is>
          <t>Sveaskog</t>
        </is>
      </c>
      <c r="G554" t="n">
        <v>4.6</v>
      </c>
      <c r="H554" t="n">
        <v>0</v>
      </c>
      <c r="I554" t="n">
        <v>0</v>
      </c>
      <c r="J554" t="n">
        <v>0</v>
      </c>
      <c r="K554" t="n">
        <v>0</v>
      </c>
      <c r="L554" t="n">
        <v>0</v>
      </c>
      <c r="M554" t="n">
        <v>0</v>
      </c>
      <c r="N554" t="n">
        <v>0</v>
      </c>
      <c r="O554" t="n">
        <v>0</v>
      </c>
      <c r="P554" t="n">
        <v>0</v>
      </c>
      <c r="Q554" t="n">
        <v>0</v>
      </c>
      <c r="R554" s="2" t="inlineStr"/>
    </row>
    <row r="555" ht="15" customHeight="1">
      <c r="A555" t="inlineStr">
        <is>
          <t>A 38198-2024</t>
        </is>
      </c>
      <c r="B555" s="1" t="n">
        <v>45545.49508101852</v>
      </c>
      <c r="C555" s="1" t="n">
        <v>46010</v>
      </c>
      <c r="D555" t="inlineStr">
        <is>
          <t>KALMAR LÄN</t>
        </is>
      </c>
      <c r="E555" t="inlineStr">
        <is>
          <t>VIMMERBY</t>
        </is>
      </c>
      <c r="G555" t="n">
        <v>7.9</v>
      </c>
      <c r="H555" t="n">
        <v>0</v>
      </c>
      <c r="I555" t="n">
        <v>0</v>
      </c>
      <c r="J555" t="n">
        <v>0</v>
      </c>
      <c r="K555" t="n">
        <v>0</v>
      </c>
      <c r="L555" t="n">
        <v>0</v>
      </c>
      <c r="M555" t="n">
        <v>0</v>
      </c>
      <c r="N555" t="n">
        <v>0</v>
      </c>
      <c r="O555" t="n">
        <v>0</v>
      </c>
      <c r="P555" t="n">
        <v>0</v>
      </c>
      <c r="Q555" t="n">
        <v>0</v>
      </c>
      <c r="R555" s="2" t="inlineStr"/>
    </row>
    <row r="556" ht="15" customHeight="1">
      <c r="A556" t="inlineStr">
        <is>
          <t>A 9623-2024</t>
        </is>
      </c>
      <c r="B556" s="1" t="n">
        <v>45361.87975694444</v>
      </c>
      <c r="C556" s="1" t="n">
        <v>46010</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58967-2022</t>
        </is>
      </c>
      <c r="B557" s="1" t="n">
        <v>44896</v>
      </c>
      <c r="C557" s="1" t="n">
        <v>46010</v>
      </c>
      <c r="D557" t="inlineStr">
        <is>
          <t>KALMAR LÄN</t>
        </is>
      </c>
      <c r="E557" t="inlineStr">
        <is>
          <t>VIMMERBY</t>
        </is>
      </c>
      <c r="G557" t="n">
        <v>5</v>
      </c>
      <c r="H557" t="n">
        <v>0</v>
      </c>
      <c r="I557" t="n">
        <v>0</v>
      </c>
      <c r="J557" t="n">
        <v>0</v>
      </c>
      <c r="K557" t="n">
        <v>0</v>
      </c>
      <c r="L557" t="n">
        <v>0</v>
      </c>
      <c r="M557" t="n">
        <v>0</v>
      </c>
      <c r="N557" t="n">
        <v>0</v>
      </c>
      <c r="O557" t="n">
        <v>0</v>
      </c>
      <c r="P557" t="n">
        <v>0</v>
      </c>
      <c r="Q557" t="n">
        <v>0</v>
      </c>
      <c r="R557" s="2" t="inlineStr"/>
    </row>
    <row r="558" ht="15" customHeight="1">
      <c r="A558" t="inlineStr">
        <is>
          <t>A 6399-2025</t>
        </is>
      </c>
      <c r="B558" s="1" t="n">
        <v>45699.44291666667</v>
      </c>
      <c r="C558" s="1" t="n">
        <v>46010</v>
      </c>
      <c r="D558" t="inlineStr">
        <is>
          <t>KALMAR LÄN</t>
        </is>
      </c>
      <c r="E558" t="inlineStr">
        <is>
          <t>VIMMERBY</t>
        </is>
      </c>
      <c r="G558" t="n">
        <v>3.1</v>
      </c>
      <c r="H558" t="n">
        <v>0</v>
      </c>
      <c r="I558" t="n">
        <v>0</v>
      </c>
      <c r="J558" t="n">
        <v>0</v>
      </c>
      <c r="K558" t="n">
        <v>0</v>
      </c>
      <c r="L558" t="n">
        <v>0</v>
      </c>
      <c r="M558" t="n">
        <v>0</v>
      </c>
      <c r="N558" t="n">
        <v>0</v>
      </c>
      <c r="O558" t="n">
        <v>0</v>
      </c>
      <c r="P558" t="n">
        <v>0</v>
      </c>
      <c r="Q558" t="n">
        <v>0</v>
      </c>
      <c r="R558" s="2" t="inlineStr"/>
    </row>
    <row r="559" ht="15" customHeight="1">
      <c r="A559" t="inlineStr">
        <is>
          <t>A 31355-2023</t>
        </is>
      </c>
      <c r="B559" s="1" t="n">
        <v>45114.49505787037</v>
      </c>
      <c r="C559" s="1" t="n">
        <v>46010</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30400-2023</t>
        </is>
      </c>
      <c r="B560" s="1" t="n">
        <v>45111.48225694444</v>
      </c>
      <c r="C560" s="1" t="n">
        <v>46010</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30404-2023</t>
        </is>
      </c>
      <c r="B561" s="1" t="n">
        <v>45111.48636574074</v>
      </c>
      <c r="C561" s="1" t="n">
        <v>46010</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27705-2023</t>
        </is>
      </c>
      <c r="B562" s="1" t="n">
        <v>45098.30535879629</v>
      </c>
      <c r="C562" s="1" t="n">
        <v>46010</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36843-2023</t>
        </is>
      </c>
      <c r="B563" s="1" t="n">
        <v>45154.49831018518</v>
      </c>
      <c r="C563" s="1" t="n">
        <v>46010</v>
      </c>
      <c r="D563" t="inlineStr">
        <is>
          <t>KALMAR LÄN</t>
        </is>
      </c>
      <c r="E563" t="inlineStr">
        <is>
          <t>VIMMERBY</t>
        </is>
      </c>
      <c r="G563" t="n">
        <v>2</v>
      </c>
      <c r="H563" t="n">
        <v>0</v>
      </c>
      <c r="I563" t="n">
        <v>0</v>
      </c>
      <c r="J563" t="n">
        <v>0</v>
      </c>
      <c r="K563" t="n">
        <v>0</v>
      </c>
      <c r="L563" t="n">
        <v>0</v>
      </c>
      <c r="M563" t="n">
        <v>0</v>
      </c>
      <c r="N563" t="n">
        <v>0</v>
      </c>
      <c r="O563" t="n">
        <v>0</v>
      </c>
      <c r="P563" t="n">
        <v>0</v>
      </c>
      <c r="Q563" t="n">
        <v>0</v>
      </c>
      <c r="R563" s="2" t="inlineStr"/>
    </row>
    <row r="564" ht="15" customHeight="1">
      <c r="A564" t="inlineStr">
        <is>
          <t>A 10785-2025</t>
        </is>
      </c>
      <c r="B564" s="1" t="n">
        <v>45722.48634259259</v>
      </c>
      <c r="C564" s="1" t="n">
        <v>46010</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29017-2024</t>
        </is>
      </c>
      <c r="B565" s="1" t="n">
        <v>45481.56722222222</v>
      </c>
      <c r="C565" s="1" t="n">
        <v>46010</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23263-2024</t>
        </is>
      </c>
      <c r="B566" s="1" t="n">
        <v>45453.36854166666</v>
      </c>
      <c r="C566" s="1" t="n">
        <v>46010</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11074-2023</t>
        </is>
      </c>
      <c r="B567" s="1" t="n">
        <v>44992.34151620371</v>
      </c>
      <c r="C567" s="1" t="n">
        <v>46010</v>
      </c>
      <c r="D567" t="inlineStr">
        <is>
          <t>KALMAR LÄN</t>
        </is>
      </c>
      <c r="E567" t="inlineStr">
        <is>
          <t>VIMMERBY</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61939-2021</t>
        </is>
      </c>
      <c r="B568" s="1" t="n">
        <v>44502</v>
      </c>
      <c r="C568" s="1" t="n">
        <v>46010</v>
      </c>
      <c r="D568" t="inlineStr">
        <is>
          <t>KALMAR LÄN</t>
        </is>
      </c>
      <c r="E568" t="inlineStr">
        <is>
          <t>VIMMERBY</t>
        </is>
      </c>
      <c r="G568" t="n">
        <v>2.7</v>
      </c>
      <c r="H568" t="n">
        <v>0</v>
      </c>
      <c r="I568" t="n">
        <v>0</v>
      </c>
      <c r="J568" t="n">
        <v>0</v>
      </c>
      <c r="K568" t="n">
        <v>0</v>
      </c>
      <c r="L568" t="n">
        <v>0</v>
      </c>
      <c r="M568" t="n">
        <v>0</v>
      </c>
      <c r="N568" t="n">
        <v>0</v>
      </c>
      <c r="O568" t="n">
        <v>0</v>
      </c>
      <c r="P568" t="n">
        <v>0</v>
      </c>
      <c r="Q568" t="n">
        <v>0</v>
      </c>
      <c r="R568" s="2" t="inlineStr"/>
    </row>
    <row r="569" ht="15" customHeight="1">
      <c r="A569" t="inlineStr">
        <is>
          <t>A 12215-2024</t>
        </is>
      </c>
      <c r="B569" s="1" t="n">
        <v>45378.32185185186</v>
      </c>
      <c r="C569" s="1" t="n">
        <v>46010</v>
      </c>
      <c r="D569" t="inlineStr">
        <is>
          <t>KALMAR LÄN</t>
        </is>
      </c>
      <c r="E569" t="inlineStr">
        <is>
          <t>VIMMERBY</t>
        </is>
      </c>
      <c r="G569" t="n">
        <v>1.6</v>
      </c>
      <c r="H569" t="n">
        <v>0</v>
      </c>
      <c r="I569" t="n">
        <v>0</v>
      </c>
      <c r="J569" t="n">
        <v>0</v>
      </c>
      <c r="K569" t="n">
        <v>0</v>
      </c>
      <c r="L569" t="n">
        <v>0</v>
      </c>
      <c r="M569" t="n">
        <v>0</v>
      </c>
      <c r="N569" t="n">
        <v>0</v>
      </c>
      <c r="O569" t="n">
        <v>0</v>
      </c>
      <c r="P569" t="n">
        <v>0</v>
      </c>
      <c r="Q569" t="n">
        <v>0</v>
      </c>
      <c r="R569" s="2" t="inlineStr"/>
    </row>
    <row r="570" ht="15" customHeight="1">
      <c r="A570" t="inlineStr">
        <is>
          <t>A 11303-2025</t>
        </is>
      </c>
      <c r="B570" s="1" t="n">
        <v>45726.44471064815</v>
      </c>
      <c r="C570" s="1" t="n">
        <v>46010</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12033-2024</t>
        </is>
      </c>
      <c r="B571" s="1" t="n">
        <v>45377.40043981482</v>
      </c>
      <c r="C571" s="1" t="n">
        <v>46010</v>
      </c>
      <c r="D571" t="inlineStr">
        <is>
          <t>KALMAR LÄN</t>
        </is>
      </c>
      <c r="E571" t="inlineStr">
        <is>
          <t>VIMMERBY</t>
        </is>
      </c>
      <c r="G571" t="n">
        <v>1.6</v>
      </c>
      <c r="H571" t="n">
        <v>0</v>
      </c>
      <c r="I571" t="n">
        <v>0</v>
      </c>
      <c r="J571" t="n">
        <v>0</v>
      </c>
      <c r="K571" t="n">
        <v>0</v>
      </c>
      <c r="L571" t="n">
        <v>0</v>
      </c>
      <c r="M571" t="n">
        <v>0</v>
      </c>
      <c r="N571" t="n">
        <v>0</v>
      </c>
      <c r="O571" t="n">
        <v>0</v>
      </c>
      <c r="P571" t="n">
        <v>0</v>
      </c>
      <c r="Q571" t="n">
        <v>0</v>
      </c>
      <c r="R571" s="2" t="inlineStr"/>
    </row>
    <row r="572" ht="15" customHeight="1">
      <c r="A572" t="inlineStr">
        <is>
          <t>A 51408-2023</t>
        </is>
      </c>
      <c r="B572" s="1" t="n">
        <v>45219.69356481481</v>
      </c>
      <c r="C572" s="1" t="n">
        <v>46010</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49488-2023</t>
        </is>
      </c>
      <c r="B573" s="1" t="n">
        <v>45211.55472222222</v>
      </c>
      <c r="C573" s="1" t="n">
        <v>46010</v>
      </c>
      <c r="D573" t="inlineStr">
        <is>
          <t>KALMAR LÄN</t>
        </is>
      </c>
      <c r="E573" t="inlineStr">
        <is>
          <t>VIMMERBY</t>
        </is>
      </c>
      <c r="F573" t="inlineStr">
        <is>
          <t>Sveaskog</t>
        </is>
      </c>
      <c r="G573" t="n">
        <v>6.2</v>
      </c>
      <c r="H573" t="n">
        <v>0</v>
      </c>
      <c r="I573" t="n">
        <v>0</v>
      </c>
      <c r="J573" t="n">
        <v>0</v>
      </c>
      <c r="K573" t="n">
        <v>0</v>
      </c>
      <c r="L573" t="n">
        <v>0</v>
      </c>
      <c r="M573" t="n">
        <v>0</v>
      </c>
      <c r="N573" t="n">
        <v>0</v>
      </c>
      <c r="O573" t="n">
        <v>0</v>
      </c>
      <c r="P573" t="n">
        <v>0</v>
      </c>
      <c r="Q573" t="n">
        <v>0</v>
      </c>
      <c r="R573" s="2" t="inlineStr"/>
    </row>
    <row r="574" ht="15" customHeight="1">
      <c r="A574" t="inlineStr">
        <is>
          <t>A 8410-2023</t>
        </is>
      </c>
      <c r="B574" s="1" t="n">
        <v>44977</v>
      </c>
      <c r="C574" s="1" t="n">
        <v>46010</v>
      </c>
      <c r="D574" t="inlineStr">
        <is>
          <t>KALMAR LÄN</t>
        </is>
      </c>
      <c r="E574" t="inlineStr">
        <is>
          <t>VIMMERBY</t>
        </is>
      </c>
      <c r="G574" t="n">
        <v>0.9</v>
      </c>
      <c r="H574" t="n">
        <v>0</v>
      </c>
      <c r="I574" t="n">
        <v>0</v>
      </c>
      <c r="J574" t="n">
        <v>0</v>
      </c>
      <c r="K574" t="n">
        <v>0</v>
      </c>
      <c r="L574" t="n">
        <v>0</v>
      </c>
      <c r="M574" t="n">
        <v>0</v>
      </c>
      <c r="N574" t="n">
        <v>0</v>
      </c>
      <c r="O574" t="n">
        <v>0</v>
      </c>
      <c r="P574" t="n">
        <v>0</v>
      </c>
      <c r="Q574" t="n">
        <v>0</v>
      </c>
      <c r="R574" s="2" t="inlineStr"/>
    </row>
    <row r="575" ht="15" customHeight="1">
      <c r="A575" t="inlineStr">
        <is>
          <t>A 58442-2025</t>
        </is>
      </c>
      <c r="B575" s="1" t="n">
        <v>45985.61635416667</v>
      </c>
      <c r="C575" s="1" t="n">
        <v>46010</v>
      </c>
      <c r="D575" t="inlineStr">
        <is>
          <t>KALMAR LÄN</t>
        </is>
      </c>
      <c r="E575" t="inlineStr">
        <is>
          <t>VIMMERBY</t>
        </is>
      </c>
      <c r="G575" t="n">
        <v>0.8</v>
      </c>
      <c r="H575" t="n">
        <v>0</v>
      </c>
      <c r="I575" t="n">
        <v>0</v>
      </c>
      <c r="J575" t="n">
        <v>0</v>
      </c>
      <c r="K575" t="n">
        <v>0</v>
      </c>
      <c r="L575" t="n">
        <v>0</v>
      </c>
      <c r="M575" t="n">
        <v>0</v>
      </c>
      <c r="N575" t="n">
        <v>0</v>
      </c>
      <c r="O575" t="n">
        <v>0</v>
      </c>
      <c r="P575" t="n">
        <v>0</v>
      </c>
      <c r="Q575" t="n">
        <v>0</v>
      </c>
      <c r="R575" s="2" t="inlineStr"/>
    </row>
    <row r="576" ht="15" customHeight="1">
      <c r="A576" t="inlineStr">
        <is>
          <t>A 58435-2025</t>
        </is>
      </c>
      <c r="B576" s="1" t="n">
        <v>45985.61501157407</v>
      </c>
      <c r="C576" s="1" t="n">
        <v>46010</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30920-2024</t>
        </is>
      </c>
      <c r="B577" s="1" t="n">
        <v>45498.673125</v>
      </c>
      <c r="C577" s="1" t="n">
        <v>46010</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58498-2025</t>
        </is>
      </c>
      <c r="B578" s="1" t="n">
        <v>45985.68671296296</v>
      </c>
      <c r="C578" s="1" t="n">
        <v>46010</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58501-2025</t>
        </is>
      </c>
      <c r="B579" s="1" t="n">
        <v>45985.69153935185</v>
      </c>
      <c r="C579" s="1" t="n">
        <v>46010</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58514-2025</t>
        </is>
      </c>
      <c r="B580" s="1" t="n">
        <v>45985.70513888889</v>
      </c>
      <c r="C580" s="1" t="n">
        <v>46010</v>
      </c>
      <c r="D580" t="inlineStr">
        <is>
          <t>KALMAR LÄN</t>
        </is>
      </c>
      <c r="E580" t="inlineStr">
        <is>
          <t>VIMMERBY</t>
        </is>
      </c>
      <c r="G580" t="n">
        <v>3.7</v>
      </c>
      <c r="H580" t="n">
        <v>0</v>
      </c>
      <c r="I580" t="n">
        <v>0</v>
      </c>
      <c r="J580" t="n">
        <v>0</v>
      </c>
      <c r="K580" t="n">
        <v>0</v>
      </c>
      <c r="L580" t="n">
        <v>0</v>
      </c>
      <c r="M580" t="n">
        <v>0</v>
      </c>
      <c r="N580" t="n">
        <v>0</v>
      </c>
      <c r="O580" t="n">
        <v>0</v>
      </c>
      <c r="P580" t="n">
        <v>0</v>
      </c>
      <c r="Q580" t="n">
        <v>0</v>
      </c>
      <c r="R580" s="2" t="inlineStr"/>
    </row>
    <row r="581" ht="15" customHeight="1">
      <c r="A581" t="inlineStr">
        <is>
          <t>A 40929-2022</t>
        </is>
      </c>
      <c r="B581" s="1" t="n">
        <v>44825.4336574074</v>
      </c>
      <c r="C581" s="1" t="n">
        <v>46010</v>
      </c>
      <c r="D581" t="inlineStr">
        <is>
          <t>KALMAR LÄN</t>
        </is>
      </c>
      <c r="E581" t="inlineStr">
        <is>
          <t>VIMMERBY</t>
        </is>
      </c>
      <c r="G581" t="n">
        <v>2.5</v>
      </c>
      <c r="H581" t="n">
        <v>0</v>
      </c>
      <c r="I581" t="n">
        <v>0</v>
      </c>
      <c r="J581" t="n">
        <v>0</v>
      </c>
      <c r="K581" t="n">
        <v>0</v>
      </c>
      <c r="L581" t="n">
        <v>0</v>
      </c>
      <c r="M581" t="n">
        <v>0</v>
      </c>
      <c r="N581" t="n">
        <v>0</v>
      </c>
      <c r="O581" t="n">
        <v>0</v>
      </c>
      <c r="P581" t="n">
        <v>0</v>
      </c>
      <c r="Q581" t="n">
        <v>0</v>
      </c>
      <c r="R581" s="2" t="inlineStr"/>
    </row>
    <row r="582" ht="15" customHeight="1">
      <c r="A582" t="inlineStr">
        <is>
          <t>A 50091-2023</t>
        </is>
      </c>
      <c r="B582" s="1" t="n">
        <v>45215.60199074074</v>
      </c>
      <c r="C582" s="1" t="n">
        <v>46010</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58500-2025</t>
        </is>
      </c>
      <c r="B583" s="1" t="n">
        <v>45985.69008101852</v>
      </c>
      <c r="C583" s="1" t="n">
        <v>46010</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58503-2025</t>
        </is>
      </c>
      <c r="B584" s="1" t="n">
        <v>45985.69509259259</v>
      </c>
      <c r="C584" s="1" t="n">
        <v>46010</v>
      </c>
      <c r="D584" t="inlineStr">
        <is>
          <t>KALMAR LÄN</t>
        </is>
      </c>
      <c r="E584" t="inlineStr">
        <is>
          <t>VIMMERBY</t>
        </is>
      </c>
      <c r="G584" t="n">
        <v>1.6</v>
      </c>
      <c r="H584" t="n">
        <v>0</v>
      </c>
      <c r="I584" t="n">
        <v>0</v>
      </c>
      <c r="J584" t="n">
        <v>0</v>
      </c>
      <c r="K584" t="n">
        <v>0</v>
      </c>
      <c r="L584" t="n">
        <v>0</v>
      </c>
      <c r="M584" t="n">
        <v>0</v>
      </c>
      <c r="N584" t="n">
        <v>0</v>
      </c>
      <c r="O584" t="n">
        <v>0</v>
      </c>
      <c r="P584" t="n">
        <v>0</v>
      </c>
      <c r="Q584" t="n">
        <v>0</v>
      </c>
      <c r="R584" s="2" t="inlineStr"/>
    </row>
    <row r="585" ht="15" customHeight="1">
      <c r="A585" t="inlineStr">
        <is>
          <t>A 36008-2024</t>
        </is>
      </c>
      <c r="B585" s="1" t="n">
        <v>45533.55362268518</v>
      </c>
      <c r="C585" s="1" t="n">
        <v>46010</v>
      </c>
      <c r="D585" t="inlineStr">
        <is>
          <t>KALMAR LÄN</t>
        </is>
      </c>
      <c r="E585" t="inlineStr">
        <is>
          <t>VIMMERBY</t>
        </is>
      </c>
      <c r="G585" t="n">
        <v>3.7</v>
      </c>
      <c r="H585" t="n">
        <v>0</v>
      </c>
      <c r="I585" t="n">
        <v>0</v>
      </c>
      <c r="J585" t="n">
        <v>0</v>
      </c>
      <c r="K585" t="n">
        <v>0</v>
      </c>
      <c r="L585" t="n">
        <v>0</v>
      </c>
      <c r="M585" t="n">
        <v>0</v>
      </c>
      <c r="N585" t="n">
        <v>0</v>
      </c>
      <c r="O585" t="n">
        <v>0</v>
      </c>
      <c r="P585" t="n">
        <v>0</v>
      </c>
      <c r="Q585" t="n">
        <v>0</v>
      </c>
      <c r="R585" s="2" t="inlineStr"/>
    </row>
    <row r="586" ht="15" customHeight="1">
      <c r="A586" t="inlineStr">
        <is>
          <t>A 58446-2025</t>
        </is>
      </c>
      <c r="B586" s="1" t="n">
        <v>45985.62168981481</v>
      </c>
      <c r="C586" s="1" t="n">
        <v>46010</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16622-2025</t>
        </is>
      </c>
      <c r="B587" s="1" t="n">
        <v>45754.33641203704</v>
      </c>
      <c r="C587" s="1" t="n">
        <v>46010</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17511-2024</t>
        </is>
      </c>
      <c r="B588" s="1" t="n">
        <v>45415.57682870371</v>
      </c>
      <c r="C588" s="1" t="n">
        <v>46010</v>
      </c>
      <c r="D588" t="inlineStr">
        <is>
          <t>KALMAR LÄN</t>
        </is>
      </c>
      <c r="E588" t="inlineStr">
        <is>
          <t>VIMMERBY</t>
        </is>
      </c>
      <c r="G588" t="n">
        <v>5.3</v>
      </c>
      <c r="H588" t="n">
        <v>0</v>
      </c>
      <c r="I588" t="n">
        <v>0</v>
      </c>
      <c r="J588" t="n">
        <v>0</v>
      </c>
      <c r="K588" t="n">
        <v>0</v>
      </c>
      <c r="L588" t="n">
        <v>0</v>
      </c>
      <c r="M588" t="n">
        <v>0</v>
      </c>
      <c r="N588" t="n">
        <v>0</v>
      </c>
      <c r="O588" t="n">
        <v>0</v>
      </c>
      <c r="P588" t="n">
        <v>0</v>
      </c>
      <c r="Q588" t="n">
        <v>0</v>
      </c>
      <c r="R588" s="2" t="inlineStr"/>
    </row>
    <row r="589" ht="15" customHeight="1">
      <c r="A589" t="inlineStr">
        <is>
          <t>A 43705-2023</t>
        </is>
      </c>
      <c r="B589" s="1" t="n">
        <v>45187.42854166667</v>
      </c>
      <c r="C589" s="1" t="n">
        <v>46010</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49871-2025</t>
        </is>
      </c>
      <c r="B590" s="1" t="n">
        <v>45940.54104166666</v>
      </c>
      <c r="C590" s="1" t="n">
        <v>46010</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55300-2021</t>
        </is>
      </c>
      <c r="B591" s="1" t="n">
        <v>44475</v>
      </c>
      <c r="C591" s="1" t="n">
        <v>46010</v>
      </c>
      <c r="D591" t="inlineStr">
        <is>
          <t>KALMAR LÄN</t>
        </is>
      </c>
      <c r="E591" t="inlineStr">
        <is>
          <t>VIMMERBY</t>
        </is>
      </c>
      <c r="G591" t="n">
        <v>3.4</v>
      </c>
      <c r="H591" t="n">
        <v>0</v>
      </c>
      <c r="I591" t="n">
        <v>0</v>
      </c>
      <c r="J591" t="n">
        <v>0</v>
      </c>
      <c r="K591" t="n">
        <v>0</v>
      </c>
      <c r="L591" t="n">
        <v>0</v>
      </c>
      <c r="M591" t="n">
        <v>0</v>
      </c>
      <c r="N591" t="n">
        <v>0</v>
      </c>
      <c r="O591" t="n">
        <v>0</v>
      </c>
      <c r="P591" t="n">
        <v>0</v>
      </c>
      <c r="Q591" t="n">
        <v>0</v>
      </c>
      <c r="R591" s="2" t="inlineStr"/>
    </row>
    <row r="592" ht="15" customHeight="1">
      <c r="A592" t="inlineStr">
        <is>
          <t>A 44179-2022</t>
        </is>
      </c>
      <c r="B592" s="1" t="n">
        <v>44839.4528125</v>
      </c>
      <c r="C592" s="1" t="n">
        <v>46010</v>
      </c>
      <c r="D592" t="inlineStr">
        <is>
          <t>KALMAR LÄN</t>
        </is>
      </c>
      <c r="E592" t="inlineStr">
        <is>
          <t>VIMMERBY</t>
        </is>
      </c>
      <c r="G592" t="n">
        <v>2.8</v>
      </c>
      <c r="H592" t="n">
        <v>0</v>
      </c>
      <c r="I592" t="n">
        <v>0</v>
      </c>
      <c r="J592" t="n">
        <v>0</v>
      </c>
      <c r="K592" t="n">
        <v>0</v>
      </c>
      <c r="L592" t="n">
        <v>0</v>
      </c>
      <c r="M592" t="n">
        <v>0</v>
      </c>
      <c r="N592" t="n">
        <v>0</v>
      </c>
      <c r="O592" t="n">
        <v>0</v>
      </c>
      <c r="P592" t="n">
        <v>0</v>
      </c>
      <c r="Q592" t="n">
        <v>0</v>
      </c>
      <c r="R592" s="2" t="inlineStr"/>
    </row>
    <row r="593" ht="15" customHeight="1">
      <c r="A593" t="inlineStr">
        <is>
          <t>A 57728-2025</t>
        </is>
      </c>
      <c r="B593" s="1" t="n">
        <v>45981</v>
      </c>
      <c r="C593" s="1" t="n">
        <v>46010</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52755-2022</t>
        </is>
      </c>
      <c r="B594" s="1" t="n">
        <v>44875.27736111111</v>
      </c>
      <c r="C594" s="1" t="n">
        <v>46010</v>
      </c>
      <c r="D594" t="inlineStr">
        <is>
          <t>KALMAR LÄN</t>
        </is>
      </c>
      <c r="E594" t="inlineStr">
        <is>
          <t>VIMMERBY</t>
        </is>
      </c>
      <c r="G594" t="n">
        <v>1.1</v>
      </c>
      <c r="H594" t="n">
        <v>0</v>
      </c>
      <c r="I594" t="n">
        <v>0</v>
      </c>
      <c r="J594" t="n">
        <v>0</v>
      </c>
      <c r="K594" t="n">
        <v>0</v>
      </c>
      <c r="L594" t="n">
        <v>0</v>
      </c>
      <c r="M594" t="n">
        <v>0</v>
      </c>
      <c r="N594" t="n">
        <v>0</v>
      </c>
      <c r="O594" t="n">
        <v>0</v>
      </c>
      <c r="P594" t="n">
        <v>0</v>
      </c>
      <c r="Q594" t="n">
        <v>0</v>
      </c>
      <c r="R594" s="2" t="inlineStr"/>
    </row>
    <row r="595" ht="15" customHeight="1">
      <c r="A595" t="inlineStr">
        <is>
          <t>A 35998-2024</t>
        </is>
      </c>
      <c r="B595" s="1" t="n">
        <v>45533.54429398148</v>
      </c>
      <c r="C595" s="1" t="n">
        <v>46010</v>
      </c>
      <c r="D595" t="inlineStr">
        <is>
          <t>KALMAR LÄN</t>
        </is>
      </c>
      <c r="E595" t="inlineStr">
        <is>
          <t>VIMMERBY</t>
        </is>
      </c>
      <c r="G595" t="n">
        <v>8.6</v>
      </c>
      <c r="H595" t="n">
        <v>0</v>
      </c>
      <c r="I595" t="n">
        <v>0</v>
      </c>
      <c r="J595" t="n">
        <v>0</v>
      </c>
      <c r="K595" t="n">
        <v>0</v>
      </c>
      <c r="L595" t="n">
        <v>0</v>
      </c>
      <c r="M595" t="n">
        <v>0</v>
      </c>
      <c r="N595" t="n">
        <v>0</v>
      </c>
      <c r="O595" t="n">
        <v>0</v>
      </c>
      <c r="P595" t="n">
        <v>0</v>
      </c>
      <c r="Q595" t="n">
        <v>0</v>
      </c>
      <c r="R595" s="2" t="inlineStr"/>
    </row>
    <row r="596" ht="15" customHeight="1">
      <c r="A596" t="inlineStr">
        <is>
          <t>A 58841-2025</t>
        </is>
      </c>
      <c r="B596" s="1" t="n">
        <v>45987.36275462963</v>
      </c>
      <c r="C596" s="1" t="n">
        <v>46010</v>
      </c>
      <c r="D596" t="inlineStr">
        <is>
          <t>KALMAR LÄN</t>
        </is>
      </c>
      <c r="E596" t="inlineStr">
        <is>
          <t>VIMMERBY</t>
        </is>
      </c>
      <c r="G596" t="n">
        <v>3.5</v>
      </c>
      <c r="H596" t="n">
        <v>0</v>
      </c>
      <c r="I596" t="n">
        <v>0</v>
      </c>
      <c r="J596" t="n">
        <v>0</v>
      </c>
      <c r="K596" t="n">
        <v>0</v>
      </c>
      <c r="L596" t="n">
        <v>0</v>
      </c>
      <c r="M596" t="n">
        <v>0</v>
      </c>
      <c r="N596" t="n">
        <v>0</v>
      </c>
      <c r="O596" t="n">
        <v>0</v>
      </c>
      <c r="P596" t="n">
        <v>0</v>
      </c>
      <c r="Q596" t="n">
        <v>0</v>
      </c>
      <c r="R596" s="2" t="inlineStr"/>
    </row>
    <row r="597" ht="15" customHeight="1">
      <c r="A597" t="inlineStr">
        <is>
          <t>A 7797-2023</t>
        </is>
      </c>
      <c r="B597" s="1" t="n">
        <v>44973.43075231482</v>
      </c>
      <c r="C597" s="1" t="n">
        <v>46010</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50544-2025</t>
        </is>
      </c>
      <c r="B598" s="1" t="n">
        <v>45945.50736111111</v>
      </c>
      <c r="C598" s="1" t="n">
        <v>46010</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29351-2023</t>
        </is>
      </c>
      <c r="B599" s="1" t="n">
        <v>45106.2610300926</v>
      </c>
      <c r="C599" s="1" t="n">
        <v>46010</v>
      </c>
      <c r="D599" t="inlineStr">
        <is>
          <t>KALMAR LÄN</t>
        </is>
      </c>
      <c r="E599" t="inlineStr">
        <is>
          <t>VIMMERBY</t>
        </is>
      </c>
      <c r="G599" t="n">
        <v>0.4</v>
      </c>
      <c r="H599" t="n">
        <v>0</v>
      </c>
      <c r="I599" t="n">
        <v>0</v>
      </c>
      <c r="J599" t="n">
        <v>0</v>
      </c>
      <c r="K599" t="n">
        <v>0</v>
      </c>
      <c r="L599" t="n">
        <v>0</v>
      </c>
      <c r="M599" t="n">
        <v>0</v>
      </c>
      <c r="N599" t="n">
        <v>0</v>
      </c>
      <c r="O599" t="n">
        <v>0</v>
      </c>
      <c r="P599" t="n">
        <v>0</v>
      </c>
      <c r="Q599" t="n">
        <v>0</v>
      </c>
      <c r="R599" s="2" t="inlineStr"/>
    </row>
    <row r="600" ht="15" customHeight="1">
      <c r="A600" t="inlineStr">
        <is>
          <t>A 7630-2025</t>
        </is>
      </c>
      <c r="B600" s="1" t="n">
        <v>45705.74418981482</v>
      </c>
      <c r="C600" s="1" t="n">
        <v>46010</v>
      </c>
      <c r="D600" t="inlineStr">
        <is>
          <t>KALMAR LÄN</t>
        </is>
      </c>
      <c r="E600" t="inlineStr">
        <is>
          <t>VIMMERBY</t>
        </is>
      </c>
      <c r="G600" t="n">
        <v>2.5</v>
      </c>
      <c r="H600" t="n">
        <v>0</v>
      </c>
      <c r="I600" t="n">
        <v>0</v>
      </c>
      <c r="J600" t="n">
        <v>0</v>
      </c>
      <c r="K600" t="n">
        <v>0</v>
      </c>
      <c r="L600" t="n">
        <v>0</v>
      </c>
      <c r="M600" t="n">
        <v>0</v>
      </c>
      <c r="N600" t="n">
        <v>0</v>
      </c>
      <c r="O600" t="n">
        <v>0</v>
      </c>
      <c r="P600" t="n">
        <v>0</v>
      </c>
      <c r="Q600" t="n">
        <v>0</v>
      </c>
      <c r="R600" s="2" t="inlineStr"/>
    </row>
    <row r="601" ht="15" customHeight="1">
      <c r="A601" t="inlineStr">
        <is>
          <t>A 1024-2024</t>
        </is>
      </c>
      <c r="B601" s="1" t="n">
        <v>45301.68237268519</v>
      </c>
      <c r="C601" s="1" t="n">
        <v>46010</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10787-2025</t>
        </is>
      </c>
      <c r="B602" s="1" t="n">
        <v>45722.48915509259</v>
      </c>
      <c r="C602" s="1" t="n">
        <v>46010</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58858-2025</t>
        </is>
      </c>
      <c r="B603" s="1" t="n">
        <v>45987.4243287037</v>
      </c>
      <c r="C603" s="1" t="n">
        <v>46010</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29350-2023</t>
        </is>
      </c>
      <c r="B604" s="1" t="n">
        <v>45106</v>
      </c>
      <c r="C604" s="1" t="n">
        <v>46010</v>
      </c>
      <c r="D604" t="inlineStr">
        <is>
          <t>KALMAR LÄN</t>
        </is>
      </c>
      <c r="E604" t="inlineStr">
        <is>
          <t>VIMMERBY</t>
        </is>
      </c>
      <c r="G604" t="n">
        <v>0.8</v>
      </c>
      <c r="H604" t="n">
        <v>0</v>
      </c>
      <c r="I604" t="n">
        <v>0</v>
      </c>
      <c r="J604" t="n">
        <v>0</v>
      </c>
      <c r="K604" t="n">
        <v>0</v>
      </c>
      <c r="L604" t="n">
        <v>0</v>
      </c>
      <c r="M604" t="n">
        <v>0</v>
      </c>
      <c r="N604" t="n">
        <v>0</v>
      </c>
      <c r="O604" t="n">
        <v>0</v>
      </c>
      <c r="P604" t="n">
        <v>0</v>
      </c>
      <c r="Q604" t="n">
        <v>0</v>
      </c>
      <c r="R604" s="2" t="inlineStr"/>
    </row>
    <row r="605" ht="15" customHeight="1">
      <c r="A605" t="inlineStr">
        <is>
          <t>A 14855-2025</t>
        </is>
      </c>
      <c r="B605" s="1" t="n">
        <v>45743.41148148148</v>
      </c>
      <c r="C605" s="1" t="n">
        <v>46010</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50324-2025</t>
        </is>
      </c>
      <c r="B606" s="1" t="n">
        <v>45944.45962962963</v>
      </c>
      <c r="C606" s="1" t="n">
        <v>46010</v>
      </c>
      <c r="D606" t="inlineStr">
        <is>
          <t>KALMAR LÄN</t>
        </is>
      </c>
      <c r="E606" t="inlineStr">
        <is>
          <t>VIMMERBY</t>
        </is>
      </c>
      <c r="G606" t="n">
        <v>2.1</v>
      </c>
      <c r="H606" t="n">
        <v>0</v>
      </c>
      <c r="I606" t="n">
        <v>0</v>
      </c>
      <c r="J606" t="n">
        <v>0</v>
      </c>
      <c r="K606" t="n">
        <v>0</v>
      </c>
      <c r="L606" t="n">
        <v>0</v>
      </c>
      <c r="M606" t="n">
        <v>0</v>
      </c>
      <c r="N606" t="n">
        <v>0</v>
      </c>
      <c r="O606" t="n">
        <v>0</v>
      </c>
      <c r="P606" t="n">
        <v>0</v>
      </c>
      <c r="Q606" t="n">
        <v>0</v>
      </c>
      <c r="R606" s="2" t="inlineStr"/>
    </row>
    <row r="607" ht="15" customHeight="1">
      <c r="A607" t="inlineStr">
        <is>
          <t>A 43601-2024</t>
        </is>
      </c>
      <c r="B607" s="1" t="n">
        <v>45569.44684027778</v>
      </c>
      <c r="C607" s="1" t="n">
        <v>46010</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35913-2023</t>
        </is>
      </c>
      <c r="B608" s="1" t="n">
        <v>45148</v>
      </c>
      <c r="C608" s="1" t="n">
        <v>46010</v>
      </c>
      <c r="D608" t="inlineStr">
        <is>
          <t>KALMAR LÄN</t>
        </is>
      </c>
      <c r="E608" t="inlineStr">
        <is>
          <t>VIMMERBY</t>
        </is>
      </c>
      <c r="G608" t="n">
        <v>6.9</v>
      </c>
      <c r="H608" t="n">
        <v>0</v>
      </c>
      <c r="I608" t="n">
        <v>0</v>
      </c>
      <c r="J608" t="n">
        <v>0</v>
      </c>
      <c r="K608" t="n">
        <v>0</v>
      </c>
      <c r="L608" t="n">
        <v>0</v>
      </c>
      <c r="M608" t="n">
        <v>0</v>
      </c>
      <c r="N608" t="n">
        <v>0</v>
      </c>
      <c r="O608" t="n">
        <v>0</v>
      </c>
      <c r="P608" t="n">
        <v>0</v>
      </c>
      <c r="Q608" t="n">
        <v>0</v>
      </c>
      <c r="R608" s="2" t="inlineStr"/>
    </row>
    <row r="609" ht="15" customHeight="1">
      <c r="A609" t="inlineStr">
        <is>
          <t>A 9624-2024</t>
        </is>
      </c>
      <c r="B609" s="1" t="n">
        <v>45361.90282407407</v>
      </c>
      <c r="C609" s="1" t="n">
        <v>46010</v>
      </c>
      <c r="D609" t="inlineStr">
        <is>
          <t>KALMAR LÄN</t>
        </is>
      </c>
      <c r="E609" t="inlineStr">
        <is>
          <t>VIMMERBY</t>
        </is>
      </c>
      <c r="G609" t="n">
        <v>3.8</v>
      </c>
      <c r="H609" t="n">
        <v>0</v>
      </c>
      <c r="I609" t="n">
        <v>0</v>
      </c>
      <c r="J609" t="n">
        <v>0</v>
      </c>
      <c r="K609" t="n">
        <v>0</v>
      </c>
      <c r="L609" t="n">
        <v>0</v>
      </c>
      <c r="M609" t="n">
        <v>0</v>
      </c>
      <c r="N609" t="n">
        <v>0</v>
      </c>
      <c r="O609" t="n">
        <v>0</v>
      </c>
      <c r="P609" t="n">
        <v>0</v>
      </c>
      <c r="Q609" t="n">
        <v>0</v>
      </c>
      <c r="R609" s="2" t="inlineStr"/>
    </row>
    <row r="610" ht="15" customHeight="1">
      <c r="A610" t="inlineStr">
        <is>
          <t>A 3938-2023</t>
        </is>
      </c>
      <c r="B610" s="1" t="n">
        <v>44952.35775462963</v>
      </c>
      <c r="C610" s="1" t="n">
        <v>46010</v>
      </c>
      <c r="D610" t="inlineStr">
        <is>
          <t>KALMAR LÄN</t>
        </is>
      </c>
      <c r="E610" t="inlineStr">
        <is>
          <t>VIMMERBY</t>
        </is>
      </c>
      <c r="G610" t="n">
        <v>0.9</v>
      </c>
      <c r="H610" t="n">
        <v>0</v>
      </c>
      <c r="I610" t="n">
        <v>0</v>
      </c>
      <c r="J610" t="n">
        <v>0</v>
      </c>
      <c r="K610" t="n">
        <v>0</v>
      </c>
      <c r="L610" t="n">
        <v>0</v>
      </c>
      <c r="M610" t="n">
        <v>0</v>
      </c>
      <c r="N610" t="n">
        <v>0</v>
      </c>
      <c r="O610" t="n">
        <v>0</v>
      </c>
      <c r="P610" t="n">
        <v>0</v>
      </c>
      <c r="Q610" t="n">
        <v>0</v>
      </c>
      <c r="R610" s="2" t="inlineStr"/>
    </row>
    <row r="611" ht="15" customHeight="1">
      <c r="A611" t="inlineStr">
        <is>
          <t>A 39053-2024</t>
        </is>
      </c>
      <c r="B611" s="1" t="n">
        <v>45548</v>
      </c>
      <c r="C611" s="1" t="n">
        <v>46010</v>
      </c>
      <c r="D611" t="inlineStr">
        <is>
          <t>KALMAR LÄN</t>
        </is>
      </c>
      <c r="E611" t="inlineStr">
        <is>
          <t>VIMMERBY</t>
        </is>
      </c>
      <c r="G611" t="n">
        <v>5</v>
      </c>
      <c r="H611" t="n">
        <v>0</v>
      </c>
      <c r="I611" t="n">
        <v>0</v>
      </c>
      <c r="J611" t="n">
        <v>0</v>
      </c>
      <c r="K611" t="n">
        <v>0</v>
      </c>
      <c r="L611" t="n">
        <v>0</v>
      </c>
      <c r="M611" t="n">
        <v>0</v>
      </c>
      <c r="N611" t="n">
        <v>0</v>
      </c>
      <c r="O611" t="n">
        <v>0</v>
      </c>
      <c r="P611" t="n">
        <v>0</v>
      </c>
      <c r="Q611" t="n">
        <v>0</v>
      </c>
      <c r="R611" s="2" t="inlineStr"/>
    </row>
    <row r="612" ht="15" customHeight="1">
      <c r="A612" t="inlineStr">
        <is>
          <t>A 14451-2024</t>
        </is>
      </c>
      <c r="B612" s="1" t="n">
        <v>45394.50028935185</v>
      </c>
      <c r="C612" s="1" t="n">
        <v>46010</v>
      </c>
      <c r="D612" t="inlineStr">
        <is>
          <t>KALMAR LÄN</t>
        </is>
      </c>
      <c r="E612" t="inlineStr">
        <is>
          <t>VIMMERBY</t>
        </is>
      </c>
      <c r="G612" t="n">
        <v>1.9</v>
      </c>
      <c r="H612" t="n">
        <v>0</v>
      </c>
      <c r="I612" t="n">
        <v>0</v>
      </c>
      <c r="J612" t="n">
        <v>0</v>
      </c>
      <c r="K612" t="n">
        <v>0</v>
      </c>
      <c r="L612" t="n">
        <v>0</v>
      </c>
      <c r="M612" t="n">
        <v>0</v>
      </c>
      <c r="N612" t="n">
        <v>0</v>
      </c>
      <c r="O612" t="n">
        <v>0</v>
      </c>
      <c r="P612" t="n">
        <v>0</v>
      </c>
      <c r="Q612" t="n">
        <v>0</v>
      </c>
      <c r="R612" s="2" t="inlineStr"/>
    </row>
    <row r="613" ht="15" customHeight="1">
      <c r="A613" t="inlineStr">
        <is>
          <t>A 34205-2023</t>
        </is>
      </c>
      <c r="B613" s="1" t="n">
        <v>45138</v>
      </c>
      <c r="C613" s="1" t="n">
        <v>46010</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51062-2025</t>
        </is>
      </c>
      <c r="B614" s="1" t="n">
        <v>45947.44685185186</v>
      </c>
      <c r="C614" s="1" t="n">
        <v>46010</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59037-2025</t>
        </is>
      </c>
      <c r="B615" s="1" t="n">
        <v>45988.36508101852</v>
      </c>
      <c r="C615" s="1" t="n">
        <v>46010</v>
      </c>
      <c r="D615" t="inlineStr">
        <is>
          <t>KALMAR LÄN</t>
        </is>
      </c>
      <c r="E615" t="inlineStr">
        <is>
          <t>VIMMERBY</t>
        </is>
      </c>
      <c r="F615" t="inlineStr">
        <is>
          <t>Sveaskog</t>
        </is>
      </c>
      <c r="G615" t="n">
        <v>4</v>
      </c>
      <c r="H615" t="n">
        <v>0</v>
      </c>
      <c r="I615" t="n">
        <v>0</v>
      </c>
      <c r="J615" t="n">
        <v>0</v>
      </c>
      <c r="K615" t="n">
        <v>0</v>
      </c>
      <c r="L615" t="n">
        <v>0</v>
      </c>
      <c r="M615" t="n">
        <v>0</v>
      </c>
      <c r="N615" t="n">
        <v>0</v>
      </c>
      <c r="O615" t="n">
        <v>0</v>
      </c>
      <c r="P615" t="n">
        <v>0</v>
      </c>
      <c r="Q615" t="n">
        <v>0</v>
      </c>
      <c r="R615" s="2" t="inlineStr"/>
    </row>
    <row r="616" ht="15" customHeight="1">
      <c r="A616" t="inlineStr">
        <is>
          <t>A 59039-2025</t>
        </is>
      </c>
      <c r="B616" s="1" t="n">
        <v>45988.36790509259</v>
      </c>
      <c r="C616" s="1" t="n">
        <v>46010</v>
      </c>
      <c r="D616" t="inlineStr">
        <is>
          <t>KALMAR LÄN</t>
        </is>
      </c>
      <c r="E616" t="inlineStr">
        <is>
          <t>VIMMERBY</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3268-2024</t>
        </is>
      </c>
      <c r="B617" s="1" t="n">
        <v>45317</v>
      </c>
      <c r="C617" s="1" t="n">
        <v>46010</v>
      </c>
      <c r="D617" t="inlineStr">
        <is>
          <t>KALMAR LÄN</t>
        </is>
      </c>
      <c r="E617" t="inlineStr">
        <is>
          <t>VIMMERBY</t>
        </is>
      </c>
      <c r="F617" t="inlineStr">
        <is>
          <t>Övriga Aktiebolag</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59034-2025</t>
        </is>
      </c>
      <c r="B618" s="1" t="n">
        <v>45988.36243055556</v>
      </c>
      <c r="C618" s="1" t="n">
        <v>46010</v>
      </c>
      <c r="D618" t="inlineStr">
        <is>
          <t>KALMAR LÄN</t>
        </is>
      </c>
      <c r="E618" t="inlineStr">
        <is>
          <t>VIMMERBY</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59068-2025</t>
        </is>
      </c>
      <c r="B619" s="1" t="n">
        <v>45988.41725694444</v>
      </c>
      <c r="C619" s="1" t="n">
        <v>46010</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58997-2025</t>
        </is>
      </c>
      <c r="B620" s="1" t="n">
        <v>45987</v>
      </c>
      <c r="C620" s="1" t="n">
        <v>46010</v>
      </c>
      <c r="D620" t="inlineStr">
        <is>
          <t>KALMAR LÄN</t>
        </is>
      </c>
      <c r="E620" t="inlineStr">
        <is>
          <t>VIMMERBY</t>
        </is>
      </c>
      <c r="G620" t="n">
        <v>7.9</v>
      </c>
      <c r="H620" t="n">
        <v>0</v>
      </c>
      <c r="I620" t="n">
        <v>0</v>
      </c>
      <c r="J620" t="n">
        <v>0</v>
      </c>
      <c r="K620" t="n">
        <v>0</v>
      </c>
      <c r="L620" t="n">
        <v>0</v>
      </c>
      <c r="M620" t="n">
        <v>0</v>
      </c>
      <c r="N620" t="n">
        <v>0</v>
      </c>
      <c r="O620" t="n">
        <v>0</v>
      </c>
      <c r="P620" t="n">
        <v>0</v>
      </c>
      <c r="Q620" t="n">
        <v>0</v>
      </c>
      <c r="R620" s="2" t="inlineStr"/>
    </row>
    <row r="621" ht="15" customHeight="1">
      <c r="A621" t="inlineStr">
        <is>
          <t>A 12819-2024</t>
        </is>
      </c>
      <c r="B621" s="1" t="n">
        <v>45384.66917824074</v>
      </c>
      <c r="C621" s="1" t="n">
        <v>46010</v>
      </c>
      <c r="D621" t="inlineStr">
        <is>
          <t>KALMAR LÄN</t>
        </is>
      </c>
      <c r="E621" t="inlineStr">
        <is>
          <t>VIMMERBY</t>
        </is>
      </c>
      <c r="G621" t="n">
        <v>5.1</v>
      </c>
      <c r="H621" t="n">
        <v>0</v>
      </c>
      <c r="I621" t="n">
        <v>0</v>
      </c>
      <c r="J621" t="n">
        <v>0</v>
      </c>
      <c r="K621" t="n">
        <v>0</v>
      </c>
      <c r="L621" t="n">
        <v>0</v>
      </c>
      <c r="M621" t="n">
        <v>0</v>
      </c>
      <c r="N621" t="n">
        <v>0</v>
      </c>
      <c r="O621" t="n">
        <v>0</v>
      </c>
      <c r="P621" t="n">
        <v>0</v>
      </c>
      <c r="Q621" t="n">
        <v>0</v>
      </c>
      <c r="R621" s="2" t="inlineStr"/>
    </row>
    <row r="622" ht="15" customHeight="1">
      <c r="A622" t="inlineStr">
        <is>
          <t>A 6214-2025</t>
        </is>
      </c>
      <c r="B622" s="1" t="n">
        <v>45698.51711805556</v>
      </c>
      <c r="C622" s="1" t="n">
        <v>46010</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32569-2024</t>
        </is>
      </c>
      <c r="B623" s="1" t="n">
        <v>45513.55840277778</v>
      </c>
      <c r="C623" s="1" t="n">
        <v>46010</v>
      </c>
      <c r="D623" t="inlineStr">
        <is>
          <t>KALMAR LÄN</t>
        </is>
      </c>
      <c r="E623" t="inlineStr">
        <is>
          <t>VIMMERBY</t>
        </is>
      </c>
      <c r="G623" t="n">
        <v>3.7</v>
      </c>
      <c r="H623" t="n">
        <v>0</v>
      </c>
      <c r="I623" t="n">
        <v>0</v>
      </c>
      <c r="J623" t="n">
        <v>0</v>
      </c>
      <c r="K623" t="n">
        <v>0</v>
      </c>
      <c r="L623" t="n">
        <v>0</v>
      </c>
      <c r="M623" t="n">
        <v>0</v>
      </c>
      <c r="N623" t="n">
        <v>0</v>
      </c>
      <c r="O623" t="n">
        <v>0</v>
      </c>
      <c r="P623" t="n">
        <v>0</v>
      </c>
      <c r="Q623" t="n">
        <v>0</v>
      </c>
      <c r="R623" s="2" t="inlineStr"/>
    </row>
    <row r="624" ht="15" customHeight="1">
      <c r="A624" t="inlineStr">
        <is>
          <t>A 32575-2024</t>
        </is>
      </c>
      <c r="B624" s="1" t="n">
        <v>45513.56527777778</v>
      </c>
      <c r="C624" s="1" t="n">
        <v>46010</v>
      </c>
      <c r="D624" t="inlineStr">
        <is>
          <t>KALMAR LÄN</t>
        </is>
      </c>
      <c r="E624" t="inlineStr">
        <is>
          <t>VIMMERBY</t>
        </is>
      </c>
      <c r="G624" t="n">
        <v>1.5</v>
      </c>
      <c r="H624" t="n">
        <v>0</v>
      </c>
      <c r="I624" t="n">
        <v>0</v>
      </c>
      <c r="J624" t="n">
        <v>0</v>
      </c>
      <c r="K624" t="n">
        <v>0</v>
      </c>
      <c r="L624" t="n">
        <v>0</v>
      </c>
      <c r="M624" t="n">
        <v>0</v>
      </c>
      <c r="N624" t="n">
        <v>0</v>
      </c>
      <c r="O624" t="n">
        <v>0</v>
      </c>
      <c r="P624" t="n">
        <v>0</v>
      </c>
      <c r="Q624" t="n">
        <v>0</v>
      </c>
      <c r="R624" s="2" t="inlineStr"/>
    </row>
    <row r="625" ht="15" customHeight="1">
      <c r="A625" t="inlineStr">
        <is>
          <t>A 59300-2024</t>
        </is>
      </c>
      <c r="B625" s="1" t="n">
        <v>45637.66542824074</v>
      </c>
      <c r="C625" s="1" t="n">
        <v>46010</v>
      </c>
      <c r="D625" t="inlineStr">
        <is>
          <t>KALMAR LÄN</t>
        </is>
      </c>
      <c r="E625" t="inlineStr">
        <is>
          <t>VIMMERBY</t>
        </is>
      </c>
      <c r="G625" t="n">
        <v>0.8</v>
      </c>
      <c r="H625" t="n">
        <v>0</v>
      </c>
      <c r="I625" t="n">
        <v>0</v>
      </c>
      <c r="J625" t="n">
        <v>0</v>
      </c>
      <c r="K625" t="n">
        <v>0</v>
      </c>
      <c r="L625" t="n">
        <v>0</v>
      </c>
      <c r="M625" t="n">
        <v>0</v>
      </c>
      <c r="N625" t="n">
        <v>0</v>
      </c>
      <c r="O625" t="n">
        <v>0</v>
      </c>
      <c r="P625" t="n">
        <v>0</v>
      </c>
      <c r="Q625" t="n">
        <v>0</v>
      </c>
      <c r="R625" s="2" t="inlineStr"/>
    </row>
    <row r="626" ht="15" customHeight="1">
      <c r="A626" t="inlineStr">
        <is>
          <t>A 59768-2024</t>
        </is>
      </c>
      <c r="B626" s="1" t="n">
        <v>45639.56185185185</v>
      </c>
      <c r="C626" s="1" t="n">
        <v>46010</v>
      </c>
      <c r="D626" t="inlineStr">
        <is>
          <t>KALMAR LÄN</t>
        </is>
      </c>
      <c r="E626" t="inlineStr">
        <is>
          <t>VIMMERBY</t>
        </is>
      </c>
      <c r="G626" t="n">
        <v>5.9</v>
      </c>
      <c r="H626" t="n">
        <v>0</v>
      </c>
      <c r="I626" t="n">
        <v>0</v>
      </c>
      <c r="J626" t="n">
        <v>0</v>
      </c>
      <c r="K626" t="n">
        <v>0</v>
      </c>
      <c r="L626" t="n">
        <v>0</v>
      </c>
      <c r="M626" t="n">
        <v>0</v>
      </c>
      <c r="N626" t="n">
        <v>0</v>
      </c>
      <c r="O626" t="n">
        <v>0</v>
      </c>
      <c r="P626" t="n">
        <v>0</v>
      </c>
      <c r="Q626" t="n">
        <v>0</v>
      </c>
      <c r="R626" s="2" t="inlineStr"/>
    </row>
    <row r="627" ht="15" customHeight="1">
      <c r="A627" t="inlineStr">
        <is>
          <t>A 36526-2023</t>
        </is>
      </c>
      <c r="B627" s="1" t="n">
        <v>45153.32778935185</v>
      </c>
      <c r="C627" s="1" t="n">
        <v>46010</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58728-2024</t>
        </is>
      </c>
      <c r="B628" s="1" t="n">
        <v>45635.66695601852</v>
      </c>
      <c r="C628" s="1" t="n">
        <v>46010</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49474-2023</t>
        </is>
      </c>
      <c r="B629" s="1" t="n">
        <v>45211.541875</v>
      </c>
      <c r="C629" s="1" t="n">
        <v>46010</v>
      </c>
      <c r="D629" t="inlineStr">
        <is>
          <t>KALMAR LÄN</t>
        </is>
      </c>
      <c r="E629" t="inlineStr">
        <is>
          <t>VIMMERBY</t>
        </is>
      </c>
      <c r="G629" t="n">
        <v>3.6</v>
      </c>
      <c r="H629" t="n">
        <v>0</v>
      </c>
      <c r="I629" t="n">
        <v>0</v>
      </c>
      <c r="J629" t="n">
        <v>0</v>
      </c>
      <c r="K629" t="n">
        <v>0</v>
      </c>
      <c r="L629" t="n">
        <v>0</v>
      </c>
      <c r="M629" t="n">
        <v>0</v>
      </c>
      <c r="N629" t="n">
        <v>0</v>
      </c>
      <c r="O629" t="n">
        <v>0</v>
      </c>
      <c r="P629" t="n">
        <v>0</v>
      </c>
      <c r="Q629" t="n">
        <v>0</v>
      </c>
      <c r="R629" s="2" t="inlineStr"/>
    </row>
    <row r="630" ht="15" customHeight="1">
      <c r="A630" t="inlineStr">
        <is>
          <t>A 57682-2022</t>
        </is>
      </c>
      <c r="B630" s="1" t="n">
        <v>44890</v>
      </c>
      <c r="C630" s="1" t="n">
        <v>46010</v>
      </c>
      <c r="D630" t="inlineStr">
        <is>
          <t>KALMAR LÄN</t>
        </is>
      </c>
      <c r="E630" t="inlineStr">
        <is>
          <t>VIMMERBY</t>
        </is>
      </c>
      <c r="G630" t="n">
        <v>1.5</v>
      </c>
      <c r="H630" t="n">
        <v>0</v>
      </c>
      <c r="I630" t="n">
        <v>0</v>
      </c>
      <c r="J630" t="n">
        <v>0</v>
      </c>
      <c r="K630" t="n">
        <v>0</v>
      </c>
      <c r="L630" t="n">
        <v>0</v>
      </c>
      <c r="M630" t="n">
        <v>0</v>
      </c>
      <c r="N630" t="n">
        <v>0</v>
      </c>
      <c r="O630" t="n">
        <v>0</v>
      </c>
      <c r="P630" t="n">
        <v>0</v>
      </c>
      <c r="Q630" t="n">
        <v>0</v>
      </c>
      <c r="R630" s="2" t="inlineStr"/>
    </row>
    <row r="631" ht="15" customHeight="1">
      <c r="A631" t="inlineStr">
        <is>
          <t>A 59579-2025</t>
        </is>
      </c>
      <c r="B631" s="1" t="n">
        <v>45992.30569444445</v>
      </c>
      <c r="C631" s="1" t="n">
        <v>46010</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14220-2021</t>
        </is>
      </c>
      <c r="B632" s="1" t="n">
        <v>44278.54855324074</v>
      </c>
      <c r="C632" s="1" t="n">
        <v>46010</v>
      </c>
      <c r="D632" t="inlineStr">
        <is>
          <t>KALMAR LÄN</t>
        </is>
      </c>
      <c r="E632" t="inlineStr">
        <is>
          <t>VIMMERBY</t>
        </is>
      </c>
      <c r="G632" t="n">
        <v>0.3</v>
      </c>
      <c r="H632" t="n">
        <v>0</v>
      </c>
      <c r="I632" t="n">
        <v>0</v>
      </c>
      <c r="J632" t="n">
        <v>0</v>
      </c>
      <c r="K632" t="n">
        <v>0</v>
      </c>
      <c r="L632" t="n">
        <v>0</v>
      </c>
      <c r="M632" t="n">
        <v>0</v>
      </c>
      <c r="N632" t="n">
        <v>0</v>
      </c>
      <c r="O632" t="n">
        <v>0</v>
      </c>
      <c r="P632" t="n">
        <v>0</v>
      </c>
      <c r="Q632" t="n">
        <v>0</v>
      </c>
      <c r="R632" s="2" t="inlineStr"/>
    </row>
    <row r="633" ht="15" customHeight="1">
      <c r="A633" t="inlineStr">
        <is>
          <t>A 63950-2023</t>
        </is>
      </c>
      <c r="B633" s="1" t="n">
        <v>45278</v>
      </c>
      <c r="C633" s="1" t="n">
        <v>46010</v>
      </c>
      <c r="D633" t="inlineStr">
        <is>
          <t>KALMAR LÄN</t>
        </is>
      </c>
      <c r="E633" t="inlineStr">
        <is>
          <t>VIMMERBY</t>
        </is>
      </c>
      <c r="F633" t="inlineStr">
        <is>
          <t>Kyrkan</t>
        </is>
      </c>
      <c r="G633" t="n">
        <v>2.7</v>
      </c>
      <c r="H633" t="n">
        <v>0</v>
      </c>
      <c r="I633" t="n">
        <v>0</v>
      </c>
      <c r="J633" t="n">
        <v>0</v>
      </c>
      <c r="K633" t="n">
        <v>0</v>
      </c>
      <c r="L633" t="n">
        <v>0</v>
      </c>
      <c r="M633" t="n">
        <v>0</v>
      </c>
      <c r="N633" t="n">
        <v>0</v>
      </c>
      <c r="O633" t="n">
        <v>0</v>
      </c>
      <c r="P633" t="n">
        <v>0</v>
      </c>
      <c r="Q633" t="n">
        <v>0</v>
      </c>
      <c r="R633" s="2" t="inlineStr"/>
    </row>
    <row r="634" ht="15" customHeight="1">
      <c r="A634" t="inlineStr">
        <is>
          <t>A 16516-2023</t>
        </is>
      </c>
      <c r="B634" s="1" t="n">
        <v>45029</v>
      </c>
      <c r="C634" s="1" t="n">
        <v>46010</v>
      </c>
      <c r="D634" t="inlineStr">
        <is>
          <t>KALMAR LÄN</t>
        </is>
      </c>
      <c r="E634" t="inlineStr">
        <is>
          <t>VIMMERBY</t>
        </is>
      </c>
      <c r="G634" t="n">
        <v>4.3</v>
      </c>
      <c r="H634" t="n">
        <v>0</v>
      </c>
      <c r="I634" t="n">
        <v>0</v>
      </c>
      <c r="J634" t="n">
        <v>0</v>
      </c>
      <c r="K634" t="n">
        <v>0</v>
      </c>
      <c r="L634" t="n">
        <v>0</v>
      </c>
      <c r="M634" t="n">
        <v>0</v>
      </c>
      <c r="N634" t="n">
        <v>0</v>
      </c>
      <c r="O634" t="n">
        <v>0</v>
      </c>
      <c r="P634" t="n">
        <v>0</v>
      </c>
      <c r="Q634" t="n">
        <v>0</v>
      </c>
      <c r="R634" s="2" t="inlineStr"/>
    </row>
    <row r="635" ht="15" customHeight="1">
      <c r="A635" t="inlineStr">
        <is>
          <t>A 47842-2024</t>
        </is>
      </c>
      <c r="B635" s="1" t="n">
        <v>45588.65545138889</v>
      </c>
      <c r="C635" s="1" t="n">
        <v>46010</v>
      </c>
      <c r="D635" t="inlineStr">
        <is>
          <t>KALMAR LÄN</t>
        </is>
      </c>
      <c r="E635" t="inlineStr">
        <is>
          <t>VIMMERBY</t>
        </is>
      </c>
      <c r="G635" t="n">
        <v>2.4</v>
      </c>
      <c r="H635" t="n">
        <v>0</v>
      </c>
      <c r="I635" t="n">
        <v>0</v>
      </c>
      <c r="J635" t="n">
        <v>0</v>
      </c>
      <c r="K635" t="n">
        <v>0</v>
      </c>
      <c r="L635" t="n">
        <v>0</v>
      </c>
      <c r="M635" t="n">
        <v>0</v>
      </c>
      <c r="N635" t="n">
        <v>0</v>
      </c>
      <c r="O635" t="n">
        <v>0</v>
      </c>
      <c r="P635" t="n">
        <v>0</v>
      </c>
      <c r="Q635" t="n">
        <v>0</v>
      </c>
      <c r="R635" s="2" t="inlineStr"/>
    </row>
    <row r="636" ht="15" customHeight="1">
      <c r="A636" t="inlineStr">
        <is>
          <t>A 6408-2025</t>
        </is>
      </c>
      <c r="B636" s="1" t="n">
        <v>45699.45671296296</v>
      </c>
      <c r="C636" s="1" t="n">
        <v>46010</v>
      </c>
      <c r="D636" t="inlineStr">
        <is>
          <t>KALMAR LÄN</t>
        </is>
      </c>
      <c r="E636" t="inlineStr">
        <is>
          <t>VIMMERBY</t>
        </is>
      </c>
      <c r="G636" t="n">
        <v>1</v>
      </c>
      <c r="H636" t="n">
        <v>0</v>
      </c>
      <c r="I636" t="n">
        <v>0</v>
      </c>
      <c r="J636" t="n">
        <v>0</v>
      </c>
      <c r="K636" t="n">
        <v>0</v>
      </c>
      <c r="L636" t="n">
        <v>0</v>
      </c>
      <c r="M636" t="n">
        <v>0</v>
      </c>
      <c r="N636" t="n">
        <v>0</v>
      </c>
      <c r="O636" t="n">
        <v>0</v>
      </c>
      <c r="P636" t="n">
        <v>0</v>
      </c>
      <c r="Q636" t="n">
        <v>0</v>
      </c>
      <c r="R636" s="2" t="inlineStr"/>
    </row>
    <row r="637" ht="15" customHeight="1">
      <c r="A637" t="inlineStr">
        <is>
          <t>A 51990-2025</t>
        </is>
      </c>
      <c r="B637" s="1" t="n">
        <v>45952.58061342593</v>
      </c>
      <c r="C637" s="1" t="n">
        <v>46010</v>
      </c>
      <c r="D637" t="inlineStr">
        <is>
          <t>KALMAR LÄN</t>
        </is>
      </c>
      <c r="E637" t="inlineStr">
        <is>
          <t>VIMMERBY</t>
        </is>
      </c>
      <c r="G637" t="n">
        <v>2.4</v>
      </c>
      <c r="H637" t="n">
        <v>0</v>
      </c>
      <c r="I637" t="n">
        <v>0</v>
      </c>
      <c r="J637" t="n">
        <v>0</v>
      </c>
      <c r="K637" t="n">
        <v>0</v>
      </c>
      <c r="L637" t="n">
        <v>0</v>
      </c>
      <c r="M637" t="n">
        <v>0</v>
      </c>
      <c r="N637" t="n">
        <v>0</v>
      </c>
      <c r="O637" t="n">
        <v>0</v>
      </c>
      <c r="P637" t="n">
        <v>0</v>
      </c>
      <c r="Q637" t="n">
        <v>0</v>
      </c>
      <c r="R637" s="2" t="inlineStr"/>
    </row>
    <row r="638" ht="15" customHeight="1">
      <c r="A638" t="inlineStr">
        <is>
          <t>A 25109-2023</t>
        </is>
      </c>
      <c r="B638" s="1" t="n">
        <v>45086</v>
      </c>
      <c r="C638" s="1" t="n">
        <v>46010</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33380-2023</t>
        </is>
      </c>
      <c r="B639" s="1" t="n">
        <v>45128</v>
      </c>
      <c r="C639" s="1" t="n">
        <v>46010</v>
      </c>
      <c r="D639" t="inlineStr">
        <is>
          <t>KALMAR LÄN</t>
        </is>
      </c>
      <c r="E639" t="inlineStr">
        <is>
          <t>VIMMERBY</t>
        </is>
      </c>
      <c r="G639" t="n">
        <v>5.2</v>
      </c>
      <c r="H639" t="n">
        <v>0</v>
      </c>
      <c r="I639" t="n">
        <v>0</v>
      </c>
      <c r="J639" t="n">
        <v>0</v>
      </c>
      <c r="K639" t="n">
        <v>0</v>
      </c>
      <c r="L639" t="n">
        <v>0</v>
      </c>
      <c r="M639" t="n">
        <v>0</v>
      </c>
      <c r="N639" t="n">
        <v>0</v>
      </c>
      <c r="O639" t="n">
        <v>0</v>
      </c>
      <c r="P639" t="n">
        <v>0</v>
      </c>
      <c r="Q639" t="n">
        <v>0</v>
      </c>
      <c r="R639" s="2" t="inlineStr"/>
    </row>
    <row r="640" ht="15" customHeight="1">
      <c r="A640" t="inlineStr">
        <is>
          <t>A 32639-2023</t>
        </is>
      </c>
      <c r="B640" s="1" t="n">
        <v>45121.5965162037</v>
      </c>
      <c r="C640" s="1" t="n">
        <v>46010</v>
      </c>
      <c r="D640" t="inlineStr">
        <is>
          <t>KALMAR LÄN</t>
        </is>
      </c>
      <c r="E640" t="inlineStr">
        <is>
          <t>VIMMERBY</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32642-2023</t>
        </is>
      </c>
      <c r="B641" s="1" t="n">
        <v>45121.59954861111</v>
      </c>
      <c r="C641" s="1" t="n">
        <v>46010</v>
      </c>
      <c r="D641" t="inlineStr">
        <is>
          <t>KALMAR LÄN</t>
        </is>
      </c>
      <c r="E641" t="inlineStr">
        <is>
          <t>VIMMERBY</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32651-2023</t>
        </is>
      </c>
      <c r="B642" s="1" t="n">
        <v>45121.6096875</v>
      </c>
      <c r="C642" s="1" t="n">
        <v>46010</v>
      </c>
      <c r="D642" t="inlineStr">
        <is>
          <t>KALMAR LÄN</t>
        </is>
      </c>
      <c r="E642" t="inlineStr">
        <is>
          <t>VIMMERBY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60297-2025</t>
        </is>
      </c>
      <c r="B643" s="1" t="n">
        <v>45994</v>
      </c>
      <c r="C643" s="1" t="n">
        <v>46010</v>
      </c>
      <c r="D643" t="inlineStr">
        <is>
          <t>KALMAR LÄN</t>
        </is>
      </c>
      <c r="E643" t="inlineStr">
        <is>
          <t>VIMMERBY</t>
        </is>
      </c>
      <c r="G643" t="n">
        <v>4.2</v>
      </c>
      <c r="H643" t="n">
        <v>0</v>
      </c>
      <c r="I643" t="n">
        <v>0</v>
      </c>
      <c r="J643" t="n">
        <v>0</v>
      </c>
      <c r="K643" t="n">
        <v>0</v>
      </c>
      <c r="L643" t="n">
        <v>0</v>
      </c>
      <c r="M643" t="n">
        <v>0</v>
      </c>
      <c r="N643" t="n">
        <v>0</v>
      </c>
      <c r="O643" t="n">
        <v>0</v>
      </c>
      <c r="P643" t="n">
        <v>0</v>
      </c>
      <c r="Q643" t="n">
        <v>0</v>
      </c>
      <c r="R643" s="2" t="inlineStr"/>
    </row>
    <row r="644" ht="15" customHeight="1">
      <c r="A644" t="inlineStr">
        <is>
          <t>A 11928-2022</t>
        </is>
      </c>
      <c r="B644" s="1" t="n">
        <v>44635</v>
      </c>
      <c r="C644" s="1" t="n">
        <v>46010</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51993-2025</t>
        </is>
      </c>
      <c r="B645" s="1" t="n">
        <v>45952.58194444444</v>
      </c>
      <c r="C645" s="1" t="n">
        <v>46010</v>
      </c>
      <c r="D645" t="inlineStr">
        <is>
          <t>KALMAR LÄN</t>
        </is>
      </c>
      <c r="E645" t="inlineStr">
        <is>
          <t>VIMMERBY</t>
        </is>
      </c>
      <c r="G645" t="n">
        <v>2.8</v>
      </c>
      <c r="H645" t="n">
        <v>0</v>
      </c>
      <c r="I645" t="n">
        <v>0</v>
      </c>
      <c r="J645" t="n">
        <v>0</v>
      </c>
      <c r="K645" t="n">
        <v>0</v>
      </c>
      <c r="L645" t="n">
        <v>0</v>
      </c>
      <c r="M645" t="n">
        <v>0</v>
      </c>
      <c r="N645" t="n">
        <v>0</v>
      </c>
      <c r="O645" t="n">
        <v>0</v>
      </c>
      <c r="P645" t="n">
        <v>0</v>
      </c>
      <c r="Q645" t="n">
        <v>0</v>
      </c>
      <c r="R645" s="2" t="inlineStr"/>
    </row>
    <row r="646" ht="15" customHeight="1">
      <c r="A646" t="inlineStr">
        <is>
          <t>A 60180-2025</t>
        </is>
      </c>
      <c r="B646" s="1" t="n">
        <v>45994.46428240741</v>
      </c>
      <c r="C646" s="1" t="n">
        <v>46010</v>
      </c>
      <c r="D646" t="inlineStr">
        <is>
          <t>KALMAR LÄN</t>
        </is>
      </c>
      <c r="E646" t="inlineStr">
        <is>
          <t>VIMMERBY</t>
        </is>
      </c>
      <c r="G646" t="n">
        <v>6.8</v>
      </c>
      <c r="H646" t="n">
        <v>0</v>
      </c>
      <c r="I646" t="n">
        <v>0</v>
      </c>
      <c r="J646" t="n">
        <v>0</v>
      </c>
      <c r="K646" t="n">
        <v>0</v>
      </c>
      <c r="L646" t="n">
        <v>0</v>
      </c>
      <c r="M646" t="n">
        <v>0</v>
      </c>
      <c r="N646" t="n">
        <v>0</v>
      </c>
      <c r="O646" t="n">
        <v>0</v>
      </c>
      <c r="P646" t="n">
        <v>0</v>
      </c>
      <c r="Q646" t="n">
        <v>0</v>
      </c>
      <c r="R646" s="2" t="inlineStr"/>
    </row>
    <row r="647" ht="15" customHeight="1">
      <c r="A647" t="inlineStr">
        <is>
          <t>A 52465-2025</t>
        </is>
      </c>
      <c r="B647" s="1" t="n">
        <v>45954.44543981482</v>
      </c>
      <c r="C647" s="1" t="n">
        <v>46010</v>
      </c>
      <c r="D647" t="inlineStr">
        <is>
          <t>KALMAR LÄN</t>
        </is>
      </c>
      <c r="E647" t="inlineStr">
        <is>
          <t>VIMMERBY</t>
        </is>
      </c>
      <c r="G647" t="n">
        <v>0.9</v>
      </c>
      <c r="H647" t="n">
        <v>0</v>
      </c>
      <c r="I647" t="n">
        <v>0</v>
      </c>
      <c r="J647" t="n">
        <v>0</v>
      </c>
      <c r="K647" t="n">
        <v>0</v>
      </c>
      <c r="L647" t="n">
        <v>0</v>
      </c>
      <c r="M647" t="n">
        <v>0</v>
      </c>
      <c r="N647" t="n">
        <v>0</v>
      </c>
      <c r="O647" t="n">
        <v>0</v>
      </c>
      <c r="P647" t="n">
        <v>0</v>
      </c>
      <c r="Q647" t="n">
        <v>0</v>
      </c>
      <c r="R647" s="2" t="inlineStr"/>
    </row>
    <row r="648" ht="15" customHeight="1">
      <c r="A648" t="inlineStr">
        <is>
          <t>A 7068-2024</t>
        </is>
      </c>
      <c r="B648" s="1" t="n">
        <v>45343.68038194445</v>
      </c>
      <c r="C648" s="1" t="n">
        <v>46010</v>
      </c>
      <c r="D648" t="inlineStr">
        <is>
          <t>KALMAR LÄN</t>
        </is>
      </c>
      <c r="E648" t="inlineStr">
        <is>
          <t>VIMMERBY</t>
        </is>
      </c>
      <c r="G648" t="n">
        <v>2.5</v>
      </c>
      <c r="H648" t="n">
        <v>0</v>
      </c>
      <c r="I648" t="n">
        <v>0</v>
      </c>
      <c r="J648" t="n">
        <v>0</v>
      </c>
      <c r="K648" t="n">
        <v>0</v>
      </c>
      <c r="L648" t="n">
        <v>0</v>
      </c>
      <c r="M648" t="n">
        <v>0</v>
      </c>
      <c r="N648" t="n">
        <v>0</v>
      </c>
      <c r="O648" t="n">
        <v>0</v>
      </c>
      <c r="P648" t="n">
        <v>0</v>
      </c>
      <c r="Q648" t="n">
        <v>0</v>
      </c>
      <c r="R648" s="2" t="inlineStr"/>
    </row>
    <row r="649" ht="15" customHeight="1">
      <c r="A649" t="inlineStr">
        <is>
          <t>A 46234-2024</t>
        </is>
      </c>
      <c r="B649" s="1" t="n">
        <v>45581.57958333333</v>
      </c>
      <c r="C649" s="1" t="n">
        <v>46010</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37187-2024</t>
        </is>
      </c>
      <c r="B650" s="1" t="n">
        <v>45539.65212962963</v>
      </c>
      <c r="C650" s="1" t="n">
        <v>46010</v>
      </c>
      <c r="D650" t="inlineStr">
        <is>
          <t>KALMAR LÄN</t>
        </is>
      </c>
      <c r="E650" t="inlineStr">
        <is>
          <t>VIMMERBY</t>
        </is>
      </c>
      <c r="G650" t="n">
        <v>2.7</v>
      </c>
      <c r="H650" t="n">
        <v>0</v>
      </c>
      <c r="I650" t="n">
        <v>0</v>
      </c>
      <c r="J650" t="n">
        <v>0</v>
      </c>
      <c r="K650" t="n">
        <v>0</v>
      </c>
      <c r="L650" t="n">
        <v>0</v>
      </c>
      <c r="M650" t="n">
        <v>0</v>
      </c>
      <c r="N650" t="n">
        <v>0</v>
      </c>
      <c r="O650" t="n">
        <v>0</v>
      </c>
      <c r="P650" t="n">
        <v>0</v>
      </c>
      <c r="Q650" t="n">
        <v>0</v>
      </c>
      <c r="R650" s="2" t="inlineStr"/>
    </row>
    <row r="651" ht="15" customHeight="1">
      <c r="A651" t="inlineStr">
        <is>
          <t>A 52451-2025</t>
        </is>
      </c>
      <c r="B651" s="1" t="n">
        <v>45954.42326388889</v>
      </c>
      <c r="C651" s="1" t="n">
        <v>46010</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1021-2024</t>
        </is>
      </c>
      <c r="B652" s="1" t="n">
        <v>45301.67736111111</v>
      </c>
      <c r="C652" s="1" t="n">
        <v>46010</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72701-2021</t>
        </is>
      </c>
      <c r="B653" s="1" t="n">
        <v>44546</v>
      </c>
      <c r="C653" s="1" t="n">
        <v>46010</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19111-2025</t>
        </is>
      </c>
      <c r="B654" s="1" t="n">
        <v>45768.65611111111</v>
      </c>
      <c r="C654" s="1" t="n">
        <v>46010</v>
      </c>
      <c r="D654" t="inlineStr">
        <is>
          <t>KALMAR LÄN</t>
        </is>
      </c>
      <c r="E654" t="inlineStr">
        <is>
          <t>VIMMERBY</t>
        </is>
      </c>
      <c r="G654" t="n">
        <v>6.2</v>
      </c>
      <c r="H654" t="n">
        <v>0</v>
      </c>
      <c r="I654" t="n">
        <v>0</v>
      </c>
      <c r="J654" t="n">
        <v>0</v>
      </c>
      <c r="K654" t="n">
        <v>0</v>
      </c>
      <c r="L654" t="n">
        <v>0</v>
      </c>
      <c r="M654" t="n">
        <v>0</v>
      </c>
      <c r="N654" t="n">
        <v>0</v>
      </c>
      <c r="O654" t="n">
        <v>0</v>
      </c>
      <c r="P654" t="n">
        <v>0</v>
      </c>
      <c r="Q654" t="n">
        <v>0</v>
      </c>
      <c r="R654" s="2" t="inlineStr"/>
    </row>
    <row r="655" ht="15" customHeight="1">
      <c r="A655" t="inlineStr">
        <is>
          <t>A 33374-2021</t>
        </is>
      </c>
      <c r="B655" s="1" t="n">
        <v>44377</v>
      </c>
      <c r="C655" s="1" t="n">
        <v>46010</v>
      </c>
      <c r="D655" t="inlineStr">
        <is>
          <t>KALMAR LÄN</t>
        </is>
      </c>
      <c r="E655" t="inlineStr">
        <is>
          <t>VIMMERBY</t>
        </is>
      </c>
      <c r="G655" t="n">
        <v>3.3</v>
      </c>
      <c r="H655" t="n">
        <v>0</v>
      </c>
      <c r="I655" t="n">
        <v>0</v>
      </c>
      <c r="J655" t="n">
        <v>0</v>
      </c>
      <c r="K655" t="n">
        <v>0</v>
      </c>
      <c r="L655" t="n">
        <v>0</v>
      </c>
      <c r="M655" t="n">
        <v>0</v>
      </c>
      <c r="N655" t="n">
        <v>0</v>
      </c>
      <c r="O655" t="n">
        <v>0</v>
      </c>
      <c r="P655" t="n">
        <v>0</v>
      </c>
      <c r="Q655" t="n">
        <v>0</v>
      </c>
      <c r="R655" s="2" t="inlineStr"/>
    </row>
    <row r="656" ht="15" customHeight="1">
      <c r="A656" t="inlineStr">
        <is>
          <t>A 52516-2025</t>
        </is>
      </c>
      <c r="B656" s="1" t="n">
        <v>45954.51412037037</v>
      </c>
      <c r="C656" s="1" t="n">
        <v>46010</v>
      </c>
      <c r="D656" t="inlineStr">
        <is>
          <t>KALMAR LÄN</t>
        </is>
      </c>
      <c r="E656" t="inlineStr">
        <is>
          <t>VIMMERBY</t>
        </is>
      </c>
      <c r="G656" t="n">
        <v>2.8</v>
      </c>
      <c r="H656" t="n">
        <v>0</v>
      </c>
      <c r="I656" t="n">
        <v>0</v>
      </c>
      <c r="J656" t="n">
        <v>0</v>
      </c>
      <c r="K656" t="n">
        <v>0</v>
      </c>
      <c r="L656" t="n">
        <v>0</v>
      </c>
      <c r="M656" t="n">
        <v>0</v>
      </c>
      <c r="N656" t="n">
        <v>0</v>
      </c>
      <c r="O656" t="n">
        <v>0</v>
      </c>
      <c r="P656" t="n">
        <v>0</v>
      </c>
      <c r="Q656" t="n">
        <v>0</v>
      </c>
      <c r="R656" s="2" t="inlineStr"/>
    </row>
    <row r="657" ht="15" customHeight="1">
      <c r="A657" t="inlineStr">
        <is>
          <t>A 52466-2025</t>
        </is>
      </c>
      <c r="B657" s="1" t="n">
        <v>45954.44707175926</v>
      </c>
      <c r="C657" s="1" t="n">
        <v>46010</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52473-2025</t>
        </is>
      </c>
      <c r="B658" s="1" t="n">
        <v>45954.45947916667</v>
      </c>
      <c r="C658" s="1" t="n">
        <v>46010</v>
      </c>
      <c r="D658" t="inlineStr">
        <is>
          <t>KALMAR LÄN</t>
        </is>
      </c>
      <c r="E658" t="inlineStr">
        <is>
          <t>VIMMERBY</t>
        </is>
      </c>
      <c r="G658" t="n">
        <v>2.4</v>
      </c>
      <c r="H658" t="n">
        <v>0</v>
      </c>
      <c r="I658" t="n">
        <v>0</v>
      </c>
      <c r="J658" t="n">
        <v>0</v>
      </c>
      <c r="K658" t="n">
        <v>0</v>
      </c>
      <c r="L658" t="n">
        <v>0</v>
      </c>
      <c r="M658" t="n">
        <v>0</v>
      </c>
      <c r="N658" t="n">
        <v>0</v>
      </c>
      <c r="O658" t="n">
        <v>0</v>
      </c>
      <c r="P658" t="n">
        <v>0</v>
      </c>
      <c r="Q658" t="n">
        <v>0</v>
      </c>
      <c r="R658" s="2" t="inlineStr"/>
    </row>
    <row r="659" ht="15" customHeight="1">
      <c r="A659" t="inlineStr">
        <is>
          <t>A 52480-2025</t>
        </is>
      </c>
      <c r="B659" s="1" t="n">
        <v>45954.47172453703</v>
      </c>
      <c r="C659" s="1" t="n">
        <v>46010</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10807-2024</t>
        </is>
      </c>
      <c r="B660" s="1" t="n">
        <v>45369.62780092593</v>
      </c>
      <c r="C660" s="1" t="n">
        <v>46010</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33359-2021</t>
        </is>
      </c>
      <c r="B661" s="1" t="n">
        <v>44377.49684027778</v>
      </c>
      <c r="C661" s="1" t="n">
        <v>46010</v>
      </c>
      <c r="D661" t="inlineStr">
        <is>
          <t>KALMAR LÄN</t>
        </is>
      </c>
      <c r="E661" t="inlineStr">
        <is>
          <t>VIMMERBY</t>
        </is>
      </c>
      <c r="F661" t="inlineStr">
        <is>
          <t>Kommuner</t>
        </is>
      </c>
      <c r="G661" t="n">
        <v>8</v>
      </c>
      <c r="H661" t="n">
        <v>0</v>
      </c>
      <c r="I661" t="n">
        <v>0</v>
      </c>
      <c r="J661" t="n">
        <v>0</v>
      </c>
      <c r="K661" t="n">
        <v>0</v>
      </c>
      <c r="L661" t="n">
        <v>0</v>
      </c>
      <c r="M661" t="n">
        <v>0</v>
      </c>
      <c r="N661" t="n">
        <v>0</v>
      </c>
      <c r="O661" t="n">
        <v>0</v>
      </c>
      <c r="P661" t="n">
        <v>0</v>
      </c>
      <c r="Q661" t="n">
        <v>0</v>
      </c>
      <c r="R661" s="2" t="inlineStr"/>
    </row>
    <row r="662" ht="15" customHeight="1">
      <c r="A662" t="inlineStr">
        <is>
          <t>A 52475-2025</t>
        </is>
      </c>
      <c r="B662" s="1" t="n">
        <v>45954.468125</v>
      </c>
      <c r="C662" s="1" t="n">
        <v>46010</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34588-2024</t>
        </is>
      </c>
      <c r="B663" s="1" t="n">
        <v>45526.3865625</v>
      </c>
      <c r="C663" s="1" t="n">
        <v>46010</v>
      </c>
      <c r="D663" t="inlineStr">
        <is>
          <t>KALMAR LÄN</t>
        </is>
      </c>
      <c r="E663" t="inlineStr">
        <is>
          <t>VIMMERBY</t>
        </is>
      </c>
      <c r="F663" t="inlineStr">
        <is>
          <t>Övriga Aktiebolag</t>
        </is>
      </c>
      <c r="G663" t="n">
        <v>3.3</v>
      </c>
      <c r="H663" t="n">
        <v>0</v>
      </c>
      <c r="I663" t="n">
        <v>0</v>
      </c>
      <c r="J663" t="n">
        <v>0</v>
      </c>
      <c r="K663" t="n">
        <v>0</v>
      </c>
      <c r="L663" t="n">
        <v>0</v>
      </c>
      <c r="M663" t="n">
        <v>0</v>
      </c>
      <c r="N663" t="n">
        <v>0</v>
      </c>
      <c r="O663" t="n">
        <v>0</v>
      </c>
      <c r="P663" t="n">
        <v>0</v>
      </c>
      <c r="Q663" t="n">
        <v>0</v>
      </c>
      <c r="R663" s="2" t="inlineStr"/>
    </row>
    <row r="664" ht="15" customHeight="1">
      <c r="A664" t="inlineStr">
        <is>
          <t>A 17084-2025</t>
        </is>
      </c>
      <c r="B664" s="1" t="n">
        <v>45755.64450231481</v>
      </c>
      <c r="C664" s="1" t="n">
        <v>46010</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33161-2024</t>
        </is>
      </c>
      <c r="B665" s="1" t="n">
        <v>45518.40657407408</v>
      </c>
      <c r="C665" s="1" t="n">
        <v>46010</v>
      </c>
      <c r="D665" t="inlineStr">
        <is>
          <t>KALMAR LÄN</t>
        </is>
      </c>
      <c r="E665" t="inlineStr">
        <is>
          <t>VIMMERBY</t>
        </is>
      </c>
      <c r="G665" t="n">
        <v>4.7</v>
      </c>
      <c r="H665" t="n">
        <v>0</v>
      </c>
      <c r="I665" t="n">
        <v>0</v>
      </c>
      <c r="J665" t="n">
        <v>0</v>
      </c>
      <c r="K665" t="n">
        <v>0</v>
      </c>
      <c r="L665" t="n">
        <v>0</v>
      </c>
      <c r="M665" t="n">
        <v>0</v>
      </c>
      <c r="N665" t="n">
        <v>0</v>
      </c>
      <c r="O665" t="n">
        <v>0</v>
      </c>
      <c r="P665" t="n">
        <v>0</v>
      </c>
      <c r="Q665" t="n">
        <v>0</v>
      </c>
      <c r="R665" s="2" t="inlineStr"/>
    </row>
    <row r="666" ht="15" customHeight="1">
      <c r="A666" t="inlineStr">
        <is>
          <t>A 14359-2025</t>
        </is>
      </c>
      <c r="B666" s="1" t="n">
        <v>45741.37270833334</v>
      </c>
      <c r="C666" s="1" t="n">
        <v>46010</v>
      </c>
      <c r="D666" t="inlineStr">
        <is>
          <t>KALMAR LÄN</t>
        </is>
      </c>
      <c r="E666" t="inlineStr">
        <is>
          <t>VIMMERBY</t>
        </is>
      </c>
      <c r="G666" t="n">
        <v>2</v>
      </c>
      <c r="H666" t="n">
        <v>0</v>
      </c>
      <c r="I666" t="n">
        <v>0</v>
      </c>
      <c r="J666" t="n">
        <v>0</v>
      </c>
      <c r="K666" t="n">
        <v>0</v>
      </c>
      <c r="L666" t="n">
        <v>0</v>
      </c>
      <c r="M666" t="n">
        <v>0</v>
      </c>
      <c r="N666" t="n">
        <v>0</v>
      </c>
      <c r="O666" t="n">
        <v>0</v>
      </c>
      <c r="P666" t="n">
        <v>0</v>
      </c>
      <c r="Q666" t="n">
        <v>0</v>
      </c>
      <c r="R666" s="2" t="inlineStr"/>
    </row>
    <row r="667" ht="15" customHeight="1">
      <c r="A667" t="inlineStr">
        <is>
          <t>A 53396-2025</t>
        </is>
      </c>
      <c r="B667" s="1" t="n">
        <v>45959.55577546296</v>
      </c>
      <c r="C667" s="1" t="n">
        <v>46010</v>
      </c>
      <c r="D667" t="inlineStr">
        <is>
          <t>KALMAR LÄN</t>
        </is>
      </c>
      <c r="E667" t="inlineStr">
        <is>
          <t>VIMMERBY</t>
        </is>
      </c>
      <c r="G667" t="n">
        <v>0.6</v>
      </c>
      <c r="H667" t="n">
        <v>0</v>
      </c>
      <c r="I667" t="n">
        <v>0</v>
      </c>
      <c r="J667" t="n">
        <v>0</v>
      </c>
      <c r="K667" t="n">
        <v>0</v>
      </c>
      <c r="L667" t="n">
        <v>0</v>
      </c>
      <c r="M667" t="n">
        <v>0</v>
      </c>
      <c r="N667" t="n">
        <v>0</v>
      </c>
      <c r="O667" t="n">
        <v>0</v>
      </c>
      <c r="P667" t="n">
        <v>0</v>
      </c>
      <c r="Q667" t="n">
        <v>0</v>
      </c>
      <c r="R667" s="2" t="inlineStr"/>
    </row>
    <row r="668" ht="15" customHeight="1">
      <c r="A668" t="inlineStr">
        <is>
          <t>A 53416-2025</t>
        </is>
      </c>
      <c r="B668" s="1" t="n">
        <v>45959.58387731481</v>
      </c>
      <c r="C668" s="1" t="n">
        <v>46010</v>
      </c>
      <c r="D668" t="inlineStr">
        <is>
          <t>KALMAR LÄN</t>
        </is>
      </c>
      <c r="E668" t="inlineStr">
        <is>
          <t>VIMMERBY</t>
        </is>
      </c>
      <c r="G668" t="n">
        <v>4.4</v>
      </c>
      <c r="H668" t="n">
        <v>0</v>
      </c>
      <c r="I668" t="n">
        <v>0</v>
      </c>
      <c r="J668" t="n">
        <v>0</v>
      </c>
      <c r="K668" t="n">
        <v>0</v>
      </c>
      <c r="L668" t="n">
        <v>0</v>
      </c>
      <c r="M668" t="n">
        <v>0</v>
      </c>
      <c r="N668" t="n">
        <v>0</v>
      </c>
      <c r="O668" t="n">
        <v>0</v>
      </c>
      <c r="P668" t="n">
        <v>0</v>
      </c>
      <c r="Q668" t="n">
        <v>0</v>
      </c>
      <c r="R668" s="2" t="inlineStr"/>
    </row>
    <row r="669" ht="15" customHeight="1">
      <c r="A669" t="inlineStr">
        <is>
          <t>A 53398-2025</t>
        </is>
      </c>
      <c r="B669" s="1" t="n">
        <v>45959.56247685185</v>
      </c>
      <c r="C669" s="1" t="n">
        <v>46010</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7075-2021</t>
        </is>
      </c>
      <c r="B670" s="1" t="n">
        <v>44237</v>
      </c>
      <c r="C670" s="1" t="n">
        <v>46010</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53397-2025</t>
        </is>
      </c>
      <c r="B671" s="1" t="n">
        <v>45959.55918981481</v>
      </c>
      <c r="C671" s="1" t="n">
        <v>46010</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55605-2024</t>
        </is>
      </c>
      <c r="B672" s="1" t="n">
        <v>45622</v>
      </c>
      <c r="C672" s="1" t="n">
        <v>46010</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44464-2024</t>
        </is>
      </c>
      <c r="B673" s="1" t="n">
        <v>45574.35809027778</v>
      </c>
      <c r="C673" s="1" t="n">
        <v>46010</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53220-2025</t>
        </is>
      </c>
      <c r="B674" s="1" t="n">
        <v>45958.60146990741</v>
      </c>
      <c r="C674" s="1" t="n">
        <v>46010</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36049-2024</t>
        </is>
      </c>
      <c r="B675" s="1" t="n">
        <v>45533.61996527778</v>
      </c>
      <c r="C675" s="1" t="n">
        <v>46010</v>
      </c>
      <c r="D675" t="inlineStr">
        <is>
          <t>KALMAR LÄN</t>
        </is>
      </c>
      <c r="E675" t="inlineStr">
        <is>
          <t>VIMMERBY</t>
        </is>
      </c>
      <c r="F675" t="inlineStr">
        <is>
          <t>Kommuner</t>
        </is>
      </c>
      <c r="G675" t="n">
        <v>2.6</v>
      </c>
      <c r="H675" t="n">
        <v>0</v>
      </c>
      <c r="I675" t="n">
        <v>0</v>
      </c>
      <c r="J675" t="n">
        <v>0</v>
      </c>
      <c r="K675" t="n">
        <v>0</v>
      </c>
      <c r="L675" t="n">
        <v>0</v>
      </c>
      <c r="M675" t="n">
        <v>0</v>
      </c>
      <c r="N675" t="n">
        <v>0</v>
      </c>
      <c r="O675" t="n">
        <v>0</v>
      </c>
      <c r="P675" t="n">
        <v>0</v>
      </c>
      <c r="Q675" t="n">
        <v>0</v>
      </c>
      <c r="R675" s="2" t="inlineStr"/>
    </row>
    <row r="676" ht="15" customHeight="1">
      <c r="A676" t="inlineStr">
        <is>
          <t>A 4297-2022</t>
        </is>
      </c>
      <c r="B676" s="1" t="n">
        <v>44588</v>
      </c>
      <c r="C676" s="1" t="n">
        <v>46010</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46399-2024</t>
        </is>
      </c>
      <c r="B677" s="1" t="n">
        <v>45582.41200231481</v>
      </c>
      <c r="C677" s="1" t="n">
        <v>46010</v>
      </c>
      <c r="D677" t="inlineStr">
        <is>
          <t>KALMAR LÄN</t>
        </is>
      </c>
      <c r="E677" t="inlineStr">
        <is>
          <t>VIMMERBY</t>
        </is>
      </c>
      <c r="G677" t="n">
        <v>4.6</v>
      </c>
      <c r="H677" t="n">
        <v>0</v>
      </c>
      <c r="I677" t="n">
        <v>0</v>
      </c>
      <c r="J677" t="n">
        <v>0</v>
      </c>
      <c r="K677" t="n">
        <v>0</v>
      </c>
      <c r="L677" t="n">
        <v>0</v>
      </c>
      <c r="M677" t="n">
        <v>0</v>
      </c>
      <c r="N677" t="n">
        <v>0</v>
      </c>
      <c r="O677" t="n">
        <v>0</v>
      </c>
      <c r="P677" t="n">
        <v>0</v>
      </c>
      <c r="Q677" t="n">
        <v>0</v>
      </c>
      <c r="R677" s="2" t="inlineStr"/>
    </row>
    <row r="678" ht="15" customHeight="1">
      <c r="A678" t="inlineStr">
        <is>
          <t>A 53393-2025</t>
        </is>
      </c>
      <c r="B678" s="1" t="n">
        <v>45959.55284722222</v>
      </c>
      <c r="C678" s="1" t="n">
        <v>46010</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53413-2025</t>
        </is>
      </c>
      <c r="B679" s="1" t="n">
        <v>45959.5787037037</v>
      </c>
      <c r="C679" s="1" t="n">
        <v>46010</v>
      </c>
      <c r="D679" t="inlineStr">
        <is>
          <t>KALMAR LÄN</t>
        </is>
      </c>
      <c r="E679" t="inlineStr">
        <is>
          <t>VIMMERBY</t>
        </is>
      </c>
      <c r="G679" t="n">
        <v>4.3</v>
      </c>
      <c r="H679" t="n">
        <v>0</v>
      </c>
      <c r="I679" t="n">
        <v>0</v>
      </c>
      <c r="J679" t="n">
        <v>0</v>
      </c>
      <c r="K679" t="n">
        <v>0</v>
      </c>
      <c r="L679" t="n">
        <v>0</v>
      </c>
      <c r="M679" t="n">
        <v>0</v>
      </c>
      <c r="N679" t="n">
        <v>0</v>
      </c>
      <c r="O679" t="n">
        <v>0</v>
      </c>
      <c r="P679" t="n">
        <v>0</v>
      </c>
      <c r="Q679" t="n">
        <v>0</v>
      </c>
      <c r="R679" s="2" t="inlineStr"/>
    </row>
    <row r="680" ht="15" customHeight="1">
      <c r="A680" t="inlineStr">
        <is>
          <t>A 13532-2025</t>
        </is>
      </c>
      <c r="B680" s="1" t="n">
        <v>45736.50743055555</v>
      </c>
      <c r="C680" s="1" t="n">
        <v>46010</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53903-2025</t>
        </is>
      </c>
      <c r="B681" s="1" t="n">
        <v>45961.43738425926</v>
      </c>
      <c r="C681" s="1" t="n">
        <v>46010</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44833.60123842592</v>
      </c>
      <c r="C682" s="1" t="n">
        <v>46010</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53920-2025</t>
        </is>
      </c>
      <c r="B683" s="1" t="n">
        <v>45961.44951388889</v>
      </c>
      <c r="C683" s="1" t="n">
        <v>46010</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53927-2025</t>
        </is>
      </c>
      <c r="B684" s="1" t="n">
        <v>45961.46740740741</v>
      </c>
      <c r="C684" s="1" t="n">
        <v>46010</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12596-2021</t>
        </is>
      </c>
      <c r="B685" s="1" t="n">
        <v>44270.39765046296</v>
      </c>
      <c r="C685" s="1" t="n">
        <v>46010</v>
      </c>
      <c r="D685" t="inlineStr">
        <is>
          <t>KALMAR LÄN</t>
        </is>
      </c>
      <c r="E685" t="inlineStr">
        <is>
          <t>VIMMERBY</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61725-2025</t>
        </is>
      </c>
      <c r="B686" s="1" t="n">
        <v>46002.58680555555</v>
      </c>
      <c r="C686" s="1" t="n">
        <v>46010</v>
      </c>
      <c r="D686" t="inlineStr">
        <is>
          <t>KALMAR LÄN</t>
        </is>
      </c>
      <c r="E686" t="inlineStr">
        <is>
          <t>VIMMERBY</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53789-2025</t>
        </is>
      </c>
      <c r="B687" s="1" t="n">
        <v>45960</v>
      </c>
      <c r="C687" s="1" t="n">
        <v>46010</v>
      </c>
      <c r="D687" t="inlineStr">
        <is>
          <t>KALMAR LÄN</t>
        </is>
      </c>
      <c r="E687" t="inlineStr">
        <is>
          <t>VIMMERBY</t>
        </is>
      </c>
      <c r="F687" t="inlineStr">
        <is>
          <t>Övriga statliga verk och myndigheter</t>
        </is>
      </c>
      <c r="G687" t="n">
        <v>1.6</v>
      </c>
      <c r="H687" t="n">
        <v>0</v>
      </c>
      <c r="I687" t="n">
        <v>0</v>
      </c>
      <c r="J687" t="n">
        <v>0</v>
      </c>
      <c r="K687" t="n">
        <v>0</v>
      </c>
      <c r="L687" t="n">
        <v>0</v>
      </c>
      <c r="M687" t="n">
        <v>0</v>
      </c>
      <c r="N687" t="n">
        <v>0</v>
      </c>
      <c r="O687" t="n">
        <v>0</v>
      </c>
      <c r="P687" t="n">
        <v>0</v>
      </c>
      <c r="Q687" t="n">
        <v>0</v>
      </c>
      <c r="R687" s="2" t="inlineStr"/>
    </row>
    <row r="688" ht="15" customHeight="1">
      <c r="A688" t="inlineStr">
        <is>
          <t>A 57799-2022</t>
        </is>
      </c>
      <c r="B688" s="1" t="n">
        <v>44897</v>
      </c>
      <c r="C688" s="1" t="n">
        <v>46010</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61726-2025</t>
        </is>
      </c>
      <c r="B689" s="1" t="n">
        <v>46002.58822916666</v>
      </c>
      <c r="C689" s="1" t="n">
        <v>46010</v>
      </c>
      <c r="D689" t="inlineStr">
        <is>
          <t>KALMAR LÄN</t>
        </is>
      </c>
      <c r="E689" t="inlineStr">
        <is>
          <t>VIMMERBY</t>
        </is>
      </c>
      <c r="F689" t="inlineStr">
        <is>
          <t>Sveaskog</t>
        </is>
      </c>
      <c r="G689" t="n">
        <v>0.2</v>
      </c>
      <c r="H689" t="n">
        <v>0</v>
      </c>
      <c r="I689" t="n">
        <v>0</v>
      </c>
      <c r="J689" t="n">
        <v>0</v>
      </c>
      <c r="K689" t="n">
        <v>0</v>
      </c>
      <c r="L689" t="n">
        <v>0</v>
      </c>
      <c r="M689" t="n">
        <v>0</v>
      </c>
      <c r="N689" t="n">
        <v>0</v>
      </c>
      <c r="O689" t="n">
        <v>0</v>
      </c>
      <c r="P689" t="n">
        <v>0</v>
      </c>
      <c r="Q689" t="n">
        <v>0</v>
      </c>
      <c r="R689" s="2" t="inlineStr"/>
    </row>
    <row r="690" ht="15" customHeight="1">
      <c r="A690" t="inlineStr">
        <is>
          <t>A 30921-2024</t>
        </is>
      </c>
      <c r="B690" s="1" t="n">
        <v>45498</v>
      </c>
      <c r="C690" s="1" t="n">
        <v>46010</v>
      </c>
      <c r="D690" t="inlineStr">
        <is>
          <t>KALMAR LÄN</t>
        </is>
      </c>
      <c r="E690" t="inlineStr">
        <is>
          <t>VIMMERBY</t>
        </is>
      </c>
      <c r="G690" t="n">
        <v>1.6</v>
      </c>
      <c r="H690" t="n">
        <v>0</v>
      </c>
      <c r="I690" t="n">
        <v>0</v>
      </c>
      <c r="J690" t="n">
        <v>0</v>
      </c>
      <c r="K690" t="n">
        <v>0</v>
      </c>
      <c r="L690" t="n">
        <v>0</v>
      </c>
      <c r="M690" t="n">
        <v>0</v>
      </c>
      <c r="N690" t="n">
        <v>0</v>
      </c>
      <c r="O690" t="n">
        <v>0</v>
      </c>
      <c r="P690" t="n">
        <v>0</v>
      </c>
      <c r="Q690" t="n">
        <v>0</v>
      </c>
      <c r="R690" s="2" t="inlineStr"/>
    </row>
    <row r="691" ht="15" customHeight="1">
      <c r="A691" t="inlineStr">
        <is>
          <t>A 53923-2025</t>
        </is>
      </c>
      <c r="B691" s="1" t="n">
        <v>45961.4569212963</v>
      </c>
      <c r="C691" s="1" t="n">
        <v>46010</v>
      </c>
      <c r="D691" t="inlineStr">
        <is>
          <t>KALMAR LÄN</t>
        </is>
      </c>
      <c r="E691" t="inlineStr">
        <is>
          <t>VIMMERBY</t>
        </is>
      </c>
      <c r="G691" t="n">
        <v>2.4</v>
      </c>
      <c r="H691" t="n">
        <v>0</v>
      </c>
      <c r="I691" t="n">
        <v>0</v>
      </c>
      <c r="J691" t="n">
        <v>0</v>
      </c>
      <c r="K691" t="n">
        <v>0</v>
      </c>
      <c r="L691" t="n">
        <v>0</v>
      </c>
      <c r="M691" t="n">
        <v>0</v>
      </c>
      <c r="N691" t="n">
        <v>0</v>
      </c>
      <c r="O691" t="n">
        <v>0</v>
      </c>
      <c r="P691" t="n">
        <v>0</v>
      </c>
      <c r="Q691" t="n">
        <v>0</v>
      </c>
      <c r="R691" s="2" t="inlineStr"/>
    </row>
    <row r="692" ht="15" customHeight="1">
      <c r="A692" t="inlineStr">
        <is>
          <t>A 61790-2025</t>
        </is>
      </c>
      <c r="B692" s="1" t="n">
        <v>46002.68768518518</v>
      </c>
      <c r="C692" s="1" t="n">
        <v>46010</v>
      </c>
      <c r="D692" t="inlineStr">
        <is>
          <t>KALMAR LÄN</t>
        </is>
      </c>
      <c r="E692" t="inlineStr">
        <is>
          <t>VIMMERBY</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53933-2025</t>
        </is>
      </c>
      <c r="B693" s="1" t="n">
        <v>45961.47650462963</v>
      </c>
      <c r="C693" s="1" t="n">
        <v>46010</v>
      </c>
      <c r="D693" t="inlineStr">
        <is>
          <t>KALMAR LÄN</t>
        </is>
      </c>
      <c r="E693" t="inlineStr">
        <is>
          <t>VIMMERBY</t>
        </is>
      </c>
      <c r="G693" t="n">
        <v>0.9</v>
      </c>
      <c r="H693" t="n">
        <v>0</v>
      </c>
      <c r="I693" t="n">
        <v>0</v>
      </c>
      <c r="J693" t="n">
        <v>0</v>
      </c>
      <c r="K693" t="n">
        <v>0</v>
      </c>
      <c r="L693" t="n">
        <v>0</v>
      </c>
      <c r="M693" t="n">
        <v>0</v>
      </c>
      <c r="N693" t="n">
        <v>0</v>
      </c>
      <c r="O693" t="n">
        <v>0</v>
      </c>
      <c r="P693" t="n">
        <v>0</v>
      </c>
      <c r="Q693" t="n">
        <v>0</v>
      </c>
      <c r="R693" s="2" t="inlineStr"/>
    </row>
    <row r="694" ht="15" customHeight="1">
      <c r="A694" t="inlineStr">
        <is>
          <t>A 53788-2025</t>
        </is>
      </c>
      <c r="B694" s="1" t="n">
        <v>45960</v>
      </c>
      <c r="C694" s="1" t="n">
        <v>46010</v>
      </c>
      <c r="D694" t="inlineStr">
        <is>
          <t>KALMAR LÄN</t>
        </is>
      </c>
      <c r="E694" t="inlineStr">
        <is>
          <t>VIMMERBY</t>
        </is>
      </c>
      <c r="F694" t="inlineStr">
        <is>
          <t>Övriga statliga verk och myndigheter</t>
        </is>
      </c>
      <c r="G694" t="n">
        <v>6.3</v>
      </c>
      <c r="H694" t="n">
        <v>0</v>
      </c>
      <c r="I694" t="n">
        <v>0</v>
      </c>
      <c r="J694" t="n">
        <v>0</v>
      </c>
      <c r="K694" t="n">
        <v>0</v>
      </c>
      <c r="L694" t="n">
        <v>0</v>
      </c>
      <c r="M694" t="n">
        <v>0</v>
      </c>
      <c r="N694" t="n">
        <v>0</v>
      </c>
      <c r="O694" t="n">
        <v>0</v>
      </c>
      <c r="P694" t="n">
        <v>0</v>
      </c>
      <c r="Q694" t="n">
        <v>0</v>
      </c>
      <c r="R694" s="2" t="inlineStr"/>
    </row>
    <row r="695" ht="15" customHeight="1">
      <c r="A695" t="inlineStr">
        <is>
          <t>A 14137-2023</t>
        </is>
      </c>
      <c r="B695" s="1" t="n">
        <v>45009.4671875</v>
      </c>
      <c r="C695" s="1" t="n">
        <v>46010</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54236-2025</t>
        </is>
      </c>
      <c r="B696" s="1" t="n">
        <v>45964.62671296296</v>
      </c>
      <c r="C696" s="1" t="n">
        <v>46010</v>
      </c>
      <c r="D696" t="inlineStr">
        <is>
          <t>KALMAR LÄN</t>
        </is>
      </c>
      <c r="E696" t="inlineStr">
        <is>
          <t>VIMMERBY</t>
        </is>
      </c>
      <c r="G696" t="n">
        <v>1.3</v>
      </c>
      <c r="H696" t="n">
        <v>0</v>
      </c>
      <c r="I696" t="n">
        <v>0</v>
      </c>
      <c r="J696" t="n">
        <v>0</v>
      </c>
      <c r="K696" t="n">
        <v>0</v>
      </c>
      <c r="L696" t="n">
        <v>0</v>
      </c>
      <c r="M696" t="n">
        <v>0</v>
      </c>
      <c r="N696" t="n">
        <v>0</v>
      </c>
      <c r="O696" t="n">
        <v>0</v>
      </c>
      <c r="P696" t="n">
        <v>0</v>
      </c>
      <c r="Q696" t="n">
        <v>0</v>
      </c>
      <c r="R696" s="2" t="inlineStr"/>
    </row>
    <row r="697" ht="15" customHeight="1">
      <c r="A697" t="inlineStr">
        <is>
          <t>A 11152-2023</t>
        </is>
      </c>
      <c r="B697" s="1" t="n">
        <v>44992</v>
      </c>
      <c r="C697" s="1" t="n">
        <v>46010</v>
      </c>
      <c r="D697" t="inlineStr">
        <is>
          <t>KALMAR LÄN</t>
        </is>
      </c>
      <c r="E697" t="inlineStr">
        <is>
          <t>VIMMERBY</t>
        </is>
      </c>
      <c r="G697" t="n">
        <v>10.6</v>
      </c>
      <c r="H697" t="n">
        <v>0</v>
      </c>
      <c r="I697" t="n">
        <v>0</v>
      </c>
      <c r="J697" t="n">
        <v>0</v>
      </c>
      <c r="K697" t="n">
        <v>0</v>
      </c>
      <c r="L697" t="n">
        <v>0</v>
      </c>
      <c r="M697" t="n">
        <v>0</v>
      </c>
      <c r="N697" t="n">
        <v>0</v>
      </c>
      <c r="O697" t="n">
        <v>0</v>
      </c>
      <c r="P697" t="n">
        <v>0</v>
      </c>
      <c r="Q697" t="n">
        <v>0</v>
      </c>
      <c r="R697" s="2" t="inlineStr"/>
    </row>
    <row r="698" ht="15" customHeight="1">
      <c r="A698" t="inlineStr">
        <is>
          <t>A 12499-2023</t>
        </is>
      </c>
      <c r="B698" s="1" t="n">
        <v>44999.86172453704</v>
      </c>
      <c r="C698" s="1" t="n">
        <v>46010</v>
      </c>
      <c r="D698" t="inlineStr">
        <is>
          <t>KALMAR LÄN</t>
        </is>
      </c>
      <c r="E698" t="inlineStr">
        <is>
          <t>VIMMERBY</t>
        </is>
      </c>
      <c r="G698" t="n">
        <v>0.8</v>
      </c>
      <c r="H698" t="n">
        <v>0</v>
      </c>
      <c r="I698" t="n">
        <v>0</v>
      </c>
      <c r="J698" t="n">
        <v>0</v>
      </c>
      <c r="K698" t="n">
        <v>0</v>
      </c>
      <c r="L698" t="n">
        <v>0</v>
      </c>
      <c r="M698" t="n">
        <v>0</v>
      </c>
      <c r="N698" t="n">
        <v>0</v>
      </c>
      <c r="O698" t="n">
        <v>0</v>
      </c>
      <c r="P698" t="n">
        <v>0</v>
      </c>
      <c r="Q698" t="n">
        <v>0</v>
      </c>
      <c r="R698" s="2" t="inlineStr"/>
    </row>
    <row r="699" ht="15" customHeight="1">
      <c r="A699" t="inlineStr">
        <is>
          <t>A 12500-2023</t>
        </is>
      </c>
      <c r="B699" s="1" t="n">
        <v>44999.8625</v>
      </c>
      <c r="C699" s="1" t="n">
        <v>46010</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35846-2023</t>
        </is>
      </c>
      <c r="B700" s="1" t="n">
        <v>45148</v>
      </c>
      <c r="C700" s="1" t="n">
        <v>46010</v>
      </c>
      <c r="D700" t="inlineStr">
        <is>
          <t>KALMAR LÄN</t>
        </is>
      </c>
      <c r="E700" t="inlineStr">
        <is>
          <t>VIMMERBY</t>
        </is>
      </c>
      <c r="G700" t="n">
        <v>1</v>
      </c>
      <c r="H700" t="n">
        <v>0</v>
      </c>
      <c r="I700" t="n">
        <v>0</v>
      </c>
      <c r="J700" t="n">
        <v>0</v>
      </c>
      <c r="K700" t="n">
        <v>0</v>
      </c>
      <c r="L700" t="n">
        <v>0</v>
      </c>
      <c r="M700" t="n">
        <v>0</v>
      </c>
      <c r="N700" t="n">
        <v>0</v>
      </c>
      <c r="O700" t="n">
        <v>0</v>
      </c>
      <c r="P700" t="n">
        <v>0</v>
      </c>
      <c r="Q700" t="n">
        <v>0</v>
      </c>
      <c r="R700" s="2" t="inlineStr"/>
    </row>
    <row r="701" ht="15" customHeight="1">
      <c r="A701" t="inlineStr">
        <is>
          <t>A 49039-2021</t>
        </is>
      </c>
      <c r="B701" s="1" t="n">
        <v>44453.56578703703</v>
      </c>
      <c r="C701" s="1" t="n">
        <v>46010</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54234-2025</t>
        </is>
      </c>
      <c r="B702" s="1" t="n">
        <v>45964.62486111111</v>
      </c>
      <c r="C702" s="1" t="n">
        <v>46010</v>
      </c>
      <c r="D702" t="inlineStr">
        <is>
          <t>KALMAR LÄN</t>
        </is>
      </c>
      <c r="E702" t="inlineStr">
        <is>
          <t>VIMMERBY</t>
        </is>
      </c>
      <c r="G702" t="n">
        <v>4.1</v>
      </c>
      <c r="H702" t="n">
        <v>0</v>
      </c>
      <c r="I702" t="n">
        <v>0</v>
      </c>
      <c r="J702" t="n">
        <v>0</v>
      </c>
      <c r="K702" t="n">
        <v>0</v>
      </c>
      <c r="L702" t="n">
        <v>0</v>
      </c>
      <c r="M702" t="n">
        <v>0</v>
      </c>
      <c r="N702" t="n">
        <v>0</v>
      </c>
      <c r="O702" t="n">
        <v>0</v>
      </c>
      <c r="P702" t="n">
        <v>0</v>
      </c>
      <c r="Q702" t="n">
        <v>0</v>
      </c>
      <c r="R702" s="2" t="inlineStr"/>
    </row>
    <row r="703" ht="15" customHeight="1">
      <c r="A703" t="inlineStr">
        <is>
          <t>A 54737-2025</t>
        </is>
      </c>
      <c r="B703" s="1" t="n">
        <v>45966.56826388889</v>
      </c>
      <c r="C703" s="1" t="n">
        <v>46010</v>
      </c>
      <c r="D703" t="inlineStr">
        <is>
          <t>KALMAR LÄN</t>
        </is>
      </c>
      <c r="E703" t="inlineStr">
        <is>
          <t>VIMMERBY</t>
        </is>
      </c>
      <c r="G703" t="n">
        <v>2.1</v>
      </c>
      <c r="H703" t="n">
        <v>0</v>
      </c>
      <c r="I703" t="n">
        <v>0</v>
      </c>
      <c r="J703" t="n">
        <v>0</v>
      </c>
      <c r="K703" t="n">
        <v>0</v>
      </c>
      <c r="L703" t="n">
        <v>0</v>
      </c>
      <c r="M703" t="n">
        <v>0</v>
      </c>
      <c r="N703" t="n">
        <v>0</v>
      </c>
      <c r="O703" t="n">
        <v>0</v>
      </c>
      <c r="P703" t="n">
        <v>0</v>
      </c>
      <c r="Q703" t="n">
        <v>0</v>
      </c>
      <c r="R703" s="2" t="inlineStr"/>
    </row>
    <row r="704" ht="15" customHeight="1">
      <c r="A704" t="inlineStr">
        <is>
          <t>A 46224-2024</t>
        </is>
      </c>
      <c r="B704" s="1" t="n">
        <v>45581.57016203704</v>
      </c>
      <c r="C704" s="1" t="n">
        <v>46010</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46238-2024</t>
        </is>
      </c>
      <c r="B705" s="1" t="n">
        <v>45581.58418981481</v>
      </c>
      <c r="C705" s="1" t="n">
        <v>46010</v>
      </c>
      <c r="D705" t="inlineStr">
        <is>
          <t>KALMAR LÄN</t>
        </is>
      </c>
      <c r="E705" t="inlineStr">
        <is>
          <t>VIMMERBY</t>
        </is>
      </c>
      <c r="G705" t="n">
        <v>2.1</v>
      </c>
      <c r="H705" t="n">
        <v>0</v>
      </c>
      <c r="I705" t="n">
        <v>0</v>
      </c>
      <c r="J705" t="n">
        <v>0</v>
      </c>
      <c r="K705" t="n">
        <v>0</v>
      </c>
      <c r="L705" t="n">
        <v>0</v>
      </c>
      <c r="M705" t="n">
        <v>0</v>
      </c>
      <c r="N705" t="n">
        <v>0</v>
      </c>
      <c r="O705" t="n">
        <v>0</v>
      </c>
      <c r="P705" t="n">
        <v>0</v>
      </c>
      <c r="Q705" t="n">
        <v>0</v>
      </c>
      <c r="R705" s="2" t="inlineStr"/>
    </row>
    <row r="706" ht="15" customHeight="1">
      <c r="A706" t="inlineStr">
        <is>
          <t>A 30633-2024</t>
        </is>
      </c>
      <c r="B706" s="1" t="n">
        <v>45495</v>
      </c>
      <c r="C706" s="1" t="n">
        <v>46010</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54813-2025</t>
        </is>
      </c>
      <c r="B707" s="1" t="n">
        <v>45966.64881944445</v>
      </c>
      <c r="C707" s="1" t="n">
        <v>46010</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54838-2024</t>
        </is>
      </c>
      <c r="B708" s="1" t="n">
        <v>45618.56787037037</v>
      </c>
      <c r="C708" s="1" t="n">
        <v>46010</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6405-2025</t>
        </is>
      </c>
      <c r="B709" s="1" t="n">
        <v>45699.45392361111</v>
      </c>
      <c r="C709" s="1" t="n">
        <v>46010</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60437-2023</t>
        </is>
      </c>
      <c r="B710" s="1" t="n">
        <v>45259.51916666667</v>
      </c>
      <c r="C710" s="1" t="n">
        <v>46010</v>
      </c>
      <c r="D710" t="inlineStr">
        <is>
          <t>KALMAR LÄN</t>
        </is>
      </c>
      <c r="E710" t="inlineStr">
        <is>
          <t>VIMMERBY</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60438-2023</t>
        </is>
      </c>
      <c r="B711" s="1" t="n">
        <v>45259.52020833334</v>
      </c>
      <c r="C711" s="1" t="n">
        <v>46010</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42165-2024</t>
        </is>
      </c>
      <c r="B712" s="1" t="n">
        <v>45562.46342592593</v>
      </c>
      <c r="C712" s="1" t="n">
        <v>46010</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46010</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66022-2021</t>
        </is>
      </c>
      <c r="B714" s="1" t="n">
        <v>44517</v>
      </c>
      <c r="C714" s="1" t="n">
        <v>46010</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35895-2024</t>
        </is>
      </c>
      <c r="B715" s="1" t="n">
        <v>45533.38870370371</v>
      </c>
      <c r="C715" s="1" t="n">
        <v>46010</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11073-2023</t>
        </is>
      </c>
      <c r="B716" s="1" t="n">
        <v>44992</v>
      </c>
      <c r="C716" s="1" t="n">
        <v>46010</v>
      </c>
      <c r="D716" t="inlineStr">
        <is>
          <t>KALMAR LÄN</t>
        </is>
      </c>
      <c r="E716" t="inlineStr">
        <is>
          <t>VIMMERBY</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17-2025</t>
        </is>
      </c>
      <c r="B717" s="1" t="n">
        <v>45658.78774305555</v>
      </c>
      <c r="C717" s="1" t="n">
        <v>46010</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32655-2023</t>
        </is>
      </c>
      <c r="B718" s="1" t="n">
        <v>45121.61318287037</v>
      </c>
      <c r="C718" s="1" t="n">
        <v>46010</v>
      </c>
      <c r="D718" t="inlineStr">
        <is>
          <t>KALMAR LÄN</t>
        </is>
      </c>
      <c r="E718" t="inlineStr">
        <is>
          <t>VIMMERBY</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63541-2023</t>
        </is>
      </c>
      <c r="B719" s="1" t="n">
        <v>45275.32266203704</v>
      </c>
      <c r="C719" s="1" t="n">
        <v>46010</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28034-2022</t>
        </is>
      </c>
      <c r="B720" s="1" t="n">
        <v>44746.38834490741</v>
      </c>
      <c r="C720" s="1" t="n">
        <v>46010</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5938-2022</t>
        </is>
      </c>
      <c r="B721" s="1" t="n">
        <v>44598</v>
      </c>
      <c r="C721" s="1" t="n">
        <v>46010</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24283-2023</t>
        </is>
      </c>
      <c r="B722" s="1" t="n">
        <v>45079.87827546296</v>
      </c>
      <c r="C722" s="1" t="n">
        <v>46010</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2462-2022</t>
        </is>
      </c>
      <c r="B723" s="1" t="n">
        <v>44579.62225694444</v>
      </c>
      <c r="C723" s="1" t="n">
        <v>46010</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60228-2021</t>
        </is>
      </c>
      <c r="B724" s="1" t="n">
        <v>44495</v>
      </c>
      <c r="C724" s="1" t="n">
        <v>46010</v>
      </c>
      <c r="D724" t="inlineStr">
        <is>
          <t>KALMAR LÄN</t>
        </is>
      </c>
      <c r="E724" t="inlineStr">
        <is>
          <t>VIMMERBY</t>
        </is>
      </c>
      <c r="G724" t="n">
        <v>4.1</v>
      </c>
      <c r="H724" t="n">
        <v>0</v>
      </c>
      <c r="I724" t="n">
        <v>0</v>
      </c>
      <c r="J724" t="n">
        <v>0</v>
      </c>
      <c r="K724" t="n">
        <v>0</v>
      </c>
      <c r="L724" t="n">
        <v>0</v>
      </c>
      <c r="M724" t="n">
        <v>0</v>
      </c>
      <c r="N724" t="n">
        <v>0</v>
      </c>
      <c r="O724" t="n">
        <v>0</v>
      </c>
      <c r="P724" t="n">
        <v>0</v>
      </c>
      <c r="Q724" t="n">
        <v>0</v>
      </c>
      <c r="R724" s="2" t="inlineStr"/>
    </row>
    <row r="725" ht="15" customHeight="1">
      <c r="A725" t="inlineStr">
        <is>
          <t>A 25979-2023</t>
        </is>
      </c>
      <c r="B725" s="1" t="n">
        <v>45090.89653935185</v>
      </c>
      <c r="C725" s="1" t="n">
        <v>46010</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25980-2023</t>
        </is>
      </c>
      <c r="B726" s="1" t="n">
        <v>45090.89880787037</v>
      </c>
      <c r="C726" s="1" t="n">
        <v>46010</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12510-2022</t>
        </is>
      </c>
      <c r="B727" s="1" t="n">
        <v>44638.55256944444</v>
      </c>
      <c r="C727" s="1" t="n">
        <v>46010</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6358-2022</t>
        </is>
      </c>
      <c r="B728" s="1" t="n">
        <v>44600</v>
      </c>
      <c r="C728" s="1" t="n">
        <v>46010</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46010</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57256-2023</t>
        </is>
      </c>
      <c r="B730" s="1" t="n">
        <v>45245.5735300926</v>
      </c>
      <c r="C730" s="1" t="n">
        <v>46010</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17482-2024</t>
        </is>
      </c>
      <c r="B731" s="1" t="n">
        <v>45415.47848379629</v>
      </c>
      <c r="C731" s="1" t="n">
        <v>46010</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55123-2024</t>
        </is>
      </c>
      <c r="B732" s="1" t="n">
        <v>45621.46103009259</v>
      </c>
      <c r="C732" s="1" t="n">
        <v>46010</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49313-2022</t>
        </is>
      </c>
      <c r="B733" s="1" t="n">
        <v>44861.52505787037</v>
      </c>
      <c r="C733" s="1" t="n">
        <v>46010</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1987-2024</t>
        </is>
      </c>
      <c r="B734" s="1" t="n">
        <v>45308.61152777778</v>
      </c>
      <c r="C734" s="1" t="n">
        <v>46010</v>
      </c>
      <c r="D734" t="inlineStr">
        <is>
          <t>KALMAR LÄN</t>
        </is>
      </c>
      <c r="E734" t="inlineStr">
        <is>
          <t>VIMMERBY</t>
        </is>
      </c>
      <c r="G734" t="n">
        <v>3</v>
      </c>
      <c r="H734" t="n">
        <v>0</v>
      </c>
      <c r="I734" t="n">
        <v>0</v>
      </c>
      <c r="J734" t="n">
        <v>0</v>
      </c>
      <c r="K734" t="n">
        <v>0</v>
      </c>
      <c r="L734" t="n">
        <v>0</v>
      </c>
      <c r="M734" t="n">
        <v>0</v>
      </c>
      <c r="N734" t="n">
        <v>0</v>
      </c>
      <c r="O734" t="n">
        <v>0</v>
      </c>
      <c r="P734" t="n">
        <v>0</v>
      </c>
      <c r="Q734" t="n">
        <v>0</v>
      </c>
      <c r="R734" s="2" t="inlineStr"/>
    </row>
    <row r="735" ht="15" customHeight="1">
      <c r="A735" t="inlineStr">
        <is>
          <t>A 21507-2023</t>
        </is>
      </c>
      <c r="B735" s="1" t="n">
        <v>45063.508125</v>
      </c>
      <c r="C735" s="1" t="n">
        <v>46010</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44895.62296296296</v>
      </c>
      <c r="C736" s="1" t="n">
        <v>46010</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48673-2021</t>
        </is>
      </c>
      <c r="B737" s="1" t="n">
        <v>44452</v>
      </c>
      <c r="C737" s="1" t="n">
        <v>46010</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14248-2023</t>
        </is>
      </c>
      <c r="B738" s="1" t="n">
        <v>45009</v>
      </c>
      <c r="C738" s="1" t="n">
        <v>46010</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12480-2024</t>
        </is>
      </c>
      <c r="B739" s="1" t="n">
        <v>45379</v>
      </c>
      <c r="C739" s="1" t="n">
        <v>46010</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40095-2022</t>
        </is>
      </c>
      <c r="B740" s="1" t="n">
        <v>44820</v>
      </c>
      <c r="C740" s="1" t="n">
        <v>46010</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50085-2023</t>
        </is>
      </c>
      <c r="B741" s="1" t="n">
        <v>45215.5959375</v>
      </c>
      <c r="C741" s="1" t="n">
        <v>46010</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50087-2023</t>
        </is>
      </c>
      <c r="B742" s="1" t="n">
        <v>45215.59743055556</v>
      </c>
      <c r="C742" s="1" t="n">
        <v>46010</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8167-2024</t>
        </is>
      </c>
      <c r="B743" s="1" t="n">
        <v>45351.6062962963</v>
      </c>
      <c r="C743" s="1" t="n">
        <v>46010</v>
      </c>
      <c r="D743" t="inlineStr">
        <is>
          <t>KALMAR LÄN</t>
        </is>
      </c>
      <c r="E743" t="inlineStr">
        <is>
          <t>VIMMERBY</t>
        </is>
      </c>
      <c r="G743" t="n">
        <v>3.8</v>
      </c>
      <c r="H743" t="n">
        <v>0</v>
      </c>
      <c r="I743" t="n">
        <v>0</v>
      </c>
      <c r="J743" t="n">
        <v>0</v>
      </c>
      <c r="K743" t="n">
        <v>0</v>
      </c>
      <c r="L743" t="n">
        <v>0</v>
      </c>
      <c r="M743" t="n">
        <v>0</v>
      </c>
      <c r="N743" t="n">
        <v>0</v>
      </c>
      <c r="O743" t="n">
        <v>0</v>
      </c>
      <c r="P743" t="n">
        <v>0</v>
      </c>
      <c r="Q743" t="n">
        <v>0</v>
      </c>
      <c r="R743" s="2" t="inlineStr"/>
    </row>
    <row r="744" ht="15" customHeight="1">
      <c r="A744" t="inlineStr">
        <is>
          <t>A 2604-2025</t>
        </is>
      </c>
      <c r="B744" s="1" t="n">
        <v>45674.74094907408</v>
      </c>
      <c r="C744" s="1" t="n">
        <v>46010</v>
      </c>
      <c r="D744" t="inlineStr">
        <is>
          <t>KALMAR LÄN</t>
        </is>
      </c>
      <c r="E744" t="inlineStr">
        <is>
          <t>VIMMERBY</t>
        </is>
      </c>
      <c r="G744" t="n">
        <v>7.6</v>
      </c>
      <c r="H744" t="n">
        <v>0</v>
      </c>
      <c r="I744" t="n">
        <v>0</v>
      </c>
      <c r="J744" t="n">
        <v>0</v>
      </c>
      <c r="K744" t="n">
        <v>0</v>
      </c>
      <c r="L744" t="n">
        <v>0</v>
      </c>
      <c r="M744" t="n">
        <v>0</v>
      </c>
      <c r="N744" t="n">
        <v>0</v>
      </c>
      <c r="O744" t="n">
        <v>0</v>
      </c>
      <c r="P744" t="n">
        <v>0</v>
      </c>
      <c r="Q744" t="n">
        <v>0</v>
      </c>
      <c r="R744" s="2" t="inlineStr"/>
    </row>
    <row r="745" ht="15" customHeight="1">
      <c r="A745" t="inlineStr">
        <is>
          <t>A 37192-2024</t>
        </is>
      </c>
      <c r="B745" s="1" t="n">
        <v>45539.66027777778</v>
      </c>
      <c r="C745" s="1" t="n">
        <v>46010</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42429-2024</t>
        </is>
      </c>
      <c r="B746" s="1" t="n">
        <v>45565.40657407408</v>
      </c>
      <c r="C746" s="1" t="n">
        <v>46010</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29180-2024</t>
        </is>
      </c>
      <c r="B747" s="1" t="n">
        <v>45482.54108796296</v>
      </c>
      <c r="C747" s="1" t="n">
        <v>46010</v>
      </c>
      <c r="D747" t="inlineStr">
        <is>
          <t>KALMAR LÄN</t>
        </is>
      </c>
      <c r="E747" t="inlineStr">
        <is>
          <t>VIMMERBY</t>
        </is>
      </c>
      <c r="G747" t="n">
        <v>3.8</v>
      </c>
      <c r="H747" t="n">
        <v>0</v>
      </c>
      <c r="I747" t="n">
        <v>0</v>
      </c>
      <c r="J747" t="n">
        <v>0</v>
      </c>
      <c r="K747" t="n">
        <v>0</v>
      </c>
      <c r="L747" t="n">
        <v>0</v>
      </c>
      <c r="M747" t="n">
        <v>0</v>
      </c>
      <c r="N747" t="n">
        <v>0</v>
      </c>
      <c r="O747" t="n">
        <v>0</v>
      </c>
      <c r="P747" t="n">
        <v>0</v>
      </c>
      <c r="Q747" t="n">
        <v>0</v>
      </c>
      <c r="R747" s="2" t="inlineStr"/>
    </row>
    <row r="748" ht="15" customHeight="1">
      <c r="A748" t="inlineStr">
        <is>
          <t>A 45846-2023</t>
        </is>
      </c>
      <c r="B748" s="1" t="n">
        <v>45195.58452546296</v>
      </c>
      <c r="C748" s="1" t="n">
        <v>46010</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16020-2023</t>
        </is>
      </c>
      <c r="B749" s="1" t="n">
        <v>45026.82216435186</v>
      </c>
      <c r="C749" s="1" t="n">
        <v>46010</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61820-2023</t>
        </is>
      </c>
      <c r="B750" s="1" t="n">
        <v>45266.32614583334</v>
      </c>
      <c r="C750" s="1" t="n">
        <v>46010</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45560-2021</t>
        </is>
      </c>
      <c r="B751" s="1" t="n">
        <v>44440</v>
      </c>
      <c r="C751" s="1" t="n">
        <v>46010</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40256-2024</t>
        </is>
      </c>
      <c r="B752" s="1" t="n">
        <v>45554.62944444444</v>
      </c>
      <c r="C752" s="1" t="n">
        <v>46010</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58104-2024</t>
        </is>
      </c>
      <c r="B753" s="1" t="n">
        <v>45632.37459490741</v>
      </c>
      <c r="C753" s="1" t="n">
        <v>46010</v>
      </c>
      <c r="D753" t="inlineStr">
        <is>
          <t>KALMAR LÄN</t>
        </is>
      </c>
      <c r="E753" t="inlineStr">
        <is>
          <t>VIMMERBY</t>
        </is>
      </c>
      <c r="G753" t="n">
        <v>5</v>
      </c>
      <c r="H753" t="n">
        <v>0</v>
      </c>
      <c r="I753" t="n">
        <v>0</v>
      </c>
      <c r="J753" t="n">
        <v>0</v>
      </c>
      <c r="K753" t="n">
        <v>0</v>
      </c>
      <c r="L753" t="n">
        <v>0</v>
      </c>
      <c r="M753" t="n">
        <v>0</v>
      </c>
      <c r="N753" t="n">
        <v>0</v>
      </c>
      <c r="O753" t="n">
        <v>0</v>
      </c>
      <c r="P753" t="n">
        <v>0</v>
      </c>
      <c r="Q753" t="n">
        <v>0</v>
      </c>
      <c r="R753" s="2" t="inlineStr"/>
    </row>
    <row r="754" ht="15" customHeight="1">
      <c r="A754" t="inlineStr">
        <is>
          <t>A 36259-2022</t>
        </is>
      </c>
      <c r="B754" s="1" t="n">
        <v>44803.59118055556</v>
      </c>
      <c r="C754" s="1" t="n">
        <v>46010</v>
      </c>
      <c r="D754" t="inlineStr">
        <is>
          <t>KALMAR LÄN</t>
        </is>
      </c>
      <c r="E754" t="inlineStr">
        <is>
          <t>VIMMERBY</t>
        </is>
      </c>
      <c r="G754" t="n">
        <v>3.9</v>
      </c>
      <c r="H754" t="n">
        <v>0</v>
      </c>
      <c r="I754" t="n">
        <v>0</v>
      </c>
      <c r="J754" t="n">
        <v>0</v>
      </c>
      <c r="K754" t="n">
        <v>0</v>
      </c>
      <c r="L754" t="n">
        <v>0</v>
      </c>
      <c r="M754" t="n">
        <v>0</v>
      </c>
      <c r="N754" t="n">
        <v>0</v>
      </c>
      <c r="O754" t="n">
        <v>0</v>
      </c>
      <c r="P754" t="n">
        <v>0</v>
      </c>
      <c r="Q754" t="n">
        <v>0</v>
      </c>
      <c r="R754" s="2" t="inlineStr"/>
    </row>
    <row r="755" ht="15" customHeight="1">
      <c r="A755" t="inlineStr">
        <is>
          <t>A 43034-2024</t>
        </is>
      </c>
      <c r="B755" s="1" t="n">
        <v>45567.42011574074</v>
      </c>
      <c r="C755" s="1" t="n">
        <v>46010</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3902-2022</t>
        </is>
      </c>
      <c r="B756" s="1" t="n">
        <v>44587.48847222222</v>
      </c>
      <c r="C756" s="1" t="n">
        <v>46010</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30070-2023</t>
        </is>
      </c>
      <c r="B757" s="1" t="n">
        <v>45110.4275</v>
      </c>
      <c r="C757" s="1" t="n">
        <v>46010</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31209-2024</t>
        </is>
      </c>
      <c r="B758" s="1" t="n">
        <v>45503.5658912037</v>
      </c>
      <c r="C758" s="1" t="n">
        <v>46010</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46010</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12586-2021</t>
        </is>
      </c>
      <c r="B760" s="1" t="n">
        <v>44270.38002314815</v>
      </c>
      <c r="C760" s="1" t="n">
        <v>46010</v>
      </c>
      <c r="D760" t="inlineStr">
        <is>
          <t>KALMAR LÄN</t>
        </is>
      </c>
      <c r="E760" t="inlineStr">
        <is>
          <t>VIMMERBY</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5864-2022</t>
        </is>
      </c>
      <c r="B761" s="1" t="n">
        <v>44596</v>
      </c>
      <c r="C761" s="1" t="n">
        <v>46010</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30912-2023</t>
        </is>
      </c>
      <c r="B762" s="1" t="n">
        <v>45113.41633101852</v>
      </c>
      <c r="C762" s="1" t="n">
        <v>46010</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1146-2025</t>
        </is>
      </c>
      <c r="B763" s="1" t="n">
        <v>45666</v>
      </c>
      <c r="C763" s="1" t="n">
        <v>46010</v>
      </c>
      <c r="D763" t="inlineStr">
        <is>
          <t>KALMAR LÄN</t>
        </is>
      </c>
      <c r="E763" t="inlineStr">
        <is>
          <t>VIMMERBY</t>
        </is>
      </c>
      <c r="G763" t="n">
        <v>4</v>
      </c>
      <c r="H763" t="n">
        <v>0</v>
      </c>
      <c r="I763" t="n">
        <v>0</v>
      </c>
      <c r="J763" t="n">
        <v>0</v>
      </c>
      <c r="K763" t="n">
        <v>0</v>
      </c>
      <c r="L763" t="n">
        <v>0</v>
      </c>
      <c r="M763" t="n">
        <v>0</v>
      </c>
      <c r="N763" t="n">
        <v>0</v>
      </c>
      <c r="O763" t="n">
        <v>0</v>
      </c>
      <c r="P763" t="n">
        <v>0</v>
      </c>
      <c r="Q763" t="n">
        <v>0</v>
      </c>
      <c r="R763" s="2" t="inlineStr"/>
    </row>
    <row r="764" ht="15" customHeight="1">
      <c r="A764" t="inlineStr">
        <is>
          <t>A 62023-2022</t>
        </is>
      </c>
      <c r="B764" s="1" t="n">
        <v>44918.50106481482</v>
      </c>
      <c r="C764" s="1" t="n">
        <v>46010</v>
      </c>
      <c r="D764" t="inlineStr">
        <is>
          <t>KALMAR LÄN</t>
        </is>
      </c>
      <c r="E764" t="inlineStr">
        <is>
          <t>VIMMERBY</t>
        </is>
      </c>
      <c r="G764" t="n">
        <v>0.3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46010</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46010</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12075-2024</t>
        </is>
      </c>
      <c r="B767" s="1" t="n">
        <v>45377</v>
      </c>
      <c r="C767" s="1" t="n">
        <v>46010</v>
      </c>
      <c r="D767" t="inlineStr">
        <is>
          <t>KALMAR LÄN</t>
        </is>
      </c>
      <c r="E767" t="inlineStr">
        <is>
          <t>VIMMERBY</t>
        </is>
      </c>
      <c r="G767" t="n">
        <v>3.7</v>
      </c>
      <c r="H767" t="n">
        <v>0</v>
      </c>
      <c r="I767" t="n">
        <v>0</v>
      </c>
      <c r="J767" t="n">
        <v>0</v>
      </c>
      <c r="K767" t="n">
        <v>0</v>
      </c>
      <c r="L767" t="n">
        <v>0</v>
      </c>
      <c r="M767" t="n">
        <v>0</v>
      </c>
      <c r="N767" t="n">
        <v>0</v>
      </c>
      <c r="O767" t="n">
        <v>0</v>
      </c>
      <c r="P767" t="n">
        <v>0</v>
      </c>
      <c r="Q767" t="n">
        <v>0</v>
      </c>
      <c r="R767" s="2" t="inlineStr"/>
    </row>
    <row r="768" ht="15" customHeight="1">
      <c r="A768" t="inlineStr">
        <is>
          <t>A 29348-2023</t>
        </is>
      </c>
      <c r="B768" s="1" t="n">
        <v>45106.25025462963</v>
      </c>
      <c r="C768" s="1" t="n">
        <v>46010</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31340-2023</t>
        </is>
      </c>
      <c r="B769" s="1" t="n">
        <v>45114.47895833333</v>
      </c>
      <c r="C769" s="1" t="n">
        <v>46010</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7758-2024</t>
        </is>
      </c>
      <c r="B770" s="1" t="n">
        <v>45349.54434027777</v>
      </c>
      <c r="C770" s="1" t="n">
        <v>46010</v>
      </c>
      <c r="D770" t="inlineStr">
        <is>
          <t>KALMAR LÄN</t>
        </is>
      </c>
      <c r="E770" t="inlineStr">
        <is>
          <t>VIMMERBY</t>
        </is>
      </c>
      <c r="G770" t="n">
        <v>3.5</v>
      </c>
      <c r="H770" t="n">
        <v>0</v>
      </c>
      <c r="I770" t="n">
        <v>0</v>
      </c>
      <c r="J770" t="n">
        <v>0</v>
      </c>
      <c r="K770" t="n">
        <v>0</v>
      </c>
      <c r="L770" t="n">
        <v>0</v>
      </c>
      <c r="M770" t="n">
        <v>0</v>
      </c>
      <c r="N770" t="n">
        <v>0</v>
      </c>
      <c r="O770" t="n">
        <v>0</v>
      </c>
      <c r="P770" t="n">
        <v>0</v>
      </c>
      <c r="Q770" t="n">
        <v>0</v>
      </c>
      <c r="R770" s="2" t="inlineStr"/>
    </row>
    <row r="771" ht="15" customHeight="1">
      <c r="A771" t="inlineStr">
        <is>
          <t>A 5701-2024</t>
        </is>
      </c>
      <c r="B771" s="1" t="n">
        <v>45334.78826388889</v>
      </c>
      <c r="C771" s="1" t="n">
        <v>46010</v>
      </c>
      <c r="D771" t="inlineStr">
        <is>
          <t>KALMAR LÄN</t>
        </is>
      </c>
      <c r="E771" t="inlineStr">
        <is>
          <t>VIMMERBY</t>
        </is>
      </c>
      <c r="G771" t="n">
        <v>2.3</v>
      </c>
      <c r="H771" t="n">
        <v>0</v>
      </c>
      <c r="I771" t="n">
        <v>0</v>
      </c>
      <c r="J771" t="n">
        <v>0</v>
      </c>
      <c r="K771" t="n">
        <v>0</v>
      </c>
      <c r="L771" t="n">
        <v>0</v>
      </c>
      <c r="M771" t="n">
        <v>0</v>
      </c>
      <c r="N771" t="n">
        <v>0</v>
      </c>
      <c r="O771" t="n">
        <v>0</v>
      </c>
      <c r="P771" t="n">
        <v>0</v>
      </c>
      <c r="Q771" t="n">
        <v>0</v>
      </c>
      <c r="R771" s="2" t="inlineStr"/>
    </row>
    <row r="772" ht="15" customHeight="1">
      <c r="A772" t="inlineStr">
        <is>
          <t>A 31405-2023</t>
        </is>
      </c>
      <c r="B772" s="1" t="n">
        <v>45114.58148148148</v>
      </c>
      <c r="C772" s="1" t="n">
        <v>46010</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6355-2022</t>
        </is>
      </c>
      <c r="B773" s="1" t="n">
        <v>44600</v>
      </c>
      <c r="C773" s="1" t="n">
        <v>46010</v>
      </c>
      <c r="D773" t="inlineStr">
        <is>
          <t>KALMAR LÄN</t>
        </is>
      </c>
      <c r="E773" t="inlineStr">
        <is>
          <t>VIMMERBY</t>
        </is>
      </c>
      <c r="G773" t="n">
        <v>4.9</v>
      </c>
      <c r="H773" t="n">
        <v>0</v>
      </c>
      <c r="I773" t="n">
        <v>0</v>
      </c>
      <c r="J773" t="n">
        <v>0</v>
      </c>
      <c r="K773" t="n">
        <v>0</v>
      </c>
      <c r="L773" t="n">
        <v>0</v>
      </c>
      <c r="M773" t="n">
        <v>0</v>
      </c>
      <c r="N773" t="n">
        <v>0</v>
      </c>
      <c r="O773" t="n">
        <v>0</v>
      </c>
      <c r="P773" t="n">
        <v>0</v>
      </c>
      <c r="Q773" t="n">
        <v>0</v>
      </c>
      <c r="R773" s="2" t="inlineStr"/>
    </row>
    <row r="774" ht="15" customHeight="1">
      <c r="A774" t="inlineStr">
        <is>
          <t>A 46225-2024</t>
        </is>
      </c>
      <c r="B774" s="1" t="n">
        <v>45581.57333333333</v>
      </c>
      <c r="C774" s="1" t="n">
        <v>46010</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9418-2024</t>
        </is>
      </c>
      <c r="B775" s="1" t="n">
        <v>45359.45038194444</v>
      </c>
      <c r="C775" s="1" t="n">
        <v>46010</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57091-2022</t>
        </is>
      </c>
      <c r="B776" s="1" t="n">
        <v>44895.46524305556</v>
      </c>
      <c r="C776" s="1" t="n">
        <v>46010</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3816-2022</t>
        </is>
      </c>
      <c r="B777" s="1" t="n">
        <v>44587</v>
      </c>
      <c r="C777" s="1" t="n">
        <v>46010</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43606-2024</t>
        </is>
      </c>
      <c r="B778" s="1" t="n">
        <v>45569.45017361111</v>
      </c>
      <c r="C778" s="1" t="n">
        <v>46010</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43617-2024</t>
        </is>
      </c>
      <c r="B779" s="1" t="n">
        <v>45569.47494212963</v>
      </c>
      <c r="C779" s="1" t="n">
        <v>46010</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47859-2024</t>
        </is>
      </c>
      <c r="B780" s="1" t="n">
        <v>45588.67070601852</v>
      </c>
      <c r="C780" s="1" t="n">
        <v>46010</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8540-2024</t>
        </is>
      </c>
      <c r="B781" s="1" t="n">
        <v>45355.54138888889</v>
      </c>
      <c r="C781" s="1" t="n">
        <v>46010</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3331-2023</t>
        </is>
      </c>
      <c r="B782" s="1" t="n">
        <v>44949</v>
      </c>
      <c r="C782" s="1" t="n">
        <v>46010</v>
      </c>
      <c r="D782" t="inlineStr">
        <is>
          <t>KALMAR LÄN</t>
        </is>
      </c>
      <c r="E782" t="inlineStr">
        <is>
          <t>VIMMERBY</t>
        </is>
      </c>
      <c r="G782" t="n">
        <v>6.2</v>
      </c>
      <c r="H782" t="n">
        <v>0</v>
      </c>
      <c r="I782" t="n">
        <v>0</v>
      </c>
      <c r="J782" t="n">
        <v>0</v>
      </c>
      <c r="K782" t="n">
        <v>0</v>
      </c>
      <c r="L782" t="n">
        <v>0</v>
      </c>
      <c r="M782" t="n">
        <v>0</v>
      </c>
      <c r="N782" t="n">
        <v>0</v>
      </c>
      <c r="O782" t="n">
        <v>0</v>
      </c>
      <c r="P782" t="n">
        <v>0</v>
      </c>
      <c r="Q782" t="n">
        <v>0</v>
      </c>
      <c r="R782" s="2" t="inlineStr"/>
    </row>
    <row r="783" ht="15" customHeight="1">
      <c r="A783" t="inlineStr">
        <is>
          <t>A 598-2025</t>
        </is>
      </c>
      <c r="B783" s="1" t="n">
        <v>45660</v>
      </c>
      <c r="C783" s="1" t="n">
        <v>46010</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46010</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53083-2021</t>
        </is>
      </c>
      <c r="B785" s="1" t="n">
        <v>44467.83386574074</v>
      </c>
      <c r="C785" s="1" t="n">
        <v>46010</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24655-2021</t>
        </is>
      </c>
      <c r="B786" s="1" t="n">
        <v>44340</v>
      </c>
      <c r="C786" s="1" t="n">
        <v>46010</v>
      </c>
      <c r="D786" t="inlineStr">
        <is>
          <t>KALMAR LÄN</t>
        </is>
      </c>
      <c r="E786" t="inlineStr">
        <is>
          <t>VIMMERBY</t>
        </is>
      </c>
      <c r="G786" t="n">
        <v>14.9</v>
      </c>
      <c r="H786" t="n">
        <v>0</v>
      </c>
      <c r="I786" t="n">
        <v>0</v>
      </c>
      <c r="J786" t="n">
        <v>0</v>
      </c>
      <c r="K786" t="n">
        <v>0</v>
      </c>
      <c r="L786" t="n">
        <v>0</v>
      </c>
      <c r="M786" t="n">
        <v>0</v>
      </c>
      <c r="N786" t="n">
        <v>0</v>
      </c>
      <c r="O786" t="n">
        <v>0</v>
      </c>
      <c r="P786" t="n">
        <v>0</v>
      </c>
      <c r="Q786" t="n">
        <v>0</v>
      </c>
      <c r="R786" s="2" t="inlineStr"/>
    </row>
    <row r="787" ht="15" customHeight="1">
      <c r="A787" t="inlineStr">
        <is>
          <t>A 33838-2022</t>
        </is>
      </c>
      <c r="B787" s="1" t="n">
        <v>44790.49040509259</v>
      </c>
      <c r="C787" s="1" t="n">
        <v>46010</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32835-2022</t>
        </is>
      </c>
      <c r="B788" s="1" t="n">
        <v>44784.42528935185</v>
      </c>
      <c r="C788" s="1" t="n">
        <v>46010</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1081-2023</t>
        </is>
      </c>
      <c r="B789" s="1" t="n">
        <v>44935</v>
      </c>
      <c r="C789" s="1" t="n">
        <v>46010</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47063-2022</t>
        </is>
      </c>
      <c r="B790" s="1" t="n">
        <v>44852</v>
      </c>
      <c r="C790" s="1" t="n">
        <v>46010</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28403-2023</t>
        </is>
      </c>
      <c r="B791" s="1" t="n">
        <v>45100.85270833333</v>
      </c>
      <c r="C791" s="1" t="n">
        <v>46010</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33103-2024</t>
        </is>
      </c>
      <c r="B792" s="1" t="n">
        <v>45517.8162037037</v>
      </c>
      <c r="C792" s="1" t="n">
        <v>46010</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2260-2022</t>
        </is>
      </c>
      <c r="B793" s="1" t="n">
        <v>44578.62943287037</v>
      </c>
      <c r="C793" s="1" t="n">
        <v>46010</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11661-2023</t>
        </is>
      </c>
      <c r="B794" s="1" t="n">
        <v>44994.46908564815</v>
      </c>
      <c r="C794" s="1" t="n">
        <v>46010</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58046-2022</t>
        </is>
      </c>
      <c r="B795" s="1" t="n">
        <v>44900.57393518519</v>
      </c>
      <c r="C795" s="1" t="n">
        <v>46010</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45528-2021</t>
        </is>
      </c>
      <c r="B796" s="1" t="n">
        <v>44440.60415509259</v>
      </c>
      <c r="C796" s="1" t="n">
        <v>46010</v>
      </c>
      <c r="D796" t="inlineStr">
        <is>
          <t>KALMAR LÄN</t>
        </is>
      </c>
      <c r="E796" t="inlineStr">
        <is>
          <t>VIMMERBY</t>
        </is>
      </c>
      <c r="G796" t="n">
        <v>2.2</v>
      </c>
      <c r="H796" t="n">
        <v>0</v>
      </c>
      <c r="I796" t="n">
        <v>0</v>
      </c>
      <c r="J796" t="n">
        <v>0</v>
      </c>
      <c r="K796" t="n">
        <v>0</v>
      </c>
      <c r="L796" t="n">
        <v>0</v>
      </c>
      <c r="M796" t="n">
        <v>0</v>
      </c>
      <c r="N796" t="n">
        <v>0</v>
      </c>
      <c r="O796" t="n">
        <v>0</v>
      </c>
      <c r="P796" t="n">
        <v>0</v>
      </c>
      <c r="Q796" t="n">
        <v>0</v>
      </c>
      <c r="R796" s="2" t="inlineStr"/>
    </row>
    <row r="797" ht="15" customHeight="1">
      <c r="A797" t="inlineStr">
        <is>
          <t>A 46979-2023</t>
        </is>
      </c>
      <c r="B797" s="1" t="n">
        <v>45201</v>
      </c>
      <c r="C797" s="1" t="n">
        <v>46010</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6574-2023</t>
        </is>
      </c>
      <c r="B798" s="1" t="n">
        <v>44966</v>
      </c>
      <c r="C798" s="1" t="n">
        <v>46010</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4058-2024</t>
        </is>
      </c>
      <c r="B799" s="1" t="n">
        <v>45323.53744212963</v>
      </c>
      <c r="C799" s="1" t="n">
        <v>46010</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1978-2024</t>
        </is>
      </c>
      <c r="B800" s="1" t="n">
        <v>45308.59001157407</v>
      </c>
      <c r="C800" s="1" t="n">
        <v>46010</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30318-2023</t>
        </is>
      </c>
      <c r="B801" s="1" t="n">
        <v>45111.30824074074</v>
      </c>
      <c r="C801" s="1" t="n">
        <v>46010</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25234-2023</t>
        </is>
      </c>
      <c r="B802" s="1" t="n">
        <v>45086.63194444445</v>
      </c>
      <c r="C802" s="1" t="n">
        <v>46010</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46078-2023</t>
        </is>
      </c>
      <c r="B803" s="1" t="n">
        <v>45196</v>
      </c>
      <c r="C803" s="1" t="n">
        <v>46010</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3609-2024</t>
        </is>
      </c>
      <c r="B804" s="1" t="n">
        <v>45320.89128472222</v>
      </c>
      <c r="C804" s="1" t="n">
        <v>46010</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44987.54104166666</v>
      </c>
      <c r="C805" s="1" t="n">
        <v>46010</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49382-2023</t>
        </is>
      </c>
      <c r="B806" s="1" t="n">
        <v>45208</v>
      </c>
      <c r="C806" s="1" t="n">
        <v>46010</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12810-2023</t>
        </is>
      </c>
      <c r="B807" s="1" t="n">
        <v>45001.43854166667</v>
      </c>
      <c r="C807" s="1" t="n">
        <v>46010</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3425-2022</t>
        </is>
      </c>
      <c r="B808" s="1" t="n">
        <v>44585.51060185185</v>
      </c>
      <c r="C808" s="1" t="n">
        <v>46010</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60675-2023</t>
        </is>
      </c>
      <c r="B809" s="1" t="n">
        <v>45260.4716550926</v>
      </c>
      <c r="C809" s="1" t="n">
        <v>46010</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2536-2023</t>
        </is>
      </c>
      <c r="B810" s="1" t="n">
        <v>44943.62954861111</v>
      </c>
      <c r="C810" s="1" t="n">
        <v>46010</v>
      </c>
      <c r="D810" t="inlineStr">
        <is>
          <t>KALMAR LÄN</t>
        </is>
      </c>
      <c r="E810" t="inlineStr">
        <is>
          <t>VIMMERBY</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11111-2024</t>
        </is>
      </c>
      <c r="B811" s="1" t="n">
        <v>45371.36359953704</v>
      </c>
      <c r="C811" s="1" t="n">
        <v>46010</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1687-2023</t>
        </is>
      </c>
      <c r="B812" s="1" t="n">
        <v>44938</v>
      </c>
      <c r="C812" s="1" t="n">
        <v>46010</v>
      </c>
      <c r="D812" t="inlineStr">
        <is>
          <t>KALMAR LÄN</t>
        </is>
      </c>
      <c r="E812" t="inlineStr">
        <is>
          <t>VIMMERBY</t>
        </is>
      </c>
      <c r="F812" t="inlineStr">
        <is>
          <t>Kommuner</t>
        </is>
      </c>
      <c r="G812" t="n">
        <v>2.5</v>
      </c>
      <c r="H812" t="n">
        <v>0</v>
      </c>
      <c r="I812" t="n">
        <v>0</v>
      </c>
      <c r="J812" t="n">
        <v>0</v>
      </c>
      <c r="K812" t="n">
        <v>0</v>
      </c>
      <c r="L812" t="n">
        <v>0</v>
      </c>
      <c r="M812" t="n">
        <v>0</v>
      </c>
      <c r="N812" t="n">
        <v>0</v>
      </c>
      <c r="O812" t="n">
        <v>0</v>
      </c>
      <c r="P812" t="n">
        <v>0</v>
      </c>
      <c r="Q812" t="n">
        <v>0</v>
      </c>
      <c r="R812" s="2" t="inlineStr"/>
    </row>
    <row r="813" ht="15" customHeight="1">
      <c r="A813" t="inlineStr">
        <is>
          <t>A 3494-2023</t>
        </is>
      </c>
      <c r="B813" s="1" t="n">
        <v>44949</v>
      </c>
      <c r="C813" s="1" t="n">
        <v>46010</v>
      </c>
      <c r="D813" t="inlineStr">
        <is>
          <t>KALMAR LÄN</t>
        </is>
      </c>
      <c r="E813" t="inlineStr">
        <is>
          <t>VIMMERBY</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15449-2023</t>
        </is>
      </c>
      <c r="B814" s="1" t="n">
        <v>45020</v>
      </c>
      <c r="C814" s="1" t="n">
        <v>46010</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43242-2024</t>
        </is>
      </c>
      <c r="B815" s="1" t="n">
        <v>45568.30189814815</v>
      </c>
      <c r="C815" s="1" t="n">
        <v>46010</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56853-2022</t>
        </is>
      </c>
      <c r="B816" s="1" t="n">
        <v>44894.49538194444</v>
      </c>
      <c r="C816" s="1" t="n">
        <v>46010</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33815-2022</t>
        </is>
      </c>
      <c r="B817" s="1" t="n">
        <v>44790.45876157407</v>
      </c>
      <c r="C817" s="1" t="n">
        <v>46010</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33842-2022</t>
        </is>
      </c>
      <c r="B818" s="1" t="n">
        <v>44790.49523148148</v>
      </c>
      <c r="C818" s="1" t="n">
        <v>46010</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49408-2023</t>
        </is>
      </c>
      <c r="B819" s="1" t="n">
        <v>45211.43555555555</v>
      </c>
      <c r="C819" s="1" t="n">
        <v>46010</v>
      </c>
      <c r="D819" t="inlineStr">
        <is>
          <t>KALMAR LÄN</t>
        </is>
      </c>
      <c r="E819" t="inlineStr">
        <is>
          <t>VIMMERBY</t>
        </is>
      </c>
      <c r="G819" t="n">
        <v>13.1</v>
      </c>
      <c r="H819" t="n">
        <v>0</v>
      </c>
      <c r="I819" t="n">
        <v>0</v>
      </c>
      <c r="J819" t="n">
        <v>0</v>
      </c>
      <c r="K819" t="n">
        <v>0</v>
      </c>
      <c r="L819" t="n">
        <v>0</v>
      </c>
      <c r="M819" t="n">
        <v>0</v>
      </c>
      <c r="N819" t="n">
        <v>0</v>
      </c>
      <c r="O819" t="n">
        <v>0</v>
      </c>
      <c r="P819" t="n">
        <v>0</v>
      </c>
      <c r="Q819" t="n">
        <v>0</v>
      </c>
      <c r="R819" s="2" t="inlineStr"/>
    </row>
    <row r="820" ht="15" customHeight="1">
      <c r="A820" t="inlineStr">
        <is>
          <t>A 56536-2022</t>
        </is>
      </c>
      <c r="B820" s="1" t="n">
        <v>44893</v>
      </c>
      <c r="C820" s="1" t="n">
        <v>46010</v>
      </c>
      <c r="D820" t="inlineStr">
        <is>
          <t>KALMAR LÄN</t>
        </is>
      </c>
      <c r="E820" t="inlineStr">
        <is>
          <t>VIMMERBY</t>
        </is>
      </c>
      <c r="G820" t="n">
        <v>3.2</v>
      </c>
      <c r="H820" t="n">
        <v>0</v>
      </c>
      <c r="I820" t="n">
        <v>0</v>
      </c>
      <c r="J820" t="n">
        <v>0</v>
      </c>
      <c r="K820" t="n">
        <v>0</v>
      </c>
      <c r="L820" t="n">
        <v>0</v>
      </c>
      <c r="M820" t="n">
        <v>0</v>
      </c>
      <c r="N820" t="n">
        <v>0</v>
      </c>
      <c r="O820" t="n">
        <v>0</v>
      </c>
      <c r="P820" t="n">
        <v>0</v>
      </c>
      <c r="Q820" t="n">
        <v>0</v>
      </c>
      <c r="R820" s="2" t="inlineStr"/>
    </row>
    <row r="821" ht="15" customHeight="1">
      <c r="A821" t="inlineStr">
        <is>
          <t>A 41199-2023</t>
        </is>
      </c>
      <c r="B821" s="1" t="n">
        <v>45174.40454861111</v>
      </c>
      <c r="C821" s="1" t="n">
        <v>46010</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8945-2025</t>
        </is>
      </c>
      <c r="B822" s="1" t="n">
        <v>45713.45311342592</v>
      </c>
      <c r="C822" s="1" t="n">
        <v>46010</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11619-2023</t>
        </is>
      </c>
      <c r="B823" s="1" t="n">
        <v>44994.42113425926</v>
      </c>
      <c r="C823" s="1" t="n">
        <v>46010</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41896-2023</t>
        </is>
      </c>
      <c r="B824" s="1" t="n">
        <v>45176.72427083334</v>
      </c>
      <c r="C824" s="1" t="n">
        <v>46010</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17926-2025</t>
        </is>
      </c>
      <c r="B825" s="1" t="n">
        <v>45759.38987268518</v>
      </c>
      <c r="C825" s="1" t="n">
        <v>46010</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21028-2023</t>
        </is>
      </c>
      <c r="B826" s="1" t="n">
        <v>45061</v>
      </c>
      <c r="C826" s="1" t="n">
        <v>46010</v>
      </c>
      <c r="D826" t="inlineStr">
        <is>
          <t>KALMAR LÄN</t>
        </is>
      </c>
      <c r="E826" t="inlineStr">
        <is>
          <t>VIMMERBY</t>
        </is>
      </c>
      <c r="F826" t="inlineStr">
        <is>
          <t>Övriga Aktiebolag</t>
        </is>
      </c>
      <c r="G826" t="n">
        <v>0.7</v>
      </c>
      <c r="H826" t="n">
        <v>0</v>
      </c>
      <c r="I826" t="n">
        <v>0</v>
      </c>
      <c r="J826" t="n">
        <v>0</v>
      </c>
      <c r="K826" t="n">
        <v>0</v>
      </c>
      <c r="L826" t="n">
        <v>0</v>
      </c>
      <c r="M826" t="n">
        <v>0</v>
      </c>
      <c r="N826" t="n">
        <v>0</v>
      </c>
      <c r="O826" t="n">
        <v>0</v>
      </c>
      <c r="P826" t="n">
        <v>0</v>
      </c>
      <c r="Q826" t="n">
        <v>0</v>
      </c>
      <c r="R826" s="2" t="inlineStr"/>
    </row>
    <row r="827" ht="15" customHeight="1">
      <c r="A827" t="inlineStr">
        <is>
          <t>A 19445-2021</t>
        </is>
      </c>
      <c r="B827" s="1" t="n">
        <v>44310</v>
      </c>
      <c r="C827" s="1" t="n">
        <v>46010</v>
      </c>
      <c r="D827" t="inlineStr">
        <is>
          <t>KALMAR LÄN</t>
        </is>
      </c>
      <c r="E827" t="inlineStr">
        <is>
          <t>VIMMERBY</t>
        </is>
      </c>
      <c r="G827" t="n">
        <v>6.8</v>
      </c>
      <c r="H827" t="n">
        <v>0</v>
      </c>
      <c r="I827" t="n">
        <v>0</v>
      </c>
      <c r="J827" t="n">
        <v>0</v>
      </c>
      <c r="K827" t="n">
        <v>0</v>
      </c>
      <c r="L827" t="n">
        <v>0</v>
      </c>
      <c r="M827" t="n">
        <v>0</v>
      </c>
      <c r="N827" t="n">
        <v>0</v>
      </c>
      <c r="O827" t="n">
        <v>0</v>
      </c>
      <c r="P827" t="n">
        <v>0</v>
      </c>
      <c r="Q827" t="n">
        <v>0</v>
      </c>
      <c r="R827" s="2" t="inlineStr"/>
    </row>
    <row r="828" ht="15" customHeight="1">
      <c r="A828" t="inlineStr">
        <is>
          <t>A 27122-2023</t>
        </is>
      </c>
      <c r="B828" s="1" t="n">
        <v>45096.45247685185</v>
      </c>
      <c r="C828" s="1" t="n">
        <v>46010</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13813-2024</t>
        </is>
      </c>
      <c r="B829" s="1" t="n">
        <v>45391.41310185185</v>
      </c>
      <c r="C829" s="1" t="n">
        <v>46010</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38969-2023</t>
        </is>
      </c>
      <c r="B830" s="1" t="n">
        <v>45163.63621527778</v>
      </c>
      <c r="C830" s="1" t="n">
        <v>46010</v>
      </c>
      <c r="D830" t="inlineStr">
        <is>
          <t>KALMAR LÄN</t>
        </is>
      </c>
      <c r="E830" t="inlineStr">
        <is>
          <t>VIMMERBY</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26937-2023</t>
        </is>
      </c>
      <c r="B831" s="1" t="n">
        <v>45093.62777777778</v>
      </c>
      <c r="C831" s="1" t="n">
        <v>46010</v>
      </c>
      <c r="D831" t="inlineStr">
        <is>
          <t>KALMAR LÄN</t>
        </is>
      </c>
      <c r="E831" t="inlineStr">
        <is>
          <t>VIMMERBY</t>
        </is>
      </c>
      <c r="F831" t="inlineStr">
        <is>
          <t>Sveaskog</t>
        </is>
      </c>
      <c r="G831" t="n">
        <v>14.5</v>
      </c>
      <c r="H831" t="n">
        <v>0</v>
      </c>
      <c r="I831" t="n">
        <v>0</v>
      </c>
      <c r="J831" t="n">
        <v>0</v>
      </c>
      <c r="K831" t="n">
        <v>0</v>
      </c>
      <c r="L831" t="n">
        <v>0</v>
      </c>
      <c r="M831" t="n">
        <v>0</v>
      </c>
      <c r="N831" t="n">
        <v>0</v>
      </c>
      <c r="O831" t="n">
        <v>0</v>
      </c>
      <c r="P831" t="n">
        <v>0</v>
      </c>
      <c r="Q831" t="n">
        <v>0</v>
      </c>
      <c r="R831" s="2" t="inlineStr"/>
    </row>
    <row r="832" ht="15" customHeight="1">
      <c r="A832" t="inlineStr">
        <is>
          <t>A 57486-2024</t>
        </is>
      </c>
      <c r="B832" s="1" t="n">
        <v>45630.35827546296</v>
      </c>
      <c r="C832" s="1" t="n">
        <v>46010</v>
      </c>
      <c r="D832" t="inlineStr">
        <is>
          <t>KALMAR LÄN</t>
        </is>
      </c>
      <c r="E832" t="inlineStr">
        <is>
          <t>VIMMERBY</t>
        </is>
      </c>
      <c r="G832" t="n">
        <v>0.4</v>
      </c>
      <c r="H832" t="n">
        <v>0</v>
      </c>
      <c r="I832" t="n">
        <v>0</v>
      </c>
      <c r="J832" t="n">
        <v>0</v>
      </c>
      <c r="K832" t="n">
        <v>0</v>
      </c>
      <c r="L832" t="n">
        <v>0</v>
      </c>
      <c r="M832" t="n">
        <v>0</v>
      </c>
      <c r="N832" t="n">
        <v>0</v>
      </c>
      <c r="O832" t="n">
        <v>0</v>
      </c>
      <c r="P832" t="n">
        <v>0</v>
      </c>
      <c r="Q832" t="n">
        <v>0</v>
      </c>
      <c r="R832" s="2" t="inlineStr"/>
    </row>
    <row r="833" ht="15" customHeight="1">
      <c r="A833" t="inlineStr">
        <is>
          <t>A 43186-2021</t>
        </is>
      </c>
      <c r="B833" s="1" t="n">
        <v>44431.84840277778</v>
      </c>
      <c r="C833" s="1" t="n">
        <v>46010</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1799-2025</t>
        </is>
      </c>
      <c r="B834" s="1" t="n">
        <v>45671.46746527778</v>
      </c>
      <c r="C834" s="1" t="n">
        <v>46010</v>
      </c>
      <c r="D834" t="inlineStr">
        <is>
          <t>KALMAR LÄN</t>
        </is>
      </c>
      <c r="E834" t="inlineStr">
        <is>
          <t>VIMMERBY</t>
        </is>
      </c>
      <c r="G834" t="n">
        <v>3.3</v>
      </c>
      <c r="H834" t="n">
        <v>0</v>
      </c>
      <c r="I834" t="n">
        <v>0</v>
      </c>
      <c r="J834" t="n">
        <v>0</v>
      </c>
      <c r="K834" t="n">
        <v>0</v>
      </c>
      <c r="L834" t="n">
        <v>0</v>
      </c>
      <c r="M834" t="n">
        <v>0</v>
      </c>
      <c r="N834" t="n">
        <v>0</v>
      </c>
      <c r="O834" t="n">
        <v>0</v>
      </c>
      <c r="P834" t="n">
        <v>0</v>
      </c>
      <c r="Q834" t="n">
        <v>0</v>
      </c>
      <c r="R834" s="2" t="inlineStr"/>
    </row>
    <row r="835" ht="15" customHeight="1">
      <c r="A835" t="inlineStr">
        <is>
          <t>A 30063-2023</t>
        </is>
      </c>
      <c r="B835" s="1" t="n">
        <v>45110.4184375</v>
      </c>
      <c r="C835" s="1" t="n">
        <v>46010</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43068-2023</t>
        </is>
      </c>
      <c r="B836" s="1" t="n">
        <v>45182.78834490741</v>
      </c>
      <c r="C836" s="1" t="n">
        <v>46010</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18020-2025</t>
        </is>
      </c>
      <c r="B837" s="1" t="n">
        <v>45761.4437962963</v>
      </c>
      <c r="C837" s="1" t="n">
        <v>46010</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33424-2023</t>
        </is>
      </c>
      <c r="B838" s="1" t="n">
        <v>45128.9325</v>
      </c>
      <c r="C838" s="1" t="n">
        <v>46010</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33425-2023</t>
        </is>
      </c>
      <c r="B839" s="1" t="n">
        <v>45128.93540509259</v>
      </c>
      <c r="C839" s="1" t="n">
        <v>46010</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12327-2023</t>
        </is>
      </c>
      <c r="B840" s="1" t="n">
        <v>44999.36081018519</v>
      </c>
      <c r="C840" s="1" t="n">
        <v>46010</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43092-2024</t>
        </is>
      </c>
      <c r="B841" s="1" t="n">
        <v>45567</v>
      </c>
      <c r="C841" s="1" t="n">
        <v>46010</v>
      </c>
      <c r="D841" t="inlineStr">
        <is>
          <t>KALMAR LÄN</t>
        </is>
      </c>
      <c r="E841" t="inlineStr">
        <is>
          <t>VIMMERBY</t>
        </is>
      </c>
      <c r="G841" t="n">
        <v>2.7</v>
      </c>
      <c r="H841" t="n">
        <v>0</v>
      </c>
      <c r="I841" t="n">
        <v>0</v>
      </c>
      <c r="J841" t="n">
        <v>0</v>
      </c>
      <c r="K841" t="n">
        <v>0</v>
      </c>
      <c r="L841" t="n">
        <v>0</v>
      </c>
      <c r="M841" t="n">
        <v>0</v>
      </c>
      <c r="N841" t="n">
        <v>0</v>
      </c>
      <c r="O841" t="n">
        <v>0</v>
      </c>
      <c r="P841" t="n">
        <v>0</v>
      </c>
      <c r="Q841" t="n">
        <v>0</v>
      </c>
      <c r="R841" s="2" t="inlineStr"/>
    </row>
    <row r="842" ht="15" customHeight="1">
      <c r="A842" t="inlineStr">
        <is>
          <t>A 52435-2021</t>
        </is>
      </c>
      <c r="B842" s="1" t="n">
        <v>44466.34962962963</v>
      </c>
      <c r="C842" s="1" t="n">
        <v>46010</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35127-2024</t>
        </is>
      </c>
      <c r="B843" s="1" t="n">
        <v>45530.33202546297</v>
      </c>
      <c r="C843" s="1" t="n">
        <v>46010</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60215-2022</t>
        </is>
      </c>
      <c r="B844" s="1" t="n">
        <v>44910.41346064815</v>
      </c>
      <c r="C844" s="1" t="n">
        <v>46010</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29441-2024</t>
        </is>
      </c>
      <c r="B845" s="1" t="n">
        <v>45483.82834490741</v>
      </c>
      <c r="C845" s="1" t="n">
        <v>46010</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6216-2025</t>
        </is>
      </c>
      <c r="B846" s="1" t="n">
        <v>45698.52806712963</v>
      </c>
      <c r="C846" s="1" t="n">
        <v>46010</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62779-2023</t>
        </is>
      </c>
      <c r="B847" s="1" t="n">
        <v>45271.66576388889</v>
      </c>
      <c r="C847" s="1" t="n">
        <v>46010</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52294-2023</t>
        </is>
      </c>
      <c r="B848" s="1" t="n">
        <v>45224.60075231481</v>
      </c>
      <c r="C848" s="1" t="n">
        <v>46010</v>
      </c>
      <c r="D848" t="inlineStr">
        <is>
          <t>KALMAR LÄN</t>
        </is>
      </c>
      <c r="E848" t="inlineStr">
        <is>
          <t>VIMMERBY</t>
        </is>
      </c>
      <c r="F848" t="inlineStr">
        <is>
          <t>Sveaskog</t>
        </is>
      </c>
      <c r="G848" t="n">
        <v>2.5</v>
      </c>
      <c r="H848" t="n">
        <v>0</v>
      </c>
      <c r="I848" t="n">
        <v>0</v>
      </c>
      <c r="J848" t="n">
        <v>0</v>
      </c>
      <c r="K848" t="n">
        <v>0</v>
      </c>
      <c r="L848" t="n">
        <v>0</v>
      </c>
      <c r="M848" t="n">
        <v>0</v>
      </c>
      <c r="N848" t="n">
        <v>0</v>
      </c>
      <c r="O848" t="n">
        <v>0</v>
      </c>
      <c r="P848" t="n">
        <v>0</v>
      </c>
      <c r="Q848" t="n">
        <v>0</v>
      </c>
      <c r="R848" s="2" t="inlineStr"/>
    </row>
    <row r="849" ht="15" customHeight="1">
      <c r="A849" t="inlineStr">
        <is>
          <t>A 31013-2023</t>
        </is>
      </c>
      <c r="B849" s="1" t="n">
        <v>45113.56574074074</v>
      </c>
      <c r="C849" s="1" t="n">
        <v>46010</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72067-2021</t>
        </is>
      </c>
      <c r="B850" s="1" t="n">
        <v>44540</v>
      </c>
      <c r="C850" s="1" t="n">
        <v>46010</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61538-2022</t>
        </is>
      </c>
      <c r="B851" s="1" t="n">
        <v>44916.55414351852</v>
      </c>
      <c r="C851" s="1" t="n">
        <v>46010</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36155-2023</t>
        </is>
      </c>
      <c r="B852" s="1" t="n">
        <v>45149.60917824074</v>
      </c>
      <c r="C852" s="1" t="n">
        <v>46010</v>
      </c>
      <c r="D852" t="inlineStr">
        <is>
          <t>KALMAR LÄN</t>
        </is>
      </c>
      <c r="E852" t="inlineStr">
        <is>
          <t>VIMMERBY</t>
        </is>
      </c>
      <c r="G852" t="n">
        <v>5</v>
      </c>
      <c r="H852" t="n">
        <v>0</v>
      </c>
      <c r="I852" t="n">
        <v>0</v>
      </c>
      <c r="J852" t="n">
        <v>0</v>
      </c>
      <c r="K852" t="n">
        <v>0</v>
      </c>
      <c r="L852" t="n">
        <v>0</v>
      </c>
      <c r="M852" t="n">
        <v>0</v>
      </c>
      <c r="N852" t="n">
        <v>0</v>
      </c>
      <c r="O852" t="n">
        <v>0</v>
      </c>
      <c r="P852" t="n">
        <v>0</v>
      </c>
      <c r="Q852" t="n">
        <v>0</v>
      </c>
      <c r="R852" s="2" t="inlineStr"/>
    </row>
    <row r="853" ht="15" customHeight="1">
      <c r="A853" t="inlineStr">
        <is>
          <t>A 29173-2024</t>
        </is>
      </c>
      <c r="B853" s="1" t="n">
        <v>45482.52887731481</v>
      </c>
      <c r="C853" s="1" t="n">
        <v>46010</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53542-2022</t>
        </is>
      </c>
      <c r="B854" s="1" t="n">
        <v>44879.62173611111</v>
      </c>
      <c r="C854" s="1" t="n">
        <v>46010</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6807-2025</t>
        </is>
      </c>
      <c r="B855" s="1" t="n">
        <v>45700.68672453704</v>
      </c>
      <c r="C855" s="1" t="n">
        <v>46010</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7047-2022</t>
        </is>
      </c>
      <c r="B856" s="1" t="n">
        <v>44603</v>
      </c>
      <c r="C856" s="1" t="n">
        <v>46010</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35711-2023</t>
        </is>
      </c>
      <c r="B857" s="1" t="n">
        <v>45147.67172453704</v>
      </c>
      <c r="C857" s="1" t="n">
        <v>46010</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5382-2023</t>
        </is>
      </c>
      <c r="B858" s="1" t="n">
        <v>44959.66407407408</v>
      </c>
      <c r="C858" s="1" t="n">
        <v>46010</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40823-2023</t>
        </is>
      </c>
      <c r="B859" s="1" t="n">
        <v>45171.77335648148</v>
      </c>
      <c r="C859" s="1" t="n">
        <v>46010</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6218-2025</t>
        </is>
      </c>
      <c r="B860" s="1" t="n">
        <v>45698.53336805556</v>
      </c>
      <c r="C860" s="1" t="n">
        <v>46010</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30920-2023</t>
        </is>
      </c>
      <c r="B861" s="1" t="n">
        <v>45113.43921296296</v>
      </c>
      <c r="C861" s="1" t="n">
        <v>46010</v>
      </c>
      <c r="D861" t="inlineStr">
        <is>
          <t>KALMAR LÄN</t>
        </is>
      </c>
      <c r="E861" t="inlineStr">
        <is>
          <t>VIMMERBY</t>
        </is>
      </c>
      <c r="G861" t="n">
        <v>3.1</v>
      </c>
      <c r="H861" t="n">
        <v>0</v>
      </c>
      <c r="I861" t="n">
        <v>0</v>
      </c>
      <c r="J861" t="n">
        <v>0</v>
      </c>
      <c r="K861" t="n">
        <v>0</v>
      </c>
      <c r="L861" t="n">
        <v>0</v>
      </c>
      <c r="M861" t="n">
        <v>0</v>
      </c>
      <c r="N861" t="n">
        <v>0</v>
      </c>
      <c r="O861" t="n">
        <v>0</v>
      </c>
      <c r="P861" t="n">
        <v>0</v>
      </c>
      <c r="Q861" t="n">
        <v>0</v>
      </c>
      <c r="R861" s="2" t="inlineStr"/>
    </row>
    <row r="862" ht="15" customHeight="1">
      <c r="A862" t="inlineStr">
        <is>
          <t>A 6857-2023</t>
        </is>
      </c>
      <c r="B862" s="1" t="n">
        <v>44967.45122685185</v>
      </c>
      <c r="C862" s="1" t="n">
        <v>46010</v>
      </c>
      <c r="D862" t="inlineStr">
        <is>
          <t>KALMAR LÄN</t>
        </is>
      </c>
      <c r="E862" t="inlineStr">
        <is>
          <t>VIMMERBY</t>
        </is>
      </c>
      <c r="G862" t="n">
        <v>2.1</v>
      </c>
      <c r="H862" t="n">
        <v>0</v>
      </c>
      <c r="I862" t="n">
        <v>0</v>
      </c>
      <c r="J862" t="n">
        <v>0</v>
      </c>
      <c r="K862" t="n">
        <v>0</v>
      </c>
      <c r="L862" t="n">
        <v>0</v>
      </c>
      <c r="M862" t="n">
        <v>0</v>
      </c>
      <c r="N862" t="n">
        <v>0</v>
      </c>
      <c r="O862" t="n">
        <v>0</v>
      </c>
      <c r="P862" t="n">
        <v>0</v>
      </c>
      <c r="Q862" t="n">
        <v>0</v>
      </c>
      <c r="R862" s="2" t="inlineStr"/>
    </row>
    <row r="863" ht="15" customHeight="1">
      <c r="A863" t="inlineStr">
        <is>
          <t>A 5792-2023</t>
        </is>
      </c>
      <c r="B863" s="1" t="n">
        <v>44963.44769675926</v>
      </c>
      <c r="C863" s="1" t="n">
        <v>46010</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10303-2025</t>
        </is>
      </c>
      <c r="B864" s="1" t="n">
        <v>45720.44217592593</v>
      </c>
      <c r="C864" s="1" t="n">
        <v>46010</v>
      </c>
      <c r="D864" t="inlineStr">
        <is>
          <t>KALMAR LÄN</t>
        </is>
      </c>
      <c r="E864" t="inlineStr">
        <is>
          <t>VIMMERBY</t>
        </is>
      </c>
      <c r="G864" t="n">
        <v>0.9</v>
      </c>
      <c r="H864" t="n">
        <v>0</v>
      </c>
      <c r="I864" t="n">
        <v>0</v>
      </c>
      <c r="J864" t="n">
        <v>0</v>
      </c>
      <c r="K864" t="n">
        <v>0</v>
      </c>
      <c r="L864" t="n">
        <v>0</v>
      </c>
      <c r="M864" t="n">
        <v>0</v>
      </c>
      <c r="N864" t="n">
        <v>0</v>
      </c>
      <c r="O864" t="n">
        <v>0</v>
      </c>
      <c r="P864" t="n">
        <v>0</v>
      </c>
      <c r="Q864" t="n">
        <v>0</v>
      </c>
      <c r="R864" s="2" t="inlineStr"/>
    </row>
    <row r="865" ht="15" customHeight="1">
      <c r="A865" t="inlineStr">
        <is>
          <t>A 60110-2022</t>
        </is>
      </c>
      <c r="B865" s="1" t="n">
        <v>44909</v>
      </c>
      <c r="C865" s="1" t="n">
        <v>46010</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15394-2025</t>
        </is>
      </c>
      <c r="B866" s="1" t="n">
        <v>45747.43196759259</v>
      </c>
      <c r="C866" s="1" t="n">
        <v>46010</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15388-2025</t>
        </is>
      </c>
      <c r="B867" s="1" t="n">
        <v>45747.42633101852</v>
      </c>
      <c r="C867" s="1" t="n">
        <v>46010</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15391-2025</t>
        </is>
      </c>
      <c r="B868" s="1" t="n">
        <v>45747.42958333333</v>
      </c>
      <c r="C868" s="1" t="n">
        <v>46010</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6474-2025</t>
        </is>
      </c>
      <c r="B869" s="1" t="n">
        <v>45699.60055555555</v>
      </c>
      <c r="C869" s="1" t="n">
        <v>46010</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32919-2022</t>
        </is>
      </c>
      <c r="B870" s="1" t="n">
        <v>44784.62724537037</v>
      </c>
      <c r="C870" s="1" t="n">
        <v>46010</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56659-2023</t>
        </is>
      </c>
      <c r="B871" s="1" t="n">
        <v>45243.84869212963</v>
      </c>
      <c r="C871" s="1" t="n">
        <v>46010</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13015-2022</t>
        </is>
      </c>
      <c r="B872" s="1" t="n">
        <v>44643</v>
      </c>
      <c r="C872" s="1" t="n">
        <v>46010</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17968-2025</t>
        </is>
      </c>
      <c r="B873" s="1" t="n">
        <v>45761.35990740741</v>
      </c>
      <c r="C873" s="1" t="n">
        <v>46010</v>
      </c>
      <c r="D873" t="inlineStr">
        <is>
          <t>KALMAR LÄN</t>
        </is>
      </c>
      <c r="E873" t="inlineStr">
        <is>
          <t>VIMMERBY</t>
        </is>
      </c>
      <c r="G873" t="n">
        <v>3.3</v>
      </c>
      <c r="H873" t="n">
        <v>0</v>
      </c>
      <c r="I873" t="n">
        <v>0</v>
      </c>
      <c r="J873" t="n">
        <v>0</v>
      </c>
      <c r="K873" t="n">
        <v>0</v>
      </c>
      <c r="L873" t="n">
        <v>0</v>
      </c>
      <c r="M873" t="n">
        <v>0</v>
      </c>
      <c r="N873" t="n">
        <v>0</v>
      </c>
      <c r="O873" t="n">
        <v>0</v>
      </c>
      <c r="P873" t="n">
        <v>0</v>
      </c>
      <c r="Q873" t="n">
        <v>0</v>
      </c>
      <c r="R873" s="2" t="inlineStr"/>
    </row>
    <row r="874" ht="15" customHeight="1">
      <c r="A874" t="inlineStr">
        <is>
          <t>A 6028-2023</t>
        </is>
      </c>
      <c r="B874" s="1" t="n">
        <v>44964.44356481481</v>
      </c>
      <c r="C874" s="1" t="n">
        <v>46010</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55436-2023</t>
        </is>
      </c>
      <c r="B875" s="1" t="n">
        <v>45238.4328587963</v>
      </c>
      <c r="C875" s="1" t="n">
        <v>46010</v>
      </c>
      <c r="D875" t="inlineStr">
        <is>
          <t>KALMAR LÄN</t>
        </is>
      </c>
      <c r="E875" t="inlineStr">
        <is>
          <t>VIMMERBY</t>
        </is>
      </c>
      <c r="G875" t="n">
        <v>5.6</v>
      </c>
      <c r="H875" t="n">
        <v>0</v>
      </c>
      <c r="I875" t="n">
        <v>0</v>
      </c>
      <c r="J875" t="n">
        <v>0</v>
      </c>
      <c r="K875" t="n">
        <v>0</v>
      </c>
      <c r="L875" t="n">
        <v>0</v>
      </c>
      <c r="M875" t="n">
        <v>0</v>
      </c>
      <c r="N875" t="n">
        <v>0</v>
      </c>
      <c r="O875" t="n">
        <v>0</v>
      </c>
      <c r="P875" t="n">
        <v>0</v>
      </c>
      <c r="Q875" t="n">
        <v>0</v>
      </c>
      <c r="R875" s="2" t="inlineStr"/>
    </row>
    <row r="876" ht="15" customHeight="1">
      <c r="A876" t="inlineStr">
        <is>
          <t>A 56582-2022</t>
        </is>
      </c>
      <c r="B876" s="1" t="n">
        <v>44893</v>
      </c>
      <c r="C876" s="1" t="n">
        <v>46010</v>
      </c>
      <c r="D876" t="inlineStr">
        <is>
          <t>KALMAR LÄN</t>
        </is>
      </c>
      <c r="E876" t="inlineStr">
        <is>
          <t>VIMMERBY</t>
        </is>
      </c>
      <c r="G876" t="n">
        <v>2.2</v>
      </c>
      <c r="H876" t="n">
        <v>0</v>
      </c>
      <c r="I876" t="n">
        <v>0</v>
      </c>
      <c r="J876" t="n">
        <v>0</v>
      </c>
      <c r="K876" t="n">
        <v>0</v>
      </c>
      <c r="L876" t="n">
        <v>0</v>
      </c>
      <c r="M876" t="n">
        <v>0</v>
      </c>
      <c r="N876" t="n">
        <v>0</v>
      </c>
      <c r="O876" t="n">
        <v>0</v>
      </c>
      <c r="P876" t="n">
        <v>0</v>
      </c>
      <c r="Q876" t="n">
        <v>0</v>
      </c>
      <c r="R876" s="2" t="inlineStr"/>
    </row>
    <row r="877" ht="15" customHeight="1">
      <c r="A877" t="inlineStr">
        <is>
          <t>A 20-2025</t>
        </is>
      </c>
      <c r="B877" s="1" t="n">
        <v>45658.80232638889</v>
      </c>
      <c r="C877" s="1" t="n">
        <v>46010</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23-2025</t>
        </is>
      </c>
      <c r="B878" s="1" t="n">
        <v>45658.80827546296</v>
      </c>
      <c r="C878" s="1" t="n">
        <v>46010</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43962-2024</t>
        </is>
      </c>
      <c r="B879" s="1" t="n">
        <v>45572.48293981481</v>
      </c>
      <c r="C879" s="1" t="n">
        <v>46010</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35713-2023</t>
        </is>
      </c>
      <c r="B880" s="1" t="n">
        <v>45147</v>
      </c>
      <c r="C880" s="1" t="n">
        <v>46010</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40147-2023</t>
        </is>
      </c>
      <c r="B881" s="1" t="n">
        <v>45169</v>
      </c>
      <c r="C881" s="1" t="n">
        <v>46010</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50995-2022</t>
        </is>
      </c>
      <c r="B882" s="1" t="n">
        <v>44867</v>
      </c>
      <c r="C882" s="1" t="n">
        <v>46010</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27993-2022</t>
        </is>
      </c>
      <c r="B883" s="1" t="n">
        <v>44745.84396990741</v>
      </c>
      <c r="C883" s="1" t="n">
        <v>46010</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57555-2024</t>
        </is>
      </c>
      <c r="B884" s="1" t="n">
        <v>45630.45069444444</v>
      </c>
      <c r="C884" s="1" t="n">
        <v>46010</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36014-2024</t>
        </is>
      </c>
      <c r="B885" s="1" t="n">
        <v>45533.56108796296</v>
      </c>
      <c r="C885" s="1" t="n">
        <v>46010</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36030-2024</t>
        </is>
      </c>
      <c r="B886" s="1" t="n">
        <v>45533.58302083334</v>
      </c>
      <c r="C886" s="1" t="n">
        <v>46010</v>
      </c>
      <c r="D886" t="inlineStr">
        <is>
          <t>KALMAR LÄN</t>
        </is>
      </c>
      <c r="E886" t="inlineStr">
        <is>
          <t>VIMMERBY</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32865-2023</t>
        </is>
      </c>
      <c r="B887" s="1" t="n">
        <v>45124</v>
      </c>
      <c r="C887" s="1" t="n">
        <v>46010</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42918-2021</t>
        </is>
      </c>
      <c r="B888" s="1" t="n">
        <v>44431</v>
      </c>
      <c r="C888" s="1" t="n">
        <v>46010</v>
      </c>
      <c r="D888" t="inlineStr">
        <is>
          <t>KALMAR LÄN</t>
        </is>
      </c>
      <c r="E888" t="inlineStr">
        <is>
          <t>VIMMERBY</t>
        </is>
      </c>
      <c r="G888" t="n">
        <v>1.6</v>
      </c>
      <c r="H888" t="n">
        <v>0</v>
      </c>
      <c r="I888" t="n">
        <v>0</v>
      </c>
      <c r="J888" t="n">
        <v>0</v>
      </c>
      <c r="K888" t="n">
        <v>0</v>
      </c>
      <c r="L888" t="n">
        <v>0</v>
      </c>
      <c r="M888" t="n">
        <v>0</v>
      </c>
      <c r="N888" t="n">
        <v>0</v>
      </c>
      <c r="O888" t="n">
        <v>0</v>
      </c>
      <c r="P888" t="n">
        <v>0</v>
      </c>
      <c r="Q888" t="n">
        <v>0</v>
      </c>
      <c r="R888" s="2" t="inlineStr"/>
    </row>
    <row r="889" ht="15" customHeight="1">
      <c r="A889" t="inlineStr">
        <is>
          <t>A 22643-2023</t>
        </is>
      </c>
      <c r="B889" s="1" t="n">
        <v>45071</v>
      </c>
      <c r="C889" s="1" t="n">
        <v>46010</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18669-2025</t>
        </is>
      </c>
      <c r="B890" s="1" t="n">
        <v>45763.59436342592</v>
      </c>
      <c r="C890" s="1" t="n">
        <v>46010</v>
      </c>
      <c r="D890" t="inlineStr">
        <is>
          <t>KALMAR LÄN</t>
        </is>
      </c>
      <c r="E890" t="inlineStr">
        <is>
          <t>VIMMERBY</t>
        </is>
      </c>
      <c r="G890" t="n">
        <v>2.7</v>
      </c>
      <c r="H890" t="n">
        <v>0</v>
      </c>
      <c r="I890" t="n">
        <v>0</v>
      </c>
      <c r="J890" t="n">
        <v>0</v>
      </c>
      <c r="K890" t="n">
        <v>0</v>
      </c>
      <c r="L890" t="n">
        <v>0</v>
      </c>
      <c r="M890" t="n">
        <v>0</v>
      </c>
      <c r="N890" t="n">
        <v>0</v>
      </c>
      <c r="O890" t="n">
        <v>0</v>
      </c>
      <c r="P890" t="n">
        <v>0</v>
      </c>
      <c r="Q890" t="n">
        <v>0</v>
      </c>
      <c r="R890" s="2" t="inlineStr"/>
    </row>
    <row r="891" ht="15" customHeight="1">
      <c r="A891" t="inlineStr">
        <is>
          <t>A 38780-2021</t>
        </is>
      </c>
      <c r="B891" s="1" t="n">
        <v>44410</v>
      </c>
      <c r="C891" s="1" t="n">
        <v>46010</v>
      </c>
      <c r="D891" t="inlineStr">
        <is>
          <t>KALMAR LÄN</t>
        </is>
      </c>
      <c r="E891" t="inlineStr">
        <is>
          <t>VIMMERBY</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29020-2024</t>
        </is>
      </c>
      <c r="B892" s="1" t="n">
        <v>45481.58048611111</v>
      </c>
      <c r="C892" s="1" t="n">
        <v>46010</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30406-2023</t>
        </is>
      </c>
      <c r="B893" s="1" t="n">
        <v>45111.48787037037</v>
      </c>
      <c r="C893" s="1" t="n">
        <v>46010</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row>
    <row r="894" ht="15" customHeight="1">
      <c r="A894" t="inlineStr">
        <is>
          <t>A 13817-2024</t>
        </is>
      </c>
      <c r="B894" s="1" t="n">
        <v>45391.41976851852</v>
      </c>
      <c r="C894" s="1" t="n">
        <v>46010</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22399-2025</t>
        </is>
      </c>
      <c r="B895" s="1" t="n">
        <v>45786.52996527778</v>
      </c>
      <c r="C895" s="1" t="n">
        <v>46010</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22397-2025</t>
        </is>
      </c>
      <c r="B896" s="1" t="n">
        <v>45786.52878472222</v>
      </c>
      <c r="C896" s="1" t="n">
        <v>46010</v>
      </c>
      <c r="D896" t="inlineStr">
        <is>
          <t>KALMAR LÄN</t>
        </is>
      </c>
      <c r="E896" t="inlineStr">
        <is>
          <t>VIMMERBY</t>
        </is>
      </c>
      <c r="G896" t="n">
        <v>0.8</v>
      </c>
      <c r="H896" t="n">
        <v>0</v>
      </c>
      <c r="I896" t="n">
        <v>0</v>
      </c>
      <c r="J896" t="n">
        <v>0</v>
      </c>
      <c r="K896" t="n">
        <v>0</v>
      </c>
      <c r="L896" t="n">
        <v>0</v>
      </c>
      <c r="M896" t="n">
        <v>0</v>
      </c>
      <c r="N896" t="n">
        <v>0</v>
      </c>
      <c r="O896" t="n">
        <v>0</v>
      </c>
      <c r="P896" t="n">
        <v>0</v>
      </c>
      <c r="Q896" t="n">
        <v>0</v>
      </c>
      <c r="R896" s="2" t="inlineStr"/>
    </row>
    <row r="897" ht="15" customHeight="1">
      <c r="A897" t="inlineStr">
        <is>
          <t>A 25582-2024</t>
        </is>
      </c>
      <c r="B897" s="1" t="n">
        <v>45463</v>
      </c>
      <c r="C897" s="1" t="n">
        <v>46010</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57578-2024</t>
        </is>
      </c>
      <c r="B898" s="1" t="n">
        <v>45630.47564814815</v>
      </c>
      <c r="C898" s="1" t="n">
        <v>46010</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6307-2025</t>
        </is>
      </c>
      <c r="B899" s="1" t="n">
        <v>45698.69016203703</v>
      </c>
      <c r="C899" s="1" t="n">
        <v>46010</v>
      </c>
      <c r="D899" t="inlineStr">
        <is>
          <t>KALMAR LÄN</t>
        </is>
      </c>
      <c r="E899" t="inlineStr">
        <is>
          <t>VIMMERBY</t>
        </is>
      </c>
      <c r="G899" t="n">
        <v>3</v>
      </c>
      <c r="H899" t="n">
        <v>0</v>
      </c>
      <c r="I899" t="n">
        <v>0</v>
      </c>
      <c r="J899" t="n">
        <v>0</v>
      </c>
      <c r="K899" t="n">
        <v>0</v>
      </c>
      <c r="L899" t="n">
        <v>0</v>
      </c>
      <c r="M899" t="n">
        <v>0</v>
      </c>
      <c r="N899" t="n">
        <v>0</v>
      </c>
      <c r="O899" t="n">
        <v>0</v>
      </c>
      <c r="P899" t="n">
        <v>0</v>
      </c>
      <c r="Q899" t="n">
        <v>0</v>
      </c>
      <c r="R899" s="2" t="inlineStr"/>
    </row>
    <row r="900">
      <c r="A900" t="inlineStr">
        <is>
          <t>A 11442-2025</t>
        </is>
      </c>
      <c r="B900" s="1" t="n">
        <v>45726.62721064815</v>
      </c>
      <c r="C900" s="1" t="n">
        <v>46010</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2025-12-19T10:34:58Z</dcterms:created>
  <dcterms:modified xmlns:dcterms="http://purl.org/dc/terms/" xmlns:xsi="http://www.w3.org/2001/XMLSchema-instance" xsi:type="dcterms:W3CDTF">2025-12-19T10:34:58Z</dcterms:modified>
</cp:coreProperties>
</file>