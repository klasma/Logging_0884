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46202</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46202</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46202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46202</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46202</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46202</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32645-2023</t>
        </is>
      </c>
      <c r="B8" s="1" t="n">
        <v>45121</v>
      </c>
      <c r="C8" s="1" t="n">
        <v>46202</v>
      </c>
      <c r="D8" t="inlineStr">
        <is>
          <t>KALMAR LÄN</t>
        </is>
      </c>
      <c r="E8" t="inlineStr">
        <is>
          <t>VIMMERBY</t>
        </is>
      </c>
      <c r="F8" t="inlineStr">
        <is>
          <t>Sveaskog</t>
        </is>
      </c>
      <c r="G8" t="n">
        <v>1.5</v>
      </c>
      <c r="H8" t="n">
        <v>2</v>
      </c>
      <c r="I8" t="n">
        <v>1</v>
      </c>
      <c r="J8" t="n">
        <v>3</v>
      </c>
      <c r="K8" t="n">
        <v>0</v>
      </c>
      <c r="L8" t="n">
        <v>0</v>
      </c>
      <c r="M8" t="n">
        <v>0</v>
      </c>
      <c r="N8" t="n">
        <v>0</v>
      </c>
      <c r="O8" t="n">
        <v>3</v>
      </c>
      <c r="P8" t="n">
        <v>0</v>
      </c>
      <c r="Q8" t="n">
        <v>5</v>
      </c>
      <c r="R8" s="2" t="inlineStr">
        <is>
          <t>Dvärgbägarlav
Talltita
Vedtrappmossa
Mindre märgborre
Spillkråka</t>
        </is>
      </c>
      <c r="S8">
        <f>HYPERLINK("https://klasma.github.io/Logging_0884/artfynd/A 32645-2023 artfynd.xlsx", "A 32645-2023")</f>
        <v/>
      </c>
      <c r="T8">
        <f>HYPERLINK("https://klasma.github.io/Logging_0884/kartor/A 32645-2023 karta.png", "A 32645-2023")</f>
        <v/>
      </c>
      <c r="V8">
        <f>HYPERLINK("https://klasma.github.io/Logging_0884/klagomål/A 32645-2023 FSC-klagomål.docx", "A 32645-2023")</f>
        <v/>
      </c>
      <c r="W8">
        <f>HYPERLINK("https://klasma.github.io/Logging_0884/klagomålsmail/A 32645-2023 FSC-klagomål mail.docx", "A 32645-2023")</f>
        <v/>
      </c>
      <c r="X8">
        <f>HYPERLINK("https://klasma.github.io/Logging_0884/tillsyn/A 32645-2023 tillsynsbegäran.docx", "A 32645-2023")</f>
        <v/>
      </c>
      <c r="Y8">
        <f>HYPERLINK("https://klasma.github.io/Logging_0884/tillsynsmail/A 32645-2023 tillsynsbegäran mail.docx", "A 32645-2023")</f>
        <v/>
      </c>
      <c r="Z8">
        <f>HYPERLINK("https://klasma.github.io/Logging_0884/fåglar/A 32645-2023 prioriterade fågelarter.docx", "A 32645-2023")</f>
        <v/>
      </c>
    </row>
    <row r="9" ht="15" customHeight="1">
      <c r="A9" t="inlineStr">
        <is>
          <t>A 1023-2024</t>
        </is>
      </c>
      <c r="B9" s="1" t="n">
        <v>45301</v>
      </c>
      <c r="C9" s="1" t="n">
        <v>46202</v>
      </c>
      <c r="D9" t="inlineStr">
        <is>
          <t>KALMAR LÄN</t>
        </is>
      </c>
      <c r="E9" t="inlineStr">
        <is>
          <t>VIMMERBY</t>
        </is>
      </c>
      <c r="G9" t="n">
        <v>4.4</v>
      </c>
      <c r="H9" t="n">
        <v>4</v>
      </c>
      <c r="I9" t="n">
        <v>0</v>
      </c>
      <c r="J9" t="n">
        <v>2</v>
      </c>
      <c r="K9" t="n">
        <v>1</v>
      </c>
      <c r="L9" t="n">
        <v>0</v>
      </c>
      <c r="M9" t="n">
        <v>0</v>
      </c>
      <c r="N9" t="n">
        <v>0</v>
      </c>
      <c r="O9" t="n">
        <v>3</v>
      </c>
      <c r="P9" t="n">
        <v>1</v>
      </c>
      <c r="Q9" t="n">
        <v>5</v>
      </c>
      <c r="R9" s="2" t="inlineStr">
        <is>
          <t>Knärot
Talltita
Ullticka
Spillkråka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v>
      </c>
      <c r="C10" s="1" t="n">
        <v>46202</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46202</v>
      </c>
      <c r="D11" t="inlineStr">
        <is>
          <t>KALMAR LÄN</t>
        </is>
      </c>
      <c r="E11" t="inlineStr">
        <is>
          <t>VIMMERBY</t>
        </is>
      </c>
      <c r="G11" t="n">
        <v>3.5</v>
      </c>
      <c r="H11" t="n">
        <v>4</v>
      </c>
      <c r="I11" t="n">
        <v>0</v>
      </c>
      <c r="J11" t="n">
        <v>2</v>
      </c>
      <c r="K11" t="n">
        <v>1</v>
      </c>
      <c r="L11" t="n">
        <v>0</v>
      </c>
      <c r="M11" t="n">
        <v>0</v>
      </c>
      <c r="N11" t="n">
        <v>0</v>
      </c>
      <c r="O11" t="n">
        <v>3</v>
      </c>
      <c r="P11" t="n">
        <v>1</v>
      </c>
      <c r="Q11" t="n">
        <v>5</v>
      </c>
      <c r="R11" s="2" t="inlineStr">
        <is>
          <t>Knärot
Talltita
Ullticka
Spillkråka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3075-2025</t>
        </is>
      </c>
      <c r="B12" s="1" t="n">
        <v>45678</v>
      </c>
      <c r="C12" s="1" t="n">
        <v>46202</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23602-2023</t>
        </is>
      </c>
      <c r="B13" s="1" t="n">
        <v>45077</v>
      </c>
      <c r="C13" s="1" t="n">
        <v>46202</v>
      </c>
      <c r="D13" t="inlineStr">
        <is>
          <t>KALMAR LÄN</t>
        </is>
      </c>
      <c r="E13" t="inlineStr">
        <is>
          <t>VIMMERBY</t>
        </is>
      </c>
      <c r="G13" t="n">
        <v>1.6</v>
      </c>
      <c r="H13" t="n">
        <v>0</v>
      </c>
      <c r="I13" t="n">
        <v>2</v>
      </c>
      <c r="J13" t="n">
        <v>1</v>
      </c>
      <c r="K13" t="n">
        <v>0</v>
      </c>
      <c r="L13" t="n">
        <v>0</v>
      </c>
      <c r="M13" t="n">
        <v>0</v>
      </c>
      <c r="N13" t="n">
        <v>0</v>
      </c>
      <c r="O13" t="n">
        <v>1</v>
      </c>
      <c r="P13" t="n">
        <v>0</v>
      </c>
      <c r="Q13" t="n">
        <v>3</v>
      </c>
      <c r="R13" s="2" t="inlineStr">
        <is>
          <t>Vedtrappmossa
Terpentinmossa
Vanlig rörsvepemossa</t>
        </is>
      </c>
      <c r="S13">
        <f>HYPERLINK("https://klasma.github.io/Logging_0884/artfynd/A 23602-2023 artfynd.xlsx", "A 23602-2023")</f>
        <v/>
      </c>
      <c r="T13">
        <f>HYPERLINK("https://klasma.github.io/Logging_0884/kartor/A 23602-2023 karta.png", "A 23602-2023")</f>
        <v/>
      </c>
      <c r="V13">
        <f>HYPERLINK("https://klasma.github.io/Logging_0884/klagomål/A 23602-2023 FSC-klagomål.docx", "A 23602-2023")</f>
        <v/>
      </c>
      <c r="W13">
        <f>HYPERLINK("https://klasma.github.io/Logging_0884/klagomålsmail/A 23602-2023 FSC-klagomål mail.docx", "A 23602-2023")</f>
        <v/>
      </c>
      <c r="X13">
        <f>HYPERLINK("https://klasma.github.io/Logging_0884/tillsyn/A 23602-2023 tillsynsbegäran.docx", "A 23602-2023")</f>
        <v/>
      </c>
      <c r="Y13">
        <f>HYPERLINK("https://klasma.github.io/Logging_0884/tillsynsmail/A 23602-2023 tillsynsbegäran mail.docx", "A 23602-2023")</f>
        <v/>
      </c>
    </row>
    <row r="14" ht="15" customHeight="1">
      <c r="A14" t="inlineStr">
        <is>
          <t>A 15427-2023</t>
        </is>
      </c>
      <c r="B14" s="1" t="n">
        <v>45020</v>
      </c>
      <c r="C14" s="1" t="n">
        <v>46202</v>
      </c>
      <c r="D14" t="inlineStr">
        <is>
          <t>KALMAR LÄN</t>
        </is>
      </c>
      <c r="E14" t="inlineStr">
        <is>
          <t>VIMMERBY</t>
        </is>
      </c>
      <c r="G14" t="n">
        <v>4.1</v>
      </c>
      <c r="H14" t="n">
        <v>0</v>
      </c>
      <c r="I14" t="n">
        <v>1</v>
      </c>
      <c r="J14" t="n">
        <v>2</v>
      </c>
      <c r="K14" t="n">
        <v>0</v>
      </c>
      <c r="L14" t="n">
        <v>0</v>
      </c>
      <c r="M14" t="n">
        <v>0</v>
      </c>
      <c r="N14" t="n">
        <v>0</v>
      </c>
      <c r="O14" t="n">
        <v>2</v>
      </c>
      <c r="P14" t="n">
        <v>0</v>
      </c>
      <c r="Q14" t="n">
        <v>3</v>
      </c>
      <c r="R14" s="2" t="inlineStr">
        <is>
          <t>Slåtterfibbla
Solvända
Strävlosta</t>
        </is>
      </c>
      <c r="S14">
        <f>HYPERLINK("https://klasma.github.io/Logging_0884/artfynd/A 15427-2023 artfynd.xlsx", "A 15427-2023")</f>
        <v/>
      </c>
      <c r="T14">
        <f>HYPERLINK("https://klasma.github.io/Logging_0884/kartor/A 15427-2023 karta.png", "A 15427-2023")</f>
        <v/>
      </c>
      <c r="V14">
        <f>HYPERLINK("https://klasma.github.io/Logging_0884/klagomål/A 15427-2023 FSC-klagomål.docx", "A 15427-2023")</f>
        <v/>
      </c>
      <c r="W14">
        <f>HYPERLINK("https://klasma.github.io/Logging_0884/klagomålsmail/A 15427-2023 FSC-klagomål mail.docx", "A 15427-2023")</f>
        <v/>
      </c>
      <c r="X14">
        <f>HYPERLINK("https://klasma.github.io/Logging_0884/tillsyn/A 15427-2023 tillsynsbegäran.docx", "A 15427-2023")</f>
        <v/>
      </c>
      <c r="Y14">
        <f>HYPERLINK("https://klasma.github.io/Logging_0884/tillsynsmail/A 15427-2023 tillsynsbegäran mail.docx", "A 15427-2023")</f>
        <v/>
      </c>
    </row>
    <row r="15" ht="15" customHeight="1">
      <c r="A15" t="inlineStr">
        <is>
          <t>A 57053-2025</t>
        </is>
      </c>
      <c r="B15" s="1" t="n">
        <v>45979</v>
      </c>
      <c r="C15" s="1" t="n">
        <v>46202</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14426-2026</t>
        </is>
      </c>
      <c r="B16" s="1" t="n">
        <v>46100</v>
      </c>
      <c r="C16" s="1" t="n">
        <v>46202</v>
      </c>
      <c r="D16" t="inlineStr">
        <is>
          <t>KALMAR LÄN</t>
        </is>
      </c>
      <c r="E16" t="inlineStr">
        <is>
          <t>VIMMERBY</t>
        </is>
      </c>
      <c r="F16" t="inlineStr">
        <is>
          <t>Kyrkan</t>
        </is>
      </c>
      <c r="G16" t="n">
        <v>8.6</v>
      </c>
      <c r="H16" t="n">
        <v>1</v>
      </c>
      <c r="I16" t="n">
        <v>0</v>
      </c>
      <c r="J16" t="n">
        <v>1</v>
      </c>
      <c r="K16" t="n">
        <v>1</v>
      </c>
      <c r="L16" t="n">
        <v>0</v>
      </c>
      <c r="M16" t="n">
        <v>0</v>
      </c>
      <c r="N16" t="n">
        <v>0</v>
      </c>
      <c r="O16" t="n">
        <v>2</v>
      </c>
      <c r="P16" t="n">
        <v>1</v>
      </c>
      <c r="Q16" t="n">
        <v>3</v>
      </c>
      <c r="R16" s="2" t="inlineStr">
        <is>
          <t>Knärot
Tallticka
Linnea</t>
        </is>
      </c>
      <c r="S16">
        <f>HYPERLINK("https://klasma.github.io/Logging_0884/artfynd/A 14426-2026 artfynd.xlsx", "A 14426-2026")</f>
        <v/>
      </c>
      <c r="T16">
        <f>HYPERLINK("https://klasma.github.io/Logging_0884/kartor/A 14426-2026 karta.png", "A 14426-2026")</f>
        <v/>
      </c>
      <c r="U16">
        <f>HYPERLINK("https://klasma.github.io/Logging_0884/knärot/A 14426-2026 karta knärot.png", "A 14426-2026")</f>
        <v/>
      </c>
      <c r="V16">
        <f>HYPERLINK("https://klasma.github.io/Logging_0884/klagomål/A 14426-2026 FSC-klagomål.docx", "A 14426-2026")</f>
        <v/>
      </c>
      <c r="W16">
        <f>HYPERLINK("https://klasma.github.io/Logging_0884/klagomålsmail/A 14426-2026 FSC-klagomål mail.docx", "A 14426-2026")</f>
        <v/>
      </c>
      <c r="X16">
        <f>HYPERLINK("https://klasma.github.io/Logging_0884/tillsyn/A 14426-2026 tillsynsbegäran.docx", "A 14426-2026")</f>
        <v/>
      </c>
      <c r="Y16">
        <f>HYPERLINK("https://klasma.github.io/Logging_0884/tillsynsmail/A 14426-2026 tillsynsbegäran mail.docx", "A 14426-2026")</f>
        <v/>
      </c>
    </row>
    <row r="17" ht="15" customHeight="1">
      <c r="A17" t="inlineStr">
        <is>
          <t>A 14584-2025</t>
        </is>
      </c>
      <c r="B17" s="1" t="n">
        <v>45742</v>
      </c>
      <c r="C17" s="1" t="n">
        <v>46202</v>
      </c>
      <c r="D17" t="inlineStr">
        <is>
          <t>KALMAR LÄN</t>
        </is>
      </c>
      <c r="E17" t="inlineStr">
        <is>
          <t>VIMMERBY</t>
        </is>
      </c>
      <c r="G17" t="n">
        <v>5.4</v>
      </c>
      <c r="H17" t="n">
        <v>2</v>
      </c>
      <c r="I17" t="n">
        <v>1</v>
      </c>
      <c r="J17" t="n">
        <v>0</v>
      </c>
      <c r="K17" t="n">
        <v>1</v>
      </c>
      <c r="L17" t="n">
        <v>0</v>
      </c>
      <c r="M17" t="n">
        <v>0</v>
      </c>
      <c r="N17" t="n">
        <v>0</v>
      </c>
      <c r="O17" t="n">
        <v>1</v>
      </c>
      <c r="P17" t="n">
        <v>1</v>
      </c>
      <c r="Q17" t="n">
        <v>3</v>
      </c>
      <c r="R17" s="2" t="inlineStr">
        <is>
          <t>Knärot
Blåmossa
Spillkråka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46824-2025</t>
        </is>
      </c>
      <c r="B18" s="1" t="n">
        <v>45926</v>
      </c>
      <c r="C18" s="1" t="n">
        <v>46202</v>
      </c>
      <c r="D18" t="inlineStr">
        <is>
          <t>KALMAR LÄN</t>
        </is>
      </c>
      <c r="E18" t="inlineStr">
        <is>
          <t>VIMMERBY</t>
        </is>
      </c>
      <c r="G18" t="n">
        <v>2.8</v>
      </c>
      <c r="H18" t="n">
        <v>1</v>
      </c>
      <c r="I18" t="n">
        <v>0</v>
      </c>
      <c r="J18" t="n">
        <v>2</v>
      </c>
      <c r="K18" t="n">
        <v>1</v>
      </c>
      <c r="L18" t="n">
        <v>0</v>
      </c>
      <c r="M18" t="n">
        <v>0</v>
      </c>
      <c r="N18" t="n">
        <v>0</v>
      </c>
      <c r="O18" t="n">
        <v>3</v>
      </c>
      <c r="P18" t="n">
        <v>1</v>
      </c>
      <c r="Q18" t="n">
        <v>3</v>
      </c>
      <c r="R18" s="2" t="inlineStr">
        <is>
          <t>Knärot
Dropptaggsvamp
Fjällig taggsvamp s.str.</t>
        </is>
      </c>
      <c r="S18">
        <f>HYPERLINK("https://klasma.github.io/Logging_0884/artfynd/A 46824-2025 artfynd.xlsx", "A 46824-2025")</f>
        <v/>
      </c>
      <c r="T18">
        <f>HYPERLINK("https://klasma.github.io/Logging_0884/kartor/A 46824-2025 karta.png", "A 46824-2025")</f>
        <v/>
      </c>
      <c r="U18">
        <f>HYPERLINK("https://klasma.github.io/Logging_0884/knärot/A 46824-2025 karta knärot.png", "A 46824-2025")</f>
        <v/>
      </c>
      <c r="V18">
        <f>HYPERLINK("https://klasma.github.io/Logging_0884/klagomål/A 46824-2025 FSC-klagomål.docx", "A 46824-2025")</f>
        <v/>
      </c>
      <c r="W18">
        <f>HYPERLINK("https://klasma.github.io/Logging_0884/klagomålsmail/A 46824-2025 FSC-klagomål mail.docx", "A 46824-2025")</f>
        <v/>
      </c>
      <c r="X18">
        <f>HYPERLINK("https://klasma.github.io/Logging_0884/tillsyn/A 46824-2025 tillsynsbegäran.docx", "A 46824-2025")</f>
        <v/>
      </c>
      <c r="Y18">
        <f>HYPERLINK("https://klasma.github.io/Logging_0884/tillsynsmail/A 46824-2025 tillsynsbegäran mail.docx", "A 46824-2025")</f>
        <v/>
      </c>
    </row>
    <row r="19" ht="15" customHeight="1">
      <c r="A19" t="inlineStr">
        <is>
          <t>A 41398-2021</t>
        </is>
      </c>
      <c r="B19" s="1" t="n">
        <v>44424</v>
      </c>
      <c r="C19" s="1" t="n">
        <v>46202</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46202</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46202</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2518-2023</t>
        </is>
      </c>
      <c r="B22" s="1" t="n">
        <v>44943</v>
      </c>
      <c r="C22" s="1" t="n">
        <v>46202</v>
      </c>
      <c r="D22" t="inlineStr">
        <is>
          <t>KALMAR LÄN</t>
        </is>
      </c>
      <c r="E22" t="inlineStr">
        <is>
          <t>VIMMERBY</t>
        </is>
      </c>
      <c r="G22" t="n">
        <v>6.1</v>
      </c>
      <c r="H22" t="n">
        <v>1</v>
      </c>
      <c r="I22" t="n">
        <v>1</v>
      </c>
      <c r="J22" t="n">
        <v>0</v>
      </c>
      <c r="K22" t="n">
        <v>1</v>
      </c>
      <c r="L22" t="n">
        <v>0</v>
      </c>
      <c r="M22" t="n">
        <v>0</v>
      </c>
      <c r="N22" t="n">
        <v>0</v>
      </c>
      <c r="O22" t="n">
        <v>1</v>
      </c>
      <c r="P22" t="n">
        <v>1</v>
      </c>
      <c r="Q22" t="n">
        <v>2</v>
      </c>
      <c r="R22" s="2" t="inlineStr">
        <is>
          <t>Knärot
Grönpyrola</t>
        </is>
      </c>
      <c r="S22">
        <f>HYPERLINK("https://klasma.github.io/Logging_0884/artfynd/A 2518-2023 artfynd.xlsx", "A 2518-2023")</f>
        <v/>
      </c>
      <c r="T22">
        <f>HYPERLINK("https://klasma.github.io/Logging_0884/kartor/A 2518-2023 karta.png", "A 2518-2023")</f>
        <v/>
      </c>
      <c r="U22">
        <f>HYPERLINK("https://klasma.github.io/Logging_0884/knärot/A 2518-2023 karta knärot.png", "A 2518-2023")</f>
        <v/>
      </c>
      <c r="V22">
        <f>HYPERLINK("https://klasma.github.io/Logging_0884/klagomål/A 2518-2023 FSC-klagomål.docx", "A 2518-2023")</f>
        <v/>
      </c>
      <c r="W22">
        <f>HYPERLINK("https://klasma.github.io/Logging_0884/klagomålsmail/A 2518-2023 FSC-klagomål mail.docx", "A 2518-2023")</f>
        <v/>
      </c>
      <c r="X22">
        <f>HYPERLINK("https://klasma.github.io/Logging_0884/tillsyn/A 2518-2023 tillsynsbegäran.docx", "A 2518-2023")</f>
        <v/>
      </c>
      <c r="Y22">
        <f>HYPERLINK("https://klasma.github.io/Logging_0884/tillsynsmail/A 2518-2023 tillsynsbegäran mail.docx", "A 2518-2023")</f>
        <v/>
      </c>
    </row>
    <row r="23" ht="15" customHeight="1">
      <c r="A23" t="inlineStr">
        <is>
          <t>A 40083-2023</t>
        </is>
      </c>
      <c r="B23" s="1" t="n">
        <v>45168</v>
      </c>
      <c r="C23" s="1" t="n">
        <v>46202</v>
      </c>
      <c r="D23" t="inlineStr">
        <is>
          <t>KALMAR LÄN</t>
        </is>
      </c>
      <c r="E23" t="inlineStr">
        <is>
          <t>VIMMERBY</t>
        </is>
      </c>
      <c r="G23" t="n">
        <v>2.2</v>
      </c>
      <c r="H23" t="n">
        <v>2</v>
      </c>
      <c r="I23" t="n">
        <v>0</v>
      </c>
      <c r="J23" t="n">
        <v>1</v>
      </c>
      <c r="K23" t="n">
        <v>0</v>
      </c>
      <c r="L23" t="n">
        <v>0</v>
      </c>
      <c r="M23" t="n">
        <v>0</v>
      </c>
      <c r="N23" t="n">
        <v>0</v>
      </c>
      <c r="O23" t="n">
        <v>1</v>
      </c>
      <c r="P23" t="n">
        <v>0</v>
      </c>
      <c r="Q23" t="n">
        <v>2</v>
      </c>
      <c r="R23" s="2" t="inlineStr">
        <is>
          <t>Grönsångare
Revlummer</t>
        </is>
      </c>
      <c r="S23">
        <f>HYPERLINK("https://klasma.github.io/Logging_0884/artfynd/A 40083-2023 artfynd.xlsx", "A 40083-2023")</f>
        <v/>
      </c>
      <c r="T23">
        <f>HYPERLINK("https://klasma.github.io/Logging_0884/kartor/A 40083-2023 karta.png", "A 40083-2023")</f>
        <v/>
      </c>
      <c r="V23">
        <f>HYPERLINK("https://klasma.github.io/Logging_0884/klagomål/A 40083-2023 FSC-klagomål.docx", "A 40083-2023")</f>
        <v/>
      </c>
      <c r="W23">
        <f>HYPERLINK("https://klasma.github.io/Logging_0884/klagomålsmail/A 40083-2023 FSC-klagomål mail.docx", "A 40083-2023")</f>
        <v/>
      </c>
      <c r="X23">
        <f>HYPERLINK("https://klasma.github.io/Logging_0884/tillsyn/A 40083-2023 tillsynsbegäran.docx", "A 40083-2023")</f>
        <v/>
      </c>
      <c r="Y23">
        <f>HYPERLINK("https://klasma.github.io/Logging_0884/tillsynsmail/A 40083-2023 tillsynsbegäran mail.docx", "A 40083-2023")</f>
        <v/>
      </c>
      <c r="Z23">
        <f>HYPERLINK("https://klasma.github.io/Logging_0884/fåglar/A 40083-2023 prioriterade fågelarter.docx", "A 40083-2023")</f>
        <v/>
      </c>
    </row>
    <row r="24" ht="15" customHeight="1">
      <c r="A24" t="inlineStr">
        <is>
          <t>A 40084-2023</t>
        </is>
      </c>
      <c r="B24" s="1" t="n">
        <v>45168</v>
      </c>
      <c r="C24" s="1" t="n">
        <v>46202</v>
      </c>
      <c r="D24" t="inlineStr">
        <is>
          <t>KALMAR LÄN</t>
        </is>
      </c>
      <c r="E24" t="inlineStr">
        <is>
          <t>VIMMERBY</t>
        </is>
      </c>
      <c r="G24" t="n">
        <v>1.3</v>
      </c>
      <c r="H24" t="n">
        <v>2</v>
      </c>
      <c r="I24" t="n">
        <v>0</v>
      </c>
      <c r="J24" t="n">
        <v>2</v>
      </c>
      <c r="K24" t="n">
        <v>0</v>
      </c>
      <c r="L24" t="n">
        <v>0</v>
      </c>
      <c r="M24" t="n">
        <v>0</v>
      </c>
      <c r="N24" t="n">
        <v>0</v>
      </c>
      <c r="O24" t="n">
        <v>2</v>
      </c>
      <c r="P24" t="n">
        <v>0</v>
      </c>
      <c r="Q24" t="n">
        <v>2</v>
      </c>
      <c r="R24" s="2" t="inlineStr">
        <is>
          <t>Entita
Rödvingetrast</t>
        </is>
      </c>
      <c r="S24">
        <f>HYPERLINK("https://klasma.github.io/Logging_0884/artfynd/A 40084-2023 artfynd.xlsx", "A 40084-2023")</f>
        <v/>
      </c>
      <c r="T24">
        <f>HYPERLINK("https://klasma.github.io/Logging_0884/kartor/A 40084-2023 karta.png", "A 40084-2023")</f>
        <v/>
      </c>
      <c r="V24">
        <f>HYPERLINK("https://klasma.github.io/Logging_0884/klagomål/A 40084-2023 FSC-klagomål.docx", "A 40084-2023")</f>
        <v/>
      </c>
      <c r="W24">
        <f>HYPERLINK("https://klasma.github.io/Logging_0884/klagomålsmail/A 40084-2023 FSC-klagomål mail.docx", "A 40084-2023")</f>
        <v/>
      </c>
      <c r="X24">
        <f>HYPERLINK("https://klasma.github.io/Logging_0884/tillsyn/A 40084-2023 tillsynsbegäran.docx", "A 40084-2023")</f>
        <v/>
      </c>
      <c r="Y24">
        <f>HYPERLINK("https://klasma.github.io/Logging_0884/tillsynsmail/A 40084-2023 tillsynsbegäran mail.docx", "A 40084-2023")</f>
        <v/>
      </c>
      <c r="Z24">
        <f>HYPERLINK("https://klasma.github.io/Logging_0884/fåglar/A 40084-2023 prioriterade fågelarter.docx", "A 40084-2023")</f>
        <v/>
      </c>
    </row>
    <row r="25" ht="15" customHeight="1">
      <c r="A25" t="inlineStr">
        <is>
          <t>A 2604-2025</t>
        </is>
      </c>
      <c r="B25" s="1" t="n">
        <v>45674</v>
      </c>
      <c r="C25" s="1" t="n">
        <v>46202</v>
      </c>
      <c r="D25" t="inlineStr">
        <is>
          <t>KALMAR LÄN</t>
        </is>
      </c>
      <c r="E25" t="inlineStr">
        <is>
          <t>VIMMERBY</t>
        </is>
      </c>
      <c r="G25" t="n">
        <v>7.6</v>
      </c>
      <c r="H25" t="n">
        <v>0</v>
      </c>
      <c r="I25" t="n">
        <v>0</v>
      </c>
      <c r="J25" t="n">
        <v>2</v>
      </c>
      <c r="K25" t="n">
        <v>0</v>
      </c>
      <c r="L25" t="n">
        <v>0</v>
      </c>
      <c r="M25" t="n">
        <v>0</v>
      </c>
      <c r="N25" t="n">
        <v>0</v>
      </c>
      <c r="O25" t="n">
        <v>2</v>
      </c>
      <c r="P25" t="n">
        <v>0</v>
      </c>
      <c r="Q25" t="n">
        <v>2</v>
      </c>
      <c r="R25" s="2" t="inlineStr">
        <is>
          <t>Långfibbla
Spretfibbla</t>
        </is>
      </c>
      <c r="S25">
        <f>HYPERLINK("https://klasma.github.io/Logging_0884/artfynd/A 2604-2025 artfynd.xlsx", "A 2604-2025")</f>
        <v/>
      </c>
      <c r="T25">
        <f>HYPERLINK("https://klasma.github.io/Logging_0884/kartor/A 2604-2025 karta.png", "A 2604-2025")</f>
        <v/>
      </c>
      <c r="V25">
        <f>HYPERLINK("https://klasma.github.io/Logging_0884/klagomål/A 2604-2025 FSC-klagomål.docx", "A 2604-2025")</f>
        <v/>
      </c>
      <c r="W25">
        <f>HYPERLINK("https://klasma.github.io/Logging_0884/klagomålsmail/A 2604-2025 FSC-klagomål mail.docx", "A 2604-2025")</f>
        <v/>
      </c>
      <c r="X25">
        <f>HYPERLINK("https://klasma.github.io/Logging_0884/tillsyn/A 2604-2025 tillsynsbegäran.docx", "A 2604-2025")</f>
        <v/>
      </c>
      <c r="Y25">
        <f>HYPERLINK("https://klasma.github.io/Logging_0884/tillsynsmail/A 2604-2025 tillsynsbegäran mail.docx", "A 2604-2025")</f>
        <v/>
      </c>
    </row>
    <row r="26" ht="15" customHeight="1">
      <c r="A26" t="inlineStr">
        <is>
          <t>A 37930-2021</t>
        </is>
      </c>
      <c r="B26" s="1" t="n">
        <v>44403</v>
      </c>
      <c r="C26" s="1" t="n">
        <v>46202</v>
      </c>
      <c r="D26" t="inlineStr">
        <is>
          <t>KALMAR LÄN</t>
        </is>
      </c>
      <c r="E26" t="inlineStr">
        <is>
          <t>VIMMERBY</t>
        </is>
      </c>
      <c r="G26" t="n">
        <v>4.4</v>
      </c>
      <c r="H26" t="n">
        <v>1</v>
      </c>
      <c r="I26" t="n">
        <v>1</v>
      </c>
      <c r="J26" t="n">
        <v>1</v>
      </c>
      <c r="K26" t="n">
        <v>0</v>
      </c>
      <c r="L26" t="n">
        <v>0</v>
      </c>
      <c r="M26" t="n">
        <v>0</v>
      </c>
      <c r="N26" t="n">
        <v>0</v>
      </c>
      <c r="O26" t="n">
        <v>1</v>
      </c>
      <c r="P26" t="n">
        <v>0</v>
      </c>
      <c r="Q26" t="n">
        <v>2</v>
      </c>
      <c r="R26" s="2" t="inlineStr">
        <is>
          <t>Spindelört
Grön sköldmossa</t>
        </is>
      </c>
      <c r="S26">
        <f>HYPERLINK("https://klasma.github.io/Logging_0884/artfynd/A 37930-2021 artfynd.xlsx", "A 37930-2021")</f>
        <v/>
      </c>
      <c r="T26">
        <f>HYPERLINK("https://klasma.github.io/Logging_0884/kartor/A 37930-2021 karta.png", "A 37930-2021")</f>
        <v/>
      </c>
      <c r="V26">
        <f>HYPERLINK("https://klasma.github.io/Logging_0884/klagomål/A 37930-2021 FSC-klagomål.docx", "A 37930-2021")</f>
        <v/>
      </c>
      <c r="W26">
        <f>HYPERLINK("https://klasma.github.io/Logging_0884/klagomålsmail/A 37930-2021 FSC-klagomål mail.docx", "A 37930-2021")</f>
        <v/>
      </c>
      <c r="X26">
        <f>HYPERLINK("https://klasma.github.io/Logging_0884/tillsyn/A 37930-2021 tillsynsbegäran.docx", "A 37930-2021")</f>
        <v/>
      </c>
      <c r="Y26">
        <f>HYPERLINK("https://klasma.github.io/Logging_0884/tillsynsmail/A 37930-2021 tillsynsbegäran mail.docx", "A 37930-2021")</f>
        <v/>
      </c>
    </row>
    <row r="27" ht="15" customHeight="1">
      <c r="A27" t="inlineStr">
        <is>
          <t>A 17935-2025</t>
        </is>
      </c>
      <c r="B27" s="1" t="n">
        <v>45760</v>
      </c>
      <c r="C27" s="1" t="n">
        <v>46202</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46202</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42802-2025</t>
        </is>
      </c>
      <c r="B29" s="1" t="n">
        <v>45908</v>
      </c>
      <c r="C29" s="1" t="n">
        <v>46202</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14024-2023</t>
        </is>
      </c>
      <c r="B30" s="1" t="n">
        <v>45008</v>
      </c>
      <c r="C30" s="1" t="n">
        <v>46202</v>
      </c>
      <c r="D30" t="inlineStr">
        <is>
          <t>KALMAR LÄN</t>
        </is>
      </c>
      <c r="E30" t="inlineStr">
        <is>
          <t>VIMMERBY</t>
        </is>
      </c>
      <c r="G30" t="n">
        <v>3.2</v>
      </c>
      <c r="H30" t="n">
        <v>1</v>
      </c>
      <c r="I30" t="n">
        <v>1</v>
      </c>
      <c r="J30" t="n">
        <v>0</v>
      </c>
      <c r="K30" t="n">
        <v>1</v>
      </c>
      <c r="L30" t="n">
        <v>0</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22825-2023</t>
        </is>
      </c>
      <c r="B31" s="1" t="n">
        <v>45072</v>
      </c>
      <c r="C31" s="1" t="n">
        <v>46202</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25155-2026</t>
        </is>
      </c>
      <c r="B32" s="1" t="n">
        <v>46175</v>
      </c>
      <c r="C32" s="1" t="n">
        <v>46202</v>
      </c>
      <c r="D32" t="inlineStr">
        <is>
          <t>KALMAR LÄN</t>
        </is>
      </c>
      <c r="E32" t="inlineStr">
        <is>
          <t>VIMMERBY</t>
        </is>
      </c>
      <c r="G32" t="n">
        <v>2.9</v>
      </c>
      <c r="H32" t="n">
        <v>0</v>
      </c>
      <c r="I32" t="n">
        <v>1</v>
      </c>
      <c r="J32" t="n">
        <v>0</v>
      </c>
      <c r="K32" t="n">
        <v>1</v>
      </c>
      <c r="L32" t="n">
        <v>0</v>
      </c>
      <c r="M32" t="n">
        <v>0</v>
      </c>
      <c r="N32" t="n">
        <v>0</v>
      </c>
      <c r="O32" t="n">
        <v>1</v>
      </c>
      <c r="P32" t="n">
        <v>1</v>
      </c>
      <c r="Q32" t="n">
        <v>2</v>
      </c>
      <c r="R32" s="2" t="inlineStr">
        <is>
          <t>Ryl
Grönpyrola</t>
        </is>
      </c>
      <c r="S32">
        <f>HYPERLINK("https://klasma.github.io/Logging_0884/artfynd/A 25155-2026 artfynd.xlsx", "A 25155-2026")</f>
        <v/>
      </c>
      <c r="T32">
        <f>HYPERLINK("https://klasma.github.io/Logging_0884/kartor/A 25155-2026 karta.png", "A 25155-2026")</f>
        <v/>
      </c>
      <c r="V32">
        <f>HYPERLINK("https://klasma.github.io/Logging_0884/klagomål/A 25155-2026 FSC-klagomål.docx", "A 25155-2026")</f>
        <v/>
      </c>
      <c r="W32">
        <f>HYPERLINK("https://klasma.github.io/Logging_0884/klagomålsmail/A 25155-2026 FSC-klagomål mail.docx", "A 25155-2026")</f>
        <v/>
      </c>
      <c r="X32">
        <f>HYPERLINK("https://klasma.github.io/Logging_0884/tillsyn/A 25155-2026 tillsynsbegäran.docx", "A 25155-2026")</f>
        <v/>
      </c>
      <c r="Y32">
        <f>HYPERLINK("https://klasma.github.io/Logging_0884/tillsynsmail/A 25155-2026 tillsynsbegäran mail.docx", "A 25155-2026")</f>
        <v/>
      </c>
    </row>
    <row r="33" ht="15" customHeight="1">
      <c r="A33" t="inlineStr">
        <is>
          <t>A 25192-2026</t>
        </is>
      </c>
      <c r="B33" s="1" t="n">
        <v>46175</v>
      </c>
      <c r="C33" s="1" t="n">
        <v>46202</v>
      </c>
      <c r="D33" t="inlineStr">
        <is>
          <t>KALMAR LÄN</t>
        </is>
      </c>
      <c r="E33" t="inlineStr">
        <is>
          <t>VIMMERBY</t>
        </is>
      </c>
      <c r="G33" t="n">
        <v>3.2</v>
      </c>
      <c r="H33" t="n">
        <v>2</v>
      </c>
      <c r="I33" t="n">
        <v>0</v>
      </c>
      <c r="J33" t="n">
        <v>0</v>
      </c>
      <c r="K33" t="n">
        <v>0</v>
      </c>
      <c r="L33" t="n">
        <v>0</v>
      </c>
      <c r="M33" t="n">
        <v>0</v>
      </c>
      <c r="N33" t="n">
        <v>0</v>
      </c>
      <c r="O33" t="n">
        <v>0</v>
      </c>
      <c r="P33" t="n">
        <v>0</v>
      </c>
      <c r="Q33" t="n">
        <v>2</v>
      </c>
      <c r="R33" s="2" t="inlineStr">
        <is>
          <t>Fläcknycklar
Revlummer</t>
        </is>
      </c>
      <c r="S33">
        <f>HYPERLINK("https://klasma.github.io/Logging_0884/artfynd/A 25192-2026 artfynd.xlsx", "A 25192-2026")</f>
        <v/>
      </c>
      <c r="T33">
        <f>HYPERLINK("https://klasma.github.io/Logging_0884/kartor/A 25192-2026 karta.png", "A 25192-2026")</f>
        <v/>
      </c>
      <c r="V33">
        <f>HYPERLINK("https://klasma.github.io/Logging_0884/klagomål/A 25192-2026 FSC-klagomål.docx", "A 25192-2026")</f>
        <v/>
      </c>
      <c r="W33">
        <f>HYPERLINK("https://klasma.github.io/Logging_0884/klagomålsmail/A 25192-2026 FSC-klagomål mail.docx", "A 25192-2026")</f>
        <v/>
      </c>
      <c r="X33">
        <f>HYPERLINK("https://klasma.github.io/Logging_0884/tillsyn/A 25192-2026 tillsynsbegäran.docx", "A 25192-2026")</f>
        <v/>
      </c>
      <c r="Y33">
        <f>HYPERLINK("https://klasma.github.io/Logging_0884/tillsynsmail/A 25192-2026 tillsynsbegäran mail.docx", "A 25192-2026")</f>
        <v/>
      </c>
    </row>
    <row r="34" ht="15" customHeight="1">
      <c r="A34" t="inlineStr">
        <is>
          <t>A 22396-2025</t>
        </is>
      </c>
      <c r="B34" s="1" t="n">
        <v>45786</v>
      </c>
      <c r="C34" s="1" t="n">
        <v>46202</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row>
    <row r="35" ht="15" customHeight="1">
      <c r="A35" t="inlineStr">
        <is>
          <t>A 16288-2022</t>
        </is>
      </c>
      <c r="B35" s="1" t="n">
        <v>44670</v>
      </c>
      <c r="C35" s="1" t="n">
        <v>46202</v>
      </c>
      <c r="D35" t="inlineStr">
        <is>
          <t>KALMAR LÄN</t>
        </is>
      </c>
      <c r="E35" t="inlineStr">
        <is>
          <t>VIMMERBY</t>
        </is>
      </c>
      <c r="G35" t="n">
        <v>1.7</v>
      </c>
      <c r="H35" t="n">
        <v>0</v>
      </c>
      <c r="I35" t="n">
        <v>1</v>
      </c>
      <c r="J35" t="n">
        <v>0</v>
      </c>
      <c r="K35" t="n">
        <v>0</v>
      </c>
      <c r="L35" t="n">
        <v>0</v>
      </c>
      <c r="M35" t="n">
        <v>0</v>
      </c>
      <c r="N35" t="n">
        <v>0</v>
      </c>
      <c r="O35" t="n">
        <v>0</v>
      </c>
      <c r="P35" t="n">
        <v>0</v>
      </c>
      <c r="Q35" t="n">
        <v>1</v>
      </c>
      <c r="R35" s="2" t="inlineStr">
        <is>
          <t>Sotlav</t>
        </is>
      </c>
      <c r="S35">
        <f>HYPERLINK("https://klasma.github.io/Logging_0884/artfynd/A 16288-2022 artfynd.xlsx", "A 16288-2022")</f>
        <v/>
      </c>
      <c r="T35">
        <f>HYPERLINK("https://klasma.github.io/Logging_0884/kartor/A 16288-2022 karta.png", "A 16288-2022")</f>
        <v/>
      </c>
      <c r="V35">
        <f>HYPERLINK("https://klasma.github.io/Logging_0884/klagomål/A 16288-2022 FSC-klagomål.docx", "A 16288-2022")</f>
        <v/>
      </c>
      <c r="W35">
        <f>HYPERLINK("https://klasma.github.io/Logging_0884/klagomålsmail/A 16288-2022 FSC-klagomål mail.docx", "A 16288-2022")</f>
        <v/>
      </c>
      <c r="X35">
        <f>HYPERLINK("https://klasma.github.io/Logging_0884/tillsyn/A 16288-2022 tillsynsbegäran.docx", "A 16288-2022")</f>
        <v/>
      </c>
      <c r="Y35">
        <f>HYPERLINK("https://klasma.github.io/Logging_0884/tillsynsmail/A 16288-2022 tillsynsbegäran mail.docx", "A 16288-2022")</f>
        <v/>
      </c>
    </row>
    <row r="36" ht="15" customHeight="1">
      <c r="A36" t="inlineStr">
        <is>
          <t>A 47473-2021</t>
        </is>
      </c>
      <c r="B36" s="1" t="n">
        <v>44447</v>
      </c>
      <c r="C36" s="1" t="n">
        <v>46202</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5527-2022</t>
        </is>
      </c>
      <c r="B37" s="1" t="n">
        <v>44595</v>
      </c>
      <c r="C37" s="1" t="n">
        <v>46202</v>
      </c>
      <c r="D37" t="inlineStr">
        <is>
          <t>KALMAR LÄN</t>
        </is>
      </c>
      <c r="E37" t="inlineStr">
        <is>
          <t>VIMMERBY</t>
        </is>
      </c>
      <c r="G37" t="n">
        <v>3.6</v>
      </c>
      <c r="H37" t="n">
        <v>0</v>
      </c>
      <c r="I37" t="n">
        <v>0</v>
      </c>
      <c r="J37" t="n">
        <v>1</v>
      </c>
      <c r="K37" t="n">
        <v>0</v>
      </c>
      <c r="L37" t="n">
        <v>0</v>
      </c>
      <c r="M37" t="n">
        <v>0</v>
      </c>
      <c r="N37" t="n">
        <v>0</v>
      </c>
      <c r="O37" t="n">
        <v>1</v>
      </c>
      <c r="P37" t="n">
        <v>0</v>
      </c>
      <c r="Q37" t="n">
        <v>1</v>
      </c>
      <c r="R37" s="2" t="inlineStr">
        <is>
          <t>Koralltaggsvamp</t>
        </is>
      </c>
      <c r="S37">
        <f>HYPERLINK("https://klasma.github.io/Logging_0884/artfynd/A 5527-2022 artfynd.xlsx", "A 5527-2022")</f>
        <v/>
      </c>
      <c r="T37">
        <f>HYPERLINK("https://klasma.github.io/Logging_0884/kartor/A 5527-2022 karta.png", "A 5527-2022")</f>
        <v/>
      </c>
      <c r="V37">
        <f>HYPERLINK("https://klasma.github.io/Logging_0884/klagomål/A 5527-2022 FSC-klagomål.docx", "A 5527-2022")</f>
        <v/>
      </c>
      <c r="W37">
        <f>HYPERLINK("https://klasma.github.io/Logging_0884/klagomålsmail/A 5527-2022 FSC-klagomål mail.docx", "A 5527-2022")</f>
        <v/>
      </c>
      <c r="X37">
        <f>HYPERLINK("https://klasma.github.io/Logging_0884/tillsyn/A 5527-2022 tillsynsbegäran.docx", "A 5527-2022")</f>
        <v/>
      </c>
      <c r="Y37">
        <f>HYPERLINK("https://klasma.github.io/Logging_0884/tillsynsmail/A 5527-2022 tillsynsbegäran mail.docx", "A 5527-2022")</f>
        <v/>
      </c>
    </row>
    <row r="38" ht="15" customHeight="1">
      <c r="A38" t="inlineStr">
        <is>
          <t>A 22266-2023</t>
        </is>
      </c>
      <c r="B38" s="1" t="n">
        <v>45070</v>
      </c>
      <c r="C38" s="1" t="n">
        <v>46202</v>
      </c>
      <c r="D38" t="inlineStr">
        <is>
          <t>KALMAR LÄN</t>
        </is>
      </c>
      <c r="E38" t="inlineStr">
        <is>
          <t>VIMMERBY</t>
        </is>
      </c>
      <c r="G38" t="n">
        <v>0.5</v>
      </c>
      <c r="H38" t="n">
        <v>0</v>
      </c>
      <c r="I38" t="n">
        <v>1</v>
      </c>
      <c r="J38" t="n">
        <v>0</v>
      </c>
      <c r="K38" t="n">
        <v>0</v>
      </c>
      <c r="L38" t="n">
        <v>0</v>
      </c>
      <c r="M38" t="n">
        <v>0</v>
      </c>
      <c r="N38" t="n">
        <v>0</v>
      </c>
      <c r="O38" t="n">
        <v>0</v>
      </c>
      <c r="P38" t="n">
        <v>0</v>
      </c>
      <c r="Q38" t="n">
        <v>1</v>
      </c>
      <c r="R38" s="2" t="inlineStr">
        <is>
          <t>Vätteros</t>
        </is>
      </c>
      <c r="S38">
        <f>HYPERLINK("https://klasma.github.io/Logging_0884/artfynd/A 22266-2023 artfynd.xlsx", "A 22266-2023")</f>
        <v/>
      </c>
      <c r="T38">
        <f>HYPERLINK("https://klasma.github.io/Logging_0884/kartor/A 22266-2023 karta.png", "A 22266-2023")</f>
        <v/>
      </c>
      <c r="V38">
        <f>HYPERLINK("https://klasma.github.io/Logging_0884/klagomål/A 22266-2023 FSC-klagomål.docx", "A 22266-2023")</f>
        <v/>
      </c>
      <c r="W38">
        <f>HYPERLINK("https://klasma.github.io/Logging_0884/klagomålsmail/A 22266-2023 FSC-klagomål mail.docx", "A 22266-2023")</f>
        <v/>
      </c>
      <c r="X38">
        <f>HYPERLINK("https://klasma.github.io/Logging_0884/tillsyn/A 22266-2023 tillsynsbegäran.docx", "A 22266-2023")</f>
        <v/>
      </c>
      <c r="Y38">
        <f>HYPERLINK("https://klasma.github.io/Logging_0884/tillsynsmail/A 22266-2023 tillsynsbegäran mail.docx", "A 22266-2023")</f>
        <v/>
      </c>
    </row>
    <row r="39" ht="15" customHeight="1">
      <c r="A39" t="inlineStr">
        <is>
          <t>A 28852-2023</t>
        </is>
      </c>
      <c r="B39" s="1" t="n">
        <v>45104</v>
      </c>
      <c r="C39" s="1" t="n">
        <v>46202</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52301-2023</t>
        </is>
      </c>
      <c r="B40" s="1" t="n">
        <v>45224</v>
      </c>
      <c r="C40" s="1" t="n">
        <v>46202</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44515-2024</t>
        </is>
      </c>
      <c r="B41" s="1" t="n">
        <v>45574</v>
      </c>
      <c r="C41" s="1" t="n">
        <v>46202</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6358-2022</t>
        </is>
      </c>
      <c r="B42" s="1" t="n">
        <v>44600</v>
      </c>
      <c r="C42" s="1" t="n">
        <v>46202</v>
      </c>
      <c r="D42" t="inlineStr">
        <is>
          <t>KALMAR LÄN</t>
        </is>
      </c>
      <c r="E42" t="inlineStr">
        <is>
          <t>VIMMERBY</t>
        </is>
      </c>
      <c r="G42" t="n">
        <v>1.7</v>
      </c>
      <c r="H42" t="n">
        <v>1</v>
      </c>
      <c r="I42" t="n">
        <v>1</v>
      </c>
      <c r="J42" t="n">
        <v>0</v>
      </c>
      <c r="K42" t="n">
        <v>0</v>
      </c>
      <c r="L42" t="n">
        <v>0</v>
      </c>
      <c r="M42" t="n">
        <v>0</v>
      </c>
      <c r="N42" t="n">
        <v>0</v>
      </c>
      <c r="O42" t="n">
        <v>0</v>
      </c>
      <c r="P42" t="n">
        <v>0</v>
      </c>
      <c r="Q42" t="n">
        <v>1</v>
      </c>
      <c r="R42" s="2" t="inlineStr">
        <is>
          <t>Ekoxe</t>
        </is>
      </c>
      <c r="S42">
        <f>HYPERLINK("https://klasma.github.io/Logging_0884/artfynd/A 6358-2022 artfynd.xlsx", "A 6358-2022")</f>
        <v/>
      </c>
      <c r="T42">
        <f>HYPERLINK("https://klasma.github.io/Logging_0884/kartor/A 6358-2022 karta.png", "A 6358-2022")</f>
        <v/>
      </c>
      <c r="V42">
        <f>HYPERLINK("https://klasma.github.io/Logging_0884/klagomål/A 6358-2022 FSC-klagomål.docx", "A 6358-2022")</f>
        <v/>
      </c>
      <c r="W42">
        <f>HYPERLINK("https://klasma.github.io/Logging_0884/klagomålsmail/A 6358-2022 FSC-klagomål mail.docx", "A 6358-2022")</f>
        <v/>
      </c>
      <c r="X42">
        <f>HYPERLINK("https://klasma.github.io/Logging_0884/tillsyn/A 6358-2022 tillsynsbegäran.docx", "A 6358-2022")</f>
        <v/>
      </c>
      <c r="Y42">
        <f>HYPERLINK("https://klasma.github.io/Logging_0884/tillsynsmail/A 6358-2022 tillsynsbegäran mail.docx", "A 6358-2022")</f>
        <v/>
      </c>
    </row>
    <row r="43" ht="15" customHeight="1">
      <c r="A43" t="inlineStr">
        <is>
          <t>A 32985-2023</t>
        </is>
      </c>
      <c r="B43" s="1" t="n">
        <v>45125</v>
      </c>
      <c r="C43" s="1" t="n">
        <v>46202</v>
      </c>
      <c r="D43" t="inlineStr">
        <is>
          <t>KALMAR LÄN</t>
        </is>
      </c>
      <c r="E43" t="inlineStr">
        <is>
          <t>VIMMERBY</t>
        </is>
      </c>
      <c r="G43" t="n">
        <v>1.9</v>
      </c>
      <c r="H43" t="n">
        <v>0</v>
      </c>
      <c r="I43" t="n">
        <v>0</v>
      </c>
      <c r="J43" t="n">
        <v>0</v>
      </c>
      <c r="K43" t="n">
        <v>1</v>
      </c>
      <c r="L43" t="n">
        <v>0</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13015-2023</t>
        </is>
      </c>
      <c r="B44" s="1" t="n">
        <v>45002</v>
      </c>
      <c r="C44" s="1" t="n">
        <v>46202</v>
      </c>
      <c r="D44" t="inlineStr">
        <is>
          <t>KALMAR LÄN</t>
        </is>
      </c>
      <c r="E44" t="inlineStr">
        <is>
          <t>VIMMERBY</t>
        </is>
      </c>
      <c r="G44" t="n">
        <v>3.2</v>
      </c>
      <c r="H44" t="n">
        <v>0</v>
      </c>
      <c r="I44" t="n">
        <v>0</v>
      </c>
      <c r="J44" t="n">
        <v>0</v>
      </c>
      <c r="K44" t="n">
        <v>1</v>
      </c>
      <c r="L44" t="n">
        <v>0</v>
      </c>
      <c r="M44" t="n">
        <v>0</v>
      </c>
      <c r="N44" t="n">
        <v>0</v>
      </c>
      <c r="O44" t="n">
        <v>1</v>
      </c>
      <c r="P44" t="n">
        <v>1</v>
      </c>
      <c r="Q44" t="n">
        <v>1</v>
      </c>
      <c r="R44" s="2" t="inlineStr">
        <is>
          <t>Bredbrämad bastardsvärmare</t>
        </is>
      </c>
      <c r="S44">
        <f>HYPERLINK("https://klasma.github.io/Logging_0884/artfynd/A 13015-2023 artfynd.xlsx", "A 13015-2023")</f>
        <v/>
      </c>
      <c r="T44">
        <f>HYPERLINK("https://klasma.github.io/Logging_0884/kartor/A 13015-2023 karta.png", "A 13015-2023")</f>
        <v/>
      </c>
      <c r="V44">
        <f>HYPERLINK("https://klasma.github.io/Logging_0884/klagomål/A 13015-2023 FSC-klagomål.docx", "A 13015-2023")</f>
        <v/>
      </c>
      <c r="W44">
        <f>HYPERLINK("https://klasma.github.io/Logging_0884/klagomålsmail/A 13015-2023 FSC-klagomål mail.docx", "A 13015-2023")</f>
        <v/>
      </c>
      <c r="X44">
        <f>HYPERLINK("https://klasma.github.io/Logging_0884/tillsyn/A 13015-2023 tillsynsbegäran.docx", "A 13015-2023")</f>
        <v/>
      </c>
      <c r="Y44">
        <f>HYPERLINK("https://klasma.github.io/Logging_0884/tillsynsmail/A 13015-2023 tillsynsbegäran mail.docx", "A 13015-2023")</f>
        <v/>
      </c>
    </row>
    <row r="45" ht="15" customHeight="1">
      <c r="A45" t="inlineStr">
        <is>
          <t>A 15122-2024</t>
        </is>
      </c>
      <c r="B45" s="1" t="n">
        <v>45399</v>
      </c>
      <c r="C45" s="1" t="n">
        <v>46202</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17511-2024</t>
        </is>
      </c>
      <c r="B46" s="1" t="n">
        <v>45415</v>
      </c>
      <c r="C46" s="1" t="n">
        <v>46202</v>
      </c>
      <c r="D46" t="inlineStr">
        <is>
          <t>KALMAR LÄN</t>
        </is>
      </c>
      <c r="E46" t="inlineStr">
        <is>
          <t>VIMMERBY</t>
        </is>
      </c>
      <c r="G46" t="n">
        <v>5.3</v>
      </c>
      <c r="H46" t="n">
        <v>0</v>
      </c>
      <c r="I46" t="n">
        <v>0</v>
      </c>
      <c r="J46" t="n">
        <v>1</v>
      </c>
      <c r="K46" t="n">
        <v>0</v>
      </c>
      <c r="L46" t="n">
        <v>0</v>
      </c>
      <c r="M46" t="n">
        <v>0</v>
      </c>
      <c r="N46" t="n">
        <v>0</v>
      </c>
      <c r="O46" t="n">
        <v>1</v>
      </c>
      <c r="P46" t="n">
        <v>0</v>
      </c>
      <c r="Q46" t="n">
        <v>1</v>
      </c>
      <c r="R46" s="2" t="inlineStr">
        <is>
          <t>Sydspärgel</t>
        </is>
      </c>
      <c r="S46">
        <f>HYPERLINK("https://klasma.github.io/Logging_0884/artfynd/A 17511-2024 artfynd.xlsx", "A 17511-2024")</f>
        <v/>
      </c>
      <c r="T46">
        <f>HYPERLINK("https://klasma.github.io/Logging_0884/kartor/A 17511-2024 karta.png", "A 17511-2024")</f>
        <v/>
      </c>
      <c r="V46">
        <f>HYPERLINK("https://klasma.github.io/Logging_0884/klagomål/A 17511-2024 FSC-klagomål.docx", "A 17511-2024")</f>
        <v/>
      </c>
      <c r="W46">
        <f>HYPERLINK("https://klasma.github.io/Logging_0884/klagomålsmail/A 17511-2024 FSC-klagomål mail.docx", "A 17511-2024")</f>
        <v/>
      </c>
      <c r="X46">
        <f>HYPERLINK("https://klasma.github.io/Logging_0884/tillsyn/A 17511-2024 tillsynsbegäran.docx", "A 17511-2024")</f>
        <v/>
      </c>
      <c r="Y46">
        <f>HYPERLINK("https://klasma.github.io/Logging_0884/tillsynsmail/A 17511-2024 tillsynsbegäran mail.docx", "A 17511-2024")</f>
        <v/>
      </c>
    </row>
    <row r="47" ht="15" customHeight="1">
      <c r="A47" t="inlineStr">
        <is>
          <t>A 33436-2021</t>
        </is>
      </c>
      <c r="B47" s="1" t="n">
        <v>44377</v>
      </c>
      <c r="C47" s="1" t="n">
        <v>46202</v>
      </c>
      <c r="D47" t="inlineStr">
        <is>
          <t>KALMAR LÄN</t>
        </is>
      </c>
      <c r="E47" t="inlineStr">
        <is>
          <t>VIMMERBY</t>
        </is>
      </c>
      <c r="G47" t="n">
        <v>11.8</v>
      </c>
      <c r="H47" t="n">
        <v>1</v>
      </c>
      <c r="I47" t="n">
        <v>0</v>
      </c>
      <c r="J47" t="n">
        <v>0</v>
      </c>
      <c r="K47" t="n">
        <v>1</v>
      </c>
      <c r="L47" t="n">
        <v>0</v>
      </c>
      <c r="M47" t="n">
        <v>0</v>
      </c>
      <c r="N47" t="n">
        <v>0</v>
      </c>
      <c r="O47" t="n">
        <v>1</v>
      </c>
      <c r="P47" t="n">
        <v>1</v>
      </c>
      <c r="Q47" t="n">
        <v>1</v>
      </c>
      <c r="R47" s="2" t="inlineStr">
        <is>
          <t>Knärot</t>
        </is>
      </c>
      <c r="S47">
        <f>HYPERLINK("https://klasma.github.io/Logging_0884/artfynd/A 33436-2021 artfynd.xlsx", "A 33436-2021")</f>
        <v/>
      </c>
      <c r="T47">
        <f>HYPERLINK("https://klasma.github.io/Logging_0884/kartor/A 33436-2021 karta.png", "A 33436-2021")</f>
        <v/>
      </c>
      <c r="U47">
        <f>HYPERLINK("https://klasma.github.io/Logging_0884/knärot/A 33436-2021 karta knärot.png", "A 33436-2021")</f>
        <v/>
      </c>
      <c r="V47">
        <f>HYPERLINK("https://klasma.github.io/Logging_0884/klagomål/A 33436-2021 FSC-klagomål.docx", "A 33436-2021")</f>
        <v/>
      </c>
      <c r="W47">
        <f>HYPERLINK("https://klasma.github.io/Logging_0884/klagomålsmail/A 33436-2021 FSC-klagomål mail.docx", "A 33436-2021")</f>
        <v/>
      </c>
      <c r="X47">
        <f>HYPERLINK("https://klasma.github.io/Logging_0884/tillsyn/A 33436-2021 tillsynsbegäran.docx", "A 33436-2021")</f>
        <v/>
      </c>
      <c r="Y47">
        <f>HYPERLINK("https://klasma.github.io/Logging_0884/tillsynsmail/A 33436-2021 tillsynsbegäran mail.docx", "A 33436-2021")</f>
        <v/>
      </c>
    </row>
    <row r="48" ht="15" customHeight="1">
      <c r="A48" t="inlineStr">
        <is>
          <t>A 53404-2025</t>
        </is>
      </c>
      <c r="B48" s="1" t="n">
        <v>45959</v>
      </c>
      <c r="C48" s="1" t="n">
        <v>46202</v>
      </c>
      <c r="D48" t="inlineStr">
        <is>
          <t>KALMAR LÄN</t>
        </is>
      </c>
      <c r="E48" t="inlineStr">
        <is>
          <t>VIMMERBY</t>
        </is>
      </c>
      <c r="G48" t="n">
        <v>6.4</v>
      </c>
      <c r="H48" t="n">
        <v>1</v>
      </c>
      <c r="I48" t="n">
        <v>0</v>
      </c>
      <c r="J48" t="n">
        <v>0</v>
      </c>
      <c r="K48" t="n">
        <v>1</v>
      </c>
      <c r="L48" t="n">
        <v>0</v>
      </c>
      <c r="M48" t="n">
        <v>0</v>
      </c>
      <c r="N48" t="n">
        <v>0</v>
      </c>
      <c r="O48" t="n">
        <v>1</v>
      </c>
      <c r="P48" t="n">
        <v>1</v>
      </c>
      <c r="Q48" t="n">
        <v>1</v>
      </c>
      <c r="R48" s="2" t="inlineStr">
        <is>
          <t>Knärot</t>
        </is>
      </c>
      <c r="S48">
        <f>HYPERLINK("https://klasma.github.io/Logging_0884/artfynd/A 53404-2025 artfynd.xlsx", "A 53404-2025")</f>
        <v/>
      </c>
      <c r="T48">
        <f>HYPERLINK("https://klasma.github.io/Logging_0884/kartor/A 53404-2025 karta.png", "A 53404-2025")</f>
        <v/>
      </c>
      <c r="U48">
        <f>HYPERLINK("https://klasma.github.io/Logging_0884/knärot/A 53404-2025 karta knärot.png", "A 53404-2025")</f>
        <v/>
      </c>
      <c r="V48">
        <f>HYPERLINK("https://klasma.github.io/Logging_0884/klagomål/A 53404-2025 FSC-klagomål.docx", "A 53404-2025")</f>
        <v/>
      </c>
      <c r="W48">
        <f>HYPERLINK("https://klasma.github.io/Logging_0884/klagomålsmail/A 53404-2025 FSC-klagomål mail.docx", "A 53404-2025")</f>
        <v/>
      </c>
      <c r="X48">
        <f>HYPERLINK("https://klasma.github.io/Logging_0884/tillsyn/A 53404-2025 tillsynsbegäran.docx", "A 53404-2025")</f>
        <v/>
      </c>
      <c r="Y48">
        <f>HYPERLINK("https://klasma.github.io/Logging_0884/tillsynsmail/A 53404-2025 tillsynsbegäran mail.docx", "A 53404-2025")</f>
        <v/>
      </c>
    </row>
    <row r="49" ht="15" customHeight="1">
      <c r="A49" t="inlineStr">
        <is>
          <t>A 57062-2025</t>
        </is>
      </c>
      <c r="B49" s="1" t="n">
        <v>45979</v>
      </c>
      <c r="C49" s="1" t="n">
        <v>46202</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61860-2024</t>
        </is>
      </c>
      <c r="B50" s="1" t="n">
        <v>45649</v>
      </c>
      <c r="C50" s="1" t="n">
        <v>46202</v>
      </c>
      <c r="D50" t="inlineStr">
        <is>
          <t>KALMAR LÄN</t>
        </is>
      </c>
      <c r="E50" t="inlineStr">
        <is>
          <t>VIMMERBY</t>
        </is>
      </c>
      <c r="G50" t="n">
        <v>4.4</v>
      </c>
      <c r="H50" t="n">
        <v>1</v>
      </c>
      <c r="I50" t="n">
        <v>0</v>
      </c>
      <c r="J50" t="n">
        <v>0</v>
      </c>
      <c r="K50" t="n">
        <v>1</v>
      </c>
      <c r="L50" t="n">
        <v>0</v>
      </c>
      <c r="M50" t="n">
        <v>0</v>
      </c>
      <c r="N50" t="n">
        <v>0</v>
      </c>
      <c r="O50" t="n">
        <v>1</v>
      </c>
      <c r="P50" t="n">
        <v>1</v>
      </c>
      <c r="Q50" t="n">
        <v>1</v>
      </c>
      <c r="R50" s="2" t="inlineStr">
        <is>
          <t>Knärot</t>
        </is>
      </c>
      <c r="S50">
        <f>HYPERLINK("https://klasma.github.io/Logging_0884/artfynd/A 61860-2024 artfynd.xlsx", "A 61860-2024")</f>
        <v/>
      </c>
      <c r="T50">
        <f>HYPERLINK("https://klasma.github.io/Logging_0884/kartor/A 61860-2024 karta.png", "A 61860-2024")</f>
        <v/>
      </c>
      <c r="U50">
        <f>HYPERLINK("https://klasma.github.io/Logging_0884/knärot/A 61860-2024 karta knärot.png", "A 61860-2024")</f>
        <v/>
      </c>
      <c r="V50">
        <f>HYPERLINK("https://klasma.github.io/Logging_0884/klagomål/A 61860-2024 FSC-klagomål.docx", "A 61860-2024")</f>
        <v/>
      </c>
      <c r="W50">
        <f>HYPERLINK("https://klasma.github.io/Logging_0884/klagomålsmail/A 61860-2024 FSC-klagomål mail.docx", "A 61860-2024")</f>
        <v/>
      </c>
      <c r="X50">
        <f>HYPERLINK("https://klasma.github.io/Logging_0884/tillsyn/A 61860-2024 tillsynsbegäran.docx", "A 61860-2024")</f>
        <v/>
      </c>
      <c r="Y50">
        <f>HYPERLINK("https://klasma.github.io/Logging_0884/tillsynsmail/A 61860-2024 tillsynsbegäran mail.docx", "A 61860-2024")</f>
        <v/>
      </c>
    </row>
    <row r="51" ht="15" customHeight="1">
      <c r="A51" t="inlineStr">
        <is>
          <t>A 1201-2025</t>
        </is>
      </c>
      <c r="B51" s="1" t="n">
        <v>45667</v>
      </c>
      <c r="C51" s="1" t="n">
        <v>46202</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47205-2021</t>
        </is>
      </c>
      <c r="B52" s="1" t="n">
        <v>44447</v>
      </c>
      <c r="C52" s="1" t="n">
        <v>46202</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v>
      </c>
      <c r="C53" s="1" t="n">
        <v>46202</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32607-2021</t>
        </is>
      </c>
      <c r="B54" s="1" t="n">
        <v>44375</v>
      </c>
      <c r="C54" s="1" t="n">
        <v>46202</v>
      </c>
      <c r="D54" t="inlineStr">
        <is>
          <t>KALMAR LÄN</t>
        </is>
      </c>
      <c r="E54" t="inlineStr">
        <is>
          <t>VIMMERBY</t>
        </is>
      </c>
      <c r="G54" t="n">
        <v>0.4</v>
      </c>
      <c r="H54" t="n">
        <v>0</v>
      </c>
      <c r="I54" t="n">
        <v>0</v>
      </c>
      <c r="J54" t="n">
        <v>0</v>
      </c>
      <c r="K54" t="n">
        <v>0</v>
      </c>
      <c r="L54" t="n">
        <v>0</v>
      </c>
      <c r="M54" t="n">
        <v>0</v>
      </c>
      <c r="N54" t="n">
        <v>0</v>
      </c>
      <c r="O54" t="n">
        <v>0</v>
      </c>
      <c r="P54" t="n">
        <v>0</v>
      </c>
      <c r="Q54" t="n">
        <v>0</v>
      </c>
      <c r="R54" s="2" t="inlineStr"/>
    </row>
    <row r="55" ht="15" customHeight="1">
      <c r="A55" t="inlineStr">
        <is>
          <t>A 8908-2022</t>
        </is>
      </c>
      <c r="B55" s="1" t="n">
        <v>44614</v>
      </c>
      <c r="C55" s="1" t="n">
        <v>46202</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v>
      </c>
      <c r="C56" s="1" t="n">
        <v>46202</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16283-2022</t>
        </is>
      </c>
      <c r="B57" s="1" t="n">
        <v>44670</v>
      </c>
      <c r="C57" s="1" t="n">
        <v>46202</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38348-2021</t>
        </is>
      </c>
      <c r="B58" s="1" t="n">
        <v>44406</v>
      </c>
      <c r="C58" s="1" t="n">
        <v>46202</v>
      </c>
      <c r="D58" t="inlineStr">
        <is>
          <t>KALMAR LÄN</t>
        </is>
      </c>
      <c r="E58" t="inlineStr">
        <is>
          <t>VIMMERBY</t>
        </is>
      </c>
      <c r="G58" t="n">
        <v>2.2</v>
      </c>
      <c r="H58" t="n">
        <v>0</v>
      </c>
      <c r="I58" t="n">
        <v>0</v>
      </c>
      <c r="J58" t="n">
        <v>0</v>
      </c>
      <c r="K58" t="n">
        <v>0</v>
      </c>
      <c r="L58" t="n">
        <v>0</v>
      </c>
      <c r="M58" t="n">
        <v>0</v>
      </c>
      <c r="N58" t="n">
        <v>0</v>
      </c>
      <c r="O58" t="n">
        <v>0</v>
      </c>
      <c r="P58" t="n">
        <v>0</v>
      </c>
      <c r="Q58" t="n">
        <v>0</v>
      </c>
      <c r="R58" s="2" t="inlineStr"/>
    </row>
    <row r="59" ht="15" customHeight="1">
      <c r="A59" t="inlineStr">
        <is>
          <t>A 63926-2021</t>
        </is>
      </c>
      <c r="B59" s="1" t="n">
        <v>44509</v>
      </c>
      <c r="C59" s="1" t="n">
        <v>46202</v>
      </c>
      <c r="D59" t="inlineStr">
        <is>
          <t>KALMAR LÄN</t>
        </is>
      </c>
      <c r="E59" t="inlineStr">
        <is>
          <t>VIMMERBY</t>
        </is>
      </c>
      <c r="G59" t="n">
        <v>0.7</v>
      </c>
      <c r="H59" t="n">
        <v>0</v>
      </c>
      <c r="I59" t="n">
        <v>0</v>
      </c>
      <c r="J59" t="n">
        <v>0</v>
      </c>
      <c r="K59" t="n">
        <v>0</v>
      </c>
      <c r="L59" t="n">
        <v>0</v>
      </c>
      <c r="M59" t="n">
        <v>0</v>
      </c>
      <c r="N59" t="n">
        <v>0</v>
      </c>
      <c r="O59" t="n">
        <v>0</v>
      </c>
      <c r="P59" t="n">
        <v>0</v>
      </c>
      <c r="Q59" t="n">
        <v>0</v>
      </c>
      <c r="R59" s="2" t="inlineStr"/>
    </row>
    <row r="60" ht="15" customHeight="1">
      <c r="A60" t="inlineStr">
        <is>
          <t>A 56378-2021</t>
        </is>
      </c>
      <c r="B60" s="1" t="n">
        <v>44480</v>
      </c>
      <c r="C60" s="1" t="n">
        <v>46202</v>
      </c>
      <c r="D60" t="inlineStr">
        <is>
          <t>KALMAR LÄN</t>
        </is>
      </c>
      <c r="E60" t="inlineStr">
        <is>
          <t>VIMMERBY</t>
        </is>
      </c>
      <c r="G60" t="n">
        <v>1.1</v>
      </c>
      <c r="H60" t="n">
        <v>0</v>
      </c>
      <c r="I60" t="n">
        <v>0</v>
      </c>
      <c r="J60" t="n">
        <v>0</v>
      </c>
      <c r="K60" t="n">
        <v>0</v>
      </c>
      <c r="L60" t="n">
        <v>0</v>
      </c>
      <c r="M60" t="n">
        <v>0</v>
      </c>
      <c r="N60" t="n">
        <v>0</v>
      </c>
      <c r="O60" t="n">
        <v>0</v>
      </c>
      <c r="P60" t="n">
        <v>0</v>
      </c>
      <c r="Q60" t="n">
        <v>0</v>
      </c>
      <c r="R60" s="2" t="inlineStr"/>
    </row>
    <row r="61" ht="15" customHeight="1">
      <c r="A61" t="inlineStr">
        <is>
          <t>A 3426-2022</t>
        </is>
      </c>
      <c r="B61" s="1" t="n">
        <v>44585</v>
      </c>
      <c r="C61" s="1" t="n">
        <v>46202</v>
      </c>
      <c r="D61" t="inlineStr">
        <is>
          <t>KALMAR LÄN</t>
        </is>
      </c>
      <c r="E61" t="inlineStr">
        <is>
          <t>VIMMERBY</t>
        </is>
      </c>
      <c r="G61" t="n">
        <v>1.8</v>
      </c>
      <c r="H61" t="n">
        <v>0</v>
      </c>
      <c r="I61" t="n">
        <v>0</v>
      </c>
      <c r="J61" t="n">
        <v>0</v>
      </c>
      <c r="K61" t="n">
        <v>0</v>
      </c>
      <c r="L61" t="n">
        <v>0</v>
      </c>
      <c r="M61" t="n">
        <v>0</v>
      </c>
      <c r="N61" t="n">
        <v>0</v>
      </c>
      <c r="O61" t="n">
        <v>0</v>
      </c>
      <c r="P61" t="n">
        <v>0</v>
      </c>
      <c r="Q61" t="n">
        <v>0</v>
      </c>
      <c r="R61" s="2" t="inlineStr"/>
    </row>
    <row r="62" ht="15" customHeight="1">
      <c r="A62" t="inlineStr">
        <is>
          <t>A 40728-2022</t>
        </is>
      </c>
      <c r="B62" s="1" t="n">
        <v>44824</v>
      </c>
      <c r="C62" s="1" t="n">
        <v>46202</v>
      </c>
      <c r="D62" t="inlineStr">
        <is>
          <t>KALMAR LÄN</t>
        </is>
      </c>
      <c r="E62" t="inlineStr">
        <is>
          <t>VIMMERBY</t>
        </is>
      </c>
      <c r="G62" t="n">
        <v>1.1</v>
      </c>
      <c r="H62" t="n">
        <v>0</v>
      </c>
      <c r="I62" t="n">
        <v>0</v>
      </c>
      <c r="J62" t="n">
        <v>0</v>
      </c>
      <c r="K62" t="n">
        <v>0</v>
      </c>
      <c r="L62" t="n">
        <v>0</v>
      </c>
      <c r="M62" t="n">
        <v>0</v>
      </c>
      <c r="N62" t="n">
        <v>0</v>
      </c>
      <c r="O62" t="n">
        <v>0</v>
      </c>
      <c r="P62" t="n">
        <v>0</v>
      </c>
      <c r="Q62" t="n">
        <v>0</v>
      </c>
      <c r="R62" s="2" t="inlineStr"/>
    </row>
    <row r="63" ht="15" customHeight="1">
      <c r="A63" t="inlineStr">
        <is>
          <t>A 40073-2021</t>
        </is>
      </c>
      <c r="B63" s="1" t="n">
        <v>44418</v>
      </c>
      <c r="C63" s="1" t="n">
        <v>46202</v>
      </c>
      <c r="D63" t="inlineStr">
        <is>
          <t>KALMAR LÄN</t>
        </is>
      </c>
      <c r="E63" t="inlineStr">
        <is>
          <t>VIMMERBY</t>
        </is>
      </c>
      <c r="G63" t="n">
        <v>1</v>
      </c>
      <c r="H63" t="n">
        <v>0</v>
      </c>
      <c r="I63" t="n">
        <v>0</v>
      </c>
      <c r="J63" t="n">
        <v>0</v>
      </c>
      <c r="K63" t="n">
        <v>0</v>
      </c>
      <c r="L63" t="n">
        <v>0</v>
      </c>
      <c r="M63" t="n">
        <v>0</v>
      </c>
      <c r="N63" t="n">
        <v>0</v>
      </c>
      <c r="O63" t="n">
        <v>0</v>
      </c>
      <c r="P63" t="n">
        <v>0</v>
      </c>
      <c r="Q63" t="n">
        <v>0</v>
      </c>
      <c r="R63" s="2" t="inlineStr"/>
    </row>
    <row r="64" ht="15" customHeight="1">
      <c r="A64" t="inlineStr">
        <is>
          <t>A 33051-2022</t>
        </is>
      </c>
      <c r="B64" s="1" t="n">
        <v>44785</v>
      </c>
      <c r="C64" s="1" t="n">
        <v>46202</v>
      </c>
      <c r="D64" t="inlineStr">
        <is>
          <t>KALMAR LÄN</t>
        </is>
      </c>
      <c r="E64" t="inlineStr">
        <is>
          <t>VIMMERBY</t>
        </is>
      </c>
      <c r="G64" t="n">
        <v>0.3</v>
      </c>
      <c r="H64" t="n">
        <v>0</v>
      </c>
      <c r="I64" t="n">
        <v>0</v>
      </c>
      <c r="J64" t="n">
        <v>0</v>
      </c>
      <c r="K64" t="n">
        <v>0</v>
      </c>
      <c r="L64" t="n">
        <v>0</v>
      </c>
      <c r="M64" t="n">
        <v>0</v>
      </c>
      <c r="N64" t="n">
        <v>0</v>
      </c>
      <c r="O64" t="n">
        <v>0</v>
      </c>
      <c r="P64" t="n">
        <v>0</v>
      </c>
      <c r="Q64" t="n">
        <v>0</v>
      </c>
      <c r="R64" s="2" t="inlineStr"/>
    </row>
    <row r="65" ht="15" customHeight="1">
      <c r="A65" t="inlineStr">
        <is>
          <t>A 41438-2022</t>
        </is>
      </c>
      <c r="B65" s="1" t="n">
        <v>44826</v>
      </c>
      <c r="C65" s="1" t="n">
        <v>46202</v>
      </c>
      <c r="D65" t="inlineStr">
        <is>
          <t>KALMAR LÄN</t>
        </is>
      </c>
      <c r="E65" t="inlineStr">
        <is>
          <t>VIMMERBY</t>
        </is>
      </c>
      <c r="G65" t="n">
        <v>3.1</v>
      </c>
      <c r="H65" t="n">
        <v>0</v>
      </c>
      <c r="I65" t="n">
        <v>0</v>
      </c>
      <c r="J65" t="n">
        <v>0</v>
      </c>
      <c r="K65" t="n">
        <v>0</v>
      </c>
      <c r="L65" t="n">
        <v>0</v>
      </c>
      <c r="M65" t="n">
        <v>0</v>
      </c>
      <c r="N65" t="n">
        <v>0</v>
      </c>
      <c r="O65" t="n">
        <v>0</v>
      </c>
      <c r="P65" t="n">
        <v>0</v>
      </c>
      <c r="Q65" t="n">
        <v>0</v>
      </c>
      <c r="R65" s="2" t="inlineStr"/>
    </row>
    <row r="66" ht="15" customHeight="1">
      <c r="A66" t="inlineStr">
        <is>
          <t>A 2183-2022</t>
        </is>
      </c>
      <c r="B66" s="1" t="n">
        <v>44578</v>
      </c>
      <c r="C66" s="1" t="n">
        <v>46202</v>
      </c>
      <c r="D66" t="inlineStr">
        <is>
          <t>KALMAR LÄN</t>
        </is>
      </c>
      <c r="E66" t="inlineStr">
        <is>
          <t>VIMMERBY</t>
        </is>
      </c>
      <c r="G66" t="n">
        <v>4.8</v>
      </c>
      <c r="H66" t="n">
        <v>0</v>
      </c>
      <c r="I66" t="n">
        <v>0</v>
      </c>
      <c r="J66" t="n">
        <v>0</v>
      </c>
      <c r="K66" t="n">
        <v>0</v>
      </c>
      <c r="L66" t="n">
        <v>0</v>
      </c>
      <c r="M66" t="n">
        <v>0</v>
      </c>
      <c r="N66" t="n">
        <v>0</v>
      </c>
      <c r="O66" t="n">
        <v>0</v>
      </c>
      <c r="P66" t="n">
        <v>0</v>
      </c>
      <c r="Q66" t="n">
        <v>0</v>
      </c>
      <c r="R66" s="2" t="inlineStr"/>
    </row>
    <row r="67" ht="15" customHeight="1">
      <c r="A67" t="inlineStr">
        <is>
          <t>A 65670-2021</t>
        </is>
      </c>
      <c r="B67" s="1" t="n">
        <v>44516</v>
      </c>
      <c r="C67" s="1" t="n">
        <v>46202</v>
      </c>
      <c r="D67" t="inlineStr">
        <is>
          <t>KALMAR LÄN</t>
        </is>
      </c>
      <c r="E67" t="inlineStr">
        <is>
          <t>VIMMERBY</t>
        </is>
      </c>
      <c r="G67" t="n">
        <v>1.9</v>
      </c>
      <c r="H67" t="n">
        <v>0</v>
      </c>
      <c r="I67" t="n">
        <v>0</v>
      </c>
      <c r="J67" t="n">
        <v>0</v>
      </c>
      <c r="K67" t="n">
        <v>0</v>
      </c>
      <c r="L67" t="n">
        <v>0</v>
      </c>
      <c r="M67" t="n">
        <v>0</v>
      </c>
      <c r="N67" t="n">
        <v>0</v>
      </c>
      <c r="O67" t="n">
        <v>0</v>
      </c>
      <c r="P67" t="n">
        <v>0</v>
      </c>
      <c r="Q67" t="n">
        <v>0</v>
      </c>
      <c r="R67" s="2" t="inlineStr"/>
    </row>
    <row r="68" ht="15" customHeight="1">
      <c r="A68" t="inlineStr">
        <is>
          <t>A 50809-2022</t>
        </is>
      </c>
      <c r="B68" s="1" t="n">
        <v>44862</v>
      </c>
      <c r="C68" s="1" t="n">
        <v>46202</v>
      </c>
      <c r="D68" t="inlineStr">
        <is>
          <t>KALMAR LÄN</t>
        </is>
      </c>
      <c r="E68" t="inlineStr">
        <is>
          <t>VIMMERBY</t>
        </is>
      </c>
      <c r="G68" t="n">
        <v>3.7</v>
      </c>
      <c r="H68" t="n">
        <v>0</v>
      </c>
      <c r="I68" t="n">
        <v>0</v>
      </c>
      <c r="J68" t="n">
        <v>0</v>
      </c>
      <c r="K68" t="n">
        <v>0</v>
      </c>
      <c r="L68" t="n">
        <v>0</v>
      </c>
      <c r="M68" t="n">
        <v>0</v>
      </c>
      <c r="N68" t="n">
        <v>0</v>
      </c>
      <c r="O68" t="n">
        <v>0</v>
      </c>
      <c r="P68" t="n">
        <v>0</v>
      </c>
      <c r="Q68" t="n">
        <v>0</v>
      </c>
      <c r="R68" s="2" t="inlineStr"/>
    </row>
    <row r="69" ht="15" customHeight="1">
      <c r="A69" t="inlineStr">
        <is>
          <t>A 7049-2022</t>
        </is>
      </c>
      <c r="B69" s="1" t="n">
        <v>44603</v>
      </c>
      <c r="C69" s="1" t="n">
        <v>46202</v>
      </c>
      <c r="D69" t="inlineStr">
        <is>
          <t>KALMAR LÄN</t>
        </is>
      </c>
      <c r="E69" t="inlineStr">
        <is>
          <t>VIMMERBY</t>
        </is>
      </c>
      <c r="G69" t="n">
        <v>2.3</v>
      </c>
      <c r="H69" t="n">
        <v>0</v>
      </c>
      <c r="I69" t="n">
        <v>0</v>
      </c>
      <c r="J69" t="n">
        <v>0</v>
      </c>
      <c r="K69" t="n">
        <v>0</v>
      </c>
      <c r="L69" t="n">
        <v>0</v>
      </c>
      <c r="M69" t="n">
        <v>0</v>
      </c>
      <c r="N69" t="n">
        <v>0</v>
      </c>
      <c r="O69" t="n">
        <v>0</v>
      </c>
      <c r="P69" t="n">
        <v>0</v>
      </c>
      <c r="Q69" t="n">
        <v>0</v>
      </c>
      <c r="R69" s="2" t="inlineStr"/>
    </row>
    <row r="70" ht="15" customHeight="1">
      <c r="A70" t="inlineStr">
        <is>
          <t>A 4296-2022</t>
        </is>
      </c>
      <c r="B70" s="1" t="n">
        <v>44588</v>
      </c>
      <c r="C70" s="1" t="n">
        <v>46202</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38086-2021</t>
        </is>
      </c>
      <c r="B71" s="1" t="n">
        <v>44404</v>
      </c>
      <c r="C71" s="1" t="n">
        <v>46202</v>
      </c>
      <c r="D71" t="inlineStr">
        <is>
          <t>KALMAR LÄN</t>
        </is>
      </c>
      <c r="E71" t="inlineStr">
        <is>
          <t>VIMMERBY</t>
        </is>
      </c>
      <c r="G71" t="n">
        <v>4.4</v>
      </c>
      <c r="H71" t="n">
        <v>0</v>
      </c>
      <c r="I71" t="n">
        <v>0</v>
      </c>
      <c r="J71" t="n">
        <v>0</v>
      </c>
      <c r="K71" t="n">
        <v>0</v>
      </c>
      <c r="L71" t="n">
        <v>0</v>
      </c>
      <c r="M71" t="n">
        <v>0</v>
      </c>
      <c r="N71" t="n">
        <v>0</v>
      </c>
      <c r="O71" t="n">
        <v>0</v>
      </c>
      <c r="P71" t="n">
        <v>0</v>
      </c>
      <c r="Q71" t="n">
        <v>0</v>
      </c>
      <c r="R71" s="2" t="inlineStr"/>
    </row>
    <row r="72" ht="15" customHeight="1">
      <c r="A72" t="inlineStr">
        <is>
          <t>A 57416-2021</t>
        </is>
      </c>
      <c r="B72" s="1" t="n">
        <v>44483</v>
      </c>
      <c r="C72" s="1" t="n">
        <v>46202</v>
      </c>
      <c r="D72" t="inlineStr">
        <is>
          <t>KALMAR LÄN</t>
        </is>
      </c>
      <c r="E72" t="inlineStr">
        <is>
          <t>VIMMERBY</t>
        </is>
      </c>
      <c r="G72" t="n">
        <v>2.9</v>
      </c>
      <c r="H72" t="n">
        <v>0</v>
      </c>
      <c r="I72" t="n">
        <v>0</v>
      </c>
      <c r="J72" t="n">
        <v>0</v>
      </c>
      <c r="K72" t="n">
        <v>0</v>
      </c>
      <c r="L72" t="n">
        <v>0</v>
      </c>
      <c r="M72" t="n">
        <v>0</v>
      </c>
      <c r="N72" t="n">
        <v>0</v>
      </c>
      <c r="O72" t="n">
        <v>0</v>
      </c>
      <c r="P72" t="n">
        <v>0</v>
      </c>
      <c r="Q72" t="n">
        <v>0</v>
      </c>
      <c r="R72" s="2" t="inlineStr"/>
    </row>
    <row r="73" ht="15" customHeight="1">
      <c r="A73" t="inlineStr">
        <is>
          <t>A 59791-2021</t>
        </is>
      </c>
      <c r="B73" s="1" t="n">
        <v>44494</v>
      </c>
      <c r="C73" s="1" t="n">
        <v>46202</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71626-2021</t>
        </is>
      </c>
      <c r="B74" s="1" t="n">
        <v>44542</v>
      </c>
      <c r="C74" s="1" t="n">
        <v>46202</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33829-2022</t>
        </is>
      </c>
      <c r="B75" s="1" t="n">
        <v>44790</v>
      </c>
      <c r="C75" s="1" t="n">
        <v>46202</v>
      </c>
      <c r="D75" t="inlineStr">
        <is>
          <t>KALMAR LÄN</t>
        </is>
      </c>
      <c r="E75" t="inlineStr">
        <is>
          <t>VIMMERBY</t>
        </is>
      </c>
      <c r="G75" t="n">
        <v>1.6</v>
      </c>
      <c r="H75" t="n">
        <v>0</v>
      </c>
      <c r="I75" t="n">
        <v>0</v>
      </c>
      <c r="J75" t="n">
        <v>0</v>
      </c>
      <c r="K75" t="n">
        <v>0</v>
      </c>
      <c r="L75" t="n">
        <v>0</v>
      </c>
      <c r="M75" t="n">
        <v>0</v>
      </c>
      <c r="N75" t="n">
        <v>0</v>
      </c>
      <c r="O75" t="n">
        <v>0</v>
      </c>
      <c r="P75" t="n">
        <v>0</v>
      </c>
      <c r="Q75" t="n">
        <v>0</v>
      </c>
      <c r="R75" s="2" t="inlineStr"/>
    </row>
    <row r="76" ht="15" customHeight="1">
      <c r="A76" t="inlineStr">
        <is>
          <t>A 68840-2021</t>
        </is>
      </c>
      <c r="B76" s="1" t="n">
        <v>44530</v>
      </c>
      <c r="C76" s="1" t="n">
        <v>46202</v>
      </c>
      <c r="D76" t="inlineStr">
        <is>
          <t>KALMAR LÄN</t>
        </is>
      </c>
      <c r="E76" t="inlineStr">
        <is>
          <t>VIMMERBY</t>
        </is>
      </c>
      <c r="G76" t="n">
        <v>1.4</v>
      </c>
      <c r="H76" t="n">
        <v>0</v>
      </c>
      <c r="I76" t="n">
        <v>0</v>
      </c>
      <c r="J76" t="n">
        <v>0</v>
      </c>
      <c r="K76" t="n">
        <v>0</v>
      </c>
      <c r="L76" t="n">
        <v>0</v>
      </c>
      <c r="M76" t="n">
        <v>0</v>
      </c>
      <c r="N76" t="n">
        <v>0</v>
      </c>
      <c r="O76" t="n">
        <v>0</v>
      </c>
      <c r="P76" t="n">
        <v>0</v>
      </c>
      <c r="Q76" t="n">
        <v>0</v>
      </c>
      <c r="R76" s="2" t="inlineStr"/>
    </row>
    <row r="77" ht="15" customHeight="1">
      <c r="A77" t="inlineStr">
        <is>
          <t>A 64923-2021</t>
        </is>
      </c>
      <c r="B77" s="1" t="n">
        <v>44512</v>
      </c>
      <c r="C77" s="1" t="n">
        <v>46202</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4118-2022</t>
        </is>
      </c>
      <c r="B78" s="1" t="n">
        <v>44588</v>
      </c>
      <c r="C78" s="1" t="n">
        <v>46202</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4126-2022</t>
        </is>
      </c>
      <c r="B79" s="1" t="n">
        <v>44588</v>
      </c>
      <c r="C79" s="1" t="n">
        <v>46202</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33820-2022</t>
        </is>
      </c>
      <c r="B80" s="1" t="n">
        <v>44790</v>
      </c>
      <c r="C80" s="1" t="n">
        <v>46202</v>
      </c>
      <c r="D80" t="inlineStr">
        <is>
          <t>KALMAR LÄN</t>
        </is>
      </c>
      <c r="E80" t="inlineStr">
        <is>
          <t>VIMMERBY</t>
        </is>
      </c>
      <c r="G80" t="n">
        <v>3</v>
      </c>
      <c r="H80" t="n">
        <v>0</v>
      </c>
      <c r="I80" t="n">
        <v>0</v>
      </c>
      <c r="J80" t="n">
        <v>0</v>
      </c>
      <c r="K80" t="n">
        <v>0</v>
      </c>
      <c r="L80" t="n">
        <v>0</v>
      </c>
      <c r="M80" t="n">
        <v>0</v>
      </c>
      <c r="N80" t="n">
        <v>0</v>
      </c>
      <c r="O80" t="n">
        <v>0</v>
      </c>
      <c r="P80" t="n">
        <v>0</v>
      </c>
      <c r="Q80" t="n">
        <v>0</v>
      </c>
      <c r="R80" s="2" t="inlineStr"/>
    </row>
    <row r="81" ht="15" customHeight="1">
      <c r="A81" t="inlineStr">
        <is>
          <t>A 33824-2022</t>
        </is>
      </c>
      <c r="B81" s="1" t="n">
        <v>44790</v>
      </c>
      <c r="C81" s="1" t="n">
        <v>46202</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55297-2021</t>
        </is>
      </c>
      <c r="B82" s="1" t="n">
        <v>44475</v>
      </c>
      <c r="C82" s="1" t="n">
        <v>46202</v>
      </c>
      <c r="D82" t="inlineStr">
        <is>
          <t>KALMAR LÄN</t>
        </is>
      </c>
      <c r="E82" t="inlineStr">
        <is>
          <t>VIMMERBY</t>
        </is>
      </c>
      <c r="G82" t="n">
        <v>4.1</v>
      </c>
      <c r="H82" t="n">
        <v>0</v>
      </c>
      <c r="I82" t="n">
        <v>0</v>
      </c>
      <c r="J82" t="n">
        <v>0</v>
      </c>
      <c r="K82" t="n">
        <v>0</v>
      </c>
      <c r="L82" t="n">
        <v>0</v>
      </c>
      <c r="M82" t="n">
        <v>0</v>
      </c>
      <c r="N82" t="n">
        <v>0</v>
      </c>
      <c r="O82" t="n">
        <v>0</v>
      </c>
      <c r="P82" t="n">
        <v>0</v>
      </c>
      <c r="Q82" t="n">
        <v>0</v>
      </c>
      <c r="R82" s="2" t="inlineStr"/>
    </row>
    <row r="83" ht="15" customHeight="1">
      <c r="A83" t="inlineStr">
        <is>
          <t>A 35531-2021</t>
        </is>
      </c>
      <c r="B83" s="1" t="n">
        <v>44385</v>
      </c>
      <c r="C83" s="1" t="n">
        <v>46202</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38789-2021</t>
        </is>
      </c>
      <c r="B84" s="1" t="n">
        <v>44410</v>
      </c>
      <c r="C84" s="1" t="n">
        <v>46202</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16290-2022</t>
        </is>
      </c>
      <c r="B85" s="1" t="n">
        <v>44670</v>
      </c>
      <c r="C85" s="1" t="n">
        <v>46202</v>
      </c>
      <c r="D85" t="inlineStr">
        <is>
          <t>KALMAR LÄN</t>
        </is>
      </c>
      <c r="E85" t="inlineStr">
        <is>
          <t>VIMMERBY</t>
        </is>
      </c>
      <c r="G85" t="n">
        <v>1.2</v>
      </c>
      <c r="H85" t="n">
        <v>0</v>
      </c>
      <c r="I85" t="n">
        <v>0</v>
      </c>
      <c r="J85" t="n">
        <v>0</v>
      </c>
      <c r="K85" t="n">
        <v>0</v>
      </c>
      <c r="L85" t="n">
        <v>0</v>
      </c>
      <c r="M85" t="n">
        <v>0</v>
      </c>
      <c r="N85" t="n">
        <v>0</v>
      </c>
      <c r="O85" t="n">
        <v>0</v>
      </c>
      <c r="P85" t="n">
        <v>0</v>
      </c>
      <c r="Q85" t="n">
        <v>0</v>
      </c>
      <c r="R85" s="2" t="inlineStr"/>
    </row>
    <row r="86" ht="15" customHeight="1">
      <c r="A86" t="inlineStr">
        <is>
          <t>A 56389-2021</t>
        </is>
      </c>
      <c r="B86" s="1" t="n">
        <v>44480</v>
      </c>
      <c r="C86" s="1" t="n">
        <v>46202</v>
      </c>
      <c r="D86" t="inlineStr">
        <is>
          <t>KALMAR LÄN</t>
        </is>
      </c>
      <c r="E86" t="inlineStr">
        <is>
          <t>VIMMERBY</t>
        </is>
      </c>
      <c r="G86" t="n">
        <v>0.9</v>
      </c>
      <c r="H86" t="n">
        <v>0</v>
      </c>
      <c r="I86" t="n">
        <v>0</v>
      </c>
      <c r="J86" t="n">
        <v>0</v>
      </c>
      <c r="K86" t="n">
        <v>0</v>
      </c>
      <c r="L86" t="n">
        <v>0</v>
      </c>
      <c r="M86" t="n">
        <v>0</v>
      </c>
      <c r="N86" t="n">
        <v>0</v>
      </c>
      <c r="O86" t="n">
        <v>0</v>
      </c>
      <c r="P86" t="n">
        <v>0</v>
      </c>
      <c r="Q86" t="n">
        <v>0</v>
      </c>
      <c r="R86" s="2" t="inlineStr"/>
    </row>
    <row r="87" ht="15" customHeight="1">
      <c r="A87" t="inlineStr">
        <is>
          <t>A 35633-2021</t>
        </is>
      </c>
      <c r="B87" s="1" t="n">
        <v>44386</v>
      </c>
      <c r="C87" s="1" t="n">
        <v>46202</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56343-2021</t>
        </is>
      </c>
      <c r="B88" s="1" t="n">
        <v>44480</v>
      </c>
      <c r="C88" s="1" t="n">
        <v>46202</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67952-2021</t>
        </is>
      </c>
      <c r="B89" s="1" t="n">
        <v>44525</v>
      </c>
      <c r="C89" s="1" t="n">
        <v>46202</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15533-2022</t>
        </is>
      </c>
      <c r="B90" s="1" t="n">
        <v>44662</v>
      </c>
      <c r="C90" s="1" t="n">
        <v>46202</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165-2022</t>
        </is>
      </c>
      <c r="B91" s="1" t="n">
        <v>44564</v>
      </c>
      <c r="C91" s="1" t="n">
        <v>46202</v>
      </c>
      <c r="D91" t="inlineStr">
        <is>
          <t>KALMAR LÄN</t>
        </is>
      </c>
      <c r="E91" t="inlineStr">
        <is>
          <t>VIMMERBY</t>
        </is>
      </c>
      <c r="G91" t="n">
        <v>0.7</v>
      </c>
      <c r="H91" t="n">
        <v>0</v>
      </c>
      <c r="I91" t="n">
        <v>0</v>
      </c>
      <c r="J91" t="n">
        <v>0</v>
      </c>
      <c r="K91" t="n">
        <v>0</v>
      </c>
      <c r="L91" t="n">
        <v>0</v>
      </c>
      <c r="M91" t="n">
        <v>0</v>
      </c>
      <c r="N91" t="n">
        <v>0</v>
      </c>
      <c r="O91" t="n">
        <v>0</v>
      </c>
      <c r="P91" t="n">
        <v>0</v>
      </c>
      <c r="Q91" t="n">
        <v>0</v>
      </c>
      <c r="R91" s="2" t="inlineStr"/>
    </row>
    <row r="92" ht="15" customHeight="1">
      <c r="A92" t="inlineStr">
        <is>
          <t>A 25049-2022</t>
        </is>
      </c>
      <c r="B92" s="1" t="n">
        <v>44729</v>
      </c>
      <c r="C92" s="1" t="n">
        <v>46202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51972-2021</t>
        </is>
      </c>
      <c r="B93" s="1" t="n">
        <v>44463</v>
      </c>
      <c r="C93" s="1" t="n">
        <v>46202</v>
      </c>
      <c r="D93" t="inlineStr">
        <is>
          <t>KALMAR LÄN</t>
        </is>
      </c>
      <c r="E93" t="inlineStr">
        <is>
          <t>VIMMERBY</t>
        </is>
      </c>
      <c r="G93" t="n">
        <v>4.5</v>
      </c>
      <c r="H93" t="n">
        <v>0</v>
      </c>
      <c r="I93" t="n">
        <v>0</v>
      </c>
      <c r="J93" t="n">
        <v>0</v>
      </c>
      <c r="K93" t="n">
        <v>0</v>
      </c>
      <c r="L93" t="n">
        <v>0</v>
      </c>
      <c r="M93" t="n">
        <v>0</v>
      </c>
      <c r="N93" t="n">
        <v>0</v>
      </c>
      <c r="O93" t="n">
        <v>0</v>
      </c>
      <c r="P93" t="n">
        <v>0</v>
      </c>
      <c r="Q93" t="n">
        <v>0</v>
      </c>
      <c r="R93" s="2" t="inlineStr"/>
    </row>
    <row r="94" ht="15" customHeight="1">
      <c r="A94" t="inlineStr">
        <is>
          <t>A 11814-2022</t>
        </is>
      </c>
      <c r="B94" s="1" t="n">
        <v>44634</v>
      </c>
      <c r="C94" s="1" t="n">
        <v>46202</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34040-2021</t>
        </is>
      </c>
      <c r="B95" s="1" t="n">
        <v>44379</v>
      </c>
      <c r="C95" s="1" t="n">
        <v>46202</v>
      </c>
      <c r="D95" t="inlineStr">
        <is>
          <t>KALMAR LÄN</t>
        </is>
      </c>
      <c r="E95" t="inlineStr">
        <is>
          <t>VIMMERBY</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56385-2021</t>
        </is>
      </c>
      <c r="B96" s="1" t="n">
        <v>44480</v>
      </c>
      <c r="C96" s="1" t="n">
        <v>46202</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31053-2022</t>
        </is>
      </c>
      <c r="B97" s="1" t="n">
        <v>44769</v>
      </c>
      <c r="C97" s="1" t="n">
        <v>46202</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8454-2022</t>
        </is>
      </c>
      <c r="B98" s="1" t="n">
        <v>44612</v>
      </c>
      <c r="C98" s="1" t="n">
        <v>46202</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12107-2022</t>
        </is>
      </c>
      <c r="B99" s="1" t="n">
        <v>44636</v>
      </c>
      <c r="C99" s="1" t="n">
        <v>46202</v>
      </c>
      <c r="D99" t="inlineStr">
        <is>
          <t>KALMAR LÄN</t>
        </is>
      </c>
      <c r="E99" t="inlineStr">
        <is>
          <t>VIMMERBY</t>
        </is>
      </c>
      <c r="G99" t="n">
        <v>1.8</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46202</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31533-2022</t>
        </is>
      </c>
      <c r="B101" s="1" t="n">
        <v>44774</v>
      </c>
      <c r="C101" s="1" t="n">
        <v>46202</v>
      </c>
      <c r="D101" t="inlineStr">
        <is>
          <t>KALMAR LÄN</t>
        </is>
      </c>
      <c r="E101" t="inlineStr">
        <is>
          <t>VIMMERBY</t>
        </is>
      </c>
      <c r="G101" t="n">
        <v>2.5</v>
      </c>
      <c r="H101" t="n">
        <v>0</v>
      </c>
      <c r="I101" t="n">
        <v>0</v>
      </c>
      <c r="J101" t="n">
        <v>0</v>
      </c>
      <c r="K101" t="n">
        <v>0</v>
      </c>
      <c r="L101" t="n">
        <v>0</v>
      </c>
      <c r="M101" t="n">
        <v>0</v>
      </c>
      <c r="N101" t="n">
        <v>0</v>
      </c>
      <c r="O101" t="n">
        <v>0</v>
      </c>
      <c r="P101" t="n">
        <v>0</v>
      </c>
      <c r="Q101" t="n">
        <v>0</v>
      </c>
      <c r="R101" s="2" t="inlineStr"/>
    </row>
    <row r="102" ht="15" customHeight="1">
      <c r="A102" t="inlineStr">
        <is>
          <t>A 39225-2022</t>
        </is>
      </c>
      <c r="B102" s="1" t="n">
        <v>44817</v>
      </c>
      <c r="C102" s="1" t="n">
        <v>46202</v>
      </c>
      <c r="D102" t="inlineStr">
        <is>
          <t>KALMAR LÄN</t>
        </is>
      </c>
      <c r="E102" t="inlineStr">
        <is>
          <t>VIMMERBY</t>
        </is>
      </c>
      <c r="G102" t="n">
        <v>2.2</v>
      </c>
      <c r="H102" t="n">
        <v>0</v>
      </c>
      <c r="I102" t="n">
        <v>0</v>
      </c>
      <c r="J102" t="n">
        <v>0</v>
      </c>
      <c r="K102" t="n">
        <v>0</v>
      </c>
      <c r="L102" t="n">
        <v>0</v>
      </c>
      <c r="M102" t="n">
        <v>0</v>
      </c>
      <c r="N102" t="n">
        <v>0</v>
      </c>
      <c r="O102" t="n">
        <v>0</v>
      </c>
      <c r="P102" t="n">
        <v>0</v>
      </c>
      <c r="Q102" t="n">
        <v>0</v>
      </c>
      <c r="R102" s="2" t="inlineStr"/>
    </row>
    <row r="103" ht="15" customHeight="1">
      <c r="A103" t="inlineStr">
        <is>
          <t>A 17029-2022</t>
        </is>
      </c>
      <c r="B103" s="1" t="n">
        <v>44676</v>
      </c>
      <c r="C103" s="1" t="n">
        <v>46202</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7167-2022</t>
        </is>
      </c>
      <c r="B104" s="1" t="n">
        <v>44604</v>
      </c>
      <c r="C104" s="1" t="n">
        <v>46202</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46202</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46202</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65887-2021</t>
        </is>
      </c>
      <c r="B107" s="1" t="n">
        <v>44517</v>
      </c>
      <c r="C107" s="1" t="n">
        <v>46202</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33690-2022</t>
        </is>
      </c>
      <c r="B108" s="1" t="n">
        <v>44789</v>
      </c>
      <c r="C108" s="1" t="n">
        <v>46202</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40077-2021</t>
        </is>
      </c>
      <c r="B109" s="1" t="n">
        <v>44418</v>
      </c>
      <c r="C109" s="1" t="n">
        <v>46202</v>
      </c>
      <c r="D109" t="inlineStr">
        <is>
          <t>KALMAR LÄN</t>
        </is>
      </c>
      <c r="E109" t="inlineStr">
        <is>
          <t>VIMMERBY</t>
        </is>
      </c>
      <c r="G109" t="n">
        <v>2.9</v>
      </c>
      <c r="H109" t="n">
        <v>0</v>
      </c>
      <c r="I109" t="n">
        <v>0</v>
      </c>
      <c r="J109" t="n">
        <v>0</v>
      </c>
      <c r="K109" t="n">
        <v>0</v>
      </c>
      <c r="L109" t="n">
        <v>0</v>
      </c>
      <c r="M109" t="n">
        <v>0</v>
      </c>
      <c r="N109" t="n">
        <v>0</v>
      </c>
      <c r="O109" t="n">
        <v>0</v>
      </c>
      <c r="P109" t="n">
        <v>0</v>
      </c>
      <c r="Q109" t="n">
        <v>0</v>
      </c>
      <c r="R109" s="2" t="inlineStr"/>
    </row>
    <row r="110" ht="15" customHeight="1">
      <c r="A110" t="inlineStr">
        <is>
          <t>A 39959-2022</t>
        </is>
      </c>
      <c r="B110" s="1" t="n">
        <v>44819</v>
      </c>
      <c r="C110" s="1" t="n">
        <v>46202</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47769-2022</t>
        </is>
      </c>
      <c r="B111" s="1" t="n">
        <v>44854</v>
      </c>
      <c r="C111" s="1" t="n">
        <v>46202</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35198-2021</t>
        </is>
      </c>
      <c r="B112" s="1" t="n">
        <v>44377</v>
      </c>
      <c r="C112" s="1" t="n">
        <v>46202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35001-2021</t>
        </is>
      </c>
      <c r="B113" s="1" t="n">
        <v>44383</v>
      </c>
      <c r="C113" s="1" t="n">
        <v>46202</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55674-2021</t>
        </is>
      </c>
      <c r="B114" s="1" t="n">
        <v>44476</v>
      </c>
      <c r="C114" s="1" t="n">
        <v>46202</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63244-2021</t>
        </is>
      </c>
      <c r="B115" s="1" t="n">
        <v>44508</v>
      </c>
      <c r="C115" s="1" t="n">
        <v>46202</v>
      </c>
      <c r="D115" t="inlineStr">
        <is>
          <t>KALMAR LÄN</t>
        </is>
      </c>
      <c r="E115" t="inlineStr">
        <is>
          <t>VIMMERBY</t>
        </is>
      </c>
      <c r="F115" t="inlineStr">
        <is>
          <t>Övriga statliga verk och myndigheter</t>
        </is>
      </c>
      <c r="G115" t="n">
        <v>0.6</v>
      </c>
      <c r="H115" t="n">
        <v>0</v>
      </c>
      <c r="I115" t="n">
        <v>0</v>
      </c>
      <c r="J115" t="n">
        <v>0</v>
      </c>
      <c r="K115" t="n">
        <v>0</v>
      </c>
      <c r="L115" t="n">
        <v>0</v>
      </c>
      <c r="M115" t="n">
        <v>0</v>
      </c>
      <c r="N115" t="n">
        <v>0</v>
      </c>
      <c r="O115" t="n">
        <v>0</v>
      </c>
      <c r="P115" t="n">
        <v>0</v>
      </c>
      <c r="Q115" t="n">
        <v>0</v>
      </c>
      <c r="R115" s="2" t="inlineStr"/>
    </row>
    <row r="116" ht="15" customHeight="1">
      <c r="A116" t="inlineStr">
        <is>
          <t>A 23825-2022</t>
        </is>
      </c>
      <c r="B116" s="1" t="n">
        <v>44722</v>
      </c>
      <c r="C116" s="1" t="n">
        <v>46202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48377-2021</t>
        </is>
      </c>
      <c r="B117" s="1" t="n">
        <v>44451</v>
      </c>
      <c r="C117" s="1" t="n">
        <v>46202</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40472-2022</t>
        </is>
      </c>
      <c r="B118" s="1" t="n">
        <v>44823</v>
      </c>
      <c r="C118" s="1" t="n">
        <v>46202</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35316-2021</t>
        </is>
      </c>
      <c r="B119" s="1" t="n">
        <v>44384</v>
      </c>
      <c r="C119" s="1" t="n">
        <v>46202</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7917-2022</t>
        </is>
      </c>
      <c r="B120" s="1" t="n">
        <v>44608</v>
      </c>
      <c r="C120" s="1" t="n">
        <v>46202</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33831-2022</t>
        </is>
      </c>
      <c r="B121" s="1" t="n">
        <v>44790</v>
      </c>
      <c r="C121" s="1" t="n">
        <v>46202</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47208-2021</t>
        </is>
      </c>
      <c r="B122" s="1" t="n">
        <v>44447</v>
      </c>
      <c r="C122" s="1" t="n">
        <v>46202</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47708-2022</t>
        </is>
      </c>
      <c r="B123" s="1" t="n">
        <v>44854</v>
      </c>
      <c r="C123" s="1" t="n">
        <v>46202</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9918-2022</t>
        </is>
      </c>
      <c r="B124" s="1" t="n">
        <v>44620</v>
      </c>
      <c r="C124" s="1" t="n">
        <v>46202</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41056-2022</t>
        </is>
      </c>
      <c r="B125" s="1" t="n">
        <v>44824</v>
      </c>
      <c r="C125" s="1" t="n">
        <v>46202</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27455-2022</t>
        </is>
      </c>
      <c r="B126" s="1" t="n">
        <v>44742</v>
      </c>
      <c r="C126" s="1" t="n">
        <v>46202</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8453-2022</t>
        </is>
      </c>
      <c r="B127" s="1" t="n">
        <v>44612</v>
      </c>
      <c r="C127" s="1" t="n">
        <v>46202</v>
      </c>
      <c r="D127" t="inlineStr">
        <is>
          <t>KALMAR LÄN</t>
        </is>
      </c>
      <c r="E127" t="inlineStr">
        <is>
          <t>VIMMERBY</t>
        </is>
      </c>
      <c r="G127" t="n">
        <v>1.7</v>
      </c>
      <c r="H127" t="n">
        <v>0</v>
      </c>
      <c r="I127" t="n">
        <v>0</v>
      </c>
      <c r="J127" t="n">
        <v>0</v>
      </c>
      <c r="K127" t="n">
        <v>0</v>
      </c>
      <c r="L127" t="n">
        <v>0</v>
      </c>
      <c r="M127" t="n">
        <v>0</v>
      </c>
      <c r="N127" t="n">
        <v>0</v>
      </c>
      <c r="O127" t="n">
        <v>0</v>
      </c>
      <c r="P127" t="n">
        <v>0</v>
      </c>
      <c r="Q127" t="n">
        <v>0</v>
      </c>
      <c r="R127" s="2" t="inlineStr"/>
    </row>
    <row r="128" ht="15" customHeight="1">
      <c r="A128" t="inlineStr">
        <is>
          <t>A 52433-2021</t>
        </is>
      </c>
      <c r="B128" s="1" t="n">
        <v>44466</v>
      </c>
      <c r="C128" s="1" t="n">
        <v>46202</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50621-2022</t>
        </is>
      </c>
      <c r="B129" s="1" t="n">
        <v>44866</v>
      </c>
      <c r="C129" s="1" t="n">
        <v>46202</v>
      </c>
      <c r="D129" t="inlineStr">
        <is>
          <t>KALMAR LÄN</t>
        </is>
      </c>
      <c r="E129" t="inlineStr">
        <is>
          <t>VIMMERBY</t>
        </is>
      </c>
      <c r="F129" t="inlineStr">
        <is>
          <t>Övriga Aktiebolag</t>
        </is>
      </c>
      <c r="G129" t="n">
        <v>5.1</v>
      </c>
      <c r="H129" t="n">
        <v>0</v>
      </c>
      <c r="I129" t="n">
        <v>0</v>
      </c>
      <c r="J129" t="n">
        <v>0</v>
      </c>
      <c r="K129" t="n">
        <v>0</v>
      </c>
      <c r="L129" t="n">
        <v>0</v>
      </c>
      <c r="M129" t="n">
        <v>0</v>
      </c>
      <c r="N129" t="n">
        <v>0</v>
      </c>
      <c r="O129" t="n">
        <v>0</v>
      </c>
      <c r="P129" t="n">
        <v>0</v>
      </c>
      <c r="Q129" t="n">
        <v>0</v>
      </c>
      <c r="R129" s="2" t="inlineStr"/>
    </row>
    <row r="130" ht="15" customHeight="1">
      <c r="A130" t="inlineStr">
        <is>
          <t>A 54065-2021</t>
        </is>
      </c>
      <c r="B130" s="1" t="n">
        <v>44470</v>
      </c>
      <c r="C130" s="1" t="n">
        <v>46202</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32603-2021</t>
        </is>
      </c>
      <c r="B131" s="1" t="n">
        <v>44375</v>
      </c>
      <c r="C131" s="1" t="n">
        <v>46202</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31824-2022</t>
        </is>
      </c>
      <c r="B132" s="1" t="n">
        <v>44776</v>
      </c>
      <c r="C132" s="1" t="n">
        <v>46202</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36117-2021</t>
        </is>
      </c>
      <c r="B133" s="1" t="n">
        <v>44386</v>
      </c>
      <c r="C133" s="1" t="n">
        <v>46202</v>
      </c>
      <c r="D133" t="inlineStr">
        <is>
          <t>KALMAR LÄN</t>
        </is>
      </c>
      <c r="E133" t="inlineStr">
        <is>
          <t>VIMMERBY</t>
        </is>
      </c>
      <c r="G133" t="n">
        <v>0.7</v>
      </c>
      <c r="H133" t="n">
        <v>0</v>
      </c>
      <c r="I133" t="n">
        <v>0</v>
      </c>
      <c r="J133" t="n">
        <v>0</v>
      </c>
      <c r="K133" t="n">
        <v>0</v>
      </c>
      <c r="L133" t="n">
        <v>0</v>
      </c>
      <c r="M133" t="n">
        <v>0</v>
      </c>
      <c r="N133" t="n">
        <v>0</v>
      </c>
      <c r="O133" t="n">
        <v>0</v>
      </c>
      <c r="P133" t="n">
        <v>0</v>
      </c>
      <c r="Q133" t="n">
        <v>0</v>
      </c>
      <c r="R133" s="2" t="inlineStr"/>
    </row>
    <row r="134" ht="15" customHeight="1">
      <c r="A134" t="inlineStr">
        <is>
          <t>A 11733-2022</t>
        </is>
      </c>
      <c r="B134" s="1" t="n">
        <v>44634</v>
      </c>
      <c r="C134" s="1" t="n">
        <v>46202</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42521-2021</t>
        </is>
      </c>
      <c r="B135" s="1" t="n">
        <v>44427</v>
      </c>
      <c r="C135" s="1" t="n">
        <v>46202</v>
      </c>
      <c r="D135" t="inlineStr">
        <is>
          <t>KALMAR LÄN</t>
        </is>
      </c>
      <c r="E135" t="inlineStr">
        <is>
          <t>VIMMERBY</t>
        </is>
      </c>
      <c r="G135" t="n">
        <v>5.4</v>
      </c>
      <c r="H135" t="n">
        <v>0</v>
      </c>
      <c r="I135" t="n">
        <v>0</v>
      </c>
      <c r="J135" t="n">
        <v>0</v>
      </c>
      <c r="K135" t="n">
        <v>0</v>
      </c>
      <c r="L135" t="n">
        <v>0</v>
      </c>
      <c r="M135" t="n">
        <v>0</v>
      </c>
      <c r="N135" t="n">
        <v>0</v>
      </c>
      <c r="O135" t="n">
        <v>0</v>
      </c>
      <c r="P135" t="n">
        <v>0</v>
      </c>
      <c r="Q135" t="n">
        <v>0</v>
      </c>
      <c r="R135" s="2" t="inlineStr"/>
    </row>
    <row r="136" ht="15" customHeight="1">
      <c r="A136" t="inlineStr">
        <is>
          <t>A 12630-2023</t>
        </is>
      </c>
      <c r="B136" s="1" t="n">
        <v>45000</v>
      </c>
      <c r="C136" s="1" t="n">
        <v>46202</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7804-2022</t>
        </is>
      </c>
      <c r="B137" s="1" t="n">
        <v>44608</v>
      </c>
      <c r="C137" s="1" t="n">
        <v>46202</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39042-2022</t>
        </is>
      </c>
      <c r="B138" s="1" t="n">
        <v>44817</v>
      </c>
      <c r="C138" s="1" t="n">
        <v>46202</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21109-2024</t>
        </is>
      </c>
      <c r="B139" s="1" t="n">
        <v>45440</v>
      </c>
      <c r="C139" s="1" t="n">
        <v>46202</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30634-2024</t>
        </is>
      </c>
      <c r="B140" s="1" t="n">
        <v>45495</v>
      </c>
      <c r="C140" s="1" t="n">
        <v>46202</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40260-2024</t>
        </is>
      </c>
      <c r="B141" s="1" t="n">
        <v>45554</v>
      </c>
      <c r="C141" s="1" t="n">
        <v>46202</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4076-2022</t>
        </is>
      </c>
      <c r="B142" s="1" t="n">
        <v>44588</v>
      </c>
      <c r="C142" s="1" t="n">
        <v>46202</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4122-2022</t>
        </is>
      </c>
      <c r="B143" s="1" t="n">
        <v>44588</v>
      </c>
      <c r="C143" s="1" t="n">
        <v>46202</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10086-2022</t>
        </is>
      </c>
      <c r="B144" s="1" t="n">
        <v>44621</v>
      </c>
      <c r="C144" s="1" t="n">
        <v>46202</v>
      </c>
      <c r="D144" t="inlineStr">
        <is>
          <t>KALMAR LÄN</t>
        </is>
      </c>
      <c r="E144" t="inlineStr">
        <is>
          <t>VIMMERBY</t>
        </is>
      </c>
      <c r="G144" t="n">
        <v>1.2</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v>
      </c>
      <c r="C145" s="1" t="n">
        <v>46202</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59943-2023</t>
        </is>
      </c>
      <c r="B146" s="1" t="n">
        <v>45257</v>
      </c>
      <c r="C146" s="1" t="n">
        <v>46202</v>
      </c>
      <c r="D146" t="inlineStr">
        <is>
          <t>KALMAR LÄN</t>
        </is>
      </c>
      <c r="E146" t="inlineStr">
        <is>
          <t>VIMMERBY</t>
        </is>
      </c>
      <c r="G146" t="n">
        <v>6.4</v>
      </c>
      <c r="H146" t="n">
        <v>0</v>
      </c>
      <c r="I146" t="n">
        <v>0</v>
      </c>
      <c r="J146" t="n">
        <v>0</v>
      </c>
      <c r="K146" t="n">
        <v>0</v>
      </c>
      <c r="L146" t="n">
        <v>0</v>
      </c>
      <c r="M146" t="n">
        <v>0</v>
      </c>
      <c r="N146" t="n">
        <v>0</v>
      </c>
      <c r="O146" t="n">
        <v>0</v>
      </c>
      <c r="P146" t="n">
        <v>0</v>
      </c>
      <c r="Q146" t="n">
        <v>0</v>
      </c>
      <c r="R146" s="2" t="inlineStr"/>
    </row>
    <row r="147" ht="15" customHeight="1">
      <c r="A147" t="inlineStr">
        <is>
          <t>A 13180-2022</t>
        </is>
      </c>
      <c r="B147" s="1" t="n">
        <v>44644</v>
      </c>
      <c r="C147" s="1" t="n">
        <v>46202</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12325-2023</t>
        </is>
      </c>
      <c r="B148" s="1" t="n">
        <v>44999</v>
      </c>
      <c r="C148" s="1" t="n">
        <v>46202</v>
      </c>
      <c r="D148" t="inlineStr">
        <is>
          <t>KALMAR LÄN</t>
        </is>
      </c>
      <c r="E148" t="inlineStr">
        <is>
          <t>VIMMERBY</t>
        </is>
      </c>
      <c r="G148" t="n">
        <v>3.4</v>
      </c>
      <c r="H148" t="n">
        <v>0</v>
      </c>
      <c r="I148" t="n">
        <v>0</v>
      </c>
      <c r="J148" t="n">
        <v>0</v>
      </c>
      <c r="K148" t="n">
        <v>0</v>
      </c>
      <c r="L148" t="n">
        <v>0</v>
      </c>
      <c r="M148" t="n">
        <v>0</v>
      </c>
      <c r="N148" t="n">
        <v>0</v>
      </c>
      <c r="O148" t="n">
        <v>0</v>
      </c>
      <c r="P148" t="n">
        <v>0</v>
      </c>
      <c r="Q148" t="n">
        <v>0</v>
      </c>
      <c r="R148" s="2" t="inlineStr"/>
    </row>
    <row r="149" ht="15" customHeight="1">
      <c r="A149" t="inlineStr">
        <is>
          <t>A 30402-2023</t>
        </is>
      </c>
      <c r="B149" s="1" t="n">
        <v>45111</v>
      </c>
      <c r="C149" s="1" t="n">
        <v>46202</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1016-2024</t>
        </is>
      </c>
      <c r="B150" s="1" t="n">
        <v>45301</v>
      </c>
      <c r="C150" s="1" t="n">
        <v>46202</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72701-2021</t>
        </is>
      </c>
      <c r="B151" s="1" t="n">
        <v>44546</v>
      </c>
      <c r="C151" s="1" t="n">
        <v>46202</v>
      </c>
      <c r="D151" t="inlineStr">
        <is>
          <t>KALMAR LÄN</t>
        </is>
      </c>
      <c r="E151" t="inlineStr">
        <is>
          <t>VIMMERBY</t>
        </is>
      </c>
      <c r="G151" t="n">
        <v>0.7</v>
      </c>
      <c r="H151" t="n">
        <v>0</v>
      </c>
      <c r="I151" t="n">
        <v>0</v>
      </c>
      <c r="J151" t="n">
        <v>0</v>
      </c>
      <c r="K151" t="n">
        <v>0</v>
      </c>
      <c r="L151" t="n">
        <v>0</v>
      </c>
      <c r="M151" t="n">
        <v>0</v>
      </c>
      <c r="N151" t="n">
        <v>0</v>
      </c>
      <c r="O151" t="n">
        <v>0</v>
      </c>
      <c r="P151" t="n">
        <v>0</v>
      </c>
      <c r="Q151" t="n">
        <v>0</v>
      </c>
      <c r="R151" s="2" t="inlineStr"/>
    </row>
    <row r="152" ht="15" customHeight="1">
      <c r="A152" t="inlineStr">
        <is>
          <t>A 33374-2021</t>
        </is>
      </c>
      <c r="B152" s="1" t="n">
        <v>44377</v>
      </c>
      <c r="C152" s="1" t="n">
        <v>46202</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11609-2023</t>
        </is>
      </c>
      <c r="B153" s="1" t="n">
        <v>44994</v>
      </c>
      <c r="C153" s="1" t="n">
        <v>46202</v>
      </c>
      <c r="D153" t="inlineStr">
        <is>
          <t>KALMAR LÄN</t>
        </is>
      </c>
      <c r="E153" t="inlineStr">
        <is>
          <t>VIMMERBY</t>
        </is>
      </c>
      <c r="G153" t="n">
        <v>4.9</v>
      </c>
      <c r="H153" t="n">
        <v>0</v>
      </c>
      <c r="I153" t="n">
        <v>0</v>
      </c>
      <c r="J153" t="n">
        <v>0</v>
      </c>
      <c r="K153" t="n">
        <v>0</v>
      </c>
      <c r="L153" t="n">
        <v>0</v>
      </c>
      <c r="M153" t="n">
        <v>0</v>
      </c>
      <c r="N153" t="n">
        <v>0</v>
      </c>
      <c r="O153" t="n">
        <v>0</v>
      </c>
      <c r="P153" t="n">
        <v>0</v>
      </c>
      <c r="Q153" t="n">
        <v>0</v>
      </c>
      <c r="R153" s="2" t="inlineStr"/>
    </row>
    <row r="154" ht="15" customHeight="1">
      <c r="A154" t="inlineStr">
        <is>
          <t>A 33681-2022</t>
        </is>
      </c>
      <c r="B154" s="1" t="n">
        <v>44789</v>
      </c>
      <c r="C154" s="1" t="n">
        <v>46202</v>
      </c>
      <c r="D154" t="inlineStr">
        <is>
          <t>KALMAR LÄN</t>
        </is>
      </c>
      <c r="E154" t="inlineStr">
        <is>
          <t>VIMMERBY</t>
        </is>
      </c>
      <c r="G154" t="n">
        <v>3.2</v>
      </c>
      <c r="H154" t="n">
        <v>0</v>
      </c>
      <c r="I154" t="n">
        <v>0</v>
      </c>
      <c r="J154" t="n">
        <v>0</v>
      </c>
      <c r="K154" t="n">
        <v>0</v>
      </c>
      <c r="L154" t="n">
        <v>0</v>
      </c>
      <c r="M154" t="n">
        <v>0</v>
      </c>
      <c r="N154" t="n">
        <v>0</v>
      </c>
      <c r="O154" t="n">
        <v>0</v>
      </c>
      <c r="P154" t="n">
        <v>0</v>
      </c>
      <c r="Q154" t="n">
        <v>0</v>
      </c>
      <c r="R154" s="2" t="inlineStr"/>
    </row>
    <row r="155" ht="15" customHeight="1">
      <c r="A155" t="inlineStr">
        <is>
          <t>A 16983-2023</t>
        </is>
      </c>
      <c r="B155" s="1" t="n">
        <v>45033</v>
      </c>
      <c r="C155" s="1" t="n">
        <v>46202</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10807-2024</t>
        </is>
      </c>
      <c r="B156" s="1" t="n">
        <v>45369</v>
      </c>
      <c r="C156" s="1" t="n">
        <v>46202</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46144-2023</t>
        </is>
      </c>
      <c r="B157" s="1" t="n">
        <v>45196</v>
      </c>
      <c r="C157" s="1" t="n">
        <v>46202</v>
      </c>
      <c r="D157" t="inlineStr">
        <is>
          <t>KALMAR LÄN</t>
        </is>
      </c>
      <c r="E157" t="inlineStr">
        <is>
          <t>VIMMERBY</t>
        </is>
      </c>
      <c r="G157" t="n">
        <v>6.5</v>
      </c>
      <c r="H157" t="n">
        <v>0</v>
      </c>
      <c r="I157" t="n">
        <v>0</v>
      </c>
      <c r="J157" t="n">
        <v>0</v>
      </c>
      <c r="K157" t="n">
        <v>0</v>
      </c>
      <c r="L157" t="n">
        <v>0</v>
      </c>
      <c r="M157" t="n">
        <v>0</v>
      </c>
      <c r="N157" t="n">
        <v>0</v>
      </c>
      <c r="O157" t="n">
        <v>0</v>
      </c>
      <c r="P157" t="n">
        <v>0</v>
      </c>
      <c r="Q157" t="n">
        <v>0</v>
      </c>
      <c r="R157" s="2" t="inlineStr"/>
    </row>
    <row r="158" ht="15" customHeight="1">
      <c r="A158" t="inlineStr">
        <is>
          <t>A 5074-2023</t>
        </is>
      </c>
      <c r="B158" s="1" t="n">
        <v>44958</v>
      </c>
      <c r="C158" s="1" t="n">
        <v>46202</v>
      </c>
      <c r="D158" t="inlineStr">
        <is>
          <t>KALMAR LÄN</t>
        </is>
      </c>
      <c r="E158" t="inlineStr">
        <is>
          <t>VIMMERBY</t>
        </is>
      </c>
      <c r="G158" t="n">
        <v>1.6</v>
      </c>
      <c r="H158" t="n">
        <v>0</v>
      </c>
      <c r="I158" t="n">
        <v>0</v>
      </c>
      <c r="J158" t="n">
        <v>0</v>
      </c>
      <c r="K158" t="n">
        <v>0</v>
      </c>
      <c r="L158" t="n">
        <v>0</v>
      </c>
      <c r="M158" t="n">
        <v>0</v>
      </c>
      <c r="N158" t="n">
        <v>0</v>
      </c>
      <c r="O158" t="n">
        <v>0</v>
      </c>
      <c r="P158" t="n">
        <v>0</v>
      </c>
      <c r="Q158" t="n">
        <v>0</v>
      </c>
      <c r="R158" s="2" t="inlineStr"/>
    </row>
    <row r="159" ht="15" customHeight="1">
      <c r="A159" t="inlineStr">
        <is>
          <t>A 31382-2023</t>
        </is>
      </c>
      <c r="B159" s="1" t="n">
        <v>45114</v>
      </c>
      <c r="C159" s="1" t="n">
        <v>46202</v>
      </c>
      <c r="D159" t="inlineStr">
        <is>
          <t>KALMAR LÄN</t>
        </is>
      </c>
      <c r="E159" t="inlineStr">
        <is>
          <t>VIMMERBY</t>
        </is>
      </c>
      <c r="G159" t="n">
        <v>3.7</v>
      </c>
      <c r="H159" t="n">
        <v>0</v>
      </c>
      <c r="I159" t="n">
        <v>0</v>
      </c>
      <c r="J159" t="n">
        <v>0</v>
      </c>
      <c r="K159" t="n">
        <v>0</v>
      </c>
      <c r="L159" t="n">
        <v>0</v>
      </c>
      <c r="M159" t="n">
        <v>0</v>
      </c>
      <c r="N159" t="n">
        <v>0</v>
      </c>
      <c r="O159" t="n">
        <v>0</v>
      </c>
      <c r="P159" t="n">
        <v>0</v>
      </c>
      <c r="Q159" t="n">
        <v>0</v>
      </c>
      <c r="R159" s="2" t="inlineStr"/>
    </row>
    <row r="160" ht="15" customHeight="1">
      <c r="A160" t="inlineStr">
        <is>
          <t>A 33359-2021</t>
        </is>
      </c>
      <c r="B160" s="1" t="n">
        <v>44377</v>
      </c>
      <c r="C160" s="1" t="n">
        <v>46202</v>
      </c>
      <c r="D160" t="inlineStr">
        <is>
          <t>KALMAR LÄN</t>
        </is>
      </c>
      <c r="E160" t="inlineStr">
        <is>
          <t>VIMMERBY</t>
        </is>
      </c>
      <c r="F160" t="inlineStr">
        <is>
          <t>Kommuner</t>
        </is>
      </c>
      <c r="G160" t="n">
        <v>8</v>
      </c>
      <c r="H160" t="n">
        <v>0</v>
      </c>
      <c r="I160" t="n">
        <v>0</v>
      </c>
      <c r="J160" t="n">
        <v>0</v>
      </c>
      <c r="K160" t="n">
        <v>0</v>
      </c>
      <c r="L160" t="n">
        <v>0</v>
      </c>
      <c r="M160" t="n">
        <v>0</v>
      </c>
      <c r="N160" t="n">
        <v>0</v>
      </c>
      <c r="O160" t="n">
        <v>0</v>
      </c>
      <c r="P160" t="n">
        <v>0</v>
      </c>
      <c r="Q160" t="n">
        <v>0</v>
      </c>
      <c r="R160" s="2" t="inlineStr"/>
    </row>
    <row r="161" ht="15" customHeight="1">
      <c r="A161" t="inlineStr">
        <is>
          <t>A 51187-2023</t>
        </is>
      </c>
      <c r="B161" s="1" t="n">
        <v>45219</v>
      </c>
      <c r="C161" s="1" t="n">
        <v>46202</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56213-2024</t>
        </is>
      </c>
      <c r="B162" s="1" t="n">
        <v>45624</v>
      </c>
      <c r="C162" s="1" t="n">
        <v>46202</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54409-2024</t>
        </is>
      </c>
      <c r="B163" s="1" t="n">
        <v>45617</v>
      </c>
      <c r="C163" s="1" t="n">
        <v>46202</v>
      </c>
      <c r="D163" t="inlineStr">
        <is>
          <t>KALMAR LÄN</t>
        </is>
      </c>
      <c r="E163" t="inlineStr">
        <is>
          <t>VIMMERBY</t>
        </is>
      </c>
      <c r="G163" t="n">
        <v>4.3</v>
      </c>
      <c r="H163" t="n">
        <v>0</v>
      </c>
      <c r="I163" t="n">
        <v>0</v>
      </c>
      <c r="J163" t="n">
        <v>0</v>
      </c>
      <c r="K163" t="n">
        <v>0</v>
      </c>
      <c r="L163" t="n">
        <v>0</v>
      </c>
      <c r="M163" t="n">
        <v>0</v>
      </c>
      <c r="N163" t="n">
        <v>0</v>
      </c>
      <c r="O163" t="n">
        <v>0</v>
      </c>
      <c r="P163" t="n">
        <v>0</v>
      </c>
      <c r="Q163" t="n">
        <v>0</v>
      </c>
      <c r="R163" s="2" t="inlineStr"/>
    </row>
    <row r="164" ht="15" customHeight="1">
      <c r="A164" t="inlineStr">
        <is>
          <t>A 16825-2024</t>
        </is>
      </c>
      <c r="B164" s="1" t="n">
        <v>45411</v>
      </c>
      <c r="C164" s="1" t="n">
        <v>46202</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34588-2024</t>
        </is>
      </c>
      <c r="B165" s="1" t="n">
        <v>45526</v>
      </c>
      <c r="C165" s="1" t="n">
        <v>46202</v>
      </c>
      <c r="D165" t="inlineStr">
        <is>
          <t>KALMAR LÄN</t>
        </is>
      </c>
      <c r="E165" t="inlineStr">
        <is>
          <t>VIMMERBY</t>
        </is>
      </c>
      <c r="F165" t="inlineStr">
        <is>
          <t>Övriga Aktiebolag</t>
        </is>
      </c>
      <c r="G165" t="n">
        <v>3.3</v>
      </c>
      <c r="H165" t="n">
        <v>0</v>
      </c>
      <c r="I165" t="n">
        <v>0</v>
      </c>
      <c r="J165" t="n">
        <v>0</v>
      </c>
      <c r="K165" t="n">
        <v>0</v>
      </c>
      <c r="L165" t="n">
        <v>0</v>
      </c>
      <c r="M165" t="n">
        <v>0</v>
      </c>
      <c r="N165" t="n">
        <v>0</v>
      </c>
      <c r="O165" t="n">
        <v>0</v>
      </c>
      <c r="P165" t="n">
        <v>0</v>
      </c>
      <c r="Q165" t="n">
        <v>0</v>
      </c>
      <c r="R165" s="2" t="inlineStr"/>
    </row>
    <row r="166" ht="15" customHeight="1">
      <c r="A166" t="inlineStr">
        <is>
          <t>A 15715-2022</t>
        </is>
      </c>
      <c r="B166" s="1" t="n">
        <v>44663</v>
      </c>
      <c r="C166" s="1" t="n">
        <v>46202</v>
      </c>
      <c r="D166" t="inlineStr">
        <is>
          <t>KALMAR LÄN</t>
        </is>
      </c>
      <c r="E166" t="inlineStr">
        <is>
          <t>VIMMERBY</t>
        </is>
      </c>
      <c r="G166" t="n">
        <v>2.3</v>
      </c>
      <c r="H166" t="n">
        <v>0</v>
      </c>
      <c r="I166" t="n">
        <v>0</v>
      </c>
      <c r="J166" t="n">
        <v>0</v>
      </c>
      <c r="K166" t="n">
        <v>0</v>
      </c>
      <c r="L166" t="n">
        <v>0</v>
      </c>
      <c r="M166" t="n">
        <v>0</v>
      </c>
      <c r="N166" t="n">
        <v>0</v>
      </c>
      <c r="O166" t="n">
        <v>0</v>
      </c>
      <c r="P166" t="n">
        <v>0</v>
      </c>
      <c r="Q166" t="n">
        <v>0</v>
      </c>
      <c r="R166" s="2" t="inlineStr"/>
    </row>
    <row r="167" ht="15" customHeight="1">
      <c r="A167" t="inlineStr">
        <is>
          <t>A 7643-2022</t>
        </is>
      </c>
      <c r="B167" s="1" t="n">
        <v>44607</v>
      </c>
      <c r="C167" s="1" t="n">
        <v>46202</v>
      </c>
      <c r="D167" t="inlineStr">
        <is>
          <t>KALMAR LÄN</t>
        </is>
      </c>
      <c r="E167" t="inlineStr">
        <is>
          <t>VIMMERBY</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43093-2024</t>
        </is>
      </c>
      <c r="B168" s="1" t="n">
        <v>45567</v>
      </c>
      <c r="C168" s="1" t="n">
        <v>46202</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11027-2023</t>
        </is>
      </c>
      <c r="B169" s="1" t="n">
        <v>44991</v>
      </c>
      <c r="C169" s="1" t="n">
        <v>46202</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56022-2024</t>
        </is>
      </c>
      <c r="B170" s="1" t="n">
        <v>45623</v>
      </c>
      <c r="C170" s="1" t="n">
        <v>46202</v>
      </c>
      <c r="D170" t="inlineStr">
        <is>
          <t>KALMAR LÄN</t>
        </is>
      </c>
      <c r="E170" t="inlineStr">
        <is>
          <t>VIMMERBY</t>
        </is>
      </c>
      <c r="G170" t="n">
        <v>0.3</v>
      </c>
      <c r="H170" t="n">
        <v>0</v>
      </c>
      <c r="I170" t="n">
        <v>0</v>
      </c>
      <c r="J170" t="n">
        <v>0</v>
      </c>
      <c r="K170" t="n">
        <v>0</v>
      </c>
      <c r="L170" t="n">
        <v>0</v>
      </c>
      <c r="M170" t="n">
        <v>0</v>
      </c>
      <c r="N170" t="n">
        <v>0</v>
      </c>
      <c r="O170" t="n">
        <v>0</v>
      </c>
      <c r="P170" t="n">
        <v>0</v>
      </c>
      <c r="Q170" t="n">
        <v>0</v>
      </c>
      <c r="R170" s="2" t="inlineStr"/>
    </row>
    <row r="171" ht="15" customHeight="1">
      <c r="A171" t="inlineStr">
        <is>
          <t>A 53483-2022</t>
        </is>
      </c>
      <c r="B171" s="1" t="n">
        <v>44879</v>
      </c>
      <c r="C171" s="1" t="n">
        <v>46202</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18330-2023</t>
        </is>
      </c>
      <c r="B172" s="1" t="n">
        <v>45041</v>
      </c>
      <c r="C172" s="1" t="n">
        <v>46202</v>
      </c>
      <c r="D172" t="inlineStr">
        <is>
          <t>KALMAR LÄN</t>
        </is>
      </c>
      <c r="E172" t="inlineStr">
        <is>
          <t>VIMMERBY</t>
        </is>
      </c>
      <c r="G172" t="n">
        <v>1.7</v>
      </c>
      <c r="H172" t="n">
        <v>0</v>
      </c>
      <c r="I172" t="n">
        <v>0</v>
      </c>
      <c r="J172" t="n">
        <v>0</v>
      </c>
      <c r="K172" t="n">
        <v>0</v>
      </c>
      <c r="L172" t="n">
        <v>0</v>
      </c>
      <c r="M172" t="n">
        <v>0</v>
      </c>
      <c r="N172" t="n">
        <v>0</v>
      </c>
      <c r="O172" t="n">
        <v>0</v>
      </c>
      <c r="P172" t="n">
        <v>0</v>
      </c>
      <c r="Q172" t="n">
        <v>0</v>
      </c>
      <c r="R172" s="2" t="inlineStr"/>
    </row>
    <row r="173" ht="15" customHeight="1">
      <c r="A173" t="inlineStr">
        <is>
          <t>A 58962-2022</t>
        </is>
      </c>
      <c r="B173" s="1" t="n">
        <v>44903</v>
      </c>
      <c r="C173" s="1" t="n">
        <v>46202</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10837-2023</t>
        </is>
      </c>
      <c r="B174" s="1" t="n">
        <v>44991</v>
      </c>
      <c r="C174" s="1" t="n">
        <v>46202</v>
      </c>
      <c r="D174" t="inlineStr">
        <is>
          <t>KALMAR LÄN</t>
        </is>
      </c>
      <c r="E174" t="inlineStr">
        <is>
          <t>VIMMERBY</t>
        </is>
      </c>
      <c r="G174" t="n">
        <v>7.3</v>
      </c>
      <c r="H174" t="n">
        <v>0</v>
      </c>
      <c r="I174" t="n">
        <v>0</v>
      </c>
      <c r="J174" t="n">
        <v>0</v>
      </c>
      <c r="K174" t="n">
        <v>0</v>
      </c>
      <c r="L174" t="n">
        <v>0</v>
      </c>
      <c r="M174" t="n">
        <v>0</v>
      </c>
      <c r="N174" t="n">
        <v>0</v>
      </c>
      <c r="O174" t="n">
        <v>0</v>
      </c>
      <c r="P174" t="n">
        <v>0</v>
      </c>
      <c r="Q174" t="n">
        <v>0</v>
      </c>
      <c r="R174" s="2" t="inlineStr"/>
    </row>
    <row r="175" ht="15" customHeight="1">
      <c r="A175" t="inlineStr">
        <is>
          <t>A 10838-2023</t>
        </is>
      </c>
      <c r="B175" s="1" t="n">
        <v>44991</v>
      </c>
      <c r="C175" s="1" t="n">
        <v>46202</v>
      </c>
      <c r="D175" t="inlineStr">
        <is>
          <t>KALMAR LÄN</t>
        </is>
      </c>
      <c r="E175" t="inlineStr">
        <is>
          <t>VIMMERBY</t>
        </is>
      </c>
      <c r="G175" t="n">
        <v>5.1</v>
      </c>
      <c r="H175" t="n">
        <v>0</v>
      </c>
      <c r="I175" t="n">
        <v>0</v>
      </c>
      <c r="J175" t="n">
        <v>0</v>
      </c>
      <c r="K175" t="n">
        <v>0</v>
      </c>
      <c r="L175" t="n">
        <v>0</v>
      </c>
      <c r="M175" t="n">
        <v>0</v>
      </c>
      <c r="N175" t="n">
        <v>0</v>
      </c>
      <c r="O175" t="n">
        <v>0</v>
      </c>
      <c r="P175" t="n">
        <v>0</v>
      </c>
      <c r="Q175" t="n">
        <v>0</v>
      </c>
      <c r="R175" s="2" t="inlineStr"/>
    </row>
    <row r="176" ht="15" customHeight="1">
      <c r="A176" t="inlineStr">
        <is>
          <t>A 46921-2023</t>
        </is>
      </c>
      <c r="B176" s="1" t="n">
        <v>45201</v>
      </c>
      <c r="C176" s="1" t="n">
        <v>46202</v>
      </c>
      <c r="D176" t="inlineStr">
        <is>
          <t>KALMAR LÄN</t>
        </is>
      </c>
      <c r="E176" t="inlineStr">
        <is>
          <t>VIMMERBY</t>
        </is>
      </c>
      <c r="G176" t="n">
        <v>2.6</v>
      </c>
      <c r="H176" t="n">
        <v>0</v>
      </c>
      <c r="I176" t="n">
        <v>0</v>
      </c>
      <c r="J176" t="n">
        <v>0</v>
      </c>
      <c r="K176" t="n">
        <v>0</v>
      </c>
      <c r="L176" t="n">
        <v>0</v>
      </c>
      <c r="M176" t="n">
        <v>0</v>
      </c>
      <c r="N176" t="n">
        <v>0</v>
      </c>
      <c r="O176" t="n">
        <v>0</v>
      </c>
      <c r="P176" t="n">
        <v>0</v>
      </c>
      <c r="Q176" t="n">
        <v>0</v>
      </c>
      <c r="R176" s="2" t="inlineStr"/>
    </row>
    <row r="177" ht="15" customHeight="1">
      <c r="A177" t="inlineStr">
        <is>
          <t>A 14359-2025</t>
        </is>
      </c>
      <c r="B177" s="1" t="n">
        <v>45741</v>
      </c>
      <c r="C177" s="1" t="n">
        <v>46202</v>
      </c>
      <c r="D177" t="inlineStr">
        <is>
          <t>KALMAR LÄN</t>
        </is>
      </c>
      <c r="E177" t="inlineStr">
        <is>
          <t>VIMMERBY</t>
        </is>
      </c>
      <c r="G177" t="n">
        <v>2</v>
      </c>
      <c r="H177" t="n">
        <v>0</v>
      </c>
      <c r="I177" t="n">
        <v>0</v>
      </c>
      <c r="J177" t="n">
        <v>0</v>
      </c>
      <c r="K177" t="n">
        <v>0</v>
      </c>
      <c r="L177" t="n">
        <v>0</v>
      </c>
      <c r="M177" t="n">
        <v>0</v>
      </c>
      <c r="N177" t="n">
        <v>0</v>
      </c>
      <c r="O177" t="n">
        <v>0</v>
      </c>
      <c r="P177" t="n">
        <v>0</v>
      </c>
      <c r="Q177" t="n">
        <v>0</v>
      </c>
      <c r="R177" s="2" t="inlineStr"/>
    </row>
    <row r="178" ht="15" customHeight="1">
      <c r="A178" t="inlineStr">
        <is>
          <t>A 25236-2023</t>
        </is>
      </c>
      <c r="B178" s="1" t="n">
        <v>45086</v>
      </c>
      <c r="C178" s="1" t="n">
        <v>46202</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19162-2023</t>
        </is>
      </c>
      <c r="B179" s="1" t="n">
        <v>45048</v>
      </c>
      <c r="C179" s="1" t="n">
        <v>46202</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9475-2023</t>
        </is>
      </c>
      <c r="B180" s="1" t="n">
        <v>44981</v>
      </c>
      <c r="C180" s="1" t="n">
        <v>46202</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6082-2022</t>
        </is>
      </c>
      <c r="B181" s="1" t="n">
        <v>44599</v>
      </c>
      <c r="C181" s="1" t="n">
        <v>46202</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19537-2022</t>
        </is>
      </c>
      <c r="B182" s="1" t="n">
        <v>44693</v>
      </c>
      <c r="C182" s="1" t="n">
        <v>46202</v>
      </c>
      <c r="D182" t="inlineStr">
        <is>
          <t>KALMAR LÄN</t>
        </is>
      </c>
      <c r="E182" t="inlineStr">
        <is>
          <t>VIMMERBY</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2801-2023</t>
        </is>
      </c>
      <c r="B183" s="1" t="n">
        <v>44944</v>
      </c>
      <c r="C183" s="1" t="n">
        <v>46202</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5146-2024</t>
        </is>
      </c>
      <c r="B184" s="1" t="n">
        <v>45330</v>
      </c>
      <c r="C184" s="1" t="n">
        <v>46202</v>
      </c>
      <c r="D184" t="inlineStr">
        <is>
          <t>KALMAR LÄN</t>
        </is>
      </c>
      <c r="E184" t="inlineStr">
        <is>
          <t>VIMMERBY</t>
        </is>
      </c>
      <c r="G184" t="n">
        <v>5.3</v>
      </c>
      <c r="H184" t="n">
        <v>0</v>
      </c>
      <c r="I184" t="n">
        <v>0</v>
      </c>
      <c r="J184" t="n">
        <v>0</v>
      </c>
      <c r="K184" t="n">
        <v>0</v>
      </c>
      <c r="L184" t="n">
        <v>0</v>
      </c>
      <c r="M184" t="n">
        <v>0</v>
      </c>
      <c r="N184" t="n">
        <v>0</v>
      </c>
      <c r="O184" t="n">
        <v>0</v>
      </c>
      <c r="P184" t="n">
        <v>0</v>
      </c>
      <c r="Q184" t="n">
        <v>0</v>
      </c>
      <c r="R184" s="2" t="inlineStr"/>
    </row>
    <row r="185" ht="15" customHeight="1">
      <c r="A185" t="inlineStr">
        <is>
          <t>A 5148-2024</t>
        </is>
      </c>
      <c r="B185" s="1" t="n">
        <v>45330</v>
      </c>
      <c r="C185" s="1" t="n">
        <v>46202</v>
      </c>
      <c r="D185" t="inlineStr">
        <is>
          <t>KALMAR LÄN</t>
        </is>
      </c>
      <c r="E185" t="inlineStr">
        <is>
          <t>VIMMERBY</t>
        </is>
      </c>
      <c r="G185" t="n">
        <v>5.6</v>
      </c>
      <c r="H185" t="n">
        <v>0</v>
      </c>
      <c r="I185" t="n">
        <v>0</v>
      </c>
      <c r="J185" t="n">
        <v>0</v>
      </c>
      <c r="K185" t="n">
        <v>0</v>
      </c>
      <c r="L185" t="n">
        <v>0</v>
      </c>
      <c r="M185" t="n">
        <v>0</v>
      </c>
      <c r="N185" t="n">
        <v>0</v>
      </c>
      <c r="O185" t="n">
        <v>0</v>
      </c>
      <c r="P185" t="n">
        <v>0</v>
      </c>
      <c r="Q185" t="n">
        <v>0</v>
      </c>
      <c r="R185" s="2" t="inlineStr"/>
    </row>
    <row r="186" ht="15" customHeight="1">
      <c r="A186" t="inlineStr">
        <is>
          <t>A 60951-2023</t>
        </is>
      </c>
      <c r="B186" s="1" t="n">
        <v>45261</v>
      </c>
      <c r="C186" s="1" t="n">
        <v>46202</v>
      </c>
      <c r="D186" t="inlineStr">
        <is>
          <t>KALMAR LÄN</t>
        </is>
      </c>
      <c r="E186" t="inlineStr">
        <is>
          <t>VIMMERBY</t>
        </is>
      </c>
      <c r="G186" t="n">
        <v>4.3</v>
      </c>
      <c r="H186" t="n">
        <v>0</v>
      </c>
      <c r="I186" t="n">
        <v>0</v>
      </c>
      <c r="J186" t="n">
        <v>0</v>
      </c>
      <c r="K186" t="n">
        <v>0</v>
      </c>
      <c r="L186" t="n">
        <v>0</v>
      </c>
      <c r="M186" t="n">
        <v>0</v>
      </c>
      <c r="N186" t="n">
        <v>0</v>
      </c>
      <c r="O186" t="n">
        <v>0</v>
      </c>
      <c r="P186" t="n">
        <v>0</v>
      </c>
      <c r="Q186" t="n">
        <v>0</v>
      </c>
      <c r="R186" s="2" t="inlineStr"/>
    </row>
    <row r="187" ht="15" customHeight="1">
      <c r="A187" t="inlineStr">
        <is>
          <t>A 60292-2022</t>
        </is>
      </c>
      <c r="B187" s="1" t="n">
        <v>44910</v>
      </c>
      <c r="C187" s="1" t="n">
        <v>46202</v>
      </c>
      <c r="D187" t="inlineStr">
        <is>
          <t>KALMAR LÄN</t>
        </is>
      </c>
      <c r="E187" t="inlineStr">
        <is>
          <t>VIMMERBY</t>
        </is>
      </c>
      <c r="G187" t="n">
        <v>4.4</v>
      </c>
      <c r="H187" t="n">
        <v>0</v>
      </c>
      <c r="I187" t="n">
        <v>0</v>
      </c>
      <c r="J187" t="n">
        <v>0</v>
      </c>
      <c r="K187" t="n">
        <v>0</v>
      </c>
      <c r="L187" t="n">
        <v>0</v>
      </c>
      <c r="M187" t="n">
        <v>0</v>
      </c>
      <c r="N187" t="n">
        <v>0</v>
      </c>
      <c r="O187" t="n">
        <v>0</v>
      </c>
      <c r="P187" t="n">
        <v>0</v>
      </c>
      <c r="Q187" t="n">
        <v>0</v>
      </c>
      <c r="R187" s="2" t="inlineStr"/>
    </row>
    <row r="188" ht="15" customHeight="1">
      <c r="A188" t="inlineStr">
        <is>
          <t>A 7485-2024</t>
        </is>
      </c>
      <c r="B188" s="1" t="n">
        <v>45346</v>
      </c>
      <c r="C188" s="1" t="n">
        <v>46202</v>
      </c>
      <c r="D188" t="inlineStr">
        <is>
          <t>KALMAR LÄN</t>
        </is>
      </c>
      <c r="E188" t="inlineStr">
        <is>
          <t>VIMMERBY</t>
        </is>
      </c>
      <c r="G188" t="n">
        <v>1.9</v>
      </c>
      <c r="H188" t="n">
        <v>0</v>
      </c>
      <c r="I188" t="n">
        <v>0</v>
      </c>
      <c r="J188" t="n">
        <v>0</v>
      </c>
      <c r="K188" t="n">
        <v>0</v>
      </c>
      <c r="L188" t="n">
        <v>0</v>
      </c>
      <c r="M188" t="n">
        <v>0</v>
      </c>
      <c r="N188" t="n">
        <v>0</v>
      </c>
      <c r="O188" t="n">
        <v>0</v>
      </c>
      <c r="P188" t="n">
        <v>0</v>
      </c>
      <c r="Q188" t="n">
        <v>0</v>
      </c>
      <c r="R188" s="2" t="inlineStr"/>
    </row>
    <row r="189" ht="15" customHeight="1">
      <c r="A189" t="inlineStr">
        <is>
          <t>A 55605-2024</t>
        </is>
      </c>
      <c r="B189" s="1" t="n">
        <v>45622</v>
      </c>
      <c r="C189" s="1" t="n">
        <v>46202</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44464-2024</t>
        </is>
      </c>
      <c r="B190" s="1" t="n">
        <v>45574</v>
      </c>
      <c r="C190" s="1" t="n">
        <v>46202</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36049-2024</t>
        </is>
      </c>
      <c r="B191" s="1" t="n">
        <v>45533</v>
      </c>
      <c r="C191" s="1" t="n">
        <v>46202</v>
      </c>
      <c r="D191" t="inlineStr">
        <is>
          <t>KALMAR LÄN</t>
        </is>
      </c>
      <c r="E191" t="inlineStr">
        <is>
          <t>VIMMERBY</t>
        </is>
      </c>
      <c r="F191" t="inlineStr">
        <is>
          <t>Kommuner</t>
        </is>
      </c>
      <c r="G191" t="n">
        <v>2.6</v>
      </c>
      <c r="H191" t="n">
        <v>0</v>
      </c>
      <c r="I191" t="n">
        <v>0</v>
      </c>
      <c r="J191" t="n">
        <v>0</v>
      </c>
      <c r="K191" t="n">
        <v>0</v>
      </c>
      <c r="L191" t="n">
        <v>0</v>
      </c>
      <c r="M191" t="n">
        <v>0</v>
      </c>
      <c r="N191" t="n">
        <v>0</v>
      </c>
      <c r="O191" t="n">
        <v>0</v>
      </c>
      <c r="P191" t="n">
        <v>0</v>
      </c>
      <c r="Q191" t="n">
        <v>0</v>
      </c>
      <c r="R191" s="2" t="inlineStr"/>
    </row>
    <row r="192" ht="15" customHeight="1">
      <c r="A192" t="inlineStr">
        <is>
          <t>A 53145-2022</t>
        </is>
      </c>
      <c r="B192" s="1" t="n">
        <v>44876</v>
      </c>
      <c r="C192" s="1" t="n">
        <v>46202</v>
      </c>
      <c r="D192" t="inlineStr">
        <is>
          <t>KALMAR LÄN</t>
        </is>
      </c>
      <c r="E192" t="inlineStr">
        <is>
          <t>VIMMERBY</t>
        </is>
      </c>
      <c r="G192" t="n">
        <v>0.4</v>
      </c>
      <c r="H192" t="n">
        <v>0</v>
      </c>
      <c r="I192" t="n">
        <v>0</v>
      </c>
      <c r="J192" t="n">
        <v>0</v>
      </c>
      <c r="K192" t="n">
        <v>0</v>
      </c>
      <c r="L192" t="n">
        <v>0</v>
      </c>
      <c r="M192" t="n">
        <v>0</v>
      </c>
      <c r="N192" t="n">
        <v>0</v>
      </c>
      <c r="O192" t="n">
        <v>0</v>
      </c>
      <c r="P192" t="n">
        <v>0</v>
      </c>
      <c r="Q192" t="n">
        <v>0</v>
      </c>
      <c r="R192" s="2" t="inlineStr"/>
    </row>
    <row r="193" ht="15" customHeight="1">
      <c r="A193" t="inlineStr">
        <is>
          <t>A 12590-2025</t>
        </is>
      </c>
      <c r="B193" s="1" t="n">
        <v>45732</v>
      </c>
      <c r="C193" s="1" t="n">
        <v>46202</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35710-2023</t>
        </is>
      </c>
      <c r="B194" s="1" t="n">
        <v>45147</v>
      </c>
      <c r="C194" s="1" t="n">
        <v>46202</v>
      </c>
      <c r="D194" t="inlineStr">
        <is>
          <t>KALMAR LÄN</t>
        </is>
      </c>
      <c r="E194" t="inlineStr">
        <is>
          <t>VIMMERBY</t>
        </is>
      </c>
      <c r="G194" t="n">
        <v>3.1</v>
      </c>
      <c r="H194" t="n">
        <v>0</v>
      </c>
      <c r="I194" t="n">
        <v>0</v>
      </c>
      <c r="J194" t="n">
        <v>0</v>
      </c>
      <c r="K194" t="n">
        <v>0</v>
      </c>
      <c r="L194" t="n">
        <v>0</v>
      </c>
      <c r="M194" t="n">
        <v>0</v>
      </c>
      <c r="N194" t="n">
        <v>0</v>
      </c>
      <c r="O194" t="n">
        <v>0</v>
      </c>
      <c r="P194" t="n">
        <v>0</v>
      </c>
      <c r="Q194" t="n">
        <v>0</v>
      </c>
      <c r="R194" s="2" t="inlineStr"/>
    </row>
    <row r="195" ht="15" customHeight="1">
      <c r="A195" t="inlineStr">
        <is>
          <t>A 58278-2023</t>
        </is>
      </c>
      <c r="B195" s="1" t="n">
        <v>45250</v>
      </c>
      <c r="C195" s="1" t="n">
        <v>46202</v>
      </c>
      <c r="D195" t="inlineStr">
        <is>
          <t>KALMAR LÄN</t>
        </is>
      </c>
      <c r="E195" t="inlineStr">
        <is>
          <t>VIMMERBY</t>
        </is>
      </c>
      <c r="G195" t="n">
        <v>1.8</v>
      </c>
      <c r="H195" t="n">
        <v>0</v>
      </c>
      <c r="I195" t="n">
        <v>0</v>
      </c>
      <c r="J195" t="n">
        <v>0</v>
      </c>
      <c r="K195" t="n">
        <v>0</v>
      </c>
      <c r="L195" t="n">
        <v>0</v>
      </c>
      <c r="M195" t="n">
        <v>0</v>
      </c>
      <c r="N195" t="n">
        <v>0</v>
      </c>
      <c r="O195" t="n">
        <v>0</v>
      </c>
      <c r="P195" t="n">
        <v>0</v>
      </c>
      <c r="Q195" t="n">
        <v>0</v>
      </c>
      <c r="R195" s="2" t="inlineStr"/>
    </row>
    <row r="196" ht="15" customHeight="1">
      <c r="A196" t="inlineStr">
        <is>
          <t>A 52823-2024</t>
        </is>
      </c>
      <c r="B196" s="1" t="n">
        <v>45610</v>
      </c>
      <c r="C196" s="1" t="n">
        <v>46202</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52588-2023</t>
        </is>
      </c>
      <c r="B197" s="1" t="n">
        <v>45225</v>
      </c>
      <c r="C197" s="1" t="n">
        <v>46202</v>
      </c>
      <c r="D197" t="inlineStr">
        <is>
          <t>KALMAR LÄN</t>
        </is>
      </c>
      <c r="E197" t="inlineStr">
        <is>
          <t>VIMMERBY</t>
        </is>
      </c>
      <c r="G197" t="n">
        <v>2.9</v>
      </c>
      <c r="H197" t="n">
        <v>0</v>
      </c>
      <c r="I197" t="n">
        <v>0</v>
      </c>
      <c r="J197" t="n">
        <v>0</v>
      </c>
      <c r="K197" t="n">
        <v>0</v>
      </c>
      <c r="L197" t="n">
        <v>0</v>
      </c>
      <c r="M197" t="n">
        <v>0</v>
      </c>
      <c r="N197" t="n">
        <v>0</v>
      </c>
      <c r="O197" t="n">
        <v>0</v>
      </c>
      <c r="P197" t="n">
        <v>0</v>
      </c>
      <c r="Q197" t="n">
        <v>0</v>
      </c>
      <c r="R197" s="2" t="inlineStr"/>
    </row>
    <row r="198" ht="15" customHeight="1">
      <c r="A198" t="inlineStr">
        <is>
          <t>A 25738-2022</t>
        </is>
      </c>
      <c r="B198" s="1" t="n">
        <v>44733</v>
      </c>
      <c r="C198" s="1" t="n">
        <v>46202</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6802-2025</t>
        </is>
      </c>
      <c r="B199" s="1" t="n">
        <v>45700</v>
      </c>
      <c r="C199" s="1" t="n">
        <v>46202</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11147-2023</t>
        </is>
      </c>
      <c r="B200" s="1" t="n">
        <v>44992</v>
      </c>
      <c r="C200" s="1" t="n">
        <v>46202</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71793-2021</t>
        </is>
      </c>
      <c r="B201" s="1" t="n">
        <v>44539</v>
      </c>
      <c r="C201" s="1" t="n">
        <v>46202</v>
      </c>
      <c r="D201" t="inlineStr">
        <is>
          <t>KALMAR LÄN</t>
        </is>
      </c>
      <c r="E201" t="inlineStr">
        <is>
          <t>VIMMERBY</t>
        </is>
      </c>
      <c r="G201" t="n">
        <v>2.7</v>
      </c>
      <c r="H201" t="n">
        <v>0</v>
      </c>
      <c r="I201" t="n">
        <v>0</v>
      </c>
      <c r="J201" t="n">
        <v>0</v>
      </c>
      <c r="K201" t="n">
        <v>0</v>
      </c>
      <c r="L201" t="n">
        <v>0</v>
      </c>
      <c r="M201" t="n">
        <v>0</v>
      </c>
      <c r="N201" t="n">
        <v>0</v>
      </c>
      <c r="O201" t="n">
        <v>0</v>
      </c>
      <c r="P201" t="n">
        <v>0</v>
      </c>
      <c r="Q201" t="n">
        <v>0</v>
      </c>
      <c r="R201" s="2" t="inlineStr"/>
    </row>
    <row r="202" ht="15" customHeight="1">
      <c r="A202" t="inlineStr">
        <is>
          <t>A 19833-2023</t>
        </is>
      </c>
      <c r="B202" s="1" t="n">
        <v>45052</v>
      </c>
      <c r="C202" s="1" t="n">
        <v>46202</v>
      </c>
      <c r="D202" t="inlineStr">
        <is>
          <t>KALMAR LÄN</t>
        </is>
      </c>
      <c r="E202" t="inlineStr">
        <is>
          <t>VIMMERBY</t>
        </is>
      </c>
      <c r="G202" t="n">
        <v>6.7</v>
      </c>
      <c r="H202" t="n">
        <v>0</v>
      </c>
      <c r="I202" t="n">
        <v>0</v>
      </c>
      <c r="J202" t="n">
        <v>0</v>
      </c>
      <c r="K202" t="n">
        <v>0</v>
      </c>
      <c r="L202" t="n">
        <v>0</v>
      </c>
      <c r="M202" t="n">
        <v>0</v>
      </c>
      <c r="N202" t="n">
        <v>0</v>
      </c>
      <c r="O202" t="n">
        <v>0</v>
      </c>
      <c r="P202" t="n">
        <v>0</v>
      </c>
      <c r="Q202" t="n">
        <v>0</v>
      </c>
      <c r="R202" s="2" t="inlineStr"/>
    </row>
    <row r="203" ht="15" customHeight="1">
      <c r="A203" t="inlineStr">
        <is>
          <t>A 527-2024</t>
        </is>
      </c>
      <c r="B203" s="1" t="n">
        <v>45299</v>
      </c>
      <c r="C203" s="1" t="n">
        <v>46202</v>
      </c>
      <c r="D203" t="inlineStr">
        <is>
          <t>KALMAR LÄN</t>
        </is>
      </c>
      <c r="E203" t="inlineStr">
        <is>
          <t>VIMMERBY</t>
        </is>
      </c>
      <c r="G203" t="n">
        <v>2.2</v>
      </c>
      <c r="H203" t="n">
        <v>0</v>
      </c>
      <c r="I203" t="n">
        <v>0</v>
      </c>
      <c r="J203" t="n">
        <v>0</v>
      </c>
      <c r="K203" t="n">
        <v>0</v>
      </c>
      <c r="L203" t="n">
        <v>0</v>
      </c>
      <c r="M203" t="n">
        <v>0</v>
      </c>
      <c r="N203" t="n">
        <v>0</v>
      </c>
      <c r="O203" t="n">
        <v>0</v>
      </c>
      <c r="P203" t="n">
        <v>0</v>
      </c>
      <c r="Q203" t="n">
        <v>0</v>
      </c>
      <c r="R203" s="2" t="inlineStr"/>
    </row>
    <row r="204" ht="15" customHeight="1">
      <c r="A204" t="inlineStr">
        <is>
          <t>A 60230-2022</t>
        </is>
      </c>
      <c r="B204" s="1" t="n">
        <v>44910</v>
      </c>
      <c r="C204" s="1" t="n">
        <v>46202</v>
      </c>
      <c r="D204" t="inlineStr">
        <is>
          <t>KALMAR LÄN</t>
        </is>
      </c>
      <c r="E204" t="inlineStr">
        <is>
          <t>VIMMERBY</t>
        </is>
      </c>
      <c r="G204" t="n">
        <v>11.3</v>
      </c>
      <c r="H204" t="n">
        <v>0</v>
      </c>
      <c r="I204" t="n">
        <v>0</v>
      </c>
      <c r="J204" t="n">
        <v>0</v>
      </c>
      <c r="K204" t="n">
        <v>0</v>
      </c>
      <c r="L204" t="n">
        <v>0</v>
      </c>
      <c r="M204" t="n">
        <v>0</v>
      </c>
      <c r="N204" t="n">
        <v>0</v>
      </c>
      <c r="O204" t="n">
        <v>0</v>
      </c>
      <c r="P204" t="n">
        <v>0</v>
      </c>
      <c r="Q204" t="n">
        <v>0</v>
      </c>
      <c r="R204" s="2" t="inlineStr"/>
    </row>
    <row r="205" ht="15" customHeight="1">
      <c r="A205" t="inlineStr">
        <is>
          <t>A 14548-2024</t>
        </is>
      </c>
      <c r="B205" s="1" t="n">
        <v>45394</v>
      </c>
      <c r="C205" s="1" t="n">
        <v>46202</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585-2024</t>
        </is>
      </c>
      <c r="B206" s="1" t="n">
        <v>45299</v>
      </c>
      <c r="C206" s="1" t="n">
        <v>46202</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56020-2024</t>
        </is>
      </c>
      <c r="B207" s="1" t="n">
        <v>45623</v>
      </c>
      <c r="C207" s="1" t="n">
        <v>46202</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5925-2022</t>
        </is>
      </c>
      <c r="B208" s="1" t="n">
        <v>44598</v>
      </c>
      <c r="C208" s="1" t="n">
        <v>46202</v>
      </c>
      <c r="D208" t="inlineStr">
        <is>
          <t>KALMAR LÄN</t>
        </is>
      </c>
      <c r="E208" t="inlineStr">
        <is>
          <t>VIMMERBY</t>
        </is>
      </c>
      <c r="G208" t="n">
        <v>2.1</v>
      </c>
      <c r="H208" t="n">
        <v>0</v>
      </c>
      <c r="I208" t="n">
        <v>0</v>
      </c>
      <c r="J208" t="n">
        <v>0</v>
      </c>
      <c r="K208" t="n">
        <v>0</v>
      </c>
      <c r="L208" t="n">
        <v>0</v>
      </c>
      <c r="M208" t="n">
        <v>0</v>
      </c>
      <c r="N208" t="n">
        <v>0</v>
      </c>
      <c r="O208" t="n">
        <v>0</v>
      </c>
      <c r="P208" t="n">
        <v>0</v>
      </c>
      <c r="Q208" t="n">
        <v>0</v>
      </c>
      <c r="R208" s="2" t="inlineStr"/>
    </row>
    <row r="209" ht="15" customHeight="1">
      <c r="A209" t="inlineStr">
        <is>
          <t>A 23252-2024</t>
        </is>
      </c>
      <c r="B209" s="1" t="n">
        <v>45453</v>
      </c>
      <c r="C209" s="1" t="n">
        <v>46202</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46522-2022</t>
        </is>
      </c>
      <c r="B210" s="1" t="n">
        <v>44848</v>
      </c>
      <c r="C210" s="1" t="n">
        <v>46202</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15550-2023</t>
        </is>
      </c>
      <c r="B211" s="1" t="n">
        <v>45020</v>
      </c>
      <c r="C211" s="1" t="n">
        <v>46202</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11219-2023</t>
        </is>
      </c>
      <c r="B212" s="1" t="n">
        <v>44992</v>
      </c>
      <c r="C212" s="1" t="n">
        <v>46202</v>
      </c>
      <c r="D212" t="inlineStr">
        <is>
          <t>KALMAR LÄN</t>
        </is>
      </c>
      <c r="E212" t="inlineStr">
        <is>
          <t>VIMMERBY</t>
        </is>
      </c>
      <c r="G212" t="n">
        <v>2.5</v>
      </c>
      <c r="H212" t="n">
        <v>0</v>
      </c>
      <c r="I212" t="n">
        <v>0</v>
      </c>
      <c r="J212" t="n">
        <v>0</v>
      </c>
      <c r="K212" t="n">
        <v>0</v>
      </c>
      <c r="L212" t="n">
        <v>0</v>
      </c>
      <c r="M212" t="n">
        <v>0</v>
      </c>
      <c r="N212" t="n">
        <v>0</v>
      </c>
      <c r="O212" t="n">
        <v>0</v>
      </c>
      <c r="P212" t="n">
        <v>0</v>
      </c>
      <c r="Q212" t="n">
        <v>0</v>
      </c>
      <c r="R212" s="2" t="inlineStr"/>
    </row>
    <row r="213" ht="15" customHeight="1">
      <c r="A213" t="inlineStr">
        <is>
          <t>A 41066-2024</t>
        </is>
      </c>
      <c r="B213" s="1" t="n">
        <v>45559</v>
      </c>
      <c r="C213" s="1" t="n">
        <v>46202</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47855-2024</t>
        </is>
      </c>
      <c r="B214" s="1" t="n">
        <v>45588</v>
      </c>
      <c r="C214" s="1" t="n">
        <v>46202</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52279-2023</t>
        </is>
      </c>
      <c r="B215" s="1" t="n">
        <v>45224</v>
      </c>
      <c r="C215" s="1" t="n">
        <v>46202</v>
      </c>
      <c r="D215" t="inlineStr">
        <is>
          <t>KALMAR LÄN</t>
        </is>
      </c>
      <c r="E215" t="inlineStr">
        <is>
          <t>VIMMERBY</t>
        </is>
      </c>
      <c r="G215" t="n">
        <v>1.8</v>
      </c>
      <c r="H215" t="n">
        <v>0</v>
      </c>
      <c r="I215" t="n">
        <v>0</v>
      </c>
      <c r="J215" t="n">
        <v>0</v>
      </c>
      <c r="K215" t="n">
        <v>0</v>
      </c>
      <c r="L215" t="n">
        <v>0</v>
      </c>
      <c r="M215" t="n">
        <v>0</v>
      </c>
      <c r="N215" t="n">
        <v>0</v>
      </c>
      <c r="O215" t="n">
        <v>0</v>
      </c>
      <c r="P215" t="n">
        <v>0</v>
      </c>
      <c r="Q215" t="n">
        <v>0</v>
      </c>
      <c r="R215" s="2" t="inlineStr"/>
    </row>
    <row r="216" ht="15" customHeight="1">
      <c r="A216" t="inlineStr">
        <is>
          <t>A 39584-2024</t>
        </is>
      </c>
      <c r="B216" s="1" t="n">
        <v>45552</v>
      </c>
      <c r="C216" s="1" t="n">
        <v>46202</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17486-2024</t>
        </is>
      </c>
      <c r="B217" s="1" t="n">
        <v>45415</v>
      </c>
      <c r="C217" s="1" t="n">
        <v>46202</v>
      </c>
      <c r="D217" t="inlineStr">
        <is>
          <t>KALMAR LÄN</t>
        </is>
      </c>
      <c r="E217" t="inlineStr">
        <is>
          <t>VIMMERBY</t>
        </is>
      </c>
      <c r="G217" t="n">
        <v>2.6</v>
      </c>
      <c r="H217" t="n">
        <v>0</v>
      </c>
      <c r="I217" t="n">
        <v>0</v>
      </c>
      <c r="J217" t="n">
        <v>0</v>
      </c>
      <c r="K217" t="n">
        <v>0</v>
      </c>
      <c r="L217" t="n">
        <v>0</v>
      </c>
      <c r="M217" t="n">
        <v>0</v>
      </c>
      <c r="N217" t="n">
        <v>0</v>
      </c>
      <c r="O217" t="n">
        <v>0</v>
      </c>
      <c r="P217" t="n">
        <v>0</v>
      </c>
      <c r="Q217" t="n">
        <v>0</v>
      </c>
      <c r="R217" s="2" t="inlineStr"/>
    </row>
    <row r="218" ht="15" customHeight="1">
      <c r="A218" t="inlineStr">
        <is>
          <t>A 51881-2024</t>
        </is>
      </c>
      <c r="B218" s="1" t="n">
        <v>45607</v>
      </c>
      <c r="C218" s="1" t="n">
        <v>46202</v>
      </c>
      <c r="D218" t="inlineStr">
        <is>
          <t>KALMAR LÄN</t>
        </is>
      </c>
      <c r="E218" t="inlineStr">
        <is>
          <t>VIMMERBY</t>
        </is>
      </c>
      <c r="G218" t="n">
        <v>3.4</v>
      </c>
      <c r="H218" t="n">
        <v>0</v>
      </c>
      <c r="I218" t="n">
        <v>0</v>
      </c>
      <c r="J218" t="n">
        <v>0</v>
      </c>
      <c r="K218" t="n">
        <v>0</v>
      </c>
      <c r="L218" t="n">
        <v>0</v>
      </c>
      <c r="M218" t="n">
        <v>0</v>
      </c>
      <c r="N218" t="n">
        <v>0</v>
      </c>
      <c r="O218" t="n">
        <v>0</v>
      </c>
      <c r="P218" t="n">
        <v>0</v>
      </c>
      <c r="Q218" t="n">
        <v>0</v>
      </c>
      <c r="R218" s="2" t="inlineStr"/>
    </row>
    <row r="219" ht="15" customHeight="1">
      <c r="A219" t="inlineStr">
        <is>
          <t>A 2596-2025</t>
        </is>
      </c>
      <c r="B219" s="1" t="n">
        <v>45674</v>
      </c>
      <c r="C219" s="1" t="n">
        <v>46202</v>
      </c>
      <c r="D219" t="inlineStr">
        <is>
          <t>KALMAR LÄN</t>
        </is>
      </c>
      <c r="E219" t="inlineStr">
        <is>
          <t>VIMMERBY</t>
        </is>
      </c>
      <c r="G219" t="n">
        <v>9</v>
      </c>
      <c r="H219" t="n">
        <v>0</v>
      </c>
      <c r="I219" t="n">
        <v>0</v>
      </c>
      <c r="J219" t="n">
        <v>0</v>
      </c>
      <c r="K219" t="n">
        <v>0</v>
      </c>
      <c r="L219" t="n">
        <v>0</v>
      </c>
      <c r="M219" t="n">
        <v>0</v>
      </c>
      <c r="N219" t="n">
        <v>0</v>
      </c>
      <c r="O219" t="n">
        <v>0</v>
      </c>
      <c r="P219" t="n">
        <v>0</v>
      </c>
      <c r="Q219" t="n">
        <v>0</v>
      </c>
      <c r="R219" s="2" t="inlineStr"/>
    </row>
    <row r="220" ht="15" customHeight="1">
      <c r="A220" t="inlineStr">
        <is>
          <t>A 43038-2022</t>
        </is>
      </c>
      <c r="B220" s="1" t="n">
        <v>44833</v>
      </c>
      <c r="C220" s="1" t="n">
        <v>46202</v>
      </c>
      <c r="D220" t="inlineStr">
        <is>
          <t>KALMAR LÄN</t>
        </is>
      </c>
      <c r="E220" t="inlineStr">
        <is>
          <t>VIMMERBY</t>
        </is>
      </c>
      <c r="G220" t="n">
        <v>4.2</v>
      </c>
      <c r="H220" t="n">
        <v>0</v>
      </c>
      <c r="I220" t="n">
        <v>0</v>
      </c>
      <c r="J220" t="n">
        <v>0</v>
      </c>
      <c r="K220" t="n">
        <v>0</v>
      </c>
      <c r="L220" t="n">
        <v>0</v>
      </c>
      <c r="M220" t="n">
        <v>0</v>
      </c>
      <c r="N220" t="n">
        <v>0</v>
      </c>
      <c r="O220" t="n">
        <v>0</v>
      </c>
      <c r="P220" t="n">
        <v>0</v>
      </c>
      <c r="Q220" t="n">
        <v>0</v>
      </c>
      <c r="R220" s="2" t="inlineStr"/>
    </row>
    <row r="221" ht="15" customHeight="1">
      <c r="A221" t="inlineStr">
        <is>
          <t>A 71631-2021</t>
        </is>
      </c>
      <c r="B221" s="1" t="n">
        <v>44542</v>
      </c>
      <c r="C221" s="1" t="n">
        <v>46202</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16734-2023</t>
        </is>
      </c>
      <c r="B222" s="1" t="n">
        <v>45030</v>
      </c>
      <c r="C222" s="1" t="n">
        <v>46202</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8194-2022</t>
        </is>
      </c>
      <c r="B223" s="1" t="n">
        <v>44609</v>
      </c>
      <c r="C223" s="1" t="n">
        <v>46202</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9694-2023</t>
        </is>
      </c>
      <c r="B224" s="1" t="n">
        <v>44984</v>
      </c>
      <c r="C224" s="1" t="n">
        <v>46202</v>
      </c>
      <c r="D224" t="inlineStr">
        <is>
          <t>KALMAR LÄN</t>
        </is>
      </c>
      <c r="E224" t="inlineStr">
        <is>
          <t>VIMMERBY</t>
        </is>
      </c>
      <c r="G224" t="n">
        <v>2.1</v>
      </c>
      <c r="H224" t="n">
        <v>0</v>
      </c>
      <c r="I224" t="n">
        <v>0</v>
      </c>
      <c r="J224" t="n">
        <v>0</v>
      </c>
      <c r="K224" t="n">
        <v>0</v>
      </c>
      <c r="L224" t="n">
        <v>0</v>
      </c>
      <c r="M224" t="n">
        <v>0</v>
      </c>
      <c r="N224" t="n">
        <v>0</v>
      </c>
      <c r="O224" t="n">
        <v>0</v>
      </c>
      <c r="P224" t="n">
        <v>0</v>
      </c>
      <c r="Q224" t="n">
        <v>0</v>
      </c>
      <c r="R224" s="2" t="inlineStr"/>
    </row>
    <row r="225" ht="15" customHeight="1">
      <c r="A225" t="inlineStr">
        <is>
          <t>A 52324-2023</t>
        </is>
      </c>
      <c r="B225" s="1" t="n">
        <v>45224</v>
      </c>
      <c r="C225" s="1" t="n">
        <v>46202</v>
      </c>
      <c r="D225" t="inlineStr">
        <is>
          <t>KALMAR LÄN</t>
        </is>
      </c>
      <c r="E225" t="inlineStr">
        <is>
          <t>VIMMERBY</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57799-2022</t>
        </is>
      </c>
      <c r="B226" s="1" t="n">
        <v>44897</v>
      </c>
      <c r="C226" s="1" t="n">
        <v>46202</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57311-2023</t>
        </is>
      </c>
      <c r="B227" s="1" t="n">
        <v>45245</v>
      </c>
      <c r="C227" s="1" t="n">
        <v>46202</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30921-2024</t>
        </is>
      </c>
      <c r="B228" s="1" t="n">
        <v>45498</v>
      </c>
      <c r="C228" s="1" t="n">
        <v>46202</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12588-2025</t>
        </is>
      </c>
      <c r="B229" s="1" t="n">
        <v>45732</v>
      </c>
      <c r="C229" s="1" t="n">
        <v>46202</v>
      </c>
      <c r="D229" t="inlineStr">
        <is>
          <t>KALMAR LÄN</t>
        </is>
      </c>
      <c r="E229" t="inlineStr">
        <is>
          <t>VIMMERBY</t>
        </is>
      </c>
      <c r="G229" t="n">
        <v>1.6</v>
      </c>
      <c r="H229" t="n">
        <v>0</v>
      </c>
      <c r="I229" t="n">
        <v>0</v>
      </c>
      <c r="J229" t="n">
        <v>0</v>
      </c>
      <c r="K229" t="n">
        <v>0</v>
      </c>
      <c r="L229" t="n">
        <v>0</v>
      </c>
      <c r="M229" t="n">
        <v>0</v>
      </c>
      <c r="N229" t="n">
        <v>0</v>
      </c>
      <c r="O229" t="n">
        <v>0</v>
      </c>
      <c r="P229" t="n">
        <v>0</v>
      </c>
      <c r="Q229" t="n">
        <v>0</v>
      </c>
      <c r="R229" s="2" t="inlineStr"/>
    </row>
    <row r="230" ht="15" customHeight="1">
      <c r="A230" t="inlineStr">
        <is>
          <t>A 40971-2021</t>
        </is>
      </c>
      <c r="B230" s="1" t="n">
        <v>44421</v>
      </c>
      <c r="C230" s="1" t="n">
        <v>46202</v>
      </c>
      <c r="D230" t="inlineStr">
        <is>
          <t>KALMAR LÄN</t>
        </is>
      </c>
      <c r="E230" t="inlineStr">
        <is>
          <t>VIMMERBY</t>
        </is>
      </c>
      <c r="G230" t="n">
        <v>1.1</v>
      </c>
      <c r="H230" t="n">
        <v>0</v>
      </c>
      <c r="I230" t="n">
        <v>0</v>
      </c>
      <c r="J230" t="n">
        <v>0</v>
      </c>
      <c r="K230" t="n">
        <v>0</v>
      </c>
      <c r="L230" t="n">
        <v>0</v>
      </c>
      <c r="M230" t="n">
        <v>0</v>
      </c>
      <c r="N230" t="n">
        <v>0</v>
      </c>
      <c r="O230" t="n">
        <v>0</v>
      </c>
      <c r="P230" t="n">
        <v>0</v>
      </c>
      <c r="Q230" t="n">
        <v>0</v>
      </c>
      <c r="R230" s="2" t="inlineStr"/>
    </row>
    <row r="231" ht="15" customHeight="1">
      <c r="A231" t="inlineStr">
        <is>
          <t>A 23341-2022</t>
        </is>
      </c>
      <c r="B231" s="1" t="n">
        <v>44720</v>
      </c>
      <c r="C231" s="1" t="n">
        <v>46202</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7932-2025</t>
        </is>
      </c>
      <c r="B232" s="1" t="n">
        <v>45707</v>
      </c>
      <c r="C232" s="1" t="n">
        <v>46202</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37028-2024</t>
        </is>
      </c>
      <c r="B233" s="1" t="n">
        <v>45539</v>
      </c>
      <c r="C233" s="1" t="n">
        <v>46202</v>
      </c>
      <c r="D233" t="inlineStr">
        <is>
          <t>KALMAR LÄN</t>
        </is>
      </c>
      <c r="E233" t="inlineStr">
        <is>
          <t>VIMMERBY</t>
        </is>
      </c>
      <c r="G233" t="n">
        <v>5.2</v>
      </c>
      <c r="H233" t="n">
        <v>0</v>
      </c>
      <c r="I233" t="n">
        <v>0</v>
      </c>
      <c r="J233" t="n">
        <v>0</v>
      </c>
      <c r="K233" t="n">
        <v>0</v>
      </c>
      <c r="L233" t="n">
        <v>0</v>
      </c>
      <c r="M233" t="n">
        <v>0</v>
      </c>
      <c r="N233" t="n">
        <v>0</v>
      </c>
      <c r="O233" t="n">
        <v>0</v>
      </c>
      <c r="P233" t="n">
        <v>0</v>
      </c>
      <c r="Q233" t="n">
        <v>0</v>
      </c>
      <c r="R233" s="2" t="inlineStr"/>
    </row>
    <row r="234" ht="15" customHeight="1">
      <c r="A234" t="inlineStr">
        <is>
          <t>A 6668-2023</t>
        </is>
      </c>
      <c r="B234" s="1" t="n">
        <v>44966</v>
      </c>
      <c r="C234" s="1" t="n">
        <v>46202</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29168-2024</t>
        </is>
      </c>
      <c r="B235" s="1" t="n">
        <v>45482</v>
      </c>
      <c r="C235" s="1" t="n">
        <v>46202</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55236-2023</t>
        </is>
      </c>
      <c r="B236" s="1" t="n">
        <v>45237</v>
      </c>
      <c r="C236" s="1" t="n">
        <v>46202</v>
      </c>
      <c r="D236" t="inlineStr">
        <is>
          <t>KALMAR LÄN</t>
        </is>
      </c>
      <c r="E236" t="inlineStr">
        <is>
          <t>VIMMERBY</t>
        </is>
      </c>
      <c r="G236" t="n">
        <v>1.1</v>
      </c>
      <c r="H236" t="n">
        <v>0</v>
      </c>
      <c r="I236" t="n">
        <v>0</v>
      </c>
      <c r="J236" t="n">
        <v>0</v>
      </c>
      <c r="K236" t="n">
        <v>0</v>
      </c>
      <c r="L236" t="n">
        <v>0</v>
      </c>
      <c r="M236" t="n">
        <v>0</v>
      </c>
      <c r="N236" t="n">
        <v>0</v>
      </c>
      <c r="O236" t="n">
        <v>0</v>
      </c>
      <c r="P236" t="n">
        <v>0</v>
      </c>
      <c r="Q236" t="n">
        <v>0</v>
      </c>
      <c r="R236" s="2" t="inlineStr"/>
    </row>
    <row r="237" ht="15" customHeight="1">
      <c r="A237" t="inlineStr">
        <is>
          <t>A 55245-2023</t>
        </is>
      </c>
      <c r="B237" s="1" t="n">
        <v>45237</v>
      </c>
      <c r="C237" s="1" t="n">
        <v>46202</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36055-2024</t>
        </is>
      </c>
      <c r="B238" s="1" t="n">
        <v>45533</v>
      </c>
      <c r="C238" s="1" t="n">
        <v>46202</v>
      </c>
      <c r="D238" t="inlineStr">
        <is>
          <t>KALMAR LÄN</t>
        </is>
      </c>
      <c r="E238" t="inlineStr">
        <is>
          <t>VIMMERBY</t>
        </is>
      </c>
      <c r="F238" t="inlineStr">
        <is>
          <t>Kommuner</t>
        </is>
      </c>
      <c r="G238" t="n">
        <v>1.9</v>
      </c>
      <c r="H238" t="n">
        <v>0</v>
      </c>
      <c r="I238" t="n">
        <v>0</v>
      </c>
      <c r="J238" t="n">
        <v>0</v>
      </c>
      <c r="K238" t="n">
        <v>0</v>
      </c>
      <c r="L238" t="n">
        <v>0</v>
      </c>
      <c r="M238" t="n">
        <v>0</v>
      </c>
      <c r="N238" t="n">
        <v>0</v>
      </c>
      <c r="O238" t="n">
        <v>0</v>
      </c>
      <c r="P238" t="n">
        <v>0</v>
      </c>
      <c r="Q238" t="n">
        <v>0</v>
      </c>
      <c r="R238" s="2" t="inlineStr"/>
    </row>
    <row r="239" ht="15" customHeight="1">
      <c r="A239" t="inlineStr">
        <is>
          <t>A 2121-2022</t>
        </is>
      </c>
      <c r="B239" s="1" t="n">
        <v>44578</v>
      </c>
      <c r="C239" s="1" t="n">
        <v>46202</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34386-2024</t>
        </is>
      </c>
      <c r="B240" s="1" t="n">
        <v>45525</v>
      </c>
      <c r="C240" s="1" t="n">
        <v>46202</v>
      </c>
      <c r="D240" t="inlineStr">
        <is>
          <t>KALMAR LÄN</t>
        </is>
      </c>
      <c r="E240" t="inlineStr">
        <is>
          <t>VIMMERBY</t>
        </is>
      </c>
      <c r="G240" t="n">
        <v>0.3</v>
      </c>
      <c r="H240" t="n">
        <v>0</v>
      </c>
      <c r="I240" t="n">
        <v>0</v>
      </c>
      <c r="J240" t="n">
        <v>0</v>
      </c>
      <c r="K240" t="n">
        <v>0</v>
      </c>
      <c r="L240" t="n">
        <v>0</v>
      </c>
      <c r="M240" t="n">
        <v>0</v>
      </c>
      <c r="N240" t="n">
        <v>0</v>
      </c>
      <c r="O240" t="n">
        <v>0</v>
      </c>
      <c r="P240" t="n">
        <v>0</v>
      </c>
      <c r="Q240" t="n">
        <v>0</v>
      </c>
      <c r="R240" s="2" t="inlineStr"/>
    </row>
    <row r="241" ht="15" customHeight="1">
      <c r="A241" t="inlineStr">
        <is>
          <t>A 6069-2023</t>
        </is>
      </c>
      <c r="B241" s="1" t="n">
        <v>44964</v>
      </c>
      <c r="C241" s="1" t="n">
        <v>46202</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14137-2023</t>
        </is>
      </c>
      <c r="B242" s="1" t="n">
        <v>45009</v>
      </c>
      <c r="C242" s="1" t="n">
        <v>46202</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27443-2023</t>
        </is>
      </c>
      <c r="B243" s="1" t="n">
        <v>45097</v>
      </c>
      <c r="C243" s="1" t="n">
        <v>46202</v>
      </c>
      <c r="D243" t="inlineStr">
        <is>
          <t>KALMAR LÄN</t>
        </is>
      </c>
      <c r="E243" t="inlineStr">
        <is>
          <t>VIMMERBY</t>
        </is>
      </c>
      <c r="F243" t="inlineStr">
        <is>
          <t>Övriga Aktiebolag</t>
        </is>
      </c>
      <c r="G243" t="n">
        <v>2.3</v>
      </c>
      <c r="H243" t="n">
        <v>0</v>
      </c>
      <c r="I243" t="n">
        <v>0</v>
      </c>
      <c r="J243" t="n">
        <v>0</v>
      </c>
      <c r="K243" t="n">
        <v>0</v>
      </c>
      <c r="L243" t="n">
        <v>0</v>
      </c>
      <c r="M243" t="n">
        <v>0</v>
      </c>
      <c r="N243" t="n">
        <v>0</v>
      </c>
      <c r="O243" t="n">
        <v>0</v>
      </c>
      <c r="P243" t="n">
        <v>0</v>
      </c>
      <c r="Q243" t="n">
        <v>0</v>
      </c>
      <c r="R243" s="2" t="inlineStr"/>
    </row>
    <row r="244" ht="15" customHeight="1">
      <c r="A244" t="inlineStr">
        <is>
          <t>A 845-2023</t>
        </is>
      </c>
      <c r="B244" s="1" t="n">
        <v>44931</v>
      </c>
      <c r="C244" s="1" t="n">
        <v>46202</v>
      </c>
      <c r="D244" t="inlineStr">
        <is>
          <t>KALMAR LÄN</t>
        </is>
      </c>
      <c r="E244" t="inlineStr">
        <is>
          <t>VIMMERBY</t>
        </is>
      </c>
      <c r="F244" t="inlineStr">
        <is>
          <t>Övriga Aktiebolag</t>
        </is>
      </c>
      <c r="G244" t="n">
        <v>19</v>
      </c>
      <c r="H244" t="n">
        <v>0</v>
      </c>
      <c r="I244" t="n">
        <v>0</v>
      </c>
      <c r="J244" t="n">
        <v>0</v>
      </c>
      <c r="K244" t="n">
        <v>0</v>
      </c>
      <c r="L244" t="n">
        <v>0</v>
      </c>
      <c r="M244" t="n">
        <v>0</v>
      </c>
      <c r="N244" t="n">
        <v>0</v>
      </c>
      <c r="O244" t="n">
        <v>0</v>
      </c>
      <c r="P244" t="n">
        <v>0</v>
      </c>
      <c r="Q244" t="n">
        <v>0</v>
      </c>
      <c r="R244" s="2" t="inlineStr"/>
    </row>
    <row r="245" ht="15" customHeight="1">
      <c r="A245" t="inlineStr">
        <is>
          <t>A 32633-2023</t>
        </is>
      </c>
      <c r="B245" s="1" t="n">
        <v>45121</v>
      </c>
      <c r="C245" s="1" t="n">
        <v>46202</v>
      </c>
      <c r="D245" t="inlineStr">
        <is>
          <t>KALMAR LÄN</t>
        </is>
      </c>
      <c r="E245" t="inlineStr">
        <is>
          <t>VIMMERBY</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11152-2023</t>
        </is>
      </c>
      <c r="B246" s="1" t="n">
        <v>44992</v>
      </c>
      <c r="C246" s="1" t="n">
        <v>46202</v>
      </c>
      <c r="D246" t="inlineStr">
        <is>
          <t>KALMAR LÄN</t>
        </is>
      </c>
      <c r="E246" t="inlineStr">
        <is>
          <t>VIMMERBY</t>
        </is>
      </c>
      <c r="G246" t="n">
        <v>10.6</v>
      </c>
      <c r="H246" t="n">
        <v>0</v>
      </c>
      <c r="I246" t="n">
        <v>0</v>
      </c>
      <c r="J246" t="n">
        <v>0</v>
      </c>
      <c r="K246" t="n">
        <v>0</v>
      </c>
      <c r="L246" t="n">
        <v>0</v>
      </c>
      <c r="M246" t="n">
        <v>0</v>
      </c>
      <c r="N246" t="n">
        <v>0</v>
      </c>
      <c r="O246" t="n">
        <v>0</v>
      </c>
      <c r="P246" t="n">
        <v>0</v>
      </c>
      <c r="Q246" t="n">
        <v>0</v>
      </c>
      <c r="R246" s="2" t="inlineStr"/>
    </row>
    <row r="247" ht="15" customHeight="1">
      <c r="A247" t="inlineStr">
        <is>
          <t>A 49461-2023</t>
        </is>
      </c>
      <c r="B247" s="1" t="n">
        <v>45211</v>
      </c>
      <c r="C247" s="1" t="n">
        <v>46202</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11619-2023</t>
        </is>
      </c>
      <c r="B248" s="1" t="n">
        <v>44994</v>
      </c>
      <c r="C248" s="1" t="n">
        <v>46202</v>
      </c>
      <c r="D248" t="inlineStr">
        <is>
          <t>KALMAR LÄN</t>
        </is>
      </c>
      <c r="E248" t="inlineStr">
        <is>
          <t>VIMMERBY</t>
        </is>
      </c>
      <c r="G248" t="n">
        <v>2.5</v>
      </c>
      <c r="H248" t="n">
        <v>0</v>
      </c>
      <c r="I248" t="n">
        <v>0</v>
      </c>
      <c r="J248" t="n">
        <v>0</v>
      </c>
      <c r="K248" t="n">
        <v>0</v>
      </c>
      <c r="L248" t="n">
        <v>0</v>
      </c>
      <c r="M248" t="n">
        <v>0</v>
      </c>
      <c r="N248" t="n">
        <v>0</v>
      </c>
      <c r="O248" t="n">
        <v>0</v>
      </c>
      <c r="P248" t="n">
        <v>0</v>
      </c>
      <c r="Q248" t="n">
        <v>0</v>
      </c>
      <c r="R248" s="2" t="inlineStr"/>
    </row>
    <row r="249" ht="15" customHeight="1">
      <c r="A249" t="inlineStr">
        <is>
          <t>A 12499-2023</t>
        </is>
      </c>
      <c r="B249" s="1" t="n">
        <v>44999</v>
      </c>
      <c r="C249" s="1" t="n">
        <v>46202</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12500-2023</t>
        </is>
      </c>
      <c r="B250" s="1" t="n">
        <v>44999</v>
      </c>
      <c r="C250" s="1" t="n">
        <v>46202</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35846-2023</t>
        </is>
      </c>
      <c r="B251" s="1" t="n">
        <v>45148</v>
      </c>
      <c r="C251" s="1" t="n">
        <v>46202</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49039-2021</t>
        </is>
      </c>
      <c r="B252" s="1" t="n">
        <v>44453</v>
      </c>
      <c r="C252" s="1" t="n">
        <v>46202</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23095-2023</t>
        </is>
      </c>
      <c r="B253" s="1" t="n">
        <v>45075</v>
      </c>
      <c r="C253" s="1" t="n">
        <v>46202</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11429-2022</t>
        </is>
      </c>
      <c r="B254" s="1" t="n">
        <v>44630</v>
      </c>
      <c r="C254" s="1" t="n">
        <v>46202</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41896-2023</t>
        </is>
      </c>
      <c r="B255" s="1" t="n">
        <v>45176</v>
      </c>
      <c r="C255" s="1" t="n">
        <v>46202</v>
      </c>
      <c r="D255" t="inlineStr">
        <is>
          <t>KALMAR LÄN</t>
        </is>
      </c>
      <c r="E255" t="inlineStr">
        <is>
          <t>VIMMERBY</t>
        </is>
      </c>
      <c r="G255" t="n">
        <v>1.3</v>
      </c>
      <c r="H255" t="n">
        <v>0</v>
      </c>
      <c r="I255" t="n">
        <v>0</v>
      </c>
      <c r="J255" t="n">
        <v>0</v>
      </c>
      <c r="K255" t="n">
        <v>0</v>
      </c>
      <c r="L255" t="n">
        <v>0</v>
      </c>
      <c r="M255" t="n">
        <v>0</v>
      </c>
      <c r="N255" t="n">
        <v>0</v>
      </c>
      <c r="O255" t="n">
        <v>0</v>
      </c>
      <c r="P255" t="n">
        <v>0</v>
      </c>
      <c r="Q255" t="n">
        <v>0</v>
      </c>
      <c r="R255" s="2" t="inlineStr"/>
    </row>
    <row r="256" ht="15" customHeight="1">
      <c r="A256" t="inlineStr">
        <is>
          <t>A 17926-2025</t>
        </is>
      </c>
      <c r="B256" s="1" t="n">
        <v>45759</v>
      </c>
      <c r="C256" s="1" t="n">
        <v>46202</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11141-2024</t>
        </is>
      </c>
      <c r="B257" s="1" t="n">
        <v>45371</v>
      </c>
      <c r="C257" s="1" t="n">
        <v>46202</v>
      </c>
      <c r="D257" t="inlineStr">
        <is>
          <t>KALMAR LÄN</t>
        </is>
      </c>
      <c r="E257" t="inlineStr">
        <is>
          <t>VIMMERBY</t>
        </is>
      </c>
      <c r="G257" t="n">
        <v>0.7</v>
      </c>
      <c r="H257" t="n">
        <v>0</v>
      </c>
      <c r="I257" t="n">
        <v>0</v>
      </c>
      <c r="J257" t="n">
        <v>0</v>
      </c>
      <c r="K257" t="n">
        <v>0</v>
      </c>
      <c r="L257" t="n">
        <v>0</v>
      </c>
      <c r="M257" t="n">
        <v>0</v>
      </c>
      <c r="N257" t="n">
        <v>0</v>
      </c>
      <c r="O257" t="n">
        <v>0</v>
      </c>
      <c r="P257" t="n">
        <v>0</v>
      </c>
      <c r="Q257" t="n">
        <v>0</v>
      </c>
      <c r="R257" s="2" t="inlineStr"/>
    </row>
    <row r="258" ht="15" customHeight="1">
      <c r="A258" t="inlineStr">
        <is>
          <t>A 28395-2023</t>
        </is>
      </c>
      <c r="B258" s="1" t="n">
        <v>45100</v>
      </c>
      <c r="C258" s="1" t="n">
        <v>46202</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21028-2023</t>
        </is>
      </c>
      <c r="B259" s="1" t="n">
        <v>45061</v>
      </c>
      <c r="C259" s="1" t="n">
        <v>46202</v>
      </c>
      <c r="D259" t="inlineStr">
        <is>
          <t>KALMAR LÄN</t>
        </is>
      </c>
      <c r="E259" t="inlineStr">
        <is>
          <t>VIMMERBY</t>
        </is>
      </c>
      <c r="F259" t="inlineStr">
        <is>
          <t>Övriga Aktiebolag</t>
        </is>
      </c>
      <c r="G259" t="n">
        <v>0.7</v>
      </c>
      <c r="H259" t="n">
        <v>0</v>
      </c>
      <c r="I259" t="n">
        <v>0</v>
      </c>
      <c r="J259" t="n">
        <v>0</v>
      </c>
      <c r="K259" t="n">
        <v>0</v>
      </c>
      <c r="L259" t="n">
        <v>0</v>
      </c>
      <c r="M259" t="n">
        <v>0</v>
      </c>
      <c r="N259" t="n">
        <v>0</v>
      </c>
      <c r="O259" t="n">
        <v>0</v>
      </c>
      <c r="P259" t="n">
        <v>0</v>
      </c>
      <c r="Q259" t="n">
        <v>0</v>
      </c>
      <c r="R259" s="2" t="inlineStr"/>
    </row>
    <row r="260" ht="15" customHeight="1">
      <c r="A260" t="inlineStr">
        <is>
          <t>A 34597-2022</t>
        </is>
      </c>
      <c r="B260" s="1" t="n">
        <v>44795</v>
      </c>
      <c r="C260" s="1" t="n">
        <v>46202</v>
      </c>
      <c r="D260" t="inlineStr">
        <is>
          <t>KALMAR LÄN</t>
        </is>
      </c>
      <c r="E260" t="inlineStr">
        <is>
          <t>VIMMERBY</t>
        </is>
      </c>
      <c r="G260" t="n">
        <v>2.2</v>
      </c>
      <c r="H260" t="n">
        <v>0</v>
      </c>
      <c r="I260" t="n">
        <v>0</v>
      </c>
      <c r="J260" t="n">
        <v>0</v>
      </c>
      <c r="K260" t="n">
        <v>0</v>
      </c>
      <c r="L260" t="n">
        <v>0</v>
      </c>
      <c r="M260" t="n">
        <v>0</v>
      </c>
      <c r="N260" t="n">
        <v>0</v>
      </c>
      <c r="O260" t="n">
        <v>0</v>
      </c>
      <c r="P260" t="n">
        <v>0</v>
      </c>
      <c r="Q260" t="n">
        <v>0</v>
      </c>
      <c r="R260" s="2" t="inlineStr"/>
    </row>
    <row r="261" ht="15" customHeight="1">
      <c r="A261" t="inlineStr">
        <is>
          <t>A 6321-2023</t>
        </is>
      </c>
      <c r="B261" s="1" t="n">
        <v>44965</v>
      </c>
      <c r="C261" s="1" t="n">
        <v>46202</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4624-2024</t>
        </is>
      </c>
      <c r="B262" s="1" t="n">
        <v>45328</v>
      </c>
      <c r="C262" s="1" t="n">
        <v>46202</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27122-2023</t>
        </is>
      </c>
      <c r="B263" s="1" t="n">
        <v>45096</v>
      </c>
      <c r="C263" s="1" t="n">
        <v>46202</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64428-2023</t>
        </is>
      </c>
      <c r="B264" s="1" t="n">
        <v>45280</v>
      </c>
      <c r="C264" s="1" t="n">
        <v>46202</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13813-2024</t>
        </is>
      </c>
      <c r="B265" s="1" t="n">
        <v>45391</v>
      </c>
      <c r="C265" s="1" t="n">
        <v>46202</v>
      </c>
      <c r="D265" t="inlineStr">
        <is>
          <t>KALMAR LÄN</t>
        </is>
      </c>
      <c r="E265" t="inlineStr">
        <is>
          <t>VIMMERBY</t>
        </is>
      </c>
      <c r="G265" t="n">
        <v>0.4</v>
      </c>
      <c r="H265" t="n">
        <v>0</v>
      </c>
      <c r="I265" t="n">
        <v>0</v>
      </c>
      <c r="J265" t="n">
        <v>0</v>
      </c>
      <c r="K265" t="n">
        <v>0</v>
      </c>
      <c r="L265" t="n">
        <v>0</v>
      </c>
      <c r="M265" t="n">
        <v>0</v>
      </c>
      <c r="N265" t="n">
        <v>0</v>
      </c>
      <c r="O265" t="n">
        <v>0</v>
      </c>
      <c r="P265" t="n">
        <v>0</v>
      </c>
      <c r="Q265" t="n">
        <v>0</v>
      </c>
      <c r="R265" s="2" t="inlineStr"/>
    </row>
    <row r="266" ht="15" customHeight="1">
      <c r="A266" t="inlineStr">
        <is>
          <t>A 30588-2023</t>
        </is>
      </c>
      <c r="B266" s="1" t="n">
        <v>45112</v>
      </c>
      <c r="C266" s="1" t="n">
        <v>46202</v>
      </c>
      <c r="D266" t="inlineStr">
        <is>
          <t>KALMAR LÄN</t>
        </is>
      </c>
      <c r="E266" t="inlineStr">
        <is>
          <t>VIMMERBY</t>
        </is>
      </c>
      <c r="G266" t="n">
        <v>2.7</v>
      </c>
      <c r="H266" t="n">
        <v>0</v>
      </c>
      <c r="I266" t="n">
        <v>0</v>
      </c>
      <c r="J266" t="n">
        <v>0</v>
      </c>
      <c r="K266" t="n">
        <v>0</v>
      </c>
      <c r="L266" t="n">
        <v>0</v>
      </c>
      <c r="M266" t="n">
        <v>0</v>
      </c>
      <c r="N266" t="n">
        <v>0</v>
      </c>
      <c r="O266" t="n">
        <v>0</v>
      </c>
      <c r="P266" t="n">
        <v>0</v>
      </c>
      <c r="Q266" t="n">
        <v>0</v>
      </c>
      <c r="R266" s="2" t="inlineStr"/>
    </row>
    <row r="267" ht="15" customHeight="1">
      <c r="A267" t="inlineStr">
        <is>
          <t>A 30503-2023</t>
        </is>
      </c>
      <c r="B267" s="1" t="n">
        <v>45111</v>
      </c>
      <c r="C267" s="1" t="n">
        <v>46202</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40730-2024</t>
        </is>
      </c>
      <c r="B268" s="1" t="n">
        <v>45558</v>
      </c>
      <c r="C268" s="1" t="n">
        <v>46202</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46224-2024</t>
        </is>
      </c>
      <c r="B269" s="1" t="n">
        <v>45581</v>
      </c>
      <c r="C269" s="1" t="n">
        <v>46202</v>
      </c>
      <c r="D269" t="inlineStr">
        <is>
          <t>KALMAR LÄN</t>
        </is>
      </c>
      <c r="E269" t="inlineStr">
        <is>
          <t>VIMMERBY</t>
        </is>
      </c>
      <c r="G269" t="n">
        <v>3.1</v>
      </c>
      <c r="H269" t="n">
        <v>0</v>
      </c>
      <c r="I269" t="n">
        <v>0</v>
      </c>
      <c r="J269" t="n">
        <v>0</v>
      </c>
      <c r="K269" t="n">
        <v>0</v>
      </c>
      <c r="L269" t="n">
        <v>0</v>
      </c>
      <c r="M269" t="n">
        <v>0</v>
      </c>
      <c r="N269" t="n">
        <v>0</v>
      </c>
      <c r="O269" t="n">
        <v>0</v>
      </c>
      <c r="P269" t="n">
        <v>0</v>
      </c>
      <c r="Q269" t="n">
        <v>0</v>
      </c>
      <c r="R269" s="2" t="inlineStr"/>
    </row>
    <row r="270" ht="15" customHeight="1">
      <c r="A270" t="inlineStr">
        <is>
          <t>A 30633-2024</t>
        </is>
      </c>
      <c r="B270" s="1" t="n">
        <v>45495</v>
      </c>
      <c r="C270" s="1" t="n">
        <v>46202</v>
      </c>
      <c r="D270" t="inlineStr">
        <is>
          <t>KALMAR LÄN</t>
        </is>
      </c>
      <c r="E270" t="inlineStr">
        <is>
          <t>VIMMERBY</t>
        </is>
      </c>
      <c r="G270" t="n">
        <v>0.5</v>
      </c>
      <c r="H270" t="n">
        <v>0</v>
      </c>
      <c r="I270" t="n">
        <v>0</v>
      </c>
      <c r="J270" t="n">
        <v>0</v>
      </c>
      <c r="K270" t="n">
        <v>0</v>
      </c>
      <c r="L270" t="n">
        <v>0</v>
      </c>
      <c r="M270" t="n">
        <v>0</v>
      </c>
      <c r="N270" t="n">
        <v>0</v>
      </c>
      <c r="O270" t="n">
        <v>0</v>
      </c>
      <c r="P270" t="n">
        <v>0</v>
      </c>
      <c r="Q270" t="n">
        <v>0</v>
      </c>
      <c r="R270" s="2" t="inlineStr"/>
    </row>
    <row r="271" ht="15" customHeight="1">
      <c r="A271" t="inlineStr">
        <is>
          <t>A 2157-2024</t>
        </is>
      </c>
      <c r="B271" s="1" t="n">
        <v>45309</v>
      </c>
      <c r="C271" s="1" t="n">
        <v>46202</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57486-2024</t>
        </is>
      </c>
      <c r="B272" s="1" t="n">
        <v>45630</v>
      </c>
      <c r="C272" s="1" t="n">
        <v>46202</v>
      </c>
      <c r="D272" t="inlineStr">
        <is>
          <t>KALMAR LÄN</t>
        </is>
      </c>
      <c r="E272" t="inlineStr">
        <is>
          <t>VIMMERBY</t>
        </is>
      </c>
      <c r="G272" t="n">
        <v>0.4</v>
      </c>
      <c r="H272" t="n">
        <v>0</v>
      </c>
      <c r="I272" t="n">
        <v>0</v>
      </c>
      <c r="J272" t="n">
        <v>0</v>
      </c>
      <c r="K272" t="n">
        <v>0</v>
      </c>
      <c r="L272" t="n">
        <v>0</v>
      </c>
      <c r="M272" t="n">
        <v>0</v>
      </c>
      <c r="N272" t="n">
        <v>0</v>
      </c>
      <c r="O272" t="n">
        <v>0</v>
      </c>
      <c r="P272" t="n">
        <v>0</v>
      </c>
      <c r="Q272" t="n">
        <v>0</v>
      </c>
      <c r="R272" s="2" t="inlineStr"/>
    </row>
    <row r="273" ht="15" customHeight="1">
      <c r="A273" t="inlineStr">
        <is>
          <t>A 43186-2021</t>
        </is>
      </c>
      <c r="B273" s="1" t="n">
        <v>44431</v>
      </c>
      <c r="C273" s="1" t="n">
        <v>46202</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49461-2022</t>
        </is>
      </c>
      <c r="B274" s="1" t="n">
        <v>44861</v>
      </c>
      <c r="C274" s="1" t="n">
        <v>46202</v>
      </c>
      <c r="D274" t="inlineStr">
        <is>
          <t>KALMAR LÄN</t>
        </is>
      </c>
      <c r="E274" t="inlineStr">
        <is>
          <t>VIMMERBY</t>
        </is>
      </c>
      <c r="G274" t="n">
        <v>3.2</v>
      </c>
      <c r="H274" t="n">
        <v>0</v>
      </c>
      <c r="I274" t="n">
        <v>0</v>
      </c>
      <c r="J274" t="n">
        <v>0</v>
      </c>
      <c r="K274" t="n">
        <v>0</v>
      </c>
      <c r="L274" t="n">
        <v>0</v>
      </c>
      <c r="M274" t="n">
        <v>0</v>
      </c>
      <c r="N274" t="n">
        <v>0</v>
      </c>
      <c r="O274" t="n">
        <v>0</v>
      </c>
      <c r="P274" t="n">
        <v>0</v>
      </c>
      <c r="Q274" t="n">
        <v>0</v>
      </c>
      <c r="R274" s="2" t="inlineStr"/>
    </row>
    <row r="275" ht="15" customHeight="1">
      <c r="A275" t="inlineStr">
        <is>
          <t>A 54838-2024</t>
        </is>
      </c>
      <c r="B275" s="1" t="n">
        <v>45618</v>
      </c>
      <c r="C275" s="1" t="n">
        <v>46202</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6405-2025</t>
        </is>
      </c>
      <c r="B276" s="1" t="n">
        <v>45699</v>
      </c>
      <c r="C276" s="1" t="n">
        <v>46202</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60437-2023</t>
        </is>
      </c>
      <c r="B277" s="1" t="n">
        <v>45259</v>
      </c>
      <c r="C277" s="1" t="n">
        <v>46202</v>
      </c>
      <c r="D277" t="inlineStr">
        <is>
          <t>KALMAR LÄN</t>
        </is>
      </c>
      <c r="E277" t="inlineStr">
        <is>
          <t>VIMMERBY</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60438-2023</t>
        </is>
      </c>
      <c r="B278" s="1" t="n">
        <v>45259</v>
      </c>
      <c r="C278" s="1" t="n">
        <v>46202</v>
      </c>
      <c r="D278" t="inlineStr">
        <is>
          <t>KALMAR LÄN</t>
        </is>
      </c>
      <c r="E278" t="inlineStr">
        <is>
          <t>VIMMERBY</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694-2024</t>
        </is>
      </c>
      <c r="B279" s="1" t="n">
        <v>45300</v>
      </c>
      <c r="C279" s="1" t="n">
        <v>46202</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42165-2024</t>
        </is>
      </c>
      <c r="B280" s="1" t="n">
        <v>45562</v>
      </c>
      <c r="C280" s="1" t="n">
        <v>46202</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59598-2023</t>
        </is>
      </c>
      <c r="B281" s="1" t="n">
        <v>45254</v>
      </c>
      <c r="C281" s="1" t="n">
        <v>46202</v>
      </c>
      <c r="D281" t="inlineStr">
        <is>
          <t>KALMAR LÄN</t>
        </is>
      </c>
      <c r="E281" t="inlineStr">
        <is>
          <t>VIMMERBY</t>
        </is>
      </c>
      <c r="F281" t="inlineStr">
        <is>
          <t>Övriga Aktiebolag</t>
        </is>
      </c>
      <c r="G281" t="n">
        <v>4</v>
      </c>
      <c r="H281" t="n">
        <v>0</v>
      </c>
      <c r="I281" t="n">
        <v>0</v>
      </c>
      <c r="J281" t="n">
        <v>0</v>
      </c>
      <c r="K281" t="n">
        <v>0</v>
      </c>
      <c r="L281" t="n">
        <v>0</v>
      </c>
      <c r="M281" t="n">
        <v>0</v>
      </c>
      <c r="N281" t="n">
        <v>0</v>
      </c>
      <c r="O281" t="n">
        <v>0</v>
      </c>
      <c r="P281" t="n">
        <v>0</v>
      </c>
      <c r="Q281" t="n">
        <v>0</v>
      </c>
      <c r="R281" s="2" t="inlineStr"/>
    </row>
    <row r="282" ht="15" customHeight="1">
      <c r="A282" t="inlineStr">
        <is>
          <t>A 7944-2024</t>
        </is>
      </c>
      <c r="B282" s="1" t="n">
        <v>45350</v>
      </c>
      <c r="C282" s="1" t="n">
        <v>46202</v>
      </c>
      <c r="D282" t="inlineStr">
        <is>
          <t>KALMAR LÄN</t>
        </is>
      </c>
      <c r="E282" t="inlineStr">
        <is>
          <t>VIMMERBY</t>
        </is>
      </c>
      <c r="G282" t="n">
        <v>1.2</v>
      </c>
      <c r="H282" t="n">
        <v>0</v>
      </c>
      <c r="I282" t="n">
        <v>0</v>
      </c>
      <c r="J282" t="n">
        <v>0</v>
      </c>
      <c r="K282" t="n">
        <v>0</v>
      </c>
      <c r="L282" t="n">
        <v>0</v>
      </c>
      <c r="M282" t="n">
        <v>0</v>
      </c>
      <c r="N282" t="n">
        <v>0</v>
      </c>
      <c r="O282" t="n">
        <v>0</v>
      </c>
      <c r="P282" t="n">
        <v>0</v>
      </c>
      <c r="Q282" t="n">
        <v>0</v>
      </c>
      <c r="R282" s="2" t="inlineStr"/>
    </row>
    <row r="283" ht="15" customHeight="1">
      <c r="A283" t="inlineStr">
        <is>
          <t>A 47263-2023</t>
        </is>
      </c>
      <c r="B283" s="1" t="n">
        <v>45202</v>
      </c>
      <c r="C283" s="1" t="n">
        <v>46202</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58100-2024</t>
        </is>
      </c>
      <c r="B284" s="1" t="n">
        <v>45632</v>
      </c>
      <c r="C284" s="1" t="n">
        <v>46202</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21496-2023</t>
        </is>
      </c>
      <c r="B285" s="1" t="n">
        <v>45063</v>
      </c>
      <c r="C285" s="1" t="n">
        <v>46202</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57114-2023</t>
        </is>
      </c>
      <c r="B286" s="1" t="n">
        <v>45245</v>
      </c>
      <c r="C286" s="1" t="n">
        <v>46202</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3423-2022</t>
        </is>
      </c>
      <c r="B287" s="1" t="n">
        <v>44585</v>
      </c>
      <c r="C287" s="1" t="n">
        <v>46202</v>
      </c>
      <c r="D287" t="inlineStr">
        <is>
          <t>KALMAR LÄN</t>
        </is>
      </c>
      <c r="E287" t="inlineStr">
        <is>
          <t>VIMMERBY</t>
        </is>
      </c>
      <c r="G287" t="n">
        <v>1.7</v>
      </c>
      <c r="H287" t="n">
        <v>0</v>
      </c>
      <c r="I287" t="n">
        <v>0</v>
      </c>
      <c r="J287" t="n">
        <v>0</v>
      </c>
      <c r="K287" t="n">
        <v>0</v>
      </c>
      <c r="L287" t="n">
        <v>0</v>
      </c>
      <c r="M287" t="n">
        <v>0</v>
      </c>
      <c r="N287" t="n">
        <v>0</v>
      </c>
      <c r="O287" t="n">
        <v>0</v>
      </c>
      <c r="P287" t="n">
        <v>0</v>
      </c>
      <c r="Q287" t="n">
        <v>0</v>
      </c>
      <c r="R287" s="2" t="inlineStr"/>
    </row>
    <row r="288" ht="15" customHeight="1">
      <c r="A288" t="inlineStr">
        <is>
          <t>A 25244-2023</t>
        </is>
      </c>
      <c r="B288" s="1" t="n">
        <v>45086</v>
      </c>
      <c r="C288" s="1" t="n">
        <v>46202</v>
      </c>
      <c r="D288" t="inlineStr">
        <is>
          <t>KALMAR LÄN</t>
        </is>
      </c>
      <c r="E288" t="inlineStr">
        <is>
          <t>VIMMERBY</t>
        </is>
      </c>
      <c r="G288" t="n">
        <v>4.7</v>
      </c>
      <c r="H288" t="n">
        <v>0</v>
      </c>
      <c r="I288" t="n">
        <v>0</v>
      </c>
      <c r="J288" t="n">
        <v>0</v>
      </c>
      <c r="K288" t="n">
        <v>0</v>
      </c>
      <c r="L288" t="n">
        <v>0</v>
      </c>
      <c r="M288" t="n">
        <v>0</v>
      </c>
      <c r="N288" t="n">
        <v>0</v>
      </c>
      <c r="O288" t="n">
        <v>0</v>
      </c>
      <c r="P288" t="n">
        <v>0</v>
      </c>
      <c r="Q288" t="n">
        <v>0</v>
      </c>
      <c r="R288" s="2" t="inlineStr"/>
    </row>
    <row r="289" ht="15" customHeight="1">
      <c r="A289" t="inlineStr">
        <is>
          <t>A 30063-2023</t>
        </is>
      </c>
      <c r="B289" s="1" t="n">
        <v>45110</v>
      </c>
      <c r="C289" s="1" t="n">
        <v>46202</v>
      </c>
      <c r="D289" t="inlineStr">
        <is>
          <t>KALMAR LÄN</t>
        </is>
      </c>
      <c r="E289" t="inlineStr">
        <is>
          <t>VIMMERBY</t>
        </is>
      </c>
      <c r="G289" t="n">
        <v>1.2</v>
      </c>
      <c r="H289" t="n">
        <v>0</v>
      </c>
      <c r="I289" t="n">
        <v>0</v>
      </c>
      <c r="J289" t="n">
        <v>0</v>
      </c>
      <c r="K289" t="n">
        <v>0</v>
      </c>
      <c r="L289" t="n">
        <v>0</v>
      </c>
      <c r="M289" t="n">
        <v>0</v>
      </c>
      <c r="N289" t="n">
        <v>0</v>
      </c>
      <c r="O289" t="n">
        <v>0</v>
      </c>
      <c r="P289" t="n">
        <v>0</v>
      </c>
      <c r="Q289" t="n">
        <v>0</v>
      </c>
      <c r="R289" s="2" t="inlineStr"/>
    </row>
    <row r="290" ht="15" customHeight="1">
      <c r="A290" t="inlineStr">
        <is>
          <t>A 40665-2023</t>
        </is>
      </c>
      <c r="B290" s="1" t="n">
        <v>45170</v>
      </c>
      <c r="C290" s="1" t="n">
        <v>46202</v>
      </c>
      <c r="D290" t="inlineStr">
        <is>
          <t>KALMAR LÄN</t>
        </is>
      </c>
      <c r="E290" t="inlineStr">
        <is>
          <t>VIMMERBY</t>
        </is>
      </c>
      <c r="G290" t="n">
        <v>2.6</v>
      </c>
      <c r="H290" t="n">
        <v>0</v>
      </c>
      <c r="I290" t="n">
        <v>0</v>
      </c>
      <c r="J290" t="n">
        <v>0</v>
      </c>
      <c r="K290" t="n">
        <v>0</v>
      </c>
      <c r="L290" t="n">
        <v>0</v>
      </c>
      <c r="M290" t="n">
        <v>0</v>
      </c>
      <c r="N290" t="n">
        <v>0</v>
      </c>
      <c r="O290" t="n">
        <v>0</v>
      </c>
      <c r="P290" t="n">
        <v>0</v>
      </c>
      <c r="Q290" t="n">
        <v>0</v>
      </c>
      <c r="R290" s="2" t="inlineStr"/>
    </row>
    <row r="291" ht="15" customHeight="1">
      <c r="A291" t="inlineStr">
        <is>
          <t>A 66022-2021</t>
        </is>
      </c>
      <c r="B291" s="1" t="n">
        <v>44517</v>
      </c>
      <c r="C291" s="1" t="n">
        <v>46202</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35895-2024</t>
        </is>
      </c>
      <c r="B292" s="1" t="n">
        <v>45533</v>
      </c>
      <c r="C292" s="1" t="n">
        <v>46202</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11073-2023</t>
        </is>
      </c>
      <c r="B293" s="1" t="n">
        <v>44992</v>
      </c>
      <c r="C293" s="1" t="n">
        <v>46202</v>
      </c>
      <c r="D293" t="inlineStr">
        <is>
          <t>KALMAR LÄN</t>
        </is>
      </c>
      <c r="E293" t="inlineStr">
        <is>
          <t>VIMMERBY</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50860-2022</t>
        </is>
      </c>
      <c r="B294" s="1" t="n">
        <v>44867</v>
      </c>
      <c r="C294" s="1" t="n">
        <v>46202</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35198-2023</t>
        </is>
      </c>
      <c r="B295" s="1" t="n">
        <v>45145</v>
      </c>
      <c r="C295" s="1" t="n">
        <v>46202</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25370-2022</t>
        </is>
      </c>
      <c r="B296" s="1" t="n">
        <v>44732</v>
      </c>
      <c r="C296" s="1" t="n">
        <v>46202</v>
      </c>
      <c r="D296" t="inlineStr">
        <is>
          <t>KALMAR LÄN</t>
        </is>
      </c>
      <c r="E296" t="inlineStr">
        <is>
          <t>VIMMERBY</t>
        </is>
      </c>
      <c r="G296" t="n">
        <v>1.2</v>
      </c>
      <c r="H296" t="n">
        <v>0</v>
      </c>
      <c r="I296" t="n">
        <v>0</v>
      </c>
      <c r="J296" t="n">
        <v>0</v>
      </c>
      <c r="K296" t="n">
        <v>0</v>
      </c>
      <c r="L296" t="n">
        <v>0</v>
      </c>
      <c r="M296" t="n">
        <v>0</v>
      </c>
      <c r="N296" t="n">
        <v>0</v>
      </c>
      <c r="O296" t="n">
        <v>0</v>
      </c>
      <c r="P296" t="n">
        <v>0</v>
      </c>
      <c r="Q296" t="n">
        <v>0</v>
      </c>
      <c r="R296" s="2" t="inlineStr"/>
    </row>
    <row r="297" ht="15" customHeight="1">
      <c r="A297" t="inlineStr">
        <is>
          <t>A 58577-2024</t>
        </is>
      </c>
      <c r="B297" s="1" t="n">
        <v>45635</v>
      </c>
      <c r="C297" s="1" t="n">
        <v>46202</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29440-2024</t>
        </is>
      </c>
      <c r="B298" s="1" t="n">
        <v>45483</v>
      </c>
      <c r="C298" s="1" t="n">
        <v>46202</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43853-2023</t>
        </is>
      </c>
      <c r="B299" s="1" t="n">
        <v>45187</v>
      </c>
      <c r="C299" s="1" t="n">
        <v>46202</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32655-2023</t>
        </is>
      </c>
      <c r="B300" s="1" t="n">
        <v>45121</v>
      </c>
      <c r="C300" s="1" t="n">
        <v>46202</v>
      </c>
      <c r="D300" t="inlineStr">
        <is>
          <t>KALMAR LÄN</t>
        </is>
      </c>
      <c r="E300" t="inlineStr">
        <is>
          <t>VIMMERBY</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63541-2023</t>
        </is>
      </c>
      <c r="B301" s="1" t="n">
        <v>45275</v>
      </c>
      <c r="C301" s="1" t="n">
        <v>46202</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9511-2023</t>
        </is>
      </c>
      <c r="B302" s="1" t="n">
        <v>44981</v>
      </c>
      <c r="C302" s="1" t="n">
        <v>46202</v>
      </c>
      <c r="D302" t="inlineStr">
        <is>
          <t>KALMAR LÄN</t>
        </is>
      </c>
      <c r="E302" t="inlineStr">
        <is>
          <t>VIMMERBY</t>
        </is>
      </c>
      <c r="G302" t="n">
        <v>3.5</v>
      </c>
      <c r="H302" t="n">
        <v>0</v>
      </c>
      <c r="I302" t="n">
        <v>0</v>
      </c>
      <c r="J302" t="n">
        <v>0</v>
      </c>
      <c r="K302" t="n">
        <v>0</v>
      </c>
      <c r="L302" t="n">
        <v>0</v>
      </c>
      <c r="M302" t="n">
        <v>0</v>
      </c>
      <c r="N302" t="n">
        <v>0</v>
      </c>
      <c r="O302" t="n">
        <v>0</v>
      </c>
      <c r="P302" t="n">
        <v>0</v>
      </c>
      <c r="Q302" t="n">
        <v>0</v>
      </c>
      <c r="R302" s="2" t="inlineStr"/>
    </row>
    <row r="303" ht="15" customHeight="1">
      <c r="A303" t="inlineStr">
        <is>
          <t>A 9129-2025</t>
        </is>
      </c>
      <c r="B303" s="1" t="n">
        <v>45713</v>
      </c>
      <c r="C303" s="1" t="n">
        <v>46202</v>
      </c>
      <c r="D303" t="inlineStr">
        <is>
          <t>KALMAR LÄN</t>
        </is>
      </c>
      <c r="E303" t="inlineStr">
        <is>
          <t>VIMMERBY</t>
        </is>
      </c>
      <c r="G303" t="n">
        <v>2.8</v>
      </c>
      <c r="H303" t="n">
        <v>0</v>
      </c>
      <c r="I303" t="n">
        <v>0</v>
      </c>
      <c r="J303" t="n">
        <v>0</v>
      </c>
      <c r="K303" t="n">
        <v>0</v>
      </c>
      <c r="L303" t="n">
        <v>0</v>
      </c>
      <c r="M303" t="n">
        <v>0</v>
      </c>
      <c r="N303" t="n">
        <v>0</v>
      </c>
      <c r="O303" t="n">
        <v>0</v>
      </c>
      <c r="P303" t="n">
        <v>0</v>
      </c>
      <c r="Q303" t="n">
        <v>0</v>
      </c>
      <c r="R303" s="2" t="inlineStr"/>
    </row>
    <row r="304" ht="15" customHeight="1">
      <c r="A304" t="inlineStr">
        <is>
          <t>A 53752-2024</t>
        </is>
      </c>
      <c r="B304" s="1" t="n">
        <v>45615</v>
      </c>
      <c r="C304" s="1" t="n">
        <v>46202</v>
      </c>
      <c r="D304" t="inlineStr">
        <is>
          <t>KALMAR LÄN</t>
        </is>
      </c>
      <c r="E304" t="inlineStr">
        <is>
          <t>VIMMERBY</t>
        </is>
      </c>
      <c r="G304" t="n">
        <v>2.4</v>
      </c>
      <c r="H304" t="n">
        <v>0</v>
      </c>
      <c r="I304" t="n">
        <v>0</v>
      </c>
      <c r="J304" t="n">
        <v>0</v>
      </c>
      <c r="K304" t="n">
        <v>0</v>
      </c>
      <c r="L304" t="n">
        <v>0</v>
      </c>
      <c r="M304" t="n">
        <v>0</v>
      </c>
      <c r="N304" t="n">
        <v>0</v>
      </c>
      <c r="O304" t="n">
        <v>0</v>
      </c>
      <c r="P304" t="n">
        <v>0</v>
      </c>
      <c r="Q304" t="n">
        <v>0</v>
      </c>
      <c r="R304" s="2" t="inlineStr"/>
    </row>
    <row r="305" ht="15" customHeight="1">
      <c r="A305" t="inlineStr">
        <is>
          <t>A 38757-2023</t>
        </is>
      </c>
      <c r="B305" s="1" t="n">
        <v>45163</v>
      </c>
      <c r="C305" s="1" t="n">
        <v>46202</v>
      </c>
      <c r="D305" t="inlineStr">
        <is>
          <t>KALMAR LÄN</t>
        </is>
      </c>
      <c r="E305" t="inlineStr">
        <is>
          <t>VIMMERBY</t>
        </is>
      </c>
      <c r="G305" t="n">
        <v>2.5</v>
      </c>
      <c r="H305" t="n">
        <v>0</v>
      </c>
      <c r="I305" t="n">
        <v>0</v>
      </c>
      <c r="J305" t="n">
        <v>0</v>
      </c>
      <c r="K305" t="n">
        <v>0</v>
      </c>
      <c r="L305" t="n">
        <v>0</v>
      </c>
      <c r="M305" t="n">
        <v>0</v>
      </c>
      <c r="N305" t="n">
        <v>0</v>
      </c>
      <c r="O305" t="n">
        <v>0</v>
      </c>
      <c r="P305" t="n">
        <v>0</v>
      </c>
      <c r="Q305" t="n">
        <v>0</v>
      </c>
      <c r="R305" s="2" t="inlineStr"/>
    </row>
    <row r="306" ht="15" customHeight="1">
      <c r="A306" t="inlineStr">
        <is>
          <t>A 28034-2022</t>
        </is>
      </c>
      <c r="B306" s="1" t="n">
        <v>44746</v>
      </c>
      <c r="C306" s="1" t="n">
        <v>46202</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5938-2022</t>
        </is>
      </c>
      <c r="B307" s="1" t="n">
        <v>44598</v>
      </c>
      <c r="C307" s="1" t="n">
        <v>46202</v>
      </c>
      <c r="D307" t="inlineStr">
        <is>
          <t>KALMAR LÄN</t>
        </is>
      </c>
      <c r="E307" t="inlineStr">
        <is>
          <t>VIMMERBY</t>
        </is>
      </c>
      <c r="G307" t="n">
        <v>2.4</v>
      </c>
      <c r="H307" t="n">
        <v>0</v>
      </c>
      <c r="I307" t="n">
        <v>0</v>
      </c>
      <c r="J307" t="n">
        <v>0</v>
      </c>
      <c r="K307" t="n">
        <v>0</v>
      </c>
      <c r="L307" t="n">
        <v>0</v>
      </c>
      <c r="M307" t="n">
        <v>0</v>
      </c>
      <c r="N307" t="n">
        <v>0</v>
      </c>
      <c r="O307" t="n">
        <v>0</v>
      </c>
      <c r="P307" t="n">
        <v>0</v>
      </c>
      <c r="Q307" t="n">
        <v>0</v>
      </c>
      <c r="R307" s="2" t="inlineStr"/>
    </row>
    <row r="308" ht="15" customHeight="1">
      <c r="A308" t="inlineStr">
        <is>
          <t>A 24283-2023</t>
        </is>
      </c>
      <c r="B308" s="1" t="n">
        <v>45079</v>
      </c>
      <c r="C308" s="1" t="n">
        <v>46202</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43068-2023</t>
        </is>
      </c>
      <c r="B309" s="1" t="n">
        <v>45182</v>
      </c>
      <c r="C309" s="1" t="n">
        <v>46202</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64143-2021</t>
        </is>
      </c>
      <c r="B310" s="1" t="n">
        <v>44510</v>
      </c>
      <c r="C310" s="1" t="n">
        <v>46202</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73938-2021</t>
        </is>
      </c>
      <c r="B311" s="1" t="n">
        <v>44553</v>
      </c>
      <c r="C311" s="1" t="n">
        <v>46202</v>
      </c>
      <c r="D311" t="inlineStr">
        <is>
          <t>KALMAR LÄN</t>
        </is>
      </c>
      <c r="E311" t="inlineStr">
        <is>
          <t>VIMMERBY</t>
        </is>
      </c>
      <c r="G311" t="n">
        <v>3.2</v>
      </c>
      <c r="H311" t="n">
        <v>0</v>
      </c>
      <c r="I311" t="n">
        <v>0</v>
      </c>
      <c r="J311" t="n">
        <v>0</v>
      </c>
      <c r="K311" t="n">
        <v>0</v>
      </c>
      <c r="L311" t="n">
        <v>0</v>
      </c>
      <c r="M311" t="n">
        <v>0</v>
      </c>
      <c r="N311" t="n">
        <v>0</v>
      </c>
      <c r="O311" t="n">
        <v>0</v>
      </c>
      <c r="P311" t="n">
        <v>0</v>
      </c>
      <c r="Q311" t="n">
        <v>0</v>
      </c>
      <c r="R311" s="2" t="inlineStr"/>
    </row>
    <row r="312" ht="15" customHeight="1">
      <c r="A312" t="inlineStr">
        <is>
          <t>A 18020-2025</t>
        </is>
      </c>
      <c r="B312" s="1" t="n">
        <v>45761</v>
      </c>
      <c r="C312" s="1" t="n">
        <v>46202</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40076-2021</t>
        </is>
      </c>
      <c r="B313" s="1" t="n">
        <v>44418</v>
      </c>
      <c r="C313" s="1" t="n">
        <v>46202</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33424-2023</t>
        </is>
      </c>
      <c r="B314" s="1" t="n">
        <v>45128</v>
      </c>
      <c r="C314" s="1" t="n">
        <v>46202</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33425-2023</t>
        </is>
      </c>
      <c r="B315" s="1" t="n">
        <v>45128</v>
      </c>
      <c r="C315" s="1" t="n">
        <v>46202</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12327-2023</t>
        </is>
      </c>
      <c r="B316" s="1" t="n">
        <v>44999</v>
      </c>
      <c r="C316" s="1" t="n">
        <v>46202</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2462-2022</t>
        </is>
      </c>
      <c r="B317" s="1" t="n">
        <v>44579</v>
      </c>
      <c r="C317" s="1" t="n">
        <v>46202</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60228-2021</t>
        </is>
      </c>
      <c r="B318" s="1" t="n">
        <v>44495</v>
      </c>
      <c r="C318" s="1" t="n">
        <v>46202</v>
      </c>
      <c r="D318" t="inlineStr">
        <is>
          <t>KALMAR LÄN</t>
        </is>
      </c>
      <c r="E318" t="inlineStr">
        <is>
          <t>VIMMERBY</t>
        </is>
      </c>
      <c r="G318" t="n">
        <v>4.1</v>
      </c>
      <c r="H318" t="n">
        <v>0</v>
      </c>
      <c r="I318" t="n">
        <v>0</v>
      </c>
      <c r="J318" t="n">
        <v>0</v>
      </c>
      <c r="K318" t="n">
        <v>0</v>
      </c>
      <c r="L318" t="n">
        <v>0</v>
      </c>
      <c r="M318" t="n">
        <v>0</v>
      </c>
      <c r="N318" t="n">
        <v>0</v>
      </c>
      <c r="O318" t="n">
        <v>0</v>
      </c>
      <c r="P318" t="n">
        <v>0</v>
      </c>
      <c r="Q318" t="n">
        <v>0</v>
      </c>
      <c r="R318" s="2" t="inlineStr"/>
    </row>
    <row r="319" ht="15" customHeight="1">
      <c r="A319" t="inlineStr">
        <is>
          <t>A 9710-2023</t>
        </is>
      </c>
      <c r="B319" s="1" t="n">
        <v>44984</v>
      </c>
      <c r="C319" s="1" t="n">
        <v>46202</v>
      </c>
      <c r="D319" t="inlineStr">
        <is>
          <t>KALMAR LÄN</t>
        </is>
      </c>
      <c r="E319" t="inlineStr">
        <is>
          <t>VIMMERBY</t>
        </is>
      </c>
      <c r="G319" t="n">
        <v>3.7</v>
      </c>
      <c r="H319" t="n">
        <v>0</v>
      </c>
      <c r="I319" t="n">
        <v>0</v>
      </c>
      <c r="J319" t="n">
        <v>0</v>
      </c>
      <c r="K319" t="n">
        <v>0</v>
      </c>
      <c r="L319" t="n">
        <v>0</v>
      </c>
      <c r="M319" t="n">
        <v>0</v>
      </c>
      <c r="N319" t="n">
        <v>0</v>
      </c>
      <c r="O319" t="n">
        <v>0</v>
      </c>
      <c r="P319" t="n">
        <v>0</v>
      </c>
      <c r="Q319" t="n">
        <v>0</v>
      </c>
      <c r="R319" s="2" t="inlineStr"/>
    </row>
    <row r="320" ht="15" customHeight="1">
      <c r="A320" t="inlineStr">
        <is>
          <t>A 50648-2023</t>
        </is>
      </c>
      <c r="B320" s="1" t="n">
        <v>45217</v>
      </c>
      <c r="C320" s="1" t="n">
        <v>46202</v>
      </c>
      <c r="D320" t="inlineStr">
        <is>
          <t>KALMAR LÄN</t>
        </is>
      </c>
      <c r="E320" t="inlineStr">
        <is>
          <t>VIMMERBY</t>
        </is>
      </c>
      <c r="G320" t="n">
        <v>1.6</v>
      </c>
      <c r="H320" t="n">
        <v>0</v>
      </c>
      <c r="I320" t="n">
        <v>0</v>
      </c>
      <c r="J320" t="n">
        <v>0</v>
      </c>
      <c r="K320" t="n">
        <v>0</v>
      </c>
      <c r="L320" t="n">
        <v>0</v>
      </c>
      <c r="M320" t="n">
        <v>0</v>
      </c>
      <c r="N320" t="n">
        <v>0</v>
      </c>
      <c r="O320" t="n">
        <v>0</v>
      </c>
      <c r="P320" t="n">
        <v>0</v>
      </c>
      <c r="Q320" t="n">
        <v>0</v>
      </c>
      <c r="R320" s="2" t="inlineStr"/>
    </row>
    <row r="321" ht="15" customHeight="1">
      <c r="A321" t="inlineStr">
        <is>
          <t>A 9720-2023</t>
        </is>
      </c>
      <c r="B321" s="1" t="n">
        <v>44984</v>
      </c>
      <c r="C321" s="1" t="n">
        <v>46202</v>
      </c>
      <c r="D321" t="inlineStr">
        <is>
          <t>KALMAR LÄN</t>
        </is>
      </c>
      <c r="E321" t="inlineStr">
        <is>
          <t>VIMMERBY</t>
        </is>
      </c>
      <c r="G321" t="n">
        <v>4.4</v>
      </c>
      <c r="H321" t="n">
        <v>0</v>
      </c>
      <c r="I321" t="n">
        <v>0</v>
      </c>
      <c r="J321" t="n">
        <v>0</v>
      </c>
      <c r="K321" t="n">
        <v>0</v>
      </c>
      <c r="L321" t="n">
        <v>0</v>
      </c>
      <c r="M321" t="n">
        <v>0</v>
      </c>
      <c r="N321" t="n">
        <v>0</v>
      </c>
      <c r="O321" t="n">
        <v>0</v>
      </c>
      <c r="P321" t="n">
        <v>0</v>
      </c>
      <c r="Q321" t="n">
        <v>0</v>
      </c>
      <c r="R321" s="2" t="inlineStr"/>
    </row>
    <row r="322" ht="15" customHeight="1">
      <c r="A322" t="inlineStr">
        <is>
          <t>A 529-2022</t>
        </is>
      </c>
      <c r="B322" s="1" t="n">
        <v>44566</v>
      </c>
      <c r="C322" s="1" t="n">
        <v>46202</v>
      </c>
      <c r="D322" t="inlineStr">
        <is>
          <t>KALMAR LÄN</t>
        </is>
      </c>
      <c r="E322" t="inlineStr">
        <is>
          <t>VIMMERBY</t>
        </is>
      </c>
      <c r="G322" t="n">
        <v>1.5</v>
      </c>
      <c r="H322" t="n">
        <v>0</v>
      </c>
      <c r="I322" t="n">
        <v>0</v>
      </c>
      <c r="J322" t="n">
        <v>0</v>
      </c>
      <c r="K322" t="n">
        <v>0</v>
      </c>
      <c r="L322" t="n">
        <v>0</v>
      </c>
      <c r="M322" t="n">
        <v>0</v>
      </c>
      <c r="N322" t="n">
        <v>0</v>
      </c>
      <c r="O322" t="n">
        <v>0</v>
      </c>
      <c r="P322" t="n">
        <v>0</v>
      </c>
      <c r="Q322" t="n">
        <v>0</v>
      </c>
      <c r="R322" s="2" t="inlineStr"/>
    </row>
    <row r="323" ht="15" customHeight="1">
      <c r="A323" t="inlineStr">
        <is>
          <t>A 52435-2021</t>
        </is>
      </c>
      <c r="B323" s="1" t="n">
        <v>44466</v>
      </c>
      <c r="C323" s="1" t="n">
        <v>46202</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58318-2021</t>
        </is>
      </c>
      <c r="B324" s="1" t="n">
        <v>44488</v>
      </c>
      <c r="C324" s="1" t="n">
        <v>46202</v>
      </c>
      <c r="D324" t="inlineStr">
        <is>
          <t>KALMAR LÄN</t>
        </is>
      </c>
      <c r="E324" t="inlineStr">
        <is>
          <t>VIMMERBY</t>
        </is>
      </c>
      <c r="G324" t="n">
        <v>4</v>
      </c>
      <c r="H324" t="n">
        <v>0</v>
      </c>
      <c r="I324" t="n">
        <v>0</v>
      </c>
      <c r="J324" t="n">
        <v>0</v>
      </c>
      <c r="K324" t="n">
        <v>0</v>
      </c>
      <c r="L324" t="n">
        <v>0</v>
      </c>
      <c r="M324" t="n">
        <v>0</v>
      </c>
      <c r="N324" t="n">
        <v>0</v>
      </c>
      <c r="O324" t="n">
        <v>0</v>
      </c>
      <c r="P324" t="n">
        <v>0</v>
      </c>
      <c r="Q324" t="n">
        <v>0</v>
      </c>
      <c r="R324" s="2" t="inlineStr"/>
    </row>
    <row r="325" ht="15" customHeight="1">
      <c r="A325" t="inlineStr">
        <is>
          <t>A 25979-2023</t>
        </is>
      </c>
      <c r="B325" s="1" t="n">
        <v>45090</v>
      </c>
      <c r="C325" s="1" t="n">
        <v>46202</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25980-2023</t>
        </is>
      </c>
      <c r="B326" s="1" t="n">
        <v>45090</v>
      </c>
      <c r="C326" s="1" t="n">
        <v>46202</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89-2023</t>
        </is>
      </c>
      <c r="B327" s="1" t="n">
        <v>44918</v>
      </c>
      <c r="C327" s="1" t="n">
        <v>46202</v>
      </c>
      <c r="D327" t="inlineStr">
        <is>
          <t>KALMAR LÄN</t>
        </is>
      </c>
      <c r="E327" t="inlineStr">
        <is>
          <t>VIMMERBY</t>
        </is>
      </c>
      <c r="G327" t="n">
        <v>16.1</v>
      </c>
      <c r="H327" t="n">
        <v>0</v>
      </c>
      <c r="I327" t="n">
        <v>0</v>
      </c>
      <c r="J327" t="n">
        <v>0</v>
      </c>
      <c r="K327" t="n">
        <v>0</v>
      </c>
      <c r="L327" t="n">
        <v>0</v>
      </c>
      <c r="M327" t="n">
        <v>0</v>
      </c>
      <c r="N327" t="n">
        <v>0</v>
      </c>
      <c r="O327" t="n">
        <v>0</v>
      </c>
      <c r="P327" t="n">
        <v>0</v>
      </c>
      <c r="Q327" t="n">
        <v>0</v>
      </c>
      <c r="R327" s="2" t="inlineStr"/>
    </row>
    <row r="328" ht="15" customHeight="1">
      <c r="A328" t="inlineStr">
        <is>
          <t>A 15493-2023</t>
        </is>
      </c>
      <c r="B328" s="1" t="n">
        <v>45018</v>
      </c>
      <c r="C328" s="1" t="n">
        <v>46202</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12510-2022</t>
        </is>
      </c>
      <c r="B329" s="1" t="n">
        <v>44638</v>
      </c>
      <c r="C329" s="1" t="n">
        <v>46202</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23088-2024</t>
        </is>
      </c>
      <c r="B330" s="1" t="n">
        <v>45450</v>
      </c>
      <c r="C330" s="1" t="n">
        <v>46202</v>
      </c>
      <c r="D330" t="inlineStr">
        <is>
          <t>KALMAR LÄN</t>
        </is>
      </c>
      <c r="E330" t="inlineStr">
        <is>
          <t>VIMMERBY</t>
        </is>
      </c>
      <c r="G330" t="n">
        <v>1.9</v>
      </c>
      <c r="H330" t="n">
        <v>0</v>
      </c>
      <c r="I330" t="n">
        <v>0</v>
      </c>
      <c r="J330" t="n">
        <v>0</v>
      </c>
      <c r="K330" t="n">
        <v>0</v>
      </c>
      <c r="L330" t="n">
        <v>0</v>
      </c>
      <c r="M330" t="n">
        <v>0</v>
      </c>
      <c r="N330" t="n">
        <v>0</v>
      </c>
      <c r="O330" t="n">
        <v>0</v>
      </c>
      <c r="P330" t="n">
        <v>0</v>
      </c>
      <c r="Q330" t="n">
        <v>0</v>
      </c>
      <c r="R330" s="2" t="inlineStr"/>
    </row>
    <row r="331" ht="15" customHeight="1">
      <c r="A331" t="inlineStr">
        <is>
          <t>A 38851-2023</t>
        </is>
      </c>
      <c r="B331" s="1" t="n">
        <v>45163</v>
      </c>
      <c r="C331" s="1" t="n">
        <v>46202</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10759-2023</t>
        </is>
      </c>
      <c r="B332" s="1" t="n">
        <v>44988</v>
      </c>
      <c r="C332" s="1" t="n">
        <v>46202</v>
      </c>
      <c r="D332" t="inlineStr">
        <is>
          <t>KALMAR LÄN</t>
        </is>
      </c>
      <c r="E332" t="inlineStr">
        <is>
          <t>VIMMERBY</t>
        </is>
      </c>
      <c r="G332" t="n">
        <v>0.4</v>
      </c>
      <c r="H332" t="n">
        <v>0</v>
      </c>
      <c r="I332" t="n">
        <v>0</v>
      </c>
      <c r="J332" t="n">
        <v>0</v>
      </c>
      <c r="K332" t="n">
        <v>0</v>
      </c>
      <c r="L332" t="n">
        <v>0</v>
      </c>
      <c r="M332" t="n">
        <v>0</v>
      </c>
      <c r="N332" t="n">
        <v>0</v>
      </c>
      <c r="O332" t="n">
        <v>0</v>
      </c>
      <c r="P332" t="n">
        <v>0</v>
      </c>
      <c r="Q332" t="n">
        <v>0</v>
      </c>
      <c r="R332" s="2" t="inlineStr"/>
    </row>
    <row r="333" ht="15" customHeight="1">
      <c r="A333" t="inlineStr">
        <is>
          <t>A 63583-2023</t>
        </is>
      </c>
      <c r="B333" s="1" t="n">
        <v>45275</v>
      </c>
      <c r="C333" s="1" t="n">
        <v>46202</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40079-2023</t>
        </is>
      </c>
      <c r="B334" s="1" t="n">
        <v>45168</v>
      </c>
      <c r="C334" s="1" t="n">
        <v>46202</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43774-2023</t>
        </is>
      </c>
      <c r="B335" s="1" t="n">
        <v>45187</v>
      </c>
      <c r="C335" s="1" t="n">
        <v>46202</v>
      </c>
      <c r="D335" t="inlineStr">
        <is>
          <t>KALMAR LÄN</t>
        </is>
      </c>
      <c r="E335" t="inlineStr">
        <is>
          <t>VIMMERBY</t>
        </is>
      </c>
      <c r="G335" t="n">
        <v>3.4</v>
      </c>
      <c r="H335" t="n">
        <v>0</v>
      </c>
      <c r="I335" t="n">
        <v>0</v>
      </c>
      <c r="J335" t="n">
        <v>0</v>
      </c>
      <c r="K335" t="n">
        <v>0</v>
      </c>
      <c r="L335" t="n">
        <v>0</v>
      </c>
      <c r="M335" t="n">
        <v>0</v>
      </c>
      <c r="N335" t="n">
        <v>0</v>
      </c>
      <c r="O335" t="n">
        <v>0</v>
      </c>
      <c r="P335" t="n">
        <v>0</v>
      </c>
      <c r="Q335" t="n">
        <v>0</v>
      </c>
      <c r="R335" s="2" t="inlineStr"/>
    </row>
    <row r="336" ht="15" customHeight="1">
      <c r="A336" t="inlineStr">
        <is>
          <t>A 35127-2024</t>
        </is>
      </c>
      <c r="B336" s="1" t="n">
        <v>45530</v>
      </c>
      <c r="C336" s="1" t="n">
        <v>46202</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29616-2022</t>
        </is>
      </c>
      <c r="B337" s="1" t="n">
        <v>44754</v>
      </c>
      <c r="C337" s="1" t="n">
        <v>46202</v>
      </c>
      <c r="D337" t="inlineStr">
        <is>
          <t>KALMAR LÄN</t>
        </is>
      </c>
      <c r="E337" t="inlineStr">
        <is>
          <t>VIMMERBY</t>
        </is>
      </c>
      <c r="G337" t="n">
        <v>1.1</v>
      </c>
      <c r="H337" t="n">
        <v>0</v>
      </c>
      <c r="I337" t="n">
        <v>0</v>
      </c>
      <c r="J337" t="n">
        <v>0</v>
      </c>
      <c r="K337" t="n">
        <v>0</v>
      </c>
      <c r="L337" t="n">
        <v>0</v>
      </c>
      <c r="M337" t="n">
        <v>0</v>
      </c>
      <c r="N337" t="n">
        <v>0</v>
      </c>
      <c r="O337" t="n">
        <v>0</v>
      </c>
      <c r="P337" t="n">
        <v>0</v>
      </c>
      <c r="Q337" t="n">
        <v>0</v>
      </c>
      <c r="R337" s="2" t="inlineStr"/>
    </row>
    <row r="338" ht="15" customHeight="1">
      <c r="A338" t="inlineStr">
        <is>
          <t>A 48373-2021</t>
        </is>
      </c>
      <c r="B338" s="1" t="n">
        <v>44451</v>
      </c>
      <c r="C338" s="1" t="n">
        <v>46202</v>
      </c>
      <c r="D338" t="inlineStr">
        <is>
          <t>KALMAR LÄN</t>
        </is>
      </c>
      <c r="E338" t="inlineStr">
        <is>
          <t>VIMMERBY</t>
        </is>
      </c>
      <c r="G338" t="n">
        <v>2.2</v>
      </c>
      <c r="H338" t="n">
        <v>0</v>
      </c>
      <c r="I338" t="n">
        <v>0</v>
      </c>
      <c r="J338" t="n">
        <v>0</v>
      </c>
      <c r="K338" t="n">
        <v>0</v>
      </c>
      <c r="L338" t="n">
        <v>0</v>
      </c>
      <c r="M338" t="n">
        <v>0</v>
      </c>
      <c r="N338" t="n">
        <v>0</v>
      </c>
      <c r="O338" t="n">
        <v>0</v>
      </c>
      <c r="P338" t="n">
        <v>0</v>
      </c>
      <c r="Q338" t="n">
        <v>0</v>
      </c>
      <c r="R338" s="2" t="inlineStr"/>
    </row>
    <row r="339" ht="15" customHeight="1">
      <c r="A339" t="inlineStr">
        <is>
          <t>A 39578-2024</t>
        </is>
      </c>
      <c r="B339" s="1" t="n">
        <v>45552</v>
      </c>
      <c r="C339" s="1" t="n">
        <v>46202</v>
      </c>
      <c r="D339" t="inlineStr">
        <is>
          <t>KALMAR LÄN</t>
        </is>
      </c>
      <c r="E339" t="inlineStr">
        <is>
          <t>VIMMERBY</t>
        </is>
      </c>
      <c r="G339" t="n">
        <v>1.5</v>
      </c>
      <c r="H339" t="n">
        <v>0</v>
      </c>
      <c r="I339" t="n">
        <v>0</v>
      </c>
      <c r="J339" t="n">
        <v>0</v>
      </c>
      <c r="K339" t="n">
        <v>0</v>
      </c>
      <c r="L339" t="n">
        <v>0</v>
      </c>
      <c r="M339" t="n">
        <v>0</v>
      </c>
      <c r="N339" t="n">
        <v>0</v>
      </c>
      <c r="O339" t="n">
        <v>0</v>
      </c>
      <c r="P339" t="n">
        <v>0</v>
      </c>
      <c r="Q339" t="n">
        <v>0</v>
      </c>
      <c r="R339" s="2" t="inlineStr"/>
    </row>
    <row r="340" ht="15" customHeight="1">
      <c r="A340" t="inlineStr">
        <is>
          <t>A 24707-2024</t>
        </is>
      </c>
      <c r="B340" s="1" t="n">
        <v>45460</v>
      </c>
      <c r="C340" s="1" t="n">
        <v>46202</v>
      </c>
      <c r="D340" t="inlineStr">
        <is>
          <t>KALMAR LÄN</t>
        </is>
      </c>
      <c r="E340" t="inlineStr">
        <is>
          <t>VIMMERBY</t>
        </is>
      </c>
      <c r="G340" t="n">
        <v>1.7</v>
      </c>
      <c r="H340" t="n">
        <v>0</v>
      </c>
      <c r="I340" t="n">
        <v>0</v>
      </c>
      <c r="J340" t="n">
        <v>0</v>
      </c>
      <c r="K340" t="n">
        <v>0</v>
      </c>
      <c r="L340" t="n">
        <v>0</v>
      </c>
      <c r="M340" t="n">
        <v>0</v>
      </c>
      <c r="N340" t="n">
        <v>0</v>
      </c>
      <c r="O340" t="n">
        <v>0</v>
      </c>
      <c r="P340" t="n">
        <v>0</v>
      </c>
      <c r="Q340" t="n">
        <v>0</v>
      </c>
      <c r="R340" s="2" t="inlineStr"/>
    </row>
    <row r="341" ht="15" customHeight="1">
      <c r="A341" t="inlineStr">
        <is>
          <t>A 29093-2023</t>
        </is>
      </c>
      <c r="B341" s="1" t="n">
        <v>45105</v>
      </c>
      <c r="C341" s="1" t="n">
        <v>46202</v>
      </c>
      <c r="D341" t="inlineStr">
        <is>
          <t>KALMAR LÄN</t>
        </is>
      </c>
      <c r="E341" t="inlineStr">
        <is>
          <t>VIMMERBY</t>
        </is>
      </c>
      <c r="G341" t="n">
        <v>2.9</v>
      </c>
      <c r="H341" t="n">
        <v>0</v>
      </c>
      <c r="I341" t="n">
        <v>0</v>
      </c>
      <c r="J341" t="n">
        <v>0</v>
      </c>
      <c r="K341" t="n">
        <v>0</v>
      </c>
      <c r="L341" t="n">
        <v>0</v>
      </c>
      <c r="M341" t="n">
        <v>0</v>
      </c>
      <c r="N341" t="n">
        <v>0</v>
      </c>
      <c r="O341" t="n">
        <v>0</v>
      </c>
      <c r="P341" t="n">
        <v>0</v>
      </c>
      <c r="Q341" t="n">
        <v>0</v>
      </c>
      <c r="R341" s="2" t="inlineStr"/>
    </row>
    <row r="342" ht="15" customHeight="1">
      <c r="A342" t="inlineStr">
        <is>
          <t>A 33352-2022</t>
        </is>
      </c>
      <c r="B342" s="1" t="n">
        <v>44788</v>
      </c>
      <c r="C342" s="1" t="n">
        <v>46202</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22264-2023</t>
        </is>
      </c>
      <c r="B343" s="1" t="n">
        <v>45070</v>
      </c>
      <c r="C343" s="1" t="n">
        <v>46202</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16676-2023</t>
        </is>
      </c>
      <c r="B344" s="1" t="n">
        <v>45028</v>
      </c>
      <c r="C344" s="1" t="n">
        <v>46202</v>
      </c>
      <c r="D344" t="inlineStr">
        <is>
          <t>KALMAR LÄN</t>
        </is>
      </c>
      <c r="E344" t="inlineStr">
        <is>
          <t>VIMMERBY</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31056-2022</t>
        </is>
      </c>
      <c r="B345" s="1" t="n">
        <v>44769</v>
      </c>
      <c r="C345" s="1" t="n">
        <v>46202</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24096-2024</t>
        </is>
      </c>
      <c r="B346" s="1" t="n">
        <v>45456</v>
      </c>
      <c r="C346" s="1" t="n">
        <v>46202</v>
      </c>
      <c r="D346" t="inlineStr">
        <is>
          <t>KALMAR LÄN</t>
        </is>
      </c>
      <c r="E346" t="inlineStr">
        <is>
          <t>VIMMERBY</t>
        </is>
      </c>
      <c r="G346" t="n">
        <v>2.3</v>
      </c>
      <c r="H346" t="n">
        <v>0</v>
      </c>
      <c r="I346" t="n">
        <v>0</v>
      </c>
      <c r="J346" t="n">
        <v>0</v>
      </c>
      <c r="K346" t="n">
        <v>0</v>
      </c>
      <c r="L346" t="n">
        <v>0</v>
      </c>
      <c r="M346" t="n">
        <v>0</v>
      </c>
      <c r="N346" t="n">
        <v>0</v>
      </c>
      <c r="O346" t="n">
        <v>0</v>
      </c>
      <c r="P346" t="n">
        <v>0</v>
      </c>
      <c r="Q346" t="n">
        <v>0</v>
      </c>
      <c r="R346" s="2" t="inlineStr"/>
    </row>
    <row r="347" ht="15" customHeight="1">
      <c r="A347" t="inlineStr">
        <is>
          <t>A 33383-2023</t>
        </is>
      </c>
      <c r="B347" s="1" t="n">
        <v>45128</v>
      </c>
      <c r="C347" s="1" t="n">
        <v>46202</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40828-2023</t>
        </is>
      </c>
      <c r="B348" s="1" t="n">
        <v>45171</v>
      </c>
      <c r="C348" s="1" t="n">
        <v>46202</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29013-2024</t>
        </is>
      </c>
      <c r="B349" s="1" t="n">
        <v>45481</v>
      </c>
      <c r="C349" s="1" t="n">
        <v>46202</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6066-2023</t>
        </is>
      </c>
      <c r="B350" s="1" t="n">
        <v>44964</v>
      </c>
      <c r="C350" s="1" t="n">
        <v>46202</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59955-2023</t>
        </is>
      </c>
      <c r="B351" s="1" t="n">
        <v>45257</v>
      </c>
      <c r="C351" s="1" t="n">
        <v>46202</v>
      </c>
      <c r="D351" t="inlineStr">
        <is>
          <t>KALMAR LÄN</t>
        </is>
      </c>
      <c r="E351" t="inlineStr">
        <is>
          <t>VIMMERBY</t>
        </is>
      </c>
      <c r="G351" t="n">
        <v>13.8</v>
      </c>
      <c r="H351" t="n">
        <v>0</v>
      </c>
      <c r="I351" t="n">
        <v>0</v>
      </c>
      <c r="J351" t="n">
        <v>0</v>
      </c>
      <c r="K351" t="n">
        <v>0</v>
      </c>
      <c r="L351" t="n">
        <v>0</v>
      </c>
      <c r="M351" t="n">
        <v>0</v>
      </c>
      <c r="N351" t="n">
        <v>0</v>
      </c>
      <c r="O351" t="n">
        <v>0</v>
      </c>
      <c r="P351" t="n">
        <v>0</v>
      </c>
      <c r="Q351" t="n">
        <v>0</v>
      </c>
      <c r="R351" s="2" t="inlineStr"/>
    </row>
    <row r="352" ht="15" customHeight="1">
      <c r="A352" t="inlineStr">
        <is>
          <t>A 57256-2023</t>
        </is>
      </c>
      <c r="B352" s="1" t="n">
        <v>45245</v>
      </c>
      <c r="C352" s="1" t="n">
        <v>46202</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17482-2024</t>
        </is>
      </c>
      <c r="B353" s="1" t="n">
        <v>45415</v>
      </c>
      <c r="C353" s="1" t="n">
        <v>46202</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36040-2024</t>
        </is>
      </c>
      <c r="B354" s="1" t="n">
        <v>45533</v>
      </c>
      <c r="C354" s="1" t="n">
        <v>46202</v>
      </c>
      <c r="D354" t="inlineStr">
        <is>
          <t>KALMAR LÄN</t>
        </is>
      </c>
      <c r="E354" t="inlineStr">
        <is>
          <t>VIMMERBY</t>
        </is>
      </c>
      <c r="F354" t="inlineStr">
        <is>
          <t>Kommuner</t>
        </is>
      </c>
      <c r="G354" t="n">
        <v>3.6</v>
      </c>
      <c r="H354" t="n">
        <v>0</v>
      </c>
      <c r="I354" t="n">
        <v>0</v>
      </c>
      <c r="J354" t="n">
        <v>0</v>
      </c>
      <c r="K354" t="n">
        <v>0</v>
      </c>
      <c r="L354" t="n">
        <v>0</v>
      </c>
      <c r="M354" t="n">
        <v>0</v>
      </c>
      <c r="N354" t="n">
        <v>0</v>
      </c>
      <c r="O354" t="n">
        <v>0</v>
      </c>
      <c r="P354" t="n">
        <v>0</v>
      </c>
      <c r="Q354" t="n">
        <v>0</v>
      </c>
      <c r="R354" s="2" t="inlineStr"/>
    </row>
    <row r="355" ht="15" customHeight="1">
      <c r="A355" t="inlineStr">
        <is>
          <t>A 36043-2024</t>
        </is>
      </c>
      <c r="B355" s="1" t="n">
        <v>45533</v>
      </c>
      <c r="C355" s="1" t="n">
        <v>46202</v>
      </c>
      <c r="D355" t="inlineStr">
        <is>
          <t>KALMAR LÄN</t>
        </is>
      </c>
      <c r="E355" t="inlineStr">
        <is>
          <t>VIMMERBY</t>
        </is>
      </c>
      <c r="F355" t="inlineStr">
        <is>
          <t>Kommuner</t>
        </is>
      </c>
      <c r="G355" t="n">
        <v>1.5</v>
      </c>
      <c r="H355" t="n">
        <v>0</v>
      </c>
      <c r="I355" t="n">
        <v>0</v>
      </c>
      <c r="J355" t="n">
        <v>0</v>
      </c>
      <c r="K355" t="n">
        <v>0</v>
      </c>
      <c r="L355" t="n">
        <v>0</v>
      </c>
      <c r="M355" t="n">
        <v>0</v>
      </c>
      <c r="N355" t="n">
        <v>0</v>
      </c>
      <c r="O355" t="n">
        <v>0</v>
      </c>
      <c r="P355" t="n">
        <v>0</v>
      </c>
      <c r="Q355" t="n">
        <v>0</v>
      </c>
      <c r="R355" s="2" t="inlineStr"/>
    </row>
    <row r="356" ht="15" customHeight="1">
      <c r="A356" t="inlineStr">
        <is>
          <t>A 61861-2024</t>
        </is>
      </c>
      <c r="B356" s="1" t="n">
        <v>45650</v>
      </c>
      <c r="C356" s="1" t="n">
        <v>46202</v>
      </c>
      <c r="D356" t="inlineStr">
        <is>
          <t>KALMAR LÄN</t>
        </is>
      </c>
      <c r="E356" t="inlineStr">
        <is>
          <t>VIMMERBY</t>
        </is>
      </c>
      <c r="G356" t="n">
        <v>1</v>
      </c>
      <c r="H356" t="n">
        <v>0</v>
      </c>
      <c r="I356" t="n">
        <v>0</v>
      </c>
      <c r="J356" t="n">
        <v>0</v>
      </c>
      <c r="K356" t="n">
        <v>0</v>
      </c>
      <c r="L356" t="n">
        <v>0</v>
      </c>
      <c r="M356" t="n">
        <v>0</v>
      </c>
      <c r="N356" t="n">
        <v>0</v>
      </c>
      <c r="O356" t="n">
        <v>0</v>
      </c>
      <c r="P356" t="n">
        <v>0</v>
      </c>
      <c r="Q356" t="n">
        <v>0</v>
      </c>
      <c r="R356" s="2" t="inlineStr"/>
    </row>
    <row r="357" ht="15" customHeight="1">
      <c r="A357" t="inlineStr">
        <is>
          <t>A 12890-2023</t>
        </is>
      </c>
      <c r="B357" s="1" t="n">
        <v>45001</v>
      </c>
      <c r="C357" s="1" t="n">
        <v>46202</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43594-2024</t>
        </is>
      </c>
      <c r="B358" s="1" t="n">
        <v>45569</v>
      </c>
      <c r="C358" s="1" t="n">
        <v>46202</v>
      </c>
      <c r="D358" t="inlineStr">
        <is>
          <t>KALMAR LÄN</t>
        </is>
      </c>
      <c r="E358" t="inlineStr">
        <is>
          <t>VIMMERBY</t>
        </is>
      </c>
      <c r="G358" t="n">
        <v>3.9</v>
      </c>
      <c r="H358" t="n">
        <v>0</v>
      </c>
      <c r="I358" t="n">
        <v>0</v>
      </c>
      <c r="J358" t="n">
        <v>0</v>
      </c>
      <c r="K358" t="n">
        <v>0</v>
      </c>
      <c r="L358" t="n">
        <v>0</v>
      </c>
      <c r="M358" t="n">
        <v>0</v>
      </c>
      <c r="N358" t="n">
        <v>0</v>
      </c>
      <c r="O358" t="n">
        <v>0</v>
      </c>
      <c r="P358" t="n">
        <v>0</v>
      </c>
      <c r="Q358" t="n">
        <v>0</v>
      </c>
      <c r="R358" s="2" t="inlineStr"/>
    </row>
    <row r="359" ht="15" customHeight="1">
      <c r="A359" t="inlineStr">
        <is>
          <t>A 8650-2022</t>
        </is>
      </c>
      <c r="B359" s="1" t="n">
        <v>44613</v>
      </c>
      <c r="C359" s="1" t="n">
        <v>46202</v>
      </c>
      <c r="D359" t="inlineStr">
        <is>
          <t>KALMAR LÄN</t>
        </is>
      </c>
      <c r="E359" t="inlineStr">
        <is>
          <t>VIMMERBY</t>
        </is>
      </c>
      <c r="G359" t="n">
        <v>1.4</v>
      </c>
      <c r="H359" t="n">
        <v>0</v>
      </c>
      <c r="I359" t="n">
        <v>0</v>
      </c>
      <c r="J359" t="n">
        <v>0</v>
      </c>
      <c r="K359" t="n">
        <v>0</v>
      </c>
      <c r="L359" t="n">
        <v>0</v>
      </c>
      <c r="M359" t="n">
        <v>0</v>
      </c>
      <c r="N359" t="n">
        <v>0</v>
      </c>
      <c r="O359" t="n">
        <v>0</v>
      </c>
      <c r="P359" t="n">
        <v>0</v>
      </c>
      <c r="Q359" t="n">
        <v>0</v>
      </c>
      <c r="R359" s="2" t="inlineStr"/>
    </row>
    <row r="360" ht="15" customHeight="1">
      <c r="A360" t="inlineStr">
        <is>
          <t>A 53482-2022</t>
        </is>
      </c>
      <c r="B360" s="1" t="n">
        <v>44879</v>
      </c>
      <c r="C360" s="1" t="n">
        <v>46202</v>
      </c>
      <c r="D360" t="inlineStr">
        <is>
          <t>KALMAR LÄN</t>
        </is>
      </c>
      <c r="E360" t="inlineStr">
        <is>
          <t>VIMMERBY</t>
        </is>
      </c>
      <c r="G360" t="n">
        <v>10.1</v>
      </c>
      <c r="H360" t="n">
        <v>0</v>
      </c>
      <c r="I360" t="n">
        <v>0</v>
      </c>
      <c r="J360" t="n">
        <v>0</v>
      </c>
      <c r="K360" t="n">
        <v>0</v>
      </c>
      <c r="L360" t="n">
        <v>0</v>
      </c>
      <c r="M360" t="n">
        <v>0</v>
      </c>
      <c r="N360" t="n">
        <v>0</v>
      </c>
      <c r="O360" t="n">
        <v>0</v>
      </c>
      <c r="P360" t="n">
        <v>0</v>
      </c>
      <c r="Q360" t="n">
        <v>0</v>
      </c>
      <c r="R360" s="2" t="inlineStr"/>
    </row>
    <row r="361" ht="15" customHeight="1">
      <c r="A361" t="inlineStr">
        <is>
          <t>A 33340-2023</t>
        </is>
      </c>
      <c r="B361" s="1" t="n">
        <v>45128</v>
      </c>
      <c r="C361" s="1" t="n">
        <v>46202</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44423-2023</t>
        </is>
      </c>
      <c r="B362" s="1" t="n">
        <v>45189</v>
      </c>
      <c r="C362" s="1" t="n">
        <v>46202</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27761-2024</t>
        </is>
      </c>
      <c r="B363" s="1" t="n">
        <v>45475</v>
      </c>
      <c r="C363" s="1" t="n">
        <v>46202</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55123-2024</t>
        </is>
      </c>
      <c r="B364" s="1" t="n">
        <v>45621</v>
      </c>
      <c r="C364" s="1" t="n">
        <v>46202</v>
      </c>
      <c r="D364" t="inlineStr">
        <is>
          <t>KALMAR LÄN</t>
        </is>
      </c>
      <c r="E364" t="inlineStr">
        <is>
          <t>VIMMERBY</t>
        </is>
      </c>
      <c r="G364" t="n">
        <v>3.1</v>
      </c>
      <c r="H364" t="n">
        <v>0</v>
      </c>
      <c r="I364" t="n">
        <v>0</v>
      </c>
      <c r="J364" t="n">
        <v>0</v>
      </c>
      <c r="K364" t="n">
        <v>0</v>
      </c>
      <c r="L364" t="n">
        <v>0</v>
      </c>
      <c r="M364" t="n">
        <v>0</v>
      </c>
      <c r="N364" t="n">
        <v>0</v>
      </c>
      <c r="O364" t="n">
        <v>0</v>
      </c>
      <c r="P364" t="n">
        <v>0</v>
      </c>
      <c r="Q364" t="n">
        <v>0</v>
      </c>
      <c r="R364" s="2" t="inlineStr"/>
    </row>
    <row r="365" ht="15" customHeight="1">
      <c r="A365" t="inlineStr">
        <is>
          <t>A 64203-2021</t>
        </is>
      </c>
      <c r="B365" s="1" t="n">
        <v>44510</v>
      </c>
      <c r="C365" s="1" t="n">
        <v>46202</v>
      </c>
      <c r="D365" t="inlineStr">
        <is>
          <t>KALMAR LÄN</t>
        </is>
      </c>
      <c r="E365" t="inlineStr">
        <is>
          <t>VIMMERBY</t>
        </is>
      </c>
      <c r="F365" t="inlineStr">
        <is>
          <t>Övriga Aktiebolag</t>
        </is>
      </c>
      <c r="G365" t="n">
        <v>5.4</v>
      </c>
      <c r="H365" t="n">
        <v>0</v>
      </c>
      <c r="I365" t="n">
        <v>0</v>
      </c>
      <c r="J365" t="n">
        <v>0</v>
      </c>
      <c r="K365" t="n">
        <v>0</v>
      </c>
      <c r="L365" t="n">
        <v>0</v>
      </c>
      <c r="M365" t="n">
        <v>0</v>
      </c>
      <c r="N365" t="n">
        <v>0</v>
      </c>
      <c r="O365" t="n">
        <v>0</v>
      </c>
      <c r="P365" t="n">
        <v>0</v>
      </c>
      <c r="Q365" t="n">
        <v>0</v>
      </c>
      <c r="R365" s="2" t="inlineStr"/>
    </row>
    <row r="366" ht="15" customHeight="1">
      <c r="A366" t="inlineStr">
        <is>
          <t>A 37323-2024</t>
        </is>
      </c>
      <c r="B366" s="1" t="n">
        <v>45540</v>
      </c>
      <c r="C366" s="1" t="n">
        <v>46202</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5720-2023</t>
        </is>
      </c>
      <c r="B367" s="1" t="n">
        <v>44961</v>
      </c>
      <c r="C367" s="1" t="n">
        <v>46202</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9643-2023</t>
        </is>
      </c>
      <c r="B368" s="1" t="n">
        <v>44984</v>
      </c>
      <c r="C368" s="1" t="n">
        <v>46202</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25728-2023</t>
        </is>
      </c>
      <c r="B369" s="1" t="n">
        <v>45090</v>
      </c>
      <c r="C369" s="1" t="n">
        <v>46202</v>
      </c>
      <c r="D369" t="inlineStr">
        <is>
          <t>KALMAR LÄN</t>
        </is>
      </c>
      <c r="E369" t="inlineStr">
        <is>
          <t>VIMMERBY</t>
        </is>
      </c>
      <c r="G369" t="n">
        <v>1.1</v>
      </c>
      <c r="H369" t="n">
        <v>0</v>
      </c>
      <c r="I369" t="n">
        <v>0</v>
      </c>
      <c r="J369" t="n">
        <v>0</v>
      </c>
      <c r="K369" t="n">
        <v>0</v>
      </c>
      <c r="L369" t="n">
        <v>0</v>
      </c>
      <c r="M369" t="n">
        <v>0</v>
      </c>
      <c r="N369" t="n">
        <v>0</v>
      </c>
      <c r="O369" t="n">
        <v>0</v>
      </c>
      <c r="P369" t="n">
        <v>0</v>
      </c>
      <c r="Q369" t="n">
        <v>0</v>
      </c>
      <c r="R369" s="2" t="inlineStr"/>
    </row>
    <row r="370" ht="15" customHeight="1">
      <c r="A370" t="inlineStr">
        <is>
          <t>A 49313-2022</t>
        </is>
      </c>
      <c r="B370" s="1" t="n">
        <v>44861</v>
      </c>
      <c r="C370" s="1" t="n">
        <v>46202</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1987-2024</t>
        </is>
      </c>
      <c r="B371" s="1" t="n">
        <v>45308</v>
      </c>
      <c r="C371" s="1" t="n">
        <v>46202</v>
      </c>
      <c r="D371" t="inlineStr">
        <is>
          <t>KALMAR LÄN</t>
        </is>
      </c>
      <c r="E371" t="inlineStr">
        <is>
          <t>VIMMERBY</t>
        </is>
      </c>
      <c r="G371" t="n">
        <v>3</v>
      </c>
      <c r="H371" t="n">
        <v>0</v>
      </c>
      <c r="I371" t="n">
        <v>0</v>
      </c>
      <c r="J371" t="n">
        <v>0</v>
      </c>
      <c r="K371" t="n">
        <v>0</v>
      </c>
      <c r="L371" t="n">
        <v>0</v>
      </c>
      <c r="M371" t="n">
        <v>0</v>
      </c>
      <c r="N371" t="n">
        <v>0</v>
      </c>
      <c r="O371" t="n">
        <v>0</v>
      </c>
      <c r="P371" t="n">
        <v>0</v>
      </c>
      <c r="Q371" t="n">
        <v>0</v>
      </c>
      <c r="R371" s="2" t="inlineStr"/>
    </row>
    <row r="372" ht="15" customHeight="1">
      <c r="A372" t="inlineStr">
        <is>
          <t>A 41311-2023</t>
        </is>
      </c>
      <c r="B372" s="1" t="n">
        <v>45174</v>
      </c>
      <c r="C372" s="1" t="n">
        <v>46202</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26318-2023</t>
        </is>
      </c>
      <c r="B373" s="1" t="n">
        <v>45091</v>
      </c>
      <c r="C373" s="1" t="n">
        <v>46202</v>
      </c>
      <c r="D373" t="inlineStr">
        <is>
          <t>KALMAR LÄN</t>
        </is>
      </c>
      <c r="E373" t="inlineStr">
        <is>
          <t>VIMMERBY</t>
        </is>
      </c>
      <c r="G373" t="n">
        <v>3.8</v>
      </c>
      <c r="H373" t="n">
        <v>0</v>
      </c>
      <c r="I373" t="n">
        <v>0</v>
      </c>
      <c r="J373" t="n">
        <v>0</v>
      </c>
      <c r="K373" t="n">
        <v>0</v>
      </c>
      <c r="L373" t="n">
        <v>0</v>
      </c>
      <c r="M373" t="n">
        <v>0</v>
      </c>
      <c r="N373" t="n">
        <v>0</v>
      </c>
      <c r="O373" t="n">
        <v>0</v>
      </c>
      <c r="P373" t="n">
        <v>0</v>
      </c>
      <c r="Q373" t="n">
        <v>0</v>
      </c>
      <c r="R373" s="2" t="inlineStr"/>
    </row>
    <row r="374" ht="15" customHeight="1">
      <c r="A374" t="inlineStr">
        <is>
          <t>A 18501-2024</t>
        </is>
      </c>
      <c r="B374" s="1" t="n">
        <v>45425</v>
      </c>
      <c r="C374" s="1" t="n">
        <v>46202</v>
      </c>
      <c r="D374" t="inlineStr">
        <is>
          <t>KALMAR LÄN</t>
        </is>
      </c>
      <c r="E374" t="inlineStr">
        <is>
          <t>VIMMERBY</t>
        </is>
      </c>
      <c r="G374" t="n">
        <v>2</v>
      </c>
      <c r="H374" t="n">
        <v>0</v>
      </c>
      <c r="I374" t="n">
        <v>0</v>
      </c>
      <c r="J374" t="n">
        <v>0</v>
      </c>
      <c r="K374" t="n">
        <v>0</v>
      </c>
      <c r="L374" t="n">
        <v>0</v>
      </c>
      <c r="M374" t="n">
        <v>0</v>
      </c>
      <c r="N374" t="n">
        <v>0</v>
      </c>
      <c r="O374" t="n">
        <v>0</v>
      </c>
      <c r="P374" t="n">
        <v>0</v>
      </c>
      <c r="Q374" t="n">
        <v>0</v>
      </c>
      <c r="R374" s="2" t="inlineStr"/>
    </row>
    <row r="375" ht="15" customHeight="1">
      <c r="A375" t="inlineStr">
        <is>
          <t>A 21507-2023</t>
        </is>
      </c>
      <c r="B375" s="1" t="n">
        <v>45063</v>
      </c>
      <c r="C375" s="1" t="n">
        <v>46202</v>
      </c>
      <c r="D375" t="inlineStr">
        <is>
          <t>KALMAR LÄN</t>
        </is>
      </c>
      <c r="E375" t="inlineStr">
        <is>
          <t>VIMMERBY</t>
        </is>
      </c>
      <c r="G375" t="n">
        <v>2.8</v>
      </c>
      <c r="H375" t="n">
        <v>0</v>
      </c>
      <c r="I375" t="n">
        <v>0</v>
      </c>
      <c r="J375" t="n">
        <v>0</v>
      </c>
      <c r="K375" t="n">
        <v>0</v>
      </c>
      <c r="L375" t="n">
        <v>0</v>
      </c>
      <c r="M375" t="n">
        <v>0</v>
      </c>
      <c r="N375" t="n">
        <v>0</v>
      </c>
      <c r="O375" t="n">
        <v>0</v>
      </c>
      <c r="P375" t="n">
        <v>0</v>
      </c>
      <c r="Q375" t="n">
        <v>0</v>
      </c>
      <c r="R375" s="2" t="inlineStr"/>
    </row>
    <row r="376" ht="15" customHeight="1">
      <c r="A376" t="inlineStr">
        <is>
          <t>A 57189-2022</t>
        </is>
      </c>
      <c r="B376" s="1" t="n">
        <v>44895</v>
      </c>
      <c r="C376" s="1" t="n">
        <v>46202</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48673-2021</t>
        </is>
      </c>
      <c r="B377" s="1" t="n">
        <v>44452</v>
      </c>
      <c r="C377" s="1" t="n">
        <v>46202</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27758-2024</t>
        </is>
      </c>
      <c r="B378" s="1" t="n">
        <v>45475</v>
      </c>
      <c r="C378" s="1" t="n">
        <v>46202</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61355-2024</t>
        </is>
      </c>
      <c r="B379" s="1" t="n">
        <v>45646</v>
      </c>
      <c r="C379" s="1" t="n">
        <v>46202</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55716-2023</t>
        </is>
      </c>
      <c r="B380" s="1" t="n">
        <v>45232</v>
      </c>
      <c r="C380" s="1" t="n">
        <v>46202</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14248-2023</t>
        </is>
      </c>
      <c r="B381" s="1" t="n">
        <v>45009</v>
      </c>
      <c r="C381" s="1" t="n">
        <v>46202</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18329-2023</t>
        </is>
      </c>
      <c r="B382" s="1" t="n">
        <v>45041</v>
      </c>
      <c r="C382" s="1" t="n">
        <v>46202</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36802-2021</t>
        </is>
      </c>
      <c r="B383" s="1" t="n">
        <v>44392</v>
      </c>
      <c r="C383" s="1" t="n">
        <v>46202</v>
      </c>
      <c r="D383" t="inlineStr">
        <is>
          <t>KALMAR LÄN</t>
        </is>
      </c>
      <c r="E383" t="inlineStr">
        <is>
          <t>VIMMERBY</t>
        </is>
      </c>
      <c r="F383" t="inlineStr">
        <is>
          <t>Sveaskog</t>
        </is>
      </c>
      <c r="G383" t="n">
        <v>4.6</v>
      </c>
      <c r="H383" t="n">
        <v>0</v>
      </c>
      <c r="I383" t="n">
        <v>0</v>
      </c>
      <c r="J383" t="n">
        <v>0</v>
      </c>
      <c r="K383" t="n">
        <v>0</v>
      </c>
      <c r="L383" t="n">
        <v>0</v>
      </c>
      <c r="M383" t="n">
        <v>0</v>
      </c>
      <c r="N383" t="n">
        <v>0</v>
      </c>
      <c r="O383" t="n">
        <v>0</v>
      </c>
      <c r="P383" t="n">
        <v>0</v>
      </c>
      <c r="Q383" t="n">
        <v>0</v>
      </c>
      <c r="R383" s="2" t="inlineStr"/>
    </row>
    <row r="384" ht="15" customHeight="1">
      <c r="A384" t="inlineStr">
        <is>
          <t>A 29441-2024</t>
        </is>
      </c>
      <c r="B384" s="1" t="n">
        <v>45483</v>
      </c>
      <c r="C384" s="1" t="n">
        <v>46202</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38198-2024</t>
        </is>
      </c>
      <c r="B385" s="1" t="n">
        <v>45545</v>
      </c>
      <c r="C385" s="1" t="n">
        <v>46202</v>
      </c>
      <c r="D385" t="inlineStr">
        <is>
          <t>KALMAR LÄN</t>
        </is>
      </c>
      <c r="E385" t="inlineStr">
        <is>
          <t>VIMMERBY</t>
        </is>
      </c>
      <c r="G385" t="n">
        <v>7.9</v>
      </c>
      <c r="H385" t="n">
        <v>0</v>
      </c>
      <c r="I385" t="n">
        <v>0</v>
      </c>
      <c r="J385" t="n">
        <v>0</v>
      </c>
      <c r="K385" t="n">
        <v>0</v>
      </c>
      <c r="L385" t="n">
        <v>0</v>
      </c>
      <c r="M385" t="n">
        <v>0</v>
      </c>
      <c r="N385" t="n">
        <v>0</v>
      </c>
      <c r="O385" t="n">
        <v>0</v>
      </c>
      <c r="P385" t="n">
        <v>0</v>
      </c>
      <c r="Q385" t="n">
        <v>0</v>
      </c>
      <c r="R385" s="2" t="inlineStr"/>
    </row>
    <row r="386" ht="15" customHeight="1">
      <c r="A386" t="inlineStr">
        <is>
          <t>A 29186-2024</t>
        </is>
      </c>
      <c r="B386" s="1" t="n">
        <v>45482</v>
      </c>
      <c r="C386" s="1" t="n">
        <v>46202</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9623-2024</t>
        </is>
      </c>
      <c r="B387" s="1" t="n">
        <v>45361</v>
      </c>
      <c r="C387" s="1" t="n">
        <v>46202</v>
      </c>
      <c r="D387" t="inlineStr">
        <is>
          <t>KALMAR LÄN</t>
        </is>
      </c>
      <c r="E387" t="inlineStr">
        <is>
          <t>VIMMERBY</t>
        </is>
      </c>
      <c r="G387" t="n">
        <v>1.6</v>
      </c>
      <c r="H387" t="n">
        <v>0</v>
      </c>
      <c r="I387" t="n">
        <v>0</v>
      </c>
      <c r="J387" t="n">
        <v>0</v>
      </c>
      <c r="K387" t="n">
        <v>0</v>
      </c>
      <c r="L387" t="n">
        <v>0</v>
      </c>
      <c r="M387" t="n">
        <v>0</v>
      </c>
      <c r="N387" t="n">
        <v>0</v>
      </c>
      <c r="O387" t="n">
        <v>0</v>
      </c>
      <c r="P387" t="n">
        <v>0</v>
      </c>
      <c r="Q387" t="n">
        <v>0</v>
      </c>
      <c r="R387" s="2" t="inlineStr"/>
    </row>
    <row r="388" ht="15" customHeight="1">
      <c r="A388" t="inlineStr">
        <is>
          <t>A 50993-2022</t>
        </is>
      </c>
      <c r="B388" s="1" t="n">
        <v>44867</v>
      </c>
      <c r="C388" s="1" t="n">
        <v>46202</v>
      </c>
      <c r="D388" t="inlineStr">
        <is>
          <t>KALMAR LÄN</t>
        </is>
      </c>
      <c r="E388" t="inlineStr">
        <is>
          <t>VIMMERBY</t>
        </is>
      </c>
      <c r="G388" t="n">
        <v>1.7</v>
      </c>
      <c r="H388" t="n">
        <v>0</v>
      </c>
      <c r="I388" t="n">
        <v>0</v>
      </c>
      <c r="J388" t="n">
        <v>0</v>
      </c>
      <c r="K388" t="n">
        <v>0</v>
      </c>
      <c r="L388" t="n">
        <v>0</v>
      </c>
      <c r="M388" t="n">
        <v>0</v>
      </c>
      <c r="N388" t="n">
        <v>0</v>
      </c>
      <c r="O388" t="n">
        <v>0</v>
      </c>
      <c r="P388" t="n">
        <v>0</v>
      </c>
      <c r="Q388" t="n">
        <v>0</v>
      </c>
      <c r="R388" s="2" t="inlineStr"/>
    </row>
    <row r="389" ht="15" customHeight="1">
      <c r="A389" t="inlineStr">
        <is>
          <t>A 40095-2022</t>
        </is>
      </c>
      <c r="B389" s="1" t="n">
        <v>44820</v>
      </c>
      <c r="C389" s="1" t="n">
        <v>46202</v>
      </c>
      <c r="D389" t="inlineStr">
        <is>
          <t>KALMAR LÄN</t>
        </is>
      </c>
      <c r="E389" t="inlineStr">
        <is>
          <t>VIMMERBY</t>
        </is>
      </c>
      <c r="G389" t="n">
        <v>2.4</v>
      </c>
      <c r="H389" t="n">
        <v>0</v>
      </c>
      <c r="I389" t="n">
        <v>0</v>
      </c>
      <c r="J389" t="n">
        <v>0</v>
      </c>
      <c r="K389" t="n">
        <v>0</v>
      </c>
      <c r="L389" t="n">
        <v>0</v>
      </c>
      <c r="M389" t="n">
        <v>0</v>
      </c>
      <c r="N389" t="n">
        <v>0</v>
      </c>
      <c r="O389" t="n">
        <v>0</v>
      </c>
      <c r="P389" t="n">
        <v>0</v>
      </c>
      <c r="Q389" t="n">
        <v>0</v>
      </c>
      <c r="R389" s="2" t="inlineStr"/>
    </row>
    <row r="390" ht="15" customHeight="1">
      <c r="A390" t="inlineStr">
        <is>
          <t>A 58967-2022</t>
        </is>
      </c>
      <c r="B390" s="1" t="n">
        <v>44896</v>
      </c>
      <c r="C390" s="1" t="n">
        <v>46202</v>
      </c>
      <c r="D390" t="inlineStr">
        <is>
          <t>KALMAR LÄN</t>
        </is>
      </c>
      <c r="E390" t="inlineStr">
        <is>
          <t>VIMMERBY</t>
        </is>
      </c>
      <c r="G390" t="n">
        <v>5</v>
      </c>
      <c r="H390" t="n">
        <v>0</v>
      </c>
      <c r="I390" t="n">
        <v>0</v>
      </c>
      <c r="J390" t="n">
        <v>0</v>
      </c>
      <c r="K390" t="n">
        <v>0</v>
      </c>
      <c r="L390" t="n">
        <v>0</v>
      </c>
      <c r="M390" t="n">
        <v>0</v>
      </c>
      <c r="N390" t="n">
        <v>0</v>
      </c>
      <c r="O390" t="n">
        <v>0</v>
      </c>
      <c r="P390" t="n">
        <v>0</v>
      </c>
      <c r="Q390" t="n">
        <v>0</v>
      </c>
      <c r="R390" s="2" t="inlineStr"/>
    </row>
    <row r="391" ht="15" customHeight="1">
      <c r="A391" t="inlineStr">
        <is>
          <t>A 50085-2023</t>
        </is>
      </c>
      <c r="B391" s="1" t="n">
        <v>45215</v>
      </c>
      <c r="C391" s="1" t="n">
        <v>46202</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50087-2023</t>
        </is>
      </c>
      <c r="B392" s="1" t="n">
        <v>45215</v>
      </c>
      <c r="C392" s="1" t="n">
        <v>46202</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8167-2024</t>
        </is>
      </c>
      <c r="B393" s="1" t="n">
        <v>45351</v>
      </c>
      <c r="C393" s="1" t="n">
        <v>46202</v>
      </c>
      <c r="D393" t="inlineStr">
        <is>
          <t>KALMAR LÄN</t>
        </is>
      </c>
      <c r="E393" t="inlineStr">
        <is>
          <t>VIMMERBY</t>
        </is>
      </c>
      <c r="G393" t="n">
        <v>3.8</v>
      </c>
      <c r="H393" t="n">
        <v>0</v>
      </c>
      <c r="I393" t="n">
        <v>0</v>
      </c>
      <c r="J393" t="n">
        <v>0</v>
      </c>
      <c r="K393" t="n">
        <v>0</v>
      </c>
      <c r="L393" t="n">
        <v>0</v>
      </c>
      <c r="M393" t="n">
        <v>0</v>
      </c>
      <c r="N393" t="n">
        <v>0</v>
      </c>
      <c r="O393" t="n">
        <v>0</v>
      </c>
      <c r="P393" t="n">
        <v>0</v>
      </c>
      <c r="Q393" t="n">
        <v>0</v>
      </c>
      <c r="R393" s="2" t="inlineStr"/>
    </row>
    <row r="394" ht="15" customHeight="1">
      <c r="A394" t="inlineStr">
        <is>
          <t>A 54787-2023</t>
        </is>
      </c>
      <c r="B394" s="1" t="n">
        <v>45236</v>
      </c>
      <c r="C394" s="1" t="n">
        <v>46202</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6399-2025</t>
        </is>
      </c>
      <c r="B395" s="1" t="n">
        <v>45699</v>
      </c>
      <c r="C395" s="1" t="n">
        <v>46202</v>
      </c>
      <c r="D395" t="inlineStr">
        <is>
          <t>KALMAR LÄN</t>
        </is>
      </c>
      <c r="E395" t="inlineStr">
        <is>
          <t>VIMMERBY</t>
        </is>
      </c>
      <c r="G395" t="n">
        <v>3.1</v>
      </c>
      <c r="H395" t="n">
        <v>0</v>
      </c>
      <c r="I395" t="n">
        <v>0</v>
      </c>
      <c r="J395" t="n">
        <v>0</v>
      </c>
      <c r="K395" t="n">
        <v>0</v>
      </c>
      <c r="L395" t="n">
        <v>0</v>
      </c>
      <c r="M395" t="n">
        <v>0</v>
      </c>
      <c r="N395" t="n">
        <v>0</v>
      </c>
      <c r="O395" t="n">
        <v>0</v>
      </c>
      <c r="P395" t="n">
        <v>0</v>
      </c>
      <c r="Q395" t="n">
        <v>0</v>
      </c>
      <c r="R395" s="2" t="inlineStr"/>
    </row>
    <row r="396" ht="15" customHeight="1">
      <c r="A396" t="inlineStr">
        <is>
          <t>A 31355-2023</t>
        </is>
      </c>
      <c r="B396" s="1" t="n">
        <v>45114</v>
      </c>
      <c r="C396" s="1" t="n">
        <v>46202</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32614-2023</t>
        </is>
      </c>
      <c r="B397" s="1" t="n">
        <v>45121</v>
      </c>
      <c r="C397" s="1" t="n">
        <v>46202</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6850-2023</t>
        </is>
      </c>
      <c r="B398" s="1" t="n">
        <v>44967</v>
      </c>
      <c r="C398" s="1" t="n">
        <v>46202</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58750-2022</t>
        </is>
      </c>
      <c r="B399" s="1" t="n">
        <v>44903</v>
      </c>
      <c r="C399" s="1" t="n">
        <v>46202</v>
      </c>
      <c r="D399" t="inlineStr">
        <is>
          <t>KALMAR LÄN</t>
        </is>
      </c>
      <c r="E399" t="inlineStr">
        <is>
          <t>VIMMERBY</t>
        </is>
      </c>
      <c r="G399" t="n">
        <v>3.3</v>
      </c>
      <c r="H399" t="n">
        <v>0</v>
      </c>
      <c r="I399" t="n">
        <v>0</v>
      </c>
      <c r="J399" t="n">
        <v>0</v>
      </c>
      <c r="K399" t="n">
        <v>0</v>
      </c>
      <c r="L399" t="n">
        <v>0</v>
      </c>
      <c r="M399" t="n">
        <v>0</v>
      </c>
      <c r="N399" t="n">
        <v>0</v>
      </c>
      <c r="O399" t="n">
        <v>0</v>
      </c>
      <c r="P399" t="n">
        <v>0</v>
      </c>
      <c r="Q399" t="n">
        <v>0</v>
      </c>
      <c r="R399" s="2" t="inlineStr"/>
    </row>
    <row r="400" ht="15" customHeight="1">
      <c r="A400" t="inlineStr">
        <is>
          <t>A 30400-2023</t>
        </is>
      </c>
      <c r="B400" s="1" t="n">
        <v>45111</v>
      </c>
      <c r="C400" s="1" t="n">
        <v>46202</v>
      </c>
      <c r="D400" t="inlineStr">
        <is>
          <t>KALMAR LÄN</t>
        </is>
      </c>
      <c r="E400" t="inlineStr">
        <is>
          <t>VIMMERBY</t>
        </is>
      </c>
      <c r="G400" t="n">
        <v>2.7</v>
      </c>
      <c r="H400" t="n">
        <v>0</v>
      </c>
      <c r="I400" t="n">
        <v>0</v>
      </c>
      <c r="J400" t="n">
        <v>0</v>
      </c>
      <c r="K400" t="n">
        <v>0</v>
      </c>
      <c r="L400" t="n">
        <v>0</v>
      </c>
      <c r="M400" t="n">
        <v>0</v>
      </c>
      <c r="N400" t="n">
        <v>0</v>
      </c>
      <c r="O400" t="n">
        <v>0</v>
      </c>
      <c r="P400" t="n">
        <v>0</v>
      </c>
      <c r="Q400" t="n">
        <v>0</v>
      </c>
      <c r="R400" s="2" t="inlineStr"/>
    </row>
    <row r="401" ht="15" customHeight="1">
      <c r="A401" t="inlineStr">
        <is>
          <t>A 30404-2023</t>
        </is>
      </c>
      <c r="B401" s="1" t="n">
        <v>45111</v>
      </c>
      <c r="C401" s="1" t="n">
        <v>46202</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41158-2023</t>
        </is>
      </c>
      <c r="B402" s="1" t="n">
        <v>45174</v>
      </c>
      <c r="C402" s="1" t="n">
        <v>46202</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27705-2023</t>
        </is>
      </c>
      <c r="B403" s="1" t="n">
        <v>45098</v>
      </c>
      <c r="C403" s="1" t="n">
        <v>46202</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62779-2023</t>
        </is>
      </c>
      <c r="B404" s="1" t="n">
        <v>45271</v>
      </c>
      <c r="C404" s="1" t="n">
        <v>46202</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37192-2024</t>
        </is>
      </c>
      <c r="B405" s="1" t="n">
        <v>45539</v>
      </c>
      <c r="C405" s="1" t="n">
        <v>46202</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42429-2024</t>
        </is>
      </c>
      <c r="B406" s="1" t="n">
        <v>45565</v>
      </c>
      <c r="C406" s="1" t="n">
        <v>46202</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31013-2023</t>
        </is>
      </c>
      <c r="B407" s="1" t="n">
        <v>45113</v>
      </c>
      <c r="C407" s="1" t="n">
        <v>46202</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72067-2021</t>
        </is>
      </c>
      <c r="B408" s="1" t="n">
        <v>44540</v>
      </c>
      <c r="C408" s="1" t="n">
        <v>46202</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3269-2024</t>
        </is>
      </c>
      <c r="B409" s="1" t="n">
        <v>45317</v>
      </c>
      <c r="C409" s="1" t="n">
        <v>46202</v>
      </c>
      <c r="D409" t="inlineStr">
        <is>
          <t>KALMAR LÄN</t>
        </is>
      </c>
      <c r="E409" t="inlineStr">
        <is>
          <t>VIMMERBY</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48120-2022</t>
        </is>
      </c>
      <c r="B410" s="1" t="n">
        <v>44857</v>
      </c>
      <c r="C410" s="1" t="n">
        <v>46202</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61538-2022</t>
        </is>
      </c>
      <c r="B411" s="1" t="n">
        <v>44916</v>
      </c>
      <c r="C411" s="1" t="n">
        <v>46202</v>
      </c>
      <c r="D411" t="inlineStr">
        <is>
          <t>KALMAR LÄN</t>
        </is>
      </c>
      <c r="E411" t="inlineStr">
        <is>
          <t>VIMMERBY</t>
        </is>
      </c>
      <c r="G411" t="n">
        <v>1.5</v>
      </c>
      <c r="H411" t="n">
        <v>0</v>
      </c>
      <c r="I411" t="n">
        <v>0</v>
      </c>
      <c r="J411" t="n">
        <v>0</v>
      </c>
      <c r="K411" t="n">
        <v>0</v>
      </c>
      <c r="L411" t="n">
        <v>0</v>
      </c>
      <c r="M411" t="n">
        <v>0</v>
      </c>
      <c r="N411" t="n">
        <v>0</v>
      </c>
      <c r="O411" t="n">
        <v>0</v>
      </c>
      <c r="P411" t="n">
        <v>0</v>
      </c>
      <c r="Q411" t="n">
        <v>0</v>
      </c>
      <c r="R411" s="2" t="inlineStr"/>
    </row>
    <row r="412" ht="15" customHeight="1">
      <c r="A412" t="inlineStr">
        <is>
          <t>A 6368-2023</t>
        </is>
      </c>
      <c r="B412" s="1" t="n">
        <v>44965</v>
      </c>
      <c r="C412" s="1" t="n">
        <v>46202</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9416-2024</t>
        </is>
      </c>
      <c r="B413" s="1" t="n">
        <v>45359</v>
      </c>
      <c r="C413" s="1" t="n">
        <v>46202</v>
      </c>
      <c r="D413" t="inlineStr">
        <is>
          <t>KALMAR LÄN</t>
        </is>
      </c>
      <c r="E413" t="inlineStr">
        <is>
          <t>VIMMERBY</t>
        </is>
      </c>
      <c r="G413" t="n">
        <v>3.2</v>
      </c>
      <c r="H413" t="n">
        <v>0</v>
      </c>
      <c r="I413" t="n">
        <v>0</v>
      </c>
      <c r="J413" t="n">
        <v>0</v>
      </c>
      <c r="K413" t="n">
        <v>0</v>
      </c>
      <c r="L413" t="n">
        <v>0</v>
      </c>
      <c r="M413" t="n">
        <v>0</v>
      </c>
      <c r="N413" t="n">
        <v>0</v>
      </c>
      <c r="O413" t="n">
        <v>0</v>
      </c>
      <c r="P413" t="n">
        <v>0</v>
      </c>
      <c r="Q413" t="n">
        <v>0</v>
      </c>
      <c r="R413" s="2" t="inlineStr"/>
    </row>
    <row r="414" ht="15" customHeight="1">
      <c r="A414" t="inlineStr">
        <is>
          <t>A 36843-2023</t>
        </is>
      </c>
      <c r="B414" s="1" t="n">
        <v>45154</v>
      </c>
      <c r="C414" s="1" t="n">
        <v>46202</v>
      </c>
      <c r="D414" t="inlineStr">
        <is>
          <t>KALMAR LÄN</t>
        </is>
      </c>
      <c r="E414" t="inlineStr">
        <is>
          <t>VIMMERBY</t>
        </is>
      </c>
      <c r="G414" t="n">
        <v>2</v>
      </c>
      <c r="H414" t="n">
        <v>0</v>
      </c>
      <c r="I414" t="n">
        <v>0</v>
      </c>
      <c r="J414" t="n">
        <v>0</v>
      </c>
      <c r="K414" t="n">
        <v>0</v>
      </c>
      <c r="L414" t="n">
        <v>0</v>
      </c>
      <c r="M414" t="n">
        <v>0</v>
      </c>
      <c r="N414" t="n">
        <v>0</v>
      </c>
      <c r="O414" t="n">
        <v>0</v>
      </c>
      <c r="P414" t="n">
        <v>0</v>
      </c>
      <c r="Q414" t="n">
        <v>0</v>
      </c>
      <c r="R414" s="2" t="inlineStr"/>
    </row>
    <row r="415" ht="15" customHeight="1">
      <c r="A415" t="inlineStr">
        <is>
          <t>A 36155-2023</t>
        </is>
      </c>
      <c r="B415" s="1" t="n">
        <v>45149</v>
      </c>
      <c r="C415" s="1" t="n">
        <v>46202</v>
      </c>
      <c r="D415" t="inlineStr">
        <is>
          <t>KALMAR LÄN</t>
        </is>
      </c>
      <c r="E415" t="inlineStr">
        <is>
          <t>VIMMERBY</t>
        </is>
      </c>
      <c r="G415" t="n">
        <v>5</v>
      </c>
      <c r="H415" t="n">
        <v>0</v>
      </c>
      <c r="I415" t="n">
        <v>0</v>
      </c>
      <c r="J415" t="n">
        <v>0</v>
      </c>
      <c r="K415" t="n">
        <v>0</v>
      </c>
      <c r="L415" t="n">
        <v>0</v>
      </c>
      <c r="M415" t="n">
        <v>0</v>
      </c>
      <c r="N415" t="n">
        <v>0</v>
      </c>
      <c r="O415" t="n">
        <v>0</v>
      </c>
      <c r="P415" t="n">
        <v>0</v>
      </c>
      <c r="Q415" t="n">
        <v>0</v>
      </c>
      <c r="R415" s="2" t="inlineStr"/>
    </row>
    <row r="416" ht="15" customHeight="1">
      <c r="A416" t="inlineStr">
        <is>
          <t>A 29180-2024</t>
        </is>
      </c>
      <c r="B416" s="1" t="n">
        <v>45482</v>
      </c>
      <c r="C416" s="1" t="n">
        <v>46202</v>
      </c>
      <c r="D416" t="inlineStr">
        <is>
          <t>KALMAR LÄN</t>
        </is>
      </c>
      <c r="E416" t="inlineStr">
        <is>
          <t>VIMMERBY</t>
        </is>
      </c>
      <c r="G416" t="n">
        <v>3.8</v>
      </c>
      <c r="H416" t="n">
        <v>0</v>
      </c>
      <c r="I416" t="n">
        <v>0</v>
      </c>
      <c r="J416" t="n">
        <v>0</v>
      </c>
      <c r="K416" t="n">
        <v>0</v>
      </c>
      <c r="L416" t="n">
        <v>0</v>
      </c>
      <c r="M416" t="n">
        <v>0</v>
      </c>
      <c r="N416" t="n">
        <v>0</v>
      </c>
      <c r="O416" t="n">
        <v>0</v>
      </c>
      <c r="P416" t="n">
        <v>0</v>
      </c>
      <c r="Q416" t="n">
        <v>0</v>
      </c>
      <c r="R416" s="2" t="inlineStr"/>
    </row>
    <row r="417" ht="15" customHeight="1">
      <c r="A417" t="inlineStr">
        <is>
          <t>A 10785-2025</t>
        </is>
      </c>
      <c r="B417" s="1" t="n">
        <v>45722</v>
      </c>
      <c r="C417" s="1" t="n">
        <v>46202</v>
      </c>
      <c r="D417" t="inlineStr">
        <is>
          <t>KALMAR LÄN</t>
        </is>
      </c>
      <c r="E417" t="inlineStr">
        <is>
          <t>VIMMERBY</t>
        </is>
      </c>
      <c r="G417" t="n">
        <v>0.5</v>
      </c>
      <c r="H417" t="n">
        <v>0</v>
      </c>
      <c r="I417" t="n">
        <v>0</v>
      </c>
      <c r="J417" t="n">
        <v>0</v>
      </c>
      <c r="K417" t="n">
        <v>0</v>
      </c>
      <c r="L417" t="n">
        <v>0</v>
      </c>
      <c r="M417" t="n">
        <v>0</v>
      </c>
      <c r="N417" t="n">
        <v>0</v>
      </c>
      <c r="O417" t="n">
        <v>0</v>
      </c>
      <c r="P417" t="n">
        <v>0</v>
      </c>
      <c r="Q417" t="n">
        <v>0</v>
      </c>
      <c r="R417" s="2" t="inlineStr"/>
    </row>
    <row r="418" ht="15" customHeight="1">
      <c r="A418" t="inlineStr">
        <is>
          <t>A 29173-2024</t>
        </is>
      </c>
      <c r="B418" s="1" t="n">
        <v>45482</v>
      </c>
      <c r="C418" s="1" t="n">
        <v>46202</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29017-2024</t>
        </is>
      </c>
      <c r="B419" s="1" t="n">
        <v>45481</v>
      </c>
      <c r="C419" s="1" t="n">
        <v>46202</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2797-2023</t>
        </is>
      </c>
      <c r="B420" s="1" t="n">
        <v>44944</v>
      </c>
      <c r="C420" s="1" t="n">
        <v>46202</v>
      </c>
      <c r="D420" t="inlineStr">
        <is>
          <t>KALMAR LÄN</t>
        </is>
      </c>
      <c r="E420" t="inlineStr">
        <is>
          <t>VIMMERBY</t>
        </is>
      </c>
      <c r="G420" t="n">
        <v>3.4</v>
      </c>
      <c r="H420" t="n">
        <v>0</v>
      </c>
      <c r="I420" t="n">
        <v>0</v>
      </c>
      <c r="J420" t="n">
        <v>0</v>
      </c>
      <c r="K420" t="n">
        <v>0</v>
      </c>
      <c r="L420" t="n">
        <v>0</v>
      </c>
      <c r="M420" t="n">
        <v>0</v>
      </c>
      <c r="N420" t="n">
        <v>0</v>
      </c>
      <c r="O420" t="n">
        <v>0</v>
      </c>
      <c r="P420" t="n">
        <v>0</v>
      </c>
      <c r="Q420" t="n">
        <v>0</v>
      </c>
      <c r="R420" s="2" t="inlineStr"/>
    </row>
    <row r="421" ht="15" customHeight="1">
      <c r="A421" t="inlineStr">
        <is>
          <t>A 2799-2023</t>
        </is>
      </c>
      <c r="B421" s="1" t="n">
        <v>44944</v>
      </c>
      <c r="C421" s="1" t="n">
        <v>46202</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53542-2022</t>
        </is>
      </c>
      <c r="B422" s="1" t="n">
        <v>44879</v>
      </c>
      <c r="C422" s="1" t="n">
        <v>46202</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23263-2024</t>
        </is>
      </c>
      <c r="B423" s="1" t="n">
        <v>45453</v>
      </c>
      <c r="C423" s="1" t="n">
        <v>46202</v>
      </c>
      <c r="D423" t="inlineStr">
        <is>
          <t>KALMAR LÄN</t>
        </is>
      </c>
      <c r="E423" t="inlineStr">
        <is>
          <t>VIMMERBY</t>
        </is>
      </c>
      <c r="G423" t="n">
        <v>0.7</v>
      </c>
      <c r="H423" t="n">
        <v>0</v>
      </c>
      <c r="I423" t="n">
        <v>0</v>
      </c>
      <c r="J423" t="n">
        <v>0</v>
      </c>
      <c r="K423" t="n">
        <v>0</v>
      </c>
      <c r="L423" t="n">
        <v>0</v>
      </c>
      <c r="M423" t="n">
        <v>0</v>
      </c>
      <c r="N423" t="n">
        <v>0</v>
      </c>
      <c r="O423" t="n">
        <v>0</v>
      </c>
      <c r="P423" t="n">
        <v>0</v>
      </c>
      <c r="Q423" t="n">
        <v>0</v>
      </c>
      <c r="R423" s="2" t="inlineStr"/>
    </row>
    <row r="424" ht="15" customHeight="1">
      <c r="A424" t="inlineStr">
        <is>
          <t>A 11074-2023</t>
        </is>
      </c>
      <c r="B424" s="1" t="n">
        <v>44992</v>
      </c>
      <c r="C424" s="1" t="n">
        <v>46202</v>
      </c>
      <c r="D424" t="inlineStr">
        <is>
          <t>KALMAR LÄN</t>
        </is>
      </c>
      <c r="E424" t="inlineStr">
        <is>
          <t>VIMMERBY</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25987-2024</t>
        </is>
      </c>
      <c r="B425" s="1" t="n">
        <v>45467</v>
      </c>
      <c r="C425" s="1" t="n">
        <v>46202</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61939-2021</t>
        </is>
      </c>
      <c r="B426" s="1" t="n">
        <v>44502</v>
      </c>
      <c r="C426" s="1" t="n">
        <v>46202</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12215-2024</t>
        </is>
      </c>
      <c r="B427" s="1" t="n">
        <v>45378</v>
      </c>
      <c r="C427" s="1" t="n">
        <v>46202</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12033-2024</t>
        </is>
      </c>
      <c r="B428" s="1" t="n">
        <v>45377</v>
      </c>
      <c r="C428" s="1" t="n">
        <v>46202</v>
      </c>
      <c r="D428" t="inlineStr">
        <is>
          <t>KALMAR LÄN</t>
        </is>
      </c>
      <c r="E428" t="inlineStr">
        <is>
          <t>VIMMERBY</t>
        </is>
      </c>
      <c r="G428" t="n">
        <v>1.6</v>
      </c>
      <c r="H428" t="n">
        <v>0</v>
      </c>
      <c r="I428" t="n">
        <v>0</v>
      </c>
      <c r="J428" t="n">
        <v>0</v>
      </c>
      <c r="K428" t="n">
        <v>0</v>
      </c>
      <c r="L428" t="n">
        <v>0</v>
      </c>
      <c r="M428" t="n">
        <v>0</v>
      </c>
      <c r="N428" t="n">
        <v>0</v>
      </c>
      <c r="O428" t="n">
        <v>0</v>
      </c>
      <c r="P428" t="n">
        <v>0</v>
      </c>
      <c r="Q428" t="n">
        <v>0</v>
      </c>
      <c r="R428" s="2" t="inlineStr"/>
    </row>
    <row r="429" ht="15" customHeight="1">
      <c r="A429" t="inlineStr">
        <is>
          <t>A 51408-2023</t>
        </is>
      </c>
      <c r="B429" s="1" t="n">
        <v>45219</v>
      </c>
      <c r="C429" s="1" t="n">
        <v>46202</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49488-2023</t>
        </is>
      </c>
      <c r="B430" s="1" t="n">
        <v>45211</v>
      </c>
      <c r="C430" s="1" t="n">
        <v>46202</v>
      </c>
      <c r="D430" t="inlineStr">
        <is>
          <t>KALMAR LÄN</t>
        </is>
      </c>
      <c r="E430" t="inlineStr">
        <is>
          <t>VIMMERBY</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45846-2023</t>
        </is>
      </c>
      <c r="B431" s="1" t="n">
        <v>45195</v>
      </c>
      <c r="C431" s="1" t="n">
        <v>46202</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16020-2023</t>
        </is>
      </c>
      <c r="B432" s="1" t="n">
        <v>45026</v>
      </c>
      <c r="C432" s="1" t="n">
        <v>46202</v>
      </c>
      <c r="D432" t="inlineStr">
        <is>
          <t>KALMAR LÄN</t>
        </is>
      </c>
      <c r="E432" t="inlineStr">
        <is>
          <t>VIMMERBY</t>
        </is>
      </c>
      <c r="G432" t="n">
        <v>1.1</v>
      </c>
      <c r="H432" t="n">
        <v>0</v>
      </c>
      <c r="I432" t="n">
        <v>0</v>
      </c>
      <c r="J432" t="n">
        <v>0</v>
      </c>
      <c r="K432" t="n">
        <v>0</v>
      </c>
      <c r="L432" t="n">
        <v>0</v>
      </c>
      <c r="M432" t="n">
        <v>0</v>
      </c>
      <c r="N432" t="n">
        <v>0</v>
      </c>
      <c r="O432" t="n">
        <v>0</v>
      </c>
      <c r="P432" t="n">
        <v>0</v>
      </c>
      <c r="Q432" t="n">
        <v>0</v>
      </c>
      <c r="R432" s="2" t="inlineStr"/>
    </row>
    <row r="433" ht="15" customHeight="1">
      <c r="A433" t="inlineStr">
        <is>
          <t>A 8410-2023</t>
        </is>
      </c>
      <c r="B433" s="1" t="n">
        <v>44977</v>
      </c>
      <c r="C433" s="1" t="n">
        <v>46202</v>
      </c>
      <c r="D433" t="inlineStr">
        <is>
          <t>KALMAR LÄN</t>
        </is>
      </c>
      <c r="E433" t="inlineStr">
        <is>
          <t>VIMMERBY</t>
        </is>
      </c>
      <c r="G433" t="n">
        <v>0.9</v>
      </c>
      <c r="H433" t="n">
        <v>0</v>
      </c>
      <c r="I433" t="n">
        <v>0</v>
      </c>
      <c r="J433" t="n">
        <v>0</v>
      </c>
      <c r="K433" t="n">
        <v>0</v>
      </c>
      <c r="L433" t="n">
        <v>0</v>
      </c>
      <c r="M433" t="n">
        <v>0</v>
      </c>
      <c r="N433" t="n">
        <v>0</v>
      </c>
      <c r="O433" t="n">
        <v>0</v>
      </c>
      <c r="P433" t="n">
        <v>0</v>
      </c>
      <c r="Q433" t="n">
        <v>0</v>
      </c>
      <c r="R433" s="2" t="inlineStr"/>
    </row>
    <row r="434" ht="15" customHeight="1">
      <c r="A434" t="inlineStr">
        <is>
          <t>A 61820-2023</t>
        </is>
      </c>
      <c r="B434" s="1" t="n">
        <v>45266</v>
      </c>
      <c r="C434" s="1" t="n">
        <v>46202</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30920-2024</t>
        </is>
      </c>
      <c r="B435" s="1" t="n">
        <v>45498</v>
      </c>
      <c r="C435" s="1" t="n">
        <v>46202</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6807-2025</t>
        </is>
      </c>
      <c r="B436" s="1" t="n">
        <v>45700</v>
      </c>
      <c r="C436" s="1" t="n">
        <v>46202</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7047-2022</t>
        </is>
      </c>
      <c r="B437" s="1" t="n">
        <v>44603</v>
      </c>
      <c r="C437" s="1" t="n">
        <v>46202</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35711-2023</t>
        </is>
      </c>
      <c r="B438" s="1" t="n">
        <v>45147</v>
      </c>
      <c r="C438" s="1" t="n">
        <v>46202</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5382-2023</t>
        </is>
      </c>
      <c r="B439" s="1" t="n">
        <v>44959</v>
      </c>
      <c r="C439" s="1" t="n">
        <v>46202</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45560-2021</t>
        </is>
      </c>
      <c r="B440" s="1" t="n">
        <v>44440</v>
      </c>
      <c r="C440" s="1" t="n">
        <v>46202</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40256-2024</t>
        </is>
      </c>
      <c r="B441" s="1" t="n">
        <v>45554</v>
      </c>
      <c r="C441" s="1" t="n">
        <v>46202</v>
      </c>
      <c r="D441" t="inlineStr">
        <is>
          <t>KALMAR LÄN</t>
        </is>
      </c>
      <c r="E441" t="inlineStr">
        <is>
          <t>VIMMERBY</t>
        </is>
      </c>
      <c r="G441" t="n">
        <v>0.9</v>
      </c>
      <c r="H441" t="n">
        <v>0</v>
      </c>
      <c r="I441" t="n">
        <v>0</v>
      </c>
      <c r="J441" t="n">
        <v>0</v>
      </c>
      <c r="K441" t="n">
        <v>0</v>
      </c>
      <c r="L441" t="n">
        <v>0</v>
      </c>
      <c r="M441" t="n">
        <v>0</v>
      </c>
      <c r="N441" t="n">
        <v>0</v>
      </c>
      <c r="O441" t="n">
        <v>0</v>
      </c>
      <c r="P441" t="n">
        <v>0</v>
      </c>
      <c r="Q441" t="n">
        <v>0</v>
      </c>
      <c r="R441" s="2" t="inlineStr"/>
    </row>
    <row r="442" ht="15" customHeight="1">
      <c r="A442" t="inlineStr">
        <is>
          <t>A 40823-2023</t>
        </is>
      </c>
      <c r="B442" s="1" t="n">
        <v>45171</v>
      </c>
      <c r="C442" s="1" t="n">
        <v>46202</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58104-2024</t>
        </is>
      </c>
      <c r="B443" s="1" t="n">
        <v>45632</v>
      </c>
      <c r="C443" s="1" t="n">
        <v>46202</v>
      </c>
      <c r="D443" t="inlineStr">
        <is>
          <t>KALMAR LÄN</t>
        </is>
      </c>
      <c r="E443" t="inlineStr">
        <is>
          <t>VIMMERBY</t>
        </is>
      </c>
      <c r="G443" t="n">
        <v>5</v>
      </c>
      <c r="H443" t="n">
        <v>0</v>
      </c>
      <c r="I443" t="n">
        <v>0</v>
      </c>
      <c r="J443" t="n">
        <v>0</v>
      </c>
      <c r="K443" t="n">
        <v>0</v>
      </c>
      <c r="L443" t="n">
        <v>0</v>
      </c>
      <c r="M443" t="n">
        <v>0</v>
      </c>
      <c r="N443" t="n">
        <v>0</v>
      </c>
      <c r="O443" t="n">
        <v>0</v>
      </c>
      <c r="P443" t="n">
        <v>0</v>
      </c>
      <c r="Q443" t="n">
        <v>0</v>
      </c>
      <c r="R443" s="2" t="inlineStr"/>
    </row>
    <row r="444" ht="15" customHeight="1">
      <c r="A444" t="inlineStr">
        <is>
          <t>A 36259-2022</t>
        </is>
      </c>
      <c r="B444" s="1" t="n">
        <v>44803</v>
      </c>
      <c r="C444" s="1" t="n">
        <v>46202</v>
      </c>
      <c r="D444" t="inlineStr">
        <is>
          <t>KALMAR LÄN</t>
        </is>
      </c>
      <c r="E444" t="inlineStr">
        <is>
          <t>VIMMERBY</t>
        </is>
      </c>
      <c r="G444" t="n">
        <v>3.9</v>
      </c>
      <c r="H444" t="n">
        <v>0</v>
      </c>
      <c r="I444" t="n">
        <v>0</v>
      </c>
      <c r="J444" t="n">
        <v>0</v>
      </c>
      <c r="K444" t="n">
        <v>0</v>
      </c>
      <c r="L444" t="n">
        <v>0</v>
      </c>
      <c r="M444" t="n">
        <v>0</v>
      </c>
      <c r="N444" t="n">
        <v>0</v>
      </c>
      <c r="O444" t="n">
        <v>0</v>
      </c>
      <c r="P444" t="n">
        <v>0</v>
      </c>
      <c r="Q444" t="n">
        <v>0</v>
      </c>
      <c r="R444" s="2" t="inlineStr"/>
    </row>
    <row r="445" ht="15" customHeight="1">
      <c r="A445" t="inlineStr">
        <is>
          <t>A 43034-2024</t>
        </is>
      </c>
      <c r="B445" s="1" t="n">
        <v>45567</v>
      </c>
      <c r="C445" s="1" t="n">
        <v>46202</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30920-2023</t>
        </is>
      </c>
      <c r="B446" s="1" t="n">
        <v>45113</v>
      </c>
      <c r="C446" s="1" t="n">
        <v>46202</v>
      </c>
      <c r="D446" t="inlineStr">
        <is>
          <t>KALMAR LÄN</t>
        </is>
      </c>
      <c r="E446" t="inlineStr">
        <is>
          <t>VIMMERBY</t>
        </is>
      </c>
      <c r="G446" t="n">
        <v>3.1</v>
      </c>
      <c r="H446" t="n">
        <v>0</v>
      </c>
      <c r="I446" t="n">
        <v>0</v>
      </c>
      <c r="J446" t="n">
        <v>0</v>
      </c>
      <c r="K446" t="n">
        <v>0</v>
      </c>
      <c r="L446" t="n">
        <v>0</v>
      </c>
      <c r="M446" t="n">
        <v>0</v>
      </c>
      <c r="N446" t="n">
        <v>0</v>
      </c>
      <c r="O446" t="n">
        <v>0</v>
      </c>
      <c r="P446" t="n">
        <v>0</v>
      </c>
      <c r="Q446" t="n">
        <v>0</v>
      </c>
      <c r="R446" s="2" t="inlineStr"/>
    </row>
    <row r="447" ht="15" customHeight="1">
      <c r="A447" t="inlineStr">
        <is>
          <t>A 40929-2022</t>
        </is>
      </c>
      <c r="B447" s="1" t="n">
        <v>44825</v>
      </c>
      <c r="C447" s="1" t="n">
        <v>46202</v>
      </c>
      <c r="D447" t="inlineStr">
        <is>
          <t>KALMAR LÄN</t>
        </is>
      </c>
      <c r="E447" t="inlineStr">
        <is>
          <t>VIMMERBY</t>
        </is>
      </c>
      <c r="G447" t="n">
        <v>2.5</v>
      </c>
      <c r="H447" t="n">
        <v>0</v>
      </c>
      <c r="I447" t="n">
        <v>0</v>
      </c>
      <c r="J447" t="n">
        <v>0</v>
      </c>
      <c r="K447" t="n">
        <v>0</v>
      </c>
      <c r="L447" t="n">
        <v>0</v>
      </c>
      <c r="M447" t="n">
        <v>0</v>
      </c>
      <c r="N447" t="n">
        <v>0</v>
      </c>
      <c r="O447" t="n">
        <v>0</v>
      </c>
      <c r="P447" t="n">
        <v>0</v>
      </c>
      <c r="Q447" t="n">
        <v>0</v>
      </c>
      <c r="R447" s="2" t="inlineStr"/>
    </row>
    <row r="448" ht="15" customHeight="1">
      <c r="A448" t="inlineStr">
        <is>
          <t>A 50091-2023</t>
        </is>
      </c>
      <c r="B448" s="1" t="n">
        <v>45215</v>
      </c>
      <c r="C448" s="1" t="n">
        <v>46202</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36008-2024</t>
        </is>
      </c>
      <c r="B449" s="1" t="n">
        <v>45533</v>
      </c>
      <c r="C449" s="1" t="n">
        <v>46202</v>
      </c>
      <c r="D449" t="inlineStr">
        <is>
          <t>KALMAR LÄN</t>
        </is>
      </c>
      <c r="E449" t="inlineStr">
        <is>
          <t>VIMMERBY</t>
        </is>
      </c>
      <c r="G449" t="n">
        <v>3.7</v>
      </c>
      <c r="H449" t="n">
        <v>0</v>
      </c>
      <c r="I449" t="n">
        <v>0</v>
      </c>
      <c r="J449" t="n">
        <v>0</v>
      </c>
      <c r="K449" t="n">
        <v>0</v>
      </c>
      <c r="L449" t="n">
        <v>0</v>
      </c>
      <c r="M449" t="n">
        <v>0</v>
      </c>
      <c r="N449" t="n">
        <v>0</v>
      </c>
      <c r="O449" t="n">
        <v>0</v>
      </c>
      <c r="P449" t="n">
        <v>0</v>
      </c>
      <c r="Q449" t="n">
        <v>0</v>
      </c>
      <c r="R449" s="2" t="inlineStr"/>
    </row>
    <row r="450" ht="15" customHeight="1">
      <c r="A450" t="inlineStr">
        <is>
          <t>A 3902-2022</t>
        </is>
      </c>
      <c r="B450" s="1" t="n">
        <v>44587</v>
      </c>
      <c r="C450" s="1" t="n">
        <v>46202</v>
      </c>
      <c r="D450" t="inlineStr">
        <is>
          <t>KALMAR LÄN</t>
        </is>
      </c>
      <c r="E450" t="inlineStr">
        <is>
          <t>VIMMERBY</t>
        </is>
      </c>
      <c r="G450" t="n">
        <v>2.6</v>
      </c>
      <c r="H450" t="n">
        <v>0</v>
      </c>
      <c r="I450" t="n">
        <v>0</v>
      </c>
      <c r="J450" t="n">
        <v>0</v>
      </c>
      <c r="K450" t="n">
        <v>0</v>
      </c>
      <c r="L450" t="n">
        <v>0</v>
      </c>
      <c r="M450" t="n">
        <v>0</v>
      </c>
      <c r="N450" t="n">
        <v>0</v>
      </c>
      <c r="O450" t="n">
        <v>0</v>
      </c>
      <c r="P450" t="n">
        <v>0</v>
      </c>
      <c r="Q450" t="n">
        <v>0</v>
      </c>
      <c r="R450" s="2" t="inlineStr"/>
    </row>
    <row r="451" ht="15" customHeight="1">
      <c r="A451" t="inlineStr">
        <is>
          <t>A 28294-2025</t>
        </is>
      </c>
      <c r="B451" s="1" t="n">
        <v>45818</v>
      </c>
      <c r="C451" s="1" t="n">
        <v>46202</v>
      </c>
      <c r="D451" t="inlineStr">
        <is>
          <t>KALMAR LÄN</t>
        </is>
      </c>
      <c r="E451" t="inlineStr">
        <is>
          <t>VIMMERBY</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28290-2025</t>
        </is>
      </c>
      <c r="B452" s="1" t="n">
        <v>45818</v>
      </c>
      <c r="C452" s="1" t="n">
        <v>46202</v>
      </c>
      <c r="D452" t="inlineStr">
        <is>
          <t>KALMAR LÄN</t>
        </is>
      </c>
      <c r="E452" t="inlineStr">
        <is>
          <t>VIMMERBY</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30070-2023</t>
        </is>
      </c>
      <c r="B453" s="1" t="n">
        <v>45110</v>
      </c>
      <c r="C453" s="1" t="n">
        <v>46202</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6857-2023</t>
        </is>
      </c>
      <c r="B454" s="1" t="n">
        <v>44967</v>
      </c>
      <c r="C454" s="1" t="n">
        <v>46202</v>
      </c>
      <c r="D454" t="inlineStr">
        <is>
          <t>KALMAR LÄN</t>
        </is>
      </c>
      <c r="E454" t="inlineStr">
        <is>
          <t>VIMMERBY</t>
        </is>
      </c>
      <c r="G454" t="n">
        <v>2.1</v>
      </c>
      <c r="H454" t="n">
        <v>0</v>
      </c>
      <c r="I454" t="n">
        <v>0</v>
      </c>
      <c r="J454" t="n">
        <v>0</v>
      </c>
      <c r="K454" t="n">
        <v>0</v>
      </c>
      <c r="L454" t="n">
        <v>0</v>
      </c>
      <c r="M454" t="n">
        <v>0</v>
      </c>
      <c r="N454" t="n">
        <v>0</v>
      </c>
      <c r="O454" t="n">
        <v>0</v>
      </c>
      <c r="P454" t="n">
        <v>0</v>
      </c>
      <c r="Q454" t="n">
        <v>0</v>
      </c>
      <c r="R454" s="2" t="inlineStr"/>
    </row>
    <row r="455" ht="15" customHeight="1">
      <c r="A455" t="inlineStr">
        <is>
          <t>A 16622-2025</t>
        </is>
      </c>
      <c r="B455" s="1" t="n">
        <v>45754</v>
      </c>
      <c r="C455" s="1" t="n">
        <v>46202</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43705-2023</t>
        </is>
      </c>
      <c r="B456" s="1" t="n">
        <v>45187</v>
      </c>
      <c r="C456" s="1" t="n">
        <v>46202</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31209-2024</t>
        </is>
      </c>
      <c r="B457" s="1" t="n">
        <v>45503</v>
      </c>
      <c r="C457" s="1" t="n">
        <v>46202</v>
      </c>
      <c r="D457" t="inlineStr">
        <is>
          <t>KALMAR LÄN</t>
        </is>
      </c>
      <c r="E457" t="inlineStr">
        <is>
          <t>VIMMERBY</t>
        </is>
      </c>
      <c r="G457" t="n">
        <v>1.7</v>
      </c>
      <c r="H457" t="n">
        <v>0</v>
      </c>
      <c r="I457" t="n">
        <v>0</v>
      </c>
      <c r="J457" t="n">
        <v>0</v>
      </c>
      <c r="K457" t="n">
        <v>0</v>
      </c>
      <c r="L457" t="n">
        <v>0</v>
      </c>
      <c r="M457" t="n">
        <v>0</v>
      </c>
      <c r="N457" t="n">
        <v>0</v>
      </c>
      <c r="O457" t="n">
        <v>0</v>
      </c>
      <c r="P457" t="n">
        <v>0</v>
      </c>
      <c r="Q457" t="n">
        <v>0</v>
      </c>
      <c r="R457" s="2" t="inlineStr"/>
    </row>
    <row r="458" ht="15" customHeight="1">
      <c r="A458" t="inlineStr">
        <is>
          <t>A 28713-2025</t>
        </is>
      </c>
      <c r="B458" s="1" t="n">
        <v>45820</v>
      </c>
      <c r="C458" s="1" t="n">
        <v>46202</v>
      </c>
      <c r="D458" t="inlineStr">
        <is>
          <t>KALMAR LÄN</t>
        </is>
      </c>
      <c r="E458" t="inlineStr">
        <is>
          <t>VIMMERBY</t>
        </is>
      </c>
      <c r="G458" t="n">
        <v>2.3</v>
      </c>
      <c r="H458" t="n">
        <v>0</v>
      </c>
      <c r="I458" t="n">
        <v>0</v>
      </c>
      <c r="J458" t="n">
        <v>0</v>
      </c>
      <c r="K458" t="n">
        <v>0</v>
      </c>
      <c r="L458" t="n">
        <v>0</v>
      </c>
      <c r="M458" t="n">
        <v>0</v>
      </c>
      <c r="N458" t="n">
        <v>0</v>
      </c>
      <c r="O458" t="n">
        <v>0</v>
      </c>
      <c r="P458" t="n">
        <v>0</v>
      </c>
      <c r="Q458" t="n">
        <v>0</v>
      </c>
      <c r="R458" s="2" t="inlineStr"/>
    </row>
    <row r="459" ht="15" customHeight="1">
      <c r="A459" t="inlineStr">
        <is>
          <t>A 5792-2023</t>
        </is>
      </c>
      <c r="B459" s="1" t="n">
        <v>44963</v>
      </c>
      <c r="C459" s="1" t="n">
        <v>46202</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10303-2025</t>
        </is>
      </c>
      <c r="B460" s="1" t="n">
        <v>45720</v>
      </c>
      <c r="C460" s="1" t="n">
        <v>46202</v>
      </c>
      <c r="D460" t="inlineStr">
        <is>
          <t>KALMAR LÄN</t>
        </is>
      </c>
      <c r="E460" t="inlineStr">
        <is>
          <t>VIMMERBY</t>
        </is>
      </c>
      <c r="G460" t="n">
        <v>0.9</v>
      </c>
      <c r="H460" t="n">
        <v>0</v>
      </c>
      <c r="I460" t="n">
        <v>0</v>
      </c>
      <c r="J460" t="n">
        <v>0</v>
      </c>
      <c r="K460" t="n">
        <v>0</v>
      </c>
      <c r="L460" t="n">
        <v>0</v>
      </c>
      <c r="M460" t="n">
        <v>0</v>
      </c>
      <c r="N460" t="n">
        <v>0</v>
      </c>
      <c r="O460" t="n">
        <v>0</v>
      </c>
      <c r="P460" t="n">
        <v>0</v>
      </c>
      <c r="Q460" t="n">
        <v>0</v>
      </c>
      <c r="R460" s="2" t="inlineStr"/>
    </row>
    <row r="461" ht="15" customHeight="1">
      <c r="A461" t="inlineStr">
        <is>
          <t>A 55300-2021</t>
        </is>
      </c>
      <c r="B461" s="1" t="n">
        <v>44475</v>
      </c>
      <c r="C461" s="1" t="n">
        <v>46202</v>
      </c>
      <c r="D461" t="inlineStr">
        <is>
          <t>KALMAR LÄN</t>
        </is>
      </c>
      <c r="E461" t="inlineStr">
        <is>
          <t>VIMMERBY</t>
        </is>
      </c>
      <c r="G461" t="n">
        <v>3.4</v>
      </c>
      <c r="H461" t="n">
        <v>0</v>
      </c>
      <c r="I461" t="n">
        <v>0</v>
      </c>
      <c r="J461" t="n">
        <v>0</v>
      </c>
      <c r="K461" t="n">
        <v>0</v>
      </c>
      <c r="L461" t="n">
        <v>0</v>
      </c>
      <c r="M461" t="n">
        <v>0</v>
      </c>
      <c r="N461" t="n">
        <v>0</v>
      </c>
      <c r="O461" t="n">
        <v>0</v>
      </c>
      <c r="P461" t="n">
        <v>0</v>
      </c>
      <c r="Q461" t="n">
        <v>0</v>
      </c>
      <c r="R461" s="2" t="inlineStr"/>
    </row>
    <row r="462" ht="15" customHeight="1">
      <c r="A462" t="inlineStr">
        <is>
          <t>A 44179-2022</t>
        </is>
      </c>
      <c r="B462" s="1" t="n">
        <v>44839</v>
      </c>
      <c r="C462" s="1" t="n">
        <v>46202</v>
      </c>
      <c r="D462" t="inlineStr">
        <is>
          <t>KALMAR LÄN</t>
        </is>
      </c>
      <c r="E462" t="inlineStr">
        <is>
          <t>VIMMERBY</t>
        </is>
      </c>
      <c r="G462" t="n">
        <v>2.8</v>
      </c>
      <c r="H462" t="n">
        <v>0</v>
      </c>
      <c r="I462" t="n">
        <v>0</v>
      </c>
      <c r="J462" t="n">
        <v>0</v>
      </c>
      <c r="K462" t="n">
        <v>0</v>
      </c>
      <c r="L462" t="n">
        <v>0</v>
      </c>
      <c r="M462" t="n">
        <v>0</v>
      </c>
      <c r="N462" t="n">
        <v>0</v>
      </c>
      <c r="O462" t="n">
        <v>0</v>
      </c>
      <c r="P462" t="n">
        <v>0</v>
      </c>
      <c r="Q462" t="n">
        <v>0</v>
      </c>
      <c r="R462" s="2" t="inlineStr"/>
    </row>
    <row r="463" ht="15" customHeight="1">
      <c r="A463" t="inlineStr">
        <is>
          <t>A 60110-2022</t>
        </is>
      </c>
      <c r="B463" s="1" t="n">
        <v>44909</v>
      </c>
      <c r="C463" s="1" t="n">
        <v>46202</v>
      </c>
      <c r="D463" t="inlineStr">
        <is>
          <t>KALMAR LÄN</t>
        </is>
      </c>
      <c r="E463" t="inlineStr">
        <is>
          <t>VIMMERBY</t>
        </is>
      </c>
      <c r="G463" t="n">
        <v>1.7</v>
      </c>
      <c r="H463" t="n">
        <v>0</v>
      </c>
      <c r="I463" t="n">
        <v>0</v>
      </c>
      <c r="J463" t="n">
        <v>0</v>
      </c>
      <c r="K463" t="n">
        <v>0</v>
      </c>
      <c r="L463" t="n">
        <v>0</v>
      </c>
      <c r="M463" t="n">
        <v>0</v>
      </c>
      <c r="N463" t="n">
        <v>0</v>
      </c>
      <c r="O463" t="n">
        <v>0</v>
      </c>
      <c r="P463" t="n">
        <v>0</v>
      </c>
      <c r="Q463" t="n">
        <v>0</v>
      </c>
      <c r="R463" s="2" t="inlineStr"/>
    </row>
    <row r="464" ht="15" customHeight="1">
      <c r="A464" t="inlineStr">
        <is>
          <t>A 29737-2025</t>
        </is>
      </c>
      <c r="B464" s="1" t="n">
        <v>45825</v>
      </c>
      <c r="C464" s="1" t="n">
        <v>46202</v>
      </c>
      <c r="D464" t="inlineStr">
        <is>
          <t>KALMAR LÄN</t>
        </is>
      </c>
      <c r="E464" t="inlineStr">
        <is>
          <t>VIMMERBY</t>
        </is>
      </c>
      <c r="G464" t="n">
        <v>1.2</v>
      </c>
      <c r="H464" t="n">
        <v>0</v>
      </c>
      <c r="I464" t="n">
        <v>0</v>
      </c>
      <c r="J464" t="n">
        <v>0</v>
      </c>
      <c r="K464" t="n">
        <v>0</v>
      </c>
      <c r="L464" t="n">
        <v>0</v>
      </c>
      <c r="M464" t="n">
        <v>0</v>
      </c>
      <c r="N464" t="n">
        <v>0</v>
      </c>
      <c r="O464" t="n">
        <v>0</v>
      </c>
      <c r="P464" t="n">
        <v>0</v>
      </c>
      <c r="Q464" t="n">
        <v>0</v>
      </c>
      <c r="R464" s="2" t="inlineStr"/>
    </row>
    <row r="465" ht="15" customHeight="1">
      <c r="A465" t="inlineStr">
        <is>
          <t>A 52755-2022</t>
        </is>
      </c>
      <c r="B465" s="1" t="n">
        <v>44875</v>
      </c>
      <c r="C465" s="1" t="n">
        <v>46202</v>
      </c>
      <c r="D465" t="inlineStr">
        <is>
          <t>KALMAR LÄN</t>
        </is>
      </c>
      <c r="E465" t="inlineStr">
        <is>
          <t>VIMMERBY</t>
        </is>
      </c>
      <c r="G465" t="n">
        <v>1.1</v>
      </c>
      <c r="H465" t="n">
        <v>0</v>
      </c>
      <c r="I465" t="n">
        <v>0</v>
      </c>
      <c r="J465" t="n">
        <v>0</v>
      </c>
      <c r="K465" t="n">
        <v>0</v>
      </c>
      <c r="L465" t="n">
        <v>0</v>
      </c>
      <c r="M465" t="n">
        <v>0</v>
      </c>
      <c r="N465" t="n">
        <v>0</v>
      </c>
      <c r="O465" t="n">
        <v>0</v>
      </c>
      <c r="P465" t="n">
        <v>0</v>
      </c>
      <c r="Q465" t="n">
        <v>0</v>
      </c>
      <c r="R465" s="2" t="inlineStr"/>
    </row>
    <row r="466" ht="15" customHeight="1">
      <c r="A466" t="inlineStr">
        <is>
          <t>A 4527-2023</t>
        </is>
      </c>
      <c r="B466" s="1" t="n">
        <v>44956</v>
      </c>
      <c r="C466" s="1" t="n">
        <v>46202</v>
      </c>
      <c r="D466" t="inlineStr">
        <is>
          <t>KALMAR LÄN</t>
        </is>
      </c>
      <c r="E466" t="inlineStr">
        <is>
          <t>VIMMERBY</t>
        </is>
      </c>
      <c r="F466" t="inlineStr">
        <is>
          <t>Kommuner</t>
        </is>
      </c>
      <c r="G466" t="n">
        <v>8.5</v>
      </c>
      <c r="H466" t="n">
        <v>0</v>
      </c>
      <c r="I466" t="n">
        <v>0</v>
      </c>
      <c r="J466" t="n">
        <v>0</v>
      </c>
      <c r="K466" t="n">
        <v>0</v>
      </c>
      <c r="L466" t="n">
        <v>0</v>
      </c>
      <c r="M466" t="n">
        <v>0</v>
      </c>
      <c r="N466" t="n">
        <v>0</v>
      </c>
      <c r="O466" t="n">
        <v>0</v>
      </c>
      <c r="P466" t="n">
        <v>0</v>
      </c>
      <c r="Q466" t="n">
        <v>0</v>
      </c>
      <c r="R466" s="2" t="inlineStr"/>
    </row>
    <row r="467" ht="15" customHeight="1">
      <c r="A467" t="inlineStr">
        <is>
          <t>A 35998-2024</t>
        </is>
      </c>
      <c r="B467" s="1" t="n">
        <v>45533</v>
      </c>
      <c r="C467" s="1" t="n">
        <v>46202</v>
      </c>
      <c r="D467" t="inlineStr">
        <is>
          <t>KALMAR LÄN</t>
        </is>
      </c>
      <c r="E467" t="inlineStr">
        <is>
          <t>VIMMERBY</t>
        </is>
      </c>
      <c r="G467" t="n">
        <v>8.6</v>
      </c>
      <c r="H467" t="n">
        <v>0</v>
      </c>
      <c r="I467" t="n">
        <v>0</v>
      </c>
      <c r="J467" t="n">
        <v>0</v>
      </c>
      <c r="K467" t="n">
        <v>0</v>
      </c>
      <c r="L467" t="n">
        <v>0</v>
      </c>
      <c r="M467" t="n">
        <v>0</v>
      </c>
      <c r="N467" t="n">
        <v>0</v>
      </c>
      <c r="O467" t="n">
        <v>0</v>
      </c>
      <c r="P467" t="n">
        <v>0</v>
      </c>
      <c r="Q467" t="n">
        <v>0</v>
      </c>
      <c r="R467" s="2" t="inlineStr"/>
    </row>
    <row r="468" ht="15" customHeight="1">
      <c r="A468" t="inlineStr">
        <is>
          <t>A 7797-2023</t>
        </is>
      </c>
      <c r="B468" s="1" t="n">
        <v>44973</v>
      </c>
      <c r="C468" s="1" t="n">
        <v>46202</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6474-2025</t>
        </is>
      </c>
      <c r="B469" s="1" t="n">
        <v>45699</v>
      </c>
      <c r="C469" s="1" t="n">
        <v>46202</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32919-2022</t>
        </is>
      </c>
      <c r="B470" s="1" t="n">
        <v>44784</v>
      </c>
      <c r="C470" s="1" t="n">
        <v>46202</v>
      </c>
      <c r="D470" t="inlineStr">
        <is>
          <t>KALMAR LÄN</t>
        </is>
      </c>
      <c r="E470" t="inlineStr">
        <is>
          <t>VIMMERBY</t>
        </is>
      </c>
      <c r="G470" t="n">
        <v>1.7</v>
      </c>
      <c r="H470" t="n">
        <v>0</v>
      </c>
      <c r="I470" t="n">
        <v>0</v>
      </c>
      <c r="J470" t="n">
        <v>0</v>
      </c>
      <c r="K470" t="n">
        <v>0</v>
      </c>
      <c r="L470" t="n">
        <v>0</v>
      </c>
      <c r="M470" t="n">
        <v>0</v>
      </c>
      <c r="N470" t="n">
        <v>0</v>
      </c>
      <c r="O470" t="n">
        <v>0</v>
      </c>
      <c r="P470" t="n">
        <v>0</v>
      </c>
      <c r="Q470" t="n">
        <v>0</v>
      </c>
      <c r="R470" s="2" t="inlineStr"/>
    </row>
    <row r="471" ht="15" customHeight="1">
      <c r="A471" t="inlineStr">
        <is>
          <t>A 5864-2022</t>
        </is>
      </c>
      <c r="B471" s="1" t="n">
        <v>44596</v>
      </c>
      <c r="C471" s="1" t="n">
        <v>46202</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29351-2023</t>
        </is>
      </c>
      <c r="B472" s="1" t="n">
        <v>45106</v>
      </c>
      <c r="C472" s="1" t="n">
        <v>46202</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1024-2024</t>
        </is>
      </c>
      <c r="B473" s="1" t="n">
        <v>45301</v>
      </c>
      <c r="C473" s="1" t="n">
        <v>46202</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30293-2025</t>
        </is>
      </c>
      <c r="B474" s="1" t="n">
        <v>45827</v>
      </c>
      <c r="C474" s="1" t="n">
        <v>46202</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10787-2025</t>
        </is>
      </c>
      <c r="B475" s="1" t="n">
        <v>45722</v>
      </c>
      <c r="C475" s="1" t="n">
        <v>46202</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56659-2023</t>
        </is>
      </c>
      <c r="B476" s="1" t="n">
        <v>45243</v>
      </c>
      <c r="C476" s="1" t="n">
        <v>46202</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13015-2022</t>
        </is>
      </c>
      <c r="B477" s="1" t="n">
        <v>44643</v>
      </c>
      <c r="C477" s="1" t="n">
        <v>46202</v>
      </c>
      <c r="D477" t="inlineStr">
        <is>
          <t>KALMAR LÄN</t>
        </is>
      </c>
      <c r="E477" t="inlineStr">
        <is>
          <t>VIMMERBY</t>
        </is>
      </c>
      <c r="G477" t="n">
        <v>2.4</v>
      </c>
      <c r="H477" t="n">
        <v>0</v>
      </c>
      <c r="I477" t="n">
        <v>0</v>
      </c>
      <c r="J477" t="n">
        <v>0</v>
      </c>
      <c r="K477" t="n">
        <v>0</v>
      </c>
      <c r="L477" t="n">
        <v>0</v>
      </c>
      <c r="M477" t="n">
        <v>0</v>
      </c>
      <c r="N477" t="n">
        <v>0</v>
      </c>
      <c r="O477" t="n">
        <v>0</v>
      </c>
      <c r="P477" t="n">
        <v>0</v>
      </c>
      <c r="Q477" t="n">
        <v>0</v>
      </c>
      <c r="R477" s="2" t="inlineStr"/>
    </row>
    <row r="478" ht="15" customHeight="1">
      <c r="A478" t="inlineStr">
        <is>
          <t>A 30912-2023</t>
        </is>
      </c>
      <c r="B478" s="1" t="n">
        <v>45113</v>
      </c>
      <c r="C478" s="1" t="n">
        <v>46202</v>
      </c>
      <c r="D478" t="inlineStr">
        <is>
          <t>KALMAR LÄN</t>
        </is>
      </c>
      <c r="E478" t="inlineStr">
        <is>
          <t>VIMMERBY</t>
        </is>
      </c>
      <c r="G478" t="n">
        <v>5</v>
      </c>
      <c r="H478" t="n">
        <v>0</v>
      </c>
      <c r="I478" t="n">
        <v>0</v>
      </c>
      <c r="J478" t="n">
        <v>0</v>
      </c>
      <c r="K478" t="n">
        <v>0</v>
      </c>
      <c r="L478" t="n">
        <v>0</v>
      </c>
      <c r="M478" t="n">
        <v>0</v>
      </c>
      <c r="N478" t="n">
        <v>0</v>
      </c>
      <c r="O478" t="n">
        <v>0</v>
      </c>
      <c r="P478" t="n">
        <v>0</v>
      </c>
      <c r="Q478" t="n">
        <v>0</v>
      </c>
      <c r="R478" s="2" t="inlineStr"/>
    </row>
    <row r="479" ht="15" customHeight="1">
      <c r="A479" t="inlineStr">
        <is>
          <t>A 1146-2025</t>
        </is>
      </c>
      <c r="B479" s="1" t="n">
        <v>45666</v>
      </c>
      <c r="C479" s="1" t="n">
        <v>46202</v>
      </c>
      <c r="D479" t="inlineStr">
        <is>
          <t>KALMAR LÄN</t>
        </is>
      </c>
      <c r="E479" t="inlineStr">
        <is>
          <t>VIMMERBY</t>
        </is>
      </c>
      <c r="G479" t="n">
        <v>4</v>
      </c>
      <c r="H479" t="n">
        <v>0</v>
      </c>
      <c r="I479" t="n">
        <v>0</v>
      </c>
      <c r="J479" t="n">
        <v>0</v>
      </c>
      <c r="K479" t="n">
        <v>0</v>
      </c>
      <c r="L479" t="n">
        <v>0</v>
      </c>
      <c r="M479" t="n">
        <v>0</v>
      </c>
      <c r="N479" t="n">
        <v>0</v>
      </c>
      <c r="O479" t="n">
        <v>0</v>
      </c>
      <c r="P479" t="n">
        <v>0</v>
      </c>
      <c r="Q479" t="n">
        <v>0</v>
      </c>
      <c r="R479" s="2" t="inlineStr"/>
    </row>
    <row r="480" ht="15" customHeight="1">
      <c r="A480" t="inlineStr">
        <is>
          <t>A 29350-2023</t>
        </is>
      </c>
      <c r="B480" s="1" t="n">
        <v>45106</v>
      </c>
      <c r="C480" s="1" t="n">
        <v>46202</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14855-2025</t>
        </is>
      </c>
      <c r="B481" s="1" t="n">
        <v>45743</v>
      </c>
      <c r="C481" s="1" t="n">
        <v>46202</v>
      </c>
      <c r="D481" t="inlineStr">
        <is>
          <t>KALMAR LÄN</t>
        </is>
      </c>
      <c r="E481" t="inlineStr">
        <is>
          <t>VIMMERBY</t>
        </is>
      </c>
      <c r="G481" t="n">
        <v>1.2</v>
      </c>
      <c r="H481" t="n">
        <v>0</v>
      </c>
      <c r="I481" t="n">
        <v>0</v>
      </c>
      <c r="J481" t="n">
        <v>0</v>
      </c>
      <c r="K481" t="n">
        <v>0</v>
      </c>
      <c r="L481" t="n">
        <v>0</v>
      </c>
      <c r="M481" t="n">
        <v>0</v>
      </c>
      <c r="N481" t="n">
        <v>0</v>
      </c>
      <c r="O481" t="n">
        <v>0</v>
      </c>
      <c r="P481" t="n">
        <v>0</v>
      </c>
      <c r="Q481" t="n">
        <v>0</v>
      </c>
      <c r="R481" s="2" t="inlineStr"/>
    </row>
    <row r="482" ht="15" customHeight="1">
      <c r="A482" t="inlineStr">
        <is>
          <t>A 43601-2024</t>
        </is>
      </c>
      <c r="B482" s="1" t="n">
        <v>45569</v>
      </c>
      <c r="C482" s="1" t="n">
        <v>46202</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35913-2023</t>
        </is>
      </c>
      <c r="B483" s="1" t="n">
        <v>45148</v>
      </c>
      <c r="C483" s="1" t="n">
        <v>46202</v>
      </c>
      <c r="D483" t="inlineStr">
        <is>
          <t>KALMAR LÄN</t>
        </is>
      </c>
      <c r="E483" t="inlineStr">
        <is>
          <t>VIMMERBY</t>
        </is>
      </c>
      <c r="G483" t="n">
        <v>6.9</v>
      </c>
      <c r="H483" t="n">
        <v>0</v>
      </c>
      <c r="I483" t="n">
        <v>0</v>
      </c>
      <c r="J483" t="n">
        <v>0</v>
      </c>
      <c r="K483" t="n">
        <v>0</v>
      </c>
      <c r="L483" t="n">
        <v>0</v>
      </c>
      <c r="M483" t="n">
        <v>0</v>
      </c>
      <c r="N483" t="n">
        <v>0</v>
      </c>
      <c r="O483" t="n">
        <v>0</v>
      </c>
      <c r="P483" t="n">
        <v>0</v>
      </c>
      <c r="Q483" t="n">
        <v>0</v>
      </c>
      <c r="R483" s="2" t="inlineStr"/>
    </row>
    <row r="484" ht="15" customHeight="1">
      <c r="A484" t="inlineStr">
        <is>
          <t>A 9624-2024</t>
        </is>
      </c>
      <c r="B484" s="1" t="n">
        <v>45361</v>
      </c>
      <c r="C484" s="1" t="n">
        <v>46202</v>
      </c>
      <c r="D484" t="inlineStr">
        <is>
          <t>KALMAR LÄN</t>
        </is>
      </c>
      <c r="E484" t="inlineStr">
        <is>
          <t>VIMMERBY</t>
        </is>
      </c>
      <c r="G484" t="n">
        <v>3.8</v>
      </c>
      <c r="H484" t="n">
        <v>0</v>
      </c>
      <c r="I484" t="n">
        <v>0</v>
      </c>
      <c r="J484" t="n">
        <v>0</v>
      </c>
      <c r="K484" t="n">
        <v>0</v>
      </c>
      <c r="L484" t="n">
        <v>0</v>
      </c>
      <c r="M484" t="n">
        <v>0</v>
      </c>
      <c r="N484" t="n">
        <v>0</v>
      </c>
      <c r="O484" t="n">
        <v>0</v>
      </c>
      <c r="P484" t="n">
        <v>0</v>
      </c>
      <c r="Q484" t="n">
        <v>0</v>
      </c>
      <c r="R484" s="2" t="inlineStr"/>
    </row>
    <row r="485" ht="15" customHeight="1">
      <c r="A485" t="inlineStr">
        <is>
          <t>A 3938-2023</t>
        </is>
      </c>
      <c r="B485" s="1" t="n">
        <v>44952</v>
      </c>
      <c r="C485" s="1" t="n">
        <v>46202</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62023-2022</t>
        </is>
      </c>
      <c r="B486" s="1" t="n">
        <v>44918</v>
      </c>
      <c r="C486" s="1" t="n">
        <v>46202</v>
      </c>
      <c r="D486" t="inlineStr">
        <is>
          <t>KALMAR LÄN</t>
        </is>
      </c>
      <c r="E486" t="inlineStr">
        <is>
          <t>VIMMERBY</t>
        </is>
      </c>
      <c r="G486" t="n">
        <v>0.3</v>
      </c>
      <c r="H486" t="n">
        <v>0</v>
      </c>
      <c r="I486" t="n">
        <v>0</v>
      </c>
      <c r="J486" t="n">
        <v>0</v>
      </c>
      <c r="K486" t="n">
        <v>0</v>
      </c>
      <c r="L486" t="n">
        <v>0</v>
      </c>
      <c r="M486" t="n">
        <v>0</v>
      </c>
      <c r="N486" t="n">
        <v>0</v>
      </c>
      <c r="O486" t="n">
        <v>0</v>
      </c>
      <c r="P486" t="n">
        <v>0</v>
      </c>
      <c r="Q486" t="n">
        <v>0</v>
      </c>
      <c r="R486" s="2" t="inlineStr"/>
    </row>
    <row r="487" ht="15" customHeight="1">
      <c r="A487" t="inlineStr">
        <is>
          <t>A 30971-2025</t>
        </is>
      </c>
      <c r="B487" s="1" t="n">
        <v>45832</v>
      </c>
      <c r="C487" s="1" t="n">
        <v>46202</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31551-2025</t>
        </is>
      </c>
      <c r="B488" s="1" t="n">
        <v>45833</v>
      </c>
      <c r="C488" s="1" t="n">
        <v>46202</v>
      </c>
      <c r="D488" t="inlineStr">
        <is>
          <t>KALMAR LÄN</t>
        </is>
      </c>
      <c r="E488" t="inlineStr">
        <is>
          <t>VIMMERBY</t>
        </is>
      </c>
      <c r="G488" t="n">
        <v>1.9</v>
      </c>
      <c r="H488" t="n">
        <v>0</v>
      </c>
      <c r="I488" t="n">
        <v>0</v>
      </c>
      <c r="J488" t="n">
        <v>0</v>
      </c>
      <c r="K488" t="n">
        <v>0</v>
      </c>
      <c r="L488" t="n">
        <v>0</v>
      </c>
      <c r="M488" t="n">
        <v>0</v>
      </c>
      <c r="N488" t="n">
        <v>0</v>
      </c>
      <c r="O488" t="n">
        <v>0</v>
      </c>
      <c r="P488" t="n">
        <v>0</v>
      </c>
      <c r="Q488" t="n">
        <v>0</v>
      </c>
      <c r="R488" s="2" t="inlineStr"/>
    </row>
    <row r="489" ht="15" customHeight="1">
      <c r="A489" t="inlineStr">
        <is>
          <t>A 39053-2024</t>
        </is>
      </c>
      <c r="B489" s="1" t="n">
        <v>45548</v>
      </c>
      <c r="C489" s="1" t="n">
        <v>46202</v>
      </c>
      <c r="D489" t="inlineStr">
        <is>
          <t>KALMAR LÄN</t>
        </is>
      </c>
      <c r="E489" t="inlineStr">
        <is>
          <t>VIMMERBY</t>
        </is>
      </c>
      <c r="G489" t="n">
        <v>5</v>
      </c>
      <c r="H489" t="n">
        <v>0</v>
      </c>
      <c r="I489" t="n">
        <v>0</v>
      </c>
      <c r="J489" t="n">
        <v>0</v>
      </c>
      <c r="K489" t="n">
        <v>0</v>
      </c>
      <c r="L489" t="n">
        <v>0</v>
      </c>
      <c r="M489" t="n">
        <v>0</v>
      </c>
      <c r="N489" t="n">
        <v>0</v>
      </c>
      <c r="O489" t="n">
        <v>0</v>
      </c>
      <c r="P489" t="n">
        <v>0</v>
      </c>
      <c r="Q489" t="n">
        <v>0</v>
      </c>
      <c r="R489" s="2" t="inlineStr"/>
    </row>
    <row r="490" ht="15" customHeight="1">
      <c r="A490" t="inlineStr">
        <is>
          <t>A 30882-2025</t>
        </is>
      </c>
      <c r="B490" s="1" t="n">
        <v>45832</v>
      </c>
      <c r="C490" s="1" t="n">
        <v>46202</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16119-2023</t>
        </is>
      </c>
      <c r="B491" s="1" t="n">
        <v>45027</v>
      </c>
      <c r="C491" s="1" t="n">
        <v>46202</v>
      </c>
      <c r="D491" t="inlineStr">
        <is>
          <t>KALMAR LÄN</t>
        </is>
      </c>
      <c r="E491" t="inlineStr">
        <is>
          <t>VIMMERBY</t>
        </is>
      </c>
      <c r="F491" t="inlineStr">
        <is>
          <t>Kommuner</t>
        </is>
      </c>
      <c r="G491" t="n">
        <v>4.4</v>
      </c>
      <c r="H491" t="n">
        <v>0</v>
      </c>
      <c r="I491" t="n">
        <v>0</v>
      </c>
      <c r="J491" t="n">
        <v>0</v>
      </c>
      <c r="K491" t="n">
        <v>0</v>
      </c>
      <c r="L491" t="n">
        <v>0</v>
      </c>
      <c r="M491" t="n">
        <v>0</v>
      </c>
      <c r="N491" t="n">
        <v>0</v>
      </c>
      <c r="O491" t="n">
        <v>0</v>
      </c>
      <c r="P491" t="n">
        <v>0</v>
      </c>
      <c r="Q491" t="n">
        <v>0</v>
      </c>
      <c r="R491" s="2" t="inlineStr"/>
    </row>
    <row r="492" ht="15" customHeight="1">
      <c r="A492" t="inlineStr">
        <is>
          <t>A 14451-2024</t>
        </is>
      </c>
      <c r="B492" s="1" t="n">
        <v>45394</v>
      </c>
      <c r="C492" s="1" t="n">
        <v>46202</v>
      </c>
      <c r="D492" t="inlineStr">
        <is>
          <t>KALMAR LÄN</t>
        </is>
      </c>
      <c r="E492" t="inlineStr">
        <is>
          <t>VIMMERBY</t>
        </is>
      </c>
      <c r="G492" t="n">
        <v>1.9</v>
      </c>
      <c r="H492" t="n">
        <v>0</v>
      </c>
      <c r="I492" t="n">
        <v>0</v>
      </c>
      <c r="J492" t="n">
        <v>0</v>
      </c>
      <c r="K492" t="n">
        <v>0</v>
      </c>
      <c r="L492" t="n">
        <v>0</v>
      </c>
      <c r="M492" t="n">
        <v>0</v>
      </c>
      <c r="N492" t="n">
        <v>0</v>
      </c>
      <c r="O492" t="n">
        <v>0</v>
      </c>
      <c r="P492" t="n">
        <v>0</v>
      </c>
      <c r="Q492" t="n">
        <v>0</v>
      </c>
      <c r="R492" s="2" t="inlineStr"/>
    </row>
    <row r="493" ht="15" customHeight="1">
      <c r="A493" t="inlineStr">
        <is>
          <t>A 52327-2023</t>
        </is>
      </c>
      <c r="B493" s="1" t="n">
        <v>45224</v>
      </c>
      <c r="C493" s="1" t="n">
        <v>46202</v>
      </c>
      <c r="D493" t="inlineStr">
        <is>
          <t>KALMAR LÄN</t>
        </is>
      </c>
      <c r="E493" t="inlineStr">
        <is>
          <t>VIMMERBY</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8559-2025</t>
        </is>
      </c>
      <c r="B494" s="1" t="n">
        <v>45709</v>
      </c>
      <c r="C494" s="1" t="n">
        <v>46202</v>
      </c>
      <c r="D494" t="inlineStr">
        <is>
          <t>KALMAR LÄN</t>
        </is>
      </c>
      <c r="E494" t="inlineStr">
        <is>
          <t>VIMMERBY</t>
        </is>
      </c>
      <c r="G494" t="n">
        <v>8.9</v>
      </c>
      <c r="H494" t="n">
        <v>0</v>
      </c>
      <c r="I494" t="n">
        <v>0</v>
      </c>
      <c r="J494" t="n">
        <v>0</v>
      </c>
      <c r="K494" t="n">
        <v>0</v>
      </c>
      <c r="L494" t="n">
        <v>0</v>
      </c>
      <c r="M494" t="n">
        <v>0</v>
      </c>
      <c r="N494" t="n">
        <v>0</v>
      </c>
      <c r="O494" t="n">
        <v>0</v>
      </c>
      <c r="P494" t="n">
        <v>0</v>
      </c>
      <c r="Q494" t="n">
        <v>0</v>
      </c>
      <c r="R494" s="2" t="inlineStr"/>
    </row>
    <row r="495" ht="15" customHeight="1">
      <c r="A495" t="inlineStr">
        <is>
          <t>A 34205-2023</t>
        </is>
      </c>
      <c r="B495" s="1" t="n">
        <v>45138</v>
      </c>
      <c r="C495" s="1" t="n">
        <v>46202</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32116-2025</t>
        </is>
      </c>
      <c r="B496" s="1" t="n">
        <v>45835</v>
      </c>
      <c r="C496" s="1" t="n">
        <v>46202</v>
      </c>
      <c r="D496" t="inlineStr">
        <is>
          <t>KALMAR LÄN</t>
        </is>
      </c>
      <c r="E496" t="inlineStr">
        <is>
          <t>VIMMERBY</t>
        </is>
      </c>
      <c r="G496" t="n">
        <v>0.9</v>
      </c>
      <c r="H496" t="n">
        <v>0</v>
      </c>
      <c r="I496" t="n">
        <v>0</v>
      </c>
      <c r="J496" t="n">
        <v>0</v>
      </c>
      <c r="K496" t="n">
        <v>0</v>
      </c>
      <c r="L496" t="n">
        <v>0</v>
      </c>
      <c r="M496" t="n">
        <v>0</v>
      </c>
      <c r="N496" t="n">
        <v>0</v>
      </c>
      <c r="O496" t="n">
        <v>0</v>
      </c>
      <c r="P496" t="n">
        <v>0</v>
      </c>
      <c r="Q496" t="n">
        <v>0</v>
      </c>
      <c r="R496" s="2" t="inlineStr"/>
    </row>
    <row r="497" ht="15" customHeight="1">
      <c r="A497" t="inlineStr">
        <is>
          <t>A 12075-2024</t>
        </is>
      </c>
      <c r="B497" s="1" t="n">
        <v>45377</v>
      </c>
      <c r="C497" s="1" t="n">
        <v>46202</v>
      </c>
      <c r="D497" t="inlineStr">
        <is>
          <t>KALMAR LÄN</t>
        </is>
      </c>
      <c r="E497" t="inlineStr">
        <is>
          <t>VIMMERBY</t>
        </is>
      </c>
      <c r="G497" t="n">
        <v>3.7</v>
      </c>
      <c r="H497" t="n">
        <v>0</v>
      </c>
      <c r="I497" t="n">
        <v>0</v>
      </c>
      <c r="J497" t="n">
        <v>0</v>
      </c>
      <c r="K497" t="n">
        <v>0</v>
      </c>
      <c r="L497" t="n">
        <v>0</v>
      </c>
      <c r="M497" t="n">
        <v>0</v>
      </c>
      <c r="N497" t="n">
        <v>0</v>
      </c>
      <c r="O497" t="n">
        <v>0</v>
      </c>
      <c r="P497" t="n">
        <v>0</v>
      </c>
      <c r="Q497" t="n">
        <v>0</v>
      </c>
      <c r="R497" s="2" t="inlineStr"/>
    </row>
    <row r="498" ht="15" customHeight="1">
      <c r="A498" t="inlineStr">
        <is>
          <t>A 32077-2025</t>
        </is>
      </c>
      <c r="B498" s="1" t="n">
        <v>45835</v>
      </c>
      <c r="C498" s="1" t="n">
        <v>46202</v>
      </c>
      <c r="D498" t="inlineStr">
        <is>
          <t>KALMAR LÄN</t>
        </is>
      </c>
      <c r="E498" t="inlineStr">
        <is>
          <t>VIMMERBY</t>
        </is>
      </c>
      <c r="G498" t="n">
        <v>1.8</v>
      </c>
      <c r="H498" t="n">
        <v>0</v>
      </c>
      <c r="I498" t="n">
        <v>0</v>
      </c>
      <c r="J498" t="n">
        <v>0</v>
      </c>
      <c r="K498" t="n">
        <v>0</v>
      </c>
      <c r="L498" t="n">
        <v>0</v>
      </c>
      <c r="M498" t="n">
        <v>0</v>
      </c>
      <c r="N498" t="n">
        <v>0</v>
      </c>
      <c r="O498" t="n">
        <v>0</v>
      </c>
      <c r="P498" t="n">
        <v>0</v>
      </c>
      <c r="Q498" t="n">
        <v>0</v>
      </c>
      <c r="R498" s="2" t="inlineStr"/>
    </row>
    <row r="499" ht="15" customHeight="1">
      <c r="A499" t="inlineStr">
        <is>
          <t>A 55436-2023</t>
        </is>
      </c>
      <c r="B499" s="1" t="n">
        <v>45238</v>
      </c>
      <c r="C499" s="1" t="n">
        <v>46202</v>
      </c>
      <c r="D499" t="inlineStr">
        <is>
          <t>KALMAR LÄN</t>
        </is>
      </c>
      <c r="E499" t="inlineStr">
        <is>
          <t>VIMMERBY</t>
        </is>
      </c>
      <c r="G499" t="n">
        <v>5.6</v>
      </c>
      <c r="H499" t="n">
        <v>0</v>
      </c>
      <c r="I499" t="n">
        <v>0</v>
      </c>
      <c r="J499" t="n">
        <v>0</v>
      </c>
      <c r="K499" t="n">
        <v>0</v>
      </c>
      <c r="L499" t="n">
        <v>0</v>
      </c>
      <c r="M499" t="n">
        <v>0</v>
      </c>
      <c r="N499" t="n">
        <v>0</v>
      </c>
      <c r="O499" t="n">
        <v>0</v>
      </c>
      <c r="P499" t="n">
        <v>0</v>
      </c>
      <c r="Q499" t="n">
        <v>0</v>
      </c>
      <c r="R499" s="2" t="inlineStr"/>
    </row>
    <row r="500" ht="15" customHeight="1">
      <c r="A500" t="inlineStr">
        <is>
          <t>A 31340-2023</t>
        </is>
      </c>
      <c r="B500" s="1" t="n">
        <v>45114</v>
      </c>
      <c r="C500" s="1" t="n">
        <v>46202</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56582-2022</t>
        </is>
      </c>
      <c r="B501" s="1" t="n">
        <v>44893</v>
      </c>
      <c r="C501" s="1" t="n">
        <v>46202</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43962-2024</t>
        </is>
      </c>
      <c r="B502" s="1" t="n">
        <v>45572</v>
      </c>
      <c r="C502" s="1" t="n">
        <v>46202</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3268-2024</t>
        </is>
      </c>
      <c r="B503" s="1" t="n">
        <v>45317</v>
      </c>
      <c r="C503" s="1" t="n">
        <v>46202</v>
      </c>
      <c r="D503" t="inlineStr">
        <is>
          <t>KALMAR LÄN</t>
        </is>
      </c>
      <c r="E503" t="inlineStr">
        <is>
          <t>VIMMERBY</t>
        </is>
      </c>
      <c r="F503" t="inlineStr">
        <is>
          <t>Övriga Aktiebolag</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35713-2023</t>
        </is>
      </c>
      <c r="B504" s="1" t="n">
        <v>45147</v>
      </c>
      <c r="C504" s="1" t="n">
        <v>46202</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12819-2024</t>
        </is>
      </c>
      <c r="B505" s="1" t="n">
        <v>45384</v>
      </c>
      <c r="C505" s="1" t="n">
        <v>46202</v>
      </c>
      <c r="D505" t="inlineStr">
        <is>
          <t>KALMAR LÄN</t>
        </is>
      </c>
      <c r="E505" t="inlineStr">
        <is>
          <t>VIMMERBY</t>
        </is>
      </c>
      <c r="G505" t="n">
        <v>5.1</v>
      </c>
      <c r="H505" t="n">
        <v>0</v>
      </c>
      <c r="I505" t="n">
        <v>0</v>
      </c>
      <c r="J505" t="n">
        <v>0</v>
      </c>
      <c r="K505" t="n">
        <v>0</v>
      </c>
      <c r="L505" t="n">
        <v>0</v>
      </c>
      <c r="M505" t="n">
        <v>0</v>
      </c>
      <c r="N505" t="n">
        <v>0</v>
      </c>
      <c r="O505" t="n">
        <v>0</v>
      </c>
      <c r="P505" t="n">
        <v>0</v>
      </c>
      <c r="Q505" t="n">
        <v>0</v>
      </c>
      <c r="R505" s="2" t="inlineStr"/>
    </row>
    <row r="506" ht="15" customHeight="1">
      <c r="A506" t="inlineStr">
        <is>
          <t>A 32380-2025</t>
        </is>
      </c>
      <c r="B506" s="1" t="n">
        <v>45837</v>
      </c>
      <c r="C506" s="1" t="n">
        <v>46202</v>
      </c>
      <c r="D506" t="inlineStr">
        <is>
          <t>KALMAR LÄN</t>
        </is>
      </c>
      <c r="E506" t="inlineStr">
        <is>
          <t>VIMMERBY</t>
        </is>
      </c>
      <c r="G506" t="n">
        <v>3.1</v>
      </c>
      <c r="H506" t="n">
        <v>0</v>
      </c>
      <c r="I506" t="n">
        <v>0</v>
      </c>
      <c r="J506" t="n">
        <v>0</v>
      </c>
      <c r="K506" t="n">
        <v>0</v>
      </c>
      <c r="L506" t="n">
        <v>0</v>
      </c>
      <c r="M506" t="n">
        <v>0</v>
      </c>
      <c r="N506" t="n">
        <v>0</v>
      </c>
      <c r="O506" t="n">
        <v>0</v>
      </c>
      <c r="P506" t="n">
        <v>0</v>
      </c>
      <c r="Q506" t="n">
        <v>0</v>
      </c>
      <c r="R506" s="2" t="inlineStr"/>
    </row>
    <row r="507" ht="15" customHeight="1">
      <c r="A507" t="inlineStr">
        <is>
          <t>A 33186-2025</t>
        </is>
      </c>
      <c r="B507" s="1" t="n">
        <v>45840</v>
      </c>
      <c r="C507" s="1" t="n">
        <v>46202</v>
      </c>
      <c r="D507" t="inlineStr">
        <is>
          <t>KALMAR LÄN</t>
        </is>
      </c>
      <c r="E507" t="inlineStr">
        <is>
          <t>VIMMERBY</t>
        </is>
      </c>
      <c r="G507" t="n">
        <v>2.6</v>
      </c>
      <c r="H507" t="n">
        <v>0</v>
      </c>
      <c r="I507" t="n">
        <v>0</v>
      </c>
      <c r="J507" t="n">
        <v>0</v>
      </c>
      <c r="K507" t="n">
        <v>0</v>
      </c>
      <c r="L507" t="n">
        <v>0</v>
      </c>
      <c r="M507" t="n">
        <v>0</v>
      </c>
      <c r="N507" t="n">
        <v>0</v>
      </c>
      <c r="O507" t="n">
        <v>0</v>
      </c>
      <c r="P507" t="n">
        <v>0</v>
      </c>
      <c r="Q507" t="n">
        <v>0</v>
      </c>
      <c r="R507" s="2" t="inlineStr"/>
    </row>
    <row r="508" ht="15" customHeight="1">
      <c r="A508" t="inlineStr">
        <is>
          <t>A 32569-2024</t>
        </is>
      </c>
      <c r="B508" s="1" t="n">
        <v>45513</v>
      </c>
      <c r="C508" s="1" t="n">
        <v>46202</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32575-2024</t>
        </is>
      </c>
      <c r="B509" s="1" t="n">
        <v>45513</v>
      </c>
      <c r="C509" s="1" t="n">
        <v>46202</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30977-2025</t>
        </is>
      </c>
      <c r="B510" s="1" t="n">
        <v>45832</v>
      </c>
      <c r="C510" s="1" t="n">
        <v>46202</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26956-2025</t>
        </is>
      </c>
      <c r="B511" s="1" t="n">
        <v>45811</v>
      </c>
      <c r="C511" s="1" t="n">
        <v>46202</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59300-2024</t>
        </is>
      </c>
      <c r="B512" s="1" t="n">
        <v>45637</v>
      </c>
      <c r="C512" s="1" t="n">
        <v>46202</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28702-2025</t>
        </is>
      </c>
      <c r="B513" s="1" t="n">
        <v>45820</v>
      </c>
      <c r="C513" s="1" t="n">
        <v>46202</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36526-2023</t>
        </is>
      </c>
      <c r="B514" s="1" t="n">
        <v>45153</v>
      </c>
      <c r="C514" s="1" t="n">
        <v>46202</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7758-2024</t>
        </is>
      </c>
      <c r="B515" s="1" t="n">
        <v>45349</v>
      </c>
      <c r="C515" s="1" t="n">
        <v>46202</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5701-2024</t>
        </is>
      </c>
      <c r="B516" s="1" t="n">
        <v>45334</v>
      </c>
      <c r="C516" s="1" t="n">
        <v>46202</v>
      </c>
      <c r="D516" t="inlineStr">
        <is>
          <t>KALMAR LÄN</t>
        </is>
      </c>
      <c r="E516" t="inlineStr">
        <is>
          <t>VIMMERBY</t>
        </is>
      </c>
      <c r="G516" t="n">
        <v>2.3</v>
      </c>
      <c r="H516" t="n">
        <v>0</v>
      </c>
      <c r="I516" t="n">
        <v>0</v>
      </c>
      <c r="J516" t="n">
        <v>0</v>
      </c>
      <c r="K516" t="n">
        <v>0</v>
      </c>
      <c r="L516" t="n">
        <v>0</v>
      </c>
      <c r="M516" t="n">
        <v>0</v>
      </c>
      <c r="N516" t="n">
        <v>0</v>
      </c>
      <c r="O516" t="n">
        <v>0</v>
      </c>
      <c r="P516" t="n">
        <v>0</v>
      </c>
      <c r="Q516" t="n">
        <v>0</v>
      </c>
      <c r="R516" s="2" t="inlineStr"/>
    </row>
    <row r="517" ht="15" customHeight="1">
      <c r="A517" t="inlineStr">
        <is>
          <t>A 58728-2024</t>
        </is>
      </c>
      <c r="B517" s="1" t="n">
        <v>45635</v>
      </c>
      <c r="C517" s="1" t="n">
        <v>46202</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49474-2023</t>
        </is>
      </c>
      <c r="B518" s="1" t="n">
        <v>45211</v>
      </c>
      <c r="C518" s="1" t="n">
        <v>46202</v>
      </c>
      <c r="D518" t="inlineStr">
        <is>
          <t>KALMAR LÄN</t>
        </is>
      </c>
      <c r="E518" t="inlineStr">
        <is>
          <t>VIMMERBY</t>
        </is>
      </c>
      <c r="G518" t="n">
        <v>3.6</v>
      </c>
      <c r="H518" t="n">
        <v>0</v>
      </c>
      <c r="I518" t="n">
        <v>0</v>
      </c>
      <c r="J518" t="n">
        <v>0</v>
      </c>
      <c r="K518" t="n">
        <v>0</v>
      </c>
      <c r="L518" t="n">
        <v>0</v>
      </c>
      <c r="M518" t="n">
        <v>0</v>
      </c>
      <c r="N518" t="n">
        <v>0</v>
      </c>
      <c r="O518" t="n">
        <v>0</v>
      </c>
      <c r="P518" t="n">
        <v>0</v>
      </c>
      <c r="Q518" t="n">
        <v>0</v>
      </c>
      <c r="R518" s="2" t="inlineStr"/>
    </row>
    <row r="519" ht="15" customHeight="1">
      <c r="A519" t="inlineStr">
        <is>
          <t>A 57682-2022</t>
        </is>
      </c>
      <c r="B519" s="1" t="n">
        <v>44890</v>
      </c>
      <c r="C519" s="1" t="n">
        <v>46202</v>
      </c>
      <c r="D519" t="inlineStr">
        <is>
          <t>KALMAR LÄN</t>
        </is>
      </c>
      <c r="E519" t="inlineStr">
        <is>
          <t>VIMMERBY</t>
        </is>
      </c>
      <c r="G519" t="n">
        <v>1.5</v>
      </c>
      <c r="H519" t="n">
        <v>0</v>
      </c>
      <c r="I519" t="n">
        <v>0</v>
      </c>
      <c r="J519" t="n">
        <v>0</v>
      </c>
      <c r="K519" t="n">
        <v>0</v>
      </c>
      <c r="L519" t="n">
        <v>0</v>
      </c>
      <c r="M519" t="n">
        <v>0</v>
      </c>
      <c r="N519" t="n">
        <v>0</v>
      </c>
      <c r="O519" t="n">
        <v>0</v>
      </c>
      <c r="P519" t="n">
        <v>0</v>
      </c>
      <c r="Q519" t="n">
        <v>0</v>
      </c>
      <c r="R519" s="2" t="inlineStr"/>
    </row>
    <row r="520" ht="15" customHeight="1">
      <c r="A520" t="inlineStr">
        <is>
          <t>A 31405-2023</t>
        </is>
      </c>
      <c r="B520" s="1" t="n">
        <v>45114</v>
      </c>
      <c r="C520" s="1" t="n">
        <v>46202</v>
      </c>
      <c r="D520" t="inlineStr">
        <is>
          <t>KALMAR LÄN</t>
        </is>
      </c>
      <c r="E520" t="inlineStr">
        <is>
          <t>VIMMERBY</t>
        </is>
      </c>
      <c r="G520" t="n">
        <v>2.6</v>
      </c>
      <c r="H520" t="n">
        <v>0</v>
      </c>
      <c r="I520" t="n">
        <v>0</v>
      </c>
      <c r="J520" t="n">
        <v>0</v>
      </c>
      <c r="K520" t="n">
        <v>0</v>
      </c>
      <c r="L520" t="n">
        <v>0</v>
      </c>
      <c r="M520" t="n">
        <v>0</v>
      </c>
      <c r="N520" t="n">
        <v>0</v>
      </c>
      <c r="O520" t="n">
        <v>0</v>
      </c>
      <c r="P520" t="n">
        <v>0</v>
      </c>
      <c r="Q520" t="n">
        <v>0</v>
      </c>
      <c r="R520" s="2" t="inlineStr"/>
    </row>
    <row r="521" ht="15" customHeight="1">
      <c r="A521" t="inlineStr">
        <is>
          <t>A 34628-2025</t>
        </is>
      </c>
      <c r="B521" s="1" t="n">
        <v>45847</v>
      </c>
      <c r="C521" s="1" t="n">
        <v>46202</v>
      </c>
      <c r="D521" t="inlineStr">
        <is>
          <t>KALMAR LÄN</t>
        </is>
      </c>
      <c r="E521" t="inlineStr">
        <is>
          <t>VIMMERBY</t>
        </is>
      </c>
      <c r="G521" t="n">
        <v>4.2</v>
      </c>
      <c r="H521" t="n">
        <v>0</v>
      </c>
      <c r="I521" t="n">
        <v>0</v>
      </c>
      <c r="J521" t="n">
        <v>0</v>
      </c>
      <c r="K521" t="n">
        <v>0</v>
      </c>
      <c r="L521" t="n">
        <v>0</v>
      </c>
      <c r="M521" t="n">
        <v>0</v>
      </c>
      <c r="N521" t="n">
        <v>0</v>
      </c>
      <c r="O521" t="n">
        <v>0</v>
      </c>
      <c r="P521" t="n">
        <v>0</v>
      </c>
      <c r="Q521" t="n">
        <v>0</v>
      </c>
      <c r="R521" s="2" t="inlineStr"/>
    </row>
    <row r="522" ht="15" customHeight="1">
      <c r="A522" t="inlineStr">
        <is>
          <t>A 6355-2022</t>
        </is>
      </c>
      <c r="B522" s="1" t="n">
        <v>44600</v>
      </c>
      <c r="C522" s="1" t="n">
        <v>46202</v>
      </c>
      <c r="D522" t="inlineStr">
        <is>
          <t>KALMAR LÄN</t>
        </is>
      </c>
      <c r="E522" t="inlineStr">
        <is>
          <t>VIMMERBY</t>
        </is>
      </c>
      <c r="G522" t="n">
        <v>4.9</v>
      </c>
      <c r="H522" t="n">
        <v>0</v>
      </c>
      <c r="I522" t="n">
        <v>0</v>
      </c>
      <c r="J522" t="n">
        <v>0</v>
      </c>
      <c r="K522" t="n">
        <v>0</v>
      </c>
      <c r="L522" t="n">
        <v>0</v>
      </c>
      <c r="M522" t="n">
        <v>0</v>
      </c>
      <c r="N522" t="n">
        <v>0</v>
      </c>
      <c r="O522" t="n">
        <v>0</v>
      </c>
      <c r="P522" t="n">
        <v>0</v>
      </c>
      <c r="Q522" t="n">
        <v>0</v>
      </c>
      <c r="R522" s="2" t="inlineStr"/>
    </row>
    <row r="523" ht="15" customHeight="1">
      <c r="A523" t="inlineStr">
        <is>
          <t>A 40147-2023</t>
        </is>
      </c>
      <c r="B523" s="1" t="n">
        <v>45169</v>
      </c>
      <c r="C523" s="1" t="n">
        <v>46202</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46225-2024</t>
        </is>
      </c>
      <c r="B524" s="1" t="n">
        <v>45581</v>
      </c>
      <c r="C524" s="1" t="n">
        <v>46202</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63950-2023</t>
        </is>
      </c>
      <c r="B525" s="1" t="n">
        <v>45278</v>
      </c>
      <c r="C525" s="1" t="n">
        <v>46202</v>
      </c>
      <c r="D525" t="inlineStr">
        <is>
          <t>KALMAR LÄN</t>
        </is>
      </c>
      <c r="E525" t="inlineStr">
        <is>
          <t>VIMMERBY</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50995-2022</t>
        </is>
      </c>
      <c r="B526" s="1" t="n">
        <v>44867</v>
      </c>
      <c r="C526" s="1" t="n">
        <v>46202</v>
      </c>
      <c r="D526" t="inlineStr">
        <is>
          <t>KALMAR LÄN</t>
        </is>
      </c>
      <c r="E526" t="inlineStr">
        <is>
          <t>VIMMERBY</t>
        </is>
      </c>
      <c r="G526" t="n">
        <v>2.4</v>
      </c>
      <c r="H526" t="n">
        <v>0</v>
      </c>
      <c r="I526" t="n">
        <v>0</v>
      </c>
      <c r="J526" t="n">
        <v>0</v>
      </c>
      <c r="K526" t="n">
        <v>0</v>
      </c>
      <c r="L526" t="n">
        <v>0</v>
      </c>
      <c r="M526" t="n">
        <v>0</v>
      </c>
      <c r="N526" t="n">
        <v>0</v>
      </c>
      <c r="O526" t="n">
        <v>0</v>
      </c>
      <c r="P526" t="n">
        <v>0</v>
      </c>
      <c r="Q526" t="n">
        <v>0</v>
      </c>
      <c r="R526" s="2" t="inlineStr"/>
    </row>
    <row r="527" ht="15" customHeight="1">
      <c r="A527" t="inlineStr">
        <is>
          <t>A 16516-2023</t>
        </is>
      </c>
      <c r="B527" s="1" t="n">
        <v>45029</v>
      </c>
      <c r="C527" s="1" t="n">
        <v>46202</v>
      </c>
      <c r="D527" t="inlineStr">
        <is>
          <t>KALMAR LÄN</t>
        </is>
      </c>
      <c r="E527" t="inlineStr">
        <is>
          <t>VIMMERBY</t>
        </is>
      </c>
      <c r="G527" t="n">
        <v>4.3</v>
      </c>
      <c r="H527" t="n">
        <v>0</v>
      </c>
      <c r="I527" t="n">
        <v>0</v>
      </c>
      <c r="J527" t="n">
        <v>0</v>
      </c>
      <c r="K527" t="n">
        <v>0</v>
      </c>
      <c r="L527" t="n">
        <v>0</v>
      </c>
      <c r="M527" t="n">
        <v>0</v>
      </c>
      <c r="N527" t="n">
        <v>0</v>
      </c>
      <c r="O527" t="n">
        <v>0</v>
      </c>
      <c r="P527" t="n">
        <v>0</v>
      </c>
      <c r="Q527" t="n">
        <v>0</v>
      </c>
      <c r="R527" s="2" t="inlineStr"/>
    </row>
    <row r="528" ht="15" customHeight="1">
      <c r="A528" t="inlineStr">
        <is>
          <t>A 9418-2024</t>
        </is>
      </c>
      <c r="B528" s="1" t="n">
        <v>45359</v>
      </c>
      <c r="C528" s="1" t="n">
        <v>46202</v>
      </c>
      <c r="D528" t="inlineStr">
        <is>
          <t>KALMAR LÄN</t>
        </is>
      </c>
      <c r="E528" t="inlineStr">
        <is>
          <t>VIMMERBY</t>
        </is>
      </c>
      <c r="G528" t="n">
        <v>1.9</v>
      </c>
      <c r="H528" t="n">
        <v>0</v>
      </c>
      <c r="I528" t="n">
        <v>0</v>
      </c>
      <c r="J528" t="n">
        <v>0</v>
      </c>
      <c r="K528" t="n">
        <v>0</v>
      </c>
      <c r="L528" t="n">
        <v>0</v>
      </c>
      <c r="M528" t="n">
        <v>0</v>
      </c>
      <c r="N528" t="n">
        <v>0</v>
      </c>
      <c r="O528" t="n">
        <v>0</v>
      </c>
      <c r="P528" t="n">
        <v>0</v>
      </c>
      <c r="Q528" t="n">
        <v>0</v>
      </c>
      <c r="R528" s="2" t="inlineStr"/>
    </row>
    <row r="529" ht="15" customHeight="1">
      <c r="A529" t="inlineStr">
        <is>
          <t>A 57091-2022</t>
        </is>
      </c>
      <c r="B529" s="1" t="n">
        <v>44895</v>
      </c>
      <c r="C529" s="1" t="n">
        <v>46202</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47842-2024</t>
        </is>
      </c>
      <c r="B530" s="1" t="n">
        <v>45588</v>
      </c>
      <c r="C530" s="1" t="n">
        <v>46202</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3816-2022</t>
        </is>
      </c>
      <c r="B531" s="1" t="n">
        <v>44587</v>
      </c>
      <c r="C531" s="1" t="n">
        <v>46202</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6408-2025</t>
        </is>
      </c>
      <c r="B532" s="1" t="n">
        <v>45699</v>
      </c>
      <c r="C532" s="1" t="n">
        <v>46202</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25109-2023</t>
        </is>
      </c>
      <c r="B533" s="1" t="n">
        <v>45086</v>
      </c>
      <c r="C533" s="1" t="n">
        <v>46202</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27993-2022</t>
        </is>
      </c>
      <c r="B534" s="1" t="n">
        <v>44745</v>
      </c>
      <c r="C534" s="1" t="n">
        <v>46202</v>
      </c>
      <c r="D534" t="inlineStr">
        <is>
          <t>KALMAR LÄN</t>
        </is>
      </c>
      <c r="E534" t="inlineStr">
        <is>
          <t>VIMMERBY</t>
        </is>
      </c>
      <c r="G534" t="n">
        <v>2.8</v>
      </c>
      <c r="H534" t="n">
        <v>0</v>
      </c>
      <c r="I534" t="n">
        <v>0</v>
      </c>
      <c r="J534" t="n">
        <v>0</v>
      </c>
      <c r="K534" t="n">
        <v>0</v>
      </c>
      <c r="L534" t="n">
        <v>0</v>
      </c>
      <c r="M534" t="n">
        <v>0</v>
      </c>
      <c r="N534" t="n">
        <v>0</v>
      </c>
      <c r="O534" t="n">
        <v>0</v>
      </c>
      <c r="P534" t="n">
        <v>0</v>
      </c>
      <c r="Q534" t="n">
        <v>0</v>
      </c>
      <c r="R534" s="2" t="inlineStr"/>
    </row>
    <row r="535" ht="15" customHeight="1">
      <c r="A535" t="inlineStr">
        <is>
          <t>A 33380-2023</t>
        </is>
      </c>
      <c r="B535" s="1" t="n">
        <v>45128</v>
      </c>
      <c r="C535" s="1" t="n">
        <v>46202</v>
      </c>
      <c r="D535" t="inlineStr">
        <is>
          <t>KALMAR LÄN</t>
        </is>
      </c>
      <c r="E535" t="inlineStr">
        <is>
          <t>VIMMERBY</t>
        </is>
      </c>
      <c r="G535" t="n">
        <v>5.2</v>
      </c>
      <c r="H535" t="n">
        <v>0</v>
      </c>
      <c r="I535" t="n">
        <v>0</v>
      </c>
      <c r="J535" t="n">
        <v>0</v>
      </c>
      <c r="K535" t="n">
        <v>0</v>
      </c>
      <c r="L535" t="n">
        <v>0</v>
      </c>
      <c r="M535" t="n">
        <v>0</v>
      </c>
      <c r="N535" t="n">
        <v>0</v>
      </c>
      <c r="O535" t="n">
        <v>0</v>
      </c>
      <c r="P535" t="n">
        <v>0</v>
      </c>
      <c r="Q535" t="n">
        <v>0</v>
      </c>
      <c r="R535" s="2" t="inlineStr"/>
    </row>
    <row r="536" ht="15" customHeight="1">
      <c r="A536" t="inlineStr">
        <is>
          <t>A 35271-2025</t>
        </is>
      </c>
      <c r="B536" s="1" t="n">
        <v>45853</v>
      </c>
      <c r="C536" s="1" t="n">
        <v>46202</v>
      </c>
      <c r="D536" t="inlineStr">
        <is>
          <t>KALMAR LÄN</t>
        </is>
      </c>
      <c r="E536" t="inlineStr">
        <is>
          <t>VIMMERBY</t>
        </is>
      </c>
      <c r="G536" t="n">
        <v>0.4</v>
      </c>
      <c r="H536" t="n">
        <v>0</v>
      </c>
      <c r="I536" t="n">
        <v>0</v>
      </c>
      <c r="J536" t="n">
        <v>0</v>
      </c>
      <c r="K536" t="n">
        <v>0</v>
      </c>
      <c r="L536" t="n">
        <v>0</v>
      </c>
      <c r="M536" t="n">
        <v>0</v>
      </c>
      <c r="N536" t="n">
        <v>0</v>
      </c>
      <c r="O536" t="n">
        <v>0</v>
      </c>
      <c r="P536" t="n">
        <v>0</v>
      </c>
      <c r="Q536" t="n">
        <v>0</v>
      </c>
      <c r="R536" s="2" t="inlineStr"/>
    </row>
    <row r="537" ht="15" customHeight="1">
      <c r="A537" t="inlineStr">
        <is>
          <t>A 43606-2024</t>
        </is>
      </c>
      <c r="B537" s="1" t="n">
        <v>45569</v>
      </c>
      <c r="C537" s="1" t="n">
        <v>46202</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16953-2025</t>
        </is>
      </c>
      <c r="B538" s="1" t="n">
        <v>45755</v>
      </c>
      <c r="C538" s="1" t="n">
        <v>46202</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47859-2024</t>
        </is>
      </c>
      <c r="B539" s="1" t="n">
        <v>45588</v>
      </c>
      <c r="C539" s="1" t="n">
        <v>46202</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57555-2024</t>
        </is>
      </c>
      <c r="B540" s="1" t="n">
        <v>45630</v>
      </c>
      <c r="C540" s="1" t="n">
        <v>46202</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11928-2022</t>
        </is>
      </c>
      <c r="B541" s="1" t="n">
        <v>44635</v>
      </c>
      <c r="C541" s="1" t="n">
        <v>46202</v>
      </c>
      <c r="D541" t="inlineStr">
        <is>
          <t>KALMAR LÄN</t>
        </is>
      </c>
      <c r="E541" t="inlineStr">
        <is>
          <t>VIMMERBY</t>
        </is>
      </c>
      <c r="G541" t="n">
        <v>2.8</v>
      </c>
      <c r="H541" t="n">
        <v>0</v>
      </c>
      <c r="I541" t="n">
        <v>0</v>
      </c>
      <c r="J541" t="n">
        <v>0</v>
      </c>
      <c r="K541" t="n">
        <v>0</v>
      </c>
      <c r="L541" t="n">
        <v>0</v>
      </c>
      <c r="M541" t="n">
        <v>0</v>
      </c>
      <c r="N541" t="n">
        <v>0</v>
      </c>
      <c r="O541" t="n">
        <v>0</v>
      </c>
      <c r="P541" t="n">
        <v>0</v>
      </c>
      <c r="Q541" t="n">
        <v>0</v>
      </c>
      <c r="R541" s="2" t="inlineStr"/>
    </row>
    <row r="542" ht="15" customHeight="1">
      <c r="A542" t="inlineStr">
        <is>
          <t>A 8540-2024</t>
        </is>
      </c>
      <c r="B542" s="1" t="n">
        <v>45355</v>
      </c>
      <c r="C542" s="1" t="n">
        <v>46202</v>
      </c>
      <c r="D542" t="inlineStr">
        <is>
          <t>KALMAR LÄN</t>
        </is>
      </c>
      <c r="E542" t="inlineStr">
        <is>
          <t>VIMMERBY</t>
        </is>
      </c>
      <c r="G542" t="n">
        <v>1.9</v>
      </c>
      <c r="H542" t="n">
        <v>0</v>
      </c>
      <c r="I542" t="n">
        <v>0</v>
      </c>
      <c r="J542" t="n">
        <v>0</v>
      </c>
      <c r="K542" t="n">
        <v>0</v>
      </c>
      <c r="L542" t="n">
        <v>0</v>
      </c>
      <c r="M542" t="n">
        <v>0</v>
      </c>
      <c r="N542" t="n">
        <v>0</v>
      </c>
      <c r="O542" t="n">
        <v>0</v>
      </c>
      <c r="P542" t="n">
        <v>0</v>
      </c>
      <c r="Q542" t="n">
        <v>0</v>
      </c>
      <c r="R542" s="2" t="inlineStr"/>
    </row>
    <row r="543" ht="15" customHeight="1">
      <c r="A543" t="inlineStr">
        <is>
          <t>A 3331-2023</t>
        </is>
      </c>
      <c r="B543" s="1" t="n">
        <v>44949</v>
      </c>
      <c r="C543" s="1" t="n">
        <v>46202</v>
      </c>
      <c r="D543" t="inlineStr">
        <is>
          <t>KALMAR LÄN</t>
        </is>
      </c>
      <c r="E543" t="inlineStr">
        <is>
          <t>VIMMERBY</t>
        </is>
      </c>
      <c r="G543" t="n">
        <v>6.2</v>
      </c>
      <c r="H543" t="n">
        <v>0</v>
      </c>
      <c r="I543" t="n">
        <v>0</v>
      </c>
      <c r="J543" t="n">
        <v>0</v>
      </c>
      <c r="K543" t="n">
        <v>0</v>
      </c>
      <c r="L543" t="n">
        <v>0</v>
      </c>
      <c r="M543" t="n">
        <v>0</v>
      </c>
      <c r="N543" t="n">
        <v>0</v>
      </c>
      <c r="O543" t="n">
        <v>0</v>
      </c>
      <c r="P543" t="n">
        <v>0</v>
      </c>
      <c r="Q543" t="n">
        <v>0</v>
      </c>
      <c r="R543" s="2" t="inlineStr"/>
    </row>
    <row r="544" ht="15" customHeight="1">
      <c r="A544" t="inlineStr">
        <is>
          <t>A 36014-2024</t>
        </is>
      </c>
      <c r="B544" s="1" t="n">
        <v>45533</v>
      </c>
      <c r="C544" s="1" t="n">
        <v>46202</v>
      </c>
      <c r="D544" t="inlineStr">
        <is>
          <t>KALMAR LÄN</t>
        </is>
      </c>
      <c r="E544" t="inlineStr">
        <is>
          <t>VIMMERBY</t>
        </is>
      </c>
      <c r="G544" t="n">
        <v>2.3</v>
      </c>
      <c r="H544" t="n">
        <v>0</v>
      </c>
      <c r="I544" t="n">
        <v>0</v>
      </c>
      <c r="J544" t="n">
        <v>0</v>
      </c>
      <c r="K544" t="n">
        <v>0</v>
      </c>
      <c r="L544" t="n">
        <v>0</v>
      </c>
      <c r="M544" t="n">
        <v>0</v>
      </c>
      <c r="N544" t="n">
        <v>0</v>
      </c>
      <c r="O544" t="n">
        <v>0</v>
      </c>
      <c r="P544" t="n">
        <v>0</v>
      </c>
      <c r="Q544" t="n">
        <v>0</v>
      </c>
      <c r="R544" s="2" t="inlineStr"/>
    </row>
    <row r="545" ht="15" customHeight="1">
      <c r="A545" t="inlineStr">
        <is>
          <t>A 36030-2024</t>
        </is>
      </c>
      <c r="B545" s="1" t="n">
        <v>45533</v>
      </c>
      <c r="C545" s="1" t="n">
        <v>46202</v>
      </c>
      <c r="D545" t="inlineStr">
        <is>
          <t>KALMAR LÄN</t>
        </is>
      </c>
      <c r="E545" t="inlineStr">
        <is>
          <t>VIMMERBY</t>
        </is>
      </c>
      <c r="F545" t="inlineStr">
        <is>
          <t>Kommuner</t>
        </is>
      </c>
      <c r="G545" t="n">
        <v>4</v>
      </c>
      <c r="H545" t="n">
        <v>0</v>
      </c>
      <c r="I545" t="n">
        <v>0</v>
      </c>
      <c r="J545" t="n">
        <v>0</v>
      </c>
      <c r="K545" t="n">
        <v>0</v>
      </c>
      <c r="L545" t="n">
        <v>0</v>
      </c>
      <c r="M545" t="n">
        <v>0</v>
      </c>
      <c r="N545" t="n">
        <v>0</v>
      </c>
      <c r="O545" t="n">
        <v>0</v>
      </c>
      <c r="P545" t="n">
        <v>0</v>
      </c>
      <c r="Q545" t="n">
        <v>0</v>
      </c>
      <c r="R545" s="2" t="inlineStr"/>
    </row>
    <row r="546" ht="15" customHeight="1">
      <c r="A546" t="inlineStr">
        <is>
          <t>A 32865-2023</t>
        </is>
      </c>
      <c r="B546" s="1" t="n">
        <v>45124</v>
      </c>
      <c r="C546" s="1" t="n">
        <v>46202</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7068-2024</t>
        </is>
      </c>
      <c r="B547" s="1" t="n">
        <v>45343</v>
      </c>
      <c r="C547" s="1" t="n">
        <v>46202</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46234-2024</t>
        </is>
      </c>
      <c r="B548" s="1" t="n">
        <v>45581</v>
      </c>
      <c r="C548" s="1" t="n">
        <v>46202</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36297-2025</t>
        </is>
      </c>
      <c r="B549" s="1" t="n">
        <v>45867</v>
      </c>
      <c r="C549" s="1" t="n">
        <v>46202</v>
      </c>
      <c r="D549" t="inlineStr">
        <is>
          <t>KALMAR LÄN</t>
        </is>
      </c>
      <c r="E549" t="inlineStr">
        <is>
          <t>VIMMERBY</t>
        </is>
      </c>
      <c r="G549" t="n">
        <v>4.9</v>
      </c>
      <c r="H549" t="n">
        <v>0</v>
      </c>
      <c r="I549" t="n">
        <v>0</v>
      </c>
      <c r="J549" t="n">
        <v>0</v>
      </c>
      <c r="K549" t="n">
        <v>0</v>
      </c>
      <c r="L549" t="n">
        <v>0</v>
      </c>
      <c r="M549" t="n">
        <v>0</v>
      </c>
      <c r="N549" t="n">
        <v>0</v>
      </c>
      <c r="O549" t="n">
        <v>0</v>
      </c>
      <c r="P549" t="n">
        <v>0</v>
      </c>
      <c r="Q549" t="n">
        <v>0</v>
      </c>
      <c r="R549" s="2" t="inlineStr"/>
    </row>
    <row r="550" ht="15" customHeight="1">
      <c r="A550" t="inlineStr">
        <is>
          <t>A 25799-2023</t>
        </is>
      </c>
      <c r="B550" s="1" t="n">
        <v>45090</v>
      </c>
      <c r="C550" s="1" t="n">
        <v>46202</v>
      </c>
      <c r="D550" t="inlineStr">
        <is>
          <t>KALMAR LÄN</t>
        </is>
      </c>
      <c r="E550" t="inlineStr">
        <is>
          <t>VIMMERBY</t>
        </is>
      </c>
      <c r="G550" t="n">
        <v>7.7</v>
      </c>
      <c r="H550" t="n">
        <v>0</v>
      </c>
      <c r="I550" t="n">
        <v>0</v>
      </c>
      <c r="J550" t="n">
        <v>0</v>
      </c>
      <c r="K550" t="n">
        <v>0</v>
      </c>
      <c r="L550" t="n">
        <v>0</v>
      </c>
      <c r="M550" t="n">
        <v>0</v>
      </c>
      <c r="N550" t="n">
        <v>0</v>
      </c>
      <c r="O550" t="n">
        <v>0</v>
      </c>
      <c r="P550" t="n">
        <v>0</v>
      </c>
      <c r="Q550" t="n">
        <v>0</v>
      </c>
      <c r="R550" s="2" t="inlineStr"/>
    </row>
    <row r="551" ht="15" customHeight="1">
      <c r="A551" t="inlineStr">
        <is>
          <t>A 37187-2024</t>
        </is>
      </c>
      <c r="B551" s="1" t="n">
        <v>45539</v>
      </c>
      <c r="C551" s="1" t="n">
        <v>46202</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19502-2025</t>
        </is>
      </c>
      <c r="B552" s="1" t="n">
        <v>45769</v>
      </c>
      <c r="C552" s="1" t="n">
        <v>46202</v>
      </c>
      <c r="D552" t="inlineStr">
        <is>
          <t>KALMAR LÄN</t>
        </is>
      </c>
      <c r="E552" t="inlineStr">
        <is>
          <t>VIMMERBY</t>
        </is>
      </c>
      <c r="G552" t="n">
        <v>1.9</v>
      </c>
      <c r="H552" t="n">
        <v>0</v>
      </c>
      <c r="I552" t="n">
        <v>0</v>
      </c>
      <c r="J552" t="n">
        <v>0</v>
      </c>
      <c r="K552" t="n">
        <v>0</v>
      </c>
      <c r="L552" t="n">
        <v>0</v>
      </c>
      <c r="M552" t="n">
        <v>0</v>
      </c>
      <c r="N552" t="n">
        <v>0</v>
      </c>
      <c r="O552" t="n">
        <v>0</v>
      </c>
      <c r="P552" t="n">
        <v>0</v>
      </c>
      <c r="Q552" t="n">
        <v>0</v>
      </c>
      <c r="R552" s="2" t="inlineStr"/>
    </row>
    <row r="553" ht="15" customHeight="1">
      <c r="A553" t="inlineStr">
        <is>
          <t>A 53083-2021</t>
        </is>
      </c>
      <c r="B553" s="1" t="n">
        <v>44467</v>
      </c>
      <c r="C553" s="1" t="n">
        <v>46202</v>
      </c>
      <c r="D553" t="inlineStr">
        <is>
          <t>KALMAR LÄN</t>
        </is>
      </c>
      <c r="E553" t="inlineStr">
        <is>
          <t>VIMMERBY</t>
        </is>
      </c>
      <c r="G553" t="n">
        <v>6.8</v>
      </c>
      <c r="H553" t="n">
        <v>0</v>
      </c>
      <c r="I553" t="n">
        <v>0</v>
      </c>
      <c r="J553" t="n">
        <v>0</v>
      </c>
      <c r="K553" t="n">
        <v>0</v>
      </c>
      <c r="L553" t="n">
        <v>0</v>
      </c>
      <c r="M553" t="n">
        <v>0</v>
      </c>
      <c r="N553" t="n">
        <v>0</v>
      </c>
      <c r="O553" t="n">
        <v>0</v>
      </c>
      <c r="P553" t="n">
        <v>0</v>
      </c>
      <c r="Q553" t="n">
        <v>0</v>
      </c>
      <c r="R553" s="2" t="inlineStr"/>
    </row>
    <row r="554" ht="15" customHeight="1">
      <c r="A554" t="inlineStr">
        <is>
          <t>A 36299-2025</t>
        </is>
      </c>
      <c r="B554" s="1" t="n">
        <v>45867</v>
      </c>
      <c r="C554" s="1" t="n">
        <v>46202</v>
      </c>
      <c r="D554" t="inlineStr">
        <is>
          <t>KALMAR LÄN</t>
        </is>
      </c>
      <c r="E554" t="inlineStr">
        <is>
          <t>VIMMERBY</t>
        </is>
      </c>
      <c r="G554" t="n">
        <v>7.6</v>
      </c>
      <c r="H554" t="n">
        <v>0</v>
      </c>
      <c r="I554" t="n">
        <v>0</v>
      </c>
      <c r="J554" t="n">
        <v>0</v>
      </c>
      <c r="K554" t="n">
        <v>0</v>
      </c>
      <c r="L554" t="n">
        <v>0</v>
      </c>
      <c r="M554" t="n">
        <v>0</v>
      </c>
      <c r="N554" t="n">
        <v>0</v>
      </c>
      <c r="O554" t="n">
        <v>0</v>
      </c>
      <c r="P554" t="n">
        <v>0</v>
      </c>
      <c r="Q554" t="n">
        <v>0</v>
      </c>
      <c r="R554" s="2" t="inlineStr"/>
    </row>
    <row r="555" ht="15" customHeight="1">
      <c r="A555" t="inlineStr">
        <is>
          <t>A 1021-2024</t>
        </is>
      </c>
      <c r="B555" s="1" t="n">
        <v>45301</v>
      </c>
      <c r="C555" s="1" t="n">
        <v>46202</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36538-2025</t>
        </is>
      </c>
      <c r="B556" s="1" t="n">
        <v>45869</v>
      </c>
      <c r="C556" s="1" t="n">
        <v>46202</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42918-2021</t>
        </is>
      </c>
      <c r="B557" s="1" t="n">
        <v>44431</v>
      </c>
      <c r="C557" s="1" t="n">
        <v>46202</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36603-2025</t>
        </is>
      </c>
      <c r="B558" s="1" t="n">
        <v>45870</v>
      </c>
      <c r="C558" s="1" t="n">
        <v>46202</v>
      </c>
      <c r="D558" t="inlineStr">
        <is>
          <t>KALMAR LÄN</t>
        </is>
      </c>
      <c r="E558" t="inlineStr">
        <is>
          <t>VIMMERBY</t>
        </is>
      </c>
      <c r="G558" t="n">
        <v>1.6</v>
      </c>
      <c r="H558" t="n">
        <v>0</v>
      </c>
      <c r="I558" t="n">
        <v>0</v>
      </c>
      <c r="J558" t="n">
        <v>0</v>
      </c>
      <c r="K558" t="n">
        <v>0</v>
      </c>
      <c r="L558" t="n">
        <v>0</v>
      </c>
      <c r="M558" t="n">
        <v>0</v>
      </c>
      <c r="N558" t="n">
        <v>0</v>
      </c>
      <c r="O558" t="n">
        <v>0</v>
      </c>
      <c r="P558" t="n">
        <v>0</v>
      </c>
      <c r="Q558" t="n">
        <v>0</v>
      </c>
      <c r="R558" s="2" t="inlineStr"/>
    </row>
    <row r="559" ht="15" customHeight="1">
      <c r="A559" t="inlineStr">
        <is>
          <t>A 36601-2025</t>
        </is>
      </c>
      <c r="B559" s="1" t="n">
        <v>45870</v>
      </c>
      <c r="C559" s="1" t="n">
        <v>46202</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33838-2022</t>
        </is>
      </c>
      <c r="B560" s="1" t="n">
        <v>44790</v>
      </c>
      <c r="C560" s="1" t="n">
        <v>46202</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22643-2023</t>
        </is>
      </c>
      <c r="B561" s="1" t="n">
        <v>45071</v>
      </c>
      <c r="C561" s="1" t="n">
        <v>46202</v>
      </c>
      <c r="D561" t="inlineStr">
        <is>
          <t>KALMAR LÄN</t>
        </is>
      </c>
      <c r="E561" t="inlineStr">
        <is>
          <t>VIMMERBY</t>
        </is>
      </c>
      <c r="G561" t="n">
        <v>3.9</v>
      </c>
      <c r="H561" t="n">
        <v>0</v>
      </c>
      <c r="I561" t="n">
        <v>0</v>
      </c>
      <c r="J561" t="n">
        <v>0</v>
      </c>
      <c r="K561" t="n">
        <v>0</v>
      </c>
      <c r="L561" t="n">
        <v>0</v>
      </c>
      <c r="M561" t="n">
        <v>0</v>
      </c>
      <c r="N561" t="n">
        <v>0</v>
      </c>
      <c r="O561" t="n">
        <v>0</v>
      </c>
      <c r="P561" t="n">
        <v>0</v>
      </c>
      <c r="Q561" t="n">
        <v>0</v>
      </c>
      <c r="R561" s="2" t="inlineStr"/>
    </row>
    <row r="562" ht="15" customHeight="1">
      <c r="A562" t="inlineStr">
        <is>
          <t>A 32835-2022</t>
        </is>
      </c>
      <c r="B562" s="1" t="n">
        <v>44784</v>
      </c>
      <c r="C562" s="1" t="n">
        <v>46202</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38780-2021</t>
        </is>
      </c>
      <c r="B563" s="1" t="n">
        <v>44410</v>
      </c>
      <c r="C563" s="1" t="n">
        <v>46202</v>
      </c>
      <c r="D563" t="inlineStr">
        <is>
          <t>KALMAR LÄN</t>
        </is>
      </c>
      <c r="E563" t="inlineStr">
        <is>
          <t>VIMMERBY</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29020-2024</t>
        </is>
      </c>
      <c r="B564" s="1" t="n">
        <v>45481</v>
      </c>
      <c r="C564" s="1" t="n">
        <v>46202</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1081-2023</t>
        </is>
      </c>
      <c r="B565" s="1" t="n">
        <v>44935</v>
      </c>
      <c r="C565" s="1" t="n">
        <v>46202</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47063-2022</t>
        </is>
      </c>
      <c r="B566" s="1" t="n">
        <v>44852</v>
      </c>
      <c r="C566" s="1" t="n">
        <v>46202</v>
      </c>
      <c r="D566" t="inlineStr">
        <is>
          <t>KALMAR LÄN</t>
        </is>
      </c>
      <c r="E566" t="inlineStr">
        <is>
          <t>VIMMERBY</t>
        </is>
      </c>
      <c r="G566" t="n">
        <v>2.5</v>
      </c>
      <c r="H566" t="n">
        <v>0</v>
      </c>
      <c r="I566" t="n">
        <v>0</v>
      </c>
      <c r="J566" t="n">
        <v>0</v>
      </c>
      <c r="K566" t="n">
        <v>0</v>
      </c>
      <c r="L566" t="n">
        <v>0</v>
      </c>
      <c r="M566" t="n">
        <v>0</v>
      </c>
      <c r="N566" t="n">
        <v>0</v>
      </c>
      <c r="O566" t="n">
        <v>0</v>
      </c>
      <c r="P566" t="n">
        <v>0</v>
      </c>
      <c r="Q566" t="n">
        <v>0</v>
      </c>
      <c r="R566" s="2" t="inlineStr"/>
    </row>
    <row r="567" ht="15" customHeight="1">
      <c r="A567" t="inlineStr">
        <is>
          <t>A 28403-2023</t>
        </is>
      </c>
      <c r="B567" s="1" t="n">
        <v>45100</v>
      </c>
      <c r="C567" s="1" t="n">
        <v>46202</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30406-2023</t>
        </is>
      </c>
      <c r="B568" s="1" t="n">
        <v>45111</v>
      </c>
      <c r="C568" s="1" t="n">
        <v>46202</v>
      </c>
      <c r="D568" t="inlineStr">
        <is>
          <t>KALMAR LÄN</t>
        </is>
      </c>
      <c r="E568" t="inlineStr">
        <is>
          <t>VIMMERBY</t>
        </is>
      </c>
      <c r="G568" t="n">
        <v>2.4</v>
      </c>
      <c r="H568" t="n">
        <v>0</v>
      </c>
      <c r="I568" t="n">
        <v>0</v>
      </c>
      <c r="J568" t="n">
        <v>0</v>
      </c>
      <c r="K568" t="n">
        <v>0</v>
      </c>
      <c r="L568" t="n">
        <v>0</v>
      </c>
      <c r="M568" t="n">
        <v>0</v>
      </c>
      <c r="N568" t="n">
        <v>0</v>
      </c>
      <c r="O568" t="n">
        <v>0</v>
      </c>
      <c r="P568" t="n">
        <v>0</v>
      </c>
      <c r="Q568" t="n">
        <v>0</v>
      </c>
      <c r="R568" s="2" t="inlineStr"/>
    </row>
    <row r="569" ht="15" customHeight="1">
      <c r="A569" t="inlineStr">
        <is>
          <t>A 13817-2024</t>
        </is>
      </c>
      <c r="B569" s="1" t="n">
        <v>45391</v>
      </c>
      <c r="C569" s="1" t="n">
        <v>46202</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33103-2024</t>
        </is>
      </c>
      <c r="B570" s="1" t="n">
        <v>45517</v>
      </c>
      <c r="C570" s="1" t="n">
        <v>46202</v>
      </c>
      <c r="D570" t="inlineStr">
        <is>
          <t>KALMAR LÄN</t>
        </is>
      </c>
      <c r="E570" t="inlineStr">
        <is>
          <t>VIMMERBY</t>
        </is>
      </c>
      <c r="G570" t="n">
        <v>1.6</v>
      </c>
      <c r="H570" t="n">
        <v>0</v>
      </c>
      <c r="I570" t="n">
        <v>0</v>
      </c>
      <c r="J570" t="n">
        <v>0</v>
      </c>
      <c r="K570" t="n">
        <v>0</v>
      </c>
      <c r="L570" t="n">
        <v>0</v>
      </c>
      <c r="M570" t="n">
        <v>0</v>
      </c>
      <c r="N570" t="n">
        <v>0</v>
      </c>
      <c r="O570" t="n">
        <v>0</v>
      </c>
      <c r="P570" t="n">
        <v>0</v>
      </c>
      <c r="Q570" t="n">
        <v>0</v>
      </c>
      <c r="R570" s="2" t="inlineStr"/>
    </row>
    <row r="571" ht="15" customHeight="1">
      <c r="A571" t="inlineStr">
        <is>
          <t>A 37578-2025</t>
        </is>
      </c>
      <c r="B571" s="1" t="n">
        <v>45880</v>
      </c>
      <c r="C571" s="1" t="n">
        <v>46202</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37668-2025</t>
        </is>
      </c>
      <c r="B572" s="1" t="n">
        <v>45880</v>
      </c>
      <c r="C572" s="1" t="n">
        <v>46202</v>
      </c>
      <c r="D572" t="inlineStr">
        <is>
          <t>KALMAR LÄN</t>
        </is>
      </c>
      <c r="E572" t="inlineStr">
        <is>
          <t>VIMMERBY</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2260-2022</t>
        </is>
      </c>
      <c r="B573" s="1" t="n">
        <v>44578</v>
      </c>
      <c r="C573" s="1" t="n">
        <v>46202</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11661-2023</t>
        </is>
      </c>
      <c r="B574" s="1" t="n">
        <v>44994</v>
      </c>
      <c r="C574" s="1" t="n">
        <v>46202</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58046-2022</t>
        </is>
      </c>
      <c r="B575" s="1" t="n">
        <v>44900</v>
      </c>
      <c r="C575" s="1" t="n">
        <v>46202</v>
      </c>
      <c r="D575" t="inlineStr">
        <is>
          <t>KALMAR LÄN</t>
        </is>
      </c>
      <c r="E575" t="inlineStr">
        <is>
          <t>VIMMERBY</t>
        </is>
      </c>
      <c r="G575" t="n">
        <v>2.5</v>
      </c>
      <c r="H575" t="n">
        <v>0</v>
      </c>
      <c r="I575" t="n">
        <v>0</v>
      </c>
      <c r="J575" t="n">
        <v>0</v>
      </c>
      <c r="K575" t="n">
        <v>0</v>
      </c>
      <c r="L575" t="n">
        <v>0</v>
      </c>
      <c r="M575" t="n">
        <v>0</v>
      </c>
      <c r="N575" t="n">
        <v>0</v>
      </c>
      <c r="O575" t="n">
        <v>0</v>
      </c>
      <c r="P575" t="n">
        <v>0</v>
      </c>
      <c r="Q575" t="n">
        <v>0</v>
      </c>
      <c r="R575" s="2" t="inlineStr"/>
    </row>
    <row r="576" ht="15" customHeight="1">
      <c r="A576" t="inlineStr">
        <is>
          <t>A 45528-2021</t>
        </is>
      </c>
      <c r="B576" s="1" t="n">
        <v>44440</v>
      </c>
      <c r="C576" s="1" t="n">
        <v>46202</v>
      </c>
      <c r="D576" t="inlineStr">
        <is>
          <t>KALMAR LÄN</t>
        </is>
      </c>
      <c r="E576" t="inlineStr">
        <is>
          <t>VIMMERBY</t>
        </is>
      </c>
      <c r="G576" t="n">
        <v>2.2</v>
      </c>
      <c r="H576" t="n">
        <v>0</v>
      </c>
      <c r="I576" t="n">
        <v>0</v>
      </c>
      <c r="J576" t="n">
        <v>0</v>
      </c>
      <c r="K576" t="n">
        <v>0</v>
      </c>
      <c r="L576" t="n">
        <v>0</v>
      </c>
      <c r="M576" t="n">
        <v>0</v>
      </c>
      <c r="N576" t="n">
        <v>0</v>
      </c>
      <c r="O576" t="n">
        <v>0</v>
      </c>
      <c r="P576" t="n">
        <v>0</v>
      </c>
      <c r="Q576" t="n">
        <v>0</v>
      </c>
      <c r="R576" s="2" t="inlineStr"/>
    </row>
    <row r="577" ht="15" customHeight="1">
      <c r="A577" t="inlineStr">
        <is>
          <t>A 46979-2023</t>
        </is>
      </c>
      <c r="B577" s="1" t="n">
        <v>45201</v>
      </c>
      <c r="C577" s="1" t="n">
        <v>46202</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6574-2023</t>
        </is>
      </c>
      <c r="B578" s="1" t="n">
        <v>44966</v>
      </c>
      <c r="C578" s="1" t="n">
        <v>46202</v>
      </c>
      <c r="D578" t="inlineStr">
        <is>
          <t>KALMAR LÄN</t>
        </is>
      </c>
      <c r="E578" t="inlineStr">
        <is>
          <t>VIMMERBY</t>
        </is>
      </c>
      <c r="G578" t="n">
        <v>2.5</v>
      </c>
      <c r="H578" t="n">
        <v>0</v>
      </c>
      <c r="I578" t="n">
        <v>0</v>
      </c>
      <c r="J578" t="n">
        <v>0</v>
      </c>
      <c r="K578" t="n">
        <v>0</v>
      </c>
      <c r="L578" t="n">
        <v>0</v>
      </c>
      <c r="M578" t="n">
        <v>0</v>
      </c>
      <c r="N578" t="n">
        <v>0</v>
      </c>
      <c r="O578" t="n">
        <v>0</v>
      </c>
      <c r="P578" t="n">
        <v>0</v>
      </c>
      <c r="Q578" t="n">
        <v>0</v>
      </c>
      <c r="R578" s="2" t="inlineStr"/>
    </row>
    <row r="579" ht="15" customHeight="1">
      <c r="A579" t="inlineStr">
        <is>
          <t>A 38604-2025</t>
        </is>
      </c>
      <c r="B579" s="1" t="n">
        <v>45884</v>
      </c>
      <c r="C579" s="1" t="n">
        <v>46202</v>
      </c>
      <c r="D579" t="inlineStr">
        <is>
          <t>KALMAR LÄN</t>
        </is>
      </c>
      <c r="E579" t="inlineStr">
        <is>
          <t>VIMMERBY</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4058-2024</t>
        </is>
      </c>
      <c r="B580" s="1" t="n">
        <v>45323</v>
      </c>
      <c r="C580" s="1" t="n">
        <v>46202</v>
      </c>
      <c r="D580" t="inlineStr">
        <is>
          <t>KALMAR LÄN</t>
        </is>
      </c>
      <c r="E580" t="inlineStr">
        <is>
          <t>VIMMERBY</t>
        </is>
      </c>
      <c r="G580" t="n">
        <v>6.5</v>
      </c>
      <c r="H580" t="n">
        <v>0</v>
      </c>
      <c r="I580" t="n">
        <v>0</v>
      </c>
      <c r="J580" t="n">
        <v>0</v>
      </c>
      <c r="K580" t="n">
        <v>0</v>
      </c>
      <c r="L580" t="n">
        <v>0</v>
      </c>
      <c r="M580" t="n">
        <v>0</v>
      </c>
      <c r="N580" t="n">
        <v>0</v>
      </c>
      <c r="O580" t="n">
        <v>0</v>
      </c>
      <c r="P580" t="n">
        <v>0</v>
      </c>
      <c r="Q580" t="n">
        <v>0</v>
      </c>
      <c r="R580" s="2" t="inlineStr"/>
    </row>
    <row r="581" ht="15" customHeight="1">
      <c r="A581" t="inlineStr">
        <is>
          <t>A 1978-2024</t>
        </is>
      </c>
      <c r="B581" s="1" t="n">
        <v>45308</v>
      </c>
      <c r="C581" s="1" t="n">
        <v>46202</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30318-2023</t>
        </is>
      </c>
      <c r="B582" s="1" t="n">
        <v>45111</v>
      </c>
      <c r="C582" s="1" t="n">
        <v>46202</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48408-2025</t>
        </is>
      </c>
      <c r="B583" s="1" t="n">
        <v>45934</v>
      </c>
      <c r="C583" s="1" t="n">
        <v>46202</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25234-2023</t>
        </is>
      </c>
      <c r="B584" s="1" t="n">
        <v>45086</v>
      </c>
      <c r="C584" s="1" t="n">
        <v>46202</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46078-2023</t>
        </is>
      </c>
      <c r="B585" s="1" t="n">
        <v>45196</v>
      </c>
      <c r="C585" s="1" t="n">
        <v>46202</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39807-2025</t>
        </is>
      </c>
      <c r="B586" s="1" t="n">
        <v>45891</v>
      </c>
      <c r="C586" s="1" t="n">
        <v>46202</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39736-2025</t>
        </is>
      </c>
      <c r="B587" s="1" t="n">
        <v>45891</v>
      </c>
      <c r="C587" s="1" t="n">
        <v>46202</v>
      </c>
      <c r="D587" t="inlineStr">
        <is>
          <t>KALMAR LÄN</t>
        </is>
      </c>
      <c r="E587" t="inlineStr">
        <is>
          <t>VIMMERBY</t>
        </is>
      </c>
      <c r="G587" t="n">
        <v>12.8</v>
      </c>
      <c r="H587" t="n">
        <v>0</v>
      </c>
      <c r="I587" t="n">
        <v>0</v>
      </c>
      <c r="J587" t="n">
        <v>0</v>
      </c>
      <c r="K587" t="n">
        <v>0</v>
      </c>
      <c r="L587" t="n">
        <v>0</v>
      </c>
      <c r="M587" t="n">
        <v>0</v>
      </c>
      <c r="N587" t="n">
        <v>0</v>
      </c>
      <c r="O587" t="n">
        <v>0</v>
      </c>
      <c r="P587" t="n">
        <v>0</v>
      </c>
      <c r="Q587" t="n">
        <v>0</v>
      </c>
      <c r="R587" s="2" t="inlineStr"/>
    </row>
    <row r="588" ht="15" customHeight="1">
      <c r="A588" t="inlineStr">
        <is>
          <t>A 25582-2024</t>
        </is>
      </c>
      <c r="B588" s="1" t="n">
        <v>45463</v>
      </c>
      <c r="C588" s="1" t="n">
        <v>46202</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39803-2025</t>
        </is>
      </c>
      <c r="B589" s="1" t="n">
        <v>45891</v>
      </c>
      <c r="C589" s="1" t="n">
        <v>46202</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3609-2024</t>
        </is>
      </c>
      <c r="B590" s="1" t="n">
        <v>45320</v>
      </c>
      <c r="C590" s="1" t="n">
        <v>46202</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10424-2023</t>
        </is>
      </c>
      <c r="B591" s="1" t="n">
        <v>44987</v>
      </c>
      <c r="C591" s="1" t="n">
        <v>46202</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49382-2023</t>
        </is>
      </c>
      <c r="B592" s="1" t="n">
        <v>45208</v>
      </c>
      <c r="C592" s="1" t="n">
        <v>46202</v>
      </c>
      <c r="D592" t="inlineStr">
        <is>
          <t>KALMAR LÄN</t>
        </is>
      </c>
      <c r="E592" t="inlineStr">
        <is>
          <t>VIMMERBY</t>
        </is>
      </c>
      <c r="G592" t="n">
        <v>2.2</v>
      </c>
      <c r="H592" t="n">
        <v>0</v>
      </c>
      <c r="I592" t="n">
        <v>0</v>
      </c>
      <c r="J592" t="n">
        <v>0</v>
      </c>
      <c r="K592" t="n">
        <v>0</v>
      </c>
      <c r="L592" t="n">
        <v>0</v>
      </c>
      <c r="M592" t="n">
        <v>0</v>
      </c>
      <c r="N592" t="n">
        <v>0</v>
      </c>
      <c r="O592" t="n">
        <v>0</v>
      </c>
      <c r="P592" t="n">
        <v>0</v>
      </c>
      <c r="Q592" t="n">
        <v>0</v>
      </c>
      <c r="R592" s="2" t="inlineStr"/>
    </row>
    <row r="593" ht="15" customHeight="1">
      <c r="A593" t="inlineStr">
        <is>
          <t>A 12810-2023</t>
        </is>
      </c>
      <c r="B593" s="1" t="n">
        <v>45001</v>
      </c>
      <c r="C593" s="1" t="n">
        <v>46202</v>
      </c>
      <c r="D593" t="inlineStr">
        <is>
          <t>KALMAR LÄN</t>
        </is>
      </c>
      <c r="E593" t="inlineStr">
        <is>
          <t>VIMMERBY</t>
        </is>
      </c>
      <c r="G593" t="n">
        <v>1.5</v>
      </c>
      <c r="H593" t="n">
        <v>0</v>
      </c>
      <c r="I593" t="n">
        <v>0</v>
      </c>
      <c r="J593" t="n">
        <v>0</v>
      </c>
      <c r="K593" t="n">
        <v>0</v>
      </c>
      <c r="L593" t="n">
        <v>0</v>
      </c>
      <c r="M593" t="n">
        <v>0</v>
      </c>
      <c r="N593" t="n">
        <v>0</v>
      </c>
      <c r="O593" t="n">
        <v>0</v>
      </c>
      <c r="P593" t="n">
        <v>0</v>
      </c>
      <c r="Q593" t="n">
        <v>0</v>
      </c>
      <c r="R593" s="2" t="inlineStr"/>
    </row>
    <row r="594" ht="15" customHeight="1">
      <c r="A594" t="inlineStr">
        <is>
          <t>A 57578-2024</t>
        </is>
      </c>
      <c r="B594" s="1" t="n">
        <v>45630</v>
      </c>
      <c r="C594" s="1" t="n">
        <v>46202</v>
      </c>
      <c r="D594" t="inlineStr">
        <is>
          <t>KALMAR LÄN</t>
        </is>
      </c>
      <c r="E594" t="inlineStr">
        <is>
          <t>VIMMERBY</t>
        </is>
      </c>
      <c r="G594" t="n">
        <v>2.6</v>
      </c>
      <c r="H594" t="n">
        <v>0</v>
      </c>
      <c r="I594" t="n">
        <v>0</v>
      </c>
      <c r="J594" t="n">
        <v>0</v>
      </c>
      <c r="K594" t="n">
        <v>0</v>
      </c>
      <c r="L594" t="n">
        <v>0</v>
      </c>
      <c r="M594" t="n">
        <v>0</v>
      </c>
      <c r="N594" t="n">
        <v>0</v>
      </c>
      <c r="O594" t="n">
        <v>0</v>
      </c>
      <c r="P594" t="n">
        <v>0</v>
      </c>
      <c r="Q594" t="n">
        <v>0</v>
      </c>
      <c r="R594" s="2" t="inlineStr"/>
    </row>
    <row r="595" ht="15" customHeight="1">
      <c r="A595" t="inlineStr">
        <is>
          <t>A 51062-2025</t>
        </is>
      </c>
      <c r="B595" s="1" t="n">
        <v>45947</v>
      </c>
      <c r="C595" s="1" t="n">
        <v>46202</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3425-2022</t>
        </is>
      </c>
      <c r="B596" s="1" t="n">
        <v>44585</v>
      </c>
      <c r="C596" s="1" t="n">
        <v>46202</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60675-2023</t>
        </is>
      </c>
      <c r="B597" s="1" t="n">
        <v>45260</v>
      </c>
      <c r="C597" s="1" t="n">
        <v>46202</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41591-2025</t>
        </is>
      </c>
      <c r="B598" s="1" t="n">
        <v>45901</v>
      </c>
      <c r="C598" s="1" t="n">
        <v>46202</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40971-2025</t>
        </is>
      </c>
      <c r="B599" s="1" t="n">
        <v>45897</v>
      </c>
      <c r="C599" s="1" t="n">
        <v>46202</v>
      </c>
      <c r="D599" t="inlineStr">
        <is>
          <t>KALMAR LÄN</t>
        </is>
      </c>
      <c r="E599" t="inlineStr">
        <is>
          <t>VIMMERBY</t>
        </is>
      </c>
      <c r="G599" t="n">
        <v>1.5</v>
      </c>
      <c r="H599" t="n">
        <v>0</v>
      </c>
      <c r="I599" t="n">
        <v>0</v>
      </c>
      <c r="J599" t="n">
        <v>0</v>
      </c>
      <c r="K599" t="n">
        <v>0</v>
      </c>
      <c r="L599" t="n">
        <v>0</v>
      </c>
      <c r="M599" t="n">
        <v>0</v>
      </c>
      <c r="N599" t="n">
        <v>0</v>
      </c>
      <c r="O599" t="n">
        <v>0</v>
      </c>
      <c r="P599" t="n">
        <v>0</v>
      </c>
      <c r="Q599" t="n">
        <v>0</v>
      </c>
      <c r="R599" s="2" t="inlineStr"/>
    </row>
    <row r="600" ht="15" customHeight="1">
      <c r="A600" t="inlineStr">
        <is>
          <t>A 41589-2025</t>
        </is>
      </c>
      <c r="B600" s="1" t="n">
        <v>45901</v>
      </c>
      <c r="C600" s="1" t="n">
        <v>46202</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40970-2025</t>
        </is>
      </c>
      <c r="B601" s="1" t="n">
        <v>45897</v>
      </c>
      <c r="C601" s="1" t="n">
        <v>46202</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40973-2025</t>
        </is>
      </c>
      <c r="B602" s="1" t="n">
        <v>45897</v>
      </c>
      <c r="C602" s="1" t="n">
        <v>46202</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2536-2023</t>
        </is>
      </c>
      <c r="B603" s="1" t="n">
        <v>44943</v>
      </c>
      <c r="C603" s="1" t="n">
        <v>46202</v>
      </c>
      <c r="D603" t="inlineStr">
        <is>
          <t>KALMAR LÄN</t>
        </is>
      </c>
      <c r="E603" t="inlineStr">
        <is>
          <t>VIMMERBY</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34090-2025</t>
        </is>
      </c>
      <c r="B604" s="1" t="n">
        <v>45845</v>
      </c>
      <c r="C604" s="1" t="n">
        <v>46202</v>
      </c>
      <c r="D604" t="inlineStr">
        <is>
          <t>KALMAR LÄN</t>
        </is>
      </c>
      <c r="E604" t="inlineStr">
        <is>
          <t>VIMMERBY</t>
        </is>
      </c>
      <c r="G604" t="n">
        <v>2.8</v>
      </c>
      <c r="H604" t="n">
        <v>0</v>
      </c>
      <c r="I604" t="n">
        <v>0</v>
      </c>
      <c r="J604" t="n">
        <v>0</v>
      </c>
      <c r="K604" t="n">
        <v>0</v>
      </c>
      <c r="L604" t="n">
        <v>0</v>
      </c>
      <c r="M604" t="n">
        <v>0</v>
      </c>
      <c r="N604" t="n">
        <v>0</v>
      </c>
      <c r="O604" t="n">
        <v>0</v>
      </c>
      <c r="P604" t="n">
        <v>0</v>
      </c>
      <c r="Q604" t="n">
        <v>0</v>
      </c>
      <c r="R604" s="2" t="inlineStr"/>
    </row>
    <row r="605" ht="15" customHeight="1">
      <c r="A605" t="inlineStr">
        <is>
          <t>A 11111-2024</t>
        </is>
      </c>
      <c r="B605" s="1" t="n">
        <v>45371</v>
      </c>
      <c r="C605" s="1" t="n">
        <v>46202</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51990-2025</t>
        </is>
      </c>
      <c r="B606" s="1" t="n">
        <v>45952</v>
      </c>
      <c r="C606" s="1" t="n">
        <v>46202</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1687-2023</t>
        </is>
      </c>
      <c r="B607" s="1" t="n">
        <v>44938</v>
      </c>
      <c r="C607" s="1" t="n">
        <v>46202</v>
      </c>
      <c r="D607" t="inlineStr">
        <is>
          <t>KALMAR LÄN</t>
        </is>
      </c>
      <c r="E607" t="inlineStr">
        <is>
          <t>VIMMERBY</t>
        </is>
      </c>
      <c r="F607" t="inlineStr">
        <is>
          <t>Kommuner</t>
        </is>
      </c>
      <c r="G607" t="n">
        <v>2.5</v>
      </c>
      <c r="H607" t="n">
        <v>0</v>
      </c>
      <c r="I607" t="n">
        <v>0</v>
      </c>
      <c r="J607" t="n">
        <v>0</v>
      </c>
      <c r="K607" t="n">
        <v>0</v>
      </c>
      <c r="L607" t="n">
        <v>0</v>
      </c>
      <c r="M607" t="n">
        <v>0</v>
      </c>
      <c r="N607" t="n">
        <v>0</v>
      </c>
      <c r="O607" t="n">
        <v>0</v>
      </c>
      <c r="P607" t="n">
        <v>0</v>
      </c>
      <c r="Q607" t="n">
        <v>0</v>
      </c>
      <c r="R607" s="2" t="inlineStr"/>
    </row>
    <row r="608" ht="15" customHeight="1">
      <c r="A608" t="inlineStr">
        <is>
          <t>A 6307-2025</t>
        </is>
      </c>
      <c r="B608" s="1" t="n">
        <v>45698</v>
      </c>
      <c r="C608" s="1" t="n">
        <v>46202</v>
      </c>
      <c r="D608" t="inlineStr">
        <is>
          <t>KALMAR LÄN</t>
        </is>
      </c>
      <c r="E608" t="inlineStr">
        <is>
          <t>VIMMERBY</t>
        </is>
      </c>
      <c r="G608" t="n">
        <v>3</v>
      </c>
      <c r="H608" t="n">
        <v>0</v>
      </c>
      <c r="I608" t="n">
        <v>0</v>
      </c>
      <c r="J608" t="n">
        <v>0</v>
      </c>
      <c r="K608" t="n">
        <v>0</v>
      </c>
      <c r="L608" t="n">
        <v>0</v>
      </c>
      <c r="M608" t="n">
        <v>0</v>
      </c>
      <c r="N608" t="n">
        <v>0</v>
      </c>
      <c r="O608" t="n">
        <v>0</v>
      </c>
      <c r="P608" t="n">
        <v>0</v>
      </c>
      <c r="Q608" t="n">
        <v>0</v>
      </c>
      <c r="R608" s="2" t="inlineStr"/>
    </row>
    <row r="609" ht="15" customHeight="1">
      <c r="A609" t="inlineStr">
        <is>
          <t>A 3494-2023</t>
        </is>
      </c>
      <c r="B609" s="1" t="n">
        <v>44949</v>
      </c>
      <c r="C609" s="1" t="n">
        <v>46202</v>
      </c>
      <c r="D609" t="inlineStr">
        <is>
          <t>KALMAR LÄN</t>
        </is>
      </c>
      <c r="E609" t="inlineStr">
        <is>
          <t>VIMMERBY</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11442-2025</t>
        </is>
      </c>
      <c r="B610" s="1" t="n">
        <v>45726</v>
      </c>
      <c r="C610" s="1" t="n">
        <v>46202</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52466-2025</t>
        </is>
      </c>
      <c r="B611" s="1" t="n">
        <v>45954</v>
      </c>
      <c r="C611" s="1" t="n">
        <v>46202</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52475-2025</t>
        </is>
      </c>
      <c r="B612" s="1" t="n">
        <v>45954</v>
      </c>
      <c r="C612" s="1" t="n">
        <v>46202</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15449-2023</t>
        </is>
      </c>
      <c r="B613" s="1" t="n">
        <v>45020</v>
      </c>
      <c r="C613" s="1" t="n">
        <v>46202</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43242-2024</t>
        </is>
      </c>
      <c r="B614" s="1" t="n">
        <v>45568</v>
      </c>
      <c r="C614" s="1" t="n">
        <v>46202</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53396-2025</t>
        </is>
      </c>
      <c r="B615" s="1" t="n">
        <v>45959</v>
      </c>
      <c r="C615" s="1" t="n">
        <v>46202</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53398-2025</t>
        </is>
      </c>
      <c r="B616" s="1" t="n">
        <v>45959</v>
      </c>
      <c r="C616" s="1" t="n">
        <v>46202</v>
      </c>
      <c r="D616" t="inlineStr">
        <is>
          <t>KALMAR LÄN</t>
        </is>
      </c>
      <c r="E616" t="inlineStr">
        <is>
          <t>VIMMERBY</t>
        </is>
      </c>
      <c r="G616" t="n">
        <v>0.8</v>
      </c>
      <c r="H616" t="n">
        <v>0</v>
      </c>
      <c r="I616" t="n">
        <v>0</v>
      </c>
      <c r="J616" t="n">
        <v>0</v>
      </c>
      <c r="K616" t="n">
        <v>0</v>
      </c>
      <c r="L616" t="n">
        <v>0</v>
      </c>
      <c r="M616" t="n">
        <v>0</v>
      </c>
      <c r="N616" t="n">
        <v>0</v>
      </c>
      <c r="O616" t="n">
        <v>0</v>
      </c>
      <c r="P616" t="n">
        <v>0</v>
      </c>
      <c r="Q616" t="n">
        <v>0</v>
      </c>
      <c r="R616" s="2" t="inlineStr"/>
    </row>
    <row r="617" ht="15" customHeight="1">
      <c r="A617" t="inlineStr">
        <is>
          <t>A 53397-2025</t>
        </is>
      </c>
      <c r="B617" s="1" t="n">
        <v>45959</v>
      </c>
      <c r="C617" s="1" t="n">
        <v>46202</v>
      </c>
      <c r="D617" t="inlineStr">
        <is>
          <t>KALMAR LÄN</t>
        </is>
      </c>
      <c r="E617" t="inlineStr">
        <is>
          <t>VIMMERBY</t>
        </is>
      </c>
      <c r="G617" t="n">
        <v>1.6</v>
      </c>
      <c r="H617" t="n">
        <v>0</v>
      </c>
      <c r="I617" t="n">
        <v>0</v>
      </c>
      <c r="J617" t="n">
        <v>0</v>
      </c>
      <c r="K617" t="n">
        <v>0</v>
      </c>
      <c r="L617" t="n">
        <v>0</v>
      </c>
      <c r="M617" t="n">
        <v>0</v>
      </c>
      <c r="N617" t="n">
        <v>0</v>
      </c>
      <c r="O617" t="n">
        <v>0</v>
      </c>
      <c r="P617" t="n">
        <v>0</v>
      </c>
      <c r="Q617" t="n">
        <v>0</v>
      </c>
      <c r="R617" s="2" t="inlineStr"/>
    </row>
    <row r="618" ht="15" customHeight="1">
      <c r="A618" t="inlineStr">
        <is>
          <t>A 56853-2022</t>
        </is>
      </c>
      <c r="B618" s="1" t="n">
        <v>44894</v>
      </c>
      <c r="C618" s="1" t="n">
        <v>46202</v>
      </c>
      <c r="D618" t="inlineStr">
        <is>
          <t>KALMAR LÄN</t>
        </is>
      </c>
      <c r="E618" t="inlineStr">
        <is>
          <t>VIMMERBY</t>
        </is>
      </c>
      <c r="G618" t="n">
        <v>4.3</v>
      </c>
      <c r="H618" t="n">
        <v>0</v>
      </c>
      <c r="I618" t="n">
        <v>0</v>
      </c>
      <c r="J618" t="n">
        <v>0</v>
      </c>
      <c r="K618" t="n">
        <v>0</v>
      </c>
      <c r="L618" t="n">
        <v>0</v>
      </c>
      <c r="M618" t="n">
        <v>0</v>
      </c>
      <c r="N618" t="n">
        <v>0</v>
      </c>
      <c r="O618" t="n">
        <v>0</v>
      </c>
      <c r="P618" t="n">
        <v>0</v>
      </c>
      <c r="Q618" t="n">
        <v>0</v>
      </c>
      <c r="R618" s="2" t="inlineStr"/>
    </row>
    <row r="619" ht="15" customHeight="1">
      <c r="A619" t="inlineStr">
        <is>
          <t>A 53920-2025</t>
        </is>
      </c>
      <c r="B619" s="1" t="n">
        <v>45961</v>
      </c>
      <c r="C619" s="1" t="n">
        <v>46202</v>
      </c>
      <c r="D619" t="inlineStr">
        <is>
          <t>KALMAR LÄN</t>
        </is>
      </c>
      <c r="E619" t="inlineStr">
        <is>
          <t>VIMMERBY</t>
        </is>
      </c>
      <c r="G619" t="n">
        <v>1.4</v>
      </c>
      <c r="H619" t="n">
        <v>0</v>
      </c>
      <c r="I619" t="n">
        <v>0</v>
      </c>
      <c r="J619" t="n">
        <v>0</v>
      </c>
      <c r="K619" t="n">
        <v>0</v>
      </c>
      <c r="L619" t="n">
        <v>0</v>
      </c>
      <c r="M619" t="n">
        <v>0</v>
      </c>
      <c r="N619" t="n">
        <v>0</v>
      </c>
      <c r="O619" t="n">
        <v>0</v>
      </c>
      <c r="P619" t="n">
        <v>0</v>
      </c>
      <c r="Q619" t="n">
        <v>0</v>
      </c>
      <c r="R619" s="2" t="inlineStr"/>
    </row>
    <row r="620" ht="15" customHeight="1">
      <c r="A620" t="inlineStr">
        <is>
          <t>A 44095-2025</t>
        </is>
      </c>
      <c r="B620" s="1" t="n">
        <v>45915</v>
      </c>
      <c r="C620" s="1" t="n">
        <v>46202</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44091-2025</t>
        </is>
      </c>
      <c r="B621" s="1" t="n">
        <v>45915</v>
      </c>
      <c r="C621" s="1" t="n">
        <v>46202</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33815-2022</t>
        </is>
      </c>
      <c r="B622" s="1" t="n">
        <v>44790</v>
      </c>
      <c r="C622" s="1" t="n">
        <v>46202</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33842-2022</t>
        </is>
      </c>
      <c r="B623" s="1" t="n">
        <v>44790</v>
      </c>
      <c r="C623" s="1" t="n">
        <v>46202</v>
      </c>
      <c r="D623" t="inlineStr">
        <is>
          <t>KALMAR LÄN</t>
        </is>
      </c>
      <c r="E623" t="inlineStr">
        <is>
          <t>VIMMERBY</t>
        </is>
      </c>
      <c r="G623" t="n">
        <v>1.6</v>
      </c>
      <c r="H623" t="n">
        <v>0</v>
      </c>
      <c r="I623" t="n">
        <v>0</v>
      </c>
      <c r="J623" t="n">
        <v>0</v>
      </c>
      <c r="K623" t="n">
        <v>0</v>
      </c>
      <c r="L623" t="n">
        <v>0</v>
      </c>
      <c r="M623" t="n">
        <v>0</v>
      </c>
      <c r="N623" t="n">
        <v>0</v>
      </c>
      <c r="O623" t="n">
        <v>0</v>
      </c>
      <c r="P623" t="n">
        <v>0</v>
      </c>
      <c r="Q623" t="n">
        <v>0</v>
      </c>
      <c r="R623" s="2" t="inlineStr"/>
    </row>
    <row r="624" ht="15" customHeight="1">
      <c r="A624" t="inlineStr">
        <is>
          <t>A 53933-2025</t>
        </is>
      </c>
      <c r="B624" s="1" t="n">
        <v>45961</v>
      </c>
      <c r="C624" s="1" t="n">
        <v>46202</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49408-2023</t>
        </is>
      </c>
      <c r="B625" s="1" t="n">
        <v>45211</v>
      </c>
      <c r="C625" s="1" t="n">
        <v>46202</v>
      </c>
      <c r="D625" t="inlineStr">
        <is>
          <t>KALMAR LÄN</t>
        </is>
      </c>
      <c r="E625" t="inlineStr">
        <is>
          <t>VIMMERBY</t>
        </is>
      </c>
      <c r="G625" t="n">
        <v>13.1</v>
      </c>
      <c r="H625" t="n">
        <v>0</v>
      </c>
      <c r="I625" t="n">
        <v>0</v>
      </c>
      <c r="J625" t="n">
        <v>0</v>
      </c>
      <c r="K625" t="n">
        <v>0</v>
      </c>
      <c r="L625" t="n">
        <v>0</v>
      </c>
      <c r="M625" t="n">
        <v>0</v>
      </c>
      <c r="N625" t="n">
        <v>0</v>
      </c>
      <c r="O625" t="n">
        <v>0</v>
      </c>
      <c r="P625" t="n">
        <v>0</v>
      </c>
      <c r="Q625" t="n">
        <v>0</v>
      </c>
      <c r="R625" s="2" t="inlineStr"/>
    </row>
    <row r="626" ht="15" customHeight="1">
      <c r="A626" t="inlineStr">
        <is>
          <t>A 56536-2022</t>
        </is>
      </c>
      <c r="B626" s="1" t="n">
        <v>44893</v>
      </c>
      <c r="C626" s="1" t="n">
        <v>46202</v>
      </c>
      <c r="D626" t="inlineStr">
        <is>
          <t>KALMAR LÄN</t>
        </is>
      </c>
      <c r="E626" t="inlineStr">
        <is>
          <t>VIMMERBY</t>
        </is>
      </c>
      <c r="G626" t="n">
        <v>3.2</v>
      </c>
      <c r="H626" t="n">
        <v>0</v>
      </c>
      <c r="I626" t="n">
        <v>0</v>
      </c>
      <c r="J626" t="n">
        <v>0</v>
      </c>
      <c r="K626" t="n">
        <v>0</v>
      </c>
      <c r="L626" t="n">
        <v>0</v>
      </c>
      <c r="M626" t="n">
        <v>0</v>
      </c>
      <c r="N626" t="n">
        <v>0</v>
      </c>
      <c r="O626" t="n">
        <v>0</v>
      </c>
      <c r="P626" t="n">
        <v>0</v>
      </c>
      <c r="Q626" t="n">
        <v>0</v>
      </c>
      <c r="R626" s="2" t="inlineStr"/>
    </row>
    <row r="627" ht="15" customHeight="1">
      <c r="A627" t="inlineStr">
        <is>
          <t>A 41199-2023</t>
        </is>
      </c>
      <c r="B627" s="1" t="n">
        <v>45174</v>
      </c>
      <c r="C627" s="1" t="n">
        <v>46202</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23984-2025</t>
        </is>
      </c>
      <c r="B628" s="1" t="n">
        <v>45796</v>
      </c>
      <c r="C628" s="1" t="n">
        <v>46202</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55603-2025</t>
        </is>
      </c>
      <c r="B629" s="1" t="n">
        <v>45971</v>
      </c>
      <c r="C629" s="1" t="n">
        <v>46202</v>
      </c>
      <c r="D629" t="inlineStr">
        <is>
          <t>KALMAR LÄN</t>
        </is>
      </c>
      <c r="E629" t="inlineStr">
        <is>
          <t>VIMMERBY</t>
        </is>
      </c>
      <c r="G629" t="n">
        <v>0.9</v>
      </c>
      <c r="H629" t="n">
        <v>0</v>
      </c>
      <c r="I629" t="n">
        <v>0</v>
      </c>
      <c r="J629" t="n">
        <v>0</v>
      </c>
      <c r="K629" t="n">
        <v>0</v>
      </c>
      <c r="L629" t="n">
        <v>0</v>
      </c>
      <c r="M629" t="n">
        <v>0</v>
      </c>
      <c r="N629" t="n">
        <v>0</v>
      </c>
      <c r="O629" t="n">
        <v>0</v>
      </c>
      <c r="P629" t="n">
        <v>0</v>
      </c>
      <c r="Q629" t="n">
        <v>0</v>
      </c>
      <c r="R629" s="2" t="inlineStr"/>
    </row>
    <row r="630" ht="15" customHeight="1">
      <c r="A630" t="inlineStr">
        <is>
          <t>A 55385-2025</t>
        </is>
      </c>
      <c r="B630" s="1" t="n">
        <v>45971</v>
      </c>
      <c r="C630" s="1" t="n">
        <v>46202</v>
      </c>
      <c r="D630" t="inlineStr">
        <is>
          <t>KALMAR LÄN</t>
        </is>
      </c>
      <c r="E630" t="inlineStr">
        <is>
          <t>VIMMERBY</t>
        </is>
      </c>
      <c r="G630" t="n">
        <v>5</v>
      </c>
      <c r="H630" t="n">
        <v>0</v>
      </c>
      <c r="I630" t="n">
        <v>0</v>
      </c>
      <c r="J630" t="n">
        <v>0</v>
      </c>
      <c r="K630" t="n">
        <v>0</v>
      </c>
      <c r="L630" t="n">
        <v>0</v>
      </c>
      <c r="M630" t="n">
        <v>0</v>
      </c>
      <c r="N630" t="n">
        <v>0</v>
      </c>
      <c r="O630" t="n">
        <v>0</v>
      </c>
      <c r="P630" t="n">
        <v>0</v>
      </c>
      <c r="Q630" t="n">
        <v>0</v>
      </c>
      <c r="R630" s="2" t="inlineStr"/>
    </row>
    <row r="631" ht="15" customHeight="1">
      <c r="A631" t="inlineStr">
        <is>
          <t>A 47227-2025</t>
        </is>
      </c>
      <c r="B631" s="1" t="n">
        <v>45930</v>
      </c>
      <c r="C631" s="1" t="n">
        <v>46202</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35082-2024</t>
        </is>
      </c>
      <c r="B632" s="1" t="n">
        <v>45527</v>
      </c>
      <c r="C632" s="1" t="n">
        <v>46202</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51278-2024</t>
        </is>
      </c>
      <c r="B633" s="1" t="n">
        <v>45603</v>
      </c>
      <c r="C633" s="1" t="n">
        <v>46202</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57728-2025</t>
        </is>
      </c>
      <c r="B634" s="1" t="n">
        <v>45981</v>
      </c>
      <c r="C634" s="1" t="n">
        <v>46202</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9456-2025</t>
        </is>
      </c>
      <c r="B635" s="1" t="n">
        <v>45715</v>
      </c>
      <c r="C635" s="1" t="n">
        <v>46202</v>
      </c>
      <c r="D635" t="inlineStr">
        <is>
          <t>KALMAR LÄN</t>
        </is>
      </c>
      <c r="E635" t="inlineStr">
        <is>
          <t>VIMMERBY</t>
        </is>
      </c>
      <c r="G635" t="n">
        <v>1.5</v>
      </c>
      <c r="H635" t="n">
        <v>0</v>
      </c>
      <c r="I635" t="n">
        <v>0</v>
      </c>
      <c r="J635" t="n">
        <v>0</v>
      </c>
      <c r="K635" t="n">
        <v>0</v>
      </c>
      <c r="L635" t="n">
        <v>0</v>
      </c>
      <c r="M635" t="n">
        <v>0</v>
      </c>
      <c r="N635" t="n">
        <v>0</v>
      </c>
      <c r="O635" t="n">
        <v>0</v>
      </c>
      <c r="P635" t="n">
        <v>0</v>
      </c>
      <c r="Q635" t="n">
        <v>0</v>
      </c>
      <c r="R635" s="2" t="inlineStr"/>
    </row>
    <row r="636" ht="15" customHeight="1">
      <c r="A636" t="inlineStr">
        <is>
          <t>A 11111-2023</t>
        </is>
      </c>
      <c r="B636" s="1" t="n">
        <v>44992</v>
      </c>
      <c r="C636" s="1" t="n">
        <v>46202</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58503-2025</t>
        </is>
      </c>
      <c r="B637" s="1" t="n">
        <v>45985</v>
      </c>
      <c r="C637" s="1" t="n">
        <v>46202</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58498-2025</t>
        </is>
      </c>
      <c r="B638" s="1" t="n">
        <v>45985</v>
      </c>
      <c r="C638" s="1" t="n">
        <v>46202</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58501-2025</t>
        </is>
      </c>
      <c r="B639" s="1" t="n">
        <v>45985</v>
      </c>
      <c r="C639" s="1" t="n">
        <v>46202</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44582-2024</t>
        </is>
      </c>
      <c r="B640" s="1" t="n">
        <v>45574</v>
      </c>
      <c r="C640" s="1" t="n">
        <v>46202</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58446-2025</t>
        </is>
      </c>
      <c r="B641" s="1" t="n">
        <v>45985</v>
      </c>
      <c r="C641" s="1" t="n">
        <v>46202</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15494-2024</t>
        </is>
      </c>
      <c r="B642" s="1" t="n">
        <v>45401</v>
      </c>
      <c r="C642" s="1" t="n">
        <v>46202</v>
      </c>
      <c r="D642" t="inlineStr">
        <is>
          <t>KALMAR LÄN</t>
        </is>
      </c>
      <c r="E642" t="inlineStr">
        <is>
          <t>VIMMERBY</t>
        </is>
      </c>
      <c r="G642" t="n">
        <v>3.2</v>
      </c>
      <c r="H642" t="n">
        <v>0</v>
      </c>
      <c r="I642" t="n">
        <v>0</v>
      </c>
      <c r="J642" t="n">
        <v>0</v>
      </c>
      <c r="K642" t="n">
        <v>0</v>
      </c>
      <c r="L642" t="n">
        <v>0</v>
      </c>
      <c r="M642" t="n">
        <v>0</v>
      </c>
      <c r="N642" t="n">
        <v>0</v>
      </c>
      <c r="O642" t="n">
        <v>0</v>
      </c>
      <c r="P642" t="n">
        <v>0</v>
      </c>
      <c r="Q642" t="n">
        <v>0</v>
      </c>
      <c r="R642" s="2" t="inlineStr"/>
    </row>
    <row r="643" ht="15" customHeight="1">
      <c r="A643" t="inlineStr">
        <is>
          <t>A 58500-2025</t>
        </is>
      </c>
      <c r="B643" s="1" t="n">
        <v>45985</v>
      </c>
      <c r="C643" s="1" t="n">
        <v>46202</v>
      </c>
      <c r="D643" t="inlineStr">
        <is>
          <t>KALMAR LÄN</t>
        </is>
      </c>
      <c r="E643" t="inlineStr">
        <is>
          <t>VIMMERBY</t>
        </is>
      </c>
      <c r="G643" t="n">
        <v>1.8</v>
      </c>
      <c r="H643" t="n">
        <v>0</v>
      </c>
      <c r="I643" t="n">
        <v>0</v>
      </c>
      <c r="J643" t="n">
        <v>0</v>
      </c>
      <c r="K643" t="n">
        <v>0</v>
      </c>
      <c r="L643" t="n">
        <v>0</v>
      </c>
      <c r="M643" t="n">
        <v>0</v>
      </c>
      <c r="N643" t="n">
        <v>0</v>
      </c>
      <c r="O643" t="n">
        <v>0</v>
      </c>
      <c r="P643" t="n">
        <v>0</v>
      </c>
      <c r="Q643" t="n">
        <v>0</v>
      </c>
      <c r="R643" s="2" t="inlineStr"/>
    </row>
    <row r="644" ht="15" customHeight="1">
      <c r="A644" t="inlineStr">
        <is>
          <t>A 58841-2025</t>
        </is>
      </c>
      <c r="B644" s="1" t="n">
        <v>45987</v>
      </c>
      <c r="C644" s="1" t="n">
        <v>46202</v>
      </c>
      <c r="D644" t="inlineStr">
        <is>
          <t>KALMAR LÄN</t>
        </is>
      </c>
      <c r="E644" t="inlineStr">
        <is>
          <t>VIMMERBY</t>
        </is>
      </c>
      <c r="G644" t="n">
        <v>3.5</v>
      </c>
      <c r="H644" t="n">
        <v>0</v>
      </c>
      <c r="I644" t="n">
        <v>0</v>
      </c>
      <c r="J644" t="n">
        <v>0</v>
      </c>
      <c r="K644" t="n">
        <v>0</v>
      </c>
      <c r="L644" t="n">
        <v>0</v>
      </c>
      <c r="M644" t="n">
        <v>0</v>
      </c>
      <c r="N644" t="n">
        <v>0</v>
      </c>
      <c r="O644" t="n">
        <v>0</v>
      </c>
      <c r="P644" t="n">
        <v>0</v>
      </c>
      <c r="Q644" t="n">
        <v>0</v>
      </c>
      <c r="R644" s="2" t="inlineStr"/>
    </row>
    <row r="645" ht="15" customHeight="1">
      <c r="A645" t="inlineStr">
        <is>
          <t>A 58858-2025</t>
        </is>
      </c>
      <c r="B645" s="1" t="n">
        <v>45987</v>
      </c>
      <c r="C645" s="1" t="n">
        <v>46202</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59039-2025</t>
        </is>
      </c>
      <c r="B646" s="1" t="n">
        <v>45988</v>
      </c>
      <c r="C646" s="1" t="n">
        <v>46202</v>
      </c>
      <c r="D646" t="inlineStr">
        <is>
          <t>KALMAR LÄN</t>
        </is>
      </c>
      <c r="E646" t="inlineStr">
        <is>
          <t>VIMMERBY</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59034-2025</t>
        </is>
      </c>
      <c r="B647" s="1" t="n">
        <v>45988</v>
      </c>
      <c r="C647" s="1" t="n">
        <v>46202</v>
      </c>
      <c r="D647" t="inlineStr">
        <is>
          <t>KALMAR LÄN</t>
        </is>
      </c>
      <c r="E647" t="inlineStr">
        <is>
          <t>VIMMERBY</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59037-2025</t>
        </is>
      </c>
      <c r="B648" s="1" t="n">
        <v>45988</v>
      </c>
      <c r="C648" s="1" t="n">
        <v>46202</v>
      </c>
      <c r="D648" t="inlineStr">
        <is>
          <t>KALMAR LÄN</t>
        </is>
      </c>
      <c r="E648" t="inlineStr">
        <is>
          <t>VIMMERBY</t>
        </is>
      </c>
      <c r="F648" t="inlineStr">
        <is>
          <t>Sveaskog</t>
        </is>
      </c>
      <c r="G648" t="n">
        <v>4</v>
      </c>
      <c r="H648" t="n">
        <v>0</v>
      </c>
      <c r="I648" t="n">
        <v>0</v>
      </c>
      <c r="J648" t="n">
        <v>0</v>
      </c>
      <c r="K648" t="n">
        <v>0</v>
      </c>
      <c r="L648" t="n">
        <v>0</v>
      </c>
      <c r="M648" t="n">
        <v>0</v>
      </c>
      <c r="N648" t="n">
        <v>0</v>
      </c>
      <c r="O648" t="n">
        <v>0</v>
      </c>
      <c r="P648" t="n">
        <v>0</v>
      </c>
      <c r="Q648" t="n">
        <v>0</v>
      </c>
      <c r="R648" s="2" t="inlineStr"/>
    </row>
    <row r="649" ht="15" customHeight="1">
      <c r="A649" t="inlineStr">
        <is>
          <t>A 60180-2025</t>
        </is>
      </c>
      <c r="B649" s="1" t="n">
        <v>45994</v>
      </c>
      <c r="C649" s="1" t="n">
        <v>46202</v>
      </c>
      <c r="D649" t="inlineStr">
        <is>
          <t>KALMAR LÄN</t>
        </is>
      </c>
      <c r="E649" t="inlineStr">
        <is>
          <t>VIMMERBY</t>
        </is>
      </c>
      <c r="G649" t="n">
        <v>6.8</v>
      </c>
      <c r="H649" t="n">
        <v>0</v>
      </c>
      <c r="I649" t="n">
        <v>0</v>
      </c>
      <c r="J649" t="n">
        <v>0</v>
      </c>
      <c r="K649" t="n">
        <v>0</v>
      </c>
      <c r="L649" t="n">
        <v>0</v>
      </c>
      <c r="M649" t="n">
        <v>0</v>
      </c>
      <c r="N649" t="n">
        <v>0</v>
      </c>
      <c r="O649" t="n">
        <v>0</v>
      </c>
      <c r="P649" t="n">
        <v>0</v>
      </c>
      <c r="Q649" t="n">
        <v>0</v>
      </c>
      <c r="R649" s="2" t="inlineStr"/>
    </row>
    <row r="650" ht="15" customHeight="1">
      <c r="A650" t="inlineStr">
        <is>
          <t>A 58724-2024</t>
        </is>
      </c>
      <c r="B650" s="1" t="n">
        <v>45635</v>
      </c>
      <c r="C650" s="1" t="n">
        <v>46202</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25792-2025</t>
        </is>
      </c>
      <c r="B651" s="1" t="n">
        <v>45804</v>
      </c>
      <c r="C651" s="1" t="n">
        <v>46202</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26046-2025</t>
        </is>
      </c>
      <c r="B652" s="1" t="n">
        <v>45804</v>
      </c>
      <c r="C652" s="1" t="n">
        <v>46202</v>
      </c>
      <c r="D652" t="inlineStr">
        <is>
          <t>KALMAR LÄN</t>
        </is>
      </c>
      <c r="E652" t="inlineStr">
        <is>
          <t>VIMMERBY</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26207-2025</t>
        </is>
      </c>
      <c r="B653" s="1" t="n">
        <v>45805</v>
      </c>
      <c r="C653" s="1" t="n">
        <v>46202</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61725-2025</t>
        </is>
      </c>
      <c r="B654" s="1" t="n">
        <v>46002</v>
      </c>
      <c r="C654" s="1" t="n">
        <v>46202</v>
      </c>
      <c r="D654" t="inlineStr">
        <is>
          <t>KALMAR LÄN</t>
        </is>
      </c>
      <c r="E654" t="inlineStr">
        <is>
          <t>VIMMERBY</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61790-2025</t>
        </is>
      </c>
      <c r="B655" s="1" t="n">
        <v>46002</v>
      </c>
      <c r="C655" s="1" t="n">
        <v>46202</v>
      </c>
      <c r="D655" t="inlineStr">
        <is>
          <t>KALMAR LÄN</t>
        </is>
      </c>
      <c r="E655" t="inlineStr">
        <is>
          <t>VIMMERBY</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61726-2025</t>
        </is>
      </c>
      <c r="B656" s="1" t="n">
        <v>46002</v>
      </c>
      <c r="C656" s="1" t="n">
        <v>46202</v>
      </c>
      <c r="D656" t="inlineStr">
        <is>
          <t>KALMAR LÄN</t>
        </is>
      </c>
      <c r="E656" t="inlineStr">
        <is>
          <t>VIMMERBY</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63758-2025</t>
        </is>
      </c>
      <c r="B657" s="1" t="n">
        <v>46018</v>
      </c>
      <c r="C657" s="1" t="n">
        <v>46202</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63848-2025</t>
        </is>
      </c>
      <c r="B658" s="1" t="n">
        <v>46020</v>
      </c>
      <c r="C658" s="1" t="n">
        <v>46202</v>
      </c>
      <c r="D658" t="inlineStr">
        <is>
          <t>KALMAR LÄN</t>
        </is>
      </c>
      <c r="E658" t="inlineStr">
        <is>
          <t>VIMMERBY</t>
        </is>
      </c>
      <c r="G658" t="n">
        <v>3.4</v>
      </c>
      <c r="H658" t="n">
        <v>0</v>
      </c>
      <c r="I658" t="n">
        <v>0</v>
      </c>
      <c r="J658" t="n">
        <v>0</v>
      </c>
      <c r="K658" t="n">
        <v>0</v>
      </c>
      <c r="L658" t="n">
        <v>0</v>
      </c>
      <c r="M658" t="n">
        <v>0</v>
      </c>
      <c r="N658" t="n">
        <v>0</v>
      </c>
      <c r="O658" t="n">
        <v>0</v>
      </c>
      <c r="P658" t="n">
        <v>0</v>
      </c>
      <c r="Q658" t="n">
        <v>0</v>
      </c>
      <c r="R658" s="2" t="inlineStr"/>
    </row>
    <row r="659" ht="15" customHeight="1">
      <c r="A659" t="inlineStr">
        <is>
          <t>A 579-2026</t>
        </is>
      </c>
      <c r="B659" s="1" t="n">
        <v>46029</v>
      </c>
      <c r="C659" s="1" t="n">
        <v>46202</v>
      </c>
      <c r="D659" t="inlineStr">
        <is>
          <t>KALMAR LÄN</t>
        </is>
      </c>
      <c r="E659" t="inlineStr">
        <is>
          <t>VIMMERBY</t>
        </is>
      </c>
      <c r="G659" t="n">
        <v>3</v>
      </c>
      <c r="H659" t="n">
        <v>0</v>
      </c>
      <c r="I659" t="n">
        <v>0</v>
      </c>
      <c r="J659" t="n">
        <v>0</v>
      </c>
      <c r="K659" t="n">
        <v>0</v>
      </c>
      <c r="L659" t="n">
        <v>0</v>
      </c>
      <c r="M659" t="n">
        <v>0</v>
      </c>
      <c r="N659" t="n">
        <v>0</v>
      </c>
      <c r="O659" t="n">
        <v>0</v>
      </c>
      <c r="P659" t="n">
        <v>0</v>
      </c>
      <c r="Q659" t="n">
        <v>0</v>
      </c>
      <c r="R659" s="2" t="inlineStr"/>
    </row>
    <row r="660" ht="15" customHeight="1">
      <c r="A660" t="inlineStr">
        <is>
          <t>A 409-2026</t>
        </is>
      </c>
      <c r="B660" s="1" t="n">
        <v>46028</v>
      </c>
      <c r="C660" s="1" t="n">
        <v>46202</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406-2026</t>
        </is>
      </c>
      <c r="B661" s="1" t="n">
        <v>46028</v>
      </c>
      <c r="C661" s="1" t="n">
        <v>46202</v>
      </c>
      <c r="D661" t="inlineStr">
        <is>
          <t>KALMAR LÄN</t>
        </is>
      </c>
      <c r="E661" t="inlineStr">
        <is>
          <t>VIMMERBY</t>
        </is>
      </c>
      <c r="G661" t="n">
        <v>1.8</v>
      </c>
      <c r="H661" t="n">
        <v>0</v>
      </c>
      <c r="I661" t="n">
        <v>0</v>
      </c>
      <c r="J661" t="n">
        <v>0</v>
      </c>
      <c r="K661" t="n">
        <v>0</v>
      </c>
      <c r="L661" t="n">
        <v>0</v>
      </c>
      <c r="M661" t="n">
        <v>0</v>
      </c>
      <c r="N661" t="n">
        <v>0</v>
      </c>
      <c r="O661" t="n">
        <v>0</v>
      </c>
      <c r="P661" t="n">
        <v>0</v>
      </c>
      <c r="Q661" t="n">
        <v>0</v>
      </c>
      <c r="R661" s="2" t="inlineStr"/>
    </row>
    <row r="662" ht="15" customHeight="1">
      <c r="A662" t="inlineStr">
        <is>
          <t>A 842-2026</t>
        </is>
      </c>
      <c r="B662" s="1" t="n">
        <v>46030</v>
      </c>
      <c r="C662" s="1" t="n">
        <v>46202</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1069-2026</t>
        </is>
      </c>
      <c r="B663" s="1" t="n">
        <v>46030</v>
      </c>
      <c r="C663" s="1" t="n">
        <v>46202</v>
      </c>
      <c r="D663" t="inlineStr">
        <is>
          <t>KALMAR LÄN</t>
        </is>
      </c>
      <c r="E663" t="inlineStr">
        <is>
          <t>VIMMERBY</t>
        </is>
      </c>
      <c r="G663" t="n">
        <v>3.3</v>
      </c>
      <c r="H663" t="n">
        <v>0</v>
      </c>
      <c r="I663" t="n">
        <v>0</v>
      </c>
      <c r="J663" t="n">
        <v>0</v>
      </c>
      <c r="K663" t="n">
        <v>0</v>
      </c>
      <c r="L663" t="n">
        <v>0</v>
      </c>
      <c r="M663" t="n">
        <v>0</v>
      </c>
      <c r="N663" t="n">
        <v>0</v>
      </c>
      <c r="O663" t="n">
        <v>0</v>
      </c>
      <c r="P663" t="n">
        <v>0</v>
      </c>
      <c r="Q663" t="n">
        <v>0</v>
      </c>
      <c r="R663" s="2" t="inlineStr"/>
    </row>
    <row r="664" ht="15" customHeight="1">
      <c r="A664" t="inlineStr">
        <is>
          <t>A 1743-2026</t>
        </is>
      </c>
      <c r="B664" s="1" t="n">
        <v>46034</v>
      </c>
      <c r="C664" s="1" t="n">
        <v>46202</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1748-2026</t>
        </is>
      </c>
      <c r="B665" s="1" t="n">
        <v>46034</v>
      </c>
      <c r="C665" s="1" t="n">
        <v>46202</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1862-2026</t>
        </is>
      </c>
      <c r="B666" s="1" t="n">
        <v>46035</v>
      </c>
      <c r="C666" s="1" t="n">
        <v>46202</v>
      </c>
      <c r="D666" t="inlineStr">
        <is>
          <t>KALMAR LÄN</t>
        </is>
      </c>
      <c r="E666" t="inlineStr">
        <is>
          <t>VIMMERBY</t>
        </is>
      </c>
      <c r="G666" t="n">
        <v>3.1</v>
      </c>
      <c r="H666" t="n">
        <v>0</v>
      </c>
      <c r="I666" t="n">
        <v>0</v>
      </c>
      <c r="J666" t="n">
        <v>0</v>
      </c>
      <c r="K666" t="n">
        <v>0</v>
      </c>
      <c r="L666" t="n">
        <v>0</v>
      </c>
      <c r="M666" t="n">
        <v>0</v>
      </c>
      <c r="N666" t="n">
        <v>0</v>
      </c>
      <c r="O666" t="n">
        <v>0</v>
      </c>
      <c r="P666" t="n">
        <v>0</v>
      </c>
      <c r="Q666" t="n">
        <v>0</v>
      </c>
      <c r="R666" s="2" t="inlineStr"/>
    </row>
    <row r="667" ht="15" customHeight="1">
      <c r="A667" t="inlineStr">
        <is>
          <t>A 2518-2026</t>
        </is>
      </c>
      <c r="B667" s="1" t="n">
        <v>46037</v>
      </c>
      <c r="C667" s="1" t="n">
        <v>46202</v>
      </c>
      <c r="D667" t="inlineStr">
        <is>
          <t>KALMAR LÄN</t>
        </is>
      </c>
      <c r="E667" t="inlineStr">
        <is>
          <t>VIMMERBY</t>
        </is>
      </c>
      <c r="G667" t="n">
        <v>1.2</v>
      </c>
      <c r="H667" t="n">
        <v>0</v>
      </c>
      <c r="I667" t="n">
        <v>0</v>
      </c>
      <c r="J667" t="n">
        <v>0</v>
      </c>
      <c r="K667" t="n">
        <v>0</v>
      </c>
      <c r="L667" t="n">
        <v>0</v>
      </c>
      <c r="M667" t="n">
        <v>0</v>
      </c>
      <c r="N667" t="n">
        <v>0</v>
      </c>
      <c r="O667" t="n">
        <v>0</v>
      </c>
      <c r="P667" t="n">
        <v>0</v>
      </c>
      <c r="Q667" t="n">
        <v>0</v>
      </c>
      <c r="R667" s="2" t="inlineStr"/>
    </row>
    <row r="668" ht="15" customHeight="1">
      <c r="A668" t="inlineStr">
        <is>
          <t>A 2514-2026</t>
        </is>
      </c>
      <c r="B668" s="1" t="n">
        <v>46037</v>
      </c>
      <c r="C668" s="1" t="n">
        <v>46202</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2523-2026</t>
        </is>
      </c>
      <c r="B669" s="1" t="n">
        <v>46037</v>
      </c>
      <c r="C669" s="1" t="n">
        <v>46202</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3266-2026</t>
        </is>
      </c>
      <c r="B670" s="1" t="n">
        <v>46041</v>
      </c>
      <c r="C670" s="1" t="n">
        <v>46202</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3868-2026</t>
        </is>
      </c>
      <c r="B671" s="1" t="n">
        <v>46043</v>
      </c>
      <c r="C671" s="1" t="n">
        <v>46202</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3869-2026</t>
        </is>
      </c>
      <c r="B672" s="1" t="n">
        <v>46043</v>
      </c>
      <c r="C672" s="1" t="n">
        <v>46202</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3965-2026</t>
        </is>
      </c>
      <c r="B673" s="1" t="n">
        <v>46044</v>
      </c>
      <c r="C673" s="1" t="n">
        <v>46202</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6817-2026</t>
        </is>
      </c>
      <c r="B674" s="1" t="n">
        <v>46057</v>
      </c>
      <c r="C674" s="1" t="n">
        <v>46202</v>
      </c>
      <c r="D674" t="inlineStr">
        <is>
          <t>KALMAR LÄN</t>
        </is>
      </c>
      <c r="E674" t="inlineStr">
        <is>
          <t>VIMMERBY</t>
        </is>
      </c>
      <c r="G674" t="n">
        <v>0.7</v>
      </c>
      <c r="H674" t="n">
        <v>0</v>
      </c>
      <c r="I674" t="n">
        <v>0</v>
      </c>
      <c r="J674" t="n">
        <v>0</v>
      </c>
      <c r="K674" t="n">
        <v>0</v>
      </c>
      <c r="L674" t="n">
        <v>0</v>
      </c>
      <c r="M674" t="n">
        <v>0</v>
      </c>
      <c r="N674" t="n">
        <v>0</v>
      </c>
      <c r="O674" t="n">
        <v>0</v>
      </c>
      <c r="P674" t="n">
        <v>0</v>
      </c>
      <c r="Q674" t="n">
        <v>0</v>
      </c>
      <c r="R674" s="2" t="inlineStr"/>
    </row>
    <row r="675" ht="15" customHeight="1">
      <c r="A675" t="inlineStr">
        <is>
          <t>A 8595-2026</t>
        </is>
      </c>
      <c r="B675" s="1" t="n">
        <v>46065</v>
      </c>
      <c r="C675" s="1" t="n">
        <v>46202</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11415-2026</t>
        </is>
      </c>
      <c r="B676" s="1" t="n">
        <v>46083</v>
      </c>
      <c r="C676" s="1" t="n">
        <v>46202</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11407-2026</t>
        </is>
      </c>
      <c r="B677" s="1" t="n">
        <v>46083</v>
      </c>
      <c r="C677" s="1" t="n">
        <v>46202</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12730-2026</t>
        </is>
      </c>
      <c r="B678" s="1" t="n">
        <v>46091</v>
      </c>
      <c r="C678" s="1" t="n">
        <v>46202</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12820-2026</t>
        </is>
      </c>
      <c r="B679" s="1" t="n">
        <v>46092</v>
      </c>
      <c r="C679" s="1" t="n">
        <v>46202</v>
      </c>
      <c r="D679" t="inlineStr">
        <is>
          <t>KALMAR LÄN</t>
        </is>
      </c>
      <c r="E679" t="inlineStr">
        <is>
          <t>VIMMERBY</t>
        </is>
      </c>
      <c r="G679" t="n">
        <v>4.3</v>
      </c>
      <c r="H679" t="n">
        <v>0</v>
      </c>
      <c r="I679" t="n">
        <v>0</v>
      </c>
      <c r="J679" t="n">
        <v>0</v>
      </c>
      <c r="K679" t="n">
        <v>0</v>
      </c>
      <c r="L679" t="n">
        <v>0</v>
      </c>
      <c r="M679" t="n">
        <v>0</v>
      </c>
      <c r="N679" t="n">
        <v>0</v>
      </c>
      <c r="O679" t="n">
        <v>0</v>
      </c>
      <c r="P679" t="n">
        <v>0</v>
      </c>
      <c r="Q679" t="n">
        <v>0</v>
      </c>
      <c r="R679" s="2" t="inlineStr"/>
    </row>
    <row r="680" ht="15" customHeight="1">
      <c r="A680" t="inlineStr">
        <is>
          <t>A 12821-2026</t>
        </is>
      </c>
      <c r="B680" s="1" t="n">
        <v>46092</v>
      </c>
      <c r="C680" s="1" t="n">
        <v>46202</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12825-2026</t>
        </is>
      </c>
      <c r="B681" s="1" t="n">
        <v>46092</v>
      </c>
      <c r="C681" s="1" t="n">
        <v>46202</v>
      </c>
      <c r="D681" t="inlineStr">
        <is>
          <t>KALMAR LÄN</t>
        </is>
      </c>
      <c r="E681" t="inlineStr">
        <is>
          <t>VIMMERBY</t>
        </is>
      </c>
      <c r="G681" t="n">
        <v>2.6</v>
      </c>
      <c r="H681" t="n">
        <v>0</v>
      </c>
      <c r="I681" t="n">
        <v>0</v>
      </c>
      <c r="J681" t="n">
        <v>0</v>
      </c>
      <c r="K681" t="n">
        <v>0</v>
      </c>
      <c r="L681" t="n">
        <v>0</v>
      </c>
      <c r="M681" t="n">
        <v>0</v>
      </c>
      <c r="N681" t="n">
        <v>0</v>
      </c>
      <c r="O681" t="n">
        <v>0</v>
      </c>
      <c r="P681" t="n">
        <v>0</v>
      </c>
      <c r="Q681" t="n">
        <v>0</v>
      </c>
      <c r="R681" s="2" t="inlineStr"/>
    </row>
    <row r="682" ht="15" customHeight="1">
      <c r="A682" t="inlineStr">
        <is>
          <t>A 13793-2026</t>
        </is>
      </c>
      <c r="B682" s="1" t="n">
        <v>46097</v>
      </c>
      <c r="C682" s="1" t="n">
        <v>46202</v>
      </c>
      <c r="D682" t="inlineStr">
        <is>
          <t>KALMAR LÄN</t>
        </is>
      </c>
      <c r="E682" t="inlineStr">
        <is>
          <t>VIMMERBY</t>
        </is>
      </c>
      <c r="G682" t="n">
        <v>2.9</v>
      </c>
      <c r="H682" t="n">
        <v>0</v>
      </c>
      <c r="I682" t="n">
        <v>0</v>
      </c>
      <c r="J682" t="n">
        <v>0</v>
      </c>
      <c r="K682" t="n">
        <v>0</v>
      </c>
      <c r="L682" t="n">
        <v>0</v>
      </c>
      <c r="M682" t="n">
        <v>0</v>
      </c>
      <c r="N682" t="n">
        <v>0</v>
      </c>
      <c r="O682" t="n">
        <v>0</v>
      </c>
      <c r="P682" t="n">
        <v>0</v>
      </c>
      <c r="Q682" t="n">
        <v>0</v>
      </c>
      <c r="R682" s="2" t="inlineStr"/>
    </row>
    <row r="683" ht="15" customHeight="1">
      <c r="A683" t="inlineStr">
        <is>
          <t>A 14318-2026</t>
        </is>
      </c>
      <c r="B683" s="1" t="n">
        <v>46099</v>
      </c>
      <c r="C683" s="1" t="n">
        <v>46202</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14279-2026</t>
        </is>
      </c>
      <c r="B684" s="1" t="n">
        <v>46099</v>
      </c>
      <c r="C684" s="1" t="n">
        <v>46202</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14320-2026</t>
        </is>
      </c>
      <c r="B685" s="1" t="n">
        <v>46099</v>
      </c>
      <c r="C685" s="1" t="n">
        <v>46202</v>
      </c>
      <c r="D685" t="inlineStr">
        <is>
          <t>KALMAR LÄN</t>
        </is>
      </c>
      <c r="E685" t="inlineStr">
        <is>
          <t>VIMMERBY</t>
        </is>
      </c>
      <c r="G685" t="n">
        <v>2.3</v>
      </c>
      <c r="H685" t="n">
        <v>0</v>
      </c>
      <c r="I685" t="n">
        <v>0</v>
      </c>
      <c r="J685" t="n">
        <v>0</v>
      </c>
      <c r="K685" t="n">
        <v>0</v>
      </c>
      <c r="L685" t="n">
        <v>0</v>
      </c>
      <c r="M685" t="n">
        <v>0</v>
      </c>
      <c r="N685" t="n">
        <v>0</v>
      </c>
      <c r="O685" t="n">
        <v>0</v>
      </c>
      <c r="P685" t="n">
        <v>0</v>
      </c>
      <c r="Q685" t="n">
        <v>0</v>
      </c>
      <c r="R685" s="2" t="inlineStr"/>
    </row>
    <row r="686" ht="15" customHeight="1">
      <c r="A686" t="inlineStr">
        <is>
          <t>A 14793-2026</t>
        </is>
      </c>
      <c r="B686" s="1" t="n">
        <v>46101</v>
      </c>
      <c r="C686" s="1" t="n">
        <v>46202</v>
      </c>
      <c r="D686" t="inlineStr">
        <is>
          <t>KALMAR LÄN</t>
        </is>
      </c>
      <c r="E686" t="inlineStr">
        <is>
          <t>VIMMERBY</t>
        </is>
      </c>
      <c r="G686" t="n">
        <v>5.7</v>
      </c>
      <c r="H686" t="n">
        <v>0</v>
      </c>
      <c r="I686" t="n">
        <v>0</v>
      </c>
      <c r="J686" t="n">
        <v>0</v>
      </c>
      <c r="K686" t="n">
        <v>0</v>
      </c>
      <c r="L686" t="n">
        <v>0</v>
      </c>
      <c r="M686" t="n">
        <v>0</v>
      </c>
      <c r="N686" t="n">
        <v>0</v>
      </c>
      <c r="O686" t="n">
        <v>0</v>
      </c>
      <c r="P686" t="n">
        <v>0</v>
      </c>
      <c r="Q686" t="n">
        <v>0</v>
      </c>
      <c r="R686" s="2" t="inlineStr"/>
    </row>
    <row r="687" ht="15" customHeight="1">
      <c r="A687" t="inlineStr">
        <is>
          <t>A 14792-2026</t>
        </is>
      </c>
      <c r="B687" s="1" t="n">
        <v>46101</v>
      </c>
      <c r="C687" s="1" t="n">
        <v>46202</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15205-2026</t>
        </is>
      </c>
      <c r="B688" s="1" t="n">
        <v>46105</v>
      </c>
      <c r="C688" s="1" t="n">
        <v>46202</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16183-2026</t>
        </is>
      </c>
      <c r="B689" s="1" t="n">
        <v>46111</v>
      </c>
      <c r="C689" s="1" t="n">
        <v>46202</v>
      </c>
      <c r="D689" t="inlineStr">
        <is>
          <t>KALMAR LÄN</t>
        </is>
      </c>
      <c r="E689" t="inlineStr">
        <is>
          <t>VIMMERBY</t>
        </is>
      </c>
      <c r="G689" t="n">
        <v>1.7</v>
      </c>
      <c r="H689" t="n">
        <v>0</v>
      </c>
      <c r="I689" t="n">
        <v>0</v>
      </c>
      <c r="J689" t="n">
        <v>0</v>
      </c>
      <c r="K689" t="n">
        <v>0</v>
      </c>
      <c r="L689" t="n">
        <v>0</v>
      </c>
      <c r="M689" t="n">
        <v>0</v>
      </c>
      <c r="N689" t="n">
        <v>0</v>
      </c>
      <c r="O689" t="n">
        <v>0</v>
      </c>
      <c r="P689" t="n">
        <v>0</v>
      </c>
      <c r="Q689" t="n">
        <v>0</v>
      </c>
      <c r="R689" s="2" t="inlineStr"/>
    </row>
    <row r="690" ht="15" customHeight="1">
      <c r="A690" t="inlineStr">
        <is>
          <t>A 16648-2026</t>
        </is>
      </c>
      <c r="B690" s="1" t="n">
        <v>46112</v>
      </c>
      <c r="C690" s="1" t="n">
        <v>46202</v>
      </c>
      <c r="D690" t="inlineStr">
        <is>
          <t>KALMAR LÄN</t>
        </is>
      </c>
      <c r="E690" t="inlineStr">
        <is>
          <t>VIMMERBY</t>
        </is>
      </c>
      <c r="F690" t="inlineStr">
        <is>
          <t>Kommuner</t>
        </is>
      </c>
      <c r="G690" t="n">
        <v>0.9</v>
      </c>
      <c r="H690" t="n">
        <v>0</v>
      </c>
      <c r="I690" t="n">
        <v>0</v>
      </c>
      <c r="J690" t="n">
        <v>0</v>
      </c>
      <c r="K690" t="n">
        <v>0</v>
      </c>
      <c r="L690" t="n">
        <v>0</v>
      </c>
      <c r="M690" t="n">
        <v>0</v>
      </c>
      <c r="N690" t="n">
        <v>0</v>
      </c>
      <c r="O690" t="n">
        <v>0</v>
      </c>
      <c r="P690" t="n">
        <v>0</v>
      </c>
      <c r="Q690" t="n">
        <v>0</v>
      </c>
      <c r="R690" s="2" t="inlineStr"/>
    </row>
    <row r="691" ht="15" customHeight="1">
      <c r="A691" t="inlineStr">
        <is>
          <t>A 16656-2026</t>
        </is>
      </c>
      <c r="B691" s="1" t="n">
        <v>46112</v>
      </c>
      <c r="C691" s="1" t="n">
        <v>46202</v>
      </c>
      <c r="D691" t="inlineStr">
        <is>
          <t>KALMAR LÄN</t>
        </is>
      </c>
      <c r="E691" t="inlineStr">
        <is>
          <t>VIMMERBY</t>
        </is>
      </c>
      <c r="F691" t="inlineStr">
        <is>
          <t>Kommuner</t>
        </is>
      </c>
      <c r="G691" t="n">
        <v>5.5</v>
      </c>
      <c r="H691" t="n">
        <v>0</v>
      </c>
      <c r="I691" t="n">
        <v>0</v>
      </c>
      <c r="J691" t="n">
        <v>0</v>
      </c>
      <c r="K691" t="n">
        <v>0</v>
      </c>
      <c r="L691" t="n">
        <v>0</v>
      </c>
      <c r="M691" t="n">
        <v>0</v>
      </c>
      <c r="N691" t="n">
        <v>0</v>
      </c>
      <c r="O691" t="n">
        <v>0</v>
      </c>
      <c r="P691" t="n">
        <v>0</v>
      </c>
      <c r="Q691" t="n">
        <v>0</v>
      </c>
      <c r="R691" s="2" t="inlineStr"/>
    </row>
    <row r="692" ht="15" customHeight="1">
      <c r="A692" t="inlineStr">
        <is>
          <t>A 16617-2026</t>
        </is>
      </c>
      <c r="B692" s="1" t="n">
        <v>46112</v>
      </c>
      <c r="C692" s="1" t="n">
        <v>46202</v>
      </c>
      <c r="D692" t="inlineStr">
        <is>
          <t>KALMAR LÄN</t>
        </is>
      </c>
      <c r="E692" t="inlineStr">
        <is>
          <t>VIMMERBY</t>
        </is>
      </c>
      <c r="F692" t="inlineStr">
        <is>
          <t>Kommuner</t>
        </is>
      </c>
      <c r="G692" t="n">
        <v>0.6</v>
      </c>
      <c r="H692" t="n">
        <v>0</v>
      </c>
      <c r="I692" t="n">
        <v>0</v>
      </c>
      <c r="J692" t="n">
        <v>0</v>
      </c>
      <c r="K692" t="n">
        <v>0</v>
      </c>
      <c r="L692" t="n">
        <v>0</v>
      </c>
      <c r="M692" t="n">
        <v>0</v>
      </c>
      <c r="N692" t="n">
        <v>0</v>
      </c>
      <c r="O692" t="n">
        <v>0</v>
      </c>
      <c r="P692" t="n">
        <v>0</v>
      </c>
      <c r="Q692" t="n">
        <v>0</v>
      </c>
      <c r="R692" s="2" t="inlineStr"/>
    </row>
    <row r="693" ht="15" customHeight="1">
      <c r="A693" t="inlineStr">
        <is>
          <t>A 16672-2026</t>
        </is>
      </c>
      <c r="B693" s="1" t="n">
        <v>46112</v>
      </c>
      <c r="C693" s="1" t="n">
        <v>46202</v>
      </c>
      <c r="D693" t="inlineStr">
        <is>
          <t>KALMAR LÄN</t>
        </is>
      </c>
      <c r="E693" t="inlineStr">
        <is>
          <t>VIMMERBY</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16653-2026</t>
        </is>
      </c>
      <c r="B694" s="1" t="n">
        <v>46112</v>
      </c>
      <c r="C694" s="1" t="n">
        <v>46202</v>
      </c>
      <c r="D694" t="inlineStr">
        <is>
          <t>KALMAR LÄN</t>
        </is>
      </c>
      <c r="E694" t="inlineStr">
        <is>
          <t>VIMMERBY</t>
        </is>
      </c>
      <c r="F694" t="inlineStr">
        <is>
          <t>Kommuner</t>
        </is>
      </c>
      <c r="G694" t="n">
        <v>4.4</v>
      </c>
      <c r="H694" t="n">
        <v>0</v>
      </c>
      <c r="I694" t="n">
        <v>0</v>
      </c>
      <c r="J694" t="n">
        <v>0</v>
      </c>
      <c r="K694" t="n">
        <v>0</v>
      </c>
      <c r="L694" t="n">
        <v>0</v>
      </c>
      <c r="M694" t="n">
        <v>0</v>
      </c>
      <c r="N694" t="n">
        <v>0</v>
      </c>
      <c r="O694" t="n">
        <v>0</v>
      </c>
      <c r="P694" t="n">
        <v>0</v>
      </c>
      <c r="Q694" t="n">
        <v>0</v>
      </c>
      <c r="R694" s="2" t="inlineStr"/>
    </row>
    <row r="695" ht="15" customHeight="1">
      <c r="A695" t="inlineStr">
        <is>
          <t>A 16675-2026</t>
        </is>
      </c>
      <c r="B695" s="1" t="n">
        <v>46112</v>
      </c>
      <c r="C695" s="1" t="n">
        <v>46202</v>
      </c>
      <c r="D695" t="inlineStr">
        <is>
          <t>KALMAR LÄN</t>
        </is>
      </c>
      <c r="E695" t="inlineStr">
        <is>
          <t>VIMMERBY</t>
        </is>
      </c>
      <c r="F695" t="inlineStr">
        <is>
          <t>Kommuner</t>
        </is>
      </c>
      <c r="G695" t="n">
        <v>0.8</v>
      </c>
      <c r="H695" t="n">
        <v>0</v>
      </c>
      <c r="I695" t="n">
        <v>0</v>
      </c>
      <c r="J695" t="n">
        <v>0</v>
      </c>
      <c r="K695" t="n">
        <v>0</v>
      </c>
      <c r="L695" t="n">
        <v>0</v>
      </c>
      <c r="M695" t="n">
        <v>0</v>
      </c>
      <c r="N695" t="n">
        <v>0</v>
      </c>
      <c r="O695" t="n">
        <v>0</v>
      </c>
      <c r="P695" t="n">
        <v>0</v>
      </c>
      <c r="Q695" t="n">
        <v>0</v>
      </c>
      <c r="R695" s="2" t="inlineStr"/>
    </row>
    <row r="696" ht="15" customHeight="1">
      <c r="A696" t="inlineStr">
        <is>
          <t>A 16632-2026</t>
        </is>
      </c>
      <c r="B696" s="1" t="n">
        <v>46112</v>
      </c>
      <c r="C696" s="1" t="n">
        <v>46202</v>
      </c>
      <c r="D696" t="inlineStr">
        <is>
          <t>KALMAR LÄN</t>
        </is>
      </c>
      <c r="E696" t="inlineStr">
        <is>
          <t>VIMMERBY</t>
        </is>
      </c>
      <c r="G696" t="n">
        <v>2.1</v>
      </c>
      <c r="H696" t="n">
        <v>0</v>
      </c>
      <c r="I696" t="n">
        <v>0</v>
      </c>
      <c r="J696" t="n">
        <v>0</v>
      </c>
      <c r="K696" t="n">
        <v>0</v>
      </c>
      <c r="L696" t="n">
        <v>0</v>
      </c>
      <c r="M696" t="n">
        <v>0</v>
      </c>
      <c r="N696" t="n">
        <v>0</v>
      </c>
      <c r="O696" t="n">
        <v>0</v>
      </c>
      <c r="P696" t="n">
        <v>0</v>
      </c>
      <c r="Q696" t="n">
        <v>0</v>
      </c>
      <c r="R696" s="2" t="inlineStr"/>
    </row>
    <row r="697" ht="15" customHeight="1">
      <c r="A697" t="inlineStr">
        <is>
          <t>A 16678-2026</t>
        </is>
      </c>
      <c r="B697" s="1" t="n">
        <v>46112</v>
      </c>
      <c r="C697" s="1" t="n">
        <v>46202</v>
      </c>
      <c r="D697" t="inlineStr">
        <is>
          <t>KALMAR LÄN</t>
        </is>
      </c>
      <c r="E697" t="inlineStr">
        <is>
          <t>VIMMERBY</t>
        </is>
      </c>
      <c r="F697" t="inlineStr">
        <is>
          <t>Kommuner</t>
        </is>
      </c>
      <c r="G697" t="n">
        <v>1.6</v>
      </c>
      <c r="H697" t="n">
        <v>0</v>
      </c>
      <c r="I697" t="n">
        <v>0</v>
      </c>
      <c r="J697" t="n">
        <v>0</v>
      </c>
      <c r="K697" t="n">
        <v>0</v>
      </c>
      <c r="L697" t="n">
        <v>0</v>
      </c>
      <c r="M697" t="n">
        <v>0</v>
      </c>
      <c r="N697" t="n">
        <v>0</v>
      </c>
      <c r="O697" t="n">
        <v>0</v>
      </c>
      <c r="P697" t="n">
        <v>0</v>
      </c>
      <c r="Q697" t="n">
        <v>0</v>
      </c>
      <c r="R697" s="2" t="inlineStr"/>
    </row>
    <row r="698" ht="15" customHeight="1">
      <c r="A698" t="inlineStr">
        <is>
          <t>A 16799-2026</t>
        </is>
      </c>
      <c r="B698" s="1" t="n">
        <v>46113</v>
      </c>
      <c r="C698" s="1" t="n">
        <v>46202</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16823-2026</t>
        </is>
      </c>
      <c r="B699" s="1" t="n">
        <v>46113</v>
      </c>
      <c r="C699" s="1" t="n">
        <v>46202</v>
      </c>
      <c r="D699" t="inlineStr">
        <is>
          <t>KALMAR LÄN</t>
        </is>
      </c>
      <c r="E699" t="inlineStr">
        <is>
          <t>VIMMERBY</t>
        </is>
      </c>
      <c r="G699" t="n">
        <v>0.8</v>
      </c>
      <c r="H699" t="n">
        <v>0</v>
      </c>
      <c r="I699" t="n">
        <v>0</v>
      </c>
      <c r="J699" t="n">
        <v>0</v>
      </c>
      <c r="K699" t="n">
        <v>0</v>
      </c>
      <c r="L699" t="n">
        <v>0</v>
      </c>
      <c r="M699" t="n">
        <v>0</v>
      </c>
      <c r="N699" t="n">
        <v>0</v>
      </c>
      <c r="O699" t="n">
        <v>0</v>
      </c>
      <c r="P699" t="n">
        <v>0</v>
      </c>
      <c r="Q699" t="n">
        <v>0</v>
      </c>
      <c r="R699" s="2" t="inlineStr"/>
    </row>
    <row r="700" ht="15" customHeight="1">
      <c r="A700" t="inlineStr">
        <is>
          <t>A 16870-2026</t>
        </is>
      </c>
      <c r="B700" s="1" t="n">
        <v>46113</v>
      </c>
      <c r="C700" s="1" t="n">
        <v>46202</v>
      </c>
      <c r="D700" t="inlineStr">
        <is>
          <t>KALMAR LÄN</t>
        </is>
      </c>
      <c r="E700" t="inlineStr">
        <is>
          <t>VIMMERBY</t>
        </is>
      </c>
      <c r="G700" t="n">
        <v>2</v>
      </c>
      <c r="H700" t="n">
        <v>0</v>
      </c>
      <c r="I700" t="n">
        <v>0</v>
      </c>
      <c r="J700" t="n">
        <v>0</v>
      </c>
      <c r="K700" t="n">
        <v>0</v>
      </c>
      <c r="L700" t="n">
        <v>0</v>
      </c>
      <c r="M700" t="n">
        <v>0</v>
      </c>
      <c r="N700" t="n">
        <v>0</v>
      </c>
      <c r="O700" t="n">
        <v>0</v>
      </c>
      <c r="P700" t="n">
        <v>0</v>
      </c>
      <c r="Q700" t="n">
        <v>0</v>
      </c>
      <c r="R700" s="2" t="inlineStr"/>
    </row>
    <row r="701" ht="15" customHeight="1">
      <c r="A701" t="inlineStr">
        <is>
          <t>A 16801-2026</t>
        </is>
      </c>
      <c r="B701" s="1" t="n">
        <v>46113</v>
      </c>
      <c r="C701" s="1" t="n">
        <v>46202</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16795-2026</t>
        </is>
      </c>
      <c r="B702" s="1" t="n">
        <v>46113</v>
      </c>
      <c r="C702" s="1" t="n">
        <v>46202</v>
      </c>
      <c r="D702" t="inlineStr">
        <is>
          <t>KALMAR LÄN</t>
        </is>
      </c>
      <c r="E702" t="inlineStr">
        <is>
          <t>VIMMERBY</t>
        </is>
      </c>
      <c r="G702" t="n">
        <v>2.1</v>
      </c>
      <c r="H702" t="n">
        <v>0</v>
      </c>
      <c r="I702" t="n">
        <v>0</v>
      </c>
      <c r="J702" t="n">
        <v>0</v>
      </c>
      <c r="K702" t="n">
        <v>0</v>
      </c>
      <c r="L702" t="n">
        <v>0</v>
      </c>
      <c r="M702" t="n">
        <v>0</v>
      </c>
      <c r="N702" t="n">
        <v>0</v>
      </c>
      <c r="O702" t="n">
        <v>0</v>
      </c>
      <c r="P702" t="n">
        <v>0</v>
      </c>
      <c r="Q702" t="n">
        <v>0</v>
      </c>
      <c r="R702" s="2" t="inlineStr"/>
    </row>
    <row r="703" ht="15" customHeight="1">
      <c r="A703" t="inlineStr">
        <is>
          <t>A 17713-2026</t>
        </is>
      </c>
      <c r="B703" s="1" t="n">
        <v>46121</v>
      </c>
      <c r="C703" s="1" t="n">
        <v>46202</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18122-2026</t>
        </is>
      </c>
      <c r="B704" s="1" t="n">
        <v>46125</v>
      </c>
      <c r="C704" s="1" t="n">
        <v>46202</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18633-2026</t>
        </is>
      </c>
      <c r="B705" s="1" t="n">
        <v>46128</v>
      </c>
      <c r="C705" s="1" t="n">
        <v>46202</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24932-2026</t>
        </is>
      </c>
      <c r="B706" s="1" t="n">
        <v>46174</v>
      </c>
      <c r="C706" s="1" t="n">
        <v>46202</v>
      </c>
      <c r="D706" t="inlineStr">
        <is>
          <t>KALMAR LÄN</t>
        </is>
      </c>
      <c r="E706" t="inlineStr">
        <is>
          <t>VIMMERBY</t>
        </is>
      </c>
      <c r="G706" t="n">
        <v>2.3</v>
      </c>
      <c r="H706" t="n">
        <v>0</v>
      </c>
      <c r="I706" t="n">
        <v>0</v>
      </c>
      <c r="J706" t="n">
        <v>0</v>
      </c>
      <c r="K706" t="n">
        <v>0</v>
      </c>
      <c r="L706" t="n">
        <v>0</v>
      </c>
      <c r="M706" t="n">
        <v>0</v>
      </c>
      <c r="N706" t="n">
        <v>0</v>
      </c>
      <c r="O706" t="n">
        <v>0</v>
      </c>
      <c r="P706" t="n">
        <v>0</v>
      </c>
      <c r="Q706" t="n">
        <v>0</v>
      </c>
      <c r="R706" s="2" t="inlineStr"/>
    </row>
    <row r="707" ht="15" customHeight="1">
      <c r="A707" t="inlineStr">
        <is>
          <t>A 25106-2026</t>
        </is>
      </c>
      <c r="B707" s="1" t="n">
        <v>46175</v>
      </c>
      <c r="C707" s="1" t="n">
        <v>46202</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25105-2026</t>
        </is>
      </c>
      <c r="B708" s="1" t="n">
        <v>46175</v>
      </c>
      <c r="C708" s="1" t="n">
        <v>46202</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25158-2026</t>
        </is>
      </c>
      <c r="B709" s="1" t="n">
        <v>46175</v>
      </c>
      <c r="C709" s="1" t="n">
        <v>46202</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25194-2026</t>
        </is>
      </c>
      <c r="B710" s="1" t="n">
        <v>46175</v>
      </c>
      <c r="C710" s="1" t="n">
        <v>46202</v>
      </c>
      <c r="D710" t="inlineStr">
        <is>
          <t>KALMAR LÄN</t>
        </is>
      </c>
      <c r="E710" t="inlineStr">
        <is>
          <t>VIMMERBY</t>
        </is>
      </c>
      <c r="G710" t="n">
        <v>3.4</v>
      </c>
      <c r="H710" t="n">
        <v>0</v>
      </c>
      <c r="I710" t="n">
        <v>0</v>
      </c>
      <c r="J710" t="n">
        <v>0</v>
      </c>
      <c r="K710" t="n">
        <v>0</v>
      </c>
      <c r="L710" t="n">
        <v>0</v>
      </c>
      <c r="M710" t="n">
        <v>0</v>
      </c>
      <c r="N710" t="n">
        <v>0</v>
      </c>
      <c r="O710" t="n">
        <v>0</v>
      </c>
      <c r="P710" t="n">
        <v>0</v>
      </c>
      <c r="Q710" t="n">
        <v>0</v>
      </c>
      <c r="R710" s="2" t="inlineStr"/>
    </row>
    <row r="711" ht="15" customHeight="1">
      <c r="A711" t="inlineStr">
        <is>
          <t>A 24930-2026</t>
        </is>
      </c>
      <c r="B711" s="1" t="n">
        <v>46174</v>
      </c>
      <c r="C711" s="1" t="n">
        <v>46202</v>
      </c>
      <c r="D711" t="inlineStr">
        <is>
          <t>KALMAR LÄN</t>
        </is>
      </c>
      <c r="E711" t="inlineStr">
        <is>
          <t>VIMMERBY</t>
        </is>
      </c>
      <c r="G711" t="n">
        <v>0.8</v>
      </c>
      <c r="H711" t="n">
        <v>0</v>
      </c>
      <c r="I711" t="n">
        <v>0</v>
      </c>
      <c r="J711" t="n">
        <v>0</v>
      </c>
      <c r="K711" t="n">
        <v>0</v>
      </c>
      <c r="L711" t="n">
        <v>0</v>
      </c>
      <c r="M711" t="n">
        <v>0</v>
      </c>
      <c r="N711" t="n">
        <v>0</v>
      </c>
      <c r="O711" t="n">
        <v>0</v>
      </c>
      <c r="P711" t="n">
        <v>0</v>
      </c>
      <c r="Q711" t="n">
        <v>0</v>
      </c>
      <c r="R711" s="2" t="inlineStr"/>
    </row>
    <row r="712" ht="15" customHeight="1">
      <c r="A712" t="inlineStr">
        <is>
          <t>A 60215-2022</t>
        </is>
      </c>
      <c r="B712" s="1" t="n">
        <v>44910</v>
      </c>
      <c r="C712" s="1" t="n">
        <v>46202</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25395-2026</t>
        </is>
      </c>
      <c r="B713" s="1" t="n">
        <v>46176</v>
      </c>
      <c r="C713" s="1" t="n">
        <v>46202</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25830-2025</t>
        </is>
      </c>
      <c r="B714" s="1" t="n">
        <v>45804</v>
      </c>
      <c r="C714" s="1" t="n">
        <v>46202</v>
      </c>
      <c r="D714" t="inlineStr">
        <is>
          <t>KALMAR LÄN</t>
        </is>
      </c>
      <c r="E714" t="inlineStr">
        <is>
          <t>VIMMERBY</t>
        </is>
      </c>
      <c r="G714" t="n">
        <v>4.9</v>
      </c>
      <c r="H714" t="n">
        <v>0</v>
      </c>
      <c r="I714" t="n">
        <v>0</v>
      </c>
      <c r="J714" t="n">
        <v>0</v>
      </c>
      <c r="K714" t="n">
        <v>0</v>
      </c>
      <c r="L714" t="n">
        <v>0</v>
      </c>
      <c r="M714" t="n">
        <v>0</v>
      </c>
      <c r="N714" t="n">
        <v>0</v>
      </c>
      <c r="O714" t="n">
        <v>0</v>
      </c>
      <c r="P714" t="n">
        <v>0</v>
      </c>
      <c r="Q714" t="n">
        <v>0</v>
      </c>
      <c r="R714" s="2" t="inlineStr"/>
    </row>
    <row r="715" ht="15" customHeight="1">
      <c r="A715" t="inlineStr">
        <is>
          <t>A 25345-2026</t>
        </is>
      </c>
      <c r="B715" s="1" t="n">
        <v>46176</v>
      </c>
      <c r="C715" s="1" t="n">
        <v>46202</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25284-2026</t>
        </is>
      </c>
      <c r="B716" s="1" t="n">
        <v>46176</v>
      </c>
      <c r="C716" s="1" t="n">
        <v>46202</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59579-2025</t>
        </is>
      </c>
      <c r="B717" s="1" t="n">
        <v>45992</v>
      </c>
      <c r="C717" s="1" t="n">
        <v>46202</v>
      </c>
      <c r="D717" t="inlineStr">
        <is>
          <t>KALMAR LÄN</t>
        </is>
      </c>
      <c r="E717" t="inlineStr">
        <is>
          <t>VIMMERBY</t>
        </is>
      </c>
      <c r="G717" t="n">
        <v>1.3</v>
      </c>
      <c r="H717" t="n">
        <v>0</v>
      </c>
      <c r="I717" t="n">
        <v>0</v>
      </c>
      <c r="J717" t="n">
        <v>0</v>
      </c>
      <c r="K717" t="n">
        <v>0</v>
      </c>
      <c r="L717" t="n">
        <v>0</v>
      </c>
      <c r="M717" t="n">
        <v>0</v>
      </c>
      <c r="N717" t="n">
        <v>0</v>
      </c>
      <c r="O717" t="n">
        <v>0</v>
      </c>
      <c r="P717" t="n">
        <v>0</v>
      </c>
      <c r="Q717" t="n">
        <v>0</v>
      </c>
      <c r="R717" s="2" t="inlineStr"/>
    </row>
    <row r="718" ht="15" customHeight="1">
      <c r="A718" t="inlineStr">
        <is>
          <t>A 52294-2023</t>
        </is>
      </c>
      <c r="B718" s="1" t="n">
        <v>45224</v>
      </c>
      <c r="C718" s="1" t="n">
        <v>46202</v>
      </c>
      <c r="D718" t="inlineStr">
        <is>
          <t>KALMAR LÄN</t>
        </is>
      </c>
      <c r="E718" t="inlineStr">
        <is>
          <t>VIMMERBY</t>
        </is>
      </c>
      <c r="F718" t="inlineStr">
        <is>
          <t>Sveaskog</t>
        </is>
      </c>
      <c r="G718" t="n">
        <v>2.5</v>
      </c>
      <c r="H718" t="n">
        <v>0</v>
      </c>
      <c r="I718" t="n">
        <v>0</v>
      </c>
      <c r="J718" t="n">
        <v>0</v>
      </c>
      <c r="K718" t="n">
        <v>0</v>
      </c>
      <c r="L718" t="n">
        <v>0</v>
      </c>
      <c r="M718" t="n">
        <v>0</v>
      </c>
      <c r="N718" t="n">
        <v>0</v>
      </c>
      <c r="O718" t="n">
        <v>0</v>
      </c>
      <c r="P718" t="n">
        <v>0</v>
      </c>
      <c r="Q718" t="n">
        <v>0</v>
      </c>
      <c r="R718" s="2" t="inlineStr"/>
    </row>
    <row r="719" ht="15" customHeight="1">
      <c r="A719" t="inlineStr">
        <is>
          <t>A 36273-2025</t>
        </is>
      </c>
      <c r="B719" s="1" t="n">
        <v>45867</v>
      </c>
      <c r="C719" s="1" t="n">
        <v>46202</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36282-2025</t>
        </is>
      </c>
      <c r="B720" s="1" t="n">
        <v>45867</v>
      </c>
      <c r="C720" s="1" t="n">
        <v>46202</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29783-2024</t>
        </is>
      </c>
      <c r="B721" s="1" t="n">
        <v>45485</v>
      </c>
      <c r="C721" s="1" t="n">
        <v>46202</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52465-2025</t>
        </is>
      </c>
      <c r="B722" s="1" t="n">
        <v>45954</v>
      </c>
      <c r="C722" s="1" t="n">
        <v>46202</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37866-2025</t>
        </is>
      </c>
      <c r="B723" s="1" t="n">
        <v>45881</v>
      </c>
      <c r="C723" s="1" t="n">
        <v>46202</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20-2025</t>
        </is>
      </c>
      <c r="B724" s="1" t="n">
        <v>45658</v>
      </c>
      <c r="C724" s="1" t="n">
        <v>46202</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20018-2026</t>
        </is>
      </c>
      <c r="B725" s="1" t="n">
        <v>46136</v>
      </c>
      <c r="C725" s="1" t="n">
        <v>46202</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29727-2025</t>
        </is>
      </c>
      <c r="B726" s="1" t="n">
        <v>45825</v>
      </c>
      <c r="C726" s="1" t="n">
        <v>46202</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26029-2026</t>
        </is>
      </c>
      <c r="B727" s="1" t="n">
        <v>46181</v>
      </c>
      <c r="C727" s="1" t="n">
        <v>46202</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16015-2025</t>
        </is>
      </c>
      <c r="B728" s="1" t="n">
        <v>45749</v>
      </c>
      <c r="C728" s="1" t="n">
        <v>46202</v>
      </c>
      <c r="D728" t="inlineStr">
        <is>
          <t>KALMAR LÄN</t>
        </is>
      </c>
      <c r="E728" t="inlineStr">
        <is>
          <t>VIMMERBY</t>
        </is>
      </c>
      <c r="F728" t="inlineStr">
        <is>
          <t>Kyrkan</t>
        </is>
      </c>
      <c r="G728" t="n">
        <v>2.7</v>
      </c>
      <c r="H728" t="n">
        <v>0</v>
      </c>
      <c r="I728" t="n">
        <v>0</v>
      </c>
      <c r="J728" t="n">
        <v>0</v>
      </c>
      <c r="K728" t="n">
        <v>0</v>
      </c>
      <c r="L728" t="n">
        <v>0</v>
      </c>
      <c r="M728" t="n">
        <v>0</v>
      </c>
      <c r="N728" t="n">
        <v>0</v>
      </c>
      <c r="O728" t="n">
        <v>0</v>
      </c>
      <c r="P728" t="n">
        <v>0</v>
      </c>
      <c r="Q728" t="n">
        <v>0</v>
      </c>
      <c r="R728" s="2" t="inlineStr"/>
    </row>
    <row r="729" ht="15" customHeight="1">
      <c r="A729" t="inlineStr">
        <is>
          <t>A 37088-2025</t>
        </is>
      </c>
      <c r="B729" s="1" t="n">
        <v>45875</v>
      </c>
      <c r="C729" s="1" t="n">
        <v>46202</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37102-2025</t>
        </is>
      </c>
      <c r="B730" s="1" t="n">
        <v>45875</v>
      </c>
      <c r="C730" s="1" t="n">
        <v>46202</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20017-2026</t>
        </is>
      </c>
      <c r="B731" s="1" t="n">
        <v>46136</v>
      </c>
      <c r="C731" s="1" t="n">
        <v>46202</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28282-2025</t>
        </is>
      </c>
      <c r="B732" s="1" t="n">
        <v>45818</v>
      </c>
      <c r="C732" s="1" t="n">
        <v>46202</v>
      </c>
      <c r="D732" t="inlineStr">
        <is>
          <t>KALMAR LÄN</t>
        </is>
      </c>
      <c r="E732" t="inlineStr">
        <is>
          <t>VIMMERBY</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45854-2025</t>
        </is>
      </c>
      <c r="B733" s="1" t="n">
        <v>45923</v>
      </c>
      <c r="C733" s="1" t="n">
        <v>46202</v>
      </c>
      <c r="D733" t="inlineStr">
        <is>
          <t>KALMAR LÄN</t>
        </is>
      </c>
      <c r="E733" t="inlineStr">
        <is>
          <t>VIMMERBY</t>
        </is>
      </c>
      <c r="G733" t="n">
        <v>2.2</v>
      </c>
      <c r="H733" t="n">
        <v>0</v>
      </c>
      <c r="I733" t="n">
        <v>0</v>
      </c>
      <c r="J733" t="n">
        <v>0</v>
      </c>
      <c r="K733" t="n">
        <v>0</v>
      </c>
      <c r="L733" t="n">
        <v>0</v>
      </c>
      <c r="M733" t="n">
        <v>0</v>
      </c>
      <c r="N733" t="n">
        <v>0</v>
      </c>
      <c r="O733" t="n">
        <v>0</v>
      </c>
      <c r="P733" t="n">
        <v>0</v>
      </c>
      <c r="Q733" t="n">
        <v>0</v>
      </c>
      <c r="R733" s="2" t="inlineStr"/>
    </row>
    <row r="734" ht="15" customHeight="1">
      <c r="A734" t="inlineStr">
        <is>
          <t>A 46118-2025</t>
        </is>
      </c>
      <c r="B734" s="1" t="n">
        <v>45924</v>
      </c>
      <c r="C734" s="1" t="n">
        <v>46202</v>
      </c>
      <c r="D734" t="inlineStr">
        <is>
          <t>KALMAR LÄN</t>
        </is>
      </c>
      <c r="E734" t="inlineStr">
        <is>
          <t>VIMMERBY</t>
        </is>
      </c>
      <c r="G734" t="n">
        <v>2.9</v>
      </c>
      <c r="H734" t="n">
        <v>0</v>
      </c>
      <c r="I734" t="n">
        <v>0</v>
      </c>
      <c r="J734" t="n">
        <v>0</v>
      </c>
      <c r="K734" t="n">
        <v>0</v>
      </c>
      <c r="L734" t="n">
        <v>0</v>
      </c>
      <c r="M734" t="n">
        <v>0</v>
      </c>
      <c r="N734" t="n">
        <v>0</v>
      </c>
      <c r="O734" t="n">
        <v>0</v>
      </c>
      <c r="P734" t="n">
        <v>0</v>
      </c>
      <c r="Q734" t="n">
        <v>0</v>
      </c>
      <c r="R734" s="2" t="inlineStr"/>
    </row>
    <row r="735" ht="15" customHeight="1">
      <c r="A735" t="inlineStr">
        <is>
          <t>A 45114-2025</t>
        </is>
      </c>
      <c r="B735" s="1" t="n">
        <v>45919</v>
      </c>
      <c r="C735" s="1" t="n">
        <v>46202</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26254-2025</t>
        </is>
      </c>
      <c r="B736" s="1" t="n">
        <v>45805</v>
      </c>
      <c r="C736" s="1" t="n">
        <v>46202</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31876-2025</t>
        </is>
      </c>
      <c r="B737" s="1" t="n">
        <v>45834</v>
      </c>
      <c r="C737" s="1" t="n">
        <v>46202</v>
      </c>
      <c r="D737" t="inlineStr">
        <is>
          <t>KALMAR LÄN</t>
        </is>
      </c>
      <c r="E737" t="inlineStr">
        <is>
          <t>VIMMERBY</t>
        </is>
      </c>
      <c r="F737" t="inlineStr">
        <is>
          <t>Sveaskog</t>
        </is>
      </c>
      <c r="G737" t="n">
        <v>3.3</v>
      </c>
      <c r="H737" t="n">
        <v>0</v>
      </c>
      <c r="I737" t="n">
        <v>0</v>
      </c>
      <c r="J737" t="n">
        <v>0</v>
      </c>
      <c r="K737" t="n">
        <v>0</v>
      </c>
      <c r="L737" t="n">
        <v>0</v>
      </c>
      <c r="M737" t="n">
        <v>0</v>
      </c>
      <c r="N737" t="n">
        <v>0</v>
      </c>
      <c r="O737" t="n">
        <v>0</v>
      </c>
      <c r="P737" t="n">
        <v>0</v>
      </c>
      <c r="Q737" t="n">
        <v>0</v>
      </c>
      <c r="R737" s="2" t="inlineStr"/>
    </row>
    <row r="738" ht="15" customHeight="1">
      <c r="A738" t="inlineStr">
        <is>
          <t>A 58159-2024</t>
        </is>
      </c>
      <c r="B738" s="1" t="n">
        <v>45632</v>
      </c>
      <c r="C738" s="1" t="n">
        <v>46202</v>
      </c>
      <c r="D738" t="inlineStr">
        <is>
          <t>KALMAR LÄN</t>
        </is>
      </c>
      <c r="E738" t="inlineStr">
        <is>
          <t>VIMMERBY</t>
        </is>
      </c>
      <c r="G738" t="n">
        <v>7.5</v>
      </c>
      <c r="H738" t="n">
        <v>0</v>
      </c>
      <c r="I738" t="n">
        <v>0</v>
      </c>
      <c r="J738" t="n">
        <v>0</v>
      </c>
      <c r="K738" t="n">
        <v>0</v>
      </c>
      <c r="L738" t="n">
        <v>0</v>
      </c>
      <c r="M738" t="n">
        <v>0</v>
      </c>
      <c r="N738" t="n">
        <v>0</v>
      </c>
      <c r="O738" t="n">
        <v>0</v>
      </c>
      <c r="P738" t="n">
        <v>0</v>
      </c>
      <c r="Q738" t="n">
        <v>0</v>
      </c>
      <c r="R738" s="2" t="inlineStr"/>
    </row>
    <row r="739" ht="15" customHeight="1">
      <c r="A739" t="inlineStr">
        <is>
          <t>A 6028-2023</t>
        </is>
      </c>
      <c r="B739" s="1" t="n">
        <v>44964</v>
      </c>
      <c r="C739" s="1" t="n">
        <v>46202</v>
      </c>
      <c r="D739" t="inlineStr">
        <is>
          <t>KALMAR LÄN</t>
        </is>
      </c>
      <c r="E739" t="inlineStr">
        <is>
          <t>VIMMERBY</t>
        </is>
      </c>
      <c r="G739" t="n">
        <v>2.5</v>
      </c>
      <c r="H739" t="n">
        <v>0</v>
      </c>
      <c r="I739" t="n">
        <v>0</v>
      </c>
      <c r="J739" t="n">
        <v>0</v>
      </c>
      <c r="K739" t="n">
        <v>0</v>
      </c>
      <c r="L739" t="n">
        <v>0</v>
      </c>
      <c r="M739" t="n">
        <v>0</v>
      </c>
      <c r="N739" t="n">
        <v>0</v>
      </c>
      <c r="O739" t="n">
        <v>0</v>
      </c>
      <c r="P739" t="n">
        <v>0</v>
      </c>
      <c r="Q739" t="n">
        <v>0</v>
      </c>
      <c r="R739" s="2" t="inlineStr"/>
    </row>
    <row r="740" ht="15" customHeight="1">
      <c r="A740" t="inlineStr">
        <is>
          <t>A 42850-2022</t>
        </is>
      </c>
      <c r="B740" s="1" t="n">
        <v>44832</v>
      </c>
      <c r="C740" s="1" t="n">
        <v>46202</v>
      </c>
      <c r="D740" t="inlineStr">
        <is>
          <t>KALMAR LÄN</t>
        </is>
      </c>
      <c r="E740" t="inlineStr">
        <is>
          <t>VIMMERBY</t>
        </is>
      </c>
      <c r="G740" t="n">
        <v>5.9</v>
      </c>
      <c r="H740" t="n">
        <v>0</v>
      </c>
      <c r="I740" t="n">
        <v>0</v>
      </c>
      <c r="J740" t="n">
        <v>0</v>
      </c>
      <c r="K740" t="n">
        <v>0</v>
      </c>
      <c r="L740" t="n">
        <v>0</v>
      </c>
      <c r="M740" t="n">
        <v>0</v>
      </c>
      <c r="N740" t="n">
        <v>0</v>
      </c>
      <c r="O740" t="n">
        <v>0</v>
      </c>
      <c r="P740" t="n">
        <v>0</v>
      </c>
      <c r="Q740" t="n">
        <v>0</v>
      </c>
      <c r="R740" s="2" t="inlineStr"/>
    </row>
    <row r="741" ht="15" customHeight="1">
      <c r="A741" t="inlineStr">
        <is>
          <t>A 23394-2025</t>
        </is>
      </c>
      <c r="B741" s="1" t="n">
        <v>45791</v>
      </c>
      <c r="C741" s="1" t="n">
        <v>46202</v>
      </c>
      <c r="D741" t="inlineStr">
        <is>
          <t>KALMAR LÄN</t>
        </is>
      </c>
      <c r="E741" t="inlineStr">
        <is>
          <t>VIMMERBY</t>
        </is>
      </c>
      <c r="G741" t="n">
        <v>3.1</v>
      </c>
      <c r="H741" t="n">
        <v>0</v>
      </c>
      <c r="I741" t="n">
        <v>0</v>
      </c>
      <c r="J741" t="n">
        <v>0</v>
      </c>
      <c r="K741" t="n">
        <v>0</v>
      </c>
      <c r="L741" t="n">
        <v>0</v>
      </c>
      <c r="M741" t="n">
        <v>0</v>
      </c>
      <c r="N741" t="n">
        <v>0</v>
      </c>
      <c r="O741" t="n">
        <v>0</v>
      </c>
      <c r="P741" t="n">
        <v>0</v>
      </c>
      <c r="Q741" t="n">
        <v>0</v>
      </c>
      <c r="R741" s="2" t="inlineStr"/>
    </row>
    <row r="742" ht="15" customHeight="1">
      <c r="A742" t="inlineStr">
        <is>
          <t>A 26462-2026</t>
        </is>
      </c>
      <c r="B742" s="1" t="n">
        <v>46183</v>
      </c>
      <c r="C742" s="1" t="n">
        <v>46202</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19111-2025</t>
        </is>
      </c>
      <c r="B743" s="1" t="n">
        <v>45768</v>
      </c>
      <c r="C743" s="1" t="n">
        <v>46202</v>
      </c>
      <c r="D743" t="inlineStr">
        <is>
          <t>KALMAR LÄN</t>
        </is>
      </c>
      <c r="E743" t="inlineStr">
        <is>
          <t>VIMMERBY</t>
        </is>
      </c>
      <c r="G743" t="n">
        <v>6.2</v>
      </c>
      <c r="H743" t="n">
        <v>0</v>
      </c>
      <c r="I743" t="n">
        <v>0</v>
      </c>
      <c r="J743" t="n">
        <v>0</v>
      </c>
      <c r="K743" t="n">
        <v>0</v>
      </c>
      <c r="L743" t="n">
        <v>0</v>
      </c>
      <c r="M743" t="n">
        <v>0</v>
      </c>
      <c r="N743" t="n">
        <v>0</v>
      </c>
      <c r="O743" t="n">
        <v>0</v>
      </c>
      <c r="P743" t="n">
        <v>0</v>
      </c>
      <c r="Q743" t="n">
        <v>0</v>
      </c>
      <c r="R743" s="2" t="inlineStr"/>
    </row>
    <row r="744" ht="15" customHeight="1">
      <c r="A744" t="inlineStr">
        <is>
          <t>A 26768-2026</t>
        </is>
      </c>
      <c r="B744" s="1" t="n">
        <v>46184</v>
      </c>
      <c r="C744" s="1" t="n">
        <v>46202</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26722-2026</t>
        </is>
      </c>
      <c r="B745" s="1" t="n">
        <v>46184</v>
      </c>
      <c r="C745" s="1" t="n">
        <v>46202</v>
      </c>
      <c r="D745" t="inlineStr">
        <is>
          <t>KALMAR LÄN</t>
        </is>
      </c>
      <c r="E745" t="inlineStr">
        <is>
          <t>VIMMERBY</t>
        </is>
      </c>
      <c r="G745" t="n">
        <v>1.8</v>
      </c>
      <c r="H745" t="n">
        <v>0</v>
      </c>
      <c r="I745" t="n">
        <v>0</v>
      </c>
      <c r="J745" t="n">
        <v>0</v>
      </c>
      <c r="K745" t="n">
        <v>0</v>
      </c>
      <c r="L745" t="n">
        <v>0</v>
      </c>
      <c r="M745" t="n">
        <v>0</v>
      </c>
      <c r="N745" t="n">
        <v>0</v>
      </c>
      <c r="O745" t="n">
        <v>0</v>
      </c>
      <c r="P745" t="n">
        <v>0</v>
      </c>
      <c r="Q745" t="n">
        <v>0</v>
      </c>
      <c r="R745" s="2" t="inlineStr"/>
    </row>
    <row r="746" ht="15" customHeight="1">
      <c r="A746" t="inlineStr">
        <is>
          <t>A 26704-2026</t>
        </is>
      </c>
      <c r="B746" s="1" t="n">
        <v>46184</v>
      </c>
      <c r="C746" s="1" t="n">
        <v>46202</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26762-2026</t>
        </is>
      </c>
      <c r="B747" s="1" t="n">
        <v>46184</v>
      </c>
      <c r="C747" s="1" t="n">
        <v>46202</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26734-2026</t>
        </is>
      </c>
      <c r="B748" s="1" t="n">
        <v>46184</v>
      </c>
      <c r="C748" s="1" t="n">
        <v>46202</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27074-2026</t>
        </is>
      </c>
      <c r="B749" s="1" t="n">
        <v>46186</v>
      </c>
      <c r="C749" s="1" t="n">
        <v>46202</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21882-2026</t>
        </is>
      </c>
      <c r="B750" s="1" t="n">
        <v>46150</v>
      </c>
      <c r="C750" s="1" t="n">
        <v>46202</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28296-2026</t>
        </is>
      </c>
      <c r="B751" s="1" t="n">
        <v>46196</v>
      </c>
      <c r="C751" s="1" t="n">
        <v>46202</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28530-2026</t>
        </is>
      </c>
      <c r="B752" s="1" t="n">
        <v>46197</v>
      </c>
      <c r="C752" s="1" t="n">
        <v>46202</v>
      </c>
      <c r="D752" t="inlineStr">
        <is>
          <t>KALMAR LÄN</t>
        </is>
      </c>
      <c r="E752" t="inlineStr">
        <is>
          <t>VIMMERBY</t>
        </is>
      </c>
      <c r="G752" t="n">
        <v>4.6</v>
      </c>
      <c r="H752" t="n">
        <v>0</v>
      </c>
      <c r="I752" t="n">
        <v>0</v>
      </c>
      <c r="J752" t="n">
        <v>0</v>
      </c>
      <c r="K752" t="n">
        <v>0</v>
      </c>
      <c r="L752" t="n">
        <v>0</v>
      </c>
      <c r="M752" t="n">
        <v>0</v>
      </c>
      <c r="N752" t="n">
        <v>0</v>
      </c>
      <c r="O752" t="n">
        <v>0</v>
      </c>
      <c r="P752" t="n">
        <v>0</v>
      </c>
      <c r="Q752" t="n">
        <v>0</v>
      </c>
      <c r="R752" s="2" t="inlineStr"/>
    </row>
    <row r="753" ht="15" customHeight="1">
      <c r="A753" t="inlineStr">
        <is>
          <t>A 13667-2026</t>
        </is>
      </c>
      <c r="B753" s="1" t="n">
        <v>46097</v>
      </c>
      <c r="C753" s="1" t="n">
        <v>46202</v>
      </c>
      <c r="D753" t="inlineStr">
        <is>
          <t>KALMAR LÄN</t>
        </is>
      </c>
      <c r="E753" t="inlineStr">
        <is>
          <t>VIMMERBY</t>
        </is>
      </c>
      <c r="G753" t="n">
        <v>6.8</v>
      </c>
      <c r="H753" t="n">
        <v>0</v>
      </c>
      <c r="I753" t="n">
        <v>0</v>
      </c>
      <c r="J753" t="n">
        <v>0</v>
      </c>
      <c r="K753" t="n">
        <v>0</v>
      </c>
      <c r="L753" t="n">
        <v>0</v>
      </c>
      <c r="M753" t="n">
        <v>0</v>
      </c>
      <c r="N753" t="n">
        <v>0</v>
      </c>
      <c r="O753" t="n">
        <v>0</v>
      </c>
      <c r="P753" t="n">
        <v>0</v>
      </c>
      <c r="Q753" t="n">
        <v>0</v>
      </c>
      <c r="R753" s="2" t="inlineStr"/>
    </row>
    <row r="754" ht="15" customHeight="1">
      <c r="A754" t="inlineStr">
        <is>
          <t>A 28229-2026</t>
        </is>
      </c>
      <c r="B754" s="1" t="n">
        <v>46196</v>
      </c>
      <c r="C754" s="1" t="n">
        <v>46202</v>
      </c>
      <c r="D754" t="inlineStr">
        <is>
          <t>KALMAR LÄN</t>
        </is>
      </c>
      <c r="E754" t="inlineStr">
        <is>
          <t>VIMMERBY</t>
        </is>
      </c>
      <c r="G754" t="n">
        <v>1.8</v>
      </c>
      <c r="H754" t="n">
        <v>0</v>
      </c>
      <c r="I754" t="n">
        <v>0</v>
      </c>
      <c r="J754" t="n">
        <v>0</v>
      </c>
      <c r="K754" t="n">
        <v>0</v>
      </c>
      <c r="L754" t="n">
        <v>0</v>
      </c>
      <c r="M754" t="n">
        <v>0</v>
      </c>
      <c r="N754" t="n">
        <v>0</v>
      </c>
      <c r="O754" t="n">
        <v>0</v>
      </c>
      <c r="P754" t="n">
        <v>0</v>
      </c>
      <c r="Q754" t="n">
        <v>0</v>
      </c>
      <c r="R754" s="2" t="inlineStr"/>
    </row>
    <row r="755" ht="15" customHeight="1">
      <c r="A755" t="inlineStr">
        <is>
          <t>A 28784-2026</t>
        </is>
      </c>
      <c r="B755" s="1" t="n">
        <v>46198</v>
      </c>
      <c r="C755" s="1" t="n">
        <v>46202</v>
      </c>
      <c r="D755" t="inlineStr">
        <is>
          <t>KALMAR LÄN</t>
        </is>
      </c>
      <c r="E755" t="inlineStr">
        <is>
          <t>VIMMERBY</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15054-2026</t>
        </is>
      </c>
      <c r="B756" s="1" t="n">
        <v>46104</v>
      </c>
      <c r="C756" s="1" t="n">
        <v>46202</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17084-2025</t>
        </is>
      </c>
      <c r="B757" s="1" t="n">
        <v>45755</v>
      </c>
      <c r="C757" s="1" t="n">
        <v>46202</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28510-2026</t>
        </is>
      </c>
      <c r="B758" s="1" t="n">
        <v>46197</v>
      </c>
      <c r="C758" s="1" t="n">
        <v>46202</v>
      </c>
      <c r="D758" t="inlineStr">
        <is>
          <t>KALMAR LÄN</t>
        </is>
      </c>
      <c r="E758" t="inlineStr">
        <is>
          <t>VIMMERBY</t>
        </is>
      </c>
      <c r="G758" t="n">
        <v>3.3</v>
      </c>
      <c r="H758" t="n">
        <v>0</v>
      </c>
      <c r="I758" t="n">
        <v>0</v>
      </c>
      <c r="J758" t="n">
        <v>0</v>
      </c>
      <c r="K758" t="n">
        <v>0</v>
      </c>
      <c r="L758" t="n">
        <v>0</v>
      </c>
      <c r="M758" t="n">
        <v>0</v>
      </c>
      <c r="N758" t="n">
        <v>0</v>
      </c>
      <c r="O758" t="n">
        <v>0</v>
      </c>
      <c r="P758" t="n">
        <v>0</v>
      </c>
      <c r="Q758" t="n">
        <v>0</v>
      </c>
      <c r="R758" s="2" t="inlineStr"/>
    </row>
    <row r="759" ht="15" customHeight="1">
      <c r="A759" t="inlineStr">
        <is>
          <t>A 28511-2026</t>
        </is>
      </c>
      <c r="B759" s="1" t="n">
        <v>46197</v>
      </c>
      <c r="C759" s="1" t="n">
        <v>46202</v>
      </c>
      <c r="D759" t="inlineStr">
        <is>
          <t>KALMAR LÄN</t>
        </is>
      </c>
      <c r="E759" t="inlineStr">
        <is>
          <t>VIMMERBY</t>
        </is>
      </c>
      <c r="G759" t="n">
        <v>3.3</v>
      </c>
      <c r="H759" t="n">
        <v>0</v>
      </c>
      <c r="I759" t="n">
        <v>0</v>
      </c>
      <c r="J759" t="n">
        <v>0</v>
      </c>
      <c r="K759" t="n">
        <v>0</v>
      </c>
      <c r="L759" t="n">
        <v>0</v>
      </c>
      <c r="M759" t="n">
        <v>0</v>
      </c>
      <c r="N759" t="n">
        <v>0</v>
      </c>
      <c r="O759" t="n">
        <v>0</v>
      </c>
      <c r="P759" t="n">
        <v>0</v>
      </c>
      <c r="Q759" t="n">
        <v>0</v>
      </c>
      <c r="R759" s="2" t="inlineStr"/>
    </row>
    <row r="760">
      <c r="A760" t="inlineStr">
        <is>
          <t>A 36246-2025</t>
        </is>
      </c>
      <c r="B760" s="1" t="n">
        <v>45867</v>
      </c>
      <c r="C760" s="1" t="n">
        <v>46202</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2026-06-29T00:57:14Z</dcterms:created>
  <dcterms:modified xmlns:dcterms="http://purl.org/dc/terms/" xmlns:xsi="http://www.w3.org/2001/XMLSchema-instance" xsi:type="dcterms:W3CDTF">2026-06-29T00:57:15Z</dcterms:modified>
</cp:coreProperties>
</file>