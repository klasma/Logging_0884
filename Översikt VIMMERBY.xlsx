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46086</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46086</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46086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55604-2025</t>
        </is>
      </c>
      <c r="B12" s="1" t="n">
        <v>45971</v>
      </c>
      <c r="C12" s="1" t="n">
        <v>46086</v>
      </c>
      <c r="D12" t="inlineStr">
        <is>
          <t>KALMAR LÄN</t>
        </is>
      </c>
      <c r="E12" t="inlineStr">
        <is>
          <t>VIMMERBY</t>
        </is>
      </c>
      <c r="G12" t="n">
        <v>4.4</v>
      </c>
      <c r="H12" t="n">
        <v>2</v>
      </c>
      <c r="I12" t="n">
        <v>2</v>
      </c>
      <c r="J12" t="n">
        <v>1</v>
      </c>
      <c r="K12" t="n">
        <v>1</v>
      </c>
      <c r="L12" t="n">
        <v>0</v>
      </c>
      <c r="M12" t="n">
        <v>0</v>
      </c>
      <c r="N12" t="n">
        <v>0</v>
      </c>
      <c r="O12" t="n">
        <v>2</v>
      </c>
      <c r="P12" t="n">
        <v>1</v>
      </c>
      <c r="Q12" t="n">
        <v>4</v>
      </c>
      <c r="R12" s="2" t="inlineStr">
        <is>
          <t>Knärot
Spillkråka
Dropptaggsvamp
Grönpyrola</t>
        </is>
      </c>
      <c r="S12">
        <f>HYPERLINK("https://klasma.github.io/Logging_0884/artfynd/A 55604-2025 artfynd.xlsx", "A 55604-2025")</f>
        <v/>
      </c>
      <c r="T12">
        <f>HYPERLINK("https://klasma.github.io/Logging_0884/kartor/A 55604-2025 karta.png", "A 55604-2025")</f>
        <v/>
      </c>
      <c r="U12">
        <f>HYPERLINK("https://klasma.github.io/Logging_0884/knärot/A 55604-2025 karta knärot.png", "A 55604-2025")</f>
        <v/>
      </c>
      <c r="V12">
        <f>HYPERLINK("https://klasma.github.io/Logging_0884/klagomål/A 55604-2025 FSC-klagomål.docx", "A 55604-2025")</f>
        <v/>
      </c>
      <c r="W12">
        <f>HYPERLINK("https://klasma.github.io/Logging_0884/klagomålsmail/A 55604-2025 FSC-klagomål mail.docx", "A 55604-2025")</f>
        <v/>
      </c>
      <c r="X12">
        <f>HYPERLINK("https://klasma.github.io/Logging_0884/tillsyn/A 55604-2025 tillsynsbegäran.docx", "A 55604-2025")</f>
        <v/>
      </c>
      <c r="Y12">
        <f>HYPERLINK("https://klasma.github.io/Logging_0884/tillsynsmail/A 55604-2025 tillsynsbegäran mail.docx", "A 55604-2025")</f>
        <v/>
      </c>
      <c r="Z12">
        <f>HYPERLINK("https://klasma.github.io/Logging_0884/fåglar/A 55604-2025 prioriterade fågelarter.docx", "A 55604-2025")</f>
        <v/>
      </c>
    </row>
    <row r="13" ht="15" customHeight="1">
      <c r="A13" t="inlineStr">
        <is>
          <t>A 58997-2025</t>
        </is>
      </c>
      <c r="B13" s="1" t="n">
        <v>45987</v>
      </c>
      <c r="C13" s="1" t="n">
        <v>46086</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15808-2025</t>
        </is>
      </c>
      <c r="B14" s="1" t="n">
        <v>45748</v>
      </c>
      <c r="C14" s="1" t="n">
        <v>46086</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3075-2025</t>
        </is>
      </c>
      <c r="B15" s="1" t="n">
        <v>45678</v>
      </c>
      <c r="C15" s="1" t="n">
        <v>46086</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46086</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46086</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46086</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46086</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46086</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46086</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46086</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46086</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46086</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46086</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46086</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46086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46086</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46086</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46086</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46086</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46086</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46086</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46086</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46086</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46086</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46086</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29183-2025</t>
        </is>
      </c>
      <c r="B38" s="1" t="n">
        <v>45821</v>
      </c>
      <c r="C38" s="1" t="n">
        <v>46086</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61860-2024</t>
        </is>
      </c>
      <c r="B39" s="1" t="n">
        <v>45649</v>
      </c>
      <c r="C39" s="1" t="n">
        <v>46086</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40083-2023</t>
        </is>
      </c>
      <c r="B40" s="1" t="n">
        <v>45168</v>
      </c>
      <c r="C40" s="1" t="n">
        <v>46086</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46086</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23602-2023</t>
        </is>
      </c>
      <c r="B42" s="1" t="n">
        <v>45077</v>
      </c>
      <c r="C42" s="1" t="n">
        <v>46086</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53404-2025</t>
        </is>
      </c>
      <c r="B43" s="1" t="n">
        <v>45959.57126157408</v>
      </c>
      <c r="C43" s="1" t="n">
        <v>46086</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53400-2025</t>
        </is>
      </c>
      <c r="B44" s="1" t="n">
        <v>45959.56684027778</v>
      </c>
      <c r="C44" s="1" t="n">
        <v>46086</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55384-2025</t>
        </is>
      </c>
      <c r="B45" s="1" t="n">
        <v>45971.43178240741</v>
      </c>
      <c r="C45" s="1" t="n">
        <v>46086</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32985-2023</t>
        </is>
      </c>
      <c r="B46" s="1" t="n">
        <v>45125</v>
      </c>
      <c r="C46" s="1" t="n">
        <v>46086</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57062-2025</t>
        </is>
      </c>
      <c r="B47" s="1" t="n">
        <v>45979.37598379629</v>
      </c>
      <c r="C47" s="1" t="n">
        <v>46086</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15122-2024</t>
        </is>
      </c>
      <c r="B48" s="1" t="n">
        <v>45399.71412037037</v>
      </c>
      <c r="C48" s="1" t="n">
        <v>46086</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37930-2021</t>
        </is>
      </c>
      <c r="B49" s="1" t="n">
        <v>44403</v>
      </c>
      <c r="C49" s="1" t="n">
        <v>46086</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46086</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46086</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1201-2025</t>
        </is>
      </c>
      <c r="B52" s="1" t="n">
        <v>45667</v>
      </c>
      <c r="C52" s="1" t="n">
        <v>46086</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15903-2021</t>
        </is>
      </c>
      <c r="B53" s="1" t="n">
        <v>44287.33261574074</v>
      </c>
      <c r="C53" s="1" t="n">
        <v>46086</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15092-2021</t>
        </is>
      </c>
      <c r="B54" s="1" t="n">
        <v>44281.79269675926</v>
      </c>
      <c r="C54" s="1" t="n">
        <v>46086</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46086</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46086</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46086</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46086</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46086</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46086</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46086</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46086</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46086</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46086</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46086</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46086</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46086</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46086</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46086</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46086</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46086</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46086</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46086</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46086</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46086</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46086</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7049-2022</t>
        </is>
      </c>
      <c r="B77" s="1" t="n">
        <v>44603</v>
      </c>
      <c r="C77" s="1" t="n">
        <v>46086</v>
      </c>
      <c r="D77" t="inlineStr">
        <is>
          <t>KALMAR LÄN</t>
        </is>
      </c>
      <c r="E77" t="inlineStr">
        <is>
          <t>VIMMERBY</t>
        </is>
      </c>
      <c r="G77" t="n">
        <v>2.3</v>
      </c>
      <c r="H77" t="n">
        <v>0</v>
      </c>
      <c r="I77" t="n">
        <v>0</v>
      </c>
      <c r="J77" t="n">
        <v>0</v>
      </c>
      <c r="K77" t="n">
        <v>0</v>
      </c>
      <c r="L77" t="n">
        <v>0</v>
      </c>
      <c r="M77" t="n">
        <v>0</v>
      </c>
      <c r="N77" t="n">
        <v>0</v>
      </c>
      <c r="O77" t="n">
        <v>0</v>
      </c>
      <c r="P77" t="n">
        <v>0</v>
      </c>
      <c r="Q77" t="n">
        <v>0</v>
      </c>
      <c r="R77" s="2" t="inlineStr"/>
    </row>
    <row r="78" ht="15" customHeight="1">
      <c r="A78" t="inlineStr">
        <is>
          <t>A 4296-2022</t>
        </is>
      </c>
      <c r="B78" s="1" t="n">
        <v>44588</v>
      </c>
      <c r="C78" s="1" t="n">
        <v>46086</v>
      </c>
      <c r="D78" t="inlineStr">
        <is>
          <t>KALMAR LÄN</t>
        </is>
      </c>
      <c r="E78" t="inlineStr">
        <is>
          <t>VIMMERBY</t>
        </is>
      </c>
      <c r="G78" t="n">
        <v>1.8</v>
      </c>
      <c r="H78" t="n">
        <v>0</v>
      </c>
      <c r="I78" t="n">
        <v>0</v>
      </c>
      <c r="J78" t="n">
        <v>0</v>
      </c>
      <c r="K78" t="n">
        <v>0</v>
      </c>
      <c r="L78" t="n">
        <v>0</v>
      </c>
      <c r="M78" t="n">
        <v>0</v>
      </c>
      <c r="N78" t="n">
        <v>0</v>
      </c>
      <c r="O78" t="n">
        <v>0</v>
      </c>
      <c r="P78" t="n">
        <v>0</v>
      </c>
      <c r="Q78" t="n">
        <v>0</v>
      </c>
      <c r="R78" s="2" t="inlineStr"/>
    </row>
    <row r="79" ht="15" customHeight="1">
      <c r="A79" t="inlineStr">
        <is>
          <t>A 38086-2021</t>
        </is>
      </c>
      <c r="B79" s="1" t="n">
        <v>44404.87505787037</v>
      </c>
      <c r="C79" s="1" t="n">
        <v>46086</v>
      </c>
      <c r="D79" t="inlineStr">
        <is>
          <t>KALMAR LÄN</t>
        </is>
      </c>
      <c r="E79" t="inlineStr">
        <is>
          <t>VIMMERBY</t>
        </is>
      </c>
      <c r="G79" t="n">
        <v>4.4</v>
      </c>
      <c r="H79" t="n">
        <v>0</v>
      </c>
      <c r="I79" t="n">
        <v>0</v>
      </c>
      <c r="J79" t="n">
        <v>0</v>
      </c>
      <c r="K79" t="n">
        <v>0</v>
      </c>
      <c r="L79" t="n">
        <v>0</v>
      </c>
      <c r="M79" t="n">
        <v>0</v>
      </c>
      <c r="N79" t="n">
        <v>0</v>
      </c>
      <c r="O79" t="n">
        <v>0</v>
      </c>
      <c r="P79" t="n">
        <v>0</v>
      </c>
      <c r="Q79" t="n">
        <v>0</v>
      </c>
      <c r="R79" s="2" t="inlineStr"/>
    </row>
    <row r="80" ht="15" customHeight="1">
      <c r="A80" t="inlineStr">
        <is>
          <t>A 57416-2021</t>
        </is>
      </c>
      <c r="B80" s="1" t="n">
        <v>44483.58295138889</v>
      </c>
      <c r="C80" s="1" t="n">
        <v>46086</v>
      </c>
      <c r="D80" t="inlineStr">
        <is>
          <t>KALMAR LÄN</t>
        </is>
      </c>
      <c r="E80" t="inlineStr">
        <is>
          <t>VIMMERBY</t>
        </is>
      </c>
      <c r="G80" t="n">
        <v>2.9</v>
      </c>
      <c r="H80" t="n">
        <v>0</v>
      </c>
      <c r="I80" t="n">
        <v>0</v>
      </c>
      <c r="J80" t="n">
        <v>0</v>
      </c>
      <c r="K80" t="n">
        <v>0</v>
      </c>
      <c r="L80" t="n">
        <v>0</v>
      </c>
      <c r="M80" t="n">
        <v>0</v>
      </c>
      <c r="N80" t="n">
        <v>0</v>
      </c>
      <c r="O80" t="n">
        <v>0</v>
      </c>
      <c r="P80" t="n">
        <v>0</v>
      </c>
      <c r="Q80" t="n">
        <v>0</v>
      </c>
      <c r="R80" s="2" t="inlineStr"/>
    </row>
    <row r="81" ht="15" customHeight="1">
      <c r="A81" t="inlineStr">
        <is>
          <t>A 59791-2021</t>
        </is>
      </c>
      <c r="B81" s="1" t="n">
        <v>44494</v>
      </c>
      <c r="C81" s="1" t="n">
        <v>46086</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46086</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50809-2022</t>
        </is>
      </c>
      <c r="B83" s="1" t="n">
        <v>44862</v>
      </c>
      <c r="C83" s="1" t="n">
        <v>46086</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46086</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46086</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46086</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46086</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46086</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46086</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46086</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46086</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46086</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46086</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46086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46086</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46086</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46086</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46086</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46086</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46086</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46086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46086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46086</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46086</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46086</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46086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46086</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46086</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46086</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46086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46086</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46086</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46086</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46086</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46086</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46086</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46086</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11814-2022</t>
        </is>
      </c>
      <c r="B120" s="1" t="n">
        <v>44634.69703703704</v>
      </c>
      <c r="C120" s="1" t="n">
        <v>46086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46086</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46086</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46086</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46086</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46086</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46086</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46086</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46086</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46086</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46086</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46086</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46086</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46086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46086</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14521-2021</t>
        </is>
      </c>
      <c r="B135" s="1" t="n">
        <v>44279.64934027778</v>
      </c>
      <c r="C135" s="1" t="n">
        <v>46086</v>
      </c>
      <c r="D135" t="inlineStr">
        <is>
          <t>KALMAR LÄN</t>
        </is>
      </c>
      <c r="E135" t="inlineStr">
        <is>
          <t>VIMMERBY</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46086</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46086</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46086</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46086</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46086</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46086</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46086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46086</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46086</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46086</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46086</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55674-2021</t>
        </is>
      </c>
      <c r="B147" s="1" t="n">
        <v>44476</v>
      </c>
      <c r="C147" s="1" t="n">
        <v>46086</v>
      </c>
      <c r="D147" t="inlineStr">
        <is>
          <t>KALMAR LÄN</t>
        </is>
      </c>
      <c r="E147" t="inlineStr">
        <is>
          <t>VIMMERBY</t>
        </is>
      </c>
      <c r="G147" t="n">
        <v>2.1</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46086</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46086</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46086</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46086</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46086</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46086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46086</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46086</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46086</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46086</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46086</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46086</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46086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46086</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46086</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46086</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46086</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46086</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46086</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46086</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46086</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46086</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46086</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46086</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46086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46086</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46086</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46086</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46086</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46086</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52433-2021</t>
        </is>
      </c>
      <c r="B178" s="1" t="n">
        <v>44466.34726851852</v>
      </c>
      <c r="C178" s="1" t="n">
        <v>46086</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54065-2021</t>
        </is>
      </c>
      <c r="B179" s="1" t="n">
        <v>44470.44232638889</v>
      </c>
      <c r="C179" s="1" t="n">
        <v>46086</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46086</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46086</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46086</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46086</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46086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46086</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16983-2023</t>
        </is>
      </c>
      <c r="B186" s="1" t="n">
        <v>45033.76043981482</v>
      </c>
      <c r="C186" s="1" t="n">
        <v>46086</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46144-2023</t>
        </is>
      </c>
      <c r="B187" s="1" t="n">
        <v>45196.57247685185</v>
      </c>
      <c r="C187" s="1" t="n">
        <v>46086</v>
      </c>
      <c r="D187" t="inlineStr">
        <is>
          <t>KALMAR LÄN</t>
        </is>
      </c>
      <c r="E187" t="inlineStr">
        <is>
          <t>VIMMERBY</t>
        </is>
      </c>
      <c r="G187" t="n">
        <v>6.5</v>
      </c>
      <c r="H187" t="n">
        <v>0</v>
      </c>
      <c r="I187" t="n">
        <v>0</v>
      </c>
      <c r="J187" t="n">
        <v>0</v>
      </c>
      <c r="K187" t="n">
        <v>0</v>
      </c>
      <c r="L187" t="n">
        <v>0</v>
      </c>
      <c r="M187" t="n">
        <v>0</v>
      </c>
      <c r="N187" t="n">
        <v>0</v>
      </c>
      <c r="O187" t="n">
        <v>0</v>
      </c>
      <c r="P187" t="n">
        <v>0</v>
      </c>
      <c r="Q187" t="n">
        <v>0</v>
      </c>
      <c r="R187" s="2" t="inlineStr"/>
    </row>
    <row r="188" ht="15" customHeight="1">
      <c r="A188" t="inlineStr">
        <is>
          <t>A 30402-2023</t>
        </is>
      </c>
      <c r="B188" s="1" t="n">
        <v>45111.48395833333</v>
      </c>
      <c r="C188" s="1" t="n">
        <v>46086</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11609-2023</t>
        </is>
      </c>
      <c r="B189" s="1" t="n">
        <v>44994.40635416667</v>
      </c>
      <c r="C189" s="1" t="n">
        <v>46086</v>
      </c>
      <c r="D189" t="inlineStr">
        <is>
          <t>KALMAR LÄN</t>
        </is>
      </c>
      <c r="E189" t="inlineStr">
        <is>
          <t>VIMMERBY</t>
        </is>
      </c>
      <c r="G189" t="n">
        <v>4.9</v>
      </c>
      <c r="H189" t="n">
        <v>0</v>
      </c>
      <c r="I189" t="n">
        <v>0</v>
      </c>
      <c r="J189" t="n">
        <v>0</v>
      </c>
      <c r="K189" t="n">
        <v>0</v>
      </c>
      <c r="L189" t="n">
        <v>0</v>
      </c>
      <c r="M189" t="n">
        <v>0</v>
      </c>
      <c r="N189" t="n">
        <v>0</v>
      </c>
      <c r="O189" t="n">
        <v>0</v>
      </c>
      <c r="P189" t="n">
        <v>0</v>
      </c>
      <c r="Q189" t="n">
        <v>0</v>
      </c>
      <c r="R189" s="2" t="inlineStr"/>
    </row>
    <row r="190" ht="15" customHeight="1">
      <c r="A190" t="inlineStr">
        <is>
          <t>A 7643-2022</t>
        </is>
      </c>
      <c r="B190" s="1" t="n">
        <v>44607</v>
      </c>
      <c r="C190" s="1" t="n">
        <v>46086</v>
      </c>
      <c r="D190" t="inlineStr">
        <is>
          <t>KALMAR LÄN</t>
        </is>
      </c>
      <c r="E190" t="inlineStr">
        <is>
          <t>VIMMERBY</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56213-2024</t>
        </is>
      </c>
      <c r="B191" s="1" t="n">
        <v>45624.60141203704</v>
      </c>
      <c r="C191" s="1" t="n">
        <v>46086</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54409-2024</t>
        </is>
      </c>
      <c r="B192" s="1" t="n">
        <v>45617.47570601852</v>
      </c>
      <c r="C192" s="1" t="n">
        <v>46086</v>
      </c>
      <c r="D192" t="inlineStr">
        <is>
          <t>KALMAR LÄN</t>
        </is>
      </c>
      <c r="E192" t="inlineStr">
        <is>
          <t>VIMMERBY</t>
        </is>
      </c>
      <c r="G192" t="n">
        <v>4.3</v>
      </c>
      <c r="H192" t="n">
        <v>0</v>
      </c>
      <c r="I192" t="n">
        <v>0</v>
      </c>
      <c r="J192" t="n">
        <v>0</v>
      </c>
      <c r="K192" t="n">
        <v>0</v>
      </c>
      <c r="L192" t="n">
        <v>0</v>
      </c>
      <c r="M192" t="n">
        <v>0</v>
      </c>
      <c r="N192" t="n">
        <v>0</v>
      </c>
      <c r="O192" t="n">
        <v>0</v>
      </c>
      <c r="P192" t="n">
        <v>0</v>
      </c>
      <c r="Q192" t="n">
        <v>0</v>
      </c>
      <c r="R192" s="2" t="inlineStr"/>
    </row>
    <row r="193" ht="15" customHeight="1">
      <c r="A193" t="inlineStr">
        <is>
          <t>A 11027-2023</t>
        </is>
      </c>
      <c r="B193" s="1" t="n">
        <v>44991.89657407408</v>
      </c>
      <c r="C193" s="1" t="n">
        <v>46086</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46086</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31382-2023</t>
        </is>
      </c>
      <c r="B195" s="1" t="n">
        <v>45114.55136574074</v>
      </c>
      <c r="C195" s="1" t="n">
        <v>46086</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58962-2022</t>
        </is>
      </c>
      <c r="B196" s="1" t="n">
        <v>44903</v>
      </c>
      <c r="C196" s="1" t="n">
        <v>46086</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53483-2022</t>
        </is>
      </c>
      <c r="B197" s="1" t="n">
        <v>44879.55940972222</v>
      </c>
      <c r="C197" s="1" t="n">
        <v>46086</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18899-2025</t>
        </is>
      </c>
      <c r="B198" s="1" t="n">
        <v>45764.44931712963</v>
      </c>
      <c r="C198" s="1" t="n">
        <v>46086</v>
      </c>
      <c r="D198" t="inlineStr">
        <is>
          <t>KALMAR LÄN</t>
        </is>
      </c>
      <c r="E198" t="inlineStr">
        <is>
          <t>VIMMERBY</t>
        </is>
      </c>
      <c r="F198" t="inlineStr">
        <is>
          <t>Kommuner</t>
        </is>
      </c>
      <c r="G198" t="n">
        <v>4</v>
      </c>
      <c r="H198" t="n">
        <v>0</v>
      </c>
      <c r="I198" t="n">
        <v>0</v>
      </c>
      <c r="J198" t="n">
        <v>0</v>
      </c>
      <c r="K198" t="n">
        <v>0</v>
      </c>
      <c r="L198" t="n">
        <v>0</v>
      </c>
      <c r="M198" t="n">
        <v>0</v>
      </c>
      <c r="N198" t="n">
        <v>0</v>
      </c>
      <c r="O198" t="n">
        <v>0</v>
      </c>
      <c r="P198" t="n">
        <v>0</v>
      </c>
      <c r="Q198" t="n">
        <v>0</v>
      </c>
      <c r="R198" s="2" t="inlineStr"/>
    </row>
    <row r="199" ht="15" customHeight="1">
      <c r="A199" t="inlineStr">
        <is>
          <t>A 20054-2023</t>
        </is>
      </c>
      <c r="B199" s="1" t="n">
        <v>45054.6750462963</v>
      </c>
      <c r="C199" s="1" t="n">
        <v>46086</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10837-2023</t>
        </is>
      </c>
      <c r="B200" s="1" t="n">
        <v>44991.30547453704</v>
      </c>
      <c r="C200" s="1" t="n">
        <v>46086</v>
      </c>
      <c r="D200" t="inlineStr">
        <is>
          <t>KALMAR LÄN</t>
        </is>
      </c>
      <c r="E200" t="inlineStr">
        <is>
          <t>VIMMERBY</t>
        </is>
      </c>
      <c r="G200" t="n">
        <v>7.3</v>
      </c>
      <c r="H200" t="n">
        <v>0</v>
      </c>
      <c r="I200" t="n">
        <v>0</v>
      </c>
      <c r="J200" t="n">
        <v>0</v>
      </c>
      <c r="K200" t="n">
        <v>0</v>
      </c>
      <c r="L200" t="n">
        <v>0</v>
      </c>
      <c r="M200" t="n">
        <v>0</v>
      </c>
      <c r="N200" t="n">
        <v>0</v>
      </c>
      <c r="O200" t="n">
        <v>0</v>
      </c>
      <c r="P200" t="n">
        <v>0</v>
      </c>
      <c r="Q200" t="n">
        <v>0</v>
      </c>
      <c r="R200" s="2" t="inlineStr"/>
    </row>
    <row r="201" ht="15" customHeight="1">
      <c r="A201" t="inlineStr">
        <is>
          <t>A 10838-2023</t>
        </is>
      </c>
      <c r="B201" s="1" t="n">
        <v>44991</v>
      </c>
      <c r="C201" s="1" t="n">
        <v>46086</v>
      </c>
      <c r="D201" t="inlineStr">
        <is>
          <t>KALMAR LÄN</t>
        </is>
      </c>
      <c r="E201" t="inlineStr">
        <is>
          <t>VIMMERBY</t>
        </is>
      </c>
      <c r="G201" t="n">
        <v>5.1</v>
      </c>
      <c r="H201" t="n">
        <v>0</v>
      </c>
      <c r="I201" t="n">
        <v>0</v>
      </c>
      <c r="J201" t="n">
        <v>0</v>
      </c>
      <c r="K201" t="n">
        <v>0</v>
      </c>
      <c r="L201" t="n">
        <v>0</v>
      </c>
      <c r="M201" t="n">
        <v>0</v>
      </c>
      <c r="N201" t="n">
        <v>0</v>
      </c>
      <c r="O201" t="n">
        <v>0</v>
      </c>
      <c r="P201" t="n">
        <v>0</v>
      </c>
      <c r="Q201" t="n">
        <v>0</v>
      </c>
      <c r="R201" s="2" t="inlineStr"/>
    </row>
    <row r="202" ht="15" customHeight="1">
      <c r="A202" t="inlineStr">
        <is>
          <t>A 4076-2022</t>
        </is>
      </c>
      <c r="B202" s="1" t="n">
        <v>44588.37998842593</v>
      </c>
      <c r="C202" s="1" t="n">
        <v>46086</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13290-2025</t>
        </is>
      </c>
      <c r="B203" s="1" t="n">
        <v>45735.56751157407</v>
      </c>
      <c r="C203" s="1" t="n">
        <v>46086</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4122-2022</t>
        </is>
      </c>
      <c r="B204" s="1" t="n">
        <v>44588</v>
      </c>
      <c r="C204" s="1" t="n">
        <v>46086</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19162-2023</t>
        </is>
      </c>
      <c r="B205" s="1" t="n">
        <v>45048.59699074074</v>
      </c>
      <c r="C205" s="1" t="n">
        <v>46086</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60951-2023</t>
        </is>
      </c>
      <c r="B206" s="1" t="n">
        <v>45261.44914351852</v>
      </c>
      <c r="C206" s="1" t="n">
        <v>46086</v>
      </c>
      <c r="D206" t="inlineStr">
        <is>
          <t>KALMAR LÄN</t>
        </is>
      </c>
      <c r="E206" t="inlineStr">
        <is>
          <t>VIMMERBY</t>
        </is>
      </c>
      <c r="G206" t="n">
        <v>4.3</v>
      </c>
      <c r="H206" t="n">
        <v>0</v>
      </c>
      <c r="I206" t="n">
        <v>0</v>
      </c>
      <c r="J206" t="n">
        <v>0</v>
      </c>
      <c r="K206" t="n">
        <v>0</v>
      </c>
      <c r="L206" t="n">
        <v>0</v>
      </c>
      <c r="M206" t="n">
        <v>0</v>
      </c>
      <c r="N206" t="n">
        <v>0</v>
      </c>
      <c r="O206" t="n">
        <v>0</v>
      </c>
      <c r="P206" t="n">
        <v>0</v>
      </c>
      <c r="Q206" t="n">
        <v>0</v>
      </c>
      <c r="R206" s="2" t="inlineStr"/>
    </row>
    <row r="207" ht="15" customHeight="1">
      <c r="A207" t="inlineStr">
        <is>
          <t>A 60292-2022</t>
        </is>
      </c>
      <c r="B207" s="1" t="n">
        <v>44910.54231481482</v>
      </c>
      <c r="C207" s="1" t="n">
        <v>46086</v>
      </c>
      <c r="D207" t="inlineStr">
        <is>
          <t>KALMAR LÄN</t>
        </is>
      </c>
      <c r="E207" t="inlineStr">
        <is>
          <t>VIMMERBY</t>
        </is>
      </c>
      <c r="G207" t="n">
        <v>4.4</v>
      </c>
      <c r="H207" t="n">
        <v>0</v>
      </c>
      <c r="I207" t="n">
        <v>0</v>
      </c>
      <c r="J207" t="n">
        <v>0</v>
      </c>
      <c r="K207" t="n">
        <v>0</v>
      </c>
      <c r="L207" t="n">
        <v>0</v>
      </c>
      <c r="M207" t="n">
        <v>0</v>
      </c>
      <c r="N207" t="n">
        <v>0</v>
      </c>
      <c r="O207" t="n">
        <v>0</v>
      </c>
      <c r="P207" t="n">
        <v>0</v>
      </c>
      <c r="Q207" t="n">
        <v>0</v>
      </c>
      <c r="R207" s="2" t="inlineStr"/>
    </row>
    <row r="208" ht="15" customHeight="1">
      <c r="A208" t="inlineStr">
        <is>
          <t>A 11946-2025</t>
        </is>
      </c>
      <c r="B208" s="1" t="n">
        <v>45728.54832175926</v>
      </c>
      <c r="C208" s="1" t="n">
        <v>46086</v>
      </c>
      <c r="D208" t="inlineStr">
        <is>
          <t>KALMAR LÄN</t>
        </is>
      </c>
      <c r="E208" t="inlineStr">
        <is>
          <t>VIMMERBY</t>
        </is>
      </c>
      <c r="G208" t="n">
        <v>0.4</v>
      </c>
      <c r="H208" t="n">
        <v>0</v>
      </c>
      <c r="I208" t="n">
        <v>0</v>
      </c>
      <c r="J208" t="n">
        <v>0</v>
      </c>
      <c r="K208" t="n">
        <v>0</v>
      </c>
      <c r="L208" t="n">
        <v>0</v>
      </c>
      <c r="M208" t="n">
        <v>0</v>
      </c>
      <c r="N208" t="n">
        <v>0</v>
      </c>
      <c r="O208" t="n">
        <v>0</v>
      </c>
      <c r="P208" t="n">
        <v>0</v>
      </c>
      <c r="Q208" t="n">
        <v>0</v>
      </c>
      <c r="R208" s="2" t="inlineStr"/>
    </row>
    <row r="209" ht="15" customHeight="1">
      <c r="A209" t="inlineStr">
        <is>
          <t>A 19537-2022</t>
        </is>
      </c>
      <c r="B209" s="1" t="n">
        <v>44693.62822916666</v>
      </c>
      <c r="C209" s="1" t="n">
        <v>46086</v>
      </c>
      <c r="D209" t="inlineStr">
        <is>
          <t>KALMAR LÄN</t>
        </is>
      </c>
      <c r="E209" t="inlineStr">
        <is>
          <t>VIMMERBY</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9475-2023</t>
        </is>
      </c>
      <c r="B210" s="1" t="n">
        <v>44981.58834490741</v>
      </c>
      <c r="C210" s="1" t="n">
        <v>46086</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7485-2024</t>
        </is>
      </c>
      <c r="B211" s="1" t="n">
        <v>45346.67184027778</v>
      </c>
      <c r="C211" s="1" t="n">
        <v>46086</v>
      </c>
      <c r="D211" t="inlineStr">
        <is>
          <t>KALMAR LÄN</t>
        </is>
      </c>
      <c r="E211" t="inlineStr">
        <is>
          <t>VIMMERBY</t>
        </is>
      </c>
      <c r="G211" t="n">
        <v>1.9</v>
      </c>
      <c r="H211" t="n">
        <v>0</v>
      </c>
      <c r="I211" t="n">
        <v>0</v>
      </c>
      <c r="J211" t="n">
        <v>0</v>
      </c>
      <c r="K211" t="n">
        <v>0</v>
      </c>
      <c r="L211" t="n">
        <v>0</v>
      </c>
      <c r="M211" t="n">
        <v>0</v>
      </c>
      <c r="N211" t="n">
        <v>0</v>
      </c>
      <c r="O211" t="n">
        <v>0</v>
      </c>
      <c r="P211" t="n">
        <v>0</v>
      </c>
      <c r="Q211" t="n">
        <v>0</v>
      </c>
      <c r="R211" s="2" t="inlineStr"/>
    </row>
    <row r="212" ht="15" customHeight="1">
      <c r="A212" t="inlineStr">
        <is>
          <t>A 12590-2025</t>
        </is>
      </c>
      <c r="B212" s="1" t="n">
        <v>45732.79925925926</v>
      </c>
      <c r="C212" s="1" t="n">
        <v>46086</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35710-2023</t>
        </is>
      </c>
      <c r="B213" s="1" t="n">
        <v>45147.67096064815</v>
      </c>
      <c r="C213" s="1" t="n">
        <v>46086</v>
      </c>
      <c r="D213" t="inlineStr">
        <is>
          <t>KALMAR LÄN</t>
        </is>
      </c>
      <c r="E213" t="inlineStr">
        <is>
          <t>VIMMERBY</t>
        </is>
      </c>
      <c r="G213" t="n">
        <v>3.1</v>
      </c>
      <c r="H213" t="n">
        <v>0</v>
      </c>
      <c r="I213" t="n">
        <v>0</v>
      </c>
      <c r="J213" t="n">
        <v>0</v>
      </c>
      <c r="K213" t="n">
        <v>0</v>
      </c>
      <c r="L213" t="n">
        <v>0</v>
      </c>
      <c r="M213" t="n">
        <v>0</v>
      </c>
      <c r="N213" t="n">
        <v>0</v>
      </c>
      <c r="O213" t="n">
        <v>0</v>
      </c>
      <c r="P213" t="n">
        <v>0</v>
      </c>
      <c r="Q213" t="n">
        <v>0</v>
      </c>
      <c r="R213" s="2" t="inlineStr"/>
    </row>
    <row r="214" ht="15" customHeight="1">
      <c r="A214" t="inlineStr">
        <is>
          <t>A 11147-2023</t>
        </is>
      </c>
      <c r="B214" s="1" t="n">
        <v>44992</v>
      </c>
      <c r="C214" s="1" t="n">
        <v>46086</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19833-2023</t>
        </is>
      </c>
      <c r="B215" s="1" t="n">
        <v>45052</v>
      </c>
      <c r="C215" s="1" t="n">
        <v>46086</v>
      </c>
      <c r="D215" t="inlineStr">
        <is>
          <t>KALMAR LÄN</t>
        </is>
      </c>
      <c r="E215" t="inlineStr">
        <is>
          <t>VIMMERBY</t>
        </is>
      </c>
      <c r="G215" t="n">
        <v>6.7</v>
      </c>
      <c r="H215" t="n">
        <v>0</v>
      </c>
      <c r="I215" t="n">
        <v>0</v>
      </c>
      <c r="J215" t="n">
        <v>0</v>
      </c>
      <c r="K215" t="n">
        <v>0</v>
      </c>
      <c r="L215" t="n">
        <v>0</v>
      </c>
      <c r="M215" t="n">
        <v>0</v>
      </c>
      <c r="N215" t="n">
        <v>0</v>
      </c>
      <c r="O215" t="n">
        <v>0</v>
      </c>
      <c r="P215" t="n">
        <v>0</v>
      </c>
      <c r="Q215" t="n">
        <v>0</v>
      </c>
      <c r="R215" s="2" t="inlineStr"/>
    </row>
    <row r="216" ht="15" customHeight="1">
      <c r="A216" t="inlineStr">
        <is>
          <t>A 52823-2024</t>
        </is>
      </c>
      <c r="B216" s="1" t="n">
        <v>45610.59094907407</v>
      </c>
      <c r="C216" s="1" t="n">
        <v>46086</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18411-2021</t>
        </is>
      </c>
      <c r="B217" s="1" t="n">
        <v>44302</v>
      </c>
      <c r="C217" s="1" t="n">
        <v>46086</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47855-2024</t>
        </is>
      </c>
      <c r="B218" s="1" t="n">
        <v>45588.66457175926</v>
      </c>
      <c r="C218" s="1" t="n">
        <v>46086</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23252-2024</t>
        </is>
      </c>
      <c r="B219" s="1" t="n">
        <v>45453.36067129629</v>
      </c>
      <c r="C219" s="1" t="n">
        <v>46086</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14548-2024</t>
        </is>
      </c>
      <c r="B220" s="1" t="n">
        <v>45394.66887731481</v>
      </c>
      <c r="C220" s="1" t="n">
        <v>46086</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585-2024</t>
        </is>
      </c>
      <c r="B221" s="1" t="n">
        <v>45299.62576388889</v>
      </c>
      <c r="C221" s="1" t="n">
        <v>46086</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172-2022</t>
        </is>
      </c>
      <c r="B222" s="1" t="n">
        <v>44564.62598379629</v>
      </c>
      <c r="C222" s="1" t="n">
        <v>46086</v>
      </c>
      <c r="D222" t="inlineStr">
        <is>
          <t>KALMAR LÄN</t>
        </is>
      </c>
      <c r="E222" t="inlineStr">
        <is>
          <t>VIMMERBY</t>
        </is>
      </c>
      <c r="G222" t="n">
        <v>2.1</v>
      </c>
      <c r="H222" t="n">
        <v>0</v>
      </c>
      <c r="I222" t="n">
        <v>0</v>
      </c>
      <c r="J222" t="n">
        <v>0</v>
      </c>
      <c r="K222" t="n">
        <v>0</v>
      </c>
      <c r="L222" t="n">
        <v>0</v>
      </c>
      <c r="M222" t="n">
        <v>0</v>
      </c>
      <c r="N222" t="n">
        <v>0</v>
      </c>
      <c r="O222" t="n">
        <v>0</v>
      </c>
      <c r="P222" t="n">
        <v>0</v>
      </c>
      <c r="Q222" t="n">
        <v>0</v>
      </c>
      <c r="R222" s="2" t="inlineStr"/>
    </row>
    <row r="223" ht="15" customHeight="1">
      <c r="A223" t="inlineStr">
        <is>
          <t>A 39584-2024</t>
        </is>
      </c>
      <c r="B223" s="1" t="n">
        <v>45552.36759259259</v>
      </c>
      <c r="C223" s="1" t="n">
        <v>46086</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58374-2024</t>
        </is>
      </c>
      <c r="B224" s="1" t="n">
        <v>45632.72635416667</v>
      </c>
      <c r="C224" s="1" t="n">
        <v>46086</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56020-2024</t>
        </is>
      </c>
      <c r="B225" s="1" t="n">
        <v>45623.9525462963</v>
      </c>
      <c r="C225" s="1" t="n">
        <v>46086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51881-2024</t>
        </is>
      </c>
      <c r="B226" s="1" t="n">
        <v>45607.56773148148</v>
      </c>
      <c r="C226" s="1" t="n">
        <v>46086</v>
      </c>
      <c r="D226" t="inlineStr">
        <is>
          <t>KALMAR LÄN</t>
        </is>
      </c>
      <c r="E226" t="inlineStr">
        <is>
          <t>VIMMERBY</t>
        </is>
      </c>
      <c r="G226" t="n">
        <v>3.4</v>
      </c>
      <c r="H226" t="n">
        <v>0</v>
      </c>
      <c r="I226" t="n">
        <v>0</v>
      </c>
      <c r="J226" t="n">
        <v>0</v>
      </c>
      <c r="K226" t="n">
        <v>0</v>
      </c>
      <c r="L226" t="n">
        <v>0</v>
      </c>
      <c r="M226" t="n">
        <v>0</v>
      </c>
      <c r="N226" t="n">
        <v>0</v>
      </c>
      <c r="O226" t="n">
        <v>0</v>
      </c>
      <c r="P226" t="n">
        <v>0</v>
      </c>
      <c r="Q226" t="n">
        <v>0</v>
      </c>
      <c r="R226" s="2" t="inlineStr"/>
    </row>
    <row r="227" ht="15" customHeight="1">
      <c r="A227" t="inlineStr">
        <is>
          <t>A 2596-2025</t>
        </is>
      </c>
      <c r="B227" s="1" t="n">
        <v>45674.71810185185</v>
      </c>
      <c r="C227" s="1" t="n">
        <v>46086</v>
      </c>
      <c r="D227" t="inlineStr">
        <is>
          <t>KALMAR LÄN</t>
        </is>
      </c>
      <c r="E227" t="inlineStr">
        <is>
          <t>VIMMERBY</t>
        </is>
      </c>
      <c r="G227" t="n">
        <v>9</v>
      </c>
      <c r="H227" t="n">
        <v>0</v>
      </c>
      <c r="I227" t="n">
        <v>0</v>
      </c>
      <c r="J227" t="n">
        <v>0</v>
      </c>
      <c r="K227" t="n">
        <v>0</v>
      </c>
      <c r="L227" t="n">
        <v>0</v>
      </c>
      <c r="M227" t="n">
        <v>0</v>
      </c>
      <c r="N227" t="n">
        <v>0</v>
      </c>
      <c r="O227" t="n">
        <v>0</v>
      </c>
      <c r="P227" t="n">
        <v>0</v>
      </c>
      <c r="Q227" t="n">
        <v>0</v>
      </c>
      <c r="R227" s="2" t="inlineStr"/>
    </row>
    <row r="228" ht="15" customHeight="1">
      <c r="A228" t="inlineStr">
        <is>
          <t>A 52324-2023</t>
        </is>
      </c>
      <c r="B228" s="1" t="n">
        <v>45224.64659722222</v>
      </c>
      <c r="C228" s="1" t="n">
        <v>46086</v>
      </c>
      <c r="D228" t="inlineStr">
        <is>
          <t>KALMAR LÄN</t>
        </is>
      </c>
      <c r="E228" t="inlineStr">
        <is>
          <t>VIMMERBY</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15550-2023</t>
        </is>
      </c>
      <c r="B229" s="1" t="n">
        <v>45020</v>
      </c>
      <c r="C229" s="1" t="n">
        <v>46086</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20129-2024</t>
        </is>
      </c>
      <c r="B230" s="1" t="n">
        <v>45434.55831018519</v>
      </c>
      <c r="C230" s="1" t="n">
        <v>46086</v>
      </c>
      <c r="D230" t="inlineStr">
        <is>
          <t>KALMAR LÄN</t>
        </is>
      </c>
      <c r="E230" t="inlineStr">
        <is>
          <t>VIMMERBY</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20137-2024</t>
        </is>
      </c>
      <c r="B231" s="1" t="n">
        <v>45434.56398148148</v>
      </c>
      <c r="C231" s="1" t="n">
        <v>46086</v>
      </c>
      <c r="D231" t="inlineStr">
        <is>
          <t>KALMAR LÄN</t>
        </is>
      </c>
      <c r="E231" t="inlineStr">
        <is>
          <t>VIMMERBY</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7456-2024</t>
        </is>
      </c>
      <c r="B232" s="1" t="n">
        <v>45345.83557870371</v>
      </c>
      <c r="C232" s="1" t="n">
        <v>46086</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11219-2023</t>
        </is>
      </c>
      <c r="B233" s="1" t="n">
        <v>44992.62498842592</v>
      </c>
      <c r="C233" s="1" t="n">
        <v>46086</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46086</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17988-2025</t>
        </is>
      </c>
      <c r="B235" s="1" t="n">
        <v>45761.39600694444</v>
      </c>
      <c r="C235" s="1" t="n">
        <v>46086</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55236-2023</t>
        </is>
      </c>
      <c r="B236" s="1" t="n">
        <v>45237.63225694445</v>
      </c>
      <c r="C236" s="1" t="n">
        <v>46086</v>
      </c>
      <c r="D236" t="inlineStr">
        <is>
          <t>KALMAR LÄN</t>
        </is>
      </c>
      <c r="E236" t="inlineStr">
        <is>
          <t>VIMMERBY</t>
        </is>
      </c>
      <c r="G236" t="n">
        <v>1.1</v>
      </c>
      <c r="H236" t="n">
        <v>0</v>
      </c>
      <c r="I236" t="n">
        <v>0</v>
      </c>
      <c r="J236" t="n">
        <v>0</v>
      </c>
      <c r="K236" t="n">
        <v>0</v>
      </c>
      <c r="L236" t="n">
        <v>0</v>
      </c>
      <c r="M236" t="n">
        <v>0</v>
      </c>
      <c r="N236" t="n">
        <v>0</v>
      </c>
      <c r="O236" t="n">
        <v>0</v>
      </c>
      <c r="P236" t="n">
        <v>0</v>
      </c>
      <c r="Q236" t="n">
        <v>0</v>
      </c>
      <c r="R236" s="2" t="inlineStr"/>
    </row>
    <row r="237" ht="15" customHeight="1">
      <c r="A237" t="inlineStr">
        <is>
          <t>A 37028-2024</t>
        </is>
      </c>
      <c r="B237" s="1" t="n">
        <v>45539.38744212963</v>
      </c>
      <c r="C237" s="1" t="n">
        <v>46086</v>
      </c>
      <c r="D237" t="inlineStr">
        <is>
          <t>KALMAR LÄN</t>
        </is>
      </c>
      <c r="E237" t="inlineStr">
        <is>
          <t>VIMMERBY</t>
        </is>
      </c>
      <c r="G237" t="n">
        <v>5.2</v>
      </c>
      <c r="H237" t="n">
        <v>0</v>
      </c>
      <c r="I237" t="n">
        <v>0</v>
      </c>
      <c r="J237" t="n">
        <v>0</v>
      </c>
      <c r="K237" t="n">
        <v>0</v>
      </c>
      <c r="L237" t="n">
        <v>0</v>
      </c>
      <c r="M237" t="n">
        <v>0</v>
      </c>
      <c r="N237" t="n">
        <v>0</v>
      </c>
      <c r="O237" t="n">
        <v>0</v>
      </c>
      <c r="P237" t="n">
        <v>0</v>
      </c>
      <c r="Q237" t="n">
        <v>0</v>
      </c>
      <c r="R237" s="2" t="inlineStr"/>
    </row>
    <row r="238" ht="15" customHeight="1">
      <c r="A238" t="inlineStr">
        <is>
          <t>A 55245-2023</t>
        </is>
      </c>
      <c r="B238" s="1" t="n">
        <v>45237.64408564815</v>
      </c>
      <c r="C238" s="1" t="n">
        <v>46086</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36055-2024</t>
        </is>
      </c>
      <c r="B239" s="1" t="n">
        <v>45533.63056712963</v>
      </c>
      <c r="C239" s="1" t="n">
        <v>46086</v>
      </c>
      <c r="D239" t="inlineStr">
        <is>
          <t>KALMAR LÄN</t>
        </is>
      </c>
      <c r="E239" t="inlineStr">
        <is>
          <t>VIMMERBY</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46086</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6668-2023</t>
        </is>
      </c>
      <c r="B241" s="1" t="n">
        <v>44966</v>
      </c>
      <c r="C241" s="1" t="n">
        <v>46086</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29168-2024</t>
        </is>
      </c>
      <c r="B242" s="1" t="n">
        <v>45482.49870370371</v>
      </c>
      <c r="C242" s="1" t="n">
        <v>46086</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27443-2023</t>
        </is>
      </c>
      <c r="B243" s="1" t="n">
        <v>45097.40524305555</v>
      </c>
      <c r="C243" s="1" t="n">
        <v>46086</v>
      </c>
      <c r="D243" t="inlineStr">
        <is>
          <t>KALMAR LÄN</t>
        </is>
      </c>
      <c r="E243" t="inlineStr">
        <is>
          <t>VIMMERBY</t>
        </is>
      </c>
      <c r="F243" t="inlineStr">
        <is>
          <t>Övriga Aktiebolag</t>
        </is>
      </c>
      <c r="G243" t="n">
        <v>2.3</v>
      </c>
      <c r="H243" t="n">
        <v>0</v>
      </c>
      <c r="I243" t="n">
        <v>0</v>
      </c>
      <c r="J243" t="n">
        <v>0</v>
      </c>
      <c r="K243" t="n">
        <v>0</v>
      </c>
      <c r="L243" t="n">
        <v>0</v>
      </c>
      <c r="M243" t="n">
        <v>0</v>
      </c>
      <c r="N243" t="n">
        <v>0</v>
      </c>
      <c r="O243" t="n">
        <v>0</v>
      </c>
      <c r="P243" t="n">
        <v>0</v>
      </c>
      <c r="Q243" t="n">
        <v>0</v>
      </c>
      <c r="R243" s="2" t="inlineStr"/>
    </row>
    <row r="244" ht="15" customHeight="1">
      <c r="A244" t="inlineStr">
        <is>
          <t>A 40730-2024</t>
        </is>
      </c>
      <c r="B244" s="1" t="n">
        <v>45558.44914351852</v>
      </c>
      <c r="C244" s="1" t="n">
        <v>46086</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845-2023</t>
        </is>
      </c>
      <c r="B245" s="1" t="n">
        <v>44931</v>
      </c>
      <c r="C245" s="1" t="n">
        <v>46086</v>
      </c>
      <c r="D245" t="inlineStr">
        <is>
          <t>KALMAR LÄN</t>
        </is>
      </c>
      <c r="E245" t="inlineStr">
        <is>
          <t>VIMMERBY</t>
        </is>
      </c>
      <c r="F245" t="inlineStr">
        <is>
          <t>Övriga Aktiebolag</t>
        </is>
      </c>
      <c r="G245" t="n">
        <v>19</v>
      </c>
      <c r="H245" t="n">
        <v>0</v>
      </c>
      <c r="I245" t="n">
        <v>0</v>
      </c>
      <c r="J245" t="n">
        <v>0</v>
      </c>
      <c r="K245" t="n">
        <v>0</v>
      </c>
      <c r="L245" t="n">
        <v>0</v>
      </c>
      <c r="M245" t="n">
        <v>0</v>
      </c>
      <c r="N245" t="n">
        <v>0</v>
      </c>
      <c r="O245" t="n">
        <v>0</v>
      </c>
      <c r="P245" t="n">
        <v>0</v>
      </c>
      <c r="Q245" t="n">
        <v>0</v>
      </c>
      <c r="R245" s="2" t="inlineStr"/>
    </row>
    <row r="246" ht="15" customHeight="1">
      <c r="A246" t="inlineStr">
        <is>
          <t>A 6321-2023</t>
        </is>
      </c>
      <c r="B246" s="1" t="n">
        <v>44965.4815162037</v>
      </c>
      <c r="C246" s="1" t="n">
        <v>46086</v>
      </c>
      <c r="D246" t="inlineStr">
        <is>
          <t>KALMAR LÄN</t>
        </is>
      </c>
      <c r="E246" t="inlineStr">
        <is>
          <t>VIMMERBY</t>
        </is>
      </c>
      <c r="G246" t="n">
        <v>1.8</v>
      </c>
      <c r="H246" t="n">
        <v>0</v>
      </c>
      <c r="I246" t="n">
        <v>0</v>
      </c>
      <c r="J246" t="n">
        <v>0</v>
      </c>
      <c r="K246" t="n">
        <v>0</v>
      </c>
      <c r="L246" t="n">
        <v>0</v>
      </c>
      <c r="M246" t="n">
        <v>0</v>
      </c>
      <c r="N246" t="n">
        <v>0</v>
      </c>
      <c r="O246" t="n">
        <v>0</v>
      </c>
      <c r="P246" t="n">
        <v>0</v>
      </c>
      <c r="Q246" t="n">
        <v>0</v>
      </c>
      <c r="R246" s="2" t="inlineStr"/>
    </row>
    <row r="247" ht="15" customHeight="1">
      <c r="A247" t="inlineStr">
        <is>
          <t>A 4624-2024</t>
        </is>
      </c>
      <c r="B247" s="1" t="n">
        <v>45328.38755787037</v>
      </c>
      <c r="C247" s="1" t="n">
        <v>46086</v>
      </c>
      <c r="D247" t="inlineStr">
        <is>
          <t>KALMAR LÄN</t>
        </is>
      </c>
      <c r="E247" t="inlineStr">
        <is>
          <t>VIMMERBY</t>
        </is>
      </c>
      <c r="G247" t="n">
        <v>1.7</v>
      </c>
      <c r="H247" t="n">
        <v>0</v>
      </c>
      <c r="I247" t="n">
        <v>0</v>
      </c>
      <c r="J247" t="n">
        <v>0</v>
      </c>
      <c r="K247" t="n">
        <v>0</v>
      </c>
      <c r="L247" t="n">
        <v>0</v>
      </c>
      <c r="M247" t="n">
        <v>0</v>
      </c>
      <c r="N247" t="n">
        <v>0</v>
      </c>
      <c r="O247" t="n">
        <v>0</v>
      </c>
      <c r="P247" t="n">
        <v>0</v>
      </c>
      <c r="Q247" t="n">
        <v>0</v>
      </c>
      <c r="R247" s="2" t="inlineStr"/>
    </row>
    <row r="248" ht="15" customHeight="1">
      <c r="A248" t="inlineStr">
        <is>
          <t>A 2157-2024</t>
        </is>
      </c>
      <c r="B248" s="1" t="n">
        <v>45309.59487268519</v>
      </c>
      <c r="C248" s="1" t="n">
        <v>46086</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59598-2023</t>
        </is>
      </c>
      <c r="B249" s="1" t="n">
        <v>45254.62489583333</v>
      </c>
      <c r="C249" s="1" t="n">
        <v>46086</v>
      </c>
      <c r="D249" t="inlineStr">
        <is>
          <t>KALMAR LÄN</t>
        </is>
      </c>
      <c r="E249" t="inlineStr">
        <is>
          <t>VIMMERBY</t>
        </is>
      </c>
      <c r="F249" t="inlineStr">
        <is>
          <t>Övriga Aktiebolag</t>
        </is>
      </c>
      <c r="G249" t="n">
        <v>4</v>
      </c>
      <c r="H249" t="n">
        <v>0</v>
      </c>
      <c r="I249" t="n">
        <v>0</v>
      </c>
      <c r="J249" t="n">
        <v>0</v>
      </c>
      <c r="K249" t="n">
        <v>0</v>
      </c>
      <c r="L249" t="n">
        <v>0</v>
      </c>
      <c r="M249" t="n">
        <v>0</v>
      </c>
      <c r="N249" t="n">
        <v>0</v>
      </c>
      <c r="O249" t="n">
        <v>0</v>
      </c>
      <c r="P249" t="n">
        <v>0</v>
      </c>
      <c r="Q249" t="n">
        <v>0</v>
      </c>
      <c r="R249" s="2" t="inlineStr"/>
    </row>
    <row r="250" ht="15" customHeight="1">
      <c r="A250" t="inlineStr">
        <is>
          <t>A 7944-2024</t>
        </is>
      </c>
      <c r="B250" s="1" t="n">
        <v>45350.53306712963</v>
      </c>
      <c r="C250" s="1" t="n">
        <v>46086</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49461-2022</t>
        </is>
      </c>
      <c r="B251" s="1" t="n">
        <v>44861</v>
      </c>
      <c r="C251" s="1" t="n">
        <v>46086</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694-2024</t>
        </is>
      </c>
      <c r="B252" s="1" t="n">
        <v>45300.3794212963</v>
      </c>
      <c r="C252" s="1" t="n">
        <v>46086</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21496-2023</t>
        </is>
      </c>
      <c r="B253" s="1" t="n">
        <v>45063.49936342592</v>
      </c>
      <c r="C253" s="1" t="n">
        <v>46086</v>
      </c>
      <c r="D253" t="inlineStr">
        <is>
          <t>KALMAR LÄN</t>
        </is>
      </c>
      <c r="E253" t="inlineStr">
        <is>
          <t>VIMMERBY</t>
        </is>
      </c>
      <c r="G253" t="n">
        <v>1.1</v>
      </c>
      <c r="H253" t="n">
        <v>0</v>
      </c>
      <c r="I253" t="n">
        <v>0</v>
      </c>
      <c r="J253" t="n">
        <v>0</v>
      </c>
      <c r="K253" t="n">
        <v>0</v>
      </c>
      <c r="L253" t="n">
        <v>0</v>
      </c>
      <c r="M253" t="n">
        <v>0</v>
      </c>
      <c r="N253" t="n">
        <v>0</v>
      </c>
      <c r="O253" t="n">
        <v>0</v>
      </c>
      <c r="P253" t="n">
        <v>0</v>
      </c>
      <c r="Q253" t="n">
        <v>0</v>
      </c>
      <c r="R253" s="2" t="inlineStr"/>
    </row>
    <row r="254" ht="15" customHeight="1">
      <c r="A254" t="inlineStr">
        <is>
          <t>A 35198-2023</t>
        </is>
      </c>
      <c r="B254" s="1" t="n">
        <v>45145</v>
      </c>
      <c r="C254" s="1" t="n">
        <v>46086</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43853-2023</t>
        </is>
      </c>
      <c r="B255" s="1" t="n">
        <v>45187.60813657408</v>
      </c>
      <c r="C255" s="1" t="n">
        <v>46086</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38757-2023</t>
        </is>
      </c>
      <c r="B256" s="1" t="n">
        <v>45163.41376157408</v>
      </c>
      <c r="C256" s="1" t="n">
        <v>46086</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9511-2023</t>
        </is>
      </c>
      <c r="B257" s="1" t="n">
        <v>44981.64725694444</v>
      </c>
      <c r="C257" s="1" t="n">
        <v>46086</v>
      </c>
      <c r="D257" t="inlineStr">
        <is>
          <t>KALMAR LÄN</t>
        </is>
      </c>
      <c r="E257" t="inlineStr">
        <is>
          <t>VIMMERBY</t>
        </is>
      </c>
      <c r="G257" t="n">
        <v>3.5</v>
      </c>
      <c r="H257" t="n">
        <v>0</v>
      </c>
      <c r="I257" t="n">
        <v>0</v>
      </c>
      <c r="J257" t="n">
        <v>0</v>
      </c>
      <c r="K257" t="n">
        <v>0</v>
      </c>
      <c r="L257" t="n">
        <v>0</v>
      </c>
      <c r="M257" t="n">
        <v>0</v>
      </c>
      <c r="N257" t="n">
        <v>0</v>
      </c>
      <c r="O257" t="n">
        <v>0</v>
      </c>
      <c r="P257" t="n">
        <v>0</v>
      </c>
      <c r="Q257" t="n">
        <v>0</v>
      </c>
      <c r="R257" s="2" t="inlineStr"/>
    </row>
    <row r="258" ht="15" customHeight="1">
      <c r="A258" t="inlineStr">
        <is>
          <t>A 29973-2023</t>
        </is>
      </c>
      <c r="B258" s="1" t="n">
        <v>45108.703125</v>
      </c>
      <c r="C258" s="1" t="n">
        <v>46086</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50648-2023</t>
        </is>
      </c>
      <c r="B259" s="1" t="n">
        <v>45217.47834490741</v>
      </c>
      <c r="C259" s="1" t="n">
        <v>46086</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64143-2021</t>
        </is>
      </c>
      <c r="B260" s="1" t="n">
        <v>44510.52157407408</v>
      </c>
      <c r="C260" s="1" t="n">
        <v>46086</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46086</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529-2022</t>
        </is>
      </c>
      <c r="B262" s="1" t="n">
        <v>44566</v>
      </c>
      <c r="C262" s="1" t="n">
        <v>46086</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40076-2021</t>
        </is>
      </c>
      <c r="B263" s="1" t="n">
        <v>44418</v>
      </c>
      <c r="C263" s="1" t="n">
        <v>46086</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58318-2021</t>
        </is>
      </c>
      <c r="B264" s="1" t="n">
        <v>44488.35878472222</v>
      </c>
      <c r="C264" s="1" t="n">
        <v>46086</v>
      </c>
      <c r="D264" t="inlineStr">
        <is>
          <t>KALMAR LÄN</t>
        </is>
      </c>
      <c r="E264" t="inlineStr">
        <is>
          <t>VIMMERBY</t>
        </is>
      </c>
      <c r="G264" t="n">
        <v>4</v>
      </c>
      <c r="H264" t="n">
        <v>0</v>
      </c>
      <c r="I264" t="n">
        <v>0</v>
      </c>
      <c r="J264" t="n">
        <v>0</v>
      </c>
      <c r="K264" t="n">
        <v>0</v>
      </c>
      <c r="L264" t="n">
        <v>0</v>
      </c>
      <c r="M264" t="n">
        <v>0</v>
      </c>
      <c r="N264" t="n">
        <v>0</v>
      </c>
      <c r="O264" t="n">
        <v>0</v>
      </c>
      <c r="P264" t="n">
        <v>0</v>
      </c>
      <c r="Q264" t="n">
        <v>0</v>
      </c>
      <c r="R264" s="2" t="inlineStr"/>
    </row>
    <row r="265" ht="15" customHeight="1">
      <c r="A265" t="inlineStr">
        <is>
          <t>A 89-2023</t>
        </is>
      </c>
      <c r="B265" s="1" t="n">
        <v>44918</v>
      </c>
      <c r="C265" s="1" t="n">
        <v>46086</v>
      </c>
      <c r="D265" t="inlineStr">
        <is>
          <t>KALMAR LÄN</t>
        </is>
      </c>
      <c r="E265" t="inlineStr">
        <is>
          <t>VIMMERBY</t>
        </is>
      </c>
      <c r="G265" t="n">
        <v>16.1</v>
      </c>
      <c r="H265" t="n">
        <v>0</v>
      </c>
      <c r="I265" t="n">
        <v>0</v>
      </c>
      <c r="J265" t="n">
        <v>0</v>
      </c>
      <c r="K265" t="n">
        <v>0</v>
      </c>
      <c r="L265" t="n">
        <v>0</v>
      </c>
      <c r="M265" t="n">
        <v>0</v>
      </c>
      <c r="N265" t="n">
        <v>0</v>
      </c>
      <c r="O265" t="n">
        <v>0</v>
      </c>
      <c r="P265" t="n">
        <v>0</v>
      </c>
      <c r="Q265" t="n">
        <v>0</v>
      </c>
      <c r="R265" s="2" t="inlineStr"/>
    </row>
    <row r="266" ht="15" customHeight="1">
      <c r="A266" t="inlineStr">
        <is>
          <t>A 63583-2023</t>
        </is>
      </c>
      <c r="B266" s="1" t="n">
        <v>45275.41833333333</v>
      </c>
      <c r="C266" s="1" t="n">
        <v>46086</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23088-2024</t>
        </is>
      </c>
      <c r="B267" s="1" t="n">
        <v>45450.51092592593</v>
      </c>
      <c r="C267" s="1" t="n">
        <v>46086</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40079-2023</t>
        </is>
      </c>
      <c r="B268" s="1" t="n">
        <v>45168.89298611111</v>
      </c>
      <c r="C268" s="1" t="n">
        <v>46086</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43774-2023</t>
        </is>
      </c>
      <c r="B269" s="1" t="n">
        <v>45187</v>
      </c>
      <c r="C269" s="1" t="n">
        <v>46086</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29616-2022</t>
        </is>
      </c>
      <c r="B270" s="1" t="n">
        <v>44754</v>
      </c>
      <c r="C270" s="1" t="n">
        <v>46086</v>
      </c>
      <c r="D270" t="inlineStr">
        <is>
          <t>KALMAR LÄN</t>
        </is>
      </c>
      <c r="E270" t="inlineStr">
        <is>
          <t>VIMMERBY</t>
        </is>
      </c>
      <c r="G270" t="n">
        <v>1.1</v>
      </c>
      <c r="H270" t="n">
        <v>0</v>
      </c>
      <c r="I270" t="n">
        <v>0</v>
      </c>
      <c r="J270" t="n">
        <v>0</v>
      </c>
      <c r="K270" t="n">
        <v>0</v>
      </c>
      <c r="L270" t="n">
        <v>0</v>
      </c>
      <c r="M270" t="n">
        <v>0</v>
      </c>
      <c r="N270" t="n">
        <v>0</v>
      </c>
      <c r="O270" t="n">
        <v>0</v>
      </c>
      <c r="P270" t="n">
        <v>0</v>
      </c>
      <c r="Q270" t="n">
        <v>0</v>
      </c>
      <c r="R270" s="2" t="inlineStr"/>
    </row>
    <row r="271" ht="15" customHeight="1">
      <c r="A271" t="inlineStr">
        <is>
          <t>A 38851-2023</t>
        </is>
      </c>
      <c r="B271" s="1" t="n">
        <v>45163</v>
      </c>
      <c r="C271" s="1" t="n">
        <v>46086</v>
      </c>
      <c r="D271" t="inlineStr">
        <is>
          <t>KALMAR LÄN</t>
        </is>
      </c>
      <c r="E271" t="inlineStr">
        <is>
          <t>VIMMERBY</t>
        </is>
      </c>
      <c r="G271" t="n">
        <v>4.3</v>
      </c>
      <c r="H271" t="n">
        <v>0</v>
      </c>
      <c r="I271" t="n">
        <v>0</v>
      </c>
      <c r="J271" t="n">
        <v>0</v>
      </c>
      <c r="K271" t="n">
        <v>0</v>
      </c>
      <c r="L271" t="n">
        <v>0</v>
      </c>
      <c r="M271" t="n">
        <v>0</v>
      </c>
      <c r="N271" t="n">
        <v>0</v>
      </c>
      <c r="O271" t="n">
        <v>0</v>
      </c>
      <c r="P271" t="n">
        <v>0</v>
      </c>
      <c r="Q271" t="n">
        <v>0</v>
      </c>
      <c r="R271" s="2" t="inlineStr"/>
    </row>
    <row r="272" ht="15" customHeight="1">
      <c r="A272" t="inlineStr">
        <is>
          <t>A 39578-2024</t>
        </is>
      </c>
      <c r="B272" s="1" t="n">
        <v>45552.36484953704</v>
      </c>
      <c r="C272" s="1" t="n">
        <v>46086</v>
      </c>
      <c r="D272" t="inlineStr">
        <is>
          <t>KALMAR LÄN</t>
        </is>
      </c>
      <c r="E272" t="inlineStr">
        <is>
          <t>VIMMERBY</t>
        </is>
      </c>
      <c r="G272" t="n">
        <v>1.5</v>
      </c>
      <c r="H272" t="n">
        <v>0</v>
      </c>
      <c r="I272" t="n">
        <v>0</v>
      </c>
      <c r="J272" t="n">
        <v>0</v>
      </c>
      <c r="K272" t="n">
        <v>0</v>
      </c>
      <c r="L272" t="n">
        <v>0</v>
      </c>
      <c r="M272" t="n">
        <v>0</v>
      </c>
      <c r="N272" t="n">
        <v>0</v>
      </c>
      <c r="O272" t="n">
        <v>0</v>
      </c>
      <c r="P272" t="n">
        <v>0</v>
      </c>
      <c r="Q272" t="n">
        <v>0</v>
      </c>
      <c r="R272" s="2" t="inlineStr"/>
    </row>
    <row r="273" ht="15" customHeight="1">
      <c r="A273" t="inlineStr">
        <is>
          <t>A 10759-2023</t>
        </is>
      </c>
      <c r="B273" s="1" t="n">
        <v>44988</v>
      </c>
      <c r="C273" s="1" t="n">
        <v>46086</v>
      </c>
      <c r="D273" t="inlineStr">
        <is>
          <t>KALMAR LÄN</t>
        </is>
      </c>
      <c r="E273" t="inlineStr">
        <is>
          <t>VIMMERBY</t>
        </is>
      </c>
      <c r="G273" t="n">
        <v>0.4</v>
      </c>
      <c r="H273" t="n">
        <v>0</v>
      </c>
      <c r="I273" t="n">
        <v>0</v>
      </c>
      <c r="J273" t="n">
        <v>0</v>
      </c>
      <c r="K273" t="n">
        <v>0</v>
      </c>
      <c r="L273" t="n">
        <v>0</v>
      </c>
      <c r="M273" t="n">
        <v>0</v>
      </c>
      <c r="N273" t="n">
        <v>0</v>
      </c>
      <c r="O273" t="n">
        <v>0</v>
      </c>
      <c r="P273" t="n">
        <v>0</v>
      </c>
      <c r="Q273" t="n">
        <v>0</v>
      </c>
      <c r="R273" s="2" t="inlineStr"/>
    </row>
    <row r="274" ht="15" customHeight="1">
      <c r="A274" t="inlineStr">
        <is>
          <t>A 24707-2024</t>
        </is>
      </c>
      <c r="B274" s="1" t="n">
        <v>45460.62172453704</v>
      </c>
      <c r="C274" s="1" t="n">
        <v>46086</v>
      </c>
      <c r="D274" t="inlineStr">
        <is>
          <t>KALMAR LÄN</t>
        </is>
      </c>
      <c r="E274" t="inlineStr">
        <is>
          <t>VIMMERBY</t>
        </is>
      </c>
      <c r="G274" t="n">
        <v>1.7</v>
      </c>
      <c r="H274" t="n">
        <v>0</v>
      </c>
      <c r="I274" t="n">
        <v>0</v>
      </c>
      <c r="J274" t="n">
        <v>0</v>
      </c>
      <c r="K274" t="n">
        <v>0</v>
      </c>
      <c r="L274" t="n">
        <v>0</v>
      </c>
      <c r="M274" t="n">
        <v>0</v>
      </c>
      <c r="N274" t="n">
        <v>0</v>
      </c>
      <c r="O274" t="n">
        <v>0</v>
      </c>
      <c r="P274" t="n">
        <v>0</v>
      </c>
      <c r="Q274" t="n">
        <v>0</v>
      </c>
      <c r="R274" s="2" t="inlineStr"/>
    </row>
    <row r="275" ht="15" customHeight="1">
      <c r="A275" t="inlineStr">
        <is>
          <t>A 40828-2023</t>
        </is>
      </c>
      <c r="B275" s="1" t="n">
        <v>45171.96248842592</v>
      </c>
      <c r="C275" s="1" t="n">
        <v>46086</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61861-2024</t>
        </is>
      </c>
      <c r="B276" s="1" t="n">
        <v>45650.37370370371</v>
      </c>
      <c r="C276" s="1" t="n">
        <v>46086</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31056-2022</t>
        </is>
      </c>
      <c r="B277" s="1" t="n">
        <v>44769.45805555556</v>
      </c>
      <c r="C277" s="1" t="n">
        <v>46086</v>
      </c>
      <c r="D277" t="inlineStr">
        <is>
          <t>KALMAR LÄN</t>
        </is>
      </c>
      <c r="E277" t="inlineStr">
        <is>
          <t>VIMMERBY</t>
        </is>
      </c>
      <c r="G277" t="n">
        <v>2</v>
      </c>
      <c r="H277" t="n">
        <v>0</v>
      </c>
      <c r="I277" t="n">
        <v>0</v>
      </c>
      <c r="J277" t="n">
        <v>0</v>
      </c>
      <c r="K277" t="n">
        <v>0</v>
      </c>
      <c r="L277" t="n">
        <v>0</v>
      </c>
      <c r="M277" t="n">
        <v>0</v>
      </c>
      <c r="N277" t="n">
        <v>0</v>
      </c>
      <c r="O277" t="n">
        <v>0</v>
      </c>
      <c r="P277" t="n">
        <v>0</v>
      </c>
      <c r="Q277" t="n">
        <v>0</v>
      </c>
      <c r="R277" s="2" t="inlineStr"/>
    </row>
    <row r="278" ht="15" customHeight="1">
      <c r="A278" t="inlineStr">
        <is>
          <t>A 33383-2023</t>
        </is>
      </c>
      <c r="B278" s="1" t="n">
        <v>45128.58414351852</v>
      </c>
      <c r="C278" s="1" t="n">
        <v>46086</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29783-2024</t>
        </is>
      </c>
      <c r="B279" s="1" t="n">
        <v>45485.45778935185</v>
      </c>
      <c r="C279" s="1" t="n">
        <v>46086</v>
      </c>
      <c r="D279" t="inlineStr">
        <is>
          <t>KALMAR LÄN</t>
        </is>
      </c>
      <c r="E279" t="inlineStr">
        <is>
          <t>VIMMERBY</t>
        </is>
      </c>
      <c r="G279" t="n">
        <v>3.1</v>
      </c>
      <c r="H279" t="n">
        <v>0</v>
      </c>
      <c r="I279" t="n">
        <v>0</v>
      </c>
      <c r="J279" t="n">
        <v>0</v>
      </c>
      <c r="K279" t="n">
        <v>0</v>
      </c>
      <c r="L279" t="n">
        <v>0</v>
      </c>
      <c r="M279" t="n">
        <v>0</v>
      </c>
      <c r="N279" t="n">
        <v>0</v>
      </c>
      <c r="O279" t="n">
        <v>0</v>
      </c>
      <c r="P279" t="n">
        <v>0</v>
      </c>
      <c r="Q279" t="n">
        <v>0</v>
      </c>
      <c r="R279" s="2" t="inlineStr"/>
    </row>
    <row r="280" ht="15" customHeight="1">
      <c r="A280" t="inlineStr">
        <is>
          <t>A 2518-2026</t>
        </is>
      </c>
      <c r="B280" s="1" t="n">
        <v>46037.42511574074</v>
      </c>
      <c r="C280" s="1" t="n">
        <v>46086</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8650-2022</t>
        </is>
      </c>
      <c r="B281" s="1" t="n">
        <v>44613</v>
      </c>
      <c r="C281" s="1" t="n">
        <v>46086</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33340-2023</t>
        </is>
      </c>
      <c r="B282" s="1" t="n">
        <v>45128.37305555555</v>
      </c>
      <c r="C282" s="1" t="n">
        <v>46086</v>
      </c>
      <c r="D282" t="inlineStr">
        <is>
          <t>KALMAR LÄN</t>
        </is>
      </c>
      <c r="E282" t="inlineStr">
        <is>
          <t>VIMMERBY</t>
        </is>
      </c>
      <c r="G282" t="n">
        <v>1.5</v>
      </c>
      <c r="H282" t="n">
        <v>0</v>
      </c>
      <c r="I282" t="n">
        <v>0</v>
      </c>
      <c r="J282" t="n">
        <v>0</v>
      </c>
      <c r="K282" t="n">
        <v>0</v>
      </c>
      <c r="L282" t="n">
        <v>0</v>
      </c>
      <c r="M282" t="n">
        <v>0</v>
      </c>
      <c r="N282" t="n">
        <v>0</v>
      </c>
      <c r="O282" t="n">
        <v>0</v>
      </c>
      <c r="P282" t="n">
        <v>0</v>
      </c>
      <c r="Q282" t="n">
        <v>0</v>
      </c>
      <c r="R282" s="2" t="inlineStr"/>
    </row>
    <row r="283" ht="15" customHeight="1">
      <c r="A283" t="inlineStr">
        <is>
          <t>A 44423-2023</t>
        </is>
      </c>
      <c r="B283" s="1" t="n">
        <v>45189</v>
      </c>
      <c r="C283" s="1" t="n">
        <v>46086</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37323-2024</t>
        </is>
      </c>
      <c r="B284" s="1" t="n">
        <v>45540.50098379629</v>
      </c>
      <c r="C284" s="1" t="n">
        <v>46086</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38604-2025</t>
        </is>
      </c>
      <c r="B285" s="1" t="n">
        <v>45884.50613425926</v>
      </c>
      <c r="C285" s="1" t="n">
        <v>46086</v>
      </c>
      <c r="D285" t="inlineStr">
        <is>
          <t>KALMAR LÄN</t>
        </is>
      </c>
      <c r="E285" t="inlineStr">
        <is>
          <t>VIMMERBY</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18501-2024</t>
        </is>
      </c>
      <c r="B286" s="1" t="n">
        <v>45425.57538194444</v>
      </c>
      <c r="C286" s="1" t="n">
        <v>46086</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10965-2026</t>
        </is>
      </c>
      <c r="B287" s="1" t="n">
        <v>46079.43295138889</v>
      </c>
      <c r="C287" s="1" t="n">
        <v>46086</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27758-2024</t>
        </is>
      </c>
      <c r="B288" s="1" t="n">
        <v>45475.48303240741</v>
      </c>
      <c r="C288" s="1" t="n">
        <v>46086</v>
      </c>
      <c r="D288" t="inlineStr">
        <is>
          <t>KALMAR LÄN</t>
        </is>
      </c>
      <c r="E288" t="inlineStr">
        <is>
          <t>VIMMERBY</t>
        </is>
      </c>
      <c r="G288" t="n">
        <v>2.6</v>
      </c>
      <c r="H288" t="n">
        <v>0</v>
      </c>
      <c r="I288" t="n">
        <v>0</v>
      </c>
      <c r="J288" t="n">
        <v>0</v>
      </c>
      <c r="K288" t="n">
        <v>0</v>
      </c>
      <c r="L288" t="n">
        <v>0</v>
      </c>
      <c r="M288" t="n">
        <v>0</v>
      </c>
      <c r="N288" t="n">
        <v>0</v>
      </c>
      <c r="O288" t="n">
        <v>0</v>
      </c>
      <c r="P288" t="n">
        <v>0</v>
      </c>
      <c r="Q288" t="n">
        <v>0</v>
      </c>
      <c r="R288" s="2" t="inlineStr"/>
    </row>
    <row r="289" ht="15" customHeight="1">
      <c r="A289" t="inlineStr">
        <is>
          <t>A 13307-2025</t>
        </is>
      </c>
      <c r="B289" s="1" t="n">
        <v>45735.58024305556</v>
      </c>
      <c r="C289" s="1" t="n">
        <v>46086</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2514-2026</t>
        </is>
      </c>
      <c r="B290" s="1" t="n">
        <v>46037.42219907408</v>
      </c>
      <c r="C290" s="1" t="n">
        <v>46086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55716-2023</t>
        </is>
      </c>
      <c r="B291" s="1" t="n">
        <v>45232</v>
      </c>
      <c r="C291" s="1" t="n">
        <v>46086</v>
      </c>
      <c r="D291" t="inlineStr">
        <is>
          <t>KALMAR LÄN</t>
        </is>
      </c>
      <c r="E291" t="inlineStr">
        <is>
          <t>VIMMERBY</t>
        </is>
      </c>
      <c r="G291" t="n">
        <v>2.3</v>
      </c>
      <c r="H291" t="n">
        <v>0</v>
      </c>
      <c r="I291" t="n">
        <v>0</v>
      </c>
      <c r="J291" t="n">
        <v>0</v>
      </c>
      <c r="K291" t="n">
        <v>0</v>
      </c>
      <c r="L291" t="n">
        <v>0</v>
      </c>
      <c r="M291" t="n">
        <v>0</v>
      </c>
      <c r="N291" t="n">
        <v>0</v>
      </c>
      <c r="O291" t="n">
        <v>0</v>
      </c>
      <c r="P291" t="n">
        <v>0</v>
      </c>
      <c r="Q291" t="n">
        <v>0</v>
      </c>
      <c r="R291" s="2" t="inlineStr"/>
    </row>
    <row r="292" ht="15" customHeight="1">
      <c r="A292" t="inlineStr">
        <is>
          <t>A 28286-2025</t>
        </is>
      </c>
      <c r="B292" s="1" t="n">
        <v>45818.58993055556</v>
      </c>
      <c r="C292" s="1" t="n">
        <v>46086</v>
      </c>
      <c r="D292" t="inlineStr">
        <is>
          <t>KALMAR LÄN</t>
        </is>
      </c>
      <c r="E292" t="inlineStr">
        <is>
          <t>VIMMERBY</t>
        </is>
      </c>
      <c r="F292" t="inlineStr">
        <is>
          <t>Sveaskog</t>
        </is>
      </c>
      <c r="G292" t="n">
        <v>8</v>
      </c>
      <c r="H292" t="n">
        <v>0</v>
      </c>
      <c r="I292" t="n">
        <v>0</v>
      </c>
      <c r="J292" t="n">
        <v>0</v>
      </c>
      <c r="K292" t="n">
        <v>0</v>
      </c>
      <c r="L292" t="n">
        <v>0</v>
      </c>
      <c r="M292" t="n">
        <v>0</v>
      </c>
      <c r="N292" t="n">
        <v>0</v>
      </c>
      <c r="O292" t="n">
        <v>0</v>
      </c>
      <c r="P292" t="n">
        <v>0</v>
      </c>
      <c r="Q292" t="n">
        <v>0</v>
      </c>
      <c r="R292" s="2" t="inlineStr"/>
    </row>
    <row r="293" ht="15" customHeight="1">
      <c r="A293" t="inlineStr">
        <is>
          <t>A 28282-2025</t>
        </is>
      </c>
      <c r="B293" s="1" t="n">
        <v>45818.58769675926</v>
      </c>
      <c r="C293" s="1" t="n">
        <v>46086</v>
      </c>
      <c r="D293" t="inlineStr">
        <is>
          <t>KALMAR LÄN</t>
        </is>
      </c>
      <c r="E293" t="inlineStr">
        <is>
          <t>VIMMERBY</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28294-2025</t>
        </is>
      </c>
      <c r="B294" s="1" t="n">
        <v>45818.595625</v>
      </c>
      <c r="C294" s="1" t="n">
        <v>46086</v>
      </c>
      <c r="D294" t="inlineStr">
        <is>
          <t>KALMAR LÄN</t>
        </is>
      </c>
      <c r="E294" t="inlineStr">
        <is>
          <t>VIMMERBY</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28290-2025</t>
        </is>
      </c>
      <c r="B295" s="1" t="n">
        <v>45818.59261574074</v>
      </c>
      <c r="C295" s="1" t="n">
        <v>46086</v>
      </c>
      <c r="D295" t="inlineStr">
        <is>
          <t>KALMAR LÄN</t>
        </is>
      </c>
      <c r="E295" t="inlineStr">
        <is>
          <t>VIMMERBY</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18329-2023</t>
        </is>
      </c>
      <c r="B296" s="1" t="n">
        <v>45041.63380787037</v>
      </c>
      <c r="C296" s="1" t="n">
        <v>46086</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28280-2025</t>
        </is>
      </c>
      <c r="B297" s="1" t="n">
        <v>45818.5862037037</v>
      </c>
      <c r="C297" s="1" t="n">
        <v>46086</v>
      </c>
      <c r="D297" t="inlineStr">
        <is>
          <t>KALMAR LÄN</t>
        </is>
      </c>
      <c r="E297" t="inlineStr">
        <is>
          <t>VIMMERBY</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28620-2025</t>
        </is>
      </c>
      <c r="B298" s="1" t="n">
        <v>45819.61060185185</v>
      </c>
      <c r="C298" s="1" t="n">
        <v>46086</v>
      </c>
      <c r="D298" t="inlineStr">
        <is>
          <t>KALMAR LÄN</t>
        </is>
      </c>
      <c r="E298" t="inlineStr">
        <is>
          <t>VIMMERBY</t>
        </is>
      </c>
      <c r="G298" t="n">
        <v>5.6</v>
      </c>
      <c r="H298" t="n">
        <v>0</v>
      </c>
      <c r="I298" t="n">
        <v>0</v>
      </c>
      <c r="J298" t="n">
        <v>0</v>
      </c>
      <c r="K298" t="n">
        <v>0</v>
      </c>
      <c r="L298" t="n">
        <v>0</v>
      </c>
      <c r="M298" t="n">
        <v>0</v>
      </c>
      <c r="N298" t="n">
        <v>0</v>
      </c>
      <c r="O298" t="n">
        <v>0</v>
      </c>
      <c r="P298" t="n">
        <v>0</v>
      </c>
      <c r="Q298" t="n">
        <v>0</v>
      </c>
      <c r="R298" s="2" t="inlineStr"/>
    </row>
    <row r="299" ht="15" customHeight="1">
      <c r="A299" t="inlineStr">
        <is>
          <t>A 13015-2023</t>
        </is>
      </c>
      <c r="B299" s="1" t="n">
        <v>45002</v>
      </c>
      <c r="C299" s="1" t="n">
        <v>46086</v>
      </c>
      <c r="D299" t="inlineStr">
        <is>
          <t>KALMAR LÄN</t>
        </is>
      </c>
      <c r="E299" t="inlineStr">
        <is>
          <t>VIMMERBY</t>
        </is>
      </c>
      <c r="G299" t="n">
        <v>3.2</v>
      </c>
      <c r="H299" t="n">
        <v>0</v>
      </c>
      <c r="I299" t="n">
        <v>0</v>
      </c>
      <c r="J299" t="n">
        <v>0</v>
      </c>
      <c r="K299" t="n">
        <v>0</v>
      </c>
      <c r="L299" t="n">
        <v>0</v>
      </c>
      <c r="M299" t="n">
        <v>0</v>
      </c>
      <c r="N299" t="n">
        <v>0</v>
      </c>
      <c r="O299" t="n">
        <v>0</v>
      </c>
      <c r="P299" t="n">
        <v>0</v>
      </c>
      <c r="Q299" t="n">
        <v>0</v>
      </c>
      <c r="R299" s="2" t="inlineStr"/>
    </row>
    <row r="300" ht="15" customHeight="1">
      <c r="A300" t="inlineStr">
        <is>
          <t>A 29726-2025</t>
        </is>
      </c>
      <c r="B300" s="1" t="n">
        <v>45825.57805555555</v>
      </c>
      <c r="C300" s="1" t="n">
        <v>46086</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28712-2025</t>
        </is>
      </c>
      <c r="B301" s="1" t="n">
        <v>45820.33708333333</v>
      </c>
      <c r="C301" s="1" t="n">
        <v>46086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28714-2025</t>
        </is>
      </c>
      <c r="B302" s="1" t="n">
        <v>45820.34128472222</v>
      </c>
      <c r="C302" s="1" t="n">
        <v>46086</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29186-2024</t>
        </is>
      </c>
      <c r="B303" s="1" t="n">
        <v>45482.54844907407</v>
      </c>
      <c r="C303" s="1" t="n">
        <v>46086</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28713-2025</t>
        </is>
      </c>
      <c r="B304" s="1" t="n">
        <v>45820.33930555556</v>
      </c>
      <c r="C304" s="1" t="n">
        <v>46086</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50993-2022</t>
        </is>
      </c>
      <c r="B305" s="1" t="n">
        <v>44867</v>
      </c>
      <c r="C305" s="1" t="n">
        <v>46086</v>
      </c>
      <c r="D305" t="inlineStr">
        <is>
          <t>KALMAR LÄN</t>
        </is>
      </c>
      <c r="E305" t="inlineStr">
        <is>
          <t>VIMMERBY</t>
        </is>
      </c>
      <c r="G305" t="n">
        <v>1.7</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46086</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54787-2023</t>
        </is>
      </c>
      <c r="B307" s="1" t="n">
        <v>45236</v>
      </c>
      <c r="C307" s="1" t="n">
        <v>46086</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39807-2025</t>
        </is>
      </c>
      <c r="B308" s="1" t="n">
        <v>45891.50986111111</v>
      </c>
      <c r="C308" s="1" t="n">
        <v>46086</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39736-2025</t>
        </is>
      </c>
      <c r="B309" s="1" t="n">
        <v>45891</v>
      </c>
      <c r="C309" s="1" t="n">
        <v>46086</v>
      </c>
      <c r="D309" t="inlineStr">
        <is>
          <t>KALMAR LÄN</t>
        </is>
      </c>
      <c r="E309" t="inlineStr">
        <is>
          <t>VIMMERBY</t>
        </is>
      </c>
      <c r="G309" t="n">
        <v>12.8</v>
      </c>
      <c r="H309" t="n">
        <v>0</v>
      </c>
      <c r="I309" t="n">
        <v>0</v>
      </c>
      <c r="J309" t="n">
        <v>0</v>
      </c>
      <c r="K309" t="n">
        <v>0</v>
      </c>
      <c r="L309" t="n">
        <v>0</v>
      </c>
      <c r="M309" t="n">
        <v>0</v>
      </c>
      <c r="N309" t="n">
        <v>0</v>
      </c>
      <c r="O309" t="n">
        <v>0</v>
      </c>
      <c r="P309" t="n">
        <v>0</v>
      </c>
      <c r="Q309" t="n">
        <v>0</v>
      </c>
      <c r="R309" s="2" t="inlineStr"/>
    </row>
    <row r="310" ht="15" customHeight="1">
      <c r="A310" t="inlineStr">
        <is>
          <t>A 32614-2023</t>
        </is>
      </c>
      <c r="B310" s="1" t="n">
        <v>45121</v>
      </c>
      <c r="C310" s="1" t="n">
        <v>46086</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29737-2025</t>
        </is>
      </c>
      <c r="B311" s="1" t="n">
        <v>45825.58672453704</v>
      </c>
      <c r="C311" s="1" t="n">
        <v>46086</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6850-2023</t>
        </is>
      </c>
      <c r="B312" s="1" t="n">
        <v>44967.44255787037</v>
      </c>
      <c r="C312" s="1" t="n">
        <v>46086</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58750-2022</t>
        </is>
      </c>
      <c r="B313" s="1" t="n">
        <v>44903.33363425926</v>
      </c>
      <c r="C313" s="1" t="n">
        <v>46086</v>
      </c>
      <c r="D313" t="inlineStr">
        <is>
          <t>KALMAR LÄN</t>
        </is>
      </c>
      <c r="E313" t="inlineStr">
        <is>
          <t>VIMMERBY</t>
        </is>
      </c>
      <c r="G313" t="n">
        <v>3.3</v>
      </c>
      <c r="H313" t="n">
        <v>0</v>
      </c>
      <c r="I313" t="n">
        <v>0</v>
      </c>
      <c r="J313" t="n">
        <v>0</v>
      </c>
      <c r="K313" t="n">
        <v>0</v>
      </c>
      <c r="L313" t="n">
        <v>0</v>
      </c>
      <c r="M313" t="n">
        <v>0</v>
      </c>
      <c r="N313" t="n">
        <v>0</v>
      </c>
      <c r="O313" t="n">
        <v>0</v>
      </c>
      <c r="P313" t="n">
        <v>0</v>
      </c>
      <c r="Q313" t="n">
        <v>0</v>
      </c>
      <c r="R313" s="2" t="inlineStr"/>
    </row>
    <row r="314" ht="15" customHeight="1">
      <c r="A314" t="inlineStr">
        <is>
          <t>A 29727-2025</t>
        </is>
      </c>
      <c r="B314" s="1" t="n">
        <v>45825.5796875</v>
      </c>
      <c r="C314" s="1" t="n">
        <v>46086</v>
      </c>
      <c r="D314" t="inlineStr">
        <is>
          <t>KALMAR LÄN</t>
        </is>
      </c>
      <c r="E314" t="inlineStr">
        <is>
          <t>VIMMERBY</t>
        </is>
      </c>
      <c r="G314" t="n">
        <v>1.3</v>
      </c>
      <c r="H314" t="n">
        <v>0</v>
      </c>
      <c r="I314" t="n">
        <v>0</v>
      </c>
      <c r="J314" t="n">
        <v>0</v>
      </c>
      <c r="K314" t="n">
        <v>0</v>
      </c>
      <c r="L314" t="n">
        <v>0</v>
      </c>
      <c r="M314" t="n">
        <v>0</v>
      </c>
      <c r="N314" t="n">
        <v>0</v>
      </c>
      <c r="O314" t="n">
        <v>0</v>
      </c>
      <c r="P314" t="n">
        <v>0</v>
      </c>
      <c r="Q314" t="n">
        <v>0</v>
      </c>
      <c r="R314" s="2" t="inlineStr"/>
    </row>
    <row r="315" ht="15" customHeight="1">
      <c r="A315" t="inlineStr">
        <is>
          <t>A 41158-2023</t>
        </is>
      </c>
      <c r="B315" s="1" t="n">
        <v>45174.31395833333</v>
      </c>
      <c r="C315" s="1" t="n">
        <v>46086</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39803-2025</t>
        </is>
      </c>
      <c r="B316" s="1" t="n">
        <v>45891.50525462963</v>
      </c>
      <c r="C316" s="1" t="n">
        <v>46086</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2510-2023</t>
        </is>
      </c>
      <c r="B317" s="1" t="n">
        <v>44943.57309027778</v>
      </c>
      <c r="C317" s="1" t="n">
        <v>46086</v>
      </c>
      <c r="D317" t="inlineStr">
        <is>
          <t>KALMAR LÄN</t>
        </is>
      </c>
      <c r="E317" t="inlineStr">
        <is>
          <t>VIMMERBY</t>
        </is>
      </c>
      <c r="G317" t="n">
        <v>8.6</v>
      </c>
      <c r="H317" t="n">
        <v>0</v>
      </c>
      <c r="I317" t="n">
        <v>0</v>
      </c>
      <c r="J317" t="n">
        <v>0</v>
      </c>
      <c r="K317" t="n">
        <v>0</v>
      </c>
      <c r="L317" t="n">
        <v>0</v>
      </c>
      <c r="M317" t="n">
        <v>0</v>
      </c>
      <c r="N317" t="n">
        <v>0</v>
      </c>
      <c r="O317" t="n">
        <v>0</v>
      </c>
      <c r="P317" t="n">
        <v>0</v>
      </c>
      <c r="Q317" t="n">
        <v>0</v>
      </c>
      <c r="R317" s="2" t="inlineStr"/>
    </row>
    <row r="318" ht="15" customHeight="1">
      <c r="A318" t="inlineStr">
        <is>
          <t>A 39889-2025</t>
        </is>
      </c>
      <c r="B318" s="1" t="n">
        <v>45891</v>
      </c>
      <c r="C318" s="1" t="n">
        <v>46086</v>
      </c>
      <c r="D318" t="inlineStr">
        <is>
          <t>KALMAR LÄN</t>
        </is>
      </c>
      <c r="E318" t="inlineStr">
        <is>
          <t>VIMMERBY</t>
        </is>
      </c>
      <c r="G318" t="n">
        <v>4.5</v>
      </c>
      <c r="H318" t="n">
        <v>0</v>
      </c>
      <c r="I318" t="n">
        <v>0</v>
      </c>
      <c r="J318" t="n">
        <v>0</v>
      </c>
      <c r="K318" t="n">
        <v>0</v>
      </c>
      <c r="L318" t="n">
        <v>0</v>
      </c>
      <c r="M318" t="n">
        <v>0</v>
      </c>
      <c r="N318" t="n">
        <v>0</v>
      </c>
      <c r="O318" t="n">
        <v>0</v>
      </c>
      <c r="P318" t="n">
        <v>0</v>
      </c>
      <c r="Q318" t="n">
        <v>0</v>
      </c>
      <c r="R318" s="2" t="inlineStr"/>
    </row>
    <row r="319" ht="15" customHeight="1">
      <c r="A319" t="inlineStr">
        <is>
          <t>A 3269-2024</t>
        </is>
      </c>
      <c r="B319" s="1" t="n">
        <v>45317.40372685185</v>
      </c>
      <c r="C319" s="1" t="n">
        <v>46086</v>
      </c>
      <c r="D319" t="inlineStr">
        <is>
          <t>KALMAR LÄN</t>
        </is>
      </c>
      <c r="E319" t="inlineStr">
        <is>
          <t>VIMMERBY</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48120-2022</t>
        </is>
      </c>
      <c r="B320" s="1" t="n">
        <v>44857.65989583333</v>
      </c>
      <c r="C320" s="1" t="n">
        <v>46086</v>
      </c>
      <c r="D320" t="inlineStr">
        <is>
          <t>KALMAR LÄN</t>
        </is>
      </c>
      <c r="E320" t="inlineStr">
        <is>
          <t>VIMMERBY</t>
        </is>
      </c>
      <c r="G320" t="n">
        <v>1.7</v>
      </c>
      <c r="H320" t="n">
        <v>0</v>
      </c>
      <c r="I320" t="n">
        <v>0</v>
      </c>
      <c r="J320" t="n">
        <v>0</v>
      </c>
      <c r="K320" t="n">
        <v>0</v>
      </c>
      <c r="L320" t="n">
        <v>0</v>
      </c>
      <c r="M320" t="n">
        <v>0</v>
      </c>
      <c r="N320" t="n">
        <v>0</v>
      </c>
      <c r="O320" t="n">
        <v>0</v>
      </c>
      <c r="P320" t="n">
        <v>0</v>
      </c>
      <c r="Q320" t="n">
        <v>0</v>
      </c>
      <c r="R320" s="2" t="inlineStr"/>
    </row>
    <row r="321" ht="15" customHeight="1">
      <c r="A321" t="inlineStr">
        <is>
          <t>A 6368-2023</t>
        </is>
      </c>
      <c r="B321" s="1" t="n">
        <v>44965</v>
      </c>
      <c r="C321" s="1" t="n">
        <v>46086</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9416-2024</t>
        </is>
      </c>
      <c r="B322" s="1" t="n">
        <v>45359.44837962963</v>
      </c>
      <c r="C322" s="1" t="n">
        <v>46086</v>
      </c>
      <c r="D322" t="inlineStr">
        <is>
          <t>KALMAR LÄN</t>
        </is>
      </c>
      <c r="E322" t="inlineStr">
        <is>
          <t>VIMMERBY</t>
        </is>
      </c>
      <c r="G322" t="n">
        <v>3.2</v>
      </c>
      <c r="H322" t="n">
        <v>0</v>
      </c>
      <c r="I322" t="n">
        <v>0</v>
      </c>
      <c r="J322" t="n">
        <v>0</v>
      </c>
      <c r="K322" t="n">
        <v>0</v>
      </c>
      <c r="L322" t="n">
        <v>0</v>
      </c>
      <c r="M322" t="n">
        <v>0</v>
      </c>
      <c r="N322" t="n">
        <v>0</v>
      </c>
      <c r="O322" t="n">
        <v>0</v>
      </c>
      <c r="P322" t="n">
        <v>0</v>
      </c>
      <c r="Q322" t="n">
        <v>0</v>
      </c>
      <c r="R322" s="2" t="inlineStr"/>
    </row>
    <row r="323" ht="15" customHeight="1">
      <c r="A323" t="inlineStr">
        <is>
          <t>A 40925-2025</t>
        </is>
      </c>
      <c r="B323" s="1" t="n">
        <v>45897.64208333333</v>
      </c>
      <c r="C323" s="1" t="n">
        <v>46086</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30293-2025</t>
        </is>
      </c>
      <c r="B324" s="1" t="n">
        <v>45827</v>
      </c>
      <c r="C324" s="1" t="n">
        <v>46086</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30290-2025</t>
        </is>
      </c>
      <c r="B325" s="1" t="n">
        <v>45827</v>
      </c>
      <c r="C325" s="1" t="n">
        <v>46086</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40921-2025</t>
        </is>
      </c>
      <c r="B326" s="1" t="n">
        <v>45897.63520833333</v>
      </c>
      <c r="C326" s="1" t="n">
        <v>46086</v>
      </c>
      <c r="D326" t="inlineStr">
        <is>
          <t>KALMAR LÄN</t>
        </is>
      </c>
      <c r="E326" t="inlineStr">
        <is>
          <t>VIMMERBY</t>
        </is>
      </c>
      <c r="G326" t="n">
        <v>4.2</v>
      </c>
      <c r="H326" t="n">
        <v>0</v>
      </c>
      <c r="I326" t="n">
        <v>0</v>
      </c>
      <c r="J326" t="n">
        <v>0</v>
      </c>
      <c r="K326" t="n">
        <v>0</v>
      </c>
      <c r="L326" t="n">
        <v>0</v>
      </c>
      <c r="M326" t="n">
        <v>0</v>
      </c>
      <c r="N326" t="n">
        <v>0</v>
      </c>
      <c r="O326" t="n">
        <v>0</v>
      </c>
      <c r="P326" t="n">
        <v>0</v>
      </c>
      <c r="Q326" t="n">
        <v>0</v>
      </c>
      <c r="R326" s="2" t="inlineStr"/>
    </row>
    <row r="327" ht="15" customHeight="1">
      <c r="A327" t="inlineStr">
        <is>
          <t>A 2797-2023</t>
        </is>
      </c>
      <c r="B327" s="1" t="n">
        <v>44944.71386574074</v>
      </c>
      <c r="C327" s="1" t="n">
        <v>46086</v>
      </c>
      <c r="D327" t="inlineStr">
        <is>
          <t>KALMAR LÄN</t>
        </is>
      </c>
      <c r="E327" t="inlineStr">
        <is>
          <t>VIMMERBY</t>
        </is>
      </c>
      <c r="G327" t="n">
        <v>3.4</v>
      </c>
      <c r="H327" t="n">
        <v>0</v>
      </c>
      <c r="I327" t="n">
        <v>0</v>
      </c>
      <c r="J327" t="n">
        <v>0</v>
      </c>
      <c r="K327" t="n">
        <v>0</v>
      </c>
      <c r="L327" t="n">
        <v>0</v>
      </c>
      <c r="M327" t="n">
        <v>0</v>
      </c>
      <c r="N327" t="n">
        <v>0</v>
      </c>
      <c r="O327" t="n">
        <v>0</v>
      </c>
      <c r="P327" t="n">
        <v>0</v>
      </c>
      <c r="Q327" t="n">
        <v>0</v>
      </c>
      <c r="R327" s="2" t="inlineStr"/>
    </row>
    <row r="328" ht="15" customHeight="1">
      <c r="A328" t="inlineStr">
        <is>
          <t>A 2799-2023</t>
        </is>
      </c>
      <c r="B328" s="1" t="n">
        <v>44944.72100694444</v>
      </c>
      <c r="C328" s="1" t="n">
        <v>46086</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25987-2024</t>
        </is>
      </c>
      <c r="B329" s="1" t="n">
        <v>45467.74417824074</v>
      </c>
      <c r="C329" s="1" t="n">
        <v>46086</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22194-2024</t>
        </is>
      </c>
      <c r="B330" s="1" t="n">
        <v>45446.36482638889</v>
      </c>
      <c r="C330" s="1" t="n">
        <v>46086</v>
      </c>
      <c r="D330" t="inlineStr">
        <is>
          <t>KALMAR LÄN</t>
        </is>
      </c>
      <c r="E330" t="inlineStr">
        <is>
          <t>VIMMERBY</t>
        </is>
      </c>
      <c r="F330" t="inlineStr">
        <is>
          <t>Sveaskog</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19865-2021</t>
        </is>
      </c>
      <c r="B331" s="1" t="n">
        <v>44312</v>
      </c>
      <c r="C331" s="1" t="n">
        <v>46086</v>
      </c>
      <c r="D331" t="inlineStr">
        <is>
          <t>KALMAR LÄN</t>
        </is>
      </c>
      <c r="E331" t="inlineStr">
        <is>
          <t>VIMMERBY</t>
        </is>
      </c>
      <c r="G331" t="n">
        <v>8.6</v>
      </c>
      <c r="H331" t="n">
        <v>0</v>
      </c>
      <c r="I331" t="n">
        <v>0</v>
      </c>
      <c r="J331" t="n">
        <v>0</v>
      </c>
      <c r="K331" t="n">
        <v>0</v>
      </c>
      <c r="L331" t="n">
        <v>0</v>
      </c>
      <c r="M331" t="n">
        <v>0</v>
      </c>
      <c r="N331" t="n">
        <v>0</v>
      </c>
      <c r="O331" t="n">
        <v>0</v>
      </c>
      <c r="P331" t="n">
        <v>0</v>
      </c>
      <c r="Q331" t="n">
        <v>0</v>
      </c>
      <c r="R331" s="2" t="inlineStr"/>
    </row>
    <row r="332" ht="15" customHeight="1">
      <c r="A332" t="inlineStr">
        <is>
          <t>A 30850-2025</t>
        </is>
      </c>
      <c r="B332" s="1" t="n">
        <v>45831</v>
      </c>
      <c r="C332" s="1" t="n">
        <v>46086</v>
      </c>
      <c r="D332" t="inlineStr">
        <is>
          <t>KALMAR LÄN</t>
        </is>
      </c>
      <c r="E332" t="inlineStr">
        <is>
          <t>VIMMERBY</t>
        </is>
      </c>
      <c r="G332" t="n">
        <v>2.7</v>
      </c>
      <c r="H332" t="n">
        <v>0</v>
      </c>
      <c r="I332" t="n">
        <v>0</v>
      </c>
      <c r="J332" t="n">
        <v>0</v>
      </c>
      <c r="K332" t="n">
        <v>0</v>
      </c>
      <c r="L332" t="n">
        <v>0</v>
      </c>
      <c r="M332" t="n">
        <v>0</v>
      </c>
      <c r="N332" t="n">
        <v>0</v>
      </c>
      <c r="O332" t="n">
        <v>0</v>
      </c>
      <c r="P332" t="n">
        <v>0</v>
      </c>
      <c r="Q332" t="n">
        <v>0</v>
      </c>
      <c r="R332" s="2" t="inlineStr"/>
    </row>
    <row r="333" ht="15" customHeight="1">
      <c r="A333" t="inlineStr">
        <is>
          <t>A 12630-2023</t>
        </is>
      </c>
      <c r="B333" s="1" t="n">
        <v>45000.47998842593</v>
      </c>
      <c r="C333" s="1" t="n">
        <v>46086</v>
      </c>
      <c r="D333" t="inlineStr">
        <is>
          <t>KALMAR LÄN</t>
        </is>
      </c>
      <c r="E333" t="inlineStr">
        <is>
          <t>VIMMERBY</t>
        </is>
      </c>
      <c r="G333" t="n">
        <v>2.1</v>
      </c>
      <c r="H333" t="n">
        <v>0</v>
      </c>
      <c r="I333" t="n">
        <v>0</v>
      </c>
      <c r="J333" t="n">
        <v>0</v>
      </c>
      <c r="K333" t="n">
        <v>0</v>
      </c>
      <c r="L333" t="n">
        <v>0</v>
      </c>
      <c r="M333" t="n">
        <v>0</v>
      </c>
      <c r="N333" t="n">
        <v>0</v>
      </c>
      <c r="O333" t="n">
        <v>0</v>
      </c>
      <c r="P333" t="n">
        <v>0</v>
      </c>
      <c r="Q333" t="n">
        <v>0</v>
      </c>
      <c r="R333" s="2" t="inlineStr"/>
    </row>
    <row r="334" ht="15" customHeight="1">
      <c r="A334" t="inlineStr">
        <is>
          <t>A 41224-2025</t>
        </is>
      </c>
      <c r="B334" s="1" t="n">
        <v>45898.58861111111</v>
      </c>
      <c r="C334" s="1" t="n">
        <v>46086</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21109-2024</t>
        </is>
      </c>
      <c r="B335" s="1" t="n">
        <v>45440.28329861111</v>
      </c>
      <c r="C335" s="1" t="n">
        <v>46086</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41591-2025</t>
        </is>
      </c>
      <c r="B336" s="1" t="n">
        <v>45901.6327662037</v>
      </c>
      <c r="C336" s="1" t="n">
        <v>46086</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40971-2025</t>
        </is>
      </c>
      <c r="B337" s="1" t="n">
        <v>45897.88836805556</v>
      </c>
      <c r="C337" s="1" t="n">
        <v>46086</v>
      </c>
      <c r="D337" t="inlineStr">
        <is>
          <t>KALMAR LÄN</t>
        </is>
      </c>
      <c r="E337" t="inlineStr">
        <is>
          <t>VIMMERBY</t>
        </is>
      </c>
      <c r="G337" t="n">
        <v>1.5</v>
      </c>
      <c r="H337" t="n">
        <v>0</v>
      </c>
      <c r="I337" t="n">
        <v>0</v>
      </c>
      <c r="J337" t="n">
        <v>0</v>
      </c>
      <c r="K337" t="n">
        <v>0</v>
      </c>
      <c r="L337" t="n">
        <v>0</v>
      </c>
      <c r="M337" t="n">
        <v>0</v>
      </c>
      <c r="N337" t="n">
        <v>0</v>
      </c>
      <c r="O337" t="n">
        <v>0</v>
      </c>
      <c r="P337" t="n">
        <v>0</v>
      </c>
      <c r="Q337" t="n">
        <v>0</v>
      </c>
      <c r="R337" s="2" t="inlineStr"/>
    </row>
    <row r="338" ht="15" customHeight="1">
      <c r="A338" t="inlineStr">
        <is>
          <t>A 41589-2025</t>
        </is>
      </c>
      <c r="B338" s="1" t="n">
        <v>45901.63219907408</v>
      </c>
      <c r="C338" s="1" t="n">
        <v>46086</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30634-2024</t>
        </is>
      </c>
      <c r="B339" s="1" t="n">
        <v>45495</v>
      </c>
      <c r="C339" s="1" t="n">
        <v>46086</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40970-2025</t>
        </is>
      </c>
      <c r="B340" s="1" t="n">
        <v>45897.88706018519</v>
      </c>
      <c r="C340" s="1" t="n">
        <v>46086</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40973-2025</t>
        </is>
      </c>
      <c r="B341" s="1" t="n">
        <v>45897.89737268518</v>
      </c>
      <c r="C341" s="1" t="n">
        <v>46086</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40260-2024</t>
        </is>
      </c>
      <c r="B342" s="1" t="n">
        <v>45554.63225694445</v>
      </c>
      <c r="C342" s="1" t="n">
        <v>46086</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59943-2023</t>
        </is>
      </c>
      <c r="B343" s="1" t="n">
        <v>45257.67958333333</v>
      </c>
      <c r="C343" s="1" t="n">
        <v>46086</v>
      </c>
      <c r="D343" t="inlineStr">
        <is>
          <t>KALMAR LÄN</t>
        </is>
      </c>
      <c r="E343" t="inlineStr">
        <is>
          <t>VIMMERBY</t>
        </is>
      </c>
      <c r="G343" t="n">
        <v>6.4</v>
      </c>
      <c r="H343" t="n">
        <v>0</v>
      </c>
      <c r="I343" t="n">
        <v>0</v>
      </c>
      <c r="J343" t="n">
        <v>0</v>
      </c>
      <c r="K343" t="n">
        <v>0</v>
      </c>
      <c r="L343" t="n">
        <v>0</v>
      </c>
      <c r="M343" t="n">
        <v>0</v>
      </c>
      <c r="N343" t="n">
        <v>0</v>
      </c>
      <c r="O343" t="n">
        <v>0</v>
      </c>
      <c r="P343" t="n">
        <v>0</v>
      </c>
      <c r="Q343" t="n">
        <v>0</v>
      </c>
      <c r="R343" s="2" t="inlineStr"/>
    </row>
    <row r="344" ht="15" customHeight="1">
      <c r="A344" t="inlineStr">
        <is>
          <t>A 34090-2025</t>
        </is>
      </c>
      <c r="B344" s="1" t="n">
        <v>45845</v>
      </c>
      <c r="C344" s="1" t="n">
        <v>46086</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31552-2025</t>
        </is>
      </c>
      <c r="B345" s="1" t="n">
        <v>45833.64563657407</v>
      </c>
      <c r="C345" s="1" t="n">
        <v>46086</v>
      </c>
      <c r="D345" t="inlineStr">
        <is>
          <t>KALMAR LÄN</t>
        </is>
      </c>
      <c r="E345" t="inlineStr">
        <is>
          <t>VIMMERBY</t>
        </is>
      </c>
      <c r="G345" t="n">
        <v>1.7</v>
      </c>
      <c r="H345" t="n">
        <v>0</v>
      </c>
      <c r="I345" t="n">
        <v>0</v>
      </c>
      <c r="J345" t="n">
        <v>0</v>
      </c>
      <c r="K345" t="n">
        <v>0</v>
      </c>
      <c r="L345" t="n">
        <v>0</v>
      </c>
      <c r="M345" t="n">
        <v>0</v>
      </c>
      <c r="N345" t="n">
        <v>0</v>
      </c>
      <c r="O345" t="n">
        <v>0</v>
      </c>
      <c r="P345" t="n">
        <v>0</v>
      </c>
      <c r="Q345" t="n">
        <v>0</v>
      </c>
      <c r="R345" s="2" t="inlineStr"/>
    </row>
    <row r="346" ht="15" customHeight="1">
      <c r="A346" t="inlineStr">
        <is>
          <t>A 31555-2025</t>
        </is>
      </c>
      <c r="B346" s="1" t="n">
        <v>45833.64814814815</v>
      </c>
      <c r="C346" s="1" t="n">
        <v>46086</v>
      </c>
      <c r="D346" t="inlineStr">
        <is>
          <t>KALMAR LÄN</t>
        </is>
      </c>
      <c r="E346" t="inlineStr">
        <is>
          <t>VIMMERBY</t>
        </is>
      </c>
      <c r="G346" t="n">
        <v>1.8</v>
      </c>
      <c r="H346" t="n">
        <v>0</v>
      </c>
      <c r="I346" t="n">
        <v>0</v>
      </c>
      <c r="J346" t="n">
        <v>0</v>
      </c>
      <c r="K346" t="n">
        <v>0</v>
      </c>
      <c r="L346" t="n">
        <v>0</v>
      </c>
      <c r="M346" t="n">
        <v>0</v>
      </c>
      <c r="N346" t="n">
        <v>0</v>
      </c>
      <c r="O346" t="n">
        <v>0</v>
      </c>
      <c r="P346" t="n">
        <v>0</v>
      </c>
      <c r="Q346" t="n">
        <v>0</v>
      </c>
      <c r="R346" s="2" t="inlineStr"/>
    </row>
    <row r="347" ht="15" customHeight="1">
      <c r="A347" t="inlineStr">
        <is>
          <t>A 5527-2022</t>
        </is>
      </c>
      <c r="B347" s="1" t="n">
        <v>44595.583125</v>
      </c>
      <c r="C347" s="1" t="n">
        <v>46086</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30971-2025</t>
        </is>
      </c>
      <c r="B348" s="1" t="n">
        <v>45832.46146990741</v>
      </c>
      <c r="C348" s="1" t="n">
        <v>46086</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12325-2023</t>
        </is>
      </c>
      <c r="B349" s="1" t="n">
        <v>44999.35858796296</v>
      </c>
      <c r="C349" s="1" t="n">
        <v>46086</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31551-2025</t>
        </is>
      </c>
      <c r="B350" s="1" t="n">
        <v>45833.64237268519</v>
      </c>
      <c r="C350" s="1" t="n">
        <v>46086</v>
      </c>
      <c r="D350" t="inlineStr">
        <is>
          <t>KALMAR LÄN</t>
        </is>
      </c>
      <c r="E350" t="inlineStr">
        <is>
          <t>VIMMERBY</t>
        </is>
      </c>
      <c r="G350" t="n">
        <v>1.9</v>
      </c>
      <c r="H350" t="n">
        <v>0</v>
      </c>
      <c r="I350" t="n">
        <v>0</v>
      </c>
      <c r="J350" t="n">
        <v>0</v>
      </c>
      <c r="K350" t="n">
        <v>0</v>
      </c>
      <c r="L350" t="n">
        <v>0</v>
      </c>
      <c r="M350" t="n">
        <v>0</v>
      </c>
      <c r="N350" t="n">
        <v>0</v>
      </c>
      <c r="O350" t="n">
        <v>0</v>
      </c>
      <c r="P350" t="n">
        <v>0</v>
      </c>
      <c r="Q350" t="n">
        <v>0</v>
      </c>
      <c r="R350" s="2" t="inlineStr"/>
    </row>
    <row r="351" ht="15" customHeight="1">
      <c r="A351" t="inlineStr">
        <is>
          <t>A 1016-2024</t>
        </is>
      </c>
      <c r="B351" s="1" t="n">
        <v>45301</v>
      </c>
      <c r="C351" s="1" t="n">
        <v>46086</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30882-2025</t>
        </is>
      </c>
      <c r="B352" s="1" t="n">
        <v>45832.34540509259</v>
      </c>
      <c r="C352" s="1" t="n">
        <v>46086</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31872-2025</t>
        </is>
      </c>
      <c r="B353" s="1" t="n">
        <v>45834.65040509259</v>
      </c>
      <c r="C353" s="1" t="n">
        <v>46086</v>
      </c>
      <c r="D353" t="inlineStr">
        <is>
          <t>KALMAR LÄN</t>
        </is>
      </c>
      <c r="E353" t="inlineStr">
        <is>
          <t>VIMMERBY</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33681-2022</t>
        </is>
      </c>
      <c r="B354" s="1" t="n">
        <v>44789</v>
      </c>
      <c r="C354" s="1" t="n">
        <v>46086</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2523-2026</t>
        </is>
      </c>
      <c r="B355" s="1" t="n">
        <v>46037.42825231481</v>
      </c>
      <c r="C355" s="1" t="n">
        <v>46086</v>
      </c>
      <c r="D355" t="inlineStr">
        <is>
          <t>KALMAR LÄN</t>
        </is>
      </c>
      <c r="E355" t="inlineStr">
        <is>
          <t>VIMMERBY</t>
        </is>
      </c>
      <c r="G355" t="n">
        <v>1.1</v>
      </c>
      <c r="H355" t="n">
        <v>0</v>
      </c>
      <c r="I355" t="n">
        <v>0</v>
      </c>
      <c r="J355" t="n">
        <v>0</v>
      </c>
      <c r="K355" t="n">
        <v>0</v>
      </c>
      <c r="L355" t="n">
        <v>0</v>
      </c>
      <c r="M355" t="n">
        <v>0</v>
      </c>
      <c r="N355" t="n">
        <v>0</v>
      </c>
      <c r="O355" t="n">
        <v>0</v>
      </c>
      <c r="P355" t="n">
        <v>0</v>
      </c>
      <c r="Q355" t="n">
        <v>0</v>
      </c>
      <c r="R355" s="2" t="inlineStr"/>
    </row>
    <row r="356" ht="15" customHeight="1">
      <c r="A356" t="inlineStr">
        <is>
          <t>A 8559-2025</t>
        </is>
      </c>
      <c r="B356" s="1" t="n">
        <v>45709.62280092593</v>
      </c>
      <c r="C356" s="1" t="n">
        <v>46086</v>
      </c>
      <c r="D356" t="inlineStr">
        <is>
          <t>KALMAR LÄN</t>
        </is>
      </c>
      <c r="E356" t="inlineStr">
        <is>
          <t>VIMMERBY</t>
        </is>
      </c>
      <c r="G356" t="n">
        <v>8.9</v>
      </c>
      <c r="H356" t="n">
        <v>0</v>
      </c>
      <c r="I356" t="n">
        <v>0</v>
      </c>
      <c r="J356" t="n">
        <v>0</v>
      </c>
      <c r="K356" t="n">
        <v>0</v>
      </c>
      <c r="L356" t="n">
        <v>0</v>
      </c>
      <c r="M356" t="n">
        <v>0</v>
      </c>
      <c r="N356" t="n">
        <v>0</v>
      </c>
      <c r="O356" t="n">
        <v>0</v>
      </c>
      <c r="P356" t="n">
        <v>0</v>
      </c>
      <c r="Q356" t="n">
        <v>0</v>
      </c>
      <c r="R356" s="2" t="inlineStr"/>
    </row>
    <row r="357" ht="15" customHeight="1">
      <c r="A357" t="inlineStr">
        <is>
          <t>A 41735-2025</t>
        </is>
      </c>
      <c r="B357" s="1" t="n">
        <v>45902.47164351852</v>
      </c>
      <c r="C357" s="1" t="n">
        <v>46086</v>
      </c>
      <c r="D357" t="inlineStr">
        <is>
          <t>KALMAR LÄN</t>
        </is>
      </c>
      <c r="E357" t="inlineStr">
        <is>
          <t>VIMMERBY</t>
        </is>
      </c>
      <c r="G357" t="n">
        <v>3</v>
      </c>
      <c r="H357" t="n">
        <v>0</v>
      </c>
      <c r="I357" t="n">
        <v>0</v>
      </c>
      <c r="J357" t="n">
        <v>0</v>
      </c>
      <c r="K357" t="n">
        <v>0</v>
      </c>
      <c r="L357" t="n">
        <v>0</v>
      </c>
      <c r="M357" t="n">
        <v>0</v>
      </c>
      <c r="N357" t="n">
        <v>0</v>
      </c>
      <c r="O357" t="n">
        <v>0</v>
      </c>
      <c r="P357" t="n">
        <v>0</v>
      </c>
      <c r="Q357" t="n">
        <v>0</v>
      </c>
      <c r="R357" s="2" t="inlineStr"/>
    </row>
    <row r="358" ht="15" customHeight="1">
      <c r="A358" t="inlineStr">
        <is>
          <t>A 32064-2025</t>
        </is>
      </c>
      <c r="B358" s="1" t="n">
        <v>45835.44709490741</v>
      </c>
      <c r="C358" s="1" t="n">
        <v>46086</v>
      </c>
      <c r="D358" t="inlineStr">
        <is>
          <t>KALMAR LÄN</t>
        </is>
      </c>
      <c r="E358" t="inlineStr">
        <is>
          <t>VIMMERBY</t>
        </is>
      </c>
      <c r="G358" t="n">
        <v>2.6</v>
      </c>
      <c r="H358" t="n">
        <v>0</v>
      </c>
      <c r="I358" t="n">
        <v>0</v>
      </c>
      <c r="J358" t="n">
        <v>0</v>
      </c>
      <c r="K358" t="n">
        <v>0</v>
      </c>
      <c r="L358" t="n">
        <v>0</v>
      </c>
      <c r="M358" t="n">
        <v>0</v>
      </c>
      <c r="N358" t="n">
        <v>0</v>
      </c>
      <c r="O358" t="n">
        <v>0</v>
      </c>
      <c r="P358" t="n">
        <v>0</v>
      </c>
      <c r="Q358" t="n">
        <v>0</v>
      </c>
      <c r="R358" s="2" t="inlineStr"/>
    </row>
    <row r="359" ht="15" customHeight="1">
      <c r="A359" t="inlineStr">
        <is>
          <t>A 32109-2025</t>
        </is>
      </c>
      <c r="B359" s="1" t="n">
        <v>45835.48267361111</v>
      </c>
      <c r="C359" s="1" t="n">
        <v>46086</v>
      </c>
      <c r="D359" t="inlineStr">
        <is>
          <t>KALMAR LÄN</t>
        </is>
      </c>
      <c r="E359" t="inlineStr">
        <is>
          <t>VIMMERBY</t>
        </is>
      </c>
      <c r="G359" t="n">
        <v>2.5</v>
      </c>
      <c r="H359" t="n">
        <v>0</v>
      </c>
      <c r="I359" t="n">
        <v>0</v>
      </c>
      <c r="J359" t="n">
        <v>0</v>
      </c>
      <c r="K359" t="n">
        <v>0</v>
      </c>
      <c r="L359" t="n">
        <v>0</v>
      </c>
      <c r="M359" t="n">
        <v>0</v>
      </c>
      <c r="N359" t="n">
        <v>0</v>
      </c>
      <c r="O359" t="n">
        <v>0</v>
      </c>
      <c r="P359" t="n">
        <v>0</v>
      </c>
      <c r="Q359" t="n">
        <v>0</v>
      </c>
      <c r="R359" s="2" t="inlineStr"/>
    </row>
    <row r="360" ht="15" customHeight="1">
      <c r="A360" t="inlineStr">
        <is>
          <t>A 32113-2025</t>
        </is>
      </c>
      <c r="B360" s="1" t="n">
        <v>45835.48445601852</v>
      </c>
      <c r="C360" s="1" t="n">
        <v>46086</v>
      </c>
      <c r="D360" t="inlineStr">
        <is>
          <t>KALMAR LÄN</t>
        </is>
      </c>
      <c r="E360" t="inlineStr">
        <is>
          <t>VIMMERBY</t>
        </is>
      </c>
      <c r="G360" t="n">
        <v>3.5</v>
      </c>
      <c r="H360" t="n">
        <v>0</v>
      </c>
      <c r="I360" t="n">
        <v>0</v>
      </c>
      <c r="J360" t="n">
        <v>0</v>
      </c>
      <c r="K360" t="n">
        <v>0</v>
      </c>
      <c r="L360" t="n">
        <v>0</v>
      </c>
      <c r="M360" t="n">
        <v>0</v>
      </c>
      <c r="N360" t="n">
        <v>0</v>
      </c>
      <c r="O360" t="n">
        <v>0</v>
      </c>
      <c r="P360" t="n">
        <v>0</v>
      </c>
      <c r="Q360" t="n">
        <v>0</v>
      </c>
      <c r="R360" s="2" t="inlineStr"/>
    </row>
    <row r="361" ht="15" customHeight="1">
      <c r="A361" t="inlineStr">
        <is>
          <t>A 32116-2025</t>
        </is>
      </c>
      <c r="B361" s="1" t="n">
        <v>45835.48862268519</v>
      </c>
      <c r="C361" s="1" t="n">
        <v>46086</v>
      </c>
      <c r="D361" t="inlineStr">
        <is>
          <t>KALMAR LÄN</t>
        </is>
      </c>
      <c r="E361" t="inlineStr">
        <is>
          <t>VIMMERBY</t>
        </is>
      </c>
      <c r="G361" t="n">
        <v>0.9</v>
      </c>
      <c r="H361" t="n">
        <v>0</v>
      </c>
      <c r="I361" t="n">
        <v>0</v>
      </c>
      <c r="J361" t="n">
        <v>0</v>
      </c>
      <c r="K361" t="n">
        <v>0</v>
      </c>
      <c r="L361" t="n">
        <v>0</v>
      </c>
      <c r="M361" t="n">
        <v>0</v>
      </c>
      <c r="N361" t="n">
        <v>0</v>
      </c>
      <c r="O361" t="n">
        <v>0</v>
      </c>
      <c r="P361" t="n">
        <v>0</v>
      </c>
      <c r="Q361" t="n">
        <v>0</v>
      </c>
      <c r="R361" s="2" t="inlineStr"/>
    </row>
    <row r="362" ht="15" customHeight="1">
      <c r="A362" t="inlineStr">
        <is>
          <t>A 31870-2025</t>
        </is>
      </c>
      <c r="B362" s="1" t="n">
        <v>45834.64667824074</v>
      </c>
      <c r="C362" s="1" t="n">
        <v>46086</v>
      </c>
      <c r="D362" t="inlineStr">
        <is>
          <t>KALMAR LÄN</t>
        </is>
      </c>
      <c r="E362" t="inlineStr">
        <is>
          <t>VIMMERBY</t>
        </is>
      </c>
      <c r="F362" t="inlineStr">
        <is>
          <t>Sveaskog</t>
        </is>
      </c>
      <c r="G362" t="n">
        <v>3.5</v>
      </c>
      <c r="H362" t="n">
        <v>0</v>
      </c>
      <c r="I362" t="n">
        <v>0</v>
      </c>
      <c r="J362" t="n">
        <v>0</v>
      </c>
      <c r="K362" t="n">
        <v>0</v>
      </c>
      <c r="L362" t="n">
        <v>0</v>
      </c>
      <c r="M362" t="n">
        <v>0</v>
      </c>
      <c r="N362" t="n">
        <v>0</v>
      </c>
      <c r="O362" t="n">
        <v>0</v>
      </c>
      <c r="P362" t="n">
        <v>0</v>
      </c>
      <c r="Q362" t="n">
        <v>0</v>
      </c>
      <c r="R362" s="2" t="inlineStr"/>
    </row>
    <row r="363" ht="15" customHeight="1">
      <c r="A363" t="inlineStr">
        <is>
          <t>A 32065-2025</t>
        </is>
      </c>
      <c r="B363" s="1" t="n">
        <v>45835.44732638889</v>
      </c>
      <c r="C363" s="1" t="n">
        <v>46086</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31987-2025</t>
        </is>
      </c>
      <c r="B364" s="1" t="n">
        <v>45835.36229166666</v>
      </c>
      <c r="C364" s="1" t="n">
        <v>46086</v>
      </c>
      <c r="D364" t="inlineStr">
        <is>
          <t>KALMAR LÄN</t>
        </is>
      </c>
      <c r="E364" t="inlineStr">
        <is>
          <t>VIMMERBY</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3266-2026</t>
        </is>
      </c>
      <c r="B365" s="1" t="n">
        <v>46041</v>
      </c>
      <c r="C365" s="1" t="n">
        <v>46086</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32077-2025</t>
        </is>
      </c>
      <c r="B366" s="1" t="n">
        <v>45835.45099537037</v>
      </c>
      <c r="C366" s="1" t="n">
        <v>46086</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32120-2025</t>
        </is>
      </c>
      <c r="B367" s="1" t="n">
        <v>45835.4924537037</v>
      </c>
      <c r="C367" s="1" t="n">
        <v>46086</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31876-2025</t>
        </is>
      </c>
      <c r="B368" s="1" t="n">
        <v>45834.65197916667</v>
      </c>
      <c r="C368" s="1" t="n">
        <v>46086</v>
      </c>
      <c r="D368" t="inlineStr">
        <is>
          <t>KALMAR LÄN</t>
        </is>
      </c>
      <c r="E368" t="inlineStr">
        <is>
          <t>VIMMERBY</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5074-2023</t>
        </is>
      </c>
      <c r="B369" s="1" t="n">
        <v>44958.61047453704</v>
      </c>
      <c r="C369" s="1" t="n">
        <v>46086</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51187-2023</t>
        </is>
      </c>
      <c r="B370" s="1" t="n">
        <v>45219.40528935185</v>
      </c>
      <c r="C370" s="1" t="n">
        <v>46086</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15715-2022</t>
        </is>
      </c>
      <c r="B371" s="1" t="n">
        <v>44663</v>
      </c>
      <c r="C371" s="1" t="n">
        <v>46086</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43093-2024</t>
        </is>
      </c>
      <c r="B372" s="1" t="n">
        <v>45567</v>
      </c>
      <c r="C372" s="1" t="n">
        <v>46086</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56022-2024</t>
        </is>
      </c>
      <c r="B373" s="1" t="n">
        <v>45623.95947916667</v>
      </c>
      <c r="C373" s="1" t="n">
        <v>46086</v>
      </c>
      <c r="D373" t="inlineStr">
        <is>
          <t>KALMAR LÄN</t>
        </is>
      </c>
      <c r="E373" t="inlineStr">
        <is>
          <t>VIMMERBY</t>
        </is>
      </c>
      <c r="G373" t="n">
        <v>0.3</v>
      </c>
      <c r="H373" t="n">
        <v>0</v>
      </c>
      <c r="I373" t="n">
        <v>0</v>
      </c>
      <c r="J373" t="n">
        <v>0</v>
      </c>
      <c r="K373" t="n">
        <v>0</v>
      </c>
      <c r="L373" t="n">
        <v>0</v>
      </c>
      <c r="M373" t="n">
        <v>0</v>
      </c>
      <c r="N373" t="n">
        <v>0</v>
      </c>
      <c r="O373" t="n">
        <v>0</v>
      </c>
      <c r="P373" t="n">
        <v>0</v>
      </c>
      <c r="Q373" t="n">
        <v>0</v>
      </c>
      <c r="R373" s="2" t="inlineStr"/>
    </row>
    <row r="374" ht="15" customHeight="1">
      <c r="A374" t="inlineStr">
        <is>
          <t>A 18330-2023</t>
        </is>
      </c>
      <c r="B374" s="1" t="n">
        <v>45041</v>
      </c>
      <c r="C374" s="1" t="n">
        <v>46086</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20126-2024</t>
        </is>
      </c>
      <c r="B375" s="1" t="n">
        <v>45434.55471064815</v>
      </c>
      <c r="C375" s="1" t="n">
        <v>46086</v>
      </c>
      <c r="D375" t="inlineStr">
        <is>
          <t>KALMAR LÄN</t>
        </is>
      </c>
      <c r="E375" t="inlineStr">
        <is>
          <t>VIMMERBY</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20136-2024</t>
        </is>
      </c>
      <c r="B376" s="1" t="n">
        <v>45434.56291666667</v>
      </c>
      <c r="C376" s="1" t="n">
        <v>46086</v>
      </c>
      <c r="D376" t="inlineStr">
        <is>
          <t>KALMAR LÄN</t>
        </is>
      </c>
      <c r="E376" t="inlineStr">
        <is>
          <t>VIMMERBY</t>
        </is>
      </c>
      <c r="F376" t="inlineStr">
        <is>
          <t>Sveaskog</t>
        </is>
      </c>
      <c r="G376" t="n">
        <v>8.4</v>
      </c>
      <c r="H376" t="n">
        <v>0</v>
      </c>
      <c r="I376" t="n">
        <v>0</v>
      </c>
      <c r="J376" t="n">
        <v>0</v>
      </c>
      <c r="K376" t="n">
        <v>0</v>
      </c>
      <c r="L376" t="n">
        <v>0</v>
      </c>
      <c r="M376" t="n">
        <v>0</v>
      </c>
      <c r="N376" t="n">
        <v>0</v>
      </c>
      <c r="O376" t="n">
        <v>0</v>
      </c>
      <c r="P376" t="n">
        <v>0</v>
      </c>
      <c r="Q376" t="n">
        <v>0</v>
      </c>
      <c r="R376" s="2" t="inlineStr"/>
    </row>
    <row r="377" ht="15" customHeight="1">
      <c r="A377" t="inlineStr">
        <is>
          <t>A 3292-2026</t>
        </is>
      </c>
      <c r="B377" s="1" t="n">
        <v>46041</v>
      </c>
      <c r="C377" s="1" t="n">
        <v>46086</v>
      </c>
      <c r="D377" t="inlineStr">
        <is>
          <t>KALMAR LÄN</t>
        </is>
      </c>
      <c r="E377" t="inlineStr">
        <is>
          <t>VIMMERBY</t>
        </is>
      </c>
      <c r="G377" t="n">
        <v>3.9</v>
      </c>
      <c r="H377" t="n">
        <v>0</v>
      </c>
      <c r="I377" t="n">
        <v>0</v>
      </c>
      <c r="J377" t="n">
        <v>0</v>
      </c>
      <c r="K377" t="n">
        <v>0</v>
      </c>
      <c r="L377" t="n">
        <v>0</v>
      </c>
      <c r="M377" t="n">
        <v>0</v>
      </c>
      <c r="N377" t="n">
        <v>0</v>
      </c>
      <c r="O377" t="n">
        <v>0</v>
      </c>
      <c r="P377" t="n">
        <v>0</v>
      </c>
      <c r="Q377" t="n">
        <v>0</v>
      </c>
      <c r="R377" s="2" t="inlineStr"/>
    </row>
    <row r="378" ht="15" customHeight="1">
      <c r="A378" t="inlineStr">
        <is>
          <t>A 32380-2025</t>
        </is>
      </c>
      <c r="B378" s="1" t="n">
        <v>45837.77701388889</v>
      </c>
      <c r="C378" s="1" t="n">
        <v>46086</v>
      </c>
      <c r="D378" t="inlineStr">
        <is>
          <t>KALMAR LÄN</t>
        </is>
      </c>
      <c r="E378" t="inlineStr">
        <is>
          <t>VIMMERBY</t>
        </is>
      </c>
      <c r="G378" t="n">
        <v>3.1</v>
      </c>
      <c r="H378" t="n">
        <v>0</v>
      </c>
      <c r="I378" t="n">
        <v>0</v>
      </c>
      <c r="J378" t="n">
        <v>0</v>
      </c>
      <c r="K378" t="n">
        <v>0</v>
      </c>
      <c r="L378" t="n">
        <v>0</v>
      </c>
      <c r="M378" t="n">
        <v>0</v>
      </c>
      <c r="N378" t="n">
        <v>0</v>
      </c>
      <c r="O378" t="n">
        <v>0</v>
      </c>
      <c r="P378" t="n">
        <v>0</v>
      </c>
      <c r="Q378" t="n">
        <v>0</v>
      </c>
      <c r="R378" s="2" t="inlineStr"/>
    </row>
    <row r="379" ht="15" customHeight="1">
      <c r="A379" t="inlineStr">
        <is>
          <t>A 33186-2025</t>
        </is>
      </c>
      <c r="B379" s="1" t="n">
        <v>45840.59474537037</v>
      </c>
      <c r="C379" s="1" t="n">
        <v>46086</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42828-2025</t>
        </is>
      </c>
      <c r="B380" s="1" t="n">
        <v>45908.57716435185</v>
      </c>
      <c r="C380" s="1" t="n">
        <v>46086</v>
      </c>
      <c r="D380" t="inlineStr">
        <is>
          <t>KALMAR LÄN</t>
        </is>
      </c>
      <c r="E380" t="inlineStr">
        <is>
          <t>VIMMERBY</t>
        </is>
      </c>
      <c r="G380" t="n">
        <v>5.2</v>
      </c>
      <c r="H380" t="n">
        <v>0</v>
      </c>
      <c r="I380" t="n">
        <v>0</v>
      </c>
      <c r="J380" t="n">
        <v>0</v>
      </c>
      <c r="K380" t="n">
        <v>0</v>
      </c>
      <c r="L380" t="n">
        <v>0</v>
      </c>
      <c r="M380" t="n">
        <v>0</v>
      </c>
      <c r="N380" t="n">
        <v>0</v>
      </c>
      <c r="O380" t="n">
        <v>0</v>
      </c>
      <c r="P380" t="n">
        <v>0</v>
      </c>
      <c r="Q380" t="n">
        <v>0</v>
      </c>
      <c r="R380" s="2" t="inlineStr"/>
    </row>
    <row r="381" ht="15" customHeight="1">
      <c r="A381" t="inlineStr">
        <is>
          <t>A 46921-2023</t>
        </is>
      </c>
      <c r="B381" s="1" t="n">
        <v>45201.39996527778</v>
      </c>
      <c r="C381" s="1" t="n">
        <v>46086</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42794-2025</t>
        </is>
      </c>
      <c r="B382" s="1" t="n">
        <v>45908</v>
      </c>
      <c r="C382" s="1" t="n">
        <v>46086</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33695-2025</t>
        </is>
      </c>
      <c r="B383" s="1" t="n">
        <v>45841.70569444444</v>
      </c>
      <c r="C383" s="1" t="n">
        <v>46086</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33698-2025</t>
        </is>
      </c>
      <c r="B384" s="1" t="n">
        <v>45841.70868055556</v>
      </c>
      <c r="C384" s="1" t="n">
        <v>46086</v>
      </c>
      <c r="D384" t="inlineStr">
        <is>
          <t>KALMAR LÄN</t>
        </is>
      </c>
      <c r="E384" t="inlineStr">
        <is>
          <t>VIMMERBY</t>
        </is>
      </c>
      <c r="G384" t="n">
        <v>3.7</v>
      </c>
      <c r="H384" t="n">
        <v>0</v>
      </c>
      <c r="I384" t="n">
        <v>0</v>
      </c>
      <c r="J384" t="n">
        <v>0</v>
      </c>
      <c r="K384" t="n">
        <v>0</v>
      </c>
      <c r="L384" t="n">
        <v>0</v>
      </c>
      <c r="M384" t="n">
        <v>0</v>
      </c>
      <c r="N384" t="n">
        <v>0</v>
      </c>
      <c r="O384" t="n">
        <v>0</v>
      </c>
      <c r="P384" t="n">
        <v>0</v>
      </c>
      <c r="Q384" t="n">
        <v>0</v>
      </c>
      <c r="R384" s="2" t="inlineStr"/>
    </row>
    <row r="385" ht="15" customHeight="1">
      <c r="A385" t="inlineStr">
        <is>
          <t>A 42820-2025</t>
        </is>
      </c>
      <c r="B385" s="1" t="n">
        <v>45908</v>
      </c>
      <c r="C385" s="1" t="n">
        <v>46086</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25236-2023</t>
        </is>
      </c>
      <c r="B386" s="1" t="n">
        <v>45086.63334490741</v>
      </c>
      <c r="C386" s="1" t="n">
        <v>46086</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30977-2025</t>
        </is>
      </c>
      <c r="B387" s="1" t="n">
        <v>45832.46649305556</v>
      </c>
      <c r="C387" s="1" t="n">
        <v>46086</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33696-2025</t>
        </is>
      </c>
      <c r="B388" s="1" t="n">
        <v>45841.7072337963</v>
      </c>
      <c r="C388" s="1" t="n">
        <v>46086</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34060-2025</t>
        </is>
      </c>
      <c r="B389" s="1" t="n">
        <v>45845.42015046296</v>
      </c>
      <c r="C389" s="1" t="n">
        <v>46086</v>
      </c>
      <c r="D389" t="inlineStr">
        <is>
          <t>KALMAR LÄN</t>
        </is>
      </c>
      <c r="E389" t="inlineStr">
        <is>
          <t>VIMMERBY</t>
        </is>
      </c>
      <c r="G389" t="n">
        <v>5.7</v>
      </c>
      <c r="H389" t="n">
        <v>0</v>
      </c>
      <c r="I389" t="n">
        <v>0</v>
      </c>
      <c r="J389" t="n">
        <v>0</v>
      </c>
      <c r="K389" t="n">
        <v>0</v>
      </c>
      <c r="L389" t="n">
        <v>0</v>
      </c>
      <c r="M389" t="n">
        <v>0</v>
      </c>
      <c r="N389" t="n">
        <v>0</v>
      </c>
      <c r="O389" t="n">
        <v>0</v>
      </c>
      <c r="P389" t="n">
        <v>0</v>
      </c>
      <c r="Q389" t="n">
        <v>0</v>
      </c>
      <c r="R389" s="2" t="inlineStr"/>
    </row>
    <row r="390" ht="15" customHeight="1">
      <c r="A390" t="inlineStr">
        <is>
          <t>A 6082-2022</t>
        </is>
      </c>
      <c r="B390" s="1" t="n">
        <v>44599</v>
      </c>
      <c r="C390" s="1" t="n">
        <v>46086</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43465-2025</t>
        </is>
      </c>
      <c r="B391" s="1" t="n">
        <v>45911.47138888889</v>
      </c>
      <c r="C391" s="1" t="n">
        <v>46086</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26956-2025</t>
        </is>
      </c>
      <c r="B392" s="1" t="n">
        <v>45811.45460648148</v>
      </c>
      <c r="C392" s="1" t="n">
        <v>46086</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43617-2025</t>
        </is>
      </c>
      <c r="B393" s="1" t="n">
        <v>45911.67798611111</v>
      </c>
      <c r="C393" s="1" t="n">
        <v>46086</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2801-2023</t>
        </is>
      </c>
      <c r="B394" s="1" t="n">
        <v>44944.73487268519</v>
      </c>
      <c r="C394" s="1" t="n">
        <v>46086</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5146-2024</t>
        </is>
      </c>
      <c r="B395" s="1" t="n">
        <v>45330</v>
      </c>
      <c r="C395" s="1" t="n">
        <v>46086</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5148-2024</t>
        </is>
      </c>
      <c r="B396" s="1" t="n">
        <v>45330</v>
      </c>
      <c r="C396" s="1" t="n">
        <v>46086</v>
      </c>
      <c r="D396" t="inlineStr">
        <is>
          <t>KALMAR LÄN</t>
        </is>
      </c>
      <c r="E396" t="inlineStr">
        <is>
          <t>VIMMERBY</t>
        </is>
      </c>
      <c r="G396" t="n">
        <v>5.6</v>
      </c>
      <c r="H396" t="n">
        <v>0</v>
      </c>
      <c r="I396" t="n">
        <v>0</v>
      </c>
      <c r="J396" t="n">
        <v>0</v>
      </c>
      <c r="K396" t="n">
        <v>0</v>
      </c>
      <c r="L396" t="n">
        <v>0</v>
      </c>
      <c r="M396" t="n">
        <v>0</v>
      </c>
      <c r="N396" t="n">
        <v>0</v>
      </c>
      <c r="O396" t="n">
        <v>0</v>
      </c>
      <c r="P396" t="n">
        <v>0</v>
      </c>
      <c r="Q396" t="n">
        <v>0</v>
      </c>
      <c r="R396" s="2" t="inlineStr"/>
    </row>
    <row r="397" ht="15" customHeight="1">
      <c r="A397" t="inlineStr">
        <is>
          <t>A 34071-2025</t>
        </is>
      </c>
      <c r="B397" s="1" t="n">
        <v>45845.43803240741</v>
      </c>
      <c r="C397" s="1" t="n">
        <v>46086</v>
      </c>
      <c r="D397" t="inlineStr">
        <is>
          <t>KALMAR LÄN</t>
        </is>
      </c>
      <c r="E397" t="inlineStr">
        <is>
          <t>VIMMERBY</t>
        </is>
      </c>
      <c r="G397" t="n">
        <v>6.8</v>
      </c>
      <c r="H397" t="n">
        <v>0</v>
      </c>
      <c r="I397" t="n">
        <v>0</v>
      </c>
      <c r="J397" t="n">
        <v>0</v>
      </c>
      <c r="K397" t="n">
        <v>0</v>
      </c>
      <c r="L397" t="n">
        <v>0</v>
      </c>
      <c r="M397" t="n">
        <v>0</v>
      </c>
      <c r="N397" t="n">
        <v>0</v>
      </c>
      <c r="O397" t="n">
        <v>0</v>
      </c>
      <c r="P397" t="n">
        <v>0</v>
      </c>
      <c r="Q397" t="n">
        <v>0</v>
      </c>
      <c r="R397" s="2" t="inlineStr"/>
    </row>
    <row r="398" ht="15" customHeight="1">
      <c r="A398" t="inlineStr">
        <is>
          <t>A 34106-2025</t>
        </is>
      </c>
      <c r="B398" s="1" t="n">
        <v>45845.49414351852</v>
      </c>
      <c r="C398" s="1" t="n">
        <v>46086</v>
      </c>
      <c r="D398" t="inlineStr">
        <is>
          <t>KALMAR LÄN</t>
        </is>
      </c>
      <c r="E398" t="inlineStr">
        <is>
          <t>VIMMERBY</t>
        </is>
      </c>
      <c r="G398" t="n">
        <v>6</v>
      </c>
      <c r="H398" t="n">
        <v>0</v>
      </c>
      <c r="I398" t="n">
        <v>0</v>
      </c>
      <c r="J398" t="n">
        <v>0</v>
      </c>
      <c r="K398" t="n">
        <v>0</v>
      </c>
      <c r="L398" t="n">
        <v>0</v>
      </c>
      <c r="M398" t="n">
        <v>0</v>
      </c>
      <c r="N398" t="n">
        <v>0</v>
      </c>
      <c r="O398" t="n">
        <v>0</v>
      </c>
      <c r="P398" t="n">
        <v>0</v>
      </c>
      <c r="Q398" t="n">
        <v>0</v>
      </c>
      <c r="R398" s="2" t="inlineStr"/>
    </row>
    <row r="399" ht="15" customHeight="1">
      <c r="A399" t="inlineStr">
        <is>
          <t>A 28702-2025</t>
        </is>
      </c>
      <c r="B399" s="1" t="n">
        <v>45820.03976851852</v>
      </c>
      <c r="C399" s="1" t="n">
        <v>46086</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44095-2025</t>
        </is>
      </c>
      <c r="B400" s="1" t="n">
        <v>45915.56430555556</v>
      </c>
      <c r="C400" s="1" t="n">
        <v>46086</v>
      </c>
      <c r="D400" t="inlineStr">
        <is>
          <t>KALMAR LÄN</t>
        </is>
      </c>
      <c r="E400" t="inlineStr">
        <is>
          <t>VIMMERBY</t>
        </is>
      </c>
      <c r="G400" t="n">
        <v>2.4</v>
      </c>
      <c r="H400" t="n">
        <v>0</v>
      </c>
      <c r="I400" t="n">
        <v>0</v>
      </c>
      <c r="J400" t="n">
        <v>0</v>
      </c>
      <c r="K400" t="n">
        <v>0</v>
      </c>
      <c r="L400" t="n">
        <v>0</v>
      </c>
      <c r="M400" t="n">
        <v>0</v>
      </c>
      <c r="N400" t="n">
        <v>0</v>
      </c>
      <c r="O400" t="n">
        <v>0</v>
      </c>
      <c r="P400" t="n">
        <v>0</v>
      </c>
      <c r="Q400" t="n">
        <v>0</v>
      </c>
      <c r="R400" s="2" t="inlineStr"/>
    </row>
    <row r="401" ht="15" customHeight="1">
      <c r="A401" t="inlineStr">
        <is>
          <t>A 58278-2023</t>
        </is>
      </c>
      <c r="B401" s="1" t="n">
        <v>45250.5278587963</v>
      </c>
      <c r="C401" s="1" t="n">
        <v>46086</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22266-2023</t>
        </is>
      </c>
      <c r="B402" s="1" t="n">
        <v>45070</v>
      </c>
      <c r="C402" s="1" t="n">
        <v>46086</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52588-2023</t>
        </is>
      </c>
      <c r="B403" s="1" t="n">
        <v>45225.60192129629</v>
      </c>
      <c r="C403" s="1" t="n">
        <v>46086</v>
      </c>
      <c r="D403" t="inlineStr">
        <is>
          <t>KALMAR LÄN</t>
        </is>
      </c>
      <c r="E403" t="inlineStr">
        <is>
          <t>VIMMERBY</t>
        </is>
      </c>
      <c r="G403" t="n">
        <v>2.9</v>
      </c>
      <c r="H403" t="n">
        <v>0</v>
      </c>
      <c r="I403" t="n">
        <v>0</v>
      </c>
      <c r="J403" t="n">
        <v>0</v>
      </c>
      <c r="K403" t="n">
        <v>0</v>
      </c>
      <c r="L403" t="n">
        <v>0</v>
      </c>
      <c r="M403" t="n">
        <v>0</v>
      </c>
      <c r="N403" t="n">
        <v>0</v>
      </c>
      <c r="O403" t="n">
        <v>0</v>
      </c>
      <c r="P403" t="n">
        <v>0</v>
      </c>
      <c r="Q403" t="n">
        <v>0</v>
      </c>
      <c r="R403" s="2" t="inlineStr"/>
    </row>
    <row r="404" ht="15" customHeight="1">
      <c r="A404" t="inlineStr">
        <is>
          <t>A 44091-2025</t>
        </is>
      </c>
      <c r="B404" s="1" t="n">
        <v>45915.55950231481</v>
      </c>
      <c r="C404" s="1" t="n">
        <v>46086</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6802-2025</t>
        </is>
      </c>
      <c r="B405" s="1" t="n">
        <v>45700.68289351852</v>
      </c>
      <c r="C405" s="1" t="n">
        <v>46086</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71793-2021</t>
        </is>
      </c>
      <c r="B406" s="1" t="n">
        <v>44539</v>
      </c>
      <c r="C406" s="1" t="n">
        <v>46086</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11273-2026</t>
        </is>
      </c>
      <c r="B407" s="1" t="n">
        <v>46080.57634259259</v>
      </c>
      <c r="C407" s="1" t="n">
        <v>46086</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527-2024</t>
        </is>
      </c>
      <c r="B408" s="1" t="n">
        <v>45299.47513888889</v>
      </c>
      <c r="C408" s="1" t="n">
        <v>46086</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60230-2022</t>
        </is>
      </c>
      <c r="B409" s="1" t="n">
        <v>44910</v>
      </c>
      <c r="C409" s="1" t="n">
        <v>46086</v>
      </c>
      <c r="D409" t="inlineStr">
        <is>
          <t>KALMAR LÄN</t>
        </is>
      </c>
      <c r="E409" t="inlineStr">
        <is>
          <t>VIMMERBY</t>
        </is>
      </c>
      <c r="G409" t="n">
        <v>11.3</v>
      </c>
      <c r="H409" t="n">
        <v>0</v>
      </c>
      <c r="I409" t="n">
        <v>0</v>
      </c>
      <c r="J409" t="n">
        <v>0</v>
      </c>
      <c r="K409" t="n">
        <v>0</v>
      </c>
      <c r="L409" t="n">
        <v>0</v>
      </c>
      <c r="M409" t="n">
        <v>0</v>
      </c>
      <c r="N409" t="n">
        <v>0</v>
      </c>
      <c r="O409" t="n">
        <v>0</v>
      </c>
      <c r="P409" t="n">
        <v>0</v>
      </c>
      <c r="Q409" t="n">
        <v>0</v>
      </c>
      <c r="R409" s="2" t="inlineStr"/>
    </row>
    <row r="410" ht="15" customHeight="1">
      <c r="A410" t="inlineStr">
        <is>
          <t>A 44517-2025</t>
        </is>
      </c>
      <c r="B410" s="1" t="n">
        <v>45916.7103587963</v>
      </c>
      <c r="C410" s="1" t="n">
        <v>46086</v>
      </c>
      <c r="D410" t="inlineStr">
        <is>
          <t>KALMAR LÄN</t>
        </is>
      </c>
      <c r="E410" t="inlineStr">
        <is>
          <t>VIMMERBY</t>
        </is>
      </c>
      <c r="G410" t="n">
        <v>0.9</v>
      </c>
      <c r="H410" t="n">
        <v>0</v>
      </c>
      <c r="I410" t="n">
        <v>0</v>
      </c>
      <c r="J410" t="n">
        <v>0</v>
      </c>
      <c r="K410" t="n">
        <v>0</v>
      </c>
      <c r="L410" t="n">
        <v>0</v>
      </c>
      <c r="M410" t="n">
        <v>0</v>
      </c>
      <c r="N410" t="n">
        <v>0</v>
      </c>
      <c r="O410" t="n">
        <v>0</v>
      </c>
      <c r="P410" t="n">
        <v>0</v>
      </c>
      <c r="Q410" t="n">
        <v>0</v>
      </c>
      <c r="R410" s="2" t="inlineStr"/>
    </row>
    <row r="411" ht="15" customHeight="1">
      <c r="A411" t="inlineStr">
        <is>
          <t>A 44742-2025</t>
        </is>
      </c>
      <c r="B411" s="1" t="n">
        <v>45917.67054398148</v>
      </c>
      <c r="C411" s="1" t="n">
        <v>46086</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34628-2025</t>
        </is>
      </c>
      <c r="B412" s="1" t="n">
        <v>45847.91280092593</v>
      </c>
      <c r="C412" s="1" t="n">
        <v>46086</v>
      </c>
      <c r="D412" t="inlineStr">
        <is>
          <t>KALMAR LÄN</t>
        </is>
      </c>
      <c r="E412" t="inlineStr">
        <is>
          <t>VIMMERBY</t>
        </is>
      </c>
      <c r="G412" t="n">
        <v>4.2</v>
      </c>
      <c r="H412" t="n">
        <v>0</v>
      </c>
      <c r="I412" t="n">
        <v>0</v>
      </c>
      <c r="J412" t="n">
        <v>0</v>
      </c>
      <c r="K412" t="n">
        <v>0</v>
      </c>
      <c r="L412" t="n">
        <v>0</v>
      </c>
      <c r="M412" t="n">
        <v>0</v>
      </c>
      <c r="N412" t="n">
        <v>0</v>
      </c>
      <c r="O412" t="n">
        <v>0</v>
      </c>
      <c r="P412" t="n">
        <v>0</v>
      </c>
      <c r="Q412" t="n">
        <v>0</v>
      </c>
      <c r="R412" s="2" t="inlineStr"/>
    </row>
    <row r="413" ht="15" customHeight="1">
      <c r="A413" t="inlineStr">
        <is>
          <t>A 44329-2025</t>
        </is>
      </c>
      <c r="B413" s="1" t="n">
        <v>45916.41019675926</v>
      </c>
      <c r="C413" s="1" t="n">
        <v>46086</v>
      </c>
      <c r="D413" t="inlineStr">
        <is>
          <t>KALMAR LÄN</t>
        </is>
      </c>
      <c r="E413" t="inlineStr">
        <is>
          <t>VIMMERBY</t>
        </is>
      </c>
      <c r="G413" t="n">
        <v>4.3</v>
      </c>
      <c r="H413" t="n">
        <v>0</v>
      </c>
      <c r="I413" t="n">
        <v>0</v>
      </c>
      <c r="J413" t="n">
        <v>0</v>
      </c>
      <c r="K413" t="n">
        <v>0</v>
      </c>
      <c r="L413" t="n">
        <v>0</v>
      </c>
      <c r="M413" t="n">
        <v>0</v>
      </c>
      <c r="N413" t="n">
        <v>0</v>
      </c>
      <c r="O413" t="n">
        <v>0</v>
      </c>
      <c r="P413" t="n">
        <v>0</v>
      </c>
      <c r="Q413" t="n">
        <v>0</v>
      </c>
      <c r="R413" s="2" t="inlineStr"/>
    </row>
    <row r="414" ht="15" customHeight="1">
      <c r="A414" t="inlineStr">
        <is>
          <t>A 41896-2025</t>
        </is>
      </c>
      <c r="B414" s="1" t="n">
        <v>45903.38800925926</v>
      </c>
      <c r="C414" s="1" t="n">
        <v>46086</v>
      </c>
      <c r="D414" t="inlineStr">
        <is>
          <t>KALMAR LÄN</t>
        </is>
      </c>
      <c r="E414" t="inlineStr">
        <is>
          <t>VIMMERBY</t>
        </is>
      </c>
      <c r="G414" t="n">
        <v>2.9</v>
      </c>
      <c r="H414" t="n">
        <v>0</v>
      </c>
      <c r="I414" t="n">
        <v>0</v>
      </c>
      <c r="J414" t="n">
        <v>0</v>
      </c>
      <c r="K414" t="n">
        <v>0</v>
      </c>
      <c r="L414" t="n">
        <v>0</v>
      </c>
      <c r="M414" t="n">
        <v>0</v>
      </c>
      <c r="N414" t="n">
        <v>0</v>
      </c>
      <c r="O414" t="n">
        <v>0</v>
      </c>
      <c r="P414" t="n">
        <v>0</v>
      </c>
      <c r="Q414" t="n">
        <v>0</v>
      </c>
      <c r="R414" s="2" t="inlineStr"/>
    </row>
    <row r="415" ht="15" customHeight="1">
      <c r="A415" t="inlineStr">
        <is>
          <t>A 3868-2026</t>
        </is>
      </c>
      <c r="B415" s="1" t="n">
        <v>46043.6360300926</v>
      </c>
      <c r="C415" s="1" t="n">
        <v>46086</v>
      </c>
      <c r="D415" t="inlineStr">
        <is>
          <t>KALMAR LÄN</t>
        </is>
      </c>
      <c r="E415" t="inlineStr">
        <is>
          <t>VIMMERBY</t>
        </is>
      </c>
      <c r="G415" t="n">
        <v>0.9</v>
      </c>
      <c r="H415" t="n">
        <v>0</v>
      </c>
      <c r="I415" t="n">
        <v>0</v>
      </c>
      <c r="J415" t="n">
        <v>0</v>
      </c>
      <c r="K415" t="n">
        <v>0</v>
      </c>
      <c r="L415" t="n">
        <v>0</v>
      </c>
      <c r="M415" t="n">
        <v>0</v>
      </c>
      <c r="N415" t="n">
        <v>0</v>
      </c>
      <c r="O415" t="n">
        <v>0</v>
      </c>
      <c r="P415" t="n">
        <v>0</v>
      </c>
      <c r="Q415" t="n">
        <v>0</v>
      </c>
      <c r="R415" s="2" t="inlineStr"/>
    </row>
    <row r="416" ht="15" customHeight="1">
      <c r="A416" t="inlineStr">
        <is>
          <t>A 5925-2022</t>
        </is>
      </c>
      <c r="B416" s="1" t="n">
        <v>44598.7384837963</v>
      </c>
      <c r="C416" s="1" t="n">
        <v>46086</v>
      </c>
      <c r="D416" t="inlineStr">
        <is>
          <t>KALMAR LÄN</t>
        </is>
      </c>
      <c r="E416" t="inlineStr">
        <is>
          <t>VIMMERBY</t>
        </is>
      </c>
      <c r="G416" t="n">
        <v>2.1</v>
      </c>
      <c r="H416" t="n">
        <v>0</v>
      </c>
      <c r="I416" t="n">
        <v>0</v>
      </c>
      <c r="J416" t="n">
        <v>0</v>
      </c>
      <c r="K416" t="n">
        <v>0</v>
      </c>
      <c r="L416" t="n">
        <v>0</v>
      </c>
      <c r="M416" t="n">
        <v>0</v>
      </c>
      <c r="N416" t="n">
        <v>0</v>
      </c>
      <c r="O416" t="n">
        <v>0</v>
      </c>
      <c r="P416" t="n">
        <v>0</v>
      </c>
      <c r="Q416" t="n">
        <v>0</v>
      </c>
      <c r="R416" s="2" t="inlineStr"/>
    </row>
    <row r="417" ht="15" customHeight="1">
      <c r="A417" t="inlineStr">
        <is>
          <t>A 46522-2022</t>
        </is>
      </c>
      <c r="B417" s="1" t="n">
        <v>44848.59133101852</v>
      </c>
      <c r="C417" s="1" t="n">
        <v>46086</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41066-2024</t>
        </is>
      </c>
      <c r="B418" s="1" t="n">
        <v>45559.38876157408</v>
      </c>
      <c r="C418" s="1" t="n">
        <v>46086</v>
      </c>
      <c r="D418" t="inlineStr">
        <is>
          <t>KALMAR LÄN</t>
        </is>
      </c>
      <c r="E418" t="inlineStr">
        <is>
          <t>VIMMERBY</t>
        </is>
      </c>
      <c r="G418" t="n">
        <v>2.4</v>
      </c>
      <c r="H418" t="n">
        <v>0</v>
      </c>
      <c r="I418" t="n">
        <v>0</v>
      </c>
      <c r="J418" t="n">
        <v>0</v>
      </c>
      <c r="K418" t="n">
        <v>0</v>
      </c>
      <c r="L418" t="n">
        <v>0</v>
      </c>
      <c r="M418" t="n">
        <v>0</v>
      </c>
      <c r="N418" t="n">
        <v>0</v>
      </c>
      <c r="O418" t="n">
        <v>0</v>
      </c>
      <c r="P418" t="n">
        <v>0</v>
      </c>
      <c r="Q418" t="n">
        <v>0</v>
      </c>
      <c r="R418" s="2" t="inlineStr"/>
    </row>
    <row r="419" ht="15" customHeight="1">
      <c r="A419" t="inlineStr">
        <is>
          <t>A 3869-2026</t>
        </is>
      </c>
      <c r="B419" s="1" t="n">
        <v>46043.63940972222</v>
      </c>
      <c r="C419" s="1" t="n">
        <v>46086</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52279-2023</t>
        </is>
      </c>
      <c r="B420" s="1" t="n">
        <v>45224</v>
      </c>
      <c r="C420" s="1" t="n">
        <v>46086</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45114-2025</t>
        </is>
      </c>
      <c r="B421" s="1" t="n">
        <v>45919.42387731482</v>
      </c>
      <c r="C421" s="1" t="n">
        <v>46086</v>
      </c>
      <c r="D421" t="inlineStr">
        <is>
          <t>KALMAR LÄN</t>
        </is>
      </c>
      <c r="E421" t="inlineStr">
        <is>
          <t>VIMMERBY</t>
        </is>
      </c>
      <c r="G421" t="n">
        <v>2.7</v>
      </c>
      <c r="H421" t="n">
        <v>0</v>
      </c>
      <c r="I421" t="n">
        <v>0</v>
      </c>
      <c r="J421" t="n">
        <v>0</v>
      </c>
      <c r="K421" t="n">
        <v>0</v>
      </c>
      <c r="L421" t="n">
        <v>0</v>
      </c>
      <c r="M421" t="n">
        <v>0</v>
      </c>
      <c r="N421" t="n">
        <v>0</v>
      </c>
      <c r="O421" t="n">
        <v>0</v>
      </c>
      <c r="P421" t="n">
        <v>0</v>
      </c>
      <c r="Q421" t="n">
        <v>0</v>
      </c>
      <c r="R421" s="2" t="inlineStr"/>
    </row>
    <row r="422" ht="15" customHeight="1">
      <c r="A422" t="inlineStr">
        <is>
          <t>A 45319-2025</t>
        </is>
      </c>
      <c r="B422" s="1" t="n">
        <v>45921.95611111111</v>
      </c>
      <c r="C422" s="1" t="n">
        <v>46086</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17486-2024</t>
        </is>
      </c>
      <c r="B423" s="1" t="n">
        <v>45415.48979166667</v>
      </c>
      <c r="C423" s="1" t="n">
        <v>46086</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11407-2026</t>
        </is>
      </c>
      <c r="B424" s="1" t="n">
        <v>46083</v>
      </c>
      <c r="C424" s="1" t="n">
        <v>46086</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35270-2025</t>
        </is>
      </c>
      <c r="B425" s="1" t="n">
        <v>45853.87112268519</v>
      </c>
      <c r="C425" s="1" t="n">
        <v>46086</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35271-2025</t>
        </is>
      </c>
      <c r="B426" s="1" t="n">
        <v>45853.87599537037</v>
      </c>
      <c r="C426" s="1" t="n">
        <v>46086</v>
      </c>
      <c r="D426" t="inlineStr">
        <is>
          <t>KALMAR LÄN</t>
        </is>
      </c>
      <c r="E426" t="inlineStr">
        <is>
          <t>VIMMERBY</t>
        </is>
      </c>
      <c r="G426" t="n">
        <v>0.4</v>
      </c>
      <c r="H426" t="n">
        <v>0</v>
      </c>
      <c r="I426" t="n">
        <v>0</v>
      </c>
      <c r="J426" t="n">
        <v>0</v>
      </c>
      <c r="K426" t="n">
        <v>0</v>
      </c>
      <c r="L426" t="n">
        <v>0</v>
      </c>
      <c r="M426" t="n">
        <v>0</v>
      </c>
      <c r="N426" t="n">
        <v>0</v>
      </c>
      <c r="O426" t="n">
        <v>0</v>
      </c>
      <c r="P426" t="n">
        <v>0</v>
      </c>
      <c r="Q426" t="n">
        <v>0</v>
      </c>
      <c r="R426" s="2" t="inlineStr"/>
    </row>
    <row r="427" ht="15" customHeight="1">
      <c r="A427" t="inlineStr">
        <is>
          <t>A 35272-2025</t>
        </is>
      </c>
      <c r="B427" s="1" t="n">
        <v>45853.88070601852</v>
      </c>
      <c r="C427" s="1" t="n">
        <v>46086</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45320-2025</t>
        </is>
      </c>
      <c r="B428" s="1" t="n">
        <v>45921.96395833333</v>
      </c>
      <c r="C428" s="1" t="n">
        <v>46086</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71631-2021</t>
        </is>
      </c>
      <c r="B429" s="1" t="n">
        <v>44542.90072916666</v>
      </c>
      <c r="C429" s="1" t="n">
        <v>46086</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16953-2025</t>
        </is>
      </c>
      <c r="B430" s="1" t="n">
        <v>45755.44333333334</v>
      </c>
      <c r="C430" s="1" t="n">
        <v>46086</v>
      </c>
      <c r="D430" t="inlineStr">
        <is>
          <t>KALMAR LÄN</t>
        </is>
      </c>
      <c r="E430" t="inlineStr">
        <is>
          <t>VIMMERBY</t>
        </is>
      </c>
      <c r="G430" t="n">
        <v>2</v>
      </c>
      <c r="H430" t="n">
        <v>0</v>
      </c>
      <c r="I430" t="n">
        <v>0</v>
      </c>
      <c r="J430" t="n">
        <v>0</v>
      </c>
      <c r="K430" t="n">
        <v>0</v>
      </c>
      <c r="L430" t="n">
        <v>0</v>
      </c>
      <c r="M430" t="n">
        <v>0</v>
      </c>
      <c r="N430" t="n">
        <v>0</v>
      </c>
      <c r="O430" t="n">
        <v>0</v>
      </c>
      <c r="P430" t="n">
        <v>0</v>
      </c>
      <c r="Q430" t="n">
        <v>0</v>
      </c>
      <c r="R430" s="2" t="inlineStr"/>
    </row>
    <row r="431" ht="15" customHeight="1">
      <c r="A431" t="inlineStr">
        <is>
          <t>A 35596-2025</t>
        </is>
      </c>
      <c r="B431" s="1" t="n">
        <v>45858.60641203704</v>
      </c>
      <c r="C431" s="1" t="n">
        <v>46086</v>
      </c>
      <c r="D431" t="inlineStr">
        <is>
          <t>KALMAR LÄN</t>
        </is>
      </c>
      <c r="E431" t="inlineStr">
        <is>
          <t>VIMMERBY</t>
        </is>
      </c>
      <c r="G431" t="n">
        <v>2.8</v>
      </c>
      <c r="H431" t="n">
        <v>0</v>
      </c>
      <c r="I431" t="n">
        <v>0</v>
      </c>
      <c r="J431" t="n">
        <v>0</v>
      </c>
      <c r="K431" t="n">
        <v>0</v>
      </c>
      <c r="L431" t="n">
        <v>0</v>
      </c>
      <c r="M431" t="n">
        <v>0</v>
      </c>
      <c r="N431" t="n">
        <v>0</v>
      </c>
      <c r="O431" t="n">
        <v>0</v>
      </c>
      <c r="P431" t="n">
        <v>0</v>
      </c>
      <c r="Q431" t="n">
        <v>0</v>
      </c>
      <c r="R431" s="2" t="inlineStr"/>
    </row>
    <row r="432" ht="15" customHeight="1">
      <c r="A432" t="inlineStr">
        <is>
          <t>A 35597-2025</t>
        </is>
      </c>
      <c r="B432" s="1" t="n">
        <v>45858.66019675926</v>
      </c>
      <c r="C432" s="1" t="n">
        <v>46086</v>
      </c>
      <c r="D432" t="inlineStr">
        <is>
          <t>KALMAR LÄN</t>
        </is>
      </c>
      <c r="E432" t="inlineStr">
        <is>
          <t>VIMMERBY</t>
        </is>
      </c>
      <c r="G432" t="n">
        <v>6.4</v>
      </c>
      <c r="H432" t="n">
        <v>0</v>
      </c>
      <c r="I432" t="n">
        <v>0</v>
      </c>
      <c r="J432" t="n">
        <v>0</v>
      </c>
      <c r="K432" t="n">
        <v>0</v>
      </c>
      <c r="L432" t="n">
        <v>0</v>
      </c>
      <c r="M432" t="n">
        <v>0</v>
      </c>
      <c r="N432" t="n">
        <v>0</v>
      </c>
      <c r="O432" t="n">
        <v>0</v>
      </c>
      <c r="P432" t="n">
        <v>0</v>
      </c>
      <c r="Q432" t="n">
        <v>0</v>
      </c>
      <c r="R432" s="2" t="inlineStr"/>
    </row>
    <row r="433" ht="15" customHeight="1">
      <c r="A433" t="inlineStr">
        <is>
          <t>A 11415-2026</t>
        </is>
      </c>
      <c r="B433" s="1" t="n">
        <v>46083</v>
      </c>
      <c r="C433" s="1" t="n">
        <v>46086</v>
      </c>
      <c r="D433" t="inlineStr">
        <is>
          <t>KALMAR LÄN</t>
        </is>
      </c>
      <c r="E433" t="inlineStr">
        <is>
          <t>VIMMERBY</t>
        </is>
      </c>
      <c r="G433" t="n">
        <v>1.1</v>
      </c>
      <c r="H433" t="n">
        <v>0</v>
      </c>
      <c r="I433" t="n">
        <v>0</v>
      </c>
      <c r="J433" t="n">
        <v>0</v>
      </c>
      <c r="K433" t="n">
        <v>0</v>
      </c>
      <c r="L433" t="n">
        <v>0</v>
      </c>
      <c r="M433" t="n">
        <v>0</v>
      </c>
      <c r="N433" t="n">
        <v>0</v>
      </c>
      <c r="O433" t="n">
        <v>0</v>
      </c>
      <c r="P433" t="n">
        <v>0</v>
      </c>
      <c r="Q433" t="n">
        <v>0</v>
      </c>
      <c r="R433" s="2" t="inlineStr"/>
    </row>
    <row r="434" ht="15" customHeight="1">
      <c r="A434" t="inlineStr">
        <is>
          <t>A 46118-2025</t>
        </is>
      </c>
      <c r="B434" s="1" t="n">
        <v>45924.57697916667</v>
      </c>
      <c r="C434" s="1" t="n">
        <v>46086</v>
      </c>
      <c r="D434" t="inlineStr">
        <is>
          <t>KALMAR LÄN</t>
        </is>
      </c>
      <c r="E434" t="inlineStr">
        <is>
          <t>VIMMERBY</t>
        </is>
      </c>
      <c r="G434" t="n">
        <v>2.9</v>
      </c>
      <c r="H434" t="n">
        <v>0</v>
      </c>
      <c r="I434" t="n">
        <v>0</v>
      </c>
      <c r="J434" t="n">
        <v>0</v>
      </c>
      <c r="K434" t="n">
        <v>0</v>
      </c>
      <c r="L434" t="n">
        <v>0</v>
      </c>
      <c r="M434" t="n">
        <v>0</v>
      </c>
      <c r="N434" t="n">
        <v>0</v>
      </c>
      <c r="O434" t="n">
        <v>0</v>
      </c>
      <c r="P434" t="n">
        <v>0</v>
      </c>
      <c r="Q434" t="n">
        <v>0</v>
      </c>
      <c r="R434" s="2" t="inlineStr"/>
    </row>
    <row r="435" ht="15" customHeight="1">
      <c r="A435" t="inlineStr">
        <is>
          <t>A 46365-2025</t>
        </is>
      </c>
      <c r="B435" s="1" t="n">
        <v>45925.50075231482</v>
      </c>
      <c r="C435" s="1" t="n">
        <v>46086</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16015-2025</t>
        </is>
      </c>
      <c r="B436" s="1" t="n">
        <v>45749.60487268519</v>
      </c>
      <c r="C436" s="1" t="n">
        <v>46086</v>
      </c>
      <c r="D436" t="inlineStr">
        <is>
          <t>KALMAR LÄN</t>
        </is>
      </c>
      <c r="E436" t="inlineStr">
        <is>
          <t>VIMMERBY</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46361-2025</t>
        </is>
      </c>
      <c r="B437" s="1" t="n">
        <v>45925.49670138889</v>
      </c>
      <c r="C437" s="1" t="n">
        <v>46086</v>
      </c>
      <c r="D437" t="inlineStr">
        <is>
          <t>KALMAR LÄN</t>
        </is>
      </c>
      <c r="E437" t="inlineStr">
        <is>
          <t>VIMMERBY</t>
        </is>
      </c>
      <c r="G437" t="n">
        <v>4.2</v>
      </c>
      <c r="H437" t="n">
        <v>0</v>
      </c>
      <c r="I437" t="n">
        <v>0</v>
      </c>
      <c r="J437" t="n">
        <v>0</v>
      </c>
      <c r="K437" t="n">
        <v>0</v>
      </c>
      <c r="L437" t="n">
        <v>0</v>
      </c>
      <c r="M437" t="n">
        <v>0</v>
      </c>
      <c r="N437" t="n">
        <v>0</v>
      </c>
      <c r="O437" t="n">
        <v>0</v>
      </c>
      <c r="P437" t="n">
        <v>0</v>
      </c>
      <c r="Q437" t="n">
        <v>0</v>
      </c>
      <c r="R437" s="2" t="inlineStr"/>
    </row>
    <row r="438" ht="15" customHeight="1">
      <c r="A438" t="inlineStr">
        <is>
          <t>A 9694-2023</t>
        </is>
      </c>
      <c r="B438" s="1" t="n">
        <v>44984.45895833334</v>
      </c>
      <c r="C438" s="1" t="n">
        <v>46086</v>
      </c>
      <c r="D438" t="inlineStr">
        <is>
          <t>KALMAR LÄN</t>
        </is>
      </c>
      <c r="E438" t="inlineStr">
        <is>
          <t>VIMMERBY</t>
        </is>
      </c>
      <c r="G438" t="n">
        <v>2.1</v>
      </c>
      <c r="H438" t="n">
        <v>0</v>
      </c>
      <c r="I438" t="n">
        <v>0</v>
      </c>
      <c r="J438" t="n">
        <v>0</v>
      </c>
      <c r="K438" t="n">
        <v>0</v>
      </c>
      <c r="L438" t="n">
        <v>0</v>
      </c>
      <c r="M438" t="n">
        <v>0</v>
      </c>
      <c r="N438" t="n">
        <v>0</v>
      </c>
      <c r="O438" t="n">
        <v>0</v>
      </c>
      <c r="P438" t="n">
        <v>0</v>
      </c>
      <c r="Q438" t="n">
        <v>0</v>
      </c>
      <c r="R438" s="2" t="inlineStr"/>
    </row>
    <row r="439" ht="15" customHeight="1">
      <c r="A439" t="inlineStr">
        <is>
          <t>A 22198-2024</t>
        </is>
      </c>
      <c r="B439" s="1" t="n">
        <v>45446.36865740741</v>
      </c>
      <c r="C439" s="1" t="n">
        <v>46086</v>
      </c>
      <c r="D439" t="inlineStr">
        <is>
          <t>KALMAR LÄN</t>
        </is>
      </c>
      <c r="E439" t="inlineStr">
        <is>
          <t>VIMMERBY</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57311-2023</t>
        </is>
      </c>
      <c r="B440" s="1" t="n">
        <v>45245.63574074074</v>
      </c>
      <c r="C440" s="1" t="n">
        <v>46086</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12588-2025</t>
        </is>
      </c>
      <c r="B441" s="1" t="n">
        <v>45732.76936342593</v>
      </c>
      <c r="C441" s="1" t="n">
        <v>46086</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7932-2025</t>
        </is>
      </c>
      <c r="B442" s="1" t="n">
        <v>45707.3793287037</v>
      </c>
      <c r="C442" s="1" t="n">
        <v>46086</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36226-2025</t>
        </is>
      </c>
      <c r="B443" s="1" t="n">
        <v>45867.51630787037</v>
      </c>
      <c r="C443" s="1" t="n">
        <v>46086</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36273-2025</t>
        </is>
      </c>
      <c r="B444" s="1" t="n">
        <v>45867.63094907408</v>
      </c>
      <c r="C444" s="1" t="n">
        <v>46086</v>
      </c>
      <c r="D444" t="inlineStr">
        <is>
          <t>KALMAR LÄN</t>
        </is>
      </c>
      <c r="E444" t="inlineStr">
        <is>
          <t>VIMMERBY</t>
        </is>
      </c>
      <c r="G444" t="n">
        <v>1.7</v>
      </c>
      <c r="H444" t="n">
        <v>0</v>
      </c>
      <c r="I444" t="n">
        <v>0</v>
      </c>
      <c r="J444" t="n">
        <v>0</v>
      </c>
      <c r="K444" t="n">
        <v>0</v>
      </c>
      <c r="L444" t="n">
        <v>0</v>
      </c>
      <c r="M444" t="n">
        <v>0</v>
      </c>
      <c r="N444" t="n">
        <v>0</v>
      </c>
      <c r="O444" t="n">
        <v>0</v>
      </c>
      <c r="P444" t="n">
        <v>0</v>
      </c>
      <c r="Q444" t="n">
        <v>0</v>
      </c>
      <c r="R444" s="2" t="inlineStr"/>
    </row>
    <row r="445" ht="15" customHeight="1">
      <c r="A445" t="inlineStr">
        <is>
          <t>A 36282-2025</t>
        </is>
      </c>
      <c r="B445" s="1" t="n">
        <v>45867.64663194444</v>
      </c>
      <c r="C445" s="1" t="n">
        <v>46086</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46887-2025</t>
        </is>
      </c>
      <c r="B446" s="1" t="n">
        <v>45929.3672337963</v>
      </c>
      <c r="C446" s="1" t="n">
        <v>46086</v>
      </c>
      <c r="D446" t="inlineStr">
        <is>
          <t>KALMAR LÄN</t>
        </is>
      </c>
      <c r="E446" t="inlineStr">
        <is>
          <t>VIMMERBY</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36246-2025</t>
        </is>
      </c>
      <c r="B447" s="1" t="n">
        <v>45867.56320601852</v>
      </c>
      <c r="C447" s="1" t="n">
        <v>46086</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45856-2025</t>
        </is>
      </c>
      <c r="B448" s="1" t="n">
        <v>45923</v>
      </c>
      <c r="C448" s="1" t="n">
        <v>46086</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36297-2025</t>
        </is>
      </c>
      <c r="B449" s="1" t="n">
        <v>45867.68625</v>
      </c>
      <c r="C449" s="1" t="n">
        <v>46086</v>
      </c>
      <c r="D449" t="inlineStr">
        <is>
          <t>KALMAR LÄN</t>
        </is>
      </c>
      <c r="E449" t="inlineStr">
        <is>
          <t>VIMMERBY</t>
        </is>
      </c>
      <c r="G449" t="n">
        <v>4.9</v>
      </c>
      <c r="H449" t="n">
        <v>0</v>
      </c>
      <c r="I449" t="n">
        <v>0</v>
      </c>
      <c r="J449" t="n">
        <v>0</v>
      </c>
      <c r="K449" t="n">
        <v>0</v>
      </c>
      <c r="L449" t="n">
        <v>0</v>
      </c>
      <c r="M449" t="n">
        <v>0</v>
      </c>
      <c r="N449" t="n">
        <v>0</v>
      </c>
      <c r="O449" t="n">
        <v>0</v>
      </c>
      <c r="P449" t="n">
        <v>0</v>
      </c>
      <c r="Q449" t="n">
        <v>0</v>
      </c>
      <c r="R449" s="2" t="inlineStr"/>
    </row>
    <row r="450" ht="15" customHeight="1">
      <c r="A450" t="inlineStr">
        <is>
          <t>A 36221-2025</t>
        </is>
      </c>
      <c r="B450" s="1" t="n">
        <v>45867.50792824074</v>
      </c>
      <c r="C450" s="1" t="n">
        <v>46086</v>
      </c>
      <c r="D450" t="inlineStr">
        <is>
          <t>KALMAR LÄN</t>
        </is>
      </c>
      <c r="E450" t="inlineStr">
        <is>
          <t>VIMMERBY</t>
        </is>
      </c>
      <c r="G450" t="n">
        <v>2.5</v>
      </c>
      <c r="H450" t="n">
        <v>0</v>
      </c>
      <c r="I450" t="n">
        <v>0</v>
      </c>
      <c r="J450" t="n">
        <v>0</v>
      </c>
      <c r="K450" t="n">
        <v>0</v>
      </c>
      <c r="L450" t="n">
        <v>0</v>
      </c>
      <c r="M450" t="n">
        <v>0</v>
      </c>
      <c r="N450" t="n">
        <v>0</v>
      </c>
      <c r="O450" t="n">
        <v>0</v>
      </c>
      <c r="P450" t="n">
        <v>0</v>
      </c>
      <c r="Q450" t="n">
        <v>0</v>
      </c>
      <c r="R450" s="2" t="inlineStr"/>
    </row>
    <row r="451" ht="15" customHeight="1">
      <c r="A451" t="inlineStr">
        <is>
          <t>A 19502-2025</t>
        </is>
      </c>
      <c r="B451" s="1" t="n">
        <v>45769</v>
      </c>
      <c r="C451" s="1" t="n">
        <v>46086</v>
      </c>
      <c r="D451" t="inlineStr">
        <is>
          <t>KALMAR LÄN</t>
        </is>
      </c>
      <c r="E451" t="inlineStr">
        <is>
          <t>VIMMERBY</t>
        </is>
      </c>
      <c r="G451" t="n">
        <v>1.9</v>
      </c>
      <c r="H451" t="n">
        <v>0</v>
      </c>
      <c r="I451" t="n">
        <v>0</v>
      </c>
      <c r="J451" t="n">
        <v>0</v>
      </c>
      <c r="K451" t="n">
        <v>0</v>
      </c>
      <c r="L451" t="n">
        <v>0</v>
      </c>
      <c r="M451" t="n">
        <v>0</v>
      </c>
      <c r="N451" t="n">
        <v>0</v>
      </c>
      <c r="O451" t="n">
        <v>0</v>
      </c>
      <c r="P451" t="n">
        <v>0</v>
      </c>
      <c r="Q451" t="n">
        <v>0</v>
      </c>
      <c r="R451" s="2" t="inlineStr"/>
    </row>
    <row r="452" ht="15" customHeight="1">
      <c r="A452" t="inlineStr">
        <is>
          <t>A 45854-2025</t>
        </is>
      </c>
      <c r="B452" s="1" t="n">
        <v>45923</v>
      </c>
      <c r="C452" s="1" t="n">
        <v>46086</v>
      </c>
      <c r="D452" t="inlineStr">
        <is>
          <t>KALMAR LÄN</t>
        </is>
      </c>
      <c r="E452" t="inlineStr">
        <is>
          <t>VIMMERBY</t>
        </is>
      </c>
      <c r="G452" t="n">
        <v>2.2</v>
      </c>
      <c r="H452" t="n">
        <v>0</v>
      </c>
      <c r="I452" t="n">
        <v>0</v>
      </c>
      <c r="J452" t="n">
        <v>0</v>
      </c>
      <c r="K452" t="n">
        <v>0</v>
      </c>
      <c r="L452" t="n">
        <v>0</v>
      </c>
      <c r="M452" t="n">
        <v>0</v>
      </c>
      <c r="N452" t="n">
        <v>0</v>
      </c>
      <c r="O452" t="n">
        <v>0</v>
      </c>
      <c r="P452" t="n">
        <v>0</v>
      </c>
      <c r="Q452" t="n">
        <v>0</v>
      </c>
      <c r="R452" s="2" t="inlineStr"/>
    </row>
    <row r="453" ht="15" customHeight="1">
      <c r="A453" t="inlineStr">
        <is>
          <t>A 45855-2025</t>
        </is>
      </c>
      <c r="B453" s="1" t="n">
        <v>45923</v>
      </c>
      <c r="C453" s="1" t="n">
        <v>46086</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36299-2025</t>
        </is>
      </c>
      <c r="B454" s="1" t="n">
        <v>45867.69346064814</v>
      </c>
      <c r="C454" s="1" t="n">
        <v>46086</v>
      </c>
      <c r="D454" t="inlineStr">
        <is>
          <t>KALMAR LÄN</t>
        </is>
      </c>
      <c r="E454" t="inlineStr">
        <is>
          <t>VIMMERBY</t>
        </is>
      </c>
      <c r="G454" t="n">
        <v>7.6</v>
      </c>
      <c r="H454" t="n">
        <v>0</v>
      </c>
      <c r="I454" t="n">
        <v>0</v>
      </c>
      <c r="J454" t="n">
        <v>0</v>
      </c>
      <c r="K454" t="n">
        <v>0</v>
      </c>
      <c r="L454" t="n">
        <v>0</v>
      </c>
      <c r="M454" t="n">
        <v>0</v>
      </c>
      <c r="N454" t="n">
        <v>0</v>
      </c>
      <c r="O454" t="n">
        <v>0</v>
      </c>
      <c r="P454" t="n">
        <v>0</v>
      </c>
      <c r="Q454" t="n">
        <v>0</v>
      </c>
      <c r="R454" s="2" t="inlineStr"/>
    </row>
    <row r="455" ht="15" customHeight="1">
      <c r="A455" t="inlineStr">
        <is>
          <t>A 2121-2022</t>
        </is>
      </c>
      <c r="B455" s="1" t="n">
        <v>44578.32717592592</v>
      </c>
      <c r="C455" s="1" t="n">
        <v>46086</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34386-2024</t>
        </is>
      </c>
      <c r="B456" s="1" t="n">
        <v>45525.41762731481</v>
      </c>
      <c r="C456" s="1" t="n">
        <v>46086</v>
      </c>
      <c r="D456" t="inlineStr">
        <is>
          <t>KALMAR LÄN</t>
        </is>
      </c>
      <c r="E456" t="inlineStr">
        <is>
          <t>VIMMERBY</t>
        </is>
      </c>
      <c r="G456" t="n">
        <v>0.3</v>
      </c>
      <c r="H456" t="n">
        <v>0</v>
      </c>
      <c r="I456" t="n">
        <v>0</v>
      </c>
      <c r="J456" t="n">
        <v>0</v>
      </c>
      <c r="K456" t="n">
        <v>0</v>
      </c>
      <c r="L456" t="n">
        <v>0</v>
      </c>
      <c r="M456" t="n">
        <v>0</v>
      </c>
      <c r="N456" t="n">
        <v>0</v>
      </c>
      <c r="O456" t="n">
        <v>0</v>
      </c>
      <c r="P456" t="n">
        <v>0</v>
      </c>
      <c r="Q456" t="n">
        <v>0</v>
      </c>
      <c r="R456" s="2" t="inlineStr"/>
    </row>
    <row r="457" ht="15" customHeight="1">
      <c r="A457" t="inlineStr">
        <is>
          <t>A 36538-2025</t>
        </is>
      </c>
      <c r="B457" s="1" t="n">
        <v>45869.62276620371</v>
      </c>
      <c r="C457" s="1" t="n">
        <v>46086</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6069-2023</t>
        </is>
      </c>
      <c r="B458" s="1" t="n">
        <v>44964.5115162037</v>
      </c>
      <c r="C458" s="1" t="n">
        <v>46086</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47227-2025</t>
        </is>
      </c>
      <c r="B459" s="1" t="n">
        <v>45930.39769675926</v>
      </c>
      <c r="C459" s="1" t="n">
        <v>46086</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36598-2025</t>
        </is>
      </c>
      <c r="B460" s="1" t="n">
        <v>45870.51708333333</v>
      </c>
      <c r="C460" s="1" t="n">
        <v>46086</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36602-2025</t>
        </is>
      </c>
      <c r="B461" s="1" t="n">
        <v>45870.52111111111</v>
      </c>
      <c r="C461" s="1" t="n">
        <v>46086</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32633-2023</t>
        </is>
      </c>
      <c r="B462" s="1" t="n">
        <v>45121.58699074074</v>
      </c>
      <c r="C462" s="1" t="n">
        <v>46086</v>
      </c>
      <c r="D462" t="inlineStr">
        <is>
          <t>KALMAR LÄN</t>
        </is>
      </c>
      <c r="E462" t="inlineStr">
        <is>
          <t>VIMMERBY</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49461-2023</t>
        </is>
      </c>
      <c r="B463" s="1" t="n">
        <v>45211.52642361111</v>
      </c>
      <c r="C463" s="1" t="n">
        <v>46086</v>
      </c>
      <c r="D463" t="inlineStr">
        <is>
          <t>KALMAR LÄN</t>
        </is>
      </c>
      <c r="E463" t="inlineStr">
        <is>
          <t>VIMMERBY</t>
        </is>
      </c>
      <c r="G463" t="n">
        <v>1.5</v>
      </c>
      <c r="H463" t="n">
        <v>0</v>
      </c>
      <c r="I463" t="n">
        <v>0</v>
      </c>
      <c r="J463" t="n">
        <v>0</v>
      </c>
      <c r="K463" t="n">
        <v>0</v>
      </c>
      <c r="L463" t="n">
        <v>0</v>
      </c>
      <c r="M463" t="n">
        <v>0</v>
      </c>
      <c r="N463" t="n">
        <v>0</v>
      </c>
      <c r="O463" t="n">
        <v>0</v>
      </c>
      <c r="P463" t="n">
        <v>0</v>
      </c>
      <c r="Q463" t="n">
        <v>0</v>
      </c>
      <c r="R463" s="2" t="inlineStr"/>
    </row>
    <row r="464" ht="15" customHeight="1">
      <c r="A464" t="inlineStr">
        <is>
          <t>A 23095-2023</t>
        </is>
      </c>
      <c r="B464" s="1" t="n">
        <v>45075.43059027778</v>
      </c>
      <c r="C464" s="1" t="n">
        <v>46086</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11429-2022</t>
        </is>
      </c>
      <c r="B465" s="1" t="n">
        <v>44630</v>
      </c>
      <c r="C465" s="1" t="n">
        <v>46086</v>
      </c>
      <c r="D465" t="inlineStr">
        <is>
          <t>KALMAR LÄN</t>
        </is>
      </c>
      <c r="E465" t="inlineStr">
        <is>
          <t>VIMMERBY</t>
        </is>
      </c>
      <c r="G465" t="n">
        <v>2.6</v>
      </c>
      <c r="H465" t="n">
        <v>0</v>
      </c>
      <c r="I465" t="n">
        <v>0</v>
      </c>
      <c r="J465" t="n">
        <v>0</v>
      </c>
      <c r="K465" t="n">
        <v>0</v>
      </c>
      <c r="L465" t="n">
        <v>0</v>
      </c>
      <c r="M465" t="n">
        <v>0</v>
      </c>
      <c r="N465" t="n">
        <v>0</v>
      </c>
      <c r="O465" t="n">
        <v>0</v>
      </c>
      <c r="P465" t="n">
        <v>0</v>
      </c>
      <c r="Q465" t="n">
        <v>0</v>
      </c>
      <c r="R465" s="2" t="inlineStr"/>
    </row>
    <row r="466" ht="15" customHeight="1">
      <c r="A466" t="inlineStr">
        <is>
          <t>A 48299-2025</t>
        </is>
      </c>
      <c r="B466" s="1" t="n">
        <v>45933.60982638889</v>
      </c>
      <c r="C466" s="1" t="n">
        <v>46086</v>
      </c>
      <c r="D466" t="inlineStr">
        <is>
          <t>KALMAR LÄN</t>
        </is>
      </c>
      <c r="E466" t="inlineStr">
        <is>
          <t>VIMMERBY</t>
        </is>
      </c>
      <c r="G466" t="n">
        <v>1.8</v>
      </c>
      <c r="H466" t="n">
        <v>0</v>
      </c>
      <c r="I466" t="n">
        <v>0</v>
      </c>
      <c r="J466" t="n">
        <v>0</v>
      </c>
      <c r="K466" t="n">
        <v>0</v>
      </c>
      <c r="L466" t="n">
        <v>0</v>
      </c>
      <c r="M466" t="n">
        <v>0</v>
      </c>
      <c r="N466" t="n">
        <v>0</v>
      </c>
      <c r="O466" t="n">
        <v>0</v>
      </c>
      <c r="P466" t="n">
        <v>0</v>
      </c>
      <c r="Q466" t="n">
        <v>0</v>
      </c>
      <c r="R466" s="2" t="inlineStr"/>
    </row>
    <row r="467" ht="15" customHeight="1">
      <c r="A467" t="inlineStr">
        <is>
          <t>A 36603-2025</t>
        </is>
      </c>
      <c r="B467" s="1" t="n">
        <v>45870.52142361111</v>
      </c>
      <c r="C467" s="1" t="n">
        <v>46086</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11141-2024</t>
        </is>
      </c>
      <c r="B468" s="1" t="n">
        <v>45371.45865740741</v>
      </c>
      <c r="C468" s="1" t="n">
        <v>46086</v>
      </c>
      <c r="D468" t="inlineStr">
        <is>
          <t>KALMAR LÄN</t>
        </is>
      </c>
      <c r="E468" t="inlineStr">
        <is>
          <t>VIMMERBY</t>
        </is>
      </c>
      <c r="G468" t="n">
        <v>0.7</v>
      </c>
      <c r="H468" t="n">
        <v>0</v>
      </c>
      <c r="I468" t="n">
        <v>0</v>
      </c>
      <c r="J468" t="n">
        <v>0</v>
      </c>
      <c r="K468" t="n">
        <v>0</v>
      </c>
      <c r="L468" t="n">
        <v>0</v>
      </c>
      <c r="M468" t="n">
        <v>0</v>
      </c>
      <c r="N468" t="n">
        <v>0</v>
      </c>
      <c r="O468" t="n">
        <v>0</v>
      </c>
      <c r="P468" t="n">
        <v>0</v>
      </c>
      <c r="Q468" t="n">
        <v>0</v>
      </c>
      <c r="R468" s="2" t="inlineStr"/>
    </row>
    <row r="469" ht="15" customHeight="1">
      <c r="A469" t="inlineStr">
        <is>
          <t>A 47965-2025</t>
        </is>
      </c>
      <c r="B469" s="1" t="n">
        <v>45932.59597222223</v>
      </c>
      <c r="C469" s="1" t="n">
        <v>46086</v>
      </c>
      <c r="D469" t="inlineStr">
        <is>
          <t>KALMAR LÄN</t>
        </is>
      </c>
      <c r="E469" t="inlineStr">
        <is>
          <t>VIMMERBY</t>
        </is>
      </c>
      <c r="G469" t="n">
        <v>2.2</v>
      </c>
      <c r="H469" t="n">
        <v>0</v>
      </c>
      <c r="I469" t="n">
        <v>0</v>
      </c>
      <c r="J469" t="n">
        <v>0</v>
      </c>
      <c r="K469" t="n">
        <v>0</v>
      </c>
      <c r="L469" t="n">
        <v>0</v>
      </c>
      <c r="M469" t="n">
        <v>0</v>
      </c>
      <c r="N469" t="n">
        <v>0</v>
      </c>
      <c r="O469" t="n">
        <v>0</v>
      </c>
      <c r="P469" t="n">
        <v>0</v>
      </c>
      <c r="Q469" t="n">
        <v>0</v>
      </c>
      <c r="R469" s="2" t="inlineStr"/>
    </row>
    <row r="470" ht="15" customHeight="1">
      <c r="A470" t="inlineStr">
        <is>
          <t>A 28395-2023</t>
        </is>
      </c>
      <c r="B470" s="1" t="n">
        <v>45100.4062962963</v>
      </c>
      <c r="C470" s="1" t="n">
        <v>46086</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36600-2025</t>
        </is>
      </c>
      <c r="B471" s="1" t="n">
        <v>45870.51958333333</v>
      </c>
      <c r="C471" s="1" t="n">
        <v>46086</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36601-2025</t>
        </is>
      </c>
      <c r="B472" s="1" t="n">
        <v>45870.52005787037</v>
      </c>
      <c r="C472" s="1" t="n">
        <v>46086</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34597-2022</t>
        </is>
      </c>
      <c r="B473" s="1" t="n">
        <v>44795</v>
      </c>
      <c r="C473" s="1" t="n">
        <v>46086</v>
      </c>
      <c r="D473" t="inlineStr">
        <is>
          <t>KALMAR LÄN</t>
        </is>
      </c>
      <c r="E473" t="inlineStr">
        <is>
          <t>VIMMERBY</t>
        </is>
      </c>
      <c r="G473" t="n">
        <v>2.2</v>
      </c>
      <c r="H473" t="n">
        <v>0</v>
      </c>
      <c r="I473" t="n">
        <v>0</v>
      </c>
      <c r="J473" t="n">
        <v>0</v>
      </c>
      <c r="K473" t="n">
        <v>0</v>
      </c>
      <c r="L473" t="n">
        <v>0</v>
      </c>
      <c r="M473" t="n">
        <v>0</v>
      </c>
      <c r="N473" t="n">
        <v>0</v>
      </c>
      <c r="O473" t="n">
        <v>0</v>
      </c>
      <c r="P473" t="n">
        <v>0</v>
      </c>
      <c r="Q473" t="n">
        <v>0</v>
      </c>
      <c r="R473" s="2" t="inlineStr"/>
    </row>
    <row r="474" ht="15" customHeight="1">
      <c r="A474" t="inlineStr">
        <is>
          <t>A 47955-2025</t>
        </is>
      </c>
      <c r="B474" s="1" t="n">
        <v>45932.58896990741</v>
      </c>
      <c r="C474" s="1" t="n">
        <v>46086</v>
      </c>
      <c r="D474" t="inlineStr">
        <is>
          <t>KALMAR LÄN</t>
        </is>
      </c>
      <c r="E474" t="inlineStr">
        <is>
          <t>VIMMERBY</t>
        </is>
      </c>
      <c r="G474" t="n">
        <v>3.4</v>
      </c>
      <c r="H474" t="n">
        <v>0</v>
      </c>
      <c r="I474" t="n">
        <v>0</v>
      </c>
      <c r="J474" t="n">
        <v>0</v>
      </c>
      <c r="K474" t="n">
        <v>0</v>
      </c>
      <c r="L474" t="n">
        <v>0</v>
      </c>
      <c r="M474" t="n">
        <v>0</v>
      </c>
      <c r="N474" t="n">
        <v>0</v>
      </c>
      <c r="O474" t="n">
        <v>0</v>
      </c>
      <c r="P474" t="n">
        <v>0</v>
      </c>
      <c r="Q474" t="n">
        <v>0</v>
      </c>
      <c r="R474" s="2" t="inlineStr"/>
    </row>
    <row r="475" ht="15" customHeight="1">
      <c r="A475" t="inlineStr">
        <is>
          <t>A 37088-2025</t>
        </is>
      </c>
      <c r="B475" s="1" t="n">
        <v>45875.45716435185</v>
      </c>
      <c r="C475" s="1" t="n">
        <v>46086</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37102-2025</t>
        </is>
      </c>
      <c r="B476" s="1" t="n">
        <v>45875.47454861111</v>
      </c>
      <c r="C476" s="1" t="n">
        <v>46086</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64428-2023</t>
        </is>
      </c>
      <c r="B477" s="1" t="n">
        <v>45280.66769675926</v>
      </c>
      <c r="C477" s="1" t="n">
        <v>46086</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48723-2025</t>
        </is>
      </c>
      <c r="B478" s="1" t="n">
        <v>45936.65121527778</v>
      </c>
      <c r="C478" s="1" t="n">
        <v>46086</v>
      </c>
      <c r="D478" t="inlineStr">
        <is>
          <t>KALMAR LÄN</t>
        </is>
      </c>
      <c r="E478" t="inlineStr">
        <is>
          <t>VIMMERBY</t>
        </is>
      </c>
      <c r="G478" t="n">
        <v>3</v>
      </c>
      <c r="H478" t="n">
        <v>0</v>
      </c>
      <c r="I478" t="n">
        <v>0</v>
      </c>
      <c r="J478" t="n">
        <v>0</v>
      </c>
      <c r="K478" t="n">
        <v>0</v>
      </c>
      <c r="L478" t="n">
        <v>0</v>
      </c>
      <c r="M478" t="n">
        <v>0</v>
      </c>
      <c r="N478" t="n">
        <v>0</v>
      </c>
      <c r="O478" t="n">
        <v>0</v>
      </c>
      <c r="P478" t="n">
        <v>0</v>
      </c>
      <c r="Q478" t="n">
        <v>0</v>
      </c>
      <c r="R478" s="2" t="inlineStr"/>
    </row>
    <row r="479" ht="15" customHeight="1">
      <c r="A479" t="inlineStr">
        <is>
          <t>A 30588-2023</t>
        </is>
      </c>
      <c r="B479" s="1" t="n">
        <v>45112.33599537037</v>
      </c>
      <c r="C479" s="1" t="n">
        <v>46086</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30503-2023</t>
        </is>
      </c>
      <c r="B480" s="1" t="n">
        <v>45111</v>
      </c>
      <c r="C480" s="1" t="n">
        <v>46086</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48712-2025</t>
        </is>
      </c>
      <c r="B481" s="1" t="n">
        <v>45936.63373842592</v>
      </c>
      <c r="C481" s="1" t="n">
        <v>46086</v>
      </c>
      <c r="D481" t="inlineStr">
        <is>
          <t>KALMAR LÄN</t>
        </is>
      </c>
      <c r="E481" t="inlineStr">
        <is>
          <t>VIMMERBY</t>
        </is>
      </c>
      <c r="G481" t="n">
        <v>3</v>
      </c>
      <c r="H481" t="n">
        <v>0</v>
      </c>
      <c r="I481" t="n">
        <v>0</v>
      </c>
      <c r="J481" t="n">
        <v>0</v>
      </c>
      <c r="K481" t="n">
        <v>0</v>
      </c>
      <c r="L481" t="n">
        <v>0</v>
      </c>
      <c r="M481" t="n">
        <v>0</v>
      </c>
      <c r="N481" t="n">
        <v>0</v>
      </c>
      <c r="O481" t="n">
        <v>0</v>
      </c>
      <c r="P481" t="n">
        <v>0</v>
      </c>
      <c r="Q481" t="n">
        <v>0</v>
      </c>
      <c r="R481" s="2" t="inlineStr"/>
    </row>
    <row r="482" ht="15" customHeight="1">
      <c r="A482" t="inlineStr">
        <is>
          <t>A 37079-2025</t>
        </is>
      </c>
      <c r="B482" s="1" t="n">
        <v>45875.42716435185</v>
      </c>
      <c r="C482" s="1" t="n">
        <v>46086</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48408-2025</t>
        </is>
      </c>
      <c r="B483" s="1" t="n">
        <v>45934.40527777778</v>
      </c>
      <c r="C483" s="1" t="n">
        <v>46086</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48409-2025</t>
        </is>
      </c>
      <c r="B484" s="1" t="n">
        <v>45934.41387731482</v>
      </c>
      <c r="C484" s="1" t="n">
        <v>46086</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36934-2025</t>
        </is>
      </c>
      <c r="B485" s="1" t="n">
        <v>45874.57109953704</v>
      </c>
      <c r="C485" s="1" t="n">
        <v>46086</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48600-2025</t>
        </is>
      </c>
      <c r="B486" s="1" t="n">
        <v>45935</v>
      </c>
      <c r="C486" s="1" t="n">
        <v>46086</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47263-2023</t>
        </is>
      </c>
      <c r="B487" s="1" t="n">
        <v>45202.4209837963</v>
      </c>
      <c r="C487" s="1" t="n">
        <v>46086</v>
      </c>
      <c r="D487" t="inlineStr">
        <is>
          <t>KALMAR LÄN</t>
        </is>
      </c>
      <c r="E487" t="inlineStr">
        <is>
          <t>VIMMERBY</t>
        </is>
      </c>
      <c r="G487" t="n">
        <v>1.8</v>
      </c>
      <c r="H487" t="n">
        <v>0</v>
      </c>
      <c r="I487" t="n">
        <v>0</v>
      </c>
      <c r="J487" t="n">
        <v>0</v>
      </c>
      <c r="K487" t="n">
        <v>0</v>
      </c>
      <c r="L487" t="n">
        <v>0</v>
      </c>
      <c r="M487" t="n">
        <v>0</v>
      </c>
      <c r="N487" t="n">
        <v>0</v>
      </c>
      <c r="O487" t="n">
        <v>0</v>
      </c>
      <c r="P487" t="n">
        <v>0</v>
      </c>
      <c r="Q487" t="n">
        <v>0</v>
      </c>
      <c r="R487" s="2" t="inlineStr"/>
    </row>
    <row r="488" ht="15" customHeight="1">
      <c r="A488" t="inlineStr">
        <is>
          <t>A 58100-2024</t>
        </is>
      </c>
      <c r="B488" s="1" t="n">
        <v>45632.36706018518</v>
      </c>
      <c r="C488" s="1" t="n">
        <v>46086</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58159-2024</t>
        </is>
      </c>
      <c r="B489" s="1" t="n">
        <v>45632.44886574074</v>
      </c>
      <c r="C489" s="1" t="n">
        <v>46086</v>
      </c>
      <c r="D489" t="inlineStr">
        <is>
          <t>KALMAR LÄN</t>
        </is>
      </c>
      <c r="E489" t="inlineStr">
        <is>
          <t>VIMMERBY</t>
        </is>
      </c>
      <c r="G489" t="n">
        <v>7.5</v>
      </c>
      <c r="H489" t="n">
        <v>0</v>
      </c>
      <c r="I489" t="n">
        <v>0</v>
      </c>
      <c r="J489" t="n">
        <v>0</v>
      </c>
      <c r="K489" t="n">
        <v>0</v>
      </c>
      <c r="L489" t="n">
        <v>0</v>
      </c>
      <c r="M489" t="n">
        <v>0</v>
      </c>
      <c r="N489" t="n">
        <v>0</v>
      </c>
      <c r="O489" t="n">
        <v>0</v>
      </c>
      <c r="P489" t="n">
        <v>0</v>
      </c>
      <c r="Q489" t="n">
        <v>0</v>
      </c>
      <c r="R489" s="2" t="inlineStr"/>
    </row>
    <row r="490" ht="15" customHeight="1">
      <c r="A490" t="inlineStr">
        <is>
          <t>A 37578-2025</t>
        </is>
      </c>
      <c r="B490" s="1" t="n">
        <v>45880.38380787037</v>
      </c>
      <c r="C490" s="1" t="n">
        <v>46086</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37668-2025</t>
        </is>
      </c>
      <c r="B491" s="1" t="n">
        <v>45880.51550925926</v>
      </c>
      <c r="C491" s="1" t="n">
        <v>46086</v>
      </c>
      <c r="D491" t="inlineStr">
        <is>
          <t>KALMAR LÄN</t>
        </is>
      </c>
      <c r="E491" t="inlineStr">
        <is>
          <t>VIMMERBY</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37939-2025</t>
        </is>
      </c>
      <c r="B492" s="1" t="n">
        <v>45881.59877314815</v>
      </c>
      <c r="C492" s="1" t="n">
        <v>46086</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37866-2025</t>
        </is>
      </c>
      <c r="B493" s="1" t="n">
        <v>45881</v>
      </c>
      <c r="C493" s="1" t="n">
        <v>46086</v>
      </c>
      <c r="D493" t="inlineStr">
        <is>
          <t>KALMAR LÄN</t>
        </is>
      </c>
      <c r="E493" t="inlineStr">
        <is>
          <t>VIMMERBY</t>
        </is>
      </c>
      <c r="G493" t="n">
        <v>3.4</v>
      </c>
      <c r="H493" t="n">
        <v>0</v>
      </c>
      <c r="I493" t="n">
        <v>0</v>
      </c>
      <c r="J493" t="n">
        <v>0</v>
      </c>
      <c r="K493" t="n">
        <v>0</v>
      </c>
      <c r="L493" t="n">
        <v>0</v>
      </c>
      <c r="M493" t="n">
        <v>0</v>
      </c>
      <c r="N493" t="n">
        <v>0</v>
      </c>
      <c r="O493" t="n">
        <v>0</v>
      </c>
      <c r="P493" t="n">
        <v>0</v>
      </c>
      <c r="Q493" t="n">
        <v>0</v>
      </c>
      <c r="R493" s="2" t="inlineStr"/>
    </row>
    <row r="494" ht="15" customHeight="1">
      <c r="A494" t="inlineStr">
        <is>
          <t>A 57114-2023</t>
        </is>
      </c>
      <c r="B494" s="1" t="n">
        <v>45245.36174768519</v>
      </c>
      <c r="C494" s="1" t="n">
        <v>46086</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3423-2022</t>
        </is>
      </c>
      <c r="B495" s="1" t="n">
        <v>44585.50431712963</v>
      </c>
      <c r="C495" s="1" t="n">
        <v>46086</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40665-2023</t>
        </is>
      </c>
      <c r="B496" s="1" t="n">
        <v>45170</v>
      </c>
      <c r="C496" s="1" t="n">
        <v>46086</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38964-2025</t>
        </is>
      </c>
      <c r="B497" s="1" t="n">
        <v>45887.68759259259</v>
      </c>
      <c r="C497" s="1" t="n">
        <v>46086</v>
      </c>
      <c r="D497" t="inlineStr">
        <is>
          <t>KALMAR LÄN</t>
        </is>
      </c>
      <c r="E497" t="inlineStr">
        <is>
          <t>VIMMERBY</t>
        </is>
      </c>
      <c r="G497" t="n">
        <v>7.5</v>
      </c>
      <c r="H497" t="n">
        <v>0</v>
      </c>
      <c r="I497" t="n">
        <v>0</v>
      </c>
      <c r="J497" t="n">
        <v>0</v>
      </c>
      <c r="K497" t="n">
        <v>0</v>
      </c>
      <c r="L497" t="n">
        <v>0</v>
      </c>
      <c r="M497" t="n">
        <v>0</v>
      </c>
      <c r="N497" t="n">
        <v>0</v>
      </c>
      <c r="O497" t="n">
        <v>0</v>
      </c>
      <c r="P497" t="n">
        <v>0</v>
      </c>
      <c r="Q497" t="n">
        <v>0</v>
      </c>
      <c r="R497" s="2" t="inlineStr"/>
    </row>
    <row r="498" ht="15" customHeight="1">
      <c r="A498" t="inlineStr">
        <is>
          <t>A 49871-2025</t>
        </is>
      </c>
      <c r="B498" s="1" t="n">
        <v>45940.54104166666</v>
      </c>
      <c r="C498" s="1" t="n">
        <v>46086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50544-2025</t>
        </is>
      </c>
      <c r="B499" s="1" t="n">
        <v>45945.50736111111</v>
      </c>
      <c r="C499" s="1" t="n">
        <v>46086</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50324-2025</t>
        </is>
      </c>
      <c r="B500" s="1" t="n">
        <v>45944.45962962963</v>
      </c>
      <c r="C500" s="1" t="n">
        <v>46086</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51062-2025</t>
        </is>
      </c>
      <c r="B501" s="1" t="n">
        <v>45947.44685185186</v>
      </c>
      <c r="C501" s="1" t="n">
        <v>46086</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51990-2025</t>
        </is>
      </c>
      <c r="B502" s="1" t="n">
        <v>45952.58061342593</v>
      </c>
      <c r="C502" s="1" t="n">
        <v>46086</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51993-2025</t>
        </is>
      </c>
      <c r="B503" s="1" t="n">
        <v>45952.58194444444</v>
      </c>
      <c r="C503" s="1" t="n">
        <v>46086</v>
      </c>
      <c r="D503" t="inlineStr">
        <is>
          <t>KALMAR LÄN</t>
        </is>
      </c>
      <c r="E503" t="inlineStr">
        <is>
          <t>VIMMERBY</t>
        </is>
      </c>
      <c r="G503" t="n">
        <v>2.8</v>
      </c>
      <c r="H503" t="n">
        <v>0</v>
      </c>
      <c r="I503" t="n">
        <v>0</v>
      </c>
      <c r="J503" t="n">
        <v>0</v>
      </c>
      <c r="K503" t="n">
        <v>0</v>
      </c>
      <c r="L503" t="n">
        <v>0</v>
      </c>
      <c r="M503" t="n">
        <v>0</v>
      </c>
      <c r="N503" t="n">
        <v>0</v>
      </c>
      <c r="O503" t="n">
        <v>0</v>
      </c>
      <c r="P503" t="n">
        <v>0</v>
      </c>
      <c r="Q503" t="n">
        <v>0</v>
      </c>
      <c r="R503" s="2" t="inlineStr"/>
    </row>
    <row r="504" ht="15" customHeight="1">
      <c r="A504" t="inlineStr">
        <is>
          <t>A 50860-2022</t>
        </is>
      </c>
      <c r="B504" s="1" t="n">
        <v>44867</v>
      </c>
      <c r="C504" s="1" t="n">
        <v>46086</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52465-2025</t>
        </is>
      </c>
      <c r="B505" s="1" t="n">
        <v>45954.44543981482</v>
      </c>
      <c r="C505" s="1" t="n">
        <v>46086</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25370-2022</t>
        </is>
      </c>
      <c r="B506" s="1" t="n">
        <v>44732.3659837963</v>
      </c>
      <c r="C506" s="1" t="n">
        <v>46086</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58577-2024</t>
        </is>
      </c>
      <c r="B507" s="1" t="n">
        <v>45635.4874537037</v>
      </c>
      <c r="C507" s="1" t="n">
        <v>46086</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29440-2024</t>
        </is>
      </c>
      <c r="B508" s="1" t="n">
        <v>45483.82479166667</v>
      </c>
      <c r="C508" s="1" t="n">
        <v>46086</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52451-2025</t>
        </is>
      </c>
      <c r="B509" s="1" t="n">
        <v>45954.42326388889</v>
      </c>
      <c r="C509" s="1" t="n">
        <v>46086</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52516-2025</t>
        </is>
      </c>
      <c r="B510" s="1" t="n">
        <v>45954.51412037037</v>
      </c>
      <c r="C510" s="1" t="n">
        <v>46086</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52466-2025</t>
        </is>
      </c>
      <c r="B511" s="1" t="n">
        <v>45954.44707175926</v>
      </c>
      <c r="C511" s="1" t="n">
        <v>46086</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52473-2025</t>
        </is>
      </c>
      <c r="B512" s="1" t="n">
        <v>45954.45947916667</v>
      </c>
      <c r="C512" s="1" t="n">
        <v>46086</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52480-2025</t>
        </is>
      </c>
      <c r="B513" s="1" t="n">
        <v>45954.47172453703</v>
      </c>
      <c r="C513" s="1" t="n">
        <v>46086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52475-2025</t>
        </is>
      </c>
      <c r="B514" s="1" t="n">
        <v>45954.468125</v>
      </c>
      <c r="C514" s="1" t="n">
        <v>46086</v>
      </c>
      <c r="D514" t="inlineStr">
        <is>
          <t>KALMAR LÄN</t>
        </is>
      </c>
      <c r="E514" t="inlineStr">
        <is>
          <t>VIMMERBY</t>
        </is>
      </c>
      <c r="G514" t="n">
        <v>1.5</v>
      </c>
      <c r="H514" t="n">
        <v>0</v>
      </c>
      <c r="I514" t="n">
        <v>0</v>
      </c>
      <c r="J514" t="n">
        <v>0</v>
      </c>
      <c r="K514" t="n">
        <v>0</v>
      </c>
      <c r="L514" t="n">
        <v>0</v>
      </c>
      <c r="M514" t="n">
        <v>0</v>
      </c>
      <c r="N514" t="n">
        <v>0</v>
      </c>
      <c r="O514" t="n">
        <v>0</v>
      </c>
      <c r="P514" t="n">
        <v>0</v>
      </c>
      <c r="Q514" t="n">
        <v>0</v>
      </c>
      <c r="R514" s="2" t="inlineStr"/>
    </row>
    <row r="515" ht="15" customHeight="1">
      <c r="A515" t="inlineStr">
        <is>
          <t>A 9129-2025</t>
        </is>
      </c>
      <c r="B515" s="1" t="n">
        <v>45713.92412037037</v>
      </c>
      <c r="C515" s="1" t="n">
        <v>46086</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22197-2024</t>
        </is>
      </c>
      <c r="B516" s="1" t="n">
        <v>45446.36774305555</v>
      </c>
      <c r="C516" s="1" t="n">
        <v>46086</v>
      </c>
      <c r="D516" t="inlineStr">
        <is>
          <t>KALMAR LÄN</t>
        </is>
      </c>
      <c r="E516" t="inlineStr">
        <is>
          <t>VIMMERBY</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53752-2024</t>
        </is>
      </c>
      <c r="B517" s="1" t="n">
        <v>45615.48927083334</v>
      </c>
      <c r="C517" s="1" t="n">
        <v>46086</v>
      </c>
      <c r="D517" t="inlineStr">
        <is>
          <t>KALMAR LÄN</t>
        </is>
      </c>
      <c r="E517" t="inlineStr">
        <is>
          <t>VIMMERBY</t>
        </is>
      </c>
      <c r="G517" t="n">
        <v>2.4</v>
      </c>
      <c r="H517" t="n">
        <v>0</v>
      </c>
      <c r="I517" t="n">
        <v>0</v>
      </c>
      <c r="J517" t="n">
        <v>0</v>
      </c>
      <c r="K517" t="n">
        <v>0</v>
      </c>
      <c r="L517" t="n">
        <v>0</v>
      </c>
      <c r="M517" t="n">
        <v>0</v>
      </c>
      <c r="N517" t="n">
        <v>0</v>
      </c>
      <c r="O517" t="n">
        <v>0</v>
      </c>
      <c r="P517" t="n">
        <v>0</v>
      </c>
      <c r="Q517" t="n">
        <v>0</v>
      </c>
      <c r="R517" s="2" t="inlineStr"/>
    </row>
    <row r="518" ht="15" customHeight="1">
      <c r="A518" t="inlineStr">
        <is>
          <t>A 53396-2025</t>
        </is>
      </c>
      <c r="B518" s="1" t="n">
        <v>45959.55577546296</v>
      </c>
      <c r="C518" s="1" t="n">
        <v>46086</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53416-2025</t>
        </is>
      </c>
      <c r="B519" s="1" t="n">
        <v>45959.58387731481</v>
      </c>
      <c r="C519" s="1" t="n">
        <v>46086</v>
      </c>
      <c r="D519" t="inlineStr">
        <is>
          <t>KALMAR LÄN</t>
        </is>
      </c>
      <c r="E519" t="inlineStr">
        <is>
          <t>VIMMERBY</t>
        </is>
      </c>
      <c r="G519" t="n">
        <v>4.4</v>
      </c>
      <c r="H519" t="n">
        <v>0</v>
      </c>
      <c r="I519" t="n">
        <v>0</v>
      </c>
      <c r="J519" t="n">
        <v>0</v>
      </c>
      <c r="K519" t="n">
        <v>0</v>
      </c>
      <c r="L519" t="n">
        <v>0</v>
      </c>
      <c r="M519" t="n">
        <v>0</v>
      </c>
      <c r="N519" t="n">
        <v>0</v>
      </c>
      <c r="O519" t="n">
        <v>0</v>
      </c>
      <c r="P519" t="n">
        <v>0</v>
      </c>
      <c r="Q519" t="n">
        <v>0</v>
      </c>
      <c r="R519" s="2" t="inlineStr"/>
    </row>
    <row r="520" ht="15" customHeight="1">
      <c r="A520" t="inlineStr">
        <is>
          <t>A 53398-2025</t>
        </is>
      </c>
      <c r="B520" s="1" t="n">
        <v>45959.56247685185</v>
      </c>
      <c r="C520" s="1" t="n">
        <v>46086</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53397-2025</t>
        </is>
      </c>
      <c r="B521" s="1" t="n">
        <v>45959.55918981481</v>
      </c>
      <c r="C521" s="1" t="n">
        <v>46086</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53220-2025</t>
        </is>
      </c>
      <c r="B522" s="1" t="n">
        <v>45958.60146990741</v>
      </c>
      <c r="C522" s="1" t="n">
        <v>46086</v>
      </c>
      <c r="D522" t="inlineStr">
        <is>
          <t>KALMAR LÄN</t>
        </is>
      </c>
      <c r="E522" t="inlineStr">
        <is>
          <t>VIMMERBY</t>
        </is>
      </c>
      <c r="G522" t="n">
        <v>2.2</v>
      </c>
      <c r="H522" t="n">
        <v>0</v>
      </c>
      <c r="I522" t="n">
        <v>0</v>
      </c>
      <c r="J522" t="n">
        <v>0</v>
      </c>
      <c r="K522" t="n">
        <v>0</v>
      </c>
      <c r="L522" t="n">
        <v>0</v>
      </c>
      <c r="M522" t="n">
        <v>0</v>
      </c>
      <c r="N522" t="n">
        <v>0</v>
      </c>
      <c r="O522" t="n">
        <v>0</v>
      </c>
      <c r="P522" t="n">
        <v>0</v>
      </c>
      <c r="Q522" t="n">
        <v>0</v>
      </c>
      <c r="R522" s="2" t="inlineStr"/>
    </row>
    <row r="523" ht="15" customHeight="1">
      <c r="A523" t="inlineStr">
        <is>
          <t>A 12121-2025</t>
        </is>
      </c>
      <c r="B523" s="1" t="n">
        <v>45729.36868055556</v>
      </c>
      <c r="C523" s="1" t="n">
        <v>46086</v>
      </c>
      <c r="D523" t="inlineStr">
        <is>
          <t>KALMAR LÄN</t>
        </is>
      </c>
      <c r="E523" t="inlineStr">
        <is>
          <t>VIMMERBY</t>
        </is>
      </c>
      <c r="G523" t="n">
        <v>4.3</v>
      </c>
      <c r="H523" t="n">
        <v>0</v>
      </c>
      <c r="I523" t="n">
        <v>0</v>
      </c>
      <c r="J523" t="n">
        <v>0</v>
      </c>
      <c r="K523" t="n">
        <v>0</v>
      </c>
      <c r="L523" t="n">
        <v>0</v>
      </c>
      <c r="M523" t="n">
        <v>0</v>
      </c>
      <c r="N523" t="n">
        <v>0</v>
      </c>
      <c r="O523" t="n">
        <v>0</v>
      </c>
      <c r="P523" t="n">
        <v>0</v>
      </c>
      <c r="Q523" t="n">
        <v>0</v>
      </c>
      <c r="R523" s="2" t="inlineStr"/>
    </row>
    <row r="524" ht="15" customHeight="1">
      <c r="A524" t="inlineStr">
        <is>
          <t>A 53393-2025</t>
        </is>
      </c>
      <c r="B524" s="1" t="n">
        <v>45959.55284722222</v>
      </c>
      <c r="C524" s="1" t="n">
        <v>46086</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53413-2025</t>
        </is>
      </c>
      <c r="B525" s="1" t="n">
        <v>45959.5787037037</v>
      </c>
      <c r="C525" s="1" t="n">
        <v>46086</v>
      </c>
      <c r="D525" t="inlineStr">
        <is>
          <t>KALMAR LÄN</t>
        </is>
      </c>
      <c r="E525" t="inlineStr">
        <is>
          <t>VIMMERBY</t>
        </is>
      </c>
      <c r="G525" t="n">
        <v>4.3</v>
      </c>
      <c r="H525" t="n">
        <v>0</v>
      </c>
      <c r="I525" t="n">
        <v>0</v>
      </c>
      <c r="J525" t="n">
        <v>0</v>
      </c>
      <c r="K525" t="n">
        <v>0</v>
      </c>
      <c r="L525" t="n">
        <v>0</v>
      </c>
      <c r="M525" t="n">
        <v>0</v>
      </c>
      <c r="N525" t="n">
        <v>0</v>
      </c>
      <c r="O525" t="n">
        <v>0</v>
      </c>
      <c r="P525" t="n">
        <v>0</v>
      </c>
      <c r="Q525" t="n">
        <v>0</v>
      </c>
      <c r="R525" s="2" t="inlineStr"/>
    </row>
    <row r="526" ht="15" customHeight="1">
      <c r="A526" t="inlineStr">
        <is>
          <t>A 53903-2025</t>
        </is>
      </c>
      <c r="B526" s="1" t="n">
        <v>45961.43738425926</v>
      </c>
      <c r="C526" s="1" t="n">
        <v>46086</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53920-2025</t>
        </is>
      </c>
      <c r="B527" s="1" t="n">
        <v>45961.44951388889</v>
      </c>
      <c r="C527" s="1" t="n">
        <v>46086</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53927-2025</t>
        </is>
      </c>
      <c r="B528" s="1" t="n">
        <v>45961.46740740741</v>
      </c>
      <c r="C528" s="1" t="n">
        <v>46086</v>
      </c>
      <c r="D528" t="inlineStr">
        <is>
          <t>KALMAR LÄN</t>
        </is>
      </c>
      <c r="E528" t="inlineStr">
        <is>
          <t>VIMMERBY</t>
        </is>
      </c>
      <c r="G528" t="n">
        <v>2.5</v>
      </c>
      <c r="H528" t="n">
        <v>0</v>
      </c>
      <c r="I528" t="n">
        <v>0</v>
      </c>
      <c r="J528" t="n">
        <v>0</v>
      </c>
      <c r="K528" t="n">
        <v>0</v>
      </c>
      <c r="L528" t="n">
        <v>0</v>
      </c>
      <c r="M528" t="n">
        <v>0</v>
      </c>
      <c r="N528" t="n">
        <v>0</v>
      </c>
      <c r="O528" t="n">
        <v>0</v>
      </c>
      <c r="P528" t="n">
        <v>0</v>
      </c>
      <c r="Q528" t="n">
        <v>0</v>
      </c>
      <c r="R528" s="2" t="inlineStr"/>
    </row>
    <row r="529" ht="15" customHeight="1">
      <c r="A529" t="inlineStr">
        <is>
          <t>A 53789-2025</t>
        </is>
      </c>
      <c r="B529" s="1" t="n">
        <v>45960</v>
      </c>
      <c r="C529" s="1" t="n">
        <v>46086</v>
      </c>
      <c r="D529" t="inlineStr">
        <is>
          <t>KALMAR LÄN</t>
        </is>
      </c>
      <c r="E529" t="inlineStr">
        <is>
          <t>VIMMERBY</t>
        </is>
      </c>
      <c r="F529" t="inlineStr">
        <is>
          <t>Övriga statliga verk och myndigheter</t>
        </is>
      </c>
      <c r="G529" t="n">
        <v>1.6</v>
      </c>
      <c r="H529" t="n">
        <v>0</v>
      </c>
      <c r="I529" t="n">
        <v>0</v>
      </c>
      <c r="J529" t="n">
        <v>0</v>
      </c>
      <c r="K529" t="n">
        <v>0</v>
      </c>
      <c r="L529" t="n">
        <v>0</v>
      </c>
      <c r="M529" t="n">
        <v>0</v>
      </c>
      <c r="N529" t="n">
        <v>0</v>
      </c>
      <c r="O529" t="n">
        <v>0</v>
      </c>
      <c r="P529" t="n">
        <v>0</v>
      </c>
      <c r="Q529" t="n">
        <v>0</v>
      </c>
      <c r="R529" s="2" t="inlineStr"/>
    </row>
    <row r="530" ht="15" customHeight="1">
      <c r="A530" t="inlineStr">
        <is>
          <t>A 53923-2025</t>
        </is>
      </c>
      <c r="B530" s="1" t="n">
        <v>45961.4569212963</v>
      </c>
      <c r="C530" s="1" t="n">
        <v>46086</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9710-2023</t>
        </is>
      </c>
      <c r="B531" s="1" t="n">
        <v>44984</v>
      </c>
      <c r="C531" s="1" t="n">
        <v>46086</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9720-2023</t>
        </is>
      </c>
      <c r="B532" s="1" t="n">
        <v>44984</v>
      </c>
      <c r="C532" s="1" t="n">
        <v>46086</v>
      </c>
      <c r="D532" t="inlineStr">
        <is>
          <t>KALMAR LÄN</t>
        </is>
      </c>
      <c r="E532" t="inlineStr">
        <is>
          <t>VIMMERBY</t>
        </is>
      </c>
      <c r="G532" t="n">
        <v>4.4</v>
      </c>
      <c r="H532" t="n">
        <v>0</v>
      </c>
      <c r="I532" t="n">
        <v>0</v>
      </c>
      <c r="J532" t="n">
        <v>0</v>
      </c>
      <c r="K532" t="n">
        <v>0</v>
      </c>
      <c r="L532" t="n">
        <v>0</v>
      </c>
      <c r="M532" t="n">
        <v>0</v>
      </c>
      <c r="N532" t="n">
        <v>0</v>
      </c>
      <c r="O532" t="n">
        <v>0</v>
      </c>
      <c r="P532" t="n">
        <v>0</v>
      </c>
      <c r="Q532" t="n">
        <v>0</v>
      </c>
      <c r="R532" s="2" t="inlineStr"/>
    </row>
    <row r="533" ht="15" customHeight="1">
      <c r="A533" t="inlineStr">
        <is>
          <t>A 15493-2023</t>
        </is>
      </c>
      <c r="B533" s="1" t="n">
        <v>45018</v>
      </c>
      <c r="C533" s="1" t="n">
        <v>46086</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53933-2025</t>
        </is>
      </c>
      <c r="B534" s="1" t="n">
        <v>45961.47650462963</v>
      </c>
      <c r="C534" s="1" t="n">
        <v>46086</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53788-2025</t>
        </is>
      </c>
      <c r="B535" s="1" t="n">
        <v>45960</v>
      </c>
      <c r="C535" s="1" t="n">
        <v>46086</v>
      </c>
      <c r="D535" t="inlineStr">
        <is>
          <t>KALMAR LÄN</t>
        </is>
      </c>
      <c r="E535" t="inlineStr">
        <is>
          <t>VIMMERBY</t>
        </is>
      </c>
      <c r="F535" t="inlineStr">
        <is>
          <t>Övriga statliga verk och myndigheter</t>
        </is>
      </c>
      <c r="G535" t="n">
        <v>6.3</v>
      </c>
      <c r="H535" t="n">
        <v>0</v>
      </c>
      <c r="I535" t="n">
        <v>0</v>
      </c>
      <c r="J535" t="n">
        <v>0</v>
      </c>
      <c r="K535" t="n">
        <v>0</v>
      </c>
      <c r="L535" t="n">
        <v>0</v>
      </c>
      <c r="M535" t="n">
        <v>0</v>
      </c>
      <c r="N535" t="n">
        <v>0</v>
      </c>
      <c r="O535" t="n">
        <v>0</v>
      </c>
      <c r="P535" t="n">
        <v>0</v>
      </c>
      <c r="Q535" t="n">
        <v>0</v>
      </c>
      <c r="R535" s="2" t="inlineStr"/>
    </row>
    <row r="536" ht="15" customHeight="1">
      <c r="A536" t="inlineStr">
        <is>
          <t>A 54236-2025</t>
        </is>
      </c>
      <c r="B536" s="1" t="n">
        <v>45964.62671296296</v>
      </c>
      <c r="C536" s="1" t="n">
        <v>46086</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29093-2023</t>
        </is>
      </c>
      <c r="B537" s="1" t="n">
        <v>45105</v>
      </c>
      <c r="C537" s="1" t="n">
        <v>46086</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33352-2022</t>
        </is>
      </c>
      <c r="B538" s="1" t="n">
        <v>44788</v>
      </c>
      <c r="C538" s="1" t="n">
        <v>46086</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22264-2023</t>
        </is>
      </c>
      <c r="B539" s="1" t="n">
        <v>45070.3665625</v>
      </c>
      <c r="C539" s="1" t="n">
        <v>46086</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54234-2025</t>
        </is>
      </c>
      <c r="B540" s="1" t="n">
        <v>45964.62486111111</v>
      </c>
      <c r="C540" s="1" t="n">
        <v>46086</v>
      </c>
      <c r="D540" t="inlineStr">
        <is>
          <t>KALMAR LÄN</t>
        </is>
      </c>
      <c r="E540" t="inlineStr">
        <is>
          <t>VIMMERBY</t>
        </is>
      </c>
      <c r="G540" t="n">
        <v>4.1</v>
      </c>
      <c r="H540" t="n">
        <v>0</v>
      </c>
      <c r="I540" t="n">
        <v>0</v>
      </c>
      <c r="J540" t="n">
        <v>0</v>
      </c>
      <c r="K540" t="n">
        <v>0</v>
      </c>
      <c r="L540" t="n">
        <v>0</v>
      </c>
      <c r="M540" t="n">
        <v>0</v>
      </c>
      <c r="N540" t="n">
        <v>0</v>
      </c>
      <c r="O540" t="n">
        <v>0</v>
      </c>
      <c r="P540" t="n">
        <v>0</v>
      </c>
      <c r="Q540" t="n">
        <v>0</v>
      </c>
      <c r="R540" s="2" t="inlineStr"/>
    </row>
    <row r="541" ht="15" customHeight="1">
      <c r="A541" t="inlineStr">
        <is>
          <t>A 16676-2023</t>
        </is>
      </c>
      <c r="B541" s="1" t="n">
        <v>45028</v>
      </c>
      <c r="C541" s="1" t="n">
        <v>46086</v>
      </c>
      <c r="D541" t="inlineStr">
        <is>
          <t>KALMAR LÄN</t>
        </is>
      </c>
      <c r="E541" t="inlineStr">
        <is>
          <t>VIMMERBY</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6220-2025</t>
        </is>
      </c>
      <c r="B542" s="1" t="n">
        <v>45698.53725694444</v>
      </c>
      <c r="C542" s="1" t="n">
        <v>46086</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24096-2024</t>
        </is>
      </c>
      <c r="B543" s="1" t="n">
        <v>45456.59289351852</v>
      </c>
      <c r="C543" s="1" t="n">
        <v>46086</v>
      </c>
      <c r="D543" t="inlineStr">
        <is>
          <t>KALMAR LÄN</t>
        </is>
      </c>
      <c r="E543" t="inlineStr">
        <is>
          <t>VIMMERBY</t>
        </is>
      </c>
      <c r="G543" t="n">
        <v>2.3</v>
      </c>
      <c r="H543" t="n">
        <v>0</v>
      </c>
      <c r="I543" t="n">
        <v>0</v>
      </c>
      <c r="J543" t="n">
        <v>0</v>
      </c>
      <c r="K543" t="n">
        <v>0</v>
      </c>
      <c r="L543" t="n">
        <v>0</v>
      </c>
      <c r="M543" t="n">
        <v>0</v>
      </c>
      <c r="N543" t="n">
        <v>0</v>
      </c>
      <c r="O543" t="n">
        <v>0</v>
      </c>
      <c r="P543" t="n">
        <v>0</v>
      </c>
      <c r="Q543" t="n">
        <v>0</v>
      </c>
      <c r="R543" s="2" t="inlineStr"/>
    </row>
    <row r="544" ht="15" customHeight="1">
      <c r="A544" t="inlineStr">
        <is>
          <t>A 29013-2024</t>
        </is>
      </c>
      <c r="B544" s="1" t="n">
        <v>45481.55984953704</v>
      </c>
      <c r="C544" s="1" t="n">
        <v>46086</v>
      </c>
      <c r="D544" t="inlineStr">
        <is>
          <t>KALMAR LÄN</t>
        </is>
      </c>
      <c r="E544" t="inlineStr">
        <is>
          <t>VIMMERBY</t>
        </is>
      </c>
      <c r="G544" t="n">
        <v>3.4</v>
      </c>
      <c r="H544" t="n">
        <v>0</v>
      </c>
      <c r="I544" t="n">
        <v>0</v>
      </c>
      <c r="J544" t="n">
        <v>0</v>
      </c>
      <c r="K544" t="n">
        <v>0</v>
      </c>
      <c r="L544" t="n">
        <v>0</v>
      </c>
      <c r="M544" t="n">
        <v>0</v>
      </c>
      <c r="N544" t="n">
        <v>0</v>
      </c>
      <c r="O544" t="n">
        <v>0</v>
      </c>
      <c r="P544" t="n">
        <v>0</v>
      </c>
      <c r="Q544" t="n">
        <v>0</v>
      </c>
      <c r="R544" s="2" t="inlineStr"/>
    </row>
    <row r="545" ht="15" customHeight="1">
      <c r="A545" t="inlineStr">
        <is>
          <t>A 54737-2025</t>
        </is>
      </c>
      <c r="B545" s="1" t="n">
        <v>45966.56826388889</v>
      </c>
      <c r="C545" s="1" t="n">
        <v>46086</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6066-2023</t>
        </is>
      </c>
      <c r="B546" s="1" t="n">
        <v>44964.50894675926</v>
      </c>
      <c r="C546" s="1" t="n">
        <v>46086</v>
      </c>
      <c r="D546" t="inlineStr">
        <is>
          <t>KALMAR LÄN</t>
        </is>
      </c>
      <c r="E546" t="inlineStr">
        <is>
          <t>VIMMERBY</t>
        </is>
      </c>
      <c r="G546" t="n">
        <v>2.8</v>
      </c>
      <c r="H546" t="n">
        <v>0</v>
      </c>
      <c r="I546" t="n">
        <v>0</v>
      </c>
      <c r="J546" t="n">
        <v>0</v>
      </c>
      <c r="K546" t="n">
        <v>0</v>
      </c>
      <c r="L546" t="n">
        <v>0</v>
      </c>
      <c r="M546" t="n">
        <v>0</v>
      </c>
      <c r="N546" t="n">
        <v>0</v>
      </c>
      <c r="O546" t="n">
        <v>0</v>
      </c>
      <c r="P546" t="n">
        <v>0</v>
      </c>
      <c r="Q546" t="n">
        <v>0</v>
      </c>
      <c r="R546" s="2" t="inlineStr"/>
    </row>
    <row r="547" ht="15" customHeight="1">
      <c r="A547" t="inlineStr">
        <is>
          <t>A 59955-2023</t>
        </is>
      </c>
      <c r="B547" s="1" t="n">
        <v>45257.70313657408</v>
      </c>
      <c r="C547" s="1" t="n">
        <v>46086</v>
      </c>
      <c r="D547" t="inlineStr">
        <is>
          <t>KALMAR LÄN</t>
        </is>
      </c>
      <c r="E547" t="inlineStr">
        <is>
          <t>VIMMERBY</t>
        </is>
      </c>
      <c r="G547" t="n">
        <v>13.8</v>
      </c>
      <c r="H547" t="n">
        <v>0</v>
      </c>
      <c r="I547" t="n">
        <v>0</v>
      </c>
      <c r="J547" t="n">
        <v>0</v>
      </c>
      <c r="K547" t="n">
        <v>0</v>
      </c>
      <c r="L547" t="n">
        <v>0</v>
      </c>
      <c r="M547" t="n">
        <v>0</v>
      </c>
      <c r="N547" t="n">
        <v>0</v>
      </c>
      <c r="O547" t="n">
        <v>0</v>
      </c>
      <c r="P547" t="n">
        <v>0</v>
      </c>
      <c r="Q547" t="n">
        <v>0</v>
      </c>
      <c r="R547" s="2" t="inlineStr"/>
    </row>
    <row r="548" ht="15" customHeight="1">
      <c r="A548" t="inlineStr">
        <is>
          <t>A 54813-2025</t>
        </is>
      </c>
      <c r="B548" s="1" t="n">
        <v>45966.64881944445</v>
      </c>
      <c r="C548" s="1" t="n">
        <v>46086</v>
      </c>
      <c r="D548" t="inlineStr">
        <is>
          <t>KALMAR LÄN</t>
        </is>
      </c>
      <c r="E548" t="inlineStr">
        <is>
          <t>VIMMERBY</t>
        </is>
      </c>
      <c r="G548" t="n">
        <v>1.7</v>
      </c>
      <c r="H548" t="n">
        <v>0</v>
      </c>
      <c r="I548" t="n">
        <v>0</v>
      </c>
      <c r="J548" t="n">
        <v>0</v>
      </c>
      <c r="K548" t="n">
        <v>0</v>
      </c>
      <c r="L548" t="n">
        <v>0</v>
      </c>
      <c r="M548" t="n">
        <v>0</v>
      </c>
      <c r="N548" t="n">
        <v>0</v>
      </c>
      <c r="O548" t="n">
        <v>0</v>
      </c>
      <c r="P548" t="n">
        <v>0</v>
      </c>
      <c r="Q548" t="n">
        <v>0</v>
      </c>
      <c r="R548" s="2" t="inlineStr"/>
    </row>
    <row r="549" ht="15" customHeight="1">
      <c r="A549" t="inlineStr">
        <is>
          <t>A 36040-2024</t>
        </is>
      </c>
      <c r="B549" s="1" t="n">
        <v>45533.60232638889</v>
      </c>
      <c r="C549" s="1" t="n">
        <v>46086</v>
      </c>
      <c r="D549" t="inlineStr">
        <is>
          <t>KALMAR LÄN</t>
        </is>
      </c>
      <c r="E549" t="inlineStr">
        <is>
          <t>VIMMERBY</t>
        </is>
      </c>
      <c r="F549" t="inlineStr">
        <is>
          <t>Kommuner</t>
        </is>
      </c>
      <c r="G549" t="n">
        <v>3.6</v>
      </c>
      <c r="H549" t="n">
        <v>0</v>
      </c>
      <c r="I549" t="n">
        <v>0</v>
      </c>
      <c r="J549" t="n">
        <v>0</v>
      </c>
      <c r="K549" t="n">
        <v>0</v>
      </c>
      <c r="L549" t="n">
        <v>0</v>
      </c>
      <c r="M549" t="n">
        <v>0</v>
      </c>
      <c r="N549" t="n">
        <v>0</v>
      </c>
      <c r="O549" t="n">
        <v>0</v>
      </c>
      <c r="P549" t="n">
        <v>0</v>
      </c>
      <c r="Q549" t="n">
        <v>0</v>
      </c>
      <c r="R549" s="2" t="inlineStr"/>
    </row>
    <row r="550" ht="15" customHeight="1">
      <c r="A550" t="inlineStr">
        <is>
          <t>A 36043-2024</t>
        </is>
      </c>
      <c r="B550" s="1" t="n">
        <v>45533.60770833334</v>
      </c>
      <c r="C550" s="1" t="n">
        <v>46086</v>
      </c>
      <c r="D550" t="inlineStr">
        <is>
          <t>KALMAR LÄN</t>
        </is>
      </c>
      <c r="E550" t="inlineStr">
        <is>
          <t>VIMMERBY</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12890-2023</t>
        </is>
      </c>
      <c r="B551" s="1" t="n">
        <v>45001.59209490741</v>
      </c>
      <c r="C551" s="1" t="n">
        <v>46086</v>
      </c>
      <c r="D551" t="inlineStr">
        <is>
          <t>KALMAR LÄN</t>
        </is>
      </c>
      <c r="E551" t="inlineStr">
        <is>
          <t>VIMMERBY</t>
        </is>
      </c>
      <c r="G551" t="n">
        <v>2.8</v>
      </c>
      <c r="H551" t="n">
        <v>0</v>
      </c>
      <c r="I551" t="n">
        <v>0</v>
      </c>
      <c r="J551" t="n">
        <v>0</v>
      </c>
      <c r="K551" t="n">
        <v>0</v>
      </c>
      <c r="L551" t="n">
        <v>0</v>
      </c>
      <c r="M551" t="n">
        <v>0</v>
      </c>
      <c r="N551" t="n">
        <v>0</v>
      </c>
      <c r="O551" t="n">
        <v>0</v>
      </c>
      <c r="P551" t="n">
        <v>0</v>
      </c>
      <c r="Q551" t="n">
        <v>0</v>
      </c>
      <c r="R551" s="2" t="inlineStr"/>
    </row>
    <row r="552" ht="15" customHeight="1">
      <c r="A552" t="inlineStr">
        <is>
          <t>A 43594-2024</t>
        </is>
      </c>
      <c r="B552" s="1" t="n">
        <v>45569.44295138889</v>
      </c>
      <c r="C552" s="1" t="n">
        <v>46086</v>
      </c>
      <c r="D552" t="inlineStr">
        <is>
          <t>KALMAR LÄN</t>
        </is>
      </c>
      <c r="E552" t="inlineStr">
        <is>
          <t>VIMMERBY</t>
        </is>
      </c>
      <c r="G552" t="n">
        <v>3.9</v>
      </c>
      <c r="H552" t="n">
        <v>0</v>
      </c>
      <c r="I552" t="n">
        <v>0</v>
      </c>
      <c r="J552" t="n">
        <v>0</v>
      </c>
      <c r="K552" t="n">
        <v>0</v>
      </c>
      <c r="L552" t="n">
        <v>0</v>
      </c>
      <c r="M552" t="n">
        <v>0</v>
      </c>
      <c r="N552" t="n">
        <v>0</v>
      </c>
      <c r="O552" t="n">
        <v>0</v>
      </c>
      <c r="P552" t="n">
        <v>0</v>
      </c>
      <c r="Q552" t="n">
        <v>0</v>
      </c>
      <c r="R552" s="2" t="inlineStr"/>
    </row>
    <row r="553" ht="15" customHeight="1">
      <c r="A553" t="inlineStr">
        <is>
          <t>A 53482-2022</t>
        </is>
      </c>
      <c r="B553" s="1" t="n">
        <v>44879</v>
      </c>
      <c r="C553" s="1" t="n">
        <v>46086</v>
      </c>
      <c r="D553" t="inlineStr">
        <is>
          <t>KALMAR LÄN</t>
        </is>
      </c>
      <c r="E553" t="inlineStr">
        <is>
          <t>VIMMERBY</t>
        </is>
      </c>
      <c r="G553" t="n">
        <v>10.1</v>
      </c>
      <c r="H553" t="n">
        <v>0</v>
      </c>
      <c r="I553" t="n">
        <v>0</v>
      </c>
      <c r="J553" t="n">
        <v>0</v>
      </c>
      <c r="K553" t="n">
        <v>0</v>
      </c>
      <c r="L553" t="n">
        <v>0</v>
      </c>
      <c r="M553" t="n">
        <v>0</v>
      </c>
      <c r="N553" t="n">
        <v>0</v>
      </c>
      <c r="O553" t="n">
        <v>0</v>
      </c>
      <c r="P553" t="n">
        <v>0</v>
      </c>
      <c r="Q553" t="n">
        <v>0</v>
      </c>
      <c r="R553" s="2" t="inlineStr"/>
    </row>
    <row r="554" ht="15" customHeight="1">
      <c r="A554" t="inlineStr">
        <is>
          <t>A 55602-2025</t>
        </is>
      </c>
      <c r="B554" s="1" t="n">
        <v>45971</v>
      </c>
      <c r="C554" s="1" t="n">
        <v>46086</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27761-2024</t>
        </is>
      </c>
      <c r="B555" s="1" t="n">
        <v>45475.49018518518</v>
      </c>
      <c r="C555" s="1" t="n">
        <v>46086</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64203-2021</t>
        </is>
      </c>
      <c r="B556" s="1" t="n">
        <v>44510.60921296296</v>
      </c>
      <c r="C556" s="1" t="n">
        <v>46086</v>
      </c>
      <c r="D556" t="inlineStr">
        <is>
          <t>KALMAR LÄN</t>
        </is>
      </c>
      <c r="E556" t="inlineStr">
        <is>
          <t>VIMMERBY</t>
        </is>
      </c>
      <c r="F556" t="inlineStr">
        <is>
          <t>Övriga Aktiebolag</t>
        </is>
      </c>
      <c r="G556" t="n">
        <v>5.4</v>
      </c>
      <c r="H556" t="n">
        <v>0</v>
      </c>
      <c r="I556" t="n">
        <v>0</v>
      </c>
      <c r="J556" t="n">
        <v>0</v>
      </c>
      <c r="K556" t="n">
        <v>0</v>
      </c>
      <c r="L556" t="n">
        <v>0</v>
      </c>
      <c r="M556" t="n">
        <v>0</v>
      </c>
      <c r="N556" t="n">
        <v>0</v>
      </c>
      <c r="O556" t="n">
        <v>0</v>
      </c>
      <c r="P556" t="n">
        <v>0</v>
      </c>
      <c r="Q556" t="n">
        <v>0</v>
      </c>
      <c r="R556" s="2" t="inlineStr"/>
    </row>
    <row r="557" ht="15" customHeight="1">
      <c r="A557" t="inlineStr">
        <is>
          <t>A 55603-2025</t>
        </is>
      </c>
      <c r="B557" s="1" t="n">
        <v>45971</v>
      </c>
      <c r="C557" s="1" t="n">
        <v>46086</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55605-2025</t>
        </is>
      </c>
      <c r="B558" s="1" t="n">
        <v>45971</v>
      </c>
      <c r="C558" s="1" t="n">
        <v>46086</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5720-2023</t>
        </is>
      </c>
      <c r="B559" s="1" t="n">
        <v>44961</v>
      </c>
      <c r="C559" s="1" t="n">
        <v>46086</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9643-2023</t>
        </is>
      </c>
      <c r="B560" s="1" t="n">
        <v>44984</v>
      </c>
      <c r="C560" s="1" t="n">
        <v>46086</v>
      </c>
      <c r="D560" t="inlineStr">
        <is>
          <t>KALMAR LÄN</t>
        </is>
      </c>
      <c r="E560" t="inlineStr">
        <is>
          <t>VIMMERBY</t>
        </is>
      </c>
      <c r="G560" t="n">
        <v>2</v>
      </c>
      <c r="H560" t="n">
        <v>0</v>
      </c>
      <c r="I560" t="n">
        <v>0</v>
      </c>
      <c r="J560" t="n">
        <v>0</v>
      </c>
      <c r="K560" t="n">
        <v>0</v>
      </c>
      <c r="L560" t="n">
        <v>0</v>
      </c>
      <c r="M560" t="n">
        <v>0</v>
      </c>
      <c r="N560" t="n">
        <v>0</v>
      </c>
      <c r="O560" t="n">
        <v>0</v>
      </c>
      <c r="P560" t="n">
        <v>0</v>
      </c>
      <c r="Q560" t="n">
        <v>0</v>
      </c>
      <c r="R560" s="2" t="inlineStr"/>
    </row>
    <row r="561" ht="15" customHeight="1">
      <c r="A561" t="inlineStr">
        <is>
          <t>A 25728-2023</t>
        </is>
      </c>
      <c r="B561" s="1" t="n">
        <v>45090.38012731481</v>
      </c>
      <c r="C561" s="1" t="n">
        <v>46086</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55385-2025</t>
        </is>
      </c>
      <c r="B562" s="1" t="n">
        <v>45971.43350694444</v>
      </c>
      <c r="C562" s="1" t="n">
        <v>46086</v>
      </c>
      <c r="D562" t="inlineStr">
        <is>
          <t>KALMAR LÄN</t>
        </is>
      </c>
      <c r="E562" t="inlineStr">
        <is>
          <t>VIMMERBY</t>
        </is>
      </c>
      <c r="G562" t="n">
        <v>5</v>
      </c>
      <c r="H562" t="n">
        <v>0</v>
      </c>
      <c r="I562" t="n">
        <v>0</v>
      </c>
      <c r="J562" t="n">
        <v>0</v>
      </c>
      <c r="K562" t="n">
        <v>0</v>
      </c>
      <c r="L562" t="n">
        <v>0</v>
      </c>
      <c r="M562" t="n">
        <v>0</v>
      </c>
      <c r="N562" t="n">
        <v>0</v>
      </c>
      <c r="O562" t="n">
        <v>0</v>
      </c>
      <c r="P562" t="n">
        <v>0</v>
      </c>
      <c r="Q562" t="n">
        <v>0</v>
      </c>
      <c r="R562" s="2" t="inlineStr"/>
    </row>
    <row r="563" ht="15" customHeight="1">
      <c r="A563" t="inlineStr">
        <is>
          <t>A 41311-2023</t>
        </is>
      </c>
      <c r="B563" s="1" t="n">
        <v>45174</v>
      </c>
      <c r="C563" s="1" t="n">
        <v>46086</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26318-2023</t>
        </is>
      </c>
      <c r="B564" s="1" t="n">
        <v>45091.67936342592</v>
      </c>
      <c r="C564" s="1" t="n">
        <v>46086</v>
      </c>
      <c r="D564" t="inlineStr">
        <is>
          <t>KALMAR LÄN</t>
        </is>
      </c>
      <c r="E564" t="inlineStr">
        <is>
          <t>VIMMERBY</t>
        </is>
      </c>
      <c r="G564" t="n">
        <v>3.8</v>
      </c>
      <c r="H564" t="n">
        <v>0</v>
      </c>
      <c r="I564" t="n">
        <v>0</v>
      </c>
      <c r="J564" t="n">
        <v>0</v>
      </c>
      <c r="K564" t="n">
        <v>0</v>
      </c>
      <c r="L564" t="n">
        <v>0</v>
      </c>
      <c r="M564" t="n">
        <v>0</v>
      </c>
      <c r="N564" t="n">
        <v>0</v>
      </c>
      <c r="O564" t="n">
        <v>0</v>
      </c>
      <c r="P564" t="n">
        <v>0</v>
      </c>
      <c r="Q564" t="n">
        <v>0</v>
      </c>
      <c r="R564" s="2" t="inlineStr"/>
    </row>
    <row r="565" ht="15" customHeight="1">
      <c r="A565" t="inlineStr">
        <is>
          <t>A 61355-2024</t>
        </is>
      </c>
      <c r="B565" s="1" t="n">
        <v>45646.38200231481</v>
      </c>
      <c r="C565" s="1" t="n">
        <v>46086</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36802-2021</t>
        </is>
      </c>
      <c r="B566" s="1" t="n">
        <v>44392</v>
      </c>
      <c r="C566" s="1" t="n">
        <v>46086</v>
      </c>
      <c r="D566" t="inlineStr">
        <is>
          <t>KALMAR LÄN</t>
        </is>
      </c>
      <c r="E566" t="inlineStr">
        <is>
          <t>VIMMERBY</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57728-2025</t>
        </is>
      </c>
      <c r="B567" s="1" t="n">
        <v>45981</v>
      </c>
      <c r="C567" s="1" t="n">
        <v>46086</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38198-2024</t>
        </is>
      </c>
      <c r="B568" s="1" t="n">
        <v>45545.49508101852</v>
      </c>
      <c r="C568" s="1" t="n">
        <v>46086</v>
      </c>
      <c r="D568" t="inlineStr">
        <is>
          <t>KALMAR LÄN</t>
        </is>
      </c>
      <c r="E568" t="inlineStr">
        <is>
          <t>VIMMERBY</t>
        </is>
      </c>
      <c r="G568" t="n">
        <v>7.9</v>
      </c>
      <c r="H568" t="n">
        <v>0</v>
      </c>
      <c r="I568" t="n">
        <v>0</v>
      </c>
      <c r="J568" t="n">
        <v>0</v>
      </c>
      <c r="K568" t="n">
        <v>0</v>
      </c>
      <c r="L568" t="n">
        <v>0</v>
      </c>
      <c r="M568" t="n">
        <v>0</v>
      </c>
      <c r="N568" t="n">
        <v>0</v>
      </c>
      <c r="O568" t="n">
        <v>0</v>
      </c>
      <c r="P568" t="n">
        <v>0</v>
      </c>
      <c r="Q568" t="n">
        <v>0</v>
      </c>
      <c r="R568" s="2" t="inlineStr"/>
    </row>
    <row r="569" ht="15" customHeight="1">
      <c r="A569" t="inlineStr">
        <is>
          <t>A 9623-2024</t>
        </is>
      </c>
      <c r="B569" s="1" t="n">
        <v>45361.87975694444</v>
      </c>
      <c r="C569" s="1" t="n">
        <v>46086</v>
      </c>
      <c r="D569" t="inlineStr">
        <is>
          <t>KALMAR LÄN</t>
        </is>
      </c>
      <c r="E569" t="inlineStr">
        <is>
          <t>VIMMERBY</t>
        </is>
      </c>
      <c r="G569" t="n">
        <v>1.6</v>
      </c>
      <c r="H569" t="n">
        <v>0</v>
      </c>
      <c r="I569" t="n">
        <v>0</v>
      </c>
      <c r="J569" t="n">
        <v>0</v>
      </c>
      <c r="K569" t="n">
        <v>0</v>
      </c>
      <c r="L569" t="n">
        <v>0</v>
      </c>
      <c r="M569" t="n">
        <v>0</v>
      </c>
      <c r="N569" t="n">
        <v>0</v>
      </c>
      <c r="O569" t="n">
        <v>0</v>
      </c>
      <c r="P569" t="n">
        <v>0</v>
      </c>
      <c r="Q569" t="n">
        <v>0</v>
      </c>
      <c r="R569" s="2" t="inlineStr"/>
    </row>
    <row r="570" ht="15" customHeight="1">
      <c r="A570" t="inlineStr">
        <is>
          <t>A 58967-2022</t>
        </is>
      </c>
      <c r="B570" s="1" t="n">
        <v>44896</v>
      </c>
      <c r="C570" s="1" t="n">
        <v>46086</v>
      </c>
      <c r="D570" t="inlineStr">
        <is>
          <t>KALMAR LÄN</t>
        </is>
      </c>
      <c r="E570" t="inlineStr">
        <is>
          <t>VIMMERBY</t>
        </is>
      </c>
      <c r="G570" t="n">
        <v>5</v>
      </c>
      <c r="H570" t="n">
        <v>0</v>
      </c>
      <c r="I570" t="n">
        <v>0</v>
      </c>
      <c r="J570" t="n">
        <v>0</v>
      </c>
      <c r="K570" t="n">
        <v>0</v>
      </c>
      <c r="L570" t="n">
        <v>0</v>
      </c>
      <c r="M570" t="n">
        <v>0</v>
      </c>
      <c r="N570" t="n">
        <v>0</v>
      </c>
      <c r="O570" t="n">
        <v>0</v>
      </c>
      <c r="P570" t="n">
        <v>0</v>
      </c>
      <c r="Q570" t="n">
        <v>0</v>
      </c>
      <c r="R570" s="2" t="inlineStr"/>
    </row>
    <row r="571" ht="15" customHeight="1">
      <c r="A571" t="inlineStr">
        <is>
          <t>A 58503-2025</t>
        </is>
      </c>
      <c r="B571" s="1" t="n">
        <v>45985.69509259259</v>
      </c>
      <c r="C571" s="1" t="n">
        <v>46086</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58498-2025</t>
        </is>
      </c>
      <c r="B572" s="1" t="n">
        <v>45985.68671296296</v>
      </c>
      <c r="C572" s="1" t="n">
        <v>46086</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58501-2025</t>
        </is>
      </c>
      <c r="B573" s="1" t="n">
        <v>45985.69153935185</v>
      </c>
      <c r="C573" s="1" t="n">
        <v>46086</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58514-2025</t>
        </is>
      </c>
      <c r="B574" s="1" t="n">
        <v>45985.70513888889</v>
      </c>
      <c r="C574" s="1" t="n">
        <v>46086</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58442-2025</t>
        </is>
      </c>
      <c r="B575" s="1" t="n">
        <v>45985.61635416667</v>
      </c>
      <c r="C575" s="1" t="n">
        <v>46086</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6399-2025</t>
        </is>
      </c>
      <c r="B576" s="1" t="n">
        <v>45699.44291666667</v>
      </c>
      <c r="C576" s="1" t="n">
        <v>46086</v>
      </c>
      <c r="D576" t="inlineStr">
        <is>
          <t>KALMAR LÄN</t>
        </is>
      </c>
      <c r="E576" t="inlineStr">
        <is>
          <t>VIMMERBY</t>
        </is>
      </c>
      <c r="G576" t="n">
        <v>3.1</v>
      </c>
      <c r="H576" t="n">
        <v>0</v>
      </c>
      <c r="I576" t="n">
        <v>0</v>
      </c>
      <c r="J576" t="n">
        <v>0</v>
      </c>
      <c r="K576" t="n">
        <v>0</v>
      </c>
      <c r="L576" t="n">
        <v>0</v>
      </c>
      <c r="M576" t="n">
        <v>0</v>
      </c>
      <c r="N576" t="n">
        <v>0</v>
      </c>
      <c r="O576" t="n">
        <v>0</v>
      </c>
      <c r="P576" t="n">
        <v>0</v>
      </c>
      <c r="Q576" t="n">
        <v>0</v>
      </c>
      <c r="R576" s="2" t="inlineStr"/>
    </row>
    <row r="577" ht="15" customHeight="1">
      <c r="A577" t="inlineStr">
        <is>
          <t>A 31355-2023</t>
        </is>
      </c>
      <c r="B577" s="1" t="n">
        <v>45114.49505787037</v>
      </c>
      <c r="C577" s="1" t="n">
        <v>46086</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58435-2025</t>
        </is>
      </c>
      <c r="B578" s="1" t="n">
        <v>45985.61501157407</v>
      </c>
      <c r="C578" s="1" t="n">
        <v>46086</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58446-2025</t>
        </is>
      </c>
      <c r="B579" s="1" t="n">
        <v>45985.62168981481</v>
      </c>
      <c r="C579" s="1" t="n">
        <v>46086</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30400-2023</t>
        </is>
      </c>
      <c r="B580" s="1" t="n">
        <v>45111.48225694444</v>
      </c>
      <c r="C580" s="1" t="n">
        <v>46086</v>
      </c>
      <c r="D580" t="inlineStr">
        <is>
          <t>KALMAR LÄN</t>
        </is>
      </c>
      <c r="E580" t="inlineStr">
        <is>
          <t>VIMMERBY</t>
        </is>
      </c>
      <c r="G580" t="n">
        <v>2.7</v>
      </c>
      <c r="H580" t="n">
        <v>0</v>
      </c>
      <c r="I580" t="n">
        <v>0</v>
      </c>
      <c r="J580" t="n">
        <v>0</v>
      </c>
      <c r="K580" t="n">
        <v>0</v>
      </c>
      <c r="L580" t="n">
        <v>0</v>
      </c>
      <c r="M580" t="n">
        <v>0</v>
      </c>
      <c r="N580" t="n">
        <v>0</v>
      </c>
      <c r="O580" t="n">
        <v>0</v>
      </c>
      <c r="P580" t="n">
        <v>0</v>
      </c>
      <c r="Q580" t="n">
        <v>0</v>
      </c>
      <c r="R580" s="2" t="inlineStr"/>
    </row>
    <row r="581" ht="15" customHeight="1">
      <c r="A581" t="inlineStr">
        <is>
          <t>A 30404-2023</t>
        </is>
      </c>
      <c r="B581" s="1" t="n">
        <v>45111.48636574074</v>
      </c>
      <c r="C581" s="1" t="n">
        <v>46086</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58500-2025</t>
        </is>
      </c>
      <c r="B582" s="1" t="n">
        <v>45985.69008101852</v>
      </c>
      <c r="C582" s="1" t="n">
        <v>46086</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27705-2023</t>
        </is>
      </c>
      <c r="B583" s="1" t="n">
        <v>45098.30535879629</v>
      </c>
      <c r="C583" s="1" t="n">
        <v>46086</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58841-2025</t>
        </is>
      </c>
      <c r="B584" s="1" t="n">
        <v>45987.36275462963</v>
      </c>
      <c r="C584" s="1" t="n">
        <v>46086</v>
      </c>
      <c r="D584" t="inlineStr">
        <is>
          <t>KALMAR LÄN</t>
        </is>
      </c>
      <c r="E584" t="inlineStr">
        <is>
          <t>VIMMERBY</t>
        </is>
      </c>
      <c r="G584" t="n">
        <v>3.5</v>
      </c>
      <c r="H584" t="n">
        <v>0</v>
      </c>
      <c r="I584" t="n">
        <v>0</v>
      </c>
      <c r="J584" t="n">
        <v>0</v>
      </c>
      <c r="K584" t="n">
        <v>0</v>
      </c>
      <c r="L584" t="n">
        <v>0</v>
      </c>
      <c r="M584" t="n">
        <v>0</v>
      </c>
      <c r="N584" t="n">
        <v>0</v>
      </c>
      <c r="O584" t="n">
        <v>0</v>
      </c>
      <c r="P584" t="n">
        <v>0</v>
      </c>
      <c r="Q584" t="n">
        <v>0</v>
      </c>
      <c r="R584" s="2" t="inlineStr"/>
    </row>
    <row r="585" ht="15" customHeight="1">
      <c r="A585" t="inlineStr">
        <is>
          <t>A 58858-2025</t>
        </is>
      </c>
      <c r="B585" s="1" t="n">
        <v>45987.4243287037</v>
      </c>
      <c r="C585" s="1" t="n">
        <v>46086</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36843-2023</t>
        </is>
      </c>
      <c r="B586" s="1" t="n">
        <v>45154.49831018518</v>
      </c>
      <c r="C586" s="1" t="n">
        <v>46086</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10785-2025</t>
        </is>
      </c>
      <c r="B587" s="1" t="n">
        <v>45722.48634259259</v>
      </c>
      <c r="C587" s="1" t="n">
        <v>46086</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29017-2024</t>
        </is>
      </c>
      <c r="B588" s="1" t="n">
        <v>45481.56722222222</v>
      </c>
      <c r="C588" s="1" t="n">
        <v>46086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23263-2024</t>
        </is>
      </c>
      <c r="B589" s="1" t="n">
        <v>45453.36854166666</v>
      </c>
      <c r="C589" s="1" t="n">
        <v>46086</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11074-2023</t>
        </is>
      </c>
      <c r="B590" s="1" t="n">
        <v>44992.34151620371</v>
      </c>
      <c r="C590" s="1" t="n">
        <v>46086</v>
      </c>
      <c r="D590" t="inlineStr">
        <is>
          <t>KALMAR LÄN</t>
        </is>
      </c>
      <c r="E590" t="inlineStr">
        <is>
          <t>VIMMERBY</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61939-2021</t>
        </is>
      </c>
      <c r="B591" s="1" t="n">
        <v>44502</v>
      </c>
      <c r="C591" s="1" t="n">
        <v>46086</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12215-2024</t>
        </is>
      </c>
      <c r="B592" s="1" t="n">
        <v>45378.32185185186</v>
      </c>
      <c r="C592" s="1" t="n">
        <v>46086</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59039-2025</t>
        </is>
      </c>
      <c r="B593" s="1" t="n">
        <v>45988.36790509259</v>
      </c>
      <c r="C593" s="1" t="n">
        <v>46086</v>
      </c>
      <c r="D593" t="inlineStr">
        <is>
          <t>KALMAR LÄN</t>
        </is>
      </c>
      <c r="E593" t="inlineStr">
        <is>
          <t>VIMMERBY</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11303-2025</t>
        </is>
      </c>
      <c r="B594" s="1" t="n">
        <v>45726.44471064815</v>
      </c>
      <c r="C594" s="1" t="n">
        <v>46086</v>
      </c>
      <c r="D594" t="inlineStr">
        <is>
          <t>KALMAR LÄN</t>
        </is>
      </c>
      <c r="E594" t="inlineStr">
        <is>
          <t>VIMMERBY</t>
        </is>
      </c>
      <c r="G594" t="n">
        <v>2.1</v>
      </c>
      <c r="H594" t="n">
        <v>0</v>
      </c>
      <c r="I594" t="n">
        <v>0</v>
      </c>
      <c r="J594" t="n">
        <v>0</v>
      </c>
      <c r="K594" t="n">
        <v>0</v>
      </c>
      <c r="L594" t="n">
        <v>0</v>
      </c>
      <c r="M594" t="n">
        <v>0</v>
      </c>
      <c r="N594" t="n">
        <v>0</v>
      </c>
      <c r="O594" t="n">
        <v>0</v>
      </c>
      <c r="P594" t="n">
        <v>0</v>
      </c>
      <c r="Q594" t="n">
        <v>0</v>
      </c>
      <c r="R594" s="2" t="inlineStr"/>
    </row>
    <row r="595" ht="15" customHeight="1">
      <c r="A595" t="inlineStr">
        <is>
          <t>A 59034-2025</t>
        </is>
      </c>
      <c r="B595" s="1" t="n">
        <v>45988.36243055556</v>
      </c>
      <c r="C595" s="1" t="n">
        <v>46086</v>
      </c>
      <c r="D595" t="inlineStr">
        <is>
          <t>KALMAR LÄN</t>
        </is>
      </c>
      <c r="E595" t="inlineStr">
        <is>
          <t>VIMMERBY</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12033-2024</t>
        </is>
      </c>
      <c r="B596" s="1" t="n">
        <v>45377.40043981482</v>
      </c>
      <c r="C596" s="1" t="n">
        <v>46086</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51408-2023</t>
        </is>
      </c>
      <c r="B597" s="1" t="n">
        <v>45219.69356481481</v>
      </c>
      <c r="C597" s="1" t="n">
        <v>46086</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59037-2025</t>
        </is>
      </c>
      <c r="B598" s="1" t="n">
        <v>45988.36508101852</v>
      </c>
      <c r="C598" s="1" t="n">
        <v>46086</v>
      </c>
      <c r="D598" t="inlineStr">
        <is>
          <t>KALMAR LÄN</t>
        </is>
      </c>
      <c r="E598" t="inlineStr">
        <is>
          <t>VIMMERBY</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59068-2025</t>
        </is>
      </c>
      <c r="B599" s="1" t="n">
        <v>45988.41725694444</v>
      </c>
      <c r="C599" s="1" t="n">
        <v>46086</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49488-2023</t>
        </is>
      </c>
      <c r="B600" s="1" t="n">
        <v>45211.55472222222</v>
      </c>
      <c r="C600" s="1" t="n">
        <v>46086</v>
      </c>
      <c r="D600" t="inlineStr">
        <is>
          <t>KALMAR LÄN</t>
        </is>
      </c>
      <c r="E600" t="inlineStr">
        <is>
          <t>VIMMERBY</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59579-2025</t>
        </is>
      </c>
      <c r="B601" s="1" t="n">
        <v>45992.30569444445</v>
      </c>
      <c r="C601" s="1" t="n">
        <v>46086</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8410-2023</t>
        </is>
      </c>
      <c r="B602" s="1" t="n">
        <v>44977</v>
      </c>
      <c r="C602" s="1" t="n">
        <v>46086</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30920-2024</t>
        </is>
      </c>
      <c r="B603" s="1" t="n">
        <v>45498.673125</v>
      </c>
      <c r="C603" s="1" t="n">
        <v>46086</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40929-2022</t>
        </is>
      </c>
      <c r="B604" s="1" t="n">
        <v>44825.4336574074</v>
      </c>
      <c r="C604" s="1" t="n">
        <v>46086</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60180-2025</t>
        </is>
      </c>
      <c r="B605" s="1" t="n">
        <v>45994.46428240741</v>
      </c>
      <c r="C605" s="1" t="n">
        <v>46086</v>
      </c>
      <c r="D605" t="inlineStr">
        <is>
          <t>KALMAR LÄN</t>
        </is>
      </c>
      <c r="E605" t="inlineStr">
        <is>
          <t>VIMMERBY</t>
        </is>
      </c>
      <c r="G605" t="n">
        <v>6.8</v>
      </c>
      <c r="H605" t="n">
        <v>0</v>
      </c>
      <c r="I605" t="n">
        <v>0</v>
      </c>
      <c r="J605" t="n">
        <v>0</v>
      </c>
      <c r="K605" t="n">
        <v>0</v>
      </c>
      <c r="L605" t="n">
        <v>0</v>
      </c>
      <c r="M605" t="n">
        <v>0</v>
      </c>
      <c r="N605" t="n">
        <v>0</v>
      </c>
      <c r="O605" t="n">
        <v>0</v>
      </c>
      <c r="P605" t="n">
        <v>0</v>
      </c>
      <c r="Q605" t="n">
        <v>0</v>
      </c>
      <c r="R605" s="2" t="inlineStr"/>
    </row>
    <row r="606" ht="15" customHeight="1">
      <c r="A606" t="inlineStr">
        <is>
          <t>A 50091-2023</t>
        </is>
      </c>
      <c r="B606" s="1" t="n">
        <v>45215.60199074074</v>
      </c>
      <c r="C606" s="1" t="n">
        <v>46086</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36008-2024</t>
        </is>
      </c>
      <c r="B607" s="1" t="n">
        <v>45533.55362268518</v>
      </c>
      <c r="C607" s="1" t="n">
        <v>46086</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60297-2025</t>
        </is>
      </c>
      <c r="B608" s="1" t="n">
        <v>45994</v>
      </c>
      <c r="C608" s="1" t="n">
        <v>46086</v>
      </c>
      <c r="D608" t="inlineStr">
        <is>
          <t>KALMAR LÄN</t>
        </is>
      </c>
      <c r="E608" t="inlineStr">
        <is>
          <t>VIMMERBY</t>
        </is>
      </c>
      <c r="G608" t="n">
        <v>4.2</v>
      </c>
      <c r="H608" t="n">
        <v>0</v>
      </c>
      <c r="I608" t="n">
        <v>0</v>
      </c>
      <c r="J608" t="n">
        <v>0</v>
      </c>
      <c r="K608" t="n">
        <v>0</v>
      </c>
      <c r="L608" t="n">
        <v>0</v>
      </c>
      <c r="M608" t="n">
        <v>0</v>
      </c>
      <c r="N608" t="n">
        <v>0</v>
      </c>
      <c r="O608" t="n">
        <v>0</v>
      </c>
      <c r="P608" t="n">
        <v>0</v>
      </c>
      <c r="Q608" t="n">
        <v>0</v>
      </c>
      <c r="R608" s="2" t="inlineStr"/>
    </row>
    <row r="609" ht="15" customHeight="1">
      <c r="A609" t="inlineStr">
        <is>
          <t>A 16622-2025</t>
        </is>
      </c>
      <c r="B609" s="1" t="n">
        <v>45754.33641203704</v>
      </c>
      <c r="C609" s="1" t="n">
        <v>46086</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17511-2024</t>
        </is>
      </c>
      <c r="B610" s="1" t="n">
        <v>45415.57682870371</v>
      </c>
      <c r="C610" s="1" t="n">
        <v>46086</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43705-2023</t>
        </is>
      </c>
      <c r="B611" s="1" t="n">
        <v>45187.42854166667</v>
      </c>
      <c r="C611" s="1" t="n">
        <v>46086</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55300-2021</t>
        </is>
      </c>
      <c r="B612" s="1" t="n">
        <v>44475</v>
      </c>
      <c r="C612" s="1" t="n">
        <v>46086</v>
      </c>
      <c r="D612" t="inlineStr">
        <is>
          <t>KALMAR LÄN</t>
        </is>
      </c>
      <c r="E612" t="inlineStr">
        <is>
          <t>VIMMERBY</t>
        </is>
      </c>
      <c r="G612" t="n">
        <v>3.4</v>
      </c>
      <c r="H612" t="n">
        <v>0</v>
      </c>
      <c r="I612" t="n">
        <v>0</v>
      </c>
      <c r="J612" t="n">
        <v>0</v>
      </c>
      <c r="K612" t="n">
        <v>0</v>
      </c>
      <c r="L612" t="n">
        <v>0</v>
      </c>
      <c r="M612" t="n">
        <v>0</v>
      </c>
      <c r="N612" t="n">
        <v>0</v>
      </c>
      <c r="O612" t="n">
        <v>0</v>
      </c>
      <c r="P612" t="n">
        <v>0</v>
      </c>
      <c r="Q612" t="n">
        <v>0</v>
      </c>
      <c r="R612" s="2" t="inlineStr"/>
    </row>
    <row r="613" ht="15" customHeight="1">
      <c r="A613" t="inlineStr">
        <is>
          <t>A 44179-2022</t>
        </is>
      </c>
      <c r="B613" s="1" t="n">
        <v>44839.4528125</v>
      </c>
      <c r="C613" s="1" t="n">
        <v>46086</v>
      </c>
      <c r="D613" t="inlineStr">
        <is>
          <t>KALMAR LÄN</t>
        </is>
      </c>
      <c r="E613" t="inlineStr">
        <is>
          <t>VIMMERBY</t>
        </is>
      </c>
      <c r="G613" t="n">
        <v>2.8</v>
      </c>
      <c r="H613" t="n">
        <v>0</v>
      </c>
      <c r="I613" t="n">
        <v>0</v>
      </c>
      <c r="J613" t="n">
        <v>0</v>
      </c>
      <c r="K613" t="n">
        <v>0</v>
      </c>
      <c r="L613" t="n">
        <v>0</v>
      </c>
      <c r="M613" t="n">
        <v>0</v>
      </c>
      <c r="N613" t="n">
        <v>0</v>
      </c>
      <c r="O613" t="n">
        <v>0</v>
      </c>
      <c r="P613" t="n">
        <v>0</v>
      </c>
      <c r="Q613" t="n">
        <v>0</v>
      </c>
      <c r="R613" s="2" t="inlineStr"/>
    </row>
    <row r="614" ht="15" customHeight="1">
      <c r="A614" t="inlineStr">
        <is>
          <t>A 52755-2022</t>
        </is>
      </c>
      <c r="B614" s="1" t="n">
        <v>44875.27736111111</v>
      </c>
      <c r="C614" s="1" t="n">
        <v>46086</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35998-2024</t>
        </is>
      </c>
      <c r="B615" s="1" t="n">
        <v>45533.54429398148</v>
      </c>
      <c r="C615" s="1" t="n">
        <v>46086</v>
      </c>
      <c r="D615" t="inlineStr">
        <is>
          <t>KALMAR LÄN</t>
        </is>
      </c>
      <c r="E615" t="inlineStr">
        <is>
          <t>VIMMERBY</t>
        </is>
      </c>
      <c r="G615" t="n">
        <v>8.6</v>
      </c>
      <c r="H615" t="n">
        <v>0</v>
      </c>
      <c r="I615" t="n">
        <v>0</v>
      </c>
      <c r="J615" t="n">
        <v>0</v>
      </c>
      <c r="K615" t="n">
        <v>0</v>
      </c>
      <c r="L615" t="n">
        <v>0</v>
      </c>
      <c r="M615" t="n">
        <v>0</v>
      </c>
      <c r="N615" t="n">
        <v>0</v>
      </c>
      <c r="O615" t="n">
        <v>0</v>
      </c>
      <c r="P615" t="n">
        <v>0</v>
      </c>
      <c r="Q615" t="n">
        <v>0</v>
      </c>
      <c r="R615" s="2" t="inlineStr"/>
    </row>
    <row r="616" ht="15" customHeight="1">
      <c r="A616" t="inlineStr">
        <is>
          <t>A 7797-2023</t>
        </is>
      </c>
      <c r="B616" s="1" t="n">
        <v>44973.43075231482</v>
      </c>
      <c r="C616" s="1" t="n">
        <v>46086</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29351-2023</t>
        </is>
      </c>
      <c r="B617" s="1" t="n">
        <v>45106.2610300926</v>
      </c>
      <c r="C617" s="1" t="n">
        <v>46086</v>
      </c>
      <c r="D617" t="inlineStr">
        <is>
          <t>KALMAR LÄN</t>
        </is>
      </c>
      <c r="E617" t="inlineStr">
        <is>
          <t>VIMMERBY</t>
        </is>
      </c>
      <c r="G617" t="n">
        <v>0.4</v>
      </c>
      <c r="H617" t="n">
        <v>0</v>
      </c>
      <c r="I617" t="n">
        <v>0</v>
      </c>
      <c r="J617" t="n">
        <v>0</v>
      </c>
      <c r="K617" t="n">
        <v>0</v>
      </c>
      <c r="L617" t="n">
        <v>0</v>
      </c>
      <c r="M617" t="n">
        <v>0</v>
      </c>
      <c r="N617" t="n">
        <v>0</v>
      </c>
      <c r="O617" t="n">
        <v>0</v>
      </c>
      <c r="P617" t="n">
        <v>0</v>
      </c>
      <c r="Q617" t="n">
        <v>0</v>
      </c>
      <c r="R617" s="2" t="inlineStr"/>
    </row>
    <row r="618" ht="15" customHeight="1">
      <c r="A618" t="inlineStr">
        <is>
          <t>A 7630-2025</t>
        </is>
      </c>
      <c r="B618" s="1" t="n">
        <v>45705.74418981482</v>
      </c>
      <c r="C618" s="1" t="n">
        <v>46086</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1024-2024</t>
        </is>
      </c>
      <c r="B619" s="1" t="n">
        <v>45301.68237268519</v>
      </c>
      <c r="C619" s="1" t="n">
        <v>46086</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10787-2025</t>
        </is>
      </c>
      <c r="B620" s="1" t="n">
        <v>45722.48915509259</v>
      </c>
      <c r="C620" s="1" t="n">
        <v>46086</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3965-2026</t>
        </is>
      </c>
      <c r="B621" s="1" t="n">
        <v>46044.34563657407</v>
      </c>
      <c r="C621" s="1" t="n">
        <v>46086</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29350-2023</t>
        </is>
      </c>
      <c r="B622" s="1" t="n">
        <v>45106</v>
      </c>
      <c r="C622" s="1" t="n">
        <v>46086</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61725-2025</t>
        </is>
      </c>
      <c r="B623" s="1" t="n">
        <v>46002.58680555555</v>
      </c>
      <c r="C623" s="1" t="n">
        <v>46086</v>
      </c>
      <c r="D623" t="inlineStr">
        <is>
          <t>KALMAR LÄN</t>
        </is>
      </c>
      <c r="E623" t="inlineStr">
        <is>
          <t>VIMMERBY</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14855-2025</t>
        </is>
      </c>
      <c r="B624" s="1" t="n">
        <v>45743.41148148148</v>
      </c>
      <c r="C624" s="1" t="n">
        <v>46086</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61790-2025</t>
        </is>
      </c>
      <c r="B625" s="1" t="n">
        <v>46002.68768518518</v>
      </c>
      <c r="C625" s="1" t="n">
        <v>46086</v>
      </c>
      <c r="D625" t="inlineStr">
        <is>
          <t>KALMAR LÄN</t>
        </is>
      </c>
      <c r="E625" t="inlineStr">
        <is>
          <t>VIMMERBY</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43601-2024</t>
        </is>
      </c>
      <c r="B626" s="1" t="n">
        <v>45569.44684027778</v>
      </c>
      <c r="C626" s="1" t="n">
        <v>46086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35913-2023</t>
        </is>
      </c>
      <c r="B627" s="1" t="n">
        <v>45148</v>
      </c>
      <c r="C627" s="1" t="n">
        <v>46086</v>
      </c>
      <c r="D627" t="inlineStr">
        <is>
          <t>KALMAR LÄN</t>
        </is>
      </c>
      <c r="E627" t="inlineStr">
        <is>
          <t>VIMMERBY</t>
        </is>
      </c>
      <c r="G627" t="n">
        <v>6.9</v>
      </c>
      <c r="H627" t="n">
        <v>0</v>
      </c>
      <c r="I627" t="n">
        <v>0</v>
      </c>
      <c r="J627" t="n">
        <v>0</v>
      </c>
      <c r="K627" t="n">
        <v>0</v>
      </c>
      <c r="L627" t="n">
        <v>0</v>
      </c>
      <c r="M627" t="n">
        <v>0</v>
      </c>
      <c r="N627" t="n">
        <v>0</v>
      </c>
      <c r="O627" t="n">
        <v>0</v>
      </c>
      <c r="P627" t="n">
        <v>0</v>
      </c>
      <c r="Q627" t="n">
        <v>0</v>
      </c>
      <c r="R627" s="2" t="inlineStr"/>
    </row>
    <row r="628" ht="15" customHeight="1">
      <c r="A628" t="inlineStr">
        <is>
          <t>A 9624-2024</t>
        </is>
      </c>
      <c r="B628" s="1" t="n">
        <v>45361.90282407407</v>
      </c>
      <c r="C628" s="1" t="n">
        <v>46086</v>
      </c>
      <c r="D628" t="inlineStr">
        <is>
          <t>KALMAR LÄN</t>
        </is>
      </c>
      <c r="E628" t="inlineStr">
        <is>
          <t>VIMMERBY</t>
        </is>
      </c>
      <c r="G628" t="n">
        <v>3.8</v>
      </c>
      <c r="H628" t="n">
        <v>0</v>
      </c>
      <c r="I628" t="n">
        <v>0</v>
      </c>
      <c r="J628" t="n">
        <v>0</v>
      </c>
      <c r="K628" t="n">
        <v>0</v>
      </c>
      <c r="L628" t="n">
        <v>0</v>
      </c>
      <c r="M628" t="n">
        <v>0</v>
      </c>
      <c r="N628" t="n">
        <v>0</v>
      </c>
      <c r="O628" t="n">
        <v>0</v>
      </c>
      <c r="P628" t="n">
        <v>0</v>
      </c>
      <c r="Q628" t="n">
        <v>0</v>
      </c>
      <c r="R628" s="2" t="inlineStr"/>
    </row>
    <row r="629" ht="15" customHeight="1">
      <c r="A629" t="inlineStr">
        <is>
          <t>A 3938-2023</t>
        </is>
      </c>
      <c r="B629" s="1" t="n">
        <v>44952.35775462963</v>
      </c>
      <c r="C629" s="1" t="n">
        <v>46086</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39053-2024</t>
        </is>
      </c>
      <c r="B630" s="1" t="n">
        <v>45548</v>
      </c>
      <c r="C630" s="1" t="n">
        <v>46086</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14451-2024</t>
        </is>
      </c>
      <c r="B631" s="1" t="n">
        <v>45394.50028935185</v>
      </c>
      <c r="C631" s="1" t="n">
        <v>46086</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34205-2023</t>
        </is>
      </c>
      <c r="B632" s="1" t="n">
        <v>45138</v>
      </c>
      <c r="C632" s="1" t="n">
        <v>46086</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3268-2024</t>
        </is>
      </c>
      <c r="B633" s="1" t="n">
        <v>45317</v>
      </c>
      <c r="C633" s="1" t="n">
        <v>46086</v>
      </c>
      <c r="D633" t="inlineStr">
        <is>
          <t>KALMAR LÄN</t>
        </is>
      </c>
      <c r="E633" t="inlineStr">
        <is>
          <t>VIMMERBY</t>
        </is>
      </c>
      <c r="F633" t="inlineStr">
        <is>
          <t>Övriga Aktiebolag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12819-2024</t>
        </is>
      </c>
      <c r="B634" s="1" t="n">
        <v>45384.66917824074</v>
      </c>
      <c r="C634" s="1" t="n">
        <v>46086</v>
      </c>
      <c r="D634" t="inlineStr">
        <is>
          <t>KALMAR LÄN</t>
        </is>
      </c>
      <c r="E634" t="inlineStr">
        <is>
          <t>VIMMERBY</t>
        </is>
      </c>
      <c r="G634" t="n">
        <v>5.1</v>
      </c>
      <c r="H634" t="n">
        <v>0</v>
      </c>
      <c r="I634" t="n">
        <v>0</v>
      </c>
      <c r="J634" t="n">
        <v>0</v>
      </c>
      <c r="K634" t="n">
        <v>0</v>
      </c>
      <c r="L634" t="n">
        <v>0</v>
      </c>
      <c r="M634" t="n">
        <v>0</v>
      </c>
      <c r="N634" t="n">
        <v>0</v>
      </c>
      <c r="O634" t="n">
        <v>0</v>
      </c>
      <c r="P634" t="n">
        <v>0</v>
      </c>
      <c r="Q634" t="n">
        <v>0</v>
      </c>
      <c r="R634" s="2" t="inlineStr"/>
    </row>
    <row r="635" ht="15" customHeight="1">
      <c r="A635" t="inlineStr">
        <is>
          <t>A 61726-2025</t>
        </is>
      </c>
      <c r="B635" s="1" t="n">
        <v>46002.58822916666</v>
      </c>
      <c r="C635" s="1" t="n">
        <v>46086</v>
      </c>
      <c r="D635" t="inlineStr">
        <is>
          <t>KALMAR LÄN</t>
        </is>
      </c>
      <c r="E635" t="inlineStr">
        <is>
          <t>VIMMERBY</t>
        </is>
      </c>
      <c r="F635" t="inlineStr">
        <is>
          <t>Sveaskog</t>
        </is>
      </c>
      <c r="G635" t="n">
        <v>0.2</v>
      </c>
      <c r="H635" t="n">
        <v>0</v>
      </c>
      <c r="I635" t="n">
        <v>0</v>
      </c>
      <c r="J635" t="n">
        <v>0</v>
      </c>
      <c r="K635" t="n">
        <v>0</v>
      </c>
      <c r="L635" t="n">
        <v>0</v>
      </c>
      <c r="M635" t="n">
        <v>0</v>
      </c>
      <c r="N635" t="n">
        <v>0</v>
      </c>
      <c r="O635" t="n">
        <v>0</v>
      </c>
      <c r="P635" t="n">
        <v>0</v>
      </c>
      <c r="Q635" t="n">
        <v>0</v>
      </c>
      <c r="R635" s="2" t="inlineStr"/>
    </row>
    <row r="636" ht="15" customHeight="1">
      <c r="A636" t="inlineStr">
        <is>
          <t>A 6214-2025</t>
        </is>
      </c>
      <c r="B636" s="1" t="n">
        <v>45698.51711805556</v>
      </c>
      <c r="C636" s="1" t="n">
        <v>46086</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32569-2024</t>
        </is>
      </c>
      <c r="B637" s="1" t="n">
        <v>45513.55840277778</v>
      </c>
      <c r="C637" s="1" t="n">
        <v>46086</v>
      </c>
      <c r="D637" t="inlineStr">
        <is>
          <t>KALMAR LÄN</t>
        </is>
      </c>
      <c r="E637" t="inlineStr">
        <is>
          <t>VIMMERBY</t>
        </is>
      </c>
      <c r="G637" t="n">
        <v>3.7</v>
      </c>
      <c r="H637" t="n">
        <v>0</v>
      </c>
      <c r="I637" t="n">
        <v>0</v>
      </c>
      <c r="J637" t="n">
        <v>0</v>
      </c>
      <c r="K637" t="n">
        <v>0</v>
      </c>
      <c r="L637" t="n">
        <v>0</v>
      </c>
      <c r="M637" t="n">
        <v>0</v>
      </c>
      <c r="N637" t="n">
        <v>0</v>
      </c>
      <c r="O637" t="n">
        <v>0</v>
      </c>
      <c r="P637" t="n">
        <v>0</v>
      </c>
      <c r="Q637" t="n">
        <v>0</v>
      </c>
      <c r="R637" s="2" t="inlineStr"/>
    </row>
    <row r="638" ht="15" customHeight="1">
      <c r="A638" t="inlineStr">
        <is>
          <t>A 32575-2024</t>
        </is>
      </c>
      <c r="B638" s="1" t="n">
        <v>45513.56527777778</v>
      </c>
      <c r="C638" s="1" t="n">
        <v>46086</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59300-2024</t>
        </is>
      </c>
      <c r="B639" s="1" t="n">
        <v>45637.66542824074</v>
      </c>
      <c r="C639" s="1" t="n">
        <v>46086</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59768-2024</t>
        </is>
      </c>
      <c r="B640" s="1" t="n">
        <v>45639.56185185185</v>
      </c>
      <c r="C640" s="1" t="n">
        <v>46086</v>
      </c>
      <c r="D640" t="inlineStr">
        <is>
          <t>KALMAR LÄN</t>
        </is>
      </c>
      <c r="E640" t="inlineStr">
        <is>
          <t>VIMMERBY</t>
        </is>
      </c>
      <c r="G640" t="n">
        <v>5.9</v>
      </c>
      <c r="H640" t="n">
        <v>0</v>
      </c>
      <c r="I640" t="n">
        <v>0</v>
      </c>
      <c r="J640" t="n">
        <v>0</v>
      </c>
      <c r="K640" t="n">
        <v>0</v>
      </c>
      <c r="L640" t="n">
        <v>0</v>
      </c>
      <c r="M640" t="n">
        <v>0</v>
      </c>
      <c r="N640" t="n">
        <v>0</v>
      </c>
      <c r="O640" t="n">
        <v>0</v>
      </c>
      <c r="P640" t="n">
        <v>0</v>
      </c>
      <c r="Q640" t="n">
        <v>0</v>
      </c>
      <c r="R640" s="2" t="inlineStr"/>
    </row>
    <row r="641" ht="15" customHeight="1">
      <c r="A641" t="inlineStr">
        <is>
          <t>A 36526-2023</t>
        </is>
      </c>
      <c r="B641" s="1" t="n">
        <v>45153.32778935185</v>
      </c>
      <c r="C641" s="1" t="n">
        <v>46086</v>
      </c>
      <c r="D641" t="inlineStr">
        <is>
          <t>KALMAR LÄN</t>
        </is>
      </c>
      <c r="E641" t="inlineStr">
        <is>
          <t>VIMMERBY</t>
        </is>
      </c>
      <c r="G641" t="n">
        <v>2.7</v>
      </c>
      <c r="H641" t="n">
        <v>0</v>
      </c>
      <c r="I641" t="n">
        <v>0</v>
      </c>
      <c r="J641" t="n">
        <v>0</v>
      </c>
      <c r="K641" t="n">
        <v>0</v>
      </c>
      <c r="L641" t="n">
        <v>0</v>
      </c>
      <c r="M641" t="n">
        <v>0</v>
      </c>
      <c r="N641" t="n">
        <v>0</v>
      </c>
      <c r="O641" t="n">
        <v>0</v>
      </c>
      <c r="P641" t="n">
        <v>0</v>
      </c>
      <c r="Q641" t="n">
        <v>0</v>
      </c>
      <c r="R641" s="2" t="inlineStr"/>
    </row>
    <row r="642" ht="15" customHeight="1">
      <c r="A642" t="inlineStr">
        <is>
          <t>A 58728-2024</t>
        </is>
      </c>
      <c r="B642" s="1" t="n">
        <v>45635.66695601852</v>
      </c>
      <c r="C642" s="1" t="n">
        <v>46086</v>
      </c>
      <c r="D642" t="inlineStr">
        <is>
          <t>KALMAR LÄN</t>
        </is>
      </c>
      <c r="E642" t="inlineStr">
        <is>
          <t>VIMMERBY</t>
        </is>
      </c>
      <c r="G642" t="n">
        <v>0.4</v>
      </c>
      <c r="H642" t="n">
        <v>0</v>
      </c>
      <c r="I642" t="n">
        <v>0</v>
      </c>
      <c r="J642" t="n">
        <v>0</v>
      </c>
      <c r="K642" t="n">
        <v>0</v>
      </c>
      <c r="L642" t="n">
        <v>0</v>
      </c>
      <c r="M642" t="n">
        <v>0</v>
      </c>
      <c r="N642" t="n">
        <v>0</v>
      </c>
      <c r="O642" t="n">
        <v>0</v>
      </c>
      <c r="P642" t="n">
        <v>0</v>
      </c>
      <c r="Q642" t="n">
        <v>0</v>
      </c>
      <c r="R642" s="2" t="inlineStr"/>
    </row>
    <row r="643" ht="15" customHeight="1">
      <c r="A643" t="inlineStr">
        <is>
          <t>A 49474-2023</t>
        </is>
      </c>
      <c r="B643" s="1" t="n">
        <v>45211.541875</v>
      </c>
      <c r="C643" s="1" t="n">
        <v>46086</v>
      </c>
      <c r="D643" t="inlineStr">
        <is>
          <t>KALMAR LÄN</t>
        </is>
      </c>
      <c r="E643" t="inlineStr">
        <is>
          <t>VIMMERBY</t>
        </is>
      </c>
      <c r="G643" t="n">
        <v>3.6</v>
      </c>
      <c r="H643" t="n">
        <v>0</v>
      </c>
      <c r="I643" t="n">
        <v>0</v>
      </c>
      <c r="J643" t="n">
        <v>0</v>
      </c>
      <c r="K643" t="n">
        <v>0</v>
      </c>
      <c r="L643" t="n">
        <v>0</v>
      </c>
      <c r="M643" t="n">
        <v>0</v>
      </c>
      <c r="N643" t="n">
        <v>0</v>
      </c>
      <c r="O643" t="n">
        <v>0</v>
      </c>
      <c r="P643" t="n">
        <v>0</v>
      </c>
      <c r="Q643" t="n">
        <v>0</v>
      </c>
      <c r="R643" s="2" t="inlineStr"/>
    </row>
    <row r="644" ht="15" customHeight="1">
      <c r="A644" t="inlineStr">
        <is>
          <t>A 57682-2022</t>
        </is>
      </c>
      <c r="B644" s="1" t="n">
        <v>44890</v>
      </c>
      <c r="C644" s="1" t="n">
        <v>46086</v>
      </c>
      <c r="D644" t="inlineStr">
        <is>
          <t>KALMAR LÄN</t>
        </is>
      </c>
      <c r="E644" t="inlineStr">
        <is>
          <t>VIMMERBY</t>
        </is>
      </c>
      <c r="G644" t="n">
        <v>1.5</v>
      </c>
      <c r="H644" t="n">
        <v>0</v>
      </c>
      <c r="I644" t="n">
        <v>0</v>
      </c>
      <c r="J644" t="n">
        <v>0</v>
      </c>
      <c r="K644" t="n">
        <v>0</v>
      </c>
      <c r="L644" t="n">
        <v>0</v>
      </c>
      <c r="M644" t="n">
        <v>0</v>
      </c>
      <c r="N644" t="n">
        <v>0</v>
      </c>
      <c r="O644" t="n">
        <v>0</v>
      </c>
      <c r="P644" t="n">
        <v>0</v>
      </c>
      <c r="Q644" t="n">
        <v>0</v>
      </c>
      <c r="R644" s="2" t="inlineStr"/>
    </row>
    <row r="645" ht="15" customHeight="1">
      <c r="A645" t="inlineStr">
        <is>
          <t>A 14220-2021</t>
        </is>
      </c>
      <c r="B645" s="1" t="n">
        <v>44278.54855324074</v>
      </c>
      <c r="C645" s="1" t="n">
        <v>46086</v>
      </c>
      <c r="D645" t="inlineStr">
        <is>
          <t>KALMAR LÄN</t>
        </is>
      </c>
      <c r="E645" t="inlineStr">
        <is>
          <t>VIMMERBY</t>
        </is>
      </c>
      <c r="G645" t="n">
        <v>0.3</v>
      </c>
      <c r="H645" t="n">
        <v>0</v>
      </c>
      <c r="I645" t="n">
        <v>0</v>
      </c>
      <c r="J645" t="n">
        <v>0</v>
      </c>
      <c r="K645" t="n">
        <v>0</v>
      </c>
      <c r="L645" t="n">
        <v>0</v>
      </c>
      <c r="M645" t="n">
        <v>0</v>
      </c>
      <c r="N645" t="n">
        <v>0</v>
      </c>
      <c r="O645" t="n">
        <v>0</v>
      </c>
      <c r="P645" t="n">
        <v>0</v>
      </c>
      <c r="Q645" t="n">
        <v>0</v>
      </c>
      <c r="R645" s="2" t="inlineStr"/>
    </row>
    <row r="646" ht="15" customHeight="1">
      <c r="A646" t="inlineStr">
        <is>
          <t>A 63950-2023</t>
        </is>
      </c>
      <c r="B646" s="1" t="n">
        <v>45278</v>
      </c>
      <c r="C646" s="1" t="n">
        <v>46086</v>
      </c>
      <c r="D646" t="inlineStr">
        <is>
          <t>KALMAR LÄN</t>
        </is>
      </c>
      <c r="E646" t="inlineStr">
        <is>
          <t>VIMMERBY</t>
        </is>
      </c>
      <c r="F646" t="inlineStr">
        <is>
          <t>Kyrkan</t>
        </is>
      </c>
      <c r="G646" t="n">
        <v>2.7</v>
      </c>
      <c r="H646" t="n">
        <v>0</v>
      </c>
      <c r="I646" t="n">
        <v>0</v>
      </c>
      <c r="J646" t="n">
        <v>0</v>
      </c>
      <c r="K646" t="n">
        <v>0</v>
      </c>
      <c r="L646" t="n">
        <v>0</v>
      </c>
      <c r="M646" t="n">
        <v>0</v>
      </c>
      <c r="N646" t="n">
        <v>0</v>
      </c>
      <c r="O646" t="n">
        <v>0</v>
      </c>
      <c r="P646" t="n">
        <v>0</v>
      </c>
      <c r="Q646" t="n">
        <v>0</v>
      </c>
      <c r="R646" s="2" t="inlineStr"/>
    </row>
    <row r="647" ht="15" customHeight="1">
      <c r="A647" t="inlineStr">
        <is>
          <t>A 16516-2023</t>
        </is>
      </c>
      <c r="B647" s="1" t="n">
        <v>45029</v>
      </c>
      <c r="C647" s="1" t="n">
        <v>46086</v>
      </c>
      <c r="D647" t="inlineStr">
        <is>
          <t>KALMAR LÄN</t>
        </is>
      </c>
      <c r="E647" t="inlineStr">
        <is>
          <t>VIMMERBY</t>
        </is>
      </c>
      <c r="G647" t="n">
        <v>4.3</v>
      </c>
      <c r="H647" t="n">
        <v>0</v>
      </c>
      <c r="I647" t="n">
        <v>0</v>
      </c>
      <c r="J647" t="n">
        <v>0</v>
      </c>
      <c r="K647" t="n">
        <v>0</v>
      </c>
      <c r="L647" t="n">
        <v>0</v>
      </c>
      <c r="M647" t="n">
        <v>0</v>
      </c>
      <c r="N647" t="n">
        <v>0</v>
      </c>
      <c r="O647" t="n">
        <v>0</v>
      </c>
      <c r="P647" t="n">
        <v>0</v>
      </c>
      <c r="Q647" t="n">
        <v>0</v>
      </c>
      <c r="R647" s="2" t="inlineStr"/>
    </row>
    <row r="648" ht="15" customHeight="1">
      <c r="A648" t="inlineStr">
        <is>
          <t>A 47842-2024</t>
        </is>
      </c>
      <c r="B648" s="1" t="n">
        <v>45588.65545138889</v>
      </c>
      <c r="C648" s="1" t="n">
        <v>46086</v>
      </c>
      <c r="D648" t="inlineStr">
        <is>
          <t>KALMAR LÄN</t>
        </is>
      </c>
      <c r="E648" t="inlineStr">
        <is>
          <t>VIMMERBY</t>
        </is>
      </c>
      <c r="G648" t="n">
        <v>2.4</v>
      </c>
      <c r="H648" t="n">
        <v>0</v>
      </c>
      <c r="I648" t="n">
        <v>0</v>
      </c>
      <c r="J648" t="n">
        <v>0</v>
      </c>
      <c r="K648" t="n">
        <v>0</v>
      </c>
      <c r="L648" t="n">
        <v>0</v>
      </c>
      <c r="M648" t="n">
        <v>0</v>
      </c>
      <c r="N648" t="n">
        <v>0</v>
      </c>
      <c r="O648" t="n">
        <v>0</v>
      </c>
      <c r="P648" t="n">
        <v>0</v>
      </c>
      <c r="Q648" t="n">
        <v>0</v>
      </c>
      <c r="R648" s="2" t="inlineStr"/>
    </row>
    <row r="649" ht="15" customHeight="1">
      <c r="A649" t="inlineStr">
        <is>
          <t>A 6408-2025</t>
        </is>
      </c>
      <c r="B649" s="1" t="n">
        <v>45699.45671296296</v>
      </c>
      <c r="C649" s="1" t="n">
        <v>46086</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25109-2023</t>
        </is>
      </c>
      <c r="B650" s="1" t="n">
        <v>45086</v>
      </c>
      <c r="C650" s="1" t="n">
        <v>46086</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33380-2023</t>
        </is>
      </c>
      <c r="B651" s="1" t="n">
        <v>45128</v>
      </c>
      <c r="C651" s="1" t="n">
        <v>46086</v>
      </c>
      <c r="D651" t="inlineStr">
        <is>
          <t>KALMAR LÄN</t>
        </is>
      </c>
      <c r="E651" t="inlineStr">
        <is>
          <t>VIMMERBY</t>
        </is>
      </c>
      <c r="G651" t="n">
        <v>5.2</v>
      </c>
      <c r="H651" t="n">
        <v>0</v>
      </c>
      <c r="I651" t="n">
        <v>0</v>
      </c>
      <c r="J651" t="n">
        <v>0</v>
      </c>
      <c r="K651" t="n">
        <v>0</v>
      </c>
      <c r="L651" t="n">
        <v>0</v>
      </c>
      <c r="M651" t="n">
        <v>0</v>
      </c>
      <c r="N651" t="n">
        <v>0</v>
      </c>
      <c r="O651" t="n">
        <v>0</v>
      </c>
      <c r="P651" t="n">
        <v>0</v>
      </c>
      <c r="Q651" t="n">
        <v>0</v>
      </c>
      <c r="R651" s="2" t="inlineStr"/>
    </row>
    <row r="652" ht="15" customHeight="1">
      <c r="A652" t="inlineStr">
        <is>
          <t>A 32639-2023</t>
        </is>
      </c>
      <c r="B652" s="1" t="n">
        <v>45121.5965162037</v>
      </c>
      <c r="C652" s="1" t="n">
        <v>46086</v>
      </c>
      <c r="D652" t="inlineStr">
        <is>
          <t>KALMAR LÄN</t>
        </is>
      </c>
      <c r="E652" t="inlineStr">
        <is>
          <t>VIMMERBY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32642-2023</t>
        </is>
      </c>
      <c r="B653" s="1" t="n">
        <v>45121.59954861111</v>
      </c>
      <c r="C653" s="1" t="n">
        <v>46086</v>
      </c>
      <c r="D653" t="inlineStr">
        <is>
          <t>KALMAR LÄN</t>
        </is>
      </c>
      <c r="E653" t="inlineStr">
        <is>
          <t>VIMMERBY</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32651-2023</t>
        </is>
      </c>
      <c r="B654" s="1" t="n">
        <v>45121.6096875</v>
      </c>
      <c r="C654" s="1" t="n">
        <v>46086</v>
      </c>
      <c r="D654" t="inlineStr">
        <is>
          <t>KALMAR LÄN</t>
        </is>
      </c>
      <c r="E654" t="inlineStr">
        <is>
          <t>VIMMERBY</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11928-2022</t>
        </is>
      </c>
      <c r="B655" s="1" t="n">
        <v>44635</v>
      </c>
      <c r="C655" s="1" t="n">
        <v>46086</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6817-2026</t>
        </is>
      </c>
      <c r="B656" s="1" t="n">
        <v>46057.38412037037</v>
      </c>
      <c r="C656" s="1" t="n">
        <v>46086</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7068-2024</t>
        </is>
      </c>
      <c r="B657" s="1" t="n">
        <v>45343.68038194445</v>
      </c>
      <c r="C657" s="1" t="n">
        <v>46086</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63711-2025</t>
        </is>
      </c>
      <c r="B658" s="1" t="n">
        <v>46014.62724537037</v>
      </c>
      <c r="C658" s="1" t="n">
        <v>46086</v>
      </c>
      <c r="D658" t="inlineStr">
        <is>
          <t>KALMAR LÄN</t>
        </is>
      </c>
      <c r="E658" t="inlineStr">
        <is>
          <t>VIMMERBY</t>
        </is>
      </c>
      <c r="G658" t="n">
        <v>2.1</v>
      </c>
      <c r="H658" t="n">
        <v>0</v>
      </c>
      <c r="I658" t="n">
        <v>0</v>
      </c>
      <c r="J658" t="n">
        <v>0</v>
      </c>
      <c r="K658" t="n">
        <v>0</v>
      </c>
      <c r="L658" t="n">
        <v>0</v>
      </c>
      <c r="M658" t="n">
        <v>0</v>
      </c>
      <c r="N658" t="n">
        <v>0</v>
      </c>
      <c r="O658" t="n">
        <v>0</v>
      </c>
      <c r="P658" t="n">
        <v>0</v>
      </c>
      <c r="Q658" t="n">
        <v>0</v>
      </c>
      <c r="R658" s="2" t="inlineStr"/>
    </row>
    <row r="659" ht="15" customHeight="1">
      <c r="A659" t="inlineStr">
        <is>
          <t>A 46234-2024</t>
        </is>
      </c>
      <c r="B659" s="1" t="n">
        <v>45581.57958333333</v>
      </c>
      <c r="C659" s="1" t="n">
        <v>46086</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37187-2024</t>
        </is>
      </c>
      <c r="B660" s="1" t="n">
        <v>45539.65212962963</v>
      </c>
      <c r="C660" s="1" t="n">
        <v>46086</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1021-2024</t>
        </is>
      </c>
      <c r="B661" s="1" t="n">
        <v>45301.67736111111</v>
      </c>
      <c r="C661" s="1" t="n">
        <v>46086</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7040-2026</t>
        </is>
      </c>
      <c r="B662" s="1" t="n">
        <v>46057.69520833333</v>
      </c>
      <c r="C662" s="1" t="n">
        <v>46086</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61937-2025</t>
        </is>
      </c>
      <c r="B663" s="1" t="n">
        <v>46003</v>
      </c>
      <c r="C663" s="1" t="n">
        <v>46086</v>
      </c>
      <c r="D663" t="inlineStr">
        <is>
          <t>KALMAR LÄN</t>
        </is>
      </c>
      <c r="E663" t="inlineStr">
        <is>
          <t>VIMMERBY</t>
        </is>
      </c>
      <c r="G663" t="n">
        <v>3.4</v>
      </c>
      <c r="H663" t="n">
        <v>0</v>
      </c>
      <c r="I663" t="n">
        <v>0</v>
      </c>
      <c r="J663" t="n">
        <v>0</v>
      </c>
      <c r="K663" t="n">
        <v>0</v>
      </c>
      <c r="L663" t="n">
        <v>0</v>
      </c>
      <c r="M663" t="n">
        <v>0</v>
      </c>
      <c r="N663" t="n">
        <v>0</v>
      </c>
      <c r="O663" t="n">
        <v>0</v>
      </c>
      <c r="P663" t="n">
        <v>0</v>
      </c>
      <c r="Q663" t="n">
        <v>0</v>
      </c>
      <c r="R663" s="2" t="inlineStr"/>
    </row>
    <row r="664" ht="15" customHeight="1">
      <c r="A664" t="inlineStr">
        <is>
          <t>A 72701-2021</t>
        </is>
      </c>
      <c r="B664" s="1" t="n">
        <v>44546</v>
      </c>
      <c r="C664" s="1" t="n">
        <v>46086</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19111-2025</t>
        </is>
      </c>
      <c r="B665" s="1" t="n">
        <v>45768.65611111111</v>
      </c>
      <c r="C665" s="1" t="n">
        <v>46086</v>
      </c>
      <c r="D665" t="inlineStr">
        <is>
          <t>KALMAR LÄN</t>
        </is>
      </c>
      <c r="E665" t="inlineStr">
        <is>
          <t>VIMMERBY</t>
        </is>
      </c>
      <c r="G665" t="n">
        <v>6.2</v>
      </c>
      <c r="H665" t="n">
        <v>0</v>
      </c>
      <c r="I665" t="n">
        <v>0</v>
      </c>
      <c r="J665" t="n">
        <v>0</v>
      </c>
      <c r="K665" t="n">
        <v>0</v>
      </c>
      <c r="L665" t="n">
        <v>0</v>
      </c>
      <c r="M665" t="n">
        <v>0</v>
      </c>
      <c r="N665" t="n">
        <v>0</v>
      </c>
      <c r="O665" t="n">
        <v>0</v>
      </c>
      <c r="P665" t="n">
        <v>0</v>
      </c>
      <c r="Q665" t="n">
        <v>0</v>
      </c>
      <c r="R665" s="2" t="inlineStr"/>
    </row>
    <row r="666" ht="15" customHeight="1">
      <c r="A666" t="inlineStr">
        <is>
          <t>A 33374-2021</t>
        </is>
      </c>
      <c r="B666" s="1" t="n">
        <v>44377</v>
      </c>
      <c r="C666" s="1" t="n">
        <v>46086</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10807-2024</t>
        </is>
      </c>
      <c r="B667" s="1" t="n">
        <v>45369.62780092593</v>
      </c>
      <c r="C667" s="1" t="n">
        <v>46086</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33359-2021</t>
        </is>
      </c>
      <c r="B668" s="1" t="n">
        <v>44377.49684027778</v>
      </c>
      <c r="C668" s="1" t="n">
        <v>46086</v>
      </c>
      <c r="D668" t="inlineStr">
        <is>
          <t>KALMAR LÄN</t>
        </is>
      </c>
      <c r="E668" t="inlineStr">
        <is>
          <t>VIMMERBY</t>
        </is>
      </c>
      <c r="F668" t="inlineStr">
        <is>
          <t>Kommuner</t>
        </is>
      </c>
      <c r="G668" t="n">
        <v>8</v>
      </c>
      <c r="H668" t="n">
        <v>0</v>
      </c>
      <c r="I668" t="n">
        <v>0</v>
      </c>
      <c r="J668" t="n">
        <v>0</v>
      </c>
      <c r="K668" t="n">
        <v>0</v>
      </c>
      <c r="L668" t="n">
        <v>0</v>
      </c>
      <c r="M668" t="n">
        <v>0</v>
      </c>
      <c r="N668" t="n">
        <v>0</v>
      </c>
      <c r="O668" t="n">
        <v>0</v>
      </c>
      <c r="P668" t="n">
        <v>0</v>
      </c>
      <c r="Q668" t="n">
        <v>0</v>
      </c>
      <c r="R668" s="2" t="inlineStr"/>
    </row>
    <row r="669" ht="15" customHeight="1">
      <c r="A669" t="inlineStr">
        <is>
          <t>A 34588-2024</t>
        </is>
      </c>
      <c r="B669" s="1" t="n">
        <v>45526.3865625</v>
      </c>
      <c r="C669" s="1" t="n">
        <v>46086</v>
      </c>
      <c r="D669" t="inlineStr">
        <is>
          <t>KALMAR LÄN</t>
        </is>
      </c>
      <c r="E669" t="inlineStr">
        <is>
          <t>VIMMERBY</t>
        </is>
      </c>
      <c r="F669" t="inlineStr">
        <is>
          <t>Övriga Aktiebolag</t>
        </is>
      </c>
      <c r="G669" t="n">
        <v>3.3</v>
      </c>
      <c r="H669" t="n">
        <v>0</v>
      </c>
      <c r="I669" t="n">
        <v>0</v>
      </c>
      <c r="J669" t="n">
        <v>0</v>
      </c>
      <c r="K669" t="n">
        <v>0</v>
      </c>
      <c r="L669" t="n">
        <v>0</v>
      </c>
      <c r="M669" t="n">
        <v>0</v>
      </c>
      <c r="N669" t="n">
        <v>0</v>
      </c>
      <c r="O669" t="n">
        <v>0</v>
      </c>
      <c r="P669" t="n">
        <v>0</v>
      </c>
      <c r="Q669" t="n">
        <v>0</v>
      </c>
      <c r="R669" s="2" t="inlineStr"/>
    </row>
    <row r="670" ht="15" customHeight="1">
      <c r="A670" t="inlineStr">
        <is>
          <t>A 17084-2025</t>
        </is>
      </c>
      <c r="B670" s="1" t="n">
        <v>45755.64450231481</v>
      </c>
      <c r="C670" s="1" t="n">
        <v>46086</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33161-2024</t>
        </is>
      </c>
      <c r="B671" s="1" t="n">
        <v>45518.40657407408</v>
      </c>
      <c r="C671" s="1" t="n">
        <v>46086</v>
      </c>
      <c r="D671" t="inlineStr">
        <is>
          <t>KALMAR LÄN</t>
        </is>
      </c>
      <c r="E671" t="inlineStr">
        <is>
          <t>VIMMERBY</t>
        </is>
      </c>
      <c r="G671" t="n">
        <v>4.7</v>
      </c>
      <c r="H671" t="n">
        <v>0</v>
      </c>
      <c r="I671" t="n">
        <v>0</v>
      </c>
      <c r="J671" t="n">
        <v>0</v>
      </c>
      <c r="K671" t="n">
        <v>0</v>
      </c>
      <c r="L671" t="n">
        <v>0</v>
      </c>
      <c r="M671" t="n">
        <v>0</v>
      </c>
      <c r="N671" t="n">
        <v>0</v>
      </c>
      <c r="O671" t="n">
        <v>0</v>
      </c>
      <c r="P671" t="n">
        <v>0</v>
      </c>
      <c r="Q671" t="n">
        <v>0</v>
      </c>
      <c r="R671" s="2" t="inlineStr"/>
    </row>
    <row r="672" ht="15" customHeight="1">
      <c r="A672" t="inlineStr">
        <is>
          <t>A 63762-2025</t>
        </is>
      </c>
      <c r="B672" s="1" t="n">
        <v>46018.67197916667</v>
      </c>
      <c r="C672" s="1" t="n">
        <v>46086</v>
      </c>
      <c r="D672" t="inlineStr">
        <is>
          <t>KALMAR LÄN</t>
        </is>
      </c>
      <c r="E672" t="inlineStr">
        <is>
          <t>VIMMERBY</t>
        </is>
      </c>
      <c r="G672" t="n">
        <v>2.5</v>
      </c>
      <c r="H672" t="n">
        <v>0</v>
      </c>
      <c r="I672" t="n">
        <v>0</v>
      </c>
      <c r="J672" t="n">
        <v>0</v>
      </c>
      <c r="K672" t="n">
        <v>0</v>
      </c>
      <c r="L672" t="n">
        <v>0</v>
      </c>
      <c r="M672" t="n">
        <v>0</v>
      </c>
      <c r="N672" t="n">
        <v>0</v>
      </c>
      <c r="O672" t="n">
        <v>0</v>
      </c>
      <c r="P672" t="n">
        <v>0</v>
      </c>
      <c r="Q672" t="n">
        <v>0</v>
      </c>
      <c r="R672" s="2" t="inlineStr"/>
    </row>
    <row r="673" ht="15" customHeight="1">
      <c r="A673" t="inlineStr">
        <is>
          <t>A 63758-2025</t>
        </is>
      </c>
      <c r="B673" s="1" t="n">
        <v>46018.46483796297</v>
      </c>
      <c r="C673" s="1" t="n">
        <v>46086</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63845-2025</t>
        </is>
      </c>
      <c r="B674" s="1" t="n">
        <v>46020.43715277778</v>
      </c>
      <c r="C674" s="1" t="n">
        <v>46086</v>
      </c>
      <c r="D674" t="inlineStr">
        <is>
          <t>KALMAR LÄN</t>
        </is>
      </c>
      <c r="E674" t="inlineStr">
        <is>
          <t>VIMMERBY</t>
        </is>
      </c>
      <c r="G674" t="n">
        <v>3.8</v>
      </c>
      <c r="H674" t="n">
        <v>0</v>
      </c>
      <c r="I674" t="n">
        <v>0</v>
      </c>
      <c r="J674" t="n">
        <v>0</v>
      </c>
      <c r="K674" t="n">
        <v>0</v>
      </c>
      <c r="L674" t="n">
        <v>0</v>
      </c>
      <c r="M674" t="n">
        <v>0</v>
      </c>
      <c r="N674" t="n">
        <v>0</v>
      </c>
      <c r="O674" t="n">
        <v>0</v>
      </c>
      <c r="P674" t="n">
        <v>0</v>
      </c>
      <c r="Q674" t="n">
        <v>0</v>
      </c>
      <c r="R674" s="2" t="inlineStr"/>
    </row>
    <row r="675" ht="15" customHeight="1">
      <c r="A675" t="inlineStr">
        <is>
          <t>A 63848-2025</t>
        </is>
      </c>
      <c r="B675" s="1" t="n">
        <v>46020.44902777778</v>
      </c>
      <c r="C675" s="1" t="n">
        <v>46086</v>
      </c>
      <c r="D675" t="inlineStr">
        <is>
          <t>KALMAR LÄN</t>
        </is>
      </c>
      <c r="E675" t="inlineStr">
        <is>
          <t>VIMMERBY</t>
        </is>
      </c>
      <c r="G675" t="n">
        <v>3.4</v>
      </c>
      <c r="H675" t="n">
        <v>0</v>
      </c>
      <c r="I675" t="n">
        <v>0</v>
      </c>
      <c r="J675" t="n">
        <v>0</v>
      </c>
      <c r="K675" t="n">
        <v>0</v>
      </c>
      <c r="L675" t="n">
        <v>0</v>
      </c>
      <c r="M675" t="n">
        <v>0</v>
      </c>
      <c r="N675" t="n">
        <v>0</v>
      </c>
      <c r="O675" t="n">
        <v>0</v>
      </c>
      <c r="P675" t="n">
        <v>0</v>
      </c>
      <c r="Q675" t="n">
        <v>0</v>
      </c>
      <c r="R675" s="2" t="inlineStr"/>
    </row>
    <row r="676" ht="15" customHeight="1">
      <c r="A676" t="inlineStr">
        <is>
          <t>A 14359-2025</t>
        </is>
      </c>
      <c r="B676" s="1" t="n">
        <v>45741.37270833334</v>
      </c>
      <c r="C676" s="1" t="n">
        <v>46086</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63839-2025</t>
        </is>
      </c>
      <c r="B677" s="1" t="n">
        <v>46020.41998842593</v>
      </c>
      <c r="C677" s="1" t="n">
        <v>46086</v>
      </c>
      <c r="D677" t="inlineStr">
        <is>
          <t>KALMAR LÄN</t>
        </is>
      </c>
      <c r="E677" t="inlineStr">
        <is>
          <t>VIMMERBY</t>
        </is>
      </c>
      <c r="G677" t="n">
        <v>2.9</v>
      </c>
      <c r="H677" t="n">
        <v>0</v>
      </c>
      <c r="I677" t="n">
        <v>0</v>
      </c>
      <c r="J677" t="n">
        <v>0</v>
      </c>
      <c r="K677" t="n">
        <v>0</v>
      </c>
      <c r="L677" t="n">
        <v>0</v>
      </c>
      <c r="M677" t="n">
        <v>0</v>
      </c>
      <c r="N677" t="n">
        <v>0</v>
      </c>
      <c r="O677" t="n">
        <v>0</v>
      </c>
      <c r="P677" t="n">
        <v>0</v>
      </c>
      <c r="Q677" t="n">
        <v>0</v>
      </c>
      <c r="R677" s="2" t="inlineStr"/>
    </row>
    <row r="678" ht="15" customHeight="1">
      <c r="A678" t="inlineStr">
        <is>
          <t>A 55605-2024</t>
        </is>
      </c>
      <c r="B678" s="1" t="n">
        <v>45622</v>
      </c>
      <c r="C678" s="1" t="n">
        <v>46086</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44464-2024</t>
        </is>
      </c>
      <c r="B679" s="1" t="n">
        <v>45574.35809027778</v>
      </c>
      <c r="C679" s="1" t="n">
        <v>46086</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36049-2024</t>
        </is>
      </c>
      <c r="B680" s="1" t="n">
        <v>45533.61996527778</v>
      </c>
      <c r="C680" s="1" t="n">
        <v>46086</v>
      </c>
      <c r="D680" t="inlineStr">
        <is>
          <t>KALMAR LÄN</t>
        </is>
      </c>
      <c r="E680" t="inlineStr">
        <is>
          <t>VIMMERBY</t>
        </is>
      </c>
      <c r="F680" t="inlineStr">
        <is>
          <t>Kommuner</t>
        </is>
      </c>
      <c r="G680" t="n">
        <v>2.6</v>
      </c>
      <c r="H680" t="n">
        <v>0</v>
      </c>
      <c r="I680" t="n">
        <v>0</v>
      </c>
      <c r="J680" t="n">
        <v>0</v>
      </c>
      <c r="K680" t="n">
        <v>0</v>
      </c>
      <c r="L680" t="n">
        <v>0</v>
      </c>
      <c r="M680" t="n">
        <v>0</v>
      </c>
      <c r="N680" t="n">
        <v>0</v>
      </c>
      <c r="O680" t="n">
        <v>0</v>
      </c>
      <c r="P680" t="n">
        <v>0</v>
      </c>
      <c r="Q680" t="n">
        <v>0</v>
      </c>
      <c r="R680" s="2" t="inlineStr"/>
    </row>
    <row r="681" ht="15" customHeight="1">
      <c r="A681" t="inlineStr">
        <is>
          <t>A 4297-2022</t>
        </is>
      </c>
      <c r="B681" s="1" t="n">
        <v>44588</v>
      </c>
      <c r="C681" s="1" t="n">
        <v>46086</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46399-2024</t>
        </is>
      </c>
      <c r="B682" s="1" t="n">
        <v>45582.41200231481</v>
      </c>
      <c r="C682" s="1" t="n">
        <v>46086</v>
      </c>
      <c r="D682" t="inlineStr">
        <is>
          <t>KALMAR LÄN</t>
        </is>
      </c>
      <c r="E682" t="inlineStr">
        <is>
          <t>VIMMERBY</t>
        </is>
      </c>
      <c r="G682" t="n">
        <v>4.6</v>
      </c>
      <c r="H682" t="n">
        <v>0</v>
      </c>
      <c r="I682" t="n">
        <v>0</v>
      </c>
      <c r="J682" t="n">
        <v>0</v>
      </c>
      <c r="K682" t="n">
        <v>0</v>
      </c>
      <c r="L682" t="n">
        <v>0</v>
      </c>
      <c r="M682" t="n">
        <v>0</v>
      </c>
      <c r="N682" t="n">
        <v>0</v>
      </c>
      <c r="O682" t="n">
        <v>0</v>
      </c>
      <c r="P682" t="n">
        <v>0</v>
      </c>
      <c r="Q682" t="n">
        <v>0</v>
      </c>
      <c r="R682" s="2" t="inlineStr"/>
    </row>
    <row r="683" ht="15" customHeight="1">
      <c r="A683" t="inlineStr">
        <is>
          <t>A 13532-2025</t>
        </is>
      </c>
      <c r="B683" s="1" t="n">
        <v>45736.50743055555</v>
      </c>
      <c r="C683" s="1" t="n">
        <v>46086</v>
      </c>
      <c r="D683" t="inlineStr">
        <is>
          <t>KALMAR LÄN</t>
        </is>
      </c>
      <c r="E683" t="inlineStr">
        <is>
          <t>VIMMERBY</t>
        </is>
      </c>
      <c r="G683" t="n">
        <v>3.6</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44833.60123842592</v>
      </c>
      <c r="C684" s="1" t="n">
        <v>46086</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12596-2021</t>
        </is>
      </c>
      <c r="B685" s="1" t="n">
        <v>44270.39765046296</v>
      </c>
      <c r="C685" s="1" t="n">
        <v>46086</v>
      </c>
      <c r="D685" t="inlineStr">
        <is>
          <t>KALMAR LÄN</t>
        </is>
      </c>
      <c r="E685" t="inlineStr">
        <is>
          <t>VIMMERBY</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57799-2022</t>
        </is>
      </c>
      <c r="B686" s="1" t="n">
        <v>44897</v>
      </c>
      <c r="C686" s="1" t="n">
        <v>46086</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8696-2026</t>
        </is>
      </c>
      <c r="B687" s="1" t="n">
        <v>46066.45273148148</v>
      </c>
      <c r="C687" s="1" t="n">
        <v>46086</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30921-2024</t>
        </is>
      </c>
      <c r="B688" s="1" t="n">
        <v>45498</v>
      </c>
      <c r="C688" s="1" t="n">
        <v>46086</v>
      </c>
      <c r="D688" t="inlineStr">
        <is>
          <t>KALMAR LÄN</t>
        </is>
      </c>
      <c r="E688" t="inlineStr">
        <is>
          <t>VIMMERBY</t>
        </is>
      </c>
      <c r="G688" t="n">
        <v>1.6</v>
      </c>
      <c r="H688" t="n">
        <v>0</v>
      </c>
      <c r="I688" t="n">
        <v>0</v>
      </c>
      <c r="J688" t="n">
        <v>0</v>
      </c>
      <c r="K688" t="n">
        <v>0</v>
      </c>
      <c r="L688" t="n">
        <v>0</v>
      </c>
      <c r="M688" t="n">
        <v>0</v>
      </c>
      <c r="N688" t="n">
        <v>0</v>
      </c>
      <c r="O688" t="n">
        <v>0</v>
      </c>
      <c r="P688" t="n">
        <v>0</v>
      </c>
      <c r="Q688" t="n">
        <v>0</v>
      </c>
      <c r="R688" s="2" t="inlineStr"/>
    </row>
    <row r="689" ht="15" customHeight="1">
      <c r="A689" t="inlineStr">
        <is>
          <t>A 8595-2026</t>
        </is>
      </c>
      <c r="B689" s="1" t="n">
        <v>46065.7372337963</v>
      </c>
      <c r="C689" s="1" t="n">
        <v>46086</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14137-2023</t>
        </is>
      </c>
      <c r="B690" s="1" t="n">
        <v>45009.4671875</v>
      </c>
      <c r="C690" s="1" t="n">
        <v>46086</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579-2026</t>
        </is>
      </c>
      <c r="B691" s="1" t="n">
        <v>46029.47912037037</v>
      </c>
      <c r="C691" s="1" t="n">
        <v>46086</v>
      </c>
      <c r="D691" t="inlineStr">
        <is>
          <t>KALMAR LÄN</t>
        </is>
      </c>
      <c r="E691" t="inlineStr">
        <is>
          <t>VIMMERBY</t>
        </is>
      </c>
      <c r="G691" t="n">
        <v>3</v>
      </c>
      <c r="H691" t="n">
        <v>0</v>
      </c>
      <c r="I691" t="n">
        <v>0</v>
      </c>
      <c r="J691" t="n">
        <v>0</v>
      </c>
      <c r="K691" t="n">
        <v>0</v>
      </c>
      <c r="L691" t="n">
        <v>0</v>
      </c>
      <c r="M691" t="n">
        <v>0</v>
      </c>
      <c r="N691" t="n">
        <v>0</v>
      </c>
      <c r="O691" t="n">
        <v>0</v>
      </c>
      <c r="P691" t="n">
        <v>0</v>
      </c>
      <c r="Q691" t="n">
        <v>0</v>
      </c>
      <c r="R691" s="2" t="inlineStr"/>
    </row>
    <row r="692" ht="15" customHeight="1">
      <c r="A692" t="inlineStr">
        <is>
          <t>A 11152-2023</t>
        </is>
      </c>
      <c r="B692" s="1" t="n">
        <v>44992</v>
      </c>
      <c r="C692" s="1" t="n">
        <v>46086</v>
      </c>
      <c r="D692" t="inlineStr">
        <is>
          <t>KALMAR LÄN</t>
        </is>
      </c>
      <c r="E692" t="inlineStr">
        <is>
          <t>VIMMERBY</t>
        </is>
      </c>
      <c r="G692" t="n">
        <v>10.6</v>
      </c>
      <c r="H692" t="n">
        <v>0</v>
      </c>
      <c r="I692" t="n">
        <v>0</v>
      </c>
      <c r="J692" t="n">
        <v>0</v>
      </c>
      <c r="K692" t="n">
        <v>0</v>
      </c>
      <c r="L692" t="n">
        <v>0</v>
      </c>
      <c r="M692" t="n">
        <v>0</v>
      </c>
      <c r="N692" t="n">
        <v>0</v>
      </c>
      <c r="O692" t="n">
        <v>0</v>
      </c>
      <c r="P692" t="n">
        <v>0</v>
      </c>
      <c r="Q692" t="n">
        <v>0</v>
      </c>
      <c r="R692" s="2" t="inlineStr"/>
    </row>
    <row r="693" ht="15" customHeight="1">
      <c r="A693" t="inlineStr">
        <is>
          <t>A 409-2026</t>
        </is>
      </c>
      <c r="B693" s="1" t="n">
        <v>46028.69432870371</v>
      </c>
      <c r="C693" s="1" t="n">
        <v>46086</v>
      </c>
      <c r="D693" t="inlineStr">
        <is>
          <t>KALMAR LÄN</t>
        </is>
      </c>
      <c r="E693" t="inlineStr">
        <is>
          <t>VIMMERBY</t>
        </is>
      </c>
      <c r="G693" t="n">
        <v>2.2</v>
      </c>
      <c r="H693" t="n">
        <v>0</v>
      </c>
      <c r="I693" t="n">
        <v>0</v>
      </c>
      <c r="J693" t="n">
        <v>0</v>
      </c>
      <c r="K693" t="n">
        <v>0</v>
      </c>
      <c r="L693" t="n">
        <v>0</v>
      </c>
      <c r="M693" t="n">
        <v>0</v>
      </c>
      <c r="N693" t="n">
        <v>0</v>
      </c>
      <c r="O693" t="n">
        <v>0</v>
      </c>
      <c r="P693" t="n">
        <v>0</v>
      </c>
      <c r="Q693" t="n">
        <v>0</v>
      </c>
      <c r="R693" s="2" t="inlineStr"/>
    </row>
    <row r="694" ht="15" customHeight="1">
      <c r="A694" t="inlineStr">
        <is>
          <t>A 406-2026</t>
        </is>
      </c>
      <c r="B694" s="1" t="n">
        <v>46028.68663194445</v>
      </c>
      <c r="C694" s="1" t="n">
        <v>46086</v>
      </c>
      <c r="D694" t="inlineStr">
        <is>
          <t>KALMAR LÄN</t>
        </is>
      </c>
      <c r="E694" t="inlineStr">
        <is>
          <t>VIMMERBY</t>
        </is>
      </c>
      <c r="G694" t="n">
        <v>1.8</v>
      </c>
      <c r="H694" t="n">
        <v>0</v>
      </c>
      <c r="I694" t="n">
        <v>0</v>
      </c>
      <c r="J694" t="n">
        <v>0</v>
      </c>
      <c r="K694" t="n">
        <v>0</v>
      </c>
      <c r="L694" t="n">
        <v>0</v>
      </c>
      <c r="M694" t="n">
        <v>0</v>
      </c>
      <c r="N694" t="n">
        <v>0</v>
      </c>
      <c r="O694" t="n">
        <v>0</v>
      </c>
      <c r="P694" t="n">
        <v>0</v>
      </c>
      <c r="Q694" t="n">
        <v>0</v>
      </c>
      <c r="R694" s="2" t="inlineStr"/>
    </row>
    <row r="695" ht="15" customHeight="1">
      <c r="A695" t="inlineStr">
        <is>
          <t>A 12499-2023</t>
        </is>
      </c>
      <c r="B695" s="1" t="n">
        <v>44999.86172453704</v>
      </c>
      <c r="C695" s="1" t="n">
        <v>46086</v>
      </c>
      <c r="D695" t="inlineStr">
        <is>
          <t>KALMAR LÄN</t>
        </is>
      </c>
      <c r="E695" t="inlineStr">
        <is>
          <t>VIMMERBY</t>
        </is>
      </c>
      <c r="G695" t="n">
        <v>0.8</v>
      </c>
      <c r="H695" t="n">
        <v>0</v>
      </c>
      <c r="I695" t="n">
        <v>0</v>
      </c>
      <c r="J695" t="n">
        <v>0</v>
      </c>
      <c r="K695" t="n">
        <v>0</v>
      </c>
      <c r="L695" t="n">
        <v>0</v>
      </c>
      <c r="M695" t="n">
        <v>0</v>
      </c>
      <c r="N695" t="n">
        <v>0</v>
      </c>
      <c r="O695" t="n">
        <v>0</v>
      </c>
      <c r="P695" t="n">
        <v>0</v>
      </c>
      <c r="Q695" t="n">
        <v>0</v>
      </c>
      <c r="R695" s="2" t="inlineStr"/>
    </row>
    <row r="696" ht="15" customHeight="1">
      <c r="A696" t="inlineStr">
        <is>
          <t>A 12500-2023</t>
        </is>
      </c>
      <c r="B696" s="1" t="n">
        <v>44999.8625</v>
      </c>
      <c r="C696" s="1" t="n">
        <v>46086</v>
      </c>
      <c r="D696" t="inlineStr">
        <is>
          <t>KALMAR LÄN</t>
        </is>
      </c>
      <c r="E696" t="inlineStr">
        <is>
          <t>VIMMERBY</t>
        </is>
      </c>
      <c r="G696" t="n">
        <v>0.5</v>
      </c>
      <c r="H696" t="n">
        <v>0</v>
      </c>
      <c r="I696" t="n">
        <v>0</v>
      </c>
      <c r="J696" t="n">
        <v>0</v>
      </c>
      <c r="K696" t="n">
        <v>0</v>
      </c>
      <c r="L696" t="n">
        <v>0</v>
      </c>
      <c r="M696" t="n">
        <v>0</v>
      </c>
      <c r="N696" t="n">
        <v>0</v>
      </c>
      <c r="O696" t="n">
        <v>0</v>
      </c>
      <c r="P696" t="n">
        <v>0</v>
      </c>
      <c r="Q696" t="n">
        <v>0</v>
      </c>
      <c r="R696" s="2" t="inlineStr"/>
    </row>
    <row r="697" ht="15" customHeight="1">
      <c r="A697" t="inlineStr">
        <is>
          <t>A 35846-2023</t>
        </is>
      </c>
      <c r="B697" s="1" t="n">
        <v>45148</v>
      </c>
      <c r="C697" s="1" t="n">
        <v>46086</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49039-2021</t>
        </is>
      </c>
      <c r="B698" s="1" t="n">
        <v>44453.56578703703</v>
      </c>
      <c r="C698" s="1" t="n">
        <v>46086</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46224-2024</t>
        </is>
      </c>
      <c r="B699" s="1" t="n">
        <v>45581.57016203704</v>
      </c>
      <c r="C699" s="1" t="n">
        <v>46086</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46238-2024</t>
        </is>
      </c>
      <c r="B700" s="1" t="n">
        <v>45581.58418981481</v>
      </c>
      <c r="C700" s="1" t="n">
        <v>46086</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30633-2024</t>
        </is>
      </c>
      <c r="B701" s="1" t="n">
        <v>45495</v>
      </c>
      <c r="C701" s="1" t="n">
        <v>46086</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54838-2024</t>
        </is>
      </c>
      <c r="B702" s="1" t="n">
        <v>45618.56787037037</v>
      </c>
      <c r="C702" s="1" t="n">
        <v>46086</v>
      </c>
      <c r="D702" t="inlineStr">
        <is>
          <t>KALMAR LÄN</t>
        </is>
      </c>
      <c r="E702" t="inlineStr">
        <is>
          <t>VIMMERBY</t>
        </is>
      </c>
      <c r="G702" t="n">
        <v>3.3</v>
      </c>
      <c r="H702" t="n">
        <v>0</v>
      </c>
      <c r="I702" t="n">
        <v>0</v>
      </c>
      <c r="J702" t="n">
        <v>0</v>
      </c>
      <c r="K702" t="n">
        <v>0</v>
      </c>
      <c r="L702" t="n">
        <v>0</v>
      </c>
      <c r="M702" t="n">
        <v>0</v>
      </c>
      <c r="N702" t="n">
        <v>0</v>
      </c>
      <c r="O702" t="n">
        <v>0</v>
      </c>
      <c r="P702" t="n">
        <v>0</v>
      </c>
      <c r="Q702" t="n">
        <v>0</v>
      </c>
      <c r="R702" s="2" t="inlineStr"/>
    </row>
    <row r="703" ht="15" customHeight="1">
      <c r="A703" t="inlineStr">
        <is>
          <t>A 6405-2025</t>
        </is>
      </c>
      <c r="B703" s="1" t="n">
        <v>45699.45392361111</v>
      </c>
      <c r="C703" s="1" t="n">
        <v>46086</v>
      </c>
      <c r="D703" t="inlineStr">
        <is>
          <t>KALMAR LÄN</t>
        </is>
      </c>
      <c r="E703" t="inlineStr">
        <is>
          <t>VIMMERBY</t>
        </is>
      </c>
      <c r="G703" t="n">
        <v>1.2</v>
      </c>
      <c r="H703" t="n">
        <v>0</v>
      </c>
      <c r="I703" t="n">
        <v>0</v>
      </c>
      <c r="J703" t="n">
        <v>0</v>
      </c>
      <c r="K703" t="n">
        <v>0</v>
      </c>
      <c r="L703" t="n">
        <v>0</v>
      </c>
      <c r="M703" t="n">
        <v>0</v>
      </c>
      <c r="N703" t="n">
        <v>0</v>
      </c>
      <c r="O703" t="n">
        <v>0</v>
      </c>
      <c r="P703" t="n">
        <v>0</v>
      </c>
      <c r="Q703" t="n">
        <v>0</v>
      </c>
      <c r="R703" s="2" t="inlineStr"/>
    </row>
    <row r="704" ht="15" customHeight="1">
      <c r="A704" t="inlineStr">
        <is>
          <t>A 842-2026</t>
        </is>
      </c>
      <c r="B704" s="1" t="n">
        <v>46030.380625</v>
      </c>
      <c r="C704" s="1" t="n">
        <v>46086</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60437-2023</t>
        </is>
      </c>
      <c r="B705" s="1" t="n">
        <v>45259.51916666667</v>
      </c>
      <c r="C705" s="1" t="n">
        <v>46086</v>
      </c>
      <c r="D705" t="inlineStr">
        <is>
          <t>KALMAR LÄN</t>
        </is>
      </c>
      <c r="E705" t="inlineStr">
        <is>
          <t>VIMMERBY</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60438-2023</t>
        </is>
      </c>
      <c r="B706" s="1" t="n">
        <v>45259.52020833334</v>
      </c>
      <c r="C706" s="1" t="n">
        <v>46086</v>
      </c>
      <c r="D706" t="inlineStr">
        <is>
          <t>KALMAR LÄN</t>
        </is>
      </c>
      <c r="E706" t="inlineStr">
        <is>
          <t>VIMMERBY</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42165-2024</t>
        </is>
      </c>
      <c r="B707" s="1" t="n">
        <v>45562.46342592593</v>
      </c>
      <c r="C707" s="1" t="n">
        <v>46086</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25244-2023</t>
        </is>
      </c>
      <c r="B708" s="1" t="n">
        <v>45086</v>
      </c>
      <c r="C708" s="1" t="n">
        <v>46086</v>
      </c>
      <c r="D708" t="inlineStr">
        <is>
          <t>KALMAR LÄN</t>
        </is>
      </c>
      <c r="E708" t="inlineStr">
        <is>
          <t>VIMMERBY</t>
        </is>
      </c>
      <c r="G708" t="n">
        <v>4.7</v>
      </c>
      <c r="H708" t="n">
        <v>0</v>
      </c>
      <c r="I708" t="n">
        <v>0</v>
      </c>
      <c r="J708" t="n">
        <v>0</v>
      </c>
      <c r="K708" t="n">
        <v>0</v>
      </c>
      <c r="L708" t="n">
        <v>0</v>
      </c>
      <c r="M708" t="n">
        <v>0</v>
      </c>
      <c r="N708" t="n">
        <v>0</v>
      </c>
      <c r="O708" t="n">
        <v>0</v>
      </c>
      <c r="P708" t="n">
        <v>0</v>
      </c>
      <c r="Q708" t="n">
        <v>0</v>
      </c>
      <c r="R708" s="2" t="inlineStr"/>
    </row>
    <row r="709" ht="15" customHeight="1">
      <c r="A709" t="inlineStr">
        <is>
          <t>A 1069-2026</t>
        </is>
      </c>
      <c r="B709" s="1" t="n">
        <v>46030</v>
      </c>
      <c r="C709" s="1" t="n">
        <v>46086</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66022-2021</t>
        </is>
      </c>
      <c r="B710" s="1" t="n">
        <v>44517</v>
      </c>
      <c r="C710" s="1" t="n">
        <v>46086</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35895-2024</t>
        </is>
      </c>
      <c r="B711" s="1" t="n">
        <v>45533.38870370371</v>
      </c>
      <c r="C711" s="1" t="n">
        <v>46086</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11073-2023</t>
        </is>
      </c>
      <c r="B712" s="1" t="n">
        <v>44992</v>
      </c>
      <c r="C712" s="1" t="n">
        <v>46086</v>
      </c>
      <c r="D712" t="inlineStr">
        <is>
          <t>KALMAR LÄN</t>
        </is>
      </c>
      <c r="E712" t="inlineStr">
        <is>
          <t>VIMMERBY</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1734-2026</t>
        </is>
      </c>
      <c r="B713" s="1" t="n">
        <v>46034</v>
      </c>
      <c r="C713" s="1" t="n">
        <v>46086</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1743-2026</t>
        </is>
      </c>
      <c r="B714" s="1" t="n">
        <v>46034</v>
      </c>
      <c r="C714" s="1" t="n">
        <v>46086</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17-2025</t>
        </is>
      </c>
      <c r="B715" s="1" t="n">
        <v>45658.78774305555</v>
      </c>
      <c r="C715" s="1" t="n">
        <v>46086</v>
      </c>
      <c r="D715" t="inlineStr">
        <is>
          <t>KALMAR LÄN</t>
        </is>
      </c>
      <c r="E715" t="inlineStr">
        <is>
          <t>VIMMERBY</t>
        </is>
      </c>
      <c r="G715" t="n">
        <v>4.4</v>
      </c>
      <c r="H715" t="n">
        <v>0</v>
      </c>
      <c r="I715" t="n">
        <v>0</v>
      </c>
      <c r="J715" t="n">
        <v>0</v>
      </c>
      <c r="K715" t="n">
        <v>0</v>
      </c>
      <c r="L715" t="n">
        <v>0</v>
      </c>
      <c r="M715" t="n">
        <v>0</v>
      </c>
      <c r="N715" t="n">
        <v>0</v>
      </c>
      <c r="O715" t="n">
        <v>0</v>
      </c>
      <c r="P715" t="n">
        <v>0</v>
      </c>
      <c r="Q715" t="n">
        <v>0</v>
      </c>
      <c r="R715" s="2" t="inlineStr"/>
    </row>
    <row r="716" ht="15" customHeight="1">
      <c r="A716" t="inlineStr">
        <is>
          <t>A 32655-2023</t>
        </is>
      </c>
      <c r="B716" s="1" t="n">
        <v>45121.61318287037</v>
      </c>
      <c r="C716" s="1" t="n">
        <v>46086</v>
      </c>
      <c r="D716" t="inlineStr">
        <is>
          <t>KALMAR LÄN</t>
        </is>
      </c>
      <c r="E716" t="inlineStr">
        <is>
          <t>VIMMERBY</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63541-2023</t>
        </is>
      </c>
      <c r="B717" s="1" t="n">
        <v>45275.32266203704</v>
      </c>
      <c r="C717" s="1" t="n">
        <v>46086</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1748-2026</t>
        </is>
      </c>
      <c r="B718" s="1" t="n">
        <v>46034.65589120371</v>
      </c>
      <c r="C718" s="1" t="n">
        <v>46086</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28034-2022</t>
        </is>
      </c>
      <c r="B719" s="1" t="n">
        <v>44746.38834490741</v>
      </c>
      <c r="C719" s="1" t="n">
        <v>46086</v>
      </c>
      <c r="D719" t="inlineStr">
        <is>
          <t>KALMAR LÄN</t>
        </is>
      </c>
      <c r="E719" t="inlineStr">
        <is>
          <t>VIMMERBY</t>
        </is>
      </c>
      <c r="G719" t="n">
        <v>2</v>
      </c>
      <c r="H719" t="n">
        <v>0</v>
      </c>
      <c r="I719" t="n">
        <v>0</v>
      </c>
      <c r="J719" t="n">
        <v>0</v>
      </c>
      <c r="K719" t="n">
        <v>0</v>
      </c>
      <c r="L719" t="n">
        <v>0</v>
      </c>
      <c r="M719" t="n">
        <v>0</v>
      </c>
      <c r="N719" t="n">
        <v>0</v>
      </c>
      <c r="O719" t="n">
        <v>0</v>
      </c>
      <c r="P719" t="n">
        <v>0</v>
      </c>
      <c r="Q719" t="n">
        <v>0</v>
      </c>
      <c r="R719" s="2" t="inlineStr"/>
    </row>
    <row r="720" ht="15" customHeight="1">
      <c r="A720" t="inlineStr">
        <is>
          <t>A 5938-2022</t>
        </is>
      </c>
      <c r="B720" s="1" t="n">
        <v>44598</v>
      </c>
      <c r="C720" s="1" t="n">
        <v>46086</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1862-2026</t>
        </is>
      </c>
      <c r="B721" s="1" t="n">
        <v>46035.44689814815</v>
      </c>
      <c r="C721" s="1" t="n">
        <v>46086</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46086</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46086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46086</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46086</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46086</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46086</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46086</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46086</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46086</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46086</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46086</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46086</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46086</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46086</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46086</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46086</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46086</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46086</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46086</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46086</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46086</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46086</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46086</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46086</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46086</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46086</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46086</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46086</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46086</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46086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46086</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46086</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46086</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46086</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46086</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46086</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46086</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46086</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46086</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46086</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46086</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46086</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46086</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46086</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46086</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46086</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46086</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46086</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46086</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46086</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46086</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46086</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46086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46086</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46086</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46086</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46086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46086</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46086</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46086</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46086</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46086</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46086</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46086</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46086</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46086</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46086</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46086</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46086</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46086</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46086</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46086</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46086</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46086</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46086</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46086</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46086</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46086</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46086</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46086</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46086</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46086</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46086</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46086</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46086</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46086</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46086</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46086</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46086</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46086</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46086</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46086</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46086</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46086</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46086</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33815-2022</t>
        </is>
      </c>
      <c r="B817" s="1" t="n">
        <v>44790.45876157407</v>
      </c>
      <c r="C817" s="1" t="n">
        <v>46086</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33842-2022</t>
        </is>
      </c>
      <c r="B818" s="1" t="n">
        <v>44790.49523148148</v>
      </c>
      <c r="C818" s="1" t="n">
        <v>46086</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49408-2023</t>
        </is>
      </c>
      <c r="B819" s="1" t="n">
        <v>45211.43555555555</v>
      </c>
      <c r="C819" s="1" t="n">
        <v>46086</v>
      </c>
      <c r="D819" t="inlineStr">
        <is>
          <t>KALMAR LÄN</t>
        </is>
      </c>
      <c r="E819" t="inlineStr">
        <is>
          <t>VIMMERBY</t>
        </is>
      </c>
      <c r="G819" t="n">
        <v>13.1</v>
      </c>
      <c r="H819" t="n">
        <v>0</v>
      </c>
      <c r="I819" t="n">
        <v>0</v>
      </c>
      <c r="J819" t="n">
        <v>0</v>
      </c>
      <c r="K819" t="n">
        <v>0</v>
      </c>
      <c r="L819" t="n">
        <v>0</v>
      </c>
      <c r="M819" t="n">
        <v>0</v>
      </c>
      <c r="N819" t="n">
        <v>0</v>
      </c>
      <c r="O819" t="n">
        <v>0</v>
      </c>
      <c r="P819" t="n">
        <v>0</v>
      </c>
      <c r="Q819" t="n">
        <v>0</v>
      </c>
      <c r="R819" s="2" t="inlineStr"/>
    </row>
    <row r="820" ht="15" customHeight="1">
      <c r="A820" t="inlineStr">
        <is>
          <t>A 56536-2022</t>
        </is>
      </c>
      <c r="B820" s="1" t="n">
        <v>44893</v>
      </c>
      <c r="C820" s="1" t="n">
        <v>46086</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41199-2023</t>
        </is>
      </c>
      <c r="B821" s="1" t="n">
        <v>45174.40454861111</v>
      </c>
      <c r="C821" s="1" t="n">
        <v>46086</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8945-2025</t>
        </is>
      </c>
      <c r="B822" s="1" t="n">
        <v>45713.45311342592</v>
      </c>
      <c r="C822" s="1" t="n">
        <v>46086</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11619-2023</t>
        </is>
      </c>
      <c r="B823" s="1" t="n">
        <v>44994.42113425926</v>
      </c>
      <c r="C823" s="1" t="n">
        <v>46086</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41896-2023</t>
        </is>
      </c>
      <c r="B824" s="1" t="n">
        <v>45176.72427083334</v>
      </c>
      <c r="C824" s="1" t="n">
        <v>46086</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17926-2025</t>
        </is>
      </c>
      <c r="B825" s="1" t="n">
        <v>45759.38987268518</v>
      </c>
      <c r="C825" s="1" t="n">
        <v>46086</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21028-2023</t>
        </is>
      </c>
      <c r="B826" s="1" t="n">
        <v>45061</v>
      </c>
      <c r="C826" s="1" t="n">
        <v>46086</v>
      </c>
      <c r="D826" t="inlineStr">
        <is>
          <t>KALMAR LÄN</t>
        </is>
      </c>
      <c r="E826" t="inlineStr">
        <is>
          <t>VIMMERBY</t>
        </is>
      </c>
      <c r="F826" t="inlineStr">
        <is>
          <t>Övriga Aktiebolag</t>
        </is>
      </c>
      <c r="G826" t="n">
        <v>0.7</v>
      </c>
      <c r="H826" t="n">
        <v>0</v>
      </c>
      <c r="I826" t="n">
        <v>0</v>
      </c>
      <c r="J826" t="n">
        <v>0</v>
      </c>
      <c r="K826" t="n">
        <v>0</v>
      </c>
      <c r="L826" t="n">
        <v>0</v>
      </c>
      <c r="M826" t="n">
        <v>0</v>
      </c>
      <c r="N826" t="n">
        <v>0</v>
      </c>
      <c r="O826" t="n">
        <v>0</v>
      </c>
      <c r="P826" t="n">
        <v>0</v>
      </c>
      <c r="Q826" t="n">
        <v>0</v>
      </c>
      <c r="R826" s="2" t="inlineStr"/>
    </row>
    <row r="827" ht="15" customHeight="1">
      <c r="A827" t="inlineStr">
        <is>
          <t>A 19445-2021</t>
        </is>
      </c>
      <c r="B827" s="1" t="n">
        <v>44310</v>
      </c>
      <c r="C827" s="1" t="n">
        <v>46086</v>
      </c>
      <c r="D827" t="inlineStr">
        <is>
          <t>KALMAR LÄN</t>
        </is>
      </c>
      <c r="E827" t="inlineStr">
        <is>
          <t>VIMMERBY</t>
        </is>
      </c>
      <c r="G827" t="n">
        <v>6.8</v>
      </c>
      <c r="H827" t="n">
        <v>0</v>
      </c>
      <c r="I827" t="n">
        <v>0</v>
      </c>
      <c r="J827" t="n">
        <v>0</v>
      </c>
      <c r="K827" t="n">
        <v>0</v>
      </c>
      <c r="L827" t="n">
        <v>0</v>
      </c>
      <c r="M827" t="n">
        <v>0</v>
      </c>
      <c r="N827" t="n">
        <v>0</v>
      </c>
      <c r="O827" t="n">
        <v>0</v>
      </c>
      <c r="P827" t="n">
        <v>0</v>
      </c>
      <c r="Q827" t="n">
        <v>0</v>
      </c>
      <c r="R827" s="2" t="inlineStr"/>
    </row>
    <row r="828" ht="15" customHeight="1">
      <c r="A828" t="inlineStr">
        <is>
          <t>A 27122-2023</t>
        </is>
      </c>
      <c r="B828" s="1" t="n">
        <v>45096.45247685185</v>
      </c>
      <c r="C828" s="1" t="n">
        <v>46086</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13813-2024</t>
        </is>
      </c>
      <c r="B829" s="1" t="n">
        <v>45391.41310185185</v>
      </c>
      <c r="C829" s="1" t="n">
        <v>46086</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38969-2023</t>
        </is>
      </c>
      <c r="B830" s="1" t="n">
        <v>45163.63621527778</v>
      </c>
      <c r="C830" s="1" t="n">
        <v>46086</v>
      </c>
      <c r="D830" t="inlineStr">
        <is>
          <t>KALMAR LÄN</t>
        </is>
      </c>
      <c r="E830" t="inlineStr">
        <is>
          <t>VIMMERBY</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26937-2023</t>
        </is>
      </c>
      <c r="B831" s="1" t="n">
        <v>45093.62777777778</v>
      </c>
      <c r="C831" s="1" t="n">
        <v>46086</v>
      </c>
      <c r="D831" t="inlineStr">
        <is>
          <t>KALMAR LÄN</t>
        </is>
      </c>
      <c r="E831" t="inlineStr">
        <is>
          <t>VIMMERBY</t>
        </is>
      </c>
      <c r="F831" t="inlineStr">
        <is>
          <t>Sveaskog</t>
        </is>
      </c>
      <c r="G831" t="n">
        <v>14.5</v>
      </c>
      <c r="H831" t="n">
        <v>0</v>
      </c>
      <c r="I831" t="n">
        <v>0</v>
      </c>
      <c r="J831" t="n">
        <v>0</v>
      </c>
      <c r="K831" t="n">
        <v>0</v>
      </c>
      <c r="L831" t="n">
        <v>0</v>
      </c>
      <c r="M831" t="n">
        <v>0</v>
      </c>
      <c r="N831" t="n">
        <v>0</v>
      </c>
      <c r="O831" t="n">
        <v>0</v>
      </c>
      <c r="P831" t="n">
        <v>0</v>
      </c>
      <c r="Q831" t="n">
        <v>0</v>
      </c>
      <c r="R831" s="2" t="inlineStr"/>
    </row>
    <row r="832" ht="15" customHeight="1">
      <c r="A832" t="inlineStr">
        <is>
          <t>A 57486-2024</t>
        </is>
      </c>
      <c r="B832" s="1" t="n">
        <v>45630.35827546296</v>
      </c>
      <c r="C832" s="1" t="n">
        <v>46086</v>
      </c>
      <c r="D832" t="inlineStr">
        <is>
          <t>KALMAR LÄN</t>
        </is>
      </c>
      <c r="E832" t="inlineStr">
        <is>
          <t>VIMMERBY</t>
        </is>
      </c>
      <c r="G832" t="n">
        <v>0.4</v>
      </c>
      <c r="H832" t="n">
        <v>0</v>
      </c>
      <c r="I832" t="n">
        <v>0</v>
      </c>
      <c r="J832" t="n">
        <v>0</v>
      </c>
      <c r="K832" t="n">
        <v>0</v>
      </c>
      <c r="L832" t="n">
        <v>0</v>
      </c>
      <c r="M832" t="n">
        <v>0</v>
      </c>
      <c r="N832" t="n">
        <v>0</v>
      </c>
      <c r="O832" t="n">
        <v>0</v>
      </c>
      <c r="P832" t="n">
        <v>0</v>
      </c>
      <c r="Q832" t="n">
        <v>0</v>
      </c>
      <c r="R832" s="2" t="inlineStr"/>
    </row>
    <row r="833" ht="15" customHeight="1">
      <c r="A833" t="inlineStr">
        <is>
          <t>A 43186-2021</t>
        </is>
      </c>
      <c r="B833" s="1" t="n">
        <v>44431.84840277778</v>
      </c>
      <c r="C833" s="1" t="n">
        <v>46086</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1799-2025</t>
        </is>
      </c>
      <c r="B834" s="1" t="n">
        <v>45671.46746527778</v>
      </c>
      <c r="C834" s="1" t="n">
        <v>46086</v>
      </c>
      <c r="D834" t="inlineStr">
        <is>
          <t>KALMAR LÄN</t>
        </is>
      </c>
      <c r="E834" t="inlineStr">
        <is>
          <t>VIMMERBY</t>
        </is>
      </c>
      <c r="G834" t="n">
        <v>3.3</v>
      </c>
      <c r="H834" t="n">
        <v>0</v>
      </c>
      <c r="I834" t="n">
        <v>0</v>
      </c>
      <c r="J834" t="n">
        <v>0</v>
      </c>
      <c r="K834" t="n">
        <v>0</v>
      </c>
      <c r="L834" t="n">
        <v>0</v>
      </c>
      <c r="M834" t="n">
        <v>0</v>
      </c>
      <c r="N834" t="n">
        <v>0</v>
      </c>
      <c r="O834" t="n">
        <v>0</v>
      </c>
      <c r="P834" t="n">
        <v>0</v>
      </c>
      <c r="Q834" t="n">
        <v>0</v>
      </c>
      <c r="R834" s="2" t="inlineStr"/>
    </row>
    <row r="835" ht="15" customHeight="1">
      <c r="A835" t="inlineStr">
        <is>
          <t>A 30063-2023</t>
        </is>
      </c>
      <c r="B835" s="1" t="n">
        <v>45110.4184375</v>
      </c>
      <c r="C835" s="1" t="n">
        <v>46086</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43068-2023</t>
        </is>
      </c>
      <c r="B836" s="1" t="n">
        <v>45182.78834490741</v>
      </c>
      <c r="C836" s="1" t="n">
        <v>46086</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18020-2025</t>
        </is>
      </c>
      <c r="B837" s="1" t="n">
        <v>45761.4437962963</v>
      </c>
      <c r="C837" s="1" t="n">
        <v>46086</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33424-2023</t>
        </is>
      </c>
      <c r="B838" s="1" t="n">
        <v>45128.9325</v>
      </c>
      <c r="C838" s="1" t="n">
        <v>46086</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33425-2023</t>
        </is>
      </c>
      <c r="B839" s="1" t="n">
        <v>45128.93540509259</v>
      </c>
      <c r="C839" s="1" t="n">
        <v>46086</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44999.36081018519</v>
      </c>
      <c r="C840" s="1" t="n">
        <v>46086</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43092-2024</t>
        </is>
      </c>
      <c r="B841" s="1" t="n">
        <v>45567</v>
      </c>
      <c r="C841" s="1" t="n">
        <v>46086</v>
      </c>
      <c r="D841" t="inlineStr">
        <is>
          <t>KALMAR LÄN</t>
        </is>
      </c>
      <c r="E841" t="inlineStr">
        <is>
          <t>VIMMERBY</t>
        </is>
      </c>
      <c r="G841" t="n">
        <v>2.7</v>
      </c>
      <c r="H841" t="n">
        <v>0</v>
      </c>
      <c r="I841" t="n">
        <v>0</v>
      </c>
      <c r="J841" t="n">
        <v>0</v>
      </c>
      <c r="K841" t="n">
        <v>0</v>
      </c>
      <c r="L841" t="n">
        <v>0</v>
      </c>
      <c r="M841" t="n">
        <v>0</v>
      </c>
      <c r="N841" t="n">
        <v>0</v>
      </c>
      <c r="O841" t="n">
        <v>0</v>
      </c>
      <c r="P841" t="n">
        <v>0</v>
      </c>
      <c r="Q841" t="n">
        <v>0</v>
      </c>
      <c r="R841" s="2" t="inlineStr"/>
    </row>
    <row r="842" ht="15" customHeight="1">
      <c r="A842" t="inlineStr">
        <is>
          <t>A 52435-2021</t>
        </is>
      </c>
      <c r="B842" s="1" t="n">
        <v>44466.34962962963</v>
      </c>
      <c r="C842" s="1" t="n">
        <v>46086</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35127-2024</t>
        </is>
      </c>
      <c r="B843" s="1" t="n">
        <v>45530.33202546297</v>
      </c>
      <c r="C843" s="1" t="n">
        <v>46086</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60215-2022</t>
        </is>
      </c>
      <c r="B844" s="1" t="n">
        <v>44910.41346064815</v>
      </c>
      <c r="C844" s="1" t="n">
        <v>46086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29441-2024</t>
        </is>
      </c>
      <c r="B845" s="1" t="n">
        <v>45483.82834490741</v>
      </c>
      <c r="C845" s="1" t="n">
        <v>46086</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6216-2025</t>
        </is>
      </c>
      <c r="B846" s="1" t="n">
        <v>45698.52806712963</v>
      </c>
      <c r="C846" s="1" t="n">
        <v>46086</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62779-2023</t>
        </is>
      </c>
      <c r="B847" s="1" t="n">
        <v>45271.66576388889</v>
      </c>
      <c r="C847" s="1" t="n">
        <v>46086</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52294-2023</t>
        </is>
      </c>
      <c r="B848" s="1" t="n">
        <v>45224.60075231481</v>
      </c>
      <c r="C848" s="1" t="n">
        <v>46086</v>
      </c>
      <c r="D848" t="inlineStr">
        <is>
          <t>KALMAR LÄN</t>
        </is>
      </c>
      <c r="E848" t="inlineStr">
        <is>
          <t>VIMMERBY</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31013-2023</t>
        </is>
      </c>
      <c r="B849" s="1" t="n">
        <v>45113.56574074074</v>
      </c>
      <c r="C849" s="1" t="n">
        <v>46086</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72067-2021</t>
        </is>
      </c>
      <c r="B850" s="1" t="n">
        <v>44540</v>
      </c>
      <c r="C850" s="1" t="n">
        <v>46086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61538-2022</t>
        </is>
      </c>
      <c r="B851" s="1" t="n">
        <v>44916.55414351852</v>
      </c>
      <c r="C851" s="1" t="n">
        <v>46086</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36155-2023</t>
        </is>
      </c>
      <c r="B852" s="1" t="n">
        <v>45149.60917824074</v>
      </c>
      <c r="C852" s="1" t="n">
        <v>46086</v>
      </c>
      <c r="D852" t="inlineStr">
        <is>
          <t>KALMAR LÄN</t>
        </is>
      </c>
      <c r="E852" t="inlineStr">
        <is>
          <t>VIMMERBY</t>
        </is>
      </c>
      <c r="G852" t="n">
        <v>5</v>
      </c>
      <c r="H852" t="n">
        <v>0</v>
      </c>
      <c r="I852" t="n">
        <v>0</v>
      </c>
      <c r="J852" t="n">
        <v>0</v>
      </c>
      <c r="K852" t="n">
        <v>0</v>
      </c>
      <c r="L852" t="n">
        <v>0</v>
      </c>
      <c r="M852" t="n">
        <v>0</v>
      </c>
      <c r="N852" t="n">
        <v>0</v>
      </c>
      <c r="O852" t="n">
        <v>0</v>
      </c>
      <c r="P852" t="n">
        <v>0</v>
      </c>
      <c r="Q852" t="n">
        <v>0</v>
      </c>
      <c r="R852" s="2" t="inlineStr"/>
    </row>
    <row r="853" ht="15" customHeight="1">
      <c r="A853" t="inlineStr">
        <is>
          <t>A 29173-2024</t>
        </is>
      </c>
      <c r="B853" s="1" t="n">
        <v>45482.52887731481</v>
      </c>
      <c r="C853" s="1" t="n">
        <v>46086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53542-2022</t>
        </is>
      </c>
      <c r="B854" s="1" t="n">
        <v>44879.62173611111</v>
      </c>
      <c r="C854" s="1" t="n">
        <v>46086</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6807-2025</t>
        </is>
      </c>
      <c r="B855" s="1" t="n">
        <v>45700.68672453704</v>
      </c>
      <c r="C855" s="1" t="n">
        <v>46086</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7047-2022</t>
        </is>
      </c>
      <c r="B856" s="1" t="n">
        <v>44603</v>
      </c>
      <c r="C856" s="1" t="n">
        <v>46086</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35711-2023</t>
        </is>
      </c>
      <c r="B857" s="1" t="n">
        <v>45147.67172453704</v>
      </c>
      <c r="C857" s="1" t="n">
        <v>46086</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5382-2023</t>
        </is>
      </c>
      <c r="B858" s="1" t="n">
        <v>44959.66407407408</v>
      </c>
      <c r="C858" s="1" t="n">
        <v>46086</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46086</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6218-2025</t>
        </is>
      </c>
      <c r="B860" s="1" t="n">
        <v>45698.53336805556</v>
      </c>
      <c r="C860" s="1" t="n">
        <v>46086</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30920-2023</t>
        </is>
      </c>
      <c r="B861" s="1" t="n">
        <v>45113.43921296296</v>
      </c>
      <c r="C861" s="1" t="n">
        <v>46086</v>
      </c>
      <c r="D861" t="inlineStr">
        <is>
          <t>KALMAR LÄN</t>
        </is>
      </c>
      <c r="E861" t="inlineStr">
        <is>
          <t>VIMMERBY</t>
        </is>
      </c>
      <c r="G861" t="n">
        <v>3.1</v>
      </c>
      <c r="H861" t="n">
        <v>0</v>
      </c>
      <c r="I861" t="n">
        <v>0</v>
      </c>
      <c r="J861" t="n">
        <v>0</v>
      </c>
      <c r="K861" t="n">
        <v>0</v>
      </c>
      <c r="L861" t="n">
        <v>0</v>
      </c>
      <c r="M861" t="n">
        <v>0</v>
      </c>
      <c r="N861" t="n">
        <v>0</v>
      </c>
      <c r="O861" t="n">
        <v>0</v>
      </c>
      <c r="P861" t="n">
        <v>0</v>
      </c>
      <c r="Q861" t="n">
        <v>0</v>
      </c>
      <c r="R861" s="2" t="inlineStr"/>
    </row>
    <row r="862" ht="15" customHeight="1">
      <c r="A862" t="inlineStr">
        <is>
          <t>A 6857-2023</t>
        </is>
      </c>
      <c r="B862" s="1" t="n">
        <v>44967.45122685185</v>
      </c>
      <c r="C862" s="1" t="n">
        <v>46086</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5792-2023</t>
        </is>
      </c>
      <c r="B863" s="1" t="n">
        <v>44963.44769675926</v>
      </c>
      <c r="C863" s="1" t="n">
        <v>46086</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10303-2025</t>
        </is>
      </c>
      <c r="B864" s="1" t="n">
        <v>45720.44217592593</v>
      </c>
      <c r="C864" s="1" t="n">
        <v>46086</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60110-2022</t>
        </is>
      </c>
      <c r="B865" s="1" t="n">
        <v>44909</v>
      </c>
      <c r="C865" s="1" t="n">
        <v>46086</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15394-2025</t>
        </is>
      </c>
      <c r="B866" s="1" t="n">
        <v>45747.43196759259</v>
      </c>
      <c r="C866" s="1" t="n">
        <v>46086</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15388-2025</t>
        </is>
      </c>
      <c r="B867" s="1" t="n">
        <v>45747.42633101852</v>
      </c>
      <c r="C867" s="1" t="n">
        <v>46086</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15391-2025</t>
        </is>
      </c>
      <c r="B868" s="1" t="n">
        <v>45747.42958333333</v>
      </c>
      <c r="C868" s="1" t="n">
        <v>46086</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6474-2025</t>
        </is>
      </c>
      <c r="B869" s="1" t="n">
        <v>45699.60055555555</v>
      </c>
      <c r="C869" s="1" t="n">
        <v>46086</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32919-2022</t>
        </is>
      </c>
      <c r="B870" s="1" t="n">
        <v>44784.62724537037</v>
      </c>
      <c r="C870" s="1" t="n">
        <v>46086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56659-2023</t>
        </is>
      </c>
      <c r="B871" s="1" t="n">
        <v>45243.84869212963</v>
      </c>
      <c r="C871" s="1" t="n">
        <v>46086</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13015-2022</t>
        </is>
      </c>
      <c r="B872" s="1" t="n">
        <v>44643</v>
      </c>
      <c r="C872" s="1" t="n">
        <v>46086</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17968-2025</t>
        </is>
      </c>
      <c r="B873" s="1" t="n">
        <v>45761.35990740741</v>
      </c>
      <c r="C873" s="1" t="n">
        <v>46086</v>
      </c>
      <c r="D873" t="inlineStr">
        <is>
          <t>KALMAR LÄN</t>
        </is>
      </c>
      <c r="E873" t="inlineStr">
        <is>
          <t>VIMMERBY</t>
        </is>
      </c>
      <c r="G873" t="n">
        <v>3.3</v>
      </c>
      <c r="H873" t="n">
        <v>0</v>
      </c>
      <c r="I873" t="n">
        <v>0</v>
      </c>
      <c r="J873" t="n">
        <v>0</v>
      </c>
      <c r="K873" t="n">
        <v>0</v>
      </c>
      <c r="L873" t="n">
        <v>0</v>
      </c>
      <c r="M873" t="n">
        <v>0</v>
      </c>
      <c r="N873" t="n">
        <v>0</v>
      </c>
      <c r="O873" t="n">
        <v>0</v>
      </c>
      <c r="P873" t="n">
        <v>0</v>
      </c>
      <c r="Q873" t="n">
        <v>0</v>
      </c>
      <c r="R873" s="2" t="inlineStr"/>
    </row>
    <row r="874" ht="15" customHeight="1">
      <c r="A874" t="inlineStr">
        <is>
          <t>A 6028-2023</t>
        </is>
      </c>
      <c r="B874" s="1" t="n">
        <v>44964.44356481481</v>
      </c>
      <c r="C874" s="1" t="n">
        <v>46086</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55436-2023</t>
        </is>
      </c>
      <c r="B875" s="1" t="n">
        <v>45238.4328587963</v>
      </c>
      <c r="C875" s="1" t="n">
        <v>46086</v>
      </c>
      <c r="D875" t="inlineStr">
        <is>
          <t>KALMAR LÄN</t>
        </is>
      </c>
      <c r="E875" t="inlineStr">
        <is>
          <t>VIMMERBY</t>
        </is>
      </c>
      <c r="G875" t="n">
        <v>5.6</v>
      </c>
      <c r="H875" t="n">
        <v>0</v>
      </c>
      <c r="I875" t="n">
        <v>0</v>
      </c>
      <c r="J875" t="n">
        <v>0</v>
      </c>
      <c r="K875" t="n">
        <v>0</v>
      </c>
      <c r="L875" t="n">
        <v>0</v>
      </c>
      <c r="M875" t="n">
        <v>0</v>
      </c>
      <c r="N875" t="n">
        <v>0</v>
      </c>
      <c r="O875" t="n">
        <v>0</v>
      </c>
      <c r="P875" t="n">
        <v>0</v>
      </c>
      <c r="Q875" t="n">
        <v>0</v>
      </c>
      <c r="R875" s="2" t="inlineStr"/>
    </row>
    <row r="876" ht="15" customHeight="1">
      <c r="A876" t="inlineStr">
        <is>
          <t>A 56582-2022</t>
        </is>
      </c>
      <c r="B876" s="1" t="n">
        <v>44893</v>
      </c>
      <c r="C876" s="1" t="n">
        <v>46086</v>
      </c>
      <c r="D876" t="inlineStr">
        <is>
          <t>KALMAR LÄN</t>
        </is>
      </c>
      <c r="E876" t="inlineStr">
        <is>
          <t>VIMMERBY</t>
        </is>
      </c>
      <c r="G876" t="n">
        <v>2.2</v>
      </c>
      <c r="H876" t="n">
        <v>0</v>
      </c>
      <c r="I876" t="n">
        <v>0</v>
      </c>
      <c r="J876" t="n">
        <v>0</v>
      </c>
      <c r="K876" t="n">
        <v>0</v>
      </c>
      <c r="L876" t="n">
        <v>0</v>
      </c>
      <c r="M876" t="n">
        <v>0</v>
      </c>
      <c r="N876" t="n">
        <v>0</v>
      </c>
      <c r="O876" t="n">
        <v>0</v>
      </c>
      <c r="P876" t="n">
        <v>0</v>
      </c>
      <c r="Q876" t="n">
        <v>0</v>
      </c>
      <c r="R876" s="2" t="inlineStr"/>
    </row>
    <row r="877" ht="15" customHeight="1">
      <c r="A877" t="inlineStr">
        <is>
          <t>A 20-2025</t>
        </is>
      </c>
      <c r="B877" s="1" t="n">
        <v>45658.80232638889</v>
      </c>
      <c r="C877" s="1" t="n">
        <v>46086</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23-2025</t>
        </is>
      </c>
      <c r="B878" s="1" t="n">
        <v>45658.80827546296</v>
      </c>
      <c r="C878" s="1" t="n">
        <v>46086</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43962-2024</t>
        </is>
      </c>
      <c r="B879" s="1" t="n">
        <v>45572.48293981481</v>
      </c>
      <c r="C879" s="1" t="n">
        <v>46086</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35713-2023</t>
        </is>
      </c>
      <c r="B880" s="1" t="n">
        <v>45147</v>
      </c>
      <c r="C880" s="1" t="n">
        <v>46086</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40147-2023</t>
        </is>
      </c>
      <c r="B881" s="1" t="n">
        <v>45169</v>
      </c>
      <c r="C881" s="1" t="n">
        <v>46086</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50995-2022</t>
        </is>
      </c>
      <c r="B882" s="1" t="n">
        <v>44867</v>
      </c>
      <c r="C882" s="1" t="n">
        <v>46086</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27993-2022</t>
        </is>
      </c>
      <c r="B883" s="1" t="n">
        <v>44745.84396990741</v>
      </c>
      <c r="C883" s="1" t="n">
        <v>46086</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57555-2024</t>
        </is>
      </c>
      <c r="B884" s="1" t="n">
        <v>45630.45069444444</v>
      </c>
      <c r="C884" s="1" t="n">
        <v>46086</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46086</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46086</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32865-2023</t>
        </is>
      </c>
      <c r="B887" s="1" t="n">
        <v>45124</v>
      </c>
      <c r="C887" s="1" t="n">
        <v>46086</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42918-2021</t>
        </is>
      </c>
      <c r="B888" s="1" t="n">
        <v>44431</v>
      </c>
      <c r="C888" s="1" t="n">
        <v>46086</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22643-2023</t>
        </is>
      </c>
      <c r="B889" s="1" t="n">
        <v>45071</v>
      </c>
      <c r="C889" s="1" t="n">
        <v>46086</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18669-2025</t>
        </is>
      </c>
      <c r="B890" s="1" t="n">
        <v>45763.59436342592</v>
      </c>
      <c r="C890" s="1" t="n">
        <v>46086</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38780-2021</t>
        </is>
      </c>
      <c r="B891" s="1" t="n">
        <v>44410</v>
      </c>
      <c r="C891" s="1" t="n">
        <v>46086</v>
      </c>
      <c r="D891" t="inlineStr">
        <is>
          <t>KALMAR LÄN</t>
        </is>
      </c>
      <c r="E891" t="inlineStr">
        <is>
          <t>VIMMERBY</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29020-2024</t>
        </is>
      </c>
      <c r="B892" s="1" t="n">
        <v>45481.58048611111</v>
      </c>
      <c r="C892" s="1" t="n">
        <v>46086</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30406-2023</t>
        </is>
      </c>
      <c r="B893" s="1" t="n">
        <v>45111.48787037037</v>
      </c>
      <c r="C893" s="1" t="n">
        <v>46086</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row>
    <row r="894" ht="15" customHeight="1">
      <c r="A894" t="inlineStr">
        <is>
          <t>A 13817-2024</t>
        </is>
      </c>
      <c r="B894" s="1" t="n">
        <v>45391.41976851852</v>
      </c>
      <c r="C894" s="1" t="n">
        <v>46086</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22399-2025</t>
        </is>
      </c>
      <c r="B895" s="1" t="n">
        <v>45786.52996527778</v>
      </c>
      <c r="C895" s="1" t="n">
        <v>46086</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22397-2025</t>
        </is>
      </c>
      <c r="B896" s="1" t="n">
        <v>45786.52878472222</v>
      </c>
      <c r="C896" s="1" t="n">
        <v>46086</v>
      </c>
      <c r="D896" t="inlineStr">
        <is>
          <t>KALMAR LÄN</t>
        </is>
      </c>
      <c r="E896" t="inlineStr">
        <is>
          <t>VIMMERBY</t>
        </is>
      </c>
      <c r="G896" t="n">
        <v>0.8</v>
      </c>
      <c r="H896" t="n">
        <v>0</v>
      </c>
      <c r="I896" t="n">
        <v>0</v>
      </c>
      <c r="J896" t="n">
        <v>0</v>
      </c>
      <c r="K896" t="n">
        <v>0</v>
      </c>
      <c r="L896" t="n">
        <v>0</v>
      </c>
      <c r="M896" t="n">
        <v>0</v>
      </c>
      <c r="N896" t="n">
        <v>0</v>
      </c>
      <c r="O896" t="n">
        <v>0</v>
      </c>
      <c r="P896" t="n">
        <v>0</v>
      </c>
      <c r="Q896" t="n">
        <v>0</v>
      </c>
      <c r="R896" s="2" t="inlineStr"/>
    </row>
    <row r="897" ht="15" customHeight="1">
      <c r="A897" t="inlineStr">
        <is>
          <t>A 25582-2024</t>
        </is>
      </c>
      <c r="B897" s="1" t="n">
        <v>45463</v>
      </c>
      <c r="C897" s="1" t="n">
        <v>46086</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57578-2024</t>
        </is>
      </c>
      <c r="B898" s="1" t="n">
        <v>45630.47564814815</v>
      </c>
      <c r="C898" s="1" t="n">
        <v>46086</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46086</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ht="15" customHeight="1">
      <c r="A900" t="inlineStr">
        <is>
          <t>A 11442-2025</t>
        </is>
      </c>
      <c r="B900" s="1" t="n">
        <v>45726.62721064815</v>
      </c>
      <c r="C900" s="1" t="n">
        <v>46086</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23394-2025</t>
        </is>
      </c>
      <c r="B901" s="1" t="n">
        <v>45791.89865740741</v>
      </c>
      <c r="C901" s="1" t="n">
        <v>46086</v>
      </c>
      <c r="D901" t="inlineStr">
        <is>
          <t>KALMAR LÄN</t>
        </is>
      </c>
      <c r="E901" t="inlineStr">
        <is>
          <t>VIMMERBY</t>
        </is>
      </c>
      <c r="G901" t="n">
        <v>3.1</v>
      </c>
      <c r="H901" t="n">
        <v>0</v>
      </c>
      <c r="I901" t="n">
        <v>0</v>
      </c>
      <c r="J901" t="n">
        <v>0</v>
      </c>
      <c r="K901" t="n">
        <v>0</v>
      </c>
      <c r="L901" t="n">
        <v>0</v>
      </c>
      <c r="M901" t="n">
        <v>0</v>
      </c>
      <c r="N901" t="n">
        <v>0</v>
      </c>
      <c r="O901" t="n">
        <v>0</v>
      </c>
      <c r="P901" t="n">
        <v>0</v>
      </c>
      <c r="Q901" t="n">
        <v>0</v>
      </c>
      <c r="R901" s="2" t="inlineStr"/>
    </row>
    <row r="902" ht="15" customHeight="1">
      <c r="A902" t="inlineStr">
        <is>
          <t>A 23984-2025</t>
        </is>
      </c>
      <c r="B902" s="1" t="n">
        <v>45796</v>
      </c>
      <c r="C902" s="1" t="n">
        <v>46086</v>
      </c>
      <c r="D902" t="inlineStr">
        <is>
          <t>KALMAR LÄN</t>
        </is>
      </c>
      <c r="E902" t="inlineStr">
        <is>
          <t>VIMMERBY</t>
        </is>
      </c>
      <c r="G902" t="n">
        <v>1.4</v>
      </c>
      <c r="H902" t="n">
        <v>0</v>
      </c>
      <c r="I902" t="n">
        <v>0</v>
      </c>
      <c r="J902" t="n">
        <v>0</v>
      </c>
      <c r="K902" t="n">
        <v>0</v>
      </c>
      <c r="L902" t="n">
        <v>0</v>
      </c>
      <c r="M902" t="n">
        <v>0</v>
      </c>
      <c r="N902" t="n">
        <v>0</v>
      </c>
      <c r="O902" t="n">
        <v>0</v>
      </c>
      <c r="P902" t="n">
        <v>0</v>
      </c>
      <c r="Q902" t="n">
        <v>0</v>
      </c>
      <c r="R902" s="2" t="inlineStr"/>
    </row>
    <row r="903" ht="15" customHeight="1">
      <c r="A903" t="inlineStr">
        <is>
          <t>A 35082-2024</t>
        </is>
      </c>
      <c r="B903" s="1" t="n">
        <v>45527.68784722222</v>
      </c>
      <c r="C903" s="1" t="n">
        <v>46086</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51278-2024</t>
        </is>
      </c>
      <c r="B904" s="1" t="n">
        <v>45603.74959490741</v>
      </c>
      <c r="C904" s="1" t="n">
        <v>46086</v>
      </c>
      <c r="D904" t="inlineStr">
        <is>
          <t>KALMAR LÄN</t>
        </is>
      </c>
      <c r="E904" t="inlineStr">
        <is>
          <t>VIMMERBY</t>
        </is>
      </c>
      <c r="G904" t="n">
        <v>3.4</v>
      </c>
      <c r="H904" t="n">
        <v>0</v>
      </c>
      <c r="I904" t="n">
        <v>0</v>
      </c>
      <c r="J904" t="n">
        <v>0</v>
      </c>
      <c r="K904" t="n">
        <v>0</v>
      </c>
      <c r="L904" t="n">
        <v>0</v>
      </c>
      <c r="M904" t="n">
        <v>0</v>
      </c>
      <c r="N904" t="n">
        <v>0</v>
      </c>
      <c r="O904" t="n">
        <v>0</v>
      </c>
      <c r="P904" t="n">
        <v>0</v>
      </c>
      <c r="Q904" t="n">
        <v>0</v>
      </c>
      <c r="R904" s="2" t="inlineStr"/>
    </row>
    <row r="905" ht="15" customHeight="1">
      <c r="A905" t="inlineStr">
        <is>
          <t>A 9456-2025</t>
        </is>
      </c>
      <c r="B905" s="1" t="n">
        <v>45715.44159722222</v>
      </c>
      <c r="C905" s="1" t="n">
        <v>46086</v>
      </c>
      <c r="D905" t="inlineStr">
        <is>
          <t>KALMAR LÄN</t>
        </is>
      </c>
      <c r="E905" t="inlineStr">
        <is>
          <t>VIMMERBY</t>
        </is>
      </c>
      <c r="G905" t="n">
        <v>1.5</v>
      </c>
      <c r="H905" t="n">
        <v>0</v>
      </c>
      <c r="I905" t="n">
        <v>0</v>
      </c>
      <c r="J905" t="n">
        <v>0</v>
      </c>
      <c r="K905" t="n">
        <v>0</v>
      </c>
      <c r="L905" t="n">
        <v>0</v>
      </c>
      <c r="M905" t="n">
        <v>0</v>
      </c>
      <c r="N905" t="n">
        <v>0</v>
      </c>
      <c r="O905" t="n">
        <v>0</v>
      </c>
      <c r="P905" t="n">
        <v>0</v>
      </c>
      <c r="Q905" t="n">
        <v>0</v>
      </c>
      <c r="R905" s="2" t="inlineStr"/>
    </row>
    <row r="906" ht="15" customHeight="1">
      <c r="A906" t="inlineStr">
        <is>
          <t>A 11111-2023</t>
        </is>
      </c>
      <c r="B906" s="1" t="n">
        <v>44992.4255787037</v>
      </c>
      <c r="C906" s="1" t="n">
        <v>46086</v>
      </c>
      <c r="D906" t="inlineStr">
        <is>
          <t>KALMAR LÄN</t>
        </is>
      </c>
      <c r="E906" t="inlineStr">
        <is>
          <t>VIMMERBY</t>
        </is>
      </c>
      <c r="G906" t="n">
        <v>0.8</v>
      </c>
      <c r="H906" t="n">
        <v>0</v>
      </c>
      <c r="I906" t="n">
        <v>0</v>
      </c>
      <c r="J906" t="n">
        <v>0</v>
      </c>
      <c r="K906" t="n">
        <v>0</v>
      </c>
      <c r="L906" t="n">
        <v>0</v>
      </c>
      <c r="M906" t="n">
        <v>0</v>
      </c>
      <c r="N906" t="n">
        <v>0</v>
      </c>
      <c r="O906" t="n">
        <v>0</v>
      </c>
      <c r="P906" t="n">
        <v>0</v>
      </c>
      <c r="Q906" t="n">
        <v>0</v>
      </c>
      <c r="R906" s="2" t="inlineStr"/>
    </row>
    <row r="907" ht="15" customHeight="1">
      <c r="A907" t="inlineStr">
        <is>
          <t>A 44582-2024</t>
        </is>
      </c>
      <c r="B907" s="1" t="n">
        <v>45574.49298611111</v>
      </c>
      <c r="C907" s="1" t="n">
        <v>46086</v>
      </c>
      <c r="D907" t="inlineStr">
        <is>
          <t>KALMAR LÄN</t>
        </is>
      </c>
      <c r="E907" t="inlineStr">
        <is>
          <t>VIMMERBY</t>
        </is>
      </c>
      <c r="G907" t="n">
        <v>1.1</v>
      </c>
      <c r="H907" t="n">
        <v>0</v>
      </c>
      <c r="I907" t="n">
        <v>0</v>
      </c>
      <c r="J907" t="n">
        <v>0</v>
      </c>
      <c r="K907" t="n">
        <v>0</v>
      </c>
      <c r="L907" t="n">
        <v>0</v>
      </c>
      <c r="M907" t="n">
        <v>0</v>
      </c>
      <c r="N907" t="n">
        <v>0</v>
      </c>
      <c r="O907" t="n">
        <v>0</v>
      </c>
      <c r="P907" t="n">
        <v>0</v>
      </c>
      <c r="Q907" t="n">
        <v>0</v>
      </c>
      <c r="R907" s="2" t="inlineStr"/>
    </row>
    <row r="908" ht="15" customHeight="1">
      <c r="A908" t="inlineStr">
        <is>
          <t>A 15494-2024</t>
        </is>
      </c>
      <c r="B908" s="1" t="n">
        <v>45401.53033564815</v>
      </c>
      <c r="C908" s="1" t="n">
        <v>46086</v>
      </c>
      <c r="D908" t="inlineStr">
        <is>
          <t>KALMAR LÄN</t>
        </is>
      </c>
      <c r="E908" t="inlineStr">
        <is>
          <t>VIMMERBY</t>
        </is>
      </c>
      <c r="G908" t="n">
        <v>3.2</v>
      </c>
      <c r="H908" t="n">
        <v>0</v>
      </c>
      <c r="I908" t="n">
        <v>0</v>
      </c>
      <c r="J908" t="n">
        <v>0</v>
      </c>
      <c r="K908" t="n">
        <v>0</v>
      </c>
      <c r="L908" t="n">
        <v>0</v>
      </c>
      <c r="M908" t="n">
        <v>0</v>
      </c>
      <c r="N908" t="n">
        <v>0</v>
      </c>
      <c r="O908" t="n">
        <v>0</v>
      </c>
      <c r="P908" t="n">
        <v>0</v>
      </c>
      <c r="Q908" t="n">
        <v>0</v>
      </c>
      <c r="R908" s="2" t="inlineStr"/>
    </row>
    <row r="909" ht="15" customHeight="1">
      <c r="A909" t="inlineStr">
        <is>
          <t>A 58724-2024</t>
        </is>
      </c>
      <c r="B909" s="1" t="n">
        <v>45635.66409722222</v>
      </c>
      <c r="C909" s="1" t="n">
        <v>46086</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25792-2025</t>
        </is>
      </c>
      <c r="B910" s="1" t="n">
        <v>45804.39141203704</v>
      </c>
      <c r="C910" s="1" t="n">
        <v>46086</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26039-2025</t>
        </is>
      </c>
      <c r="B911" s="1" t="n">
        <v>45804.6953587963</v>
      </c>
      <c r="C911" s="1" t="n">
        <v>46086</v>
      </c>
      <c r="D911" t="inlineStr">
        <is>
          <t>KALMAR LÄN</t>
        </is>
      </c>
      <c r="E911" t="inlineStr">
        <is>
          <t>VIMMERBY</t>
        </is>
      </c>
      <c r="F911" t="inlineStr">
        <is>
          <t>Sveaskog</t>
        </is>
      </c>
      <c r="G911" t="n">
        <v>5.2</v>
      </c>
      <c r="H911" t="n">
        <v>0</v>
      </c>
      <c r="I911" t="n">
        <v>0</v>
      </c>
      <c r="J911" t="n">
        <v>0</v>
      </c>
      <c r="K911" t="n">
        <v>0</v>
      </c>
      <c r="L911" t="n">
        <v>0</v>
      </c>
      <c r="M911" t="n">
        <v>0</v>
      </c>
      <c r="N911" t="n">
        <v>0</v>
      </c>
      <c r="O911" t="n">
        <v>0</v>
      </c>
      <c r="P911" t="n">
        <v>0</v>
      </c>
      <c r="Q911" t="n">
        <v>0</v>
      </c>
      <c r="R911" s="2" t="inlineStr"/>
    </row>
    <row r="912" ht="15" customHeight="1">
      <c r="A912" t="inlineStr">
        <is>
          <t>A 26046-2025</t>
        </is>
      </c>
      <c r="B912" s="1" t="n">
        <v>45804.708125</v>
      </c>
      <c r="C912" s="1" t="n">
        <v>46086</v>
      </c>
      <c r="D912" t="inlineStr">
        <is>
          <t>KALMAR LÄN</t>
        </is>
      </c>
      <c r="E912" t="inlineStr">
        <is>
          <t>VIMMERBY</t>
        </is>
      </c>
      <c r="F912" t="inlineStr">
        <is>
          <t>Sveaskog</t>
        </is>
      </c>
      <c r="G912" t="n">
        <v>5.1</v>
      </c>
      <c r="H912" t="n">
        <v>0</v>
      </c>
      <c r="I912" t="n">
        <v>0</v>
      </c>
      <c r="J912" t="n">
        <v>0</v>
      </c>
      <c r="K912" t="n">
        <v>0</v>
      </c>
      <c r="L912" t="n">
        <v>0</v>
      </c>
      <c r="M912" t="n">
        <v>0</v>
      </c>
      <c r="N912" t="n">
        <v>0</v>
      </c>
      <c r="O912" t="n">
        <v>0</v>
      </c>
      <c r="P912" t="n">
        <v>0</v>
      </c>
      <c r="Q912" t="n">
        <v>0</v>
      </c>
      <c r="R912" s="2" t="inlineStr"/>
    </row>
    <row r="913" ht="15" customHeight="1">
      <c r="A913" t="inlineStr">
        <is>
          <t>A 26124-2025</t>
        </is>
      </c>
      <c r="B913" s="1" t="n">
        <v>45805.39247685186</v>
      </c>
      <c r="C913" s="1" t="n">
        <v>46086</v>
      </c>
      <c r="D913" t="inlineStr">
        <is>
          <t>KALMAR LÄN</t>
        </is>
      </c>
      <c r="E913" t="inlineStr">
        <is>
          <t>VIMMERBY</t>
        </is>
      </c>
      <c r="G913" t="n">
        <v>6.6</v>
      </c>
      <c r="H913" t="n">
        <v>0</v>
      </c>
      <c r="I913" t="n">
        <v>0</v>
      </c>
      <c r="J913" t="n">
        <v>0</v>
      </c>
      <c r="K913" t="n">
        <v>0</v>
      </c>
      <c r="L913" t="n">
        <v>0</v>
      </c>
      <c r="M913" t="n">
        <v>0</v>
      </c>
      <c r="N913" t="n">
        <v>0</v>
      </c>
      <c r="O913" t="n">
        <v>0</v>
      </c>
      <c r="P913" t="n">
        <v>0</v>
      </c>
      <c r="Q913" t="n">
        <v>0</v>
      </c>
      <c r="R913" s="2" t="inlineStr"/>
    </row>
    <row r="914" ht="15" customHeight="1">
      <c r="A914" t="inlineStr">
        <is>
          <t>A 26207-2025</t>
        </is>
      </c>
      <c r="B914" s="1" t="n">
        <v>45805.52983796296</v>
      </c>
      <c r="C914" s="1" t="n">
        <v>46086</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25830-2025</t>
        </is>
      </c>
      <c r="B915" s="1" t="n">
        <v>45804.44519675926</v>
      </c>
      <c r="C915" s="1" t="n">
        <v>46086</v>
      </c>
      <c r="D915" t="inlineStr">
        <is>
          <t>KALMAR LÄN</t>
        </is>
      </c>
      <c r="E915" t="inlineStr">
        <is>
          <t>VIMMERBY</t>
        </is>
      </c>
      <c r="G915" t="n">
        <v>4.9</v>
      </c>
      <c r="H915" t="n">
        <v>0</v>
      </c>
      <c r="I915" t="n">
        <v>0</v>
      </c>
      <c r="J915" t="n">
        <v>0</v>
      </c>
      <c r="K915" t="n">
        <v>0</v>
      </c>
      <c r="L915" t="n">
        <v>0</v>
      </c>
      <c r="M915" t="n">
        <v>0</v>
      </c>
      <c r="N915" t="n">
        <v>0</v>
      </c>
      <c r="O915" t="n">
        <v>0</v>
      </c>
      <c r="P915" t="n">
        <v>0</v>
      </c>
      <c r="Q915" t="n">
        <v>0</v>
      </c>
      <c r="R915" s="2" t="inlineStr"/>
    </row>
    <row r="916">
      <c r="A916" t="inlineStr">
        <is>
          <t>A 26254-2025</t>
        </is>
      </c>
      <c r="B916" s="1" t="n">
        <v>45805</v>
      </c>
      <c r="C916" s="1" t="n">
        <v>46086</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2026-03-05T11:17:58Z</dcterms:created>
  <dcterms:modified xmlns:dcterms="http://purl.org/dc/terms/" xmlns:xsi="http://www.w3.org/2001/XMLSchema-instance" xsi:type="dcterms:W3CDTF">2026-03-05T11:17:59Z</dcterms:modified>
</cp:coreProperties>
</file>