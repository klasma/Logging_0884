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45966</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45966</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45966</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46824-2025</t>
        </is>
      </c>
      <c r="B11" s="1" t="n">
        <v>45926.90006944445</v>
      </c>
      <c r="C11" s="1" t="n">
        <v>45966</v>
      </c>
      <c r="D11" t="inlineStr">
        <is>
          <t>KALMAR LÄN</t>
        </is>
      </c>
      <c r="E11" t="inlineStr">
        <is>
          <t>VIMMERBY</t>
        </is>
      </c>
      <c r="G11" t="n">
        <v>2.8</v>
      </c>
      <c r="H11" t="n">
        <v>2</v>
      </c>
      <c r="I11" t="n">
        <v>2</v>
      </c>
      <c r="J11" t="n">
        <v>0</v>
      </c>
      <c r="K11" t="n">
        <v>1</v>
      </c>
      <c r="L11" t="n">
        <v>0</v>
      </c>
      <c r="M11" t="n">
        <v>0</v>
      </c>
      <c r="N11" t="n">
        <v>0</v>
      </c>
      <c r="O11" t="n">
        <v>1</v>
      </c>
      <c r="P11" t="n">
        <v>1</v>
      </c>
      <c r="Q11" t="n">
        <v>4</v>
      </c>
      <c r="R11" s="2" t="inlineStr">
        <is>
          <t>Knärot
Dropptaggsvamp
Fjällig taggsvamp s.str.
Kungsfågel</t>
        </is>
      </c>
      <c r="S11">
        <f>HYPERLINK("https://klasma.github.io/Logging_0884/artfynd/A 46824-2025 artfynd.xlsx", "A 46824-2025")</f>
        <v/>
      </c>
      <c r="T11">
        <f>HYPERLINK("https://klasma.github.io/Logging_0884/kartor/A 46824-2025 karta.png", "A 46824-2025")</f>
        <v/>
      </c>
      <c r="U11">
        <f>HYPERLINK("https://klasma.github.io/Logging_0884/knärot/A 46824-2025 karta knärot.png", "A 46824-2025")</f>
        <v/>
      </c>
      <c r="V11">
        <f>HYPERLINK("https://klasma.github.io/Logging_0884/klagomål/A 46824-2025 FSC-klagomål.docx", "A 46824-2025")</f>
        <v/>
      </c>
      <c r="W11">
        <f>HYPERLINK("https://klasma.github.io/Logging_0884/klagomålsmail/A 46824-2025 FSC-klagomål mail.docx", "A 46824-2025")</f>
        <v/>
      </c>
      <c r="X11">
        <f>HYPERLINK("https://klasma.github.io/Logging_0884/tillsyn/A 46824-2025 tillsynsbegäran.docx", "A 46824-2025")</f>
        <v/>
      </c>
      <c r="Y11">
        <f>HYPERLINK("https://klasma.github.io/Logging_0884/tillsynsmail/A 46824-2025 tillsynsbegäran mail.docx", "A 46824-2025")</f>
        <v/>
      </c>
      <c r="Z11">
        <f>HYPERLINK("https://klasma.github.io/Logging_0884/fåglar/A 46824-2025 prioriterade fågelarter.docx", "A 46824-2025")</f>
        <v/>
      </c>
    </row>
    <row r="12" ht="15" customHeight="1">
      <c r="A12" t="inlineStr">
        <is>
          <t>A 3075-2025</t>
        </is>
      </c>
      <c r="B12" s="1" t="n">
        <v>45678</v>
      </c>
      <c r="C12" s="1" t="n">
        <v>45966</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32645-2023</t>
        </is>
      </c>
      <c r="B13" s="1" t="n">
        <v>45121.60543981481</v>
      </c>
      <c r="C13" s="1" t="n">
        <v>45966</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15808-2025</t>
        </is>
      </c>
      <c r="B14" s="1" t="n">
        <v>45748</v>
      </c>
      <c r="C14" s="1" t="n">
        <v>45966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45966</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45966</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45966</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45966</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37667-2025</t>
        </is>
      </c>
      <c r="B19" s="1" t="n">
        <v>45880.51413194444</v>
      </c>
      <c r="C19" s="1" t="n">
        <v>45966</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45966</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45966</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45966</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45966</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40684-2025</t>
        </is>
      </c>
      <c r="B24" s="1" t="n">
        <v>45896.86820601852</v>
      </c>
      <c r="C24" s="1" t="n">
        <v>45966</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17935-2025</t>
        </is>
      </c>
      <c r="B25" s="1" t="n">
        <v>45760.34877314815</v>
      </c>
      <c r="C25" s="1" t="n">
        <v>45966</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45966</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42802-2025</t>
        </is>
      </c>
      <c r="B27" s="1" t="n">
        <v>45908</v>
      </c>
      <c r="C27" s="1" t="n">
        <v>45966</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22396-2025</t>
        </is>
      </c>
      <c r="B28" s="1" t="n">
        <v>45786.52827546297</v>
      </c>
      <c r="C28" s="1" t="n">
        <v>45966</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53787-2025</t>
        </is>
      </c>
      <c r="B29" s="1" t="n">
        <v>45960</v>
      </c>
      <c r="C29" s="1" t="n">
        <v>45966</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2518-2023</t>
        </is>
      </c>
      <c r="B30" s="1" t="n">
        <v>44943</v>
      </c>
      <c r="C30" s="1" t="n">
        <v>45966</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22825-2023</t>
        </is>
      </c>
      <c r="B31" s="1" t="n">
        <v>45072</v>
      </c>
      <c r="C31" s="1" t="n">
        <v>45966</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32396-2021</t>
        </is>
      </c>
      <c r="B32" s="1" t="n">
        <v>44371</v>
      </c>
      <c r="C32" s="1" t="n">
        <v>45966</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23602-2023</t>
        </is>
      </c>
      <c r="B33" s="1" t="n">
        <v>45077</v>
      </c>
      <c r="C33" s="1" t="n">
        <v>45966</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6841-2021</t>
        </is>
      </c>
      <c r="B34" s="1" t="n">
        <v>44236</v>
      </c>
      <c r="C34" s="1" t="n">
        <v>45966</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38602-2025</t>
        </is>
      </c>
      <c r="B35" s="1" t="n">
        <v>45884.50331018519</v>
      </c>
      <c r="C35" s="1" t="n">
        <v>45966</v>
      </c>
      <c r="D35" t="inlineStr">
        <is>
          <t>KALMAR LÄN</t>
        </is>
      </c>
      <c r="E35" t="inlineStr">
        <is>
          <t>VIMMERBY</t>
        </is>
      </c>
      <c r="F35" t="inlineStr">
        <is>
          <t>Sveaskog</t>
        </is>
      </c>
      <c r="G35" t="n">
        <v>4.9</v>
      </c>
      <c r="H35" t="n">
        <v>1</v>
      </c>
      <c r="I35" t="n">
        <v>0</v>
      </c>
      <c r="J35" t="n">
        <v>0</v>
      </c>
      <c r="K35" t="n">
        <v>1</v>
      </c>
      <c r="L35" t="n">
        <v>0</v>
      </c>
      <c r="M35" t="n">
        <v>0</v>
      </c>
      <c r="N35" t="n">
        <v>0</v>
      </c>
      <c r="O35" t="n">
        <v>1</v>
      </c>
      <c r="P35" t="n">
        <v>1</v>
      </c>
      <c r="Q35" t="n">
        <v>1</v>
      </c>
      <c r="R35" s="2" t="inlineStr">
        <is>
          <t>Knärot</t>
        </is>
      </c>
      <c r="S35">
        <f>HYPERLINK("https://klasma.github.io/Logging_0884/artfynd/A 38602-2025 artfynd.xlsx", "A 38602-2025")</f>
        <v/>
      </c>
      <c r="T35">
        <f>HYPERLINK("https://klasma.github.io/Logging_0884/kartor/A 38602-2025 karta.png", "A 38602-2025")</f>
        <v/>
      </c>
      <c r="U35">
        <f>HYPERLINK("https://klasma.github.io/Logging_0884/knärot/A 38602-2025 karta knärot.png", "A 38602-2025")</f>
        <v/>
      </c>
      <c r="V35">
        <f>HYPERLINK("https://klasma.github.io/Logging_0884/klagomål/A 38602-2025 FSC-klagomål.docx", "A 38602-2025")</f>
        <v/>
      </c>
      <c r="W35">
        <f>HYPERLINK("https://klasma.github.io/Logging_0884/klagomålsmail/A 38602-2025 FSC-klagomål mail.docx", "A 38602-2025")</f>
        <v/>
      </c>
      <c r="X35">
        <f>HYPERLINK("https://klasma.github.io/Logging_0884/tillsyn/A 38602-2025 tillsynsbegäran.docx", "A 38602-2025")</f>
        <v/>
      </c>
      <c r="Y35">
        <f>HYPERLINK("https://klasma.github.io/Logging_0884/tillsynsmail/A 38602-2025 tillsynsbegäran mail.docx", "A 38602-2025")</f>
        <v/>
      </c>
    </row>
    <row r="36" ht="15" customHeight="1">
      <c r="A36" t="inlineStr">
        <is>
          <t>A 61860-2024</t>
        </is>
      </c>
      <c r="B36" s="1" t="n">
        <v>45649</v>
      </c>
      <c r="C36" s="1" t="n">
        <v>45966</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44515-2024</t>
        </is>
      </c>
      <c r="B37" s="1" t="n">
        <v>45574.42767361111</v>
      </c>
      <c r="C37" s="1" t="n">
        <v>45966</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32985-2023</t>
        </is>
      </c>
      <c r="B38" s="1" t="n">
        <v>45125</v>
      </c>
      <c r="C38" s="1" t="n">
        <v>45966</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15122-2024</t>
        </is>
      </c>
      <c r="B39" s="1" t="n">
        <v>45399.71412037037</v>
      </c>
      <c r="C39" s="1" t="n">
        <v>45966</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9067-2025</t>
        </is>
      </c>
      <c r="B40" s="1" t="n">
        <v>45713</v>
      </c>
      <c r="C40" s="1" t="n">
        <v>45966</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9067-2025 artfynd.xlsx", "A 9067-2025")</f>
        <v/>
      </c>
      <c r="T40">
        <f>HYPERLINK("https://klasma.github.io/Logging_0884/kartor/A 9067-2025 karta.png", "A 9067-2025")</f>
        <v/>
      </c>
      <c r="V40">
        <f>HYPERLINK("https://klasma.github.io/Logging_0884/klagomål/A 9067-2025 FSC-klagomål.docx", "A 9067-2025")</f>
        <v/>
      </c>
      <c r="W40">
        <f>HYPERLINK("https://klasma.github.io/Logging_0884/klagomålsmail/A 9067-2025 FSC-klagomål mail.docx", "A 9067-2025")</f>
        <v/>
      </c>
      <c r="X40">
        <f>HYPERLINK("https://klasma.github.io/Logging_0884/tillsyn/A 9067-2025 tillsynsbegäran.docx", "A 9067-2025")</f>
        <v/>
      </c>
      <c r="Y40">
        <f>HYPERLINK("https://klasma.github.io/Logging_0884/tillsynsmail/A 9067-2025 tillsynsbegäran mail.docx", "A 9067-2025")</f>
        <v/>
      </c>
    </row>
    <row r="41" ht="15" customHeight="1">
      <c r="A41" t="inlineStr">
        <is>
          <t>A 1201-2025</t>
        </is>
      </c>
      <c r="B41" s="1" t="n">
        <v>45667</v>
      </c>
      <c r="C41" s="1" t="n">
        <v>45966</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29183-2025</t>
        </is>
      </c>
      <c r="B42" s="1" t="n">
        <v>45821</v>
      </c>
      <c r="C42" s="1" t="n">
        <v>45966</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37930-2021</t>
        </is>
      </c>
      <c r="B43" s="1" t="n">
        <v>44403</v>
      </c>
      <c r="C43" s="1" t="n">
        <v>45966</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33436-2021</t>
        </is>
      </c>
      <c r="B44" s="1" t="n">
        <v>44377.61104166666</v>
      </c>
      <c r="C44" s="1" t="n">
        <v>45966</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28852-2023</t>
        </is>
      </c>
      <c r="B45" s="1" t="n">
        <v>45104</v>
      </c>
      <c r="C45" s="1" t="n">
        <v>45966</v>
      </c>
      <c r="D45" t="inlineStr">
        <is>
          <t>KALMAR LÄN</t>
        </is>
      </c>
      <c r="E45" t="inlineStr">
        <is>
          <t>VIMMERBY</t>
        </is>
      </c>
      <c r="G45" t="n">
        <v>0.7</v>
      </c>
      <c r="H45" t="n">
        <v>0</v>
      </c>
      <c r="I45" t="n">
        <v>1</v>
      </c>
      <c r="J45" t="n">
        <v>0</v>
      </c>
      <c r="K45" t="n">
        <v>0</v>
      </c>
      <c r="L45" t="n">
        <v>0</v>
      </c>
      <c r="M45" t="n">
        <v>0</v>
      </c>
      <c r="N45" t="n">
        <v>0</v>
      </c>
      <c r="O45" t="n">
        <v>0</v>
      </c>
      <c r="P45" t="n">
        <v>0</v>
      </c>
      <c r="Q45" t="n">
        <v>1</v>
      </c>
      <c r="R45" s="2" t="inlineStr">
        <is>
          <t>Tibast</t>
        </is>
      </c>
      <c r="S45">
        <f>HYPERLINK("https://klasma.github.io/Logging_0884/artfynd/A 28852-2023 artfynd.xlsx", "A 28852-2023")</f>
        <v/>
      </c>
      <c r="T45">
        <f>HYPERLINK("https://klasma.github.io/Logging_0884/kartor/A 28852-2023 karta.png", "A 28852-2023")</f>
        <v/>
      </c>
      <c r="V45">
        <f>HYPERLINK("https://klasma.github.io/Logging_0884/klagomål/A 28852-2023 FSC-klagomål.docx", "A 28852-2023")</f>
        <v/>
      </c>
      <c r="W45">
        <f>HYPERLINK("https://klasma.github.io/Logging_0884/klagomålsmail/A 28852-2023 FSC-klagomål mail.docx", "A 28852-2023")</f>
        <v/>
      </c>
      <c r="X45">
        <f>HYPERLINK("https://klasma.github.io/Logging_0884/tillsyn/A 28852-2023 tillsynsbegäran.docx", "A 28852-2023")</f>
        <v/>
      </c>
      <c r="Y45">
        <f>HYPERLINK("https://klasma.github.io/Logging_0884/tillsynsmail/A 28852-2023 tillsynsbegäran mail.docx", "A 28852-2023")</f>
        <v/>
      </c>
    </row>
    <row r="46" ht="15" customHeight="1">
      <c r="A46" t="inlineStr">
        <is>
          <t>A 52301-2023</t>
        </is>
      </c>
      <c r="B46" s="1" t="n">
        <v>45224</v>
      </c>
      <c r="C46" s="1" t="n">
        <v>45966</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40083-2023</t>
        </is>
      </c>
      <c r="B47" s="1" t="n">
        <v>45168</v>
      </c>
      <c r="C47" s="1" t="n">
        <v>45966</v>
      </c>
      <c r="D47" t="inlineStr">
        <is>
          <t>KALMAR LÄN</t>
        </is>
      </c>
      <c r="E47" t="inlineStr">
        <is>
          <t>VIMMERBY</t>
        </is>
      </c>
      <c r="G47" t="n">
        <v>2.2</v>
      </c>
      <c r="H47" t="n">
        <v>1</v>
      </c>
      <c r="I47" t="n">
        <v>0</v>
      </c>
      <c r="J47" t="n">
        <v>0</v>
      </c>
      <c r="K47" t="n">
        <v>0</v>
      </c>
      <c r="L47" t="n">
        <v>0</v>
      </c>
      <c r="M47" t="n">
        <v>0</v>
      </c>
      <c r="N47" t="n">
        <v>0</v>
      </c>
      <c r="O47" t="n">
        <v>0</v>
      </c>
      <c r="P47" t="n">
        <v>0</v>
      </c>
      <c r="Q47" t="n">
        <v>1</v>
      </c>
      <c r="R47" s="2" t="inlineStr">
        <is>
          <t>Revlummer</t>
        </is>
      </c>
      <c r="S47">
        <f>HYPERLINK("https://klasma.github.io/Logging_0884/artfynd/A 40083-2023 artfynd.xlsx", "A 40083-2023")</f>
        <v/>
      </c>
      <c r="T47">
        <f>HYPERLINK("https://klasma.github.io/Logging_0884/kartor/A 40083-2023 karta.png", "A 40083-2023")</f>
        <v/>
      </c>
      <c r="V47">
        <f>HYPERLINK("https://klasma.github.io/Logging_0884/klagomål/A 40083-2023 FSC-klagomål.docx", "A 40083-2023")</f>
        <v/>
      </c>
      <c r="W47">
        <f>HYPERLINK("https://klasma.github.io/Logging_0884/klagomålsmail/A 40083-2023 FSC-klagomål mail.docx", "A 40083-2023")</f>
        <v/>
      </c>
      <c r="X47">
        <f>HYPERLINK("https://klasma.github.io/Logging_0884/tillsyn/A 40083-2023 tillsynsbegäran.docx", "A 40083-2023")</f>
        <v/>
      </c>
      <c r="Y47">
        <f>HYPERLINK("https://klasma.github.io/Logging_0884/tillsynsmail/A 40083-2023 tillsynsbegäran mail.docx", "A 40083-2023")</f>
        <v/>
      </c>
    </row>
    <row r="48" ht="15" customHeight="1">
      <c r="A48" t="inlineStr">
        <is>
          <t>A 40084-2023</t>
        </is>
      </c>
      <c r="B48" s="1" t="n">
        <v>45168</v>
      </c>
      <c r="C48" s="1" t="n">
        <v>45966</v>
      </c>
      <c r="D48" t="inlineStr">
        <is>
          <t>KALMAR LÄN</t>
        </is>
      </c>
      <c r="E48" t="inlineStr">
        <is>
          <t>VIMMERBY</t>
        </is>
      </c>
      <c r="G48" t="n">
        <v>1.3</v>
      </c>
      <c r="H48" t="n">
        <v>1</v>
      </c>
      <c r="I48" t="n">
        <v>0</v>
      </c>
      <c r="J48" t="n">
        <v>1</v>
      </c>
      <c r="K48" t="n">
        <v>0</v>
      </c>
      <c r="L48" t="n">
        <v>0</v>
      </c>
      <c r="M48" t="n">
        <v>0</v>
      </c>
      <c r="N48" t="n">
        <v>0</v>
      </c>
      <c r="O48" t="n">
        <v>1</v>
      </c>
      <c r="P48" t="n">
        <v>0</v>
      </c>
      <c r="Q48" t="n">
        <v>1</v>
      </c>
      <c r="R48" s="2" t="inlineStr">
        <is>
          <t>Entita</t>
        </is>
      </c>
      <c r="S48">
        <f>HYPERLINK("https://klasma.github.io/Logging_0884/artfynd/A 40084-2023 artfynd.xlsx", "A 40084-2023")</f>
        <v/>
      </c>
      <c r="T48">
        <f>HYPERLINK("https://klasma.github.io/Logging_0884/kartor/A 40084-2023 karta.png", "A 40084-2023")</f>
        <v/>
      </c>
      <c r="V48">
        <f>HYPERLINK("https://klasma.github.io/Logging_0884/klagomål/A 40084-2023 FSC-klagomål.docx", "A 40084-2023")</f>
        <v/>
      </c>
      <c r="W48">
        <f>HYPERLINK("https://klasma.github.io/Logging_0884/klagomålsmail/A 40084-2023 FSC-klagomål mail.docx", "A 40084-2023")</f>
        <v/>
      </c>
      <c r="X48">
        <f>HYPERLINK("https://klasma.github.io/Logging_0884/tillsyn/A 40084-2023 tillsynsbegäran.docx", "A 40084-2023")</f>
        <v/>
      </c>
      <c r="Y48">
        <f>HYPERLINK("https://klasma.github.io/Logging_0884/tillsynsmail/A 40084-2023 tillsynsbegäran mail.docx", "A 40084-2023")</f>
        <v/>
      </c>
      <c r="Z48">
        <f>HYPERLINK("https://klasma.github.io/Logging_0884/fåglar/A 40084-2023 prioriterade fågelarter.docx", "A 40084-2023")</f>
        <v/>
      </c>
    </row>
    <row r="49" ht="15" customHeight="1">
      <c r="A49" t="inlineStr">
        <is>
          <t>A 15903-2021</t>
        </is>
      </c>
      <c r="B49" s="1" t="n">
        <v>44287.33261574074</v>
      </c>
      <c r="C49" s="1" t="n">
        <v>45966</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45966</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45966</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45966</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45966</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45966</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45966</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45966</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45966</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45966</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45966</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45966</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45966</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45966</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45966</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45966</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45966</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45966</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45966</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45966</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45966</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7515-2021</t>
        </is>
      </c>
      <c r="B70" s="1" t="n">
        <v>44238</v>
      </c>
      <c r="C70" s="1" t="n">
        <v>45966</v>
      </c>
      <c r="D70" t="inlineStr">
        <is>
          <t>KALMAR LÄN</t>
        </is>
      </c>
      <c r="E70" t="inlineStr">
        <is>
          <t>VIMMERBY</t>
        </is>
      </c>
      <c r="G70" t="n">
        <v>20.9</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45966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45966</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45966</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45966</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45966</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45966</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45966</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45966</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45966</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45966</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45966</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45966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45966</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45966</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45966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3621-2021</t>
        </is>
      </c>
      <c r="B87" s="1" t="n">
        <v>44221.39408564815</v>
      </c>
      <c r="C87" s="1" t="n">
        <v>45966</v>
      </c>
      <c r="D87" t="inlineStr">
        <is>
          <t>KALMAR LÄN</t>
        </is>
      </c>
      <c r="E87" t="inlineStr">
        <is>
          <t>VIMMERBY</t>
        </is>
      </c>
      <c r="G87" t="n">
        <v>0.7</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45966</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45966</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45966</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45966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45966</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45966</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45966</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65952-2020</t>
        </is>
      </c>
      <c r="B95" s="1" t="n">
        <v>44175.3815625</v>
      </c>
      <c r="C95" s="1" t="n">
        <v>45966</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65973-2020</t>
        </is>
      </c>
      <c r="B96" s="1" t="n">
        <v>44175.40881944444</v>
      </c>
      <c r="C96" s="1" t="n">
        <v>45966</v>
      </c>
      <c r="D96" t="inlineStr">
        <is>
          <t>KALMAR LÄN</t>
        </is>
      </c>
      <c r="E96" t="inlineStr">
        <is>
          <t>VIMMERBY</t>
        </is>
      </c>
      <c r="G96" t="n">
        <v>0.9</v>
      </c>
      <c r="H96" t="n">
        <v>0</v>
      </c>
      <c r="I96" t="n">
        <v>0</v>
      </c>
      <c r="J96" t="n">
        <v>0</v>
      </c>
      <c r="K96" t="n">
        <v>0</v>
      </c>
      <c r="L96" t="n">
        <v>0</v>
      </c>
      <c r="M96" t="n">
        <v>0</v>
      </c>
      <c r="N96" t="n">
        <v>0</v>
      </c>
      <c r="O96" t="n">
        <v>0</v>
      </c>
      <c r="P96" t="n">
        <v>0</v>
      </c>
      <c r="Q96" t="n">
        <v>0</v>
      </c>
      <c r="R96" s="2" t="inlineStr"/>
    </row>
    <row r="97" ht="15" customHeight="1">
      <c r="A97" t="inlineStr">
        <is>
          <t>A 19863-2021</t>
        </is>
      </c>
      <c r="B97" s="1" t="n">
        <v>44312</v>
      </c>
      <c r="C97" s="1" t="n">
        <v>45966</v>
      </c>
      <c r="D97" t="inlineStr">
        <is>
          <t>KALMAR LÄN</t>
        </is>
      </c>
      <c r="E97" t="inlineStr">
        <is>
          <t>VIMMERBY</t>
        </is>
      </c>
      <c r="G97" t="n">
        <v>3.7</v>
      </c>
      <c r="H97" t="n">
        <v>0</v>
      </c>
      <c r="I97" t="n">
        <v>0</v>
      </c>
      <c r="J97" t="n">
        <v>0</v>
      </c>
      <c r="K97" t="n">
        <v>0</v>
      </c>
      <c r="L97" t="n">
        <v>0</v>
      </c>
      <c r="M97" t="n">
        <v>0</v>
      </c>
      <c r="N97" t="n">
        <v>0</v>
      </c>
      <c r="O97" t="n">
        <v>0</v>
      </c>
      <c r="P97" t="n">
        <v>0</v>
      </c>
      <c r="Q97" t="n">
        <v>0</v>
      </c>
      <c r="R97" s="2" t="inlineStr"/>
    </row>
    <row r="98" ht="15" customHeight="1">
      <c r="A98" t="inlineStr">
        <is>
          <t>A 55297-2021</t>
        </is>
      </c>
      <c r="B98" s="1" t="n">
        <v>44475</v>
      </c>
      <c r="C98" s="1" t="n">
        <v>45966</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35531-2021</t>
        </is>
      </c>
      <c r="B99" s="1" t="n">
        <v>44385</v>
      </c>
      <c r="C99" s="1" t="n">
        <v>45966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7072-2021</t>
        </is>
      </c>
      <c r="B100" s="1" t="n">
        <v>44237.8550925926</v>
      </c>
      <c r="C100" s="1" t="n">
        <v>45966</v>
      </c>
      <c r="D100" t="inlineStr">
        <is>
          <t>KALMAR LÄN</t>
        </is>
      </c>
      <c r="E100" t="inlineStr">
        <is>
          <t>VIMMERBY</t>
        </is>
      </c>
      <c r="G100" t="n">
        <v>1.1</v>
      </c>
      <c r="H100" t="n">
        <v>0</v>
      </c>
      <c r="I100" t="n">
        <v>0</v>
      </c>
      <c r="J100" t="n">
        <v>0</v>
      </c>
      <c r="K100" t="n">
        <v>0</v>
      </c>
      <c r="L100" t="n">
        <v>0</v>
      </c>
      <c r="M100" t="n">
        <v>0</v>
      </c>
      <c r="N100" t="n">
        <v>0</v>
      </c>
      <c r="O100" t="n">
        <v>0</v>
      </c>
      <c r="P100" t="n">
        <v>0</v>
      </c>
      <c r="Q100" t="n">
        <v>0</v>
      </c>
      <c r="R100" s="2" t="inlineStr"/>
    </row>
    <row r="101" ht="15" customHeight="1">
      <c r="A101" t="inlineStr">
        <is>
          <t>A 38789-2021</t>
        </is>
      </c>
      <c r="B101" s="1" t="n">
        <v>44410.71038194445</v>
      </c>
      <c r="C101" s="1" t="n">
        <v>45966</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14347-2021</t>
        </is>
      </c>
      <c r="B102" s="1" t="n">
        <v>44279.33400462963</v>
      </c>
      <c r="C102" s="1" t="n">
        <v>45966</v>
      </c>
      <c r="D102" t="inlineStr">
        <is>
          <t>KALMAR LÄN</t>
        </is>
      </c>
      <c r="E102" t="inlineStr">
        <is>
          <t>VIMMERBY</t>
        </is>
      </c>
      <c r="G102" t="n">
        <v>6.4</v>
      </c>
      <c r="H102" t="n">
        <v>0</v>
      </c>
      <c r="I102" t="n">
        <v>0</v>
      </c>
      <c r="J102" t="n">
        <v>0</v>
      </c>
      <c r="K102" t="n">
        <v>0</v>
      </c>
      <c r="L102" t="n">
        <v>0</v>
      </c>
      <c r="M102" t="n">
        <v>0</v>
      </c>
      <c r="N102" t="n">
        <v>0</v>
      </c>
      <c r="O102" t="n">
        <v>0</v>
      </c>
      <c r="P102" t="n">
        <v>0</v>
      </c>
      <c r="Q102" t="n">
        <v>0</v>
      </c>
      <c r="R102" s="2" t="inlineStr"/>
    </row>
    <row r="103" ht="15" customHeight="1">
      <c r="A103" t="inlineStr">
        <is>
          <t>A 66913-2020</t>
        </is>
      </c>
      <c r="B103" s="1" t="n">
        <v>44175</v>
      </c>
      <c r="C103" s="1" t="n">
        <v>45966</v>
      </c>
      <c r="D103" t="inlineStr">
        <is>
          <t>KALMAR LÄN</t>
        </is>
      </c>
      <c r="E103" t="inlineStr">
        <is>
          <t>VIMMERBY</t>
        </is>
      </c>
      <c r="G103" t="n">
        <v>5.6</v>
      </c>
      <c r="H103" t="n">
        <v>0</v>
      </c>
      <c r="I103" t="n">
        <v>0</v>
      </c>
      <c r="J103" t="n">
        <v>0</v>
      </c>
      <c r="K103" t="n">
        <v>0</v>
      </c>
      <c r="L103" t="n">
        <v>0</v>
      </c>
      <c r="M103" t="n">
        <v>0</v>
      </c>
      <c r="N103" t="n">
        <v>0</v>
      </c>
      <c r="O103" t="n">
        <v>0</v>
      </c>
      <c r="P103" t="n">
        <v>0</v>
      </c>
      <c r="Q103" t="n">
        <v>0</v>
      </c>
      <c r="R103" s="2" t="inlineStr"/>
    </row>
    <row r="104" ht="15" customHeight="1">
      <c r="A104" t="inlineStr">
        <is>
          <t>A 16290-2022</t>
        </is>
      </c>
      <c r="B104" s="1" t="n">
        <v>44670</v>
      </c>
      <c r="C104" s="1" t="n">
        <v>45966</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45966</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45966</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45966</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45966</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45966</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45966</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45966</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45966</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60810-2020</t>
        </is>
      </c>
      <c r="B114" s="1" t="n">
        <v>44154</v>
      </c>
      <c r="C114" s="1" t="n">
        <v>45966</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45966</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45966</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45966</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45966</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45966</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45966</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45966</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45966</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45966</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45966</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45966</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45966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45966</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45966</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45966</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45966</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45966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45966</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35316-2021</t>
        </is>
      </c>
      <c r="B135" s="1" t="n">
        <v>44384</v>
      </c>
      <c r="C135" s="1" t="n">
        <v>45966</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33831-2022</t>
        </is>
      </c>
      <c r="B136" s="1" t="n">
        <v>44790.48503472222</v>
      </c>
      <c r="C136" s="1" t="n">
        <v>45966</v>
      </c>
      <c r="D136" t="inlineStr">
        <is>
          <t>KALMAR LÄN</t>
        </is>
      </c>
      <c r="E136" t="inlineStr">
        <is>
          <t>VIMMERBY</t>
        </is>
      </c>
      <c r="G136" t="n">
        <v>1.1</v>
      </c>
      <c r="H136" t="n">
        <v>0</v>
      </c>
      <c r="I136" t="n">
        <v>0</v>
      </c>
      <c r="J136" t="n">
        <v>0</v>
      </c>
      <c r="K136" t="n">
        <v>0</v>
      </c>
      <c r="L136" t="n">
        <v>0</v>
      </c>
      <c r="M136" t="n">
        <v>0</v>
      </c>
      <c r="N136" t="n">
        <v>0</v>
      </c>
      <c r="O136" t="n">
        <v>0</v>
      </c>
      <c r="P136" t="n">
        <v>0</v>
      </c>
      <c r="Q136" t="n">
        <v>0</v>
      </c>
      <c r="R136" s="2" t="inlineStr"/>
    </row>
    <row r="137" ht="15" customHeight="1">
      <c r="A137" t="inlineStr">
        <is>
          <t>A 47708-2022</t>
        </is>
      </c>
      <c r="B137" s="1" t="n">
        <v>44854.59157407407</v>
      </c>
      <c r="C137" s="1" t="n">
        <v>45966</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12661-2021</t>
        </is>
      </c>
      <c r="B138" s="1" t="n">
        <v>44270</v>
      </c>
      <c r="C138" s="1" t="n">
        <v>45966</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24999-2021</t>
        </is>
      </c>
      <c r="B139" s="1" t="n">
        <v>44341</v>
      </c>
      <c r="C139" s="1" t="n">
        <v>45966</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7917-2022</t>
        </is>
      </c>
      <c r="B140" s="1" t="n">
        <v>44608</v>
      </c>
      <c r="C140" s="1" t="n">
        <v>45966</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47208-2021</t>
        </is>
      </c>
      <c r="B141" s="1" t="n">
        <v>44447.34237268518</v>
      </c>
      <c r="C141" s="1" t="n">
        <v>45966</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9918-2022</t>
        </is>
      </c>
      <c r="B142" s="1" t="n">
        <v>44620</v>
      </c>
      <c r="C142" s="1" t="n">
        <v>45966</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16705-2021</t>
        </is>
      </c>
      <c r="B143" s="1" t="n">
        <v>44294</v>
      </c>
      <c r="C143" s="1" t="n">
        <v>45966</v>
      </c>
      <c r="D143" t="inlineStr">
        <is>
          <t>KALMAR LÄN</t>
        </is>
      </c>
      <c r="E143" t="inlineStr">
        <is>
          <t>VIMMERBY</t>
        </is>
      </c>
      <c r="G143" t="n">
        <v>2.6</v>
      </c>
      <c r="H143" t="n">
        <v>0</v>
      </c>
      <c r="I143" t="n">
        <v>0</v>
      </c>
      <c r="J143" t="n">
        <v>0</v>
      </c>
      <c r="K143" t="n">
        <v>0</v>
      </c>
      <c r="L143" t="n">
        <v>0</v>
      </c>
      <c r="M143" t="n">
        <v>0</v>
      </c>
      <c r="N143" t="n">
        <v>0</v>
      </c>
      <c r="O143" t="n">
        <v>0</v>
      </c>
      <c r="P143" t="n">
        <v>0</v>
      </c>
      <c r="Q143" t="n">
        <v>0</v>
      </c>
      <c r="R143" s="2" t="inlineStr"/>
    </row>
    <row r="144" ht="15" customHeight="1">
      <c r="A144" t="inlineStr">
        <is>
          <t>A 618-2021</t>
        </is>
      </c>
      <c r="B144" s="1" t="n">
        <v>44203</v>
      </c>
      <c r="C144" s="1" t="n">
        <v>45966</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32603-2021</t>
        </is>
      </c>
      <c r="B145" s="1" t="n">
        <v>44375.38789351852</v>
      </c>
      <c r="C145" s="1" t="n">
        <v>45966</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56389-2021</t>
        </is>
      </c>
      <c r="B146" s="1" t="n">
        <v>44480</v>
      </c>
      <c r="C146" s="1" t="n">
        <v>45966</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12241-2021</t>
        </is>
      </c>
      <c r="B147" s="1" t="n">
        <v>44266.7240625</v>
      </c>
      <c r="C147" s="1" t="n">
        <v>45966</v>
      </c>
      <c r="D147" t="inlineStr">
        <is>
          <t>KALMAR LÄN</t>
        </is>
      </c>
      <c r="E147" t="inlineStr">
        <is>
          <t>VIMMERBY</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45966</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45966</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12662-2021</t>
        </is>
      </c>
      <c r="B150" s="1" t="n">
        <v>44270.49743055556</v>
      </c>
      <c r="C150" s="1" t="n">
        <v>45966</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23825-2022</t>
        </is>
      </c>
      <c r="B151" s="1" t="n">
        <v>44722.48768518519</v>
      </c>
      <c r="C151" s="1" t="n">
        <v>45966</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53145-2022</t>
        </is>
      </c>
      <c r="B152" s="1" t="n">
        <v>44876.48346064815</v>
      </c>
      <c r="C152" s="1" t="n">
        <v>45966</v>
      </c>
      <c r="D152" t="inlineStr">
        <is>
          <t>KALMAR LÄN</t>
        </is>
      </c>
      <c r="E152" t="inlineStr">
        <is>
          <t>VIMMERBY</t>
        </is>
      </c>
      <c r="G152" t="n">
        <v>0.4</v>
      </c>
      <c r="H152" t="n">
        <v>0</v>
      </c>
      <c r="I152" t="n">
        <v>0</v>
      </c>
      <c r="J152" t="n">
        <v>0</v>
      </c>
      <c r="K152" t="n">
        <v>0</v>
      </c>
      <c r="L152" t="n">
        <v>0</v>
      </c>
      <c r="M152" t="n">
        <v>0</v>
      </c>
      <c r="N152" t="n">
        <v>0</v>
      </c>
      <c r="O152" t="n">
        <v>0</v>
      </c>
      <c r="P152" t="n">
        <v>0</v>
      </c>
      <c r="Q152" t="n">
        <v>0</v>
      </c>
      <c r="R152" s="2" t="inlineStr"/>
    </row>
    <row r="153" ht="15" customHeight="1">
      <c r="A153" t="inlineStr">
        <is>
          <t>A 25738-2022</t>
        </is>
      </c>
      <c r="B153" s="1" t="n">
        <v>44733.43092592592</v>
      </c>
      <c r="C153" s="1" t="n">
        <v>45966</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67952-2021</t>
        </is>
      </c>
      <c r="B154" s="1" t="n">
        <v>44525.63913194444</v>
      </c>
      <c r="C154" s="1" t="n">
        <v>45966</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14521-2021</t>
        </is>
      </c>
      <c r="B155" s="1" t="n">
        <v>44279.64934027778</v>
      </c>
      <c r="C155" s="1" t="n">
        <v>45966</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15533-2022</t>
        </is>
      </c>
      <c r="B156" s="1" t="n">
        <v>44662</v>
      </c>
      <c r="C156" s="1" t="n">
        <v>45966</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45966</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13180-2022</t>
        </is>
      </c>
      <c r="B158" s="1" t="n">
        <v>44644</v>
      </c>
      <c r="C158" s="1" t="n">
        <v>45966</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165-2022</t>
        </is>
      </c>
      <c r="B159" s="1" t="n">
        <v>44564</v>
      </c>
      <c r="C159" s="1" t="n">
        <v>45966</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57948-2020</t>
        </is>
      </c>
      <c r="B160" s="1" t="n">
        <v>44142</v>
      </c>
      <c r="C160" s="1" t="n">
        <v>45966</v>
      </c>
      <c r="D160" t="inlineStr">
        <is>
          <t>KALMAR LÄN</t>
        </is>
      </c>
      <c r="E160" t="inlineStr">
        <is>
          <t>VIMMERBY</t>
        </is>
      </c>
      <c r="G160" t="n">
        <v>7.1</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45966</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34040-2021</t>
        </is>
      </c>
      <c r="B162" s="1" t="n">
        <v>44379</v>
      </c>
      <c r="C162" s="1" t="n">
        <v>45966</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47473-2021</t>
        </is>
      </c>
      <c r="B163" s="1" t="n">
        <v>44447</v>
      </c>
      <c r="C163" s="1" t="n">
        <v>45966</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15200-2021</t>
        </is>
      </c>
      <c r="B164" s="1" t="n">
        <v>44284.44574074074</v>
      </c>
      <c r="C164" s="1" t="n">
        <v>45966</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12107-2022</t>
        </is>
      </c>
      <c r="B165" s="1" t="n">
        <v>44636</v>
      </c>
      <c r="C165" s="1" t="n">
        <v>45966</v>
      </c>
      <c r="D165" t="inlineStr">
        <is>
          <t>KALMAR LÄN</t>
        </is>
      </c>
      <c r="E165" t="inlineStr">
        <is>
          <t>VIMMERBY</t>
        </is>
      </c>
      <c r="G165" t="n">
        <v>1.8</v>
      </c>
      <c r="H165" t="n">
        <v>0</v>
      </c>
      <c r="I165" t="n">
        <v>0</v>
      </c>
      <c r="J165" t="n">
        <v>0</v>
      </c>
      <c r="K165" t="n">
        <v>0</v>
      </c>
      <c r="L165" t="n">
        <v>0</v>
      </c>
      <c r="M165" t="n">
        <v>0</v>
      </c>
      <c r="N165" t="n">
        <v>0</v>
      </c>
      <c r="O165" t="n">
        <v>0</v>
      </c>
      <c r="P165" t="n">
        <v>0</v>
      </c>
      <c r="Q165" t="n">
        <v>0</v>
      </c>
      <c r="R165" s="2" t="inlineStr"/>
    </row>
    <row r="166" ht="15" customHeight="1">
      <c r="A166" t="inlineStr">
        <is>
          <t>A 39225-2022</t>
        </is>
      </c>
      <c r="B166" s="1" t="n">
        <v>44817.57988425926</v>
      </c>
      <c r="C166" s="1" t="n">
        <v>45966</v>
      </c>
      <c r="D166" t="inlineStr">
        <is>
          <t>KALMAR LÄN</t>
        </is>
      </c>
      <c r="E166" t="inlineStr">
        <is>
          <t>VIMMERBY</t>
        </is>
      </c>
      <c r="G166" t="n">
        <v>2.2</v>
      </c>
      <c r="H166" t="n">
        <v>0</v>
      </c>
      <c r="I166" t="n">
        <v>0</v>
      </c>
      <c r="J166" t="n">
        <v>0</v>
      </c>
      <c r="K166" t="n">
        <v>0</v>
      </c>
      <c r="L166" t="n">
        <v>0</v>
      </c>
      <c r="M166" t="n">
        <v>0</v>
      </c>
      <c r="N166" t="n">
        <v>0</v>
      </c>
      <c r="O166" t="n">
        <v>0</v>
      </c>
      <c r="P166" t="n">
        <v>0</v>
      </c>
      <c r="Q166" t="n">
        <v>0</v>
      </c>
      <c r="R166" s="2" t="inlineStr"/>
    </row>
    <row r="167" ht="15" customHeight="1">
      <c r="A167" t="inlineStr">
        <is>
          <t>A 8194-2022</t>
        </is>
      </c>
      <c r="B167" s="1" t="n">
        <v>44609</v>
      </c>
      <c r="C167" s="1" t="n">
        <v>45966</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15191-2021</t>
        </is>
      </c>
      <c r="B168" s="1" t="n">
        <v>44284.42348379629</v>
      </c>
      <c r="C168" s="1" t="n">
        <v>45966</v>
      </c>
      <c r="D168" t="inlineStr">
        <is>
          <t>KALMAR LÄN</t>
        </is>
      </c>
      <c r="E168" t="inlineStr">
        <is>
          <t>VIMMERBY</t>
        </is>
      </c>
      <c r="G168" t="n">
        <v>1.3</v>
      </c>
      <c r="H168" t="n">
        <v>0</v>
      </c>
      <c r="I168" t="n">
        <v>0</v>
      </c>
      <c r="J168" t="n">
        <v>0</v>
      </c>
      <c r="K168" t="n">
        <v>0</v>
      </c>
      <c r="L168" t="n">
        <v>0</v>
      </c>
      <c r="M168" t="n">
        <v>0</v>
      </c>
      <c r="N168" t="n">
        <v>0</v>
      </c>
      <c r="O168" t="n">
        <v>0</v>
      </c>
      <c r="P168" t="n">
        <v>0</v>
      </c>
      <c r="Q168" t="n">
        <v>0</v>
      </c>
      <c r="R168" s="2" t="inlineStr"/>
    </row>
    <row r="169" ht="15" customHeight="1">
      <c r="A169" t="inlineStr">
        <is>
          <t>A 42850-2022</t>
        </is>
      </c>
      <c r="B169" s="1" t="n">
        <v>44832.67608796297</v>
      </c>
      <c r="C169" s="1" t="n">
        <v>45966</v>
      </c>
      <c r="D169" t="inlineStr">
        <is>
          <t>KALMAR LÄN</t>
        </is>
      </c>
      <c r="E169" t="inlineStr">
        <is>
          <t>VIMMERBY</t>
        </is>
      </c>
      <c r="G169" t="n">
        <v>5.9</v>
      </c>
      <c r="H169" t="n">
        <v>0</v>
      </c>
      <c r="I169" t="n">
        <v>0</v>
      </c>
      <c r="J169" t="n">
        <v>0</v>
      </c>
      <c r="K169" t="n">
        <v>0</v>
      </c>
      <c r="L169" t="n">
        <v>0</v>
      </c>
      <c r="M169" t="n">
        <v>0</v>
      </c>
      <c r="N169" t="n">
        <v>0</v>
      </c>
      <c r="O169" t="n">
        <v>0</v>
      </c>
      <c r="P169" t="n">
        <v>0</v>
      </c>
      <c r="Q169" t="n">
        <v>0</v>
      </c>
      <c r="R169" s="2" t="inlineStr"/>
    </row>
    <row r="170" ht="15" customHeight="1">
      <c r="A170" t="inlineStr">
        <is>
          <t>A 16602-2021</t>
        </is>
      </c>
      <c r="B170" s="1" t="n">
        <v>44294</v>
      </c>
      <c r="C170" s="1" t="n">
        <v>45966</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16607-2021</t>
        </is>
      </c>
      <c r="B171" s="1" t="n">
        <v>44294</v>
      </c>
      <c r="C171" s="1" t="n">
        <v>45966</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17029-2022</t>
        </is>
      </c>
      <c r="B172" s="1" t="n">
        <v>44676.85248842592</v>
      </c>
      <c r="C172" s="1" t="n">
        <v>45966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7167-2022</t>
        </is>
      </c>
      <c r="B173" s="1" t="n">
        <v>44604</v>
      </c>
      <c r="C173" s="1" t="n">
        <v>45966</v>
      </c>
      <c r="D173" t="inlineStr">
        <is>
          <t>KALMAR LÄN</t>
        </is>
      </c>
      <c r="E173" t="inlineStr">
        <is>
          <t>VIMMERBY</t>
        </is>
      </c>
      <c r="G173" t="n">
        <v>1.7</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45966</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18356-2021</t>
        </is>
      </c>
      <c r="B175" s="1" t="n">
        <v>44305</v>
      </c>
      <c r="C175" s="1" t="n">
        <v>45966</v>
      </c>
      <c r="D175" t="inlineStr">
        <is>
          <t>KALMAR LÄN</t>
        </is>
      </c>
      <c r="E175" t="inlineStr">
        <is>
          <t>VIMMERBY</t>
        </is>
      </c>
      <c r="G175" t="n">
        <v>3.4</v>
      </c>
      <c r="H175" t="n">
        <v>0</v>
      </c>
      <c r="I175" t="n">
        <v>0</v>
      </c>
      <c r="J175" t="n">
        <v>0</v>
      </c>
      <c r="K175" t="n">
        <v>0</v>
      </c>
      <c r="L175" t="n">
        <v>0</v>
      </c>
      <c r="M175" t="n">
        <v>0</v>
      </c>
      <c r="N175" t="n">
        <v>0</v>
      </c>
      <c r="O175" t="n">
        <v>0</v>
      </c>
      <c r="P175" t="n">
        <v>0</v>
      </c>
      <c r="Q175" t="n">
        <v>0</v>
      </c>
      <c r="R175" s="2" t="inlineStr"/>
    </row>
    <row r="176" ht="15" customHeight="1">
      <c r="A176" t="inlineStr">
        <is>
          <t>A 10086-2022</t>
        </is>
      </c>
      <c r="B176" s="1" t="n">
        <v>44621</v>
      </c>
      <c r="C176" s="1" t="n">
        <v>45966</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41056-2022</t>
        </is>
      </c>
      <c r="B177" s="1" t="n">
        <v>44824</v>
      </c>
      <c r="C177" s="1" t="n">
        <v>45966</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31660-2021</t>
        </is>
      </c>
      <c r="B178" s="1" t="n">
        <v>44369</v>
      </c>
      <c r="C178" s="1" t="n">
        <v>45966</v>
      </c>
      <c r="D178" t="inlineStr">
        <is>
          <t>KALMAR LÄN</t>
        </is>
      </c>
      <c r="E178" t="inlineStr">
        <is>
          <t>VIMMERBY</t>
        </is>
      </c>
      <c r="G178" t="n">
        <v>4.2</v>
      </c>
      <c r="H178" t="n">
        <v>0</v>
      </c>
      <c r="I178" t="n">
        <v>0</v>
      </c>
      <c r="J178" t="n">
        <v>0</v>
      </c>
      <c r="K178" t="n">
        <v>0</v>
      </c>
      <c r="L178" t="n">
        <v>0</v>
      </c>
      <c r="M178" t="n">
        <v>0</v>
      </c>
      <c r="N178" t="n">
        <v>0</v>
      </c>
      <c r="O178" t="n">
        <v>0</v>
      </c>
      <c r="P178" t="n">
        <v>0</v>
      </c>
      <c r="Q178" t="n">
        <v>0</v>
      </c>
      <c r="R178" s="2" t="inlineStr"/>
    </row>
    <row r="179" ht="15" customHeight="1">
      <c r="A179" t="inlineStr">
        <is>
          <t>A 27455-2022</t>
        </is>
      </c>
      <c r="B179" s="1" t="n">
        <v>44742</v>
      </c>
      <c r="C179" s="1" t="n">
        <v>45966</v>
      </c>
      <c r="D179" t="inlineStr">
        <is>
          <t>KALMAR LÄN</t>
        </is>
      </c>
      <c r="E179" t="inlineStr">
        <is>
          <t>VIMMERBY</t>
        </is>
      </c>
      <c r="G179" t="n">
        <v>1.6</v>
      </c>
      <c r="H179" t="n">
        <v>0</v>
      </c>
      <c r="I179" t="n">
        <v>0</v>
      </c>
      <c r="J179" t="n">
        <v>0</v>
      </c>
      <c r="K179" t="n">
        <v>0</v>
      </c>
      <c r="L179" t="n">
        <v>0</v>
      </c>
      <c r="M179" t="n">
        <v>0</v>
      </c>
      <c r="N179" t="n">
        <v>0</v>
      </c>
      <c r="O179" t="n">
        <v>0</v>
      </c>
      <c r="P179" t="n">
        <v>0</v>
      </c>
      <c r="Q179" t="n">
        <v>0</v>
      </c>
      <c r="R179" s="2" t="inlineStr"/>
    </row>
    <row r="180" ht="15" customHeight="1">
      <c r="A180" t="inlineStr">
        <is>
          <t>A 65564-2020</t>
        </is>
      </c>
      <c r="B180" s="1" t="n">
        <v>44172</v>
      </c>
      <c r="C180" s="1" t="n">
        <v>45966</v>
      </c>
      <c r="D180" t="inlineStr">
        <is>
          <t>KALMAR LÄN</t>
        </is>
      </c>
      <c r="E180" t="inlineStr">
        <is>
          <t>VIMMERBY</t>
        </is>
      </c>
      <c r="G180" t="n">
        <v>4.1</v>
      </c>
      <c r="H180" t="n">
        <v>0</v>
      </c>
      <c r="I180" t="n">
        <v>0</v>
      </c>
      <c r="J180" t="n">
        <v>0</v>
      </c>
      <c r="K180" t="n">
        <v>0</v>
      </c>
      <c r="L180" t="n">
        <v>0</v>
      </c>
      <c r="M180" t="n">
        <v>0</v>
      </c>
      <c r="N180" t="n">
        <v>0</v>
      </c>
      <c r="O180" t="n">
        <v>0</v>
      </c>
      <c r="P180" t="n">
        <v>0</v>
      </c>
      <c r="Q180" t="n">
        <v>0</v>
      </c>
      <c r="R180" s="2" t="inlineStr"/>
    </row>
    <row r="181" ht="15" customHeight="1">
      <c r="A181" t="inlineStr">
        <is>
          <t>A 35001-2021</t>
        </is>
      </c>
      <c r="B181" s="1" t="n">
        <v>44383</v>
      </c>
      <c r="C181" s="1" t="n">
        <v>45966</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55674-2021</t>
        </is>
      </c>
      <c r="B182" s="1" t="n">
        <v>44476</v>
      </c>
      <c r="C182" s="1" t="n">
        <v>45966</v>
      </c>
      <c r="D182" t="inlineStr">
        <is>
          <t>KALMAR LÄN</t>
        </is>
      </c>
      <c r="E182" t="inlineStr">
        <is>
          <t>VIMMERBY</t>
        </is>
      </c>
      <c r="G182" t="n">
        <v>2.1</v>
      </c>
      <c r="H182" t="n">
        <v>0</v>
      </c>
      <c r="I182" t="n">
        <v>0</v>
      </c>
      <c r="J182" t="n">
        <v>0</v>
      </c>
      <c r="K182" t="n">
        <v>0</v>
      </c>
      <c r="L182" t="n">
        <v>0</v>
      </c>
      <c r="M182" t="n">
        <v>0</v>
      </c>
      <c r="N182" t="n">
        <v>0</v>
      </c>
      <c r="O182" t="n">
        <v>0</v>
      </c>
      <c r="P182" t="n">
        <v>0</v>
      </c>
      <c r="Q182" t="n">
        <v>0</v>
      </c>
      <c r="R182" s="2" t="inlineStr"/>
    </row>
    <row r="183" ht="15" customHeight="1">
      <c r="A183" t="inlineStr">
        <is>
          <t>A 68744-2020</t>
        </is>
      </c>
      <c r="B183" s="1" t="n">
        <v>44186</v>
      </c>
      <c r="C183" s="1" t="n">
        <v>45966</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3330-2021</t>
        </is>
      </c>
      <c r="B184" s="1" t="n">
        <v>44217.79856481482</v>
      </c>
      <c r="C184" s="1" t="n">
        <v>45966</v>
      </c>
      <c r="D184" t="inlineStr">
        <is>
          <t>KALMAR LÄN</t>
        </is>
      </c>
      <c r="E184" t="inlineStr">
        <is>
          <t>VIMMERBY</t>
        </is>
      </c>
      <c r="G184" t="n">
        <v>11.1</v>
      </c>
      <c r="H184" t="n">
        <v>0</v>
      </c>
      <c r="I184" t="n">
        <v>0</v>
      </c>
      <c r="J184" t="n">
        <v>0</v>
      </c>
      <c r="K184" t="n">
        <v>0</v>
      </c>
      <c r="L184" t="n">
        <v>0</v>
      </c>
      <c r="M184" t="n">
        <v>0</v>
      </c>
      <c r="N184" t="n">
        <v>0</v>
      </c>
      <c r="O184" t="n">
        <v>0</v>
      </c>
      <c r="P184" t="n">
        <v>0</v>
      </c>
      <c r="Q184" t="n">
        <v>0</v>
      </c>
      <c r="R184" s="2" t="inlineStr"/>
    </row>
    <row r="185" ht="15" customHeight="1">
      <c r="A185" t="inlineStr">
        <is>
          <t>A 40077-2021</t>
        </is>
      </c>
      <c r="B185" s="1" t="n">
        <v>44418</v>
      </c>
      <c r="C185" s="1" t="n">
        <v>45966</v>
      </c>
      <c r="D185" t="inlineStr">
        <is>
          <t>KALMAR LÄN</t>
        </is>
      </c>
      <c r="E185" t="inlineStr">
        <is>
          <t>VIMMERBY</t>
        </is>
      </c>
      <c r="G185" t="n">
        <v>2.9</v>
      </c>
      <c r="H185" t="n">
        <v>0</v>
      </c>
      <c r="I185" t="n">
        <v>0</v>
      </c>
      <c r="J185" t="n">
        <v>0</v>
      </c>
      <c r="K185" t="n">
        <v>0</v>
      </c>
      <c r="L185" t="n">
        <v>0</v>
      </c>
      <c r="M185" t="n">
        <v>0</v>
      </c>
      <c r="N185" t="n">
        <v>0</v>
      </c>
      <c r="O185" t="n">
        <v>0</v>
      </c>
      <c r="P185" t="n">
        <v>0</v>
      </c>
      <c r="Q185" t="n">
        <v>0</v>
      </c>
      <c r="R185" s="2" t="inlineStr"/>
    </row>
    <row r="186" ht="15" customHeight="1">
      <c r="A186" t="inlineStr">
        <is>
          <t>A 16015-2025</t>
        </is>
      </c>
      <c r="B186" s="1" t="n">
        <v>45749.60487268519</v>
      </c>
      <c r="C186" s="1" t="n">
        <v>45966</v>
      </c>
      <c r="D186" t="inlineStr">
        <is>
          <t>KALMAR LÄN</t>
        </is>
      </c>
      <c r="E186" t="inlineStr">
        <is>
          <t>VIMMERBY</t>
        </is>
      </c>
      <c r="F186" t="inlineStr">
        <is>
          <t>Kyrkan</t>
        </is>
      </c>
      <c r="G186" t="n">
        <v>2.7</v>
      </c>
      <c r="H186" t="n">
        <v>0</v>
      </c>
      <c r="I186" t="n">
        <v>0</v>
      </c>
      <c r="J186" t="n">
        <v>0</v>
      </c>
      <c r="K186" t="n">
        <v>0</v>
      </c>
      <c r="L186" t="n">
        <v>0</v>
      </c>
      <c r="M186" t="n">
        <v>0</v>
      </c>
      <c r="N186" t="n">
        <v>0</v>
      </c>
      <c r="O186" t="n">
        <v>0</v>
      </c>
      <c r="P186" t="n">
        <v>0</v>
      </c>
      <c r="Q186" t="n">
        <v>0</v>
      </c>
      <c r="R186" s="2" t="inlineStr"/>
    </row>
    <row r="187" ht="15" customHeight="1">
      <c r="A187" t="inlineStr">
        <is>
          <t>A 11111-2024</t>
        </is>
      </c>
      <c r="B187" s="1" t="n">
        <v>45371.36359953704</v>
      </c>
      <c r="C187" s="1" t="n">
        <v>45966</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47769-2022</t>
        </is>
      </c>
      <c r="B188" s="1" t="n">
        <v>44854</v>
      </c>
      <c r="C188" s="1" t="n">
        <v>45966</v>
      </c>
      <c r="D188" t="inlineStr">
        <is>
          <t>KALMAR LÄN</t>
        </is>
      </c>
      <c r="E188" t="inlineStr">
        <is>
          <t>VIMMERBY</t>
        </is>
      </c>
      <c r="G188" t="n">
        <v>1.1</v>
      </c>
      <c r="H188" t="n">
        <v>0</v>
      </c>
      <c r="I188" t="n">
        <v>0</v>
      </c>
      <c r="J188" t="n">
        <v>0</v>
      </c>
      <c r="K188" t="n">
        <v>0</v>
      </c>
      <c r="L188" t="n">
        <v>0</v>
      </c>
      <c r="M188" t="n">
        <v>0</v>
      </c>
      <c r="N188" t="n">
        <v>0</v>
      </c>
      <c r="O188" t="n">
        <v>0</v>
      </c>
      <c r="P188" t="n">
        <v>0</v>
      </c>
      <c r="Q188" t="n">
        <v>0</v>
      </c>
      <c r="R188" s="2" t="inlineStr"/>
    </row>
    <row r="189" ht="15" customHeight="1">
      <c r="A189" t="inlineStr">
        <is>
          <t>A 9694-2023</t>
        </is>
      </c>
      <c r="B189" s="1" t="n">
        <v>44984.45895833334</v>
      </c>
      <c r="C189" s="1" t="n">
        <v>45966</v>
      </c>
      <c r="D189" t="inlineStr">
        <is>
          <t>KALMAR LÄN</t>
        </is>
      </c>
      <c r="E189" t="inlineStr">
        <is>
          <t>VIMMERBY</t>
        </is>
      </c>
      <c r="G189" t="n">
        <v>2.1</v>
      </c>
      <c r="H189" t="n">
        <v>0</v>
      </c>
      <c r="I189" t="n">
        <v>0</v>
      </c>
      <c r="J189" t="n">
        <v>0</v>
      </c>
      <c r="K189" t="n">
        <v>0</v>
      </c>
      <c r="L189" t="n">
        <v>0</v>
      </c>
      <c r="M189" t="n">
        <v>0</v>
      </c>
      <c r="N189" t="n">
        <v>0</v>
      </c>
      <c r="O189" t="n">
        <v>0</v>
      </c>
      <c r="P189" t="n">
        <v>0</v>
      </c>
      <c r="Q189" t="n">
        <v>0</v>
      </c>
      <c r="R189" s="2" t="inlineStr"/>
    </row>
    <row r="190" ht="15" customHeight="1">
      <c r="A190" t="inlineStr">
        <is>
          <t>A 22198-2024</t>
        </is>
      </c>
      <c r="B190" s="1" t="n">
        <v>45446.36865740741</v>
      </c>
      <c r="C190" s="1" t="n">
        <v>45966</v>
      </c>
      <c r="D190" t="inlineStr">
        <is>
          <t>KALMAR LÄN</t>
        </is>
      </c>
      <c r="E190" t="inlineStr">
        <is>
          <t>VIMMERBY</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57311-2023</t>
        </is>
      </c>
      <c r="B191" s="1" t="n">
        <v>45245.63574074074</v>
      </c>
      <c r="C191" s="1" t="n">
        <v>45966</v>
      </c>
      <c r="D191" t="inlineStr">
        <is>
          <t>KALMAR LÄN</t>
        </is>
      </c>
      <c r="E191" t="inlineStr">
        <is>
          <t>VIMMERBY</t>
        </is>
      </c>
      <c r="G191" t="n">
        <v>1.6</v>
      </c>
      <c r="H191" t="n">
        <v>0</v>
      </c>
      <c r="I191" t="n">
        <v>0</v>
      </c>
      <c r="J191" t="n">
        <v>0</v>
      </c>
      <c r="K191" t="n">
        <v>0</v>
      </c>
      <c r="L191" t="n">
        <v>0</v>
      </c>
      <c r="M191" t="n">
        <v>0</v>
      </c>
      <c r="N191" t="n">
        <v>0</v>
      </c>
      <c r="O191" t="n">
        <v>0</v>
      </c>
      <c r="P191" t="n">
        <v>0</v>
      </c>
      <c r="Q191" t="n">
        <v>0</v>
      </c>
      <c r="R191" s="2" t="inlineStr"/>
    </row>
    <row r="192" ht="15" customHeight="1">
      <c r="A192" t="inlineStr">
        <is>
          <t>A 12588-2025</t>
        </is>
      </c>
      <c r="B192" s="1" t="n">
        <v>45732.76936342593</v>
      </c>
      <c r="C192" s="1" t="n">
        <v>45966</v>
      </c>
      <c r="D192" t="inlineStr">
        <is>
          <t>KALMAR LÄN</t>
        </is>
      </c>
      <c r="E192" t="inlineStr">
        <is>
          <t>VIMMERBY</t>
        </is>
      </c>
      <c r="G192" t="n">
        <v>1.6</v>
      </c>
      <c r="H192" t="n">
        <v>0</v>
      </c>
      <c r="I192" t="n">
        <v>0</v>
      </c>
      <c r="J192" t="n">
        <v>0</v>
      </c>
      <c r="K192" t="n">
        <v>0</v>
      </c>
      <c r="L192" t="n">
        <v>0</v>
      </c>
      <c r="M192" t="n">
        <v>0</v>
      </c>
      <c r="N192" t="n">
        <v>0</v>
      </c>
      <c r="O192" t="n">
        <v>0</v>
      </c>
      <c r="P192" t="n">
        <v>0</v>
      </c>
      <c r="Q192" t="n">
        <v>0</v>
      </c>
      <c r="R192" s="2" t="inlineStr"/>
    </row>
    <row r="193" ht="15" customHeight="1">
      <c r="A193" t="inlineStr">
        <is>
          <t>A 1687-2023</t>
        </is>
      </c>
      <c r="B193" s="1" t="n">
        <v>44938</v>
      </c>
      <c r="C193" s="1" t="n">
        <v>45966</v>
      </c>
      <c r="D193" t="inlineStr">
        <is>
          <t>KALMAR LÄN</t>
        </is>
      </c>
      <c r="E193" t="inlineStr">
        <is>
          <t>VIMMERBY</t>
        </is>
      </c>
      <c r="F193" t="inlineStr">
        <is>
          <t>Kommuner</t>
        </is>
      </c>
      <c r="G193" t="n">
        <v>2.5</v>
      </c>
      <c r="H193" t="n">
        <v>0</v>
      </c>
      <c r="I193" t="n">
        <v>0</v>
      </c>
      <c r="J193" t="n">
        <v>0</v>
      </c>
      <c r="K193" t="n">
        <v>0</v>
      </c>
      <c r="L193" t="n">
        <v>0</v>
      </c>
      <c r="M193" t="n">
        <v>0</v>
      </c>
      <c r="N193" t="n">
        <v>0</v>
      </c>
      <c r="O193" t="n">
        <v>0</v>
      </c>
      <c r="P193" t="n">
        <v>0</v>
      </c>
      <c r="Q193" t="n">
        <v>0</v>
      </c>
      <c r="R193" s="2" t="inlineStr"/>
    </row>
    <row r="194" ht="15" customHeight="1">
      <c r="A194" t="inlineStr">
        <is>
          <t>A 7932-2025</t>
        </is>
      </c>
      <c r="B194" s="1" t="n">
        <v>45707.3793287037</v>
      </c>
      <c r="C194" s="1" t="n">
        <v>45966</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48377-2021</t>
        </is>
      </c>
      <c r="B195" s="1" t="n">
        <v>44451.8375</v>
      </c>
      <c r="C195" s="1" t="n">
        <v>45966</v>
      </c>
      <c r="D195" t="inlineStr">
        <is>
          <t>KALMAR LÄN</t>
        </is>
      </c>
      <c r="E195" t="inlineStr">
        <is>
          <t>VIMMERBY</t>
        </is>
      </c>
      <c r="G195" t="n">
        <v>0.4</v>
      </c>
      <c r="H195" t="n">
        <v>0</v>
      </c>
      <c r="I195" t="n">
        <v>0</v>
      </c>
      <c r="J195" t="n">
        <v>0</v>
      </c>
      <c r="K195" t="n">
        <v>0</v>
      </c>
      <c r="L195" t="n">
        <v>0</v>
      </c>
      <c r="M195" t="n">
        <v>0</v>
      </c>
      <c r="N195" t="n">
        <v>0</v>
      </c>
      <c r="O195" t="n">
        <v>0</v>
      </c>
      <c r="P195" t="n">
        <v>0</v>
      </c>
      <c r="Q195" t="n">
        <v>0</v>
      </c>
      <c r="R195" s="2" t="inlineStr"/>
    </row>
    <row r="196" ht="15" customHeight="1">
      <c r="A196" t="inlineStr">
        <is>
          <t>A 40472-2022</t>
        </is>
      </c>
      <c r="B196" s="1" t="n">
        <v>44823</v>
      </c>
      <c r="C196" s="1" t="n">
        <v>45966</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3494-2023</t>
        </is>
      </c>
      <c r="B197" s="1" t="n">
        <v>44949</v>
      </c>
      <c r="C197" s="1" t="n">
        <v>45966</v>
      </c>
      <c r="D197" t="inlineStr">
        <is>
          <t>KALMAR LÄN</t>
        </is>
      </c>
      <c r="E197" t="inlineStr">
        <is>
          <t>VIMMERBY</t>
        </is>
      </c>
      <c r="F197" t="inlineStr">
        <is>
          <t>Kyrkan</t>
        </is>
      </c>
      <c r="G197" t="n">
        <v>0.8</v>
      </c>
      <c r="H197" t="n">
        <v>0</v>
      </c>
      <c r="I197" t="n">
        <v>0</v>
      </c>
      <c r="J197" t="n">
        <v>0</v>
      </c>
      <c r="K197" t="n">
        <v>0</v>
      </c>
      <c r="L197" t="n">
        <v>0</v>
      </c>
      <c r="M197" t="n">
        <v>0</v>
      </c>
      <c r="N197" t="n">
        <v>0</v>
      </c>
      <c r="O197" t="n">
        <v>0</v>
      </c>
      <c r="P197" t="n">
        <v>0</v>
      </c>
      <c r="Q197" t="n">
        <v>0</v>
      </c>
      <c r="R197" s="2" t="inlineStr"/>
    </row>
    <row r="198" ht="15" customHeight="1">
      <c r="A198" t="inlineStr">
        <is>
          <t>A 13457-2021</t>
        </is>
      </c>
      <c r="B198" s="1" t="n">
        <v>44273</v>
      </c>
      <c r="C198" s="1" t="n">
        <v>45966</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38964-2025</t>
        </is>
      </c>
      <c r="B199" s="1" t="n">
        <v>45887.68759259259</v>
      </c>
      <c r="C199" s="1" t="n">
        <v>45966</v>
      </c>
      <c r="D199" t="inlineStr">
        <is>
          <t>KALMAR LÄN</t>
        </is>
      </c>
      <c r="E199" t="inlineStr">
        <is>
          <t>VIMMERBY</t>
        </is>
      </c>
      <c r="G199" t="n">
        <v>7.5</v>
      </c>
      <c r="H199" t="n">
        <v>0</v>
      </c>
      <c r="I199" t="n">
        <v>0</v>
      </c>
      <c r="J199" t="n">
        <v>0</v>
      </c>
      <c r="K199" t="n">
        <v>0</v>
      </c>
      <c r="L199" t="n">
        <v>0</v>
      </c>
      <c r="M199" t="n">
        <v>0</v>
      </c>
      <c r="N199" t="n">
        <v>0</v>
      </c>
      <c r="O199" t="n">
        <v>0</v>
      </c>
      <c r="P199" t="n">
        <v>0</v>
      </c>
      <c r="Q199" t="n">
        <v>0</v>
      </c>
      <c r="R199" s="2" t="inlineStr"/>
    </row>
    <row r="200" ht="15" customHeight="1">
      <c r="A200" t="inlineStr">
        <is>
          <t>A 45856-2025</t>
        </is>
      </c>
      <c r="B200" s="1" t="n">
        <v>45923</v>
      </c>
      <c r="C200" s="1" t="n">
        <v>45966</v>
      </c>
      <c r="D200" t="inlineStr">
        <is>
          <t>KALMAR LÄN</t>
        </is>
      </c>
      <c r="E200" t="inlineStr">
        <is>
          <t>VIMMERBY</t>
        </is>
      </c>
      <c r="G200" t="n">
        <v>2.1</v>
      </c>
      <c r="H200" t="n">
        <v>0</v>
      </c>
      <c r="I200" t="n">
        <v>0</v>
      </c>
      <c r="J200" t="n">
        <v>0</v>
      </c>
      <c r="K200" t="n">
        <v>0</v>
      </c>
      <c r="L200" t="n">
        <v>0</v>
      </c>
      <c r="M200" t="n">
        <v>0</v>
      </c>
      <c r="N200" t="n">
        <v>0</v>
      </c>
      <c r="O200" t="n">
        <v>0</v>
      </c>
      <c r="P200" t="n">
        <v>0</v>
      </c>
      <c r="Q200" t="n">
        <v>0</v>
      </c>
      <c r="R200" s="2" t="inlineStr"/>
    </row>
    <row r="201" ht="15" customHeight="1">
      <c r="A201" t="inlineStr">
        <is>
          <t>A 15449-2023</t>
        </is>
      </c>
      <c r="B201" s="1" t="n">
        <v>45020</v>
      </c>
      <c r="C201" s="1" t="n">
        <v>45966</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43242-2024</t>
        </is>
      </c>
      <c r="B202" s="1" t="n">
        <v>45568.30189814815</v>
      </c>
      <c r="C202" s="1" t="n">
        <v>45966</v>
      </c>
      <c r="D202" t="inlineStr">
        <is>
          <t>KALMAR LÄN</t>
        </is>
      </c>
      <c r="E202" t="inlineStr">
        <is>
          <t>VIMMERBY</t>
        </is>
      </c>
      <c r="G202" t="n">
        <v>2.6</v>
      </c>
      <c r="H202" t="n">
        <v>0</v>
      </c>
      <c r="I202" t="n">
        <v>0</v>
      </c>
      <c r="J202" t="n">
        <v>0</v>
      </c>
      <c r="K202" t="n">
        <v>0</v>
      </c>
      <c r="L202" t="n">
        <v>0</v>
      </c>
      <c r="M202" t="n">
        <v>0</v>
      </c>
      <c r="N202" t="n">
        <v>0</v>
      </c>
      <c r="O202" t="n">
        <v>0</v>
      </c>
      <c r="P202" t="n">
        <v>0</v>
      </c>
      <c r="Q202" t="n">
        <v>0</v>
      </c>
      <c r="R202" s="2" t="inlineStr"/>
    </row>
    <row r="203" ht="15" customHeight="1">
      <c r="A203" t="inlineStr">
        <is>
          <t>A 2121-2022</t>
        </is>
      </c>
      <c r="B203" s="1" t="n">
        <v>44578.32717592592</v>
      </c>
      <c r="C203" s="1" t="n">
        <v>45966</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14278-2021</t>
        </is>
      </c>
      <c r="B204" s="1" t="n">
        <v>44278.63479166666</v>
      </c>
      <c r="C204" s="1" t="n">
        <v>45966</v>
      </c>
      <c r="D204" t="inlineStr">
        <is>
          <t>KALMAR LÄN</t>
        </is>
      </c>
      <c r="E204" t="inlineStr">
        <is>
          <t>VIMMERBY</t>
        </is>
      </c>
      <c r="F204" t="inlineStr">
        <is>
          <t>Övriga statliga verk och myndigheter</t>
        </is>
      </c>
      <c r="G204" t="n">
        <v>0.8</v>
      </c>
      <c r="H204" t="n">
        <v>0</v>
      </c>
      <c r="I204" t="n">
        <v>0</v>
      </c>
      <c r="J204" t="n">
        <v>0</v>
      </c>
      <c r="K204" t="n">
        <v>0</v>
      </c>
      <c r="L204" t="n">
        <v>0</v>
      </c>
      <c r="M204" t="n">
        <v>0</v>
      </c>
      <c r="N204" t="n">
        <v>0</v>
      </c>
      <c r="O204" t="n">
        <v>0</v>
      </c>
      <c r="P204" t="n">
        <v>0</v>
      </c>
      <c r="Q204" t="n">
        <v>0</v>
      </c>
      <c r="R204" s="2" t="inlineStr"/>
    </row>
    <row r="205" ht="15" customHeight="1">
      <c r="A205" t="inlineStr">
        <is>
          <t>A 34386-2024</t>
        </is>
      </c>
      <c r="B205" s="1" t="n">
        <v>45525.41762731481</v>
      </c>
      <c r="C205" s="1" t="n">
        <v>45966</v>
      </c>
      <c r="D205" t="inlineStr">
        <is>
          <t>KALMAR LÄN</t>
        </is>
      </c>
      <c r="E205" t="inlineStr">
        <is>
          <t>VIMMERBY</t>
        </is>
      </c>
      <c r="G205" t="n">
        <v>0.3</v>
      </c>
      <c r="H205" t="n">
        <v>0</v>
      </c>
      <c r="I205" t="n">
        <v>0</v>
      </c>
      <c r="J205" t="n">
        <v>0</v>
      </c>
      <c r="K205" t="n">
        <v>0</v>
      </c>
      <c r="L205" t="n">
        <v>0</v>
      </c>
      <c r="M205" t="n">
        <v>0</v>
      </c>
      <c r="N205" t="n">
        <v>0</v>
      </c>
      <c r="O205" t="n">
        <v>0</v>
      </c>
      <c r="P205" t="n">
        <v>0</v>
      </c>
      <c r="Q205" t="n">
        <v>0</v>
      </c>
      <c r="R205" s="2" t="inlineStr"/>
    </row>
    <row r="206" ht="15" customHeight="1">
      <c r="A206" t="inlineStr">
        <is>
          <t>A 6069-2023</t>
        </is>
      </c>
      <c r="B206" s="1" t="n">
        <v>44964.5115162037</v>
      </c>
      <c r="C206" s="1" t="n">
        <v>45966</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61878-2020</t>
        </is>
      </c>
      <c r="B207" s="1" t="n">
        <v>44159</v>
      </c>
      <c r="C207" s="1" t="n">
        <v>45966</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56853-2022</t>
        </is>
      </c>
      <c r="B208" s="1" t="n">
        <v>44894.49538194444</v>
      </c>
      <c r="C208" s="1" t="n">
        <v>45966</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65049-2020</t>
        </is>
      </c>
      <c r="B209" s="1" t="n">
        <v>44172</v>
      </c>
      <c r="C209" s="1" t="n">
        <v>45966</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32633-2023</t>
        </is>
      </c>
      <c r="B210" s="1" t="n">
        <v>45121.58699074074</v>
      </c>
      <c r="C210" s="1" t="n">
        <v>45966</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33815-2022</t>
        </is>
      </c>
      <c r="B211" s="1" t="n">
        <v>44790.45876157407</v>
      </c>
      <c r="C211" s="1" t="n">
        <v>45966</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33842-2022</t>
        </is>
      </c>
      <c r="B212" s="1" t="n">
        <v>44790.49523148148</v>
      </c>
      <c r="C212" s="1" t="n">
        <v>45966</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49461-2023</t>
        </is>
      </c>
      <c r="B213" s="1" t="n">
        <v>45211.52642361111</v>
      </c>
      <c r="C213" s="1" t="n">
        <v>45966</v>
      </c>
      <c r="D213" t="inlineStr">
        <is>
          <t>KALMAR LÄN</t>
        </is>
      </c>
      <c r="E213" t="inlineStr">
        <is>
          <t>VIMMERBY</t>
        </is>
      </c>
      <c r="G213" t="n">
        <v>1.5</v>
      </c>
      <c r="H213" t="n">
        <v>0</v>
      </c>
      <c r="I213" t="n">
        <v>0</v>
      </c>
      <c r="J213" t="n">
        <v>0</v>
      </c>
      <c r="K213" t="n">
        <v>0</v>
      </c>
      <c r="L213" t="n">
        <v>0</v>
      </c>
      <c r="M213" t="n">
        <v>0</v>
      </c>
      <c r="N213" t="n">
        <v>0</v>
      </c>
      <c r="O213" t="n">
        <v>0</v>
      </c>
      <c r="P213" t="n">
        <v>0</v>
      </c>
      <c r="Q213" t="n">
        <v>0</v>
      </c>
      <c r="R213" s="2" t="inlineStr"/>
    </row>
    <row r="214" ht="15" customHeight="1">
      <c r="A214" t="inlineStr">
        <is>
          <t>A 23095-2023</t>
        </is>
      </c>
      <c r="B214" s="1" t="n">
        <v>45075.43059027778</v>
      </c>
      <c r="C214" s="1" t="n">
        <v>45966</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11429-2022</t>
        </is>
      </c>
      <c r="B215" s="1" t="n">
        <v>44630</v>
      </c>
      <c r="C215" s="1" t="n">
        <v>45966</v>
      </c>
      <c r="D215" t="inlineStr">
        <is>
          <t>KALMAR LÄN</t>
        </is>
      </c>
      <c r="E215" t="inlineStr">
        <is>
          <t>VIMMERBY</t>
        </is>
      </c>
      <c r="G215" t="n">
        <v>2.6</v>
      </c>
      <c r="H215" t="n">
        <v>0</v>
      </c>
      <c r="I215" t="n">
        <v>0</v>
      </c>
      <c r="J215" t="n">
        <v>0</v>
      </c>
      <c r="K215" t="n">
        <v>0</v>
      </c>
      <c r="L215" t="n">
        <v>0</v>
      </c>
      <c r="M215" t="n">
        <v>0</v>
      </c>
      <c r="N215" t="n">
        <v>0</v>
      </c>
      <c r="O215" t="n">
        <v>0</v>
      </c>
      <c r="P215" t="n">
        <v>0</v>
      </c>
      <c r="Q215" t="n">
        <v>0</v>
      </c>
      <c r="R215" s="2" t="inlineStr"/>
    </row>
    <row r="216" ht="15" customHeight="1">
      <c r="A216" t="inlineStr">
        <is>
          <t>A 8453-2022</t>
        </is>
      </c>
      <c r="B216" s="1" t="n">
        <v>44612.86554398148</v>
      </c>
      <c r="C216" s="1" t="n">
        <v>45966</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52433-2021</t>
        </is>
      </c>
      <c r="B217" s="1" t="n">
        <v>44466.34726851852</v>
      </c>
      <c r="C217" s="1" t="n">
        <v>45966</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50621-2022</t>
        </is>
      </c>
      <c r="B218" s="1" t="n">
        <v>44866.81100694444</v>
      </c>
      <c r="C218" s="1" t="n">
        <v>45966</v>
      </c>
      <c r="D218" t="inlineStr">
        <is>
          <t>KALMAR LÄN</t>
        </is>
      </c>
      <c r="E218" t="inlineStr">
        <is>
          <t>VIMMERBY</t>
        </is>
      </c>
      <c r="F218" t="inlineStr">
        <is>
          <t>Övriga Aktiebolag</t>
        </is>
      </c>
      <c r="G218" t="n">
        <v>5.1</v>
      </c>
      <c r="H218" t="n">
        <v>0</v>
      </c>
      <c r="I218" t="n">
        <v>0</v>
      </c>
      <c r="J218" t="n">
        <v>0</v>
      </c>
      <c r="K218" t="n">
        <v>0</v>
      </c>
      <c r="L218" t="n">
        <v>0</v>
      </c>
      <c r="M218" t="n">
        <v>0</v>
      </c>
      <c r="N218" t="n">
        <v>0</v>
      </c>
      <c r="O218" t="n">
        <v>0</v>
      </c>
      <c r="P218" t="n">
        <v>0</v>
      </c>
      <c r="Q218" t="n">
        <v>0</v>
      </c>
      <c r="R218" s="2" t="inlineStr"/>
    </row>
    <row r="219" ht="15" customHeight="1">
      <c r="A219" t="inlineStr">
        <is>
          <t>A 54065-2021</t>
        </is>
      </c>
      <c r="B219" s="1" t="n">
        <v>44470.44232638889</v>
      </c>
      <c r="C219" s="1" t="n">
        <v>45966</v>
      </c>
      <c r="D219" t="inlineStr">
        <is>
          <t>KALMAR LÄN</t>
        </is>
      </c>
      <c r="E219" t="inlineStr">
        <is>
          <t>VIMMERBY</t>
        </is>
      </c>
      <c r="G219" t="n">
        <v>0.9</v>
      </c>
      <c r="H219" t="n">
        <v>0</v>
      </c>
      <c r="I219" t="n">
        <v>0</v>
      </c>
      <c r="J219" t="n">
        <v>0</v>
      </c>
      <c r="K219" t="n">
        <v>0</v>
      </c>
      <c r="L219" t="n">
        <v>0</v>
      </c>
      <c r="M219" t="n">
        <v>0</v>
      </c>
      <c r="N219" t="n">
        <v>0</v>
      </c>
      <c r="O219" t="n">
        <v>0</v>
      </c>
      <c r="P219" t="n">
        <v>0</v>
      </c>
      <c r="Q219" t="n">
        <v>0</v>
      </c>
      <c r="R219" s="2" t="inlineStr"/>
    </row>
    <row r="220" ht="15" customHeight="1">
      <c r="A220" t="inlineStr">
        <is>
          <t>A 11141-2024</t>
        </is>
      </c>
      <c r="B220" s="1" t="n">
        <v>45371.45865740741</v>
      </c>
      <c r="C220" s="1" t="n">
        <v>45966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28395-2023</t>
        </is>
      </c>
      <c r="B221" s="1" t="n">
        <v>45100.4062962963</v>
      </c>
      <c r="C221" s="1" t="n">
        <v>45966</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49408-2023</t>
        </is>
      </c>
      <c r="B222" s="1" t="n">
        <v>45211.43555555555</v>
      </c>
      <c r="C222" s="1" t="n">
        <v>45966</v>
      </c>
      <c r="D222" t="inlineStr">
        <is>
          <t>KALMAR LÄN</t>
        </is>
      </c>
      <c r="E222" t="inlineStr">
        <is>
          <t>VIMMERBY</t>
        </is>
      </c>
      <c r="G222" t="n">
        <v>13.1</v>
      </c>
      <c r="H222" t="n">
        <v>0</v>
      </c>
      <c r="I222" t="n">
        <v>0</v>
      </c>
      <c r="J222" t="n">
        <v>0</v>
      </c>
      <c r="K222" t="n">
        <v>0</v>
      </c>
      <c r="L222" t="n">
        <v>0</v>
      </c>
      <c r="M222" t="n">
        <v>0</v>
      </c>
      <c r="N222" t="n">
        <v>0</v>
      </c>
      <c r="O222" t="n">
        <v>0</v>
      </c>
      <c r="P222" t="n">
        <v>0</v>
      </c>
      <c r="Q222" t="n">
        <v>0</v>
      </c>
      <c r="R222" s="2" t="inlineStr"/>
    </row>
    <row r="223" ht="15" customHeight="1">
      <c r="A223" t="inlineStr">
        <is>
          <t>A 56536-2022</t>
        </is>
      </c>
      <c r="B223" s="1" t="n">
        <v>44893</v>
      </c>
      <c r="C223" s="1" t="n">
        <v>45966</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34597-2022</t>
        </is>
      </c>
      <c r="B224" s="1" t="n">
        <v>44795</v>
      </c>
      <c r="C224" s="1" t="n">
        <v>45966</v>
      </c>
      <c r="D224" t="inlineStr">
        <is>
          <t>KALMAR LÄN</t>
        </is>
      </c>
      <c r="E224" t="inlineStr">
        <is>
          <t>VIMMERBY</t>
        </is>
      </c>
      <c r="G224" t="n">
        <v>2.2</v>
      </c>
      <c r="H224" t="n">
        <v>0</v>
      </c>
      <c r="I224" t="n">
        <v>0</v>
      </c>
      <c r="J224" t="n">
        <v>0</v>
      </c>
      <c r="K224" t="n">
        <v>0</v>
      </c>
      <c r="L224" t="n">
        <v>0</v>
      </c>
      <c r="M224" t="n">
        <v>0</v>
      </c>
      <c r="N224" t="n">
        <v>0</v>
      </c>
      <c r="O224" t="n">
        <v>0</v>
      </c>
      <c r="P224" t="n">
        <v>0</v>
      </c>
      <c r="Q224" t="n">
        <v>0</v>
      </c>
      <c r="R224" s="2" t="inlineStr"/>
    </row>
    <row r="225" ht="15" customHeight="1">
      <c r="A225" t="inlineStr">
        <is>
          <t>A 41199-2023</t>
        </is>
      </c>
      <c r="B225" s="1" t="n">
        <v>45174.40454861111</v>
      </c>
      <c r="C225" s="1" t="n">
        <v>45966</v>
      </c>
      <c r="D225" t="inlineStr">
        <is>
          <t>KALMAR LÄN</t>
        </is>
      </c>
      <c r="E225" t="inlineStr">
        <is>
          <t>VIMMERBY</t>
        </is>
      </c>
      <c r="G225" t="n">
        <v>1.3</v>
      </c>
      <c r="H225" t="n">
        <v>0</v>
      </c>
      <c r="I225" t="n">
        <v>0</v>
      </c>
      <c r="J225" t="n">
        <v>0</v>
      </c>
      <c r="K225" t="n">
        <v>0</v>
      </c>
      <c r="L225" t="n">
        <v>0</v>
      </c>
      <c r="M225" t="n">
        <v>0</v>
      </c>
      <c r="N225" t="n">
        <v>0</v>
      </c>
      <c r="O225" t="n">
        <v>0</v>
      </c>
      <c r="P225" t="n">
        <v>0</v>
      </c>
      <c r="Q225" t="n">
        <v>0</v>
      </c>
      <c r="R225" s="2" t="inlineStr"/>
    </row>
    <row r="226" ht="15" customHeight="1">
      <c r="A226" t="inlineStr">
        <is>
          <t>A 31824-2022</t>
        </is>
      </c>
      <c r="B226" s="1" t="n">
        <v>44776</v>
      </c>
      <c r="C226" s="1" t="n">
        <v>45966</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64428-2023</t>
        </is>
      </c>
      <c r="B227" s="1" t="n">
        <v>45280.66769675926</v>
      </c>
      <c r="C227" s="1" t="n">
        <v>45966</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11733-2022</t>
        </is>
      </c>
      <c r="B228" s="1" t="n">
        <v>44634</v>
      </c>
      <c r="C228" s="1" t="n">
        <v>45966</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30588-2023</t>
        </is>
      </c>
      <c r="B229" s="1" t="n">
        <v>45112.33599537037</v>
      </c>
      <c r="C229" s="1" t="n">
        <v>45966</v>
      </c>
      <c r="D229" t="inlineStr">
        <is>
          <t>KALMAR LÄN</t>
        </is>
      </c>
      <c r="E229" t="inlineStr">
        <is>
          <t>VIMMERBY</t>
        </is>
      </c>
      <c r="G229" t="n">
        <v>2.7</v>
      </c>
      <c r="H229" t="n">
        <v>0</v>
      </c>
      <c r="I229" t="n">
        <v>0</v>
      </c>
      <c r="J229" t="n">
        <v>0</v>
      </c>
      <c r="K229" t="n">
        <v>0</v>
      </c>
      <c r="L229" t="n">
        <v>0</v>
      </c>
      <c r="M229" t="n">
        <v>0</v>
      </c>
      <c r="N229" t="n">
        <v>0</v>
      </c>
      <c r="O229" t="n">
        <v>0</v>
      </c>
      <c r="P229" t="n">
        <v>0</v>
      </c>
      <c r="Q229" t="n">
        <v>0</v>
      </c>
      <c r="R229" s="2" t="inlineStr"/>
    </row>
    <row r="230" ht="15" customHeight="1">
      <c r="A230" t="inlineStr">
        <is>
          <t>A 30503-2023</t>
        </is>
      </c>
      <c r="B230" s="1" t="n">
        <v>45111</v>
      </c>
      <c r="C230" s="1" t="n">
        <v>45966</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8945-2025</t>
        </is>
      </c>
      <c r="B231" s="1" t="n">
        <v>45713.45311342592</v>
      </c>
      <c r="C231" s="1" t="n">
        <v>45966</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38604-2025</t>
        </is>
      </c>
      <c r="B232" s="1" t="n">
        <v>45884.50613425926</v>
      </c>
      <c r="C232" s="1" t="n">
        <v>45966</v>
      </c>
      <c r="D232" t="inlineStr">
        <is>
          <t>KALMAR LÄN</t>
        </is>
      </c>
      <c r="E232" t="inlineStr">
        <is>
          <t>VIMMERBY</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11619-2023</t>
        </is>
      </c>
      <c r="B233" s="1" t="n">
        <v>44994.42113425926</v>
      </c>
      <c r="C233" s="1" t="n">
        <v>45966</v>
      </c>
      <c r="D233" t="inlineStr">
        <is>
          <t>KALMAR LÄN</t>
        </is>
      </c>
      <c r="E233" t="inlineStr">
        <is>
          <t>VIMMERBY</t>
        </is>
      </c>
      <c r="G233" t="n">
        <v>2.5</v>
      </c>
      <c r="H233" t="n">
        <v>0</v>
      </c>
      <c r="I233" t="n">
        <v>0</v>
      </c>
      <c r="J233" t="n">
        <v>0</v>
      </c>
      <c r="K233" t="n">
        <v>0</v>
      </c>
      <c r="L233" t="n">
        <v>0</v>
      </c>
      <c r="M233" t="n">
        <v>0</v>
      </c>
      <c r="N233" t="n">
        <v>0</v>
      </c>
      <c r="O233" t="n">
        <v>0</v>
      </c>
      <c r="P233" t="n">
        <v>0</v>
      </c>
      <c r="Q233" t="n">
        <v>0</v>
      </c>
      <c r="R233" s="2" t="inlineStr"/>
    </row>
    <row r="234" ht="15" customHeight="1">
      <c r="A234" t="inlineStr">
        <is>
          <t>A 7804-2022</t>
        </is>
      </c>
      <c r="B234" s="1" t="n">
        <v>44608.50458333334</v>
      </c>
      <c r="C234" s="1" t="n">
        <v>45966</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41896-2023</t>
        </is>
      </c>
      <c r="B235" s="1" t="n">
        <v>45176.72427083334</v>
      </c>
      <c r="C235" s="1" t="n">
        <v>45966</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39042-2022</t>
        </is>
      </c>
      <c r="B236" s="1" t="n">
        <v>44817</v>
      </c>
      <c r="C236" s="1" t="n">
        <v>45966</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47263-2023</t>
        </is>
      </c>
      <c r="B237" s="1" t="n">
        <v>45202.4209837963</v>
      </c>
      <c r="C237" s="1" t="n">
        <v>45966</v>
      </c>
      <c r="D237" t="inlineStr">
        <is>
          <t>KALMAR LÄN</t>
        </is>
      </c>
      <c r="E237" t="inlineStr">
        <is>
          <t>VIMMERBY</t>
        </is>
      </c>
      <c r="G237" t="n">
        <v>1.8</v>
      </c>
      <c r="H237" t="n">
        <v>0</v>
      </c>
      <c r="I237" t="n">
        <v>0</v>
      </c>
      <c r="J237" t="n">
        <v>0</v>
      </c>
      <c r="K237" t="n">
        <v>0</v>
      </c>
      <c r="L237" t="n">
        <v>0</v>
      </c>
      <c r="M237" t="n">
        <v>0</v>
      </c>
      <c r="N237" t="n">
        <v>0</v>
      </c>
      <c r="O237" t="n">
        <v>0</v>
      </c>
      <c r="P237" t="n">
        <v>0</v>
      </c>
      <c r="Q237" t="n">
        <v>0</v>
      </c>
      <c r="R237" s="2" t="inlineStr"/>
    </row>
    <row r="238" ht="15" customHeight="1">
      <c r="A238" t="inlineStr">
        <is>
          <t>A 58100-2024</t>
        </is>
      </c>
      <c r="B238" s="1" t="n">
        <v>45632.36706018518</v>
      </c>
      <c r="C238" s="1" t="n">
        <v>45966</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58159-2024</t>
        </is>
      </c>
      <c r="B239" s="1" t="n">
        <v>45632.44886574074</v>
      </c>
      <c r="C239" s="1" t="n">
        <v>45966</v>
      </c>
      <c r="D239" t="inlineStr">
        <is>
          <t>KALMAR LÄN</t>
        </is>
      </c>
      <c r="E239" t="inlineStr">
        <is>
          <t>VIMMERBY</t>
        </is>
      </c>
      <c r="G239" t="n">
        <v>7.5</v>
      </c>
      <c r="H239" t="n">
        <v>0</v>
      </c>
      <c r="I239" t="n">
        <v>0</v>
      </c>
      <c r="J239" t="n">
        <v>0</v>
      </c>
      <c r="K239" t="n">
        <v>0</v>
      </c>
      <c r="L239" t="n">
        <v>0</v>
      </c>
      <c r="M239" t="n">
        <v>0</v>
      </c>
      <c r="N239" t="n">
        <v>0</v>
      </c>
      <c r="O239" t="n">
        <v>0</v>
      </c>
      <c r="P239" t="n">
        <v>0</v>
      </c>
      <c r="Q239" t="n">
        <v>0</v>
      </c>
      <c r="R239" s="2" t="inlineStr"/>
    </row>
    <row r="240" ht="15" customHeight="1">
      <c r="A240" t="inlineStr">
        <is>
          <t>A 16288-2021</t>
        </is>
      </c>
      <c r="B240" s="1" t="n">
        <v>44292</v>
      </c>
      <c r="C240" s="1" t="n">
        <v>45966</v>
      </c>
      <c r="D240" t="inlineStr">
        <is>
          <t>KALMAR LÄN</t>
        </is>
      </c>
      <c r="E240" t="inlineStr">
        <is>
          <t>VIMMERBY</t>
        </is>
      </c>
      <c r="F240" t="inlineStr">
        <is>
          <t>Övriga Aktiebolag</t>
        </is>
      </c>
      <c r="G240" t="n">
        <v>27.6</v>
      </c>
      <c r="H240" t="n">
        <v>0</v>
      </c>
      <c r="I240" t="n">
        <v>0</v>
      </c>
      <c r="J240" t="n">
        <v>0</v>
      </c>
      <c r="K240" t="n">
        <v>0</v>
      </c>
      <c r="L240" t="n">
        <v>0</v>
      </c>
      <c r="M240" t="n">
        <v>0</v>
      </c>
      <c r="N240" t="n">
        <v>0</v>
      </c>
      <c r="O240" t="n">
        <v>0</v>
      </c>
      <c r="P240" t="n">
        <v>0</v>
      </c>
      <c r="Q240" t="n">
        <v>0</v>
      </c>
      <c r="R240" s="2" t="inlineStr"/>
    </row>
    <row r="241" ht="15" customHeight="1">
      <c r="A241" t="inlineStr">
        <is>
          <t>A 46887-2025</t>
        </is>
      </c>
      <c r="B241" s="1" t="n">
        <v>45929.3672337963</v>
      </c>
      <c r="C241" s="1" t="n">
        <v>45966</v>
      </c>
      <c r="D241" t="inlineStr">
        <is>
          <t>KALMAR LÄN</t>
        </is>
      </c>
      <c r="E241" t="inlineStr">
        <is>
          <t>VIMMERBY</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17926-2025</t>
        </is>
      </c>
      <c r="B242" s="1" t="n">
        <v>45759.38987268518</v>
      </c>
      <c r="C242" s="1" t="n">
        <v>45966</v>
      </c>
      <c r="D242" t="inlineStr">
        <is>
          <t>KALMAR LÄN</t>
        </is>
      </c>
      <c r="E242" t="inlineStr">
        <is>
          <t>VIMMERBY</t>
        </is>
      </c>
      <c r="G242" t="n">
        <v>1</v>
      </c>
      <c r="H242" t="n">
        <v>0</v>
      </c>
      <c r="I242" t="n">
        <v>0</v>
      </c>
      <c r="J242" t="n">
        <v>0</v>
      </c>
      <c r="K242" t="n">
        <v>0</v>
      </c>
      <c r="L242" t="n">
        <v>0</v>
      </c>
      <c r="M242" t="n">
        <v>0</v>
      </c>
      <c r="N242" t="n">
        <v>0</v>
      </c>
      <c r="O242" t="n">
        <v>0</v>
      </c>
      <c r="P242" t="n">
        <v>0</v>
      </c>
      <c r="Q242" t="n">
        <v>0</v>
      </c>
      <c r="R242" s="2" t="inlineStr"/>
    </row>
    <row r="243" ht="15" customHeight="1">
      <c r="A243" t="inlineStr">
        <is>
          <t>A 57114-2023</t>
        </is>
      </c>
      <c r="B243" s="1" t="n">
        <v>45245.36174768519</v>
      </c>
      <c r="C243" s="1" t="n">
        <v>45966</v>
      </c>
      <c r="D243" t="inlineStr">
        <is>
          <t>KALMAR LÄN</t>
        </is>
      </c>
      <c r="E243" t="inlineStr">
        <is>
          <t>VIMMERBY</t>
        </is>
      </c>
      <c r="G243" t="n">
        <v>1.5</v>
      </c>
      <c r="H243" t="n">
        <v>0</v>
      </c>
      <c r="I243" t="n">
        <v>0</v>
      </c>
      <c r="J243" t="n">
        <v>0</v>
      </c>
      <c r="K243" t="n">
        <v>0</v>
      </c>
      <c r="L243" t="n">
        <v>0</v>
      </c>
      <c r="M243" t="n">
        <v>0</v>
      </c>
      <c r="N243" t="n">
        <v>0</v>
      </c>
      <c r="O243" t="n">
        <v>0</v>
      </c>
      <c r="P243" t="n">
        <v>0</v>
      </c>
      <c r="Q243" t="n">
        <v>0</v>
      </c>
      <c r="R243" s="2" t="inlineStr"/>
    </row>
    <row r="244" ht="15" customHeight="1">
      <c r="A244" t="inlineStr">
        <is>
          <t>A 3423-2022</t>
        </is>
      </c>
      <c r="B244" s="1" t="n">
        <v>44585.50431712963</v>
      </c>
      <c r="C244" s="1" t="n">
        <v>45966</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21028-2023</t>
        </is>
      </c>
      <c r="B245" s="1" t="n">
        <v>45061</v>
      </c>
      <c r="C245" s="1" t="n">
        <v>45966</v>
      </c>
      <c r="D245" t="inlineStr">
        <is>
          <t>KALMAR LÄN</t>
        </is>
      </c>
      <c r="E245" t="inlineStr">
        <is>
          <t>VIMMERBY</t>
        </is>
      </c>
      <c r="F245" t="inlineStr">
        <is>
          <t>Övriga Aktiebolag</t>
        </is>
      </c>
      <c r="G245" t="n">
        <v>0.7</v>
      </c>
      <c r="H245" t="n">
        <v>0</v>
      </c>
      <c r="I245" t="n">
        <v>0</v>
      </c>
      <c r="J245" t="n">
        <v>0</v>
      </c>
      <c r="K245" t="n">
        <v>0</v>
      </c>
      <c r="L245" t="n">
        <v>0</v>
      </c>
      <c r="M245" t="n">
        <v>0</v>
      </c>
      <c r="N245" t="n">
        <v>0</v>
      </c>
      <c r="O245" t="n">
        <v>0</v>
      </c>
      <c r="P245" t="n">
        <v>0</v>
      </c>
      <c r="Q245" t="n">
        <v>0</v>
      </c>
      <c r="R245" s="2" t="inlineStr"/>
    </row>
    <row r="246" ht="15" customHeight="1">
      <c r="A246" t="inlineStr">
        <is>
          <t>A 45854-2025</t>
        </is>
      </c>
      <c r="B246" s="1" t="n">
        <v>45923</v>
      </c>
      <c r="C246" s="1" t="n">
        <v>45966</v>
      </c>
      <c r="D246" t="inlineStr">
        <is>
          <t>KALMAR LÄN</t>
        </is>
      </c>
      <c r="E246" t="inlineStr">
        <is>
          <t>VIMMERBY</t>
        </is>
      </c>
      <c r="G246" t="n">
        <v>2.2</v>
      </c>
      <c r="H246" t="n">
        <v>0</v>
      </c>
      <c r="I246" t="n">
        <v>0</v>
      </c>
      <c r="J246" t="n">
        <v>0</v>
      </c>
      <c r="K246" t="n">
        <v>0</v>
      </c>
      <c r="L246" t="n">
        <v>0</v>
      </c>
      <c r="M246" t="n">
        <v>0</v>
      </c>
      <c r="N246" t="n">
        <v>0</v>
      </c>
      <c r="O246" t="n">
        <v>0</v>
      </c>
      <c r="P246" t="n">
        <v>0</v>
      </c>
      <c r="Q246" t="n">
        <v>0</v>
      </c>
      <c r="R246" s="2" t="inlineStr"/>
    </row>
    <row r="247" ht="15" customHeight="1">
      <c r="A247" t="inlineStr">
        <is>
          <t>A 40665-2023</t>
        </is>
      </c>
      <c r="B247" s="1" t="n">
        <v>45170</v>
      </c>
      <c r="C247" s="1" t="n">
        <v>45966</v>
      </c>
      <c r="D247" t="inlineStr">
        <is>
          <t>KALMAR LÄN</t>
        </is>
      </c>
      <c r="E247" t="inlineStr">
        <is>
          <t>VIMMERBY</t>
        </is>
      </c>
      <c r="G247" t="n">
        <v>2.6</v>
      </c>
      <c r="H247" t="n">
        <v>0</v>
      </c>
      <c r="I247" t="n">
        <v>0</v>
      </c>
      <c r="J247" t="n">
        <v>0</v>
      </c>
      <c r="K247" t="n">
        <v>0</v>
      </c>
      <c r="L247" t="n">
        <v>0</v>
      </c>
      <c r="M247" t="n">
        <v>0</v>
      </c>
      <c r="N247" t="n">
        <v>0</v>
      </c>
      <c r="O247" t="n">
        <v>0</v>
      </c>
      <c r="P247" t="n">
        <v>0</v>
      </c>
      <c r="Q247" t="n">
        <v>0</v>
      </c>
      <c r="R247" s="2" t="inlineStr"/>
    </row>
    <row r="248" ht="15" customHeight="1">
      <c r="A248" t="inlineStr">
        <is>
          <t>A 47227-2025</t>
        </is>
      </c>
      <c r="B248" s="1" t="n">
        <v>45930.39769675926</v>
      </c>
      <c r="C248" s="1" t="n">
        <v>45966</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4076-2022</t>
        </is>
      </c>
      <c r="B249" s="1" t="n">
        <v>44588.37998842593</v>
      </c>
      <c r="C249" s="1" t="n">
        <v>45966</v>
      </c>
      <c r="D249" t="inlineStr">
        <is>
          <t>KALMAR LÄN</t>
        </is>
      </c>
      <c r="E249" t="inlineStr">
        <is>
          <t>VIMMERBY</t>
        </is>
      </c>
      <c r="G249" t="n">
        <v>3</v>
      </c>
      <c r="H249" t="n">
        <v>0</v>
      </c>
      <c r="I249" t="n">
        <v>0</v>
      </c>
      <c r="J249" t="n">
        <v>0</v>
      </c>
      <c r="K249" t="n">
        <v>0</v>
      </c>
      <c r="L249" t="n">
        <v>0</v>
      </c>
      <c r="M249" t="n">
        <v>0</v>
      </c>
      <c r="N249" t="n">
        <v>0</v>
      </c>
      <c r="O249" t="n">
        <v>0</v>
      </c>
      <c r="P249" t="n">
        <v>0</v>
      </c>
      <c r="Q249" t="n">
        <v>0</v>
      </c>
      <c r="R249" s="2" t="inlineStr"/>
    </row>
    <row r="250" ht="15" customHeight="1">
      <c r="A250" t="inlineStr">
        <is>
          <t>A 19445-2021</t>
        </is>
      </c>
      <c r="B250" s="1" t="n">
        <v>44310</v>
      </c>
      <c r="C250" s="1" t="n">
        <v>45966</v>
      </c>
      <c r="D250" t="inlineStr">
        <is>
          <t>KALMAR LÄN</t>
        </is>
      </c>
      <c r="E250" t="inlineStr">
        <is>
          <t>VIMMERBY</t>
        </is>
      </c>
      <c r="G250" t="n">
        <v>6.8</v>
      </c>
      <c r="H250" t="n">
        <v>0</v>
      </c>
      <c r="I250" t="n">
        <v>0</v>
      </c>
      <c r="J250" t="n">
        <v>0</v>
      </c>
      <c r="K250" t="n">
        <v>0</v>
      </c>
      <c r="L250" t="n">
        <v>0</v>
      </c>
      <c r="M250" t="n">
        <v>0</v>
      </c>
      <c r="N250" t="n">
        <v>0</v>
      </c>
      <c r="O250" t="n">
        <v>0</v>
      </c>
      <c r="P250" t="n">
        <v>0</v>
      </c>
      <c r="Q250" t="n">
        <v>0</v>
      </c>
      <c r="R250" s="2" t="inlineStr"/>
    </row>
    <row r="251" ht="15" customHeight="1">
      <c r="A251" t="inlineStr">
        <is>
          <t>A 27122-2023</t>
        </is>
      </c>
      <c r="B251" s="1" t="n">
        <v>45096.45247685185</v>
      </c>
      <c r="C251" s="1" t="n">
        <v>45966</v>
      </c>
      <c r="D251" t="inlineStr">
        <is>
          <t>KALMAR LÄN</t>
        </is>
      </c>
      <c r="E251" t="inlineStr">
        <is>
          <t>VIMMERBY</t>
        </is>
      </c>
      <c r="G251" t="n">
        <v>1.7</v>
      </c>
      <c r="H251" t="n">
        <v>0</v>
      </c>
      <c r="I251" t="n">
        <v>0</v>
      </c>
      <c r="J251" t="n">
        <v>0</v>
      </c>
      <c r="K251" t="n">
        <v>0</v>
      </c>
      <c r="L251" t="n">
        <v>0</v>
      </c>
      <c r="M251" t="n">
        <v>0</v>
      </c>
      <c r="N251" t="n">
        <v>0</v>
      </c>
      <c r="O251" t="n">
        <v>0</v>
      </c>
      <c r="P251" t="n">
        <v>0</v>
      </c>
      <c r="Q251" t="n">
        <v>0</v>
      </c>
      <c r="R251" s="2" t="inlineStr"/>
    </row>
    <row r="252" ht="15" customHeight="1">
      <c r="A252" t="inlineStr">
        <is>
          <t>A 4122-2022</t>
        </is>
      </c>
      <c r="B252" s="1" t="n">
        <v>44588</v>
      </c>
      <c r="C252" s="1" t="n">
        <v>45966</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13813-2024</t>
        </is>
      </c>
      <c r="B253" s="1" t="n">
        <v>45391.41310185185</v>
      </c>
      <c r="C253" s="1" t="n">
        <v>45966</v>
      </c>
      <c r="D253" t="inlineStr">
        <is>
          <t>KALMAR LÄN</t>
        </is>
      </c>
      <c r="E253" t="inlineStr">
        <is>
          <t>VIMMERBY</t>
        </is>
      </c>
      <c r="G253" t="n">
        <v>0.4</v>
      </c>
      <c r="H253" t="n">
        <v>0</v>
      </c>
      <c r="I253" t="n">
        <v>0</v>
      </c>
      <c r="J253" t="n">
        <v>0</v>
      </c>
      <c r="K253" t="n">
        <v>0</v>
      </c>
      <c r="L253" t="n">
        <v>0</v>
      </c>
      <c r="M253" t="n">
        <v>0</v>
      </c>
      <c r="N253" t="n">
        <v>0</v>
      </c>
      <c r="O253" t="n">
        <v>0</v>
      </c>
      <c r="P253" t="n">
        <v>0</v>
      </c>
      <c r="Q253" t="n">
        <v>0</v>
      </c>
      <c r="R253" s="2" t="inlineStr"/>
    </row>
    <row r="254" ht="15" customHeight="1">
      <c r="A254" t="inlineStr">
        <is>
          <t>A 38969-2023</t>
        </is>
      </c>
      <c r="B254" s="1" t="n">
        <v>45163.63621527778</v>
      </c>
      <c r="C254" s="1" t="n">
        <v>45966</v>
      </c>
      <c r="D254" t="inlineStr">
        <is>
          <t>KALMAR LÄN</t>
        </is>
      </c>
      <c r="E254" t="inlineStr">
        <is>
          <t>VIMMERBY</t>
        </is>
      </c>
      <c r="F254" t="inlineStr">
        <is>
          <t>Sveaskog</t>
        </is>
      </c>
      <c r="G254" t="n">
        <v>2.4</v>
      </c>
      <c r="H254" t="n">
        <v>0</v>
      </c>
      <c r="I254" t="n">
        <v>0</v>
      </c>
      <c r="J254" t="n">
        <v>0</v>
      </c>
      <c r="K254" t="n">
        <v>0</v>
      </c>
      <c r="L254" t="n">
        <v>0</v>
      </c>
      <c r="M254" t="n">
        <v>0</v>
      </c>
      <c r="N254" t="n">
        <v>0</v>
      </c>
      <c r="O254" t="n">
        <v>0</v>
      </c>
      <c r="P254" t="n">
        <v>0</v>
      </c>
      <c r="Q254" t="n">
        <v>0</v>
      </c>
      <c r="R254" s="2" t="inlineStr"/>
    </row>
    <row r="255" ht="15" customHeight="1">
      <c r="A255" t="inlineStr">
        <is>
          <t>A 26937-2023</t>
        </is>
      </c>
      <c r="B255" s="1" t="n">
        <v>45093.62777777778</v>
      </c>
      <c r="C255" s="1" t="n">
        <v>45966</v>
      </c>
      <c r="D255" t="inlineStr">
        <is>
          <t>KALMAR LÄN</t>
        </is>
      </c>
      <c r="E255" t="inlineStr">
        <is>
          <t>VIMMERBY</t>
        </is>
      </c>
      <c r="F255" t="inlineStr">
        <is>
          <t>Sveaskog</t>
        </is>
      </c>
      <c r="G255" t="n">
        <v>14.5</v>
      </c>
      <c r="H255" t="n">
        <v>0</v>
      </c>
      <c r="I255" t="n">
        <v>0</v>
      </c>
      <c r="J255" t="n">
        <v>0</v>
      </c>
      <c r="K255" t="n">
        <v>0</v>
      </c>
      <c r="L255" t="n">
        <v>0</v>
      </c>
      <c r="M255" t="n">
        <v>0</v>
      </c>
      <c r="N255" t="n">
        <v>0</v>
      </c>
      <c r="O255" t="n">
        <v>0</v>
      </c>
      <c r="P255" t="n">
        <v>0</v>
      </c>
      <c r="Q255" t="n">
        <v>0</v>
      </c>
      <c r="R255" s="2" t="inlineStr"/>
    </row>
    <row r="256" ht="15" customHeight="1">
      <c r="A256" t="inlineStr">
        <is>
          <t>A 57486-2024</t>
        </is>
      </c>
      <c r="B256" s="1" t="n">
        <v>45630.35827546296</v>
      </c>
      <c r="C256" s="1" t="n">
        <v>45966</v>
      </c>
      <c r="D256" t="inlineStr">
        <is>
          <t>KALMAR LÄN</t>
        </is>
      </c>
      <c r="E256" t="inlineStr">
        <is>
          <t>VIMMERBY</t>
        </is>
      </c>
      <c r="G256" t="n">
        <v>0.4</v>
      </c>
      <c r="H256" t="n">
        <v>0</v>
      </c>
      <c r="I256" t="n">
        <v>0</v>
      </c>
      <c r="J256" t="n">
        <v>0</v>
      </c>
      <c r="K256" t="n">
        <v>0</v>
      </c>
      <c r="L256" t="n">
        <v>0</v>
      </c>
      <c r="M256" t="n">
        <v>0</v>
      </c>
      <c r="N256" t="n">
        <v>0</v>
      </c>
      <c r="O256" t="n">
        <v>0</v>
      </c>
      <c r="P256" t="n">
        <v>0</v>
      </c>
      <c r="Q256" t="n">
        <v>0</v>
      </c>
      <c r="R256" s="2" t="inlineStr"/>
    </row>
    <row r="257" ht="15" customHeight="1">
      <c r="A257" t="inlineStr">
        <is>
          <t>A 29726-2025</t>
        </is>
      </c>
      <c r="B257" s="1" t="n">
        <v>45825.57805555555</v>
      </c>
      <c r="C257" s="1" t="n">
        <v>45966</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43186-2021</t>
        </is>
      </c>
      <c r="B258" s="1" t="n">
        <v>44431.84840277778</v>
      </c>
      <c r="C258" s="1" t="n">
        <v>45966</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1799-2025</t>
        </is>
      </c>
      <c r="B259" s="1" t="n">
        <v>45671.46746527778</v>
      </c>
      <c r="C259" s="1" t="n">
        <v>45966</v>
      </c>
      <c r="D259" t="inlineStr">
        <is>
          <t>KALMAR LÄN</t>
        </is>
      </c>
      <c r="E259" t="inlineStr">
        <is>
          <t>VIMMERBY</t>
        </is>
      </c>
      <c r="G259" t="n">
        <v>3.3</v>
      </c>
      <c r="H259" t="n">
        <v>0</v>
      </c>
      <c r="I259" t="n">
        <v>0</v>
      </c>
      <c r="J259" t="n">
        <v>0</v>
      </c>
      <c r="K259" t="n">
        <v>0</v>
      </c>
      <c r="L259" t="n">
        <v>0</v>
      </c>
      <c r="M259" t="n">
        <v>0</v>
      </c>
      <c r="N259" t="n">
        <v>0</v>
      </c>
      <c r="O259" t="n">
        <v>0</v>
      </c>
      <c r="P259" t="n">
        <v>0</v>
      </c>
      <c r="Q259" t="n">
        <v>0</v>
      </c>
      <c r="R259" s="2" t="inlineStr"/>
    </row>
    <row r="260" ht="15" customHeight="1">
      <c r="A260" t="inlineStr">
        <is>
          <t>A 50860-2022</t>
        </is>
      </c>
      <c r="B260" s="1" t="n">
        <v>44867</v>
      </c>
      <c r="C260" s="1" t="n">
        <v>45966</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30063-2023</t>
        </is>
      </c>
      <c r="B261" s="1" t="n">
        <v>45110.4184375</v>
      </c>
      <c r="C261" s="1" t="n">
        <v>45966</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25370-2022</t>
        </is>
      </c>
      <c r="B262" s="1" t="n">
        <v>44732.3659837963</v>
      </c>
      <c r="C262" s="1" t="n">
        <v>45966</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58577-2024</t>
        </is>
      </c>
      <c r="B263" s="1" t="n">
        <v>45635.4874537037</v>
      </c>
      <c r="C263" s="1" t="n">
        <v>45966</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58374-2024</t>
        </is>
      </c>
      <c r="B264" s="1" t="n">
        <v>45632.72635416667</v>
      </c>
      <c r="C264" s="1" t="n">
        <v>45966</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29440-2024</t>
        </is>
      </c>
      <c r="B265" s="1" t="n">
        <v>45483.82479166667</v>
      </c>
      <c r="C265" s="1" t="n">
        <v>45966</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43068-2023</t>
        </is>
      </c>
      <c r="B266" s="1" t="n">
        <v>45182.78834490741</v>
      </c>
      <c r="C266" s="1" t="n">
        <v>45966</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18020-2025</t>
        </is>
      </c>
      <c r="B267" s="1" t="n">
        <v>45761.4437962963</v>
      </c>
      <c r="C267" s="1" t="n">
        <v>45966</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39801-2025</t>
        </is>
      </c>
      <c r="B268" s="1" t="n">
        <v>45891.50216435185</v>
      </c>
      <c r="C268" s="1" t="n">
        <v>45966</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9129-2025</t>
        </is>
      </c>
      <c r="B269" s="1" t="n">
        <v>45713.92412037037</v>
      </c>
      <c r="C269" s="1" t="n">
        <v>45966</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22197-2024</t>
        </is>
      </c>
      <c r="B270" s="1" t="n">
        <v>45446.36774305555</v>
      </c>
      <c r="C270" s="1" t="n">
        <v>45966</v>
      </c>
      <c r="D270" t="inlineStr">
        <is>
          <t>KALMAR LÄN</t>
        </is>
      </c>
      <c r="E270" t="inlineStr">
        <is>
          <t>VIMMERBY</t>
        </is>
      </c>
      <c r="F270" t="inlineStr">
        <is>
          <t>Sveaskog</t>
        </is>
      </c>
      <c r="G270" t="n">
        <v>3.2</v>
      </c>
      <c r="H270" t="n">
        <v>0</v>
      </c>
      <c r="I270" t="n">
        <v>0</v>
      </c>
      <c r="J270" t="n">
        <v>0</v>
      </c>
      <c r="K270" t="n">
        <v>0</v>
      </c>
      <c r="L270" t="n">
        <v>0</v>
      </c>
      <c r="M270" t="n">
        <v>0</v>
      </c>
      <c r="N270" t="n">
        <v>0</v>
      </c>
      <c r="O270" t="n">
        <v>0</v>
      </c>
      <c r="P270" t="n">
        <v>0</v>
      </c>
      <c r="Q270" t="n">
        <v>0</v>
      </c>
      <c r="R270" s="2" t="inlineStr"/>
    </row>
    <row r="271" ht="15" customHeight="1">
      <c r="A271" t="inlineStr">
        <is>
          <t>A 33424-2023</t>
        </is>
      </c>
      <c r="B271" s="1" t="n">
        <v>45128.9325</v>
      </c>
      <c r="C271" s="1" t="n">
        <v>45966</v>
      </c>
      <c r="D271" t="inlineStr">
        <is>
          <t>KALMAR LÄN</t>
        </is>
      </c>
      <c r="E271" t="inlineStr">
        <is>
          <t>VIMMERBY</t>
        </is>
      </c>
      <c r="G271" t="n">
        <v>2.4</v>
      </c>
      <c r="H271" t="n">
        <v>0</v>
      </c>
      <c r="I271" t="n">
        <v>0</v>
      </c>
      <c r="J271" t="n">
        <v>0</v>
      </c>
      <c r="K271" t="n">
        <v>0</v>
      </c>
      <c r="L271" t="n">
        <v>0</v>
      </c>
      <c r="M271" t="n">
        <v>0</v>
      </c>
      <c r="N271" t="n">
        <v>0</v>
      </c>
      <c r="O271" t="n">
        <v>0</v>
      </c>
      <c r="P271" t="n">
        <v>0</v>
      </c>
      <c r="Q271" t="n">
        <v>0</v>
      </c>
      <c r="R271" s="2" t="inlineStr"/>
    </row>
    <row r="272" ht="15" customHeight="1">
      <c r="A272" t="inlineStr">
        <is>
          <t>A 33425-2023</t>
        </is>
      </c>
      <c r="B272" s="1" t="n">
        <v>45128.93540509259</v>
      </c>
      <c r="C272" s="1" t="n">
        <v>45966</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53752-2024</t>
        </is>
      </c>
      <c r="B273" s="1" t="n">
        <v>45615.48927083334</v>
      </c>
      <c r="C273" s="1" t="n">
        <v>45966</v>
      </c>
      <c r="D273" t="inlineStr">
        <is>
          <t>KALMAR LÄN</t>
        </is>
      </c>
      <c r="E273" t="inlineStr">
        <is>
          <t>VIMMERBY</t>
        </is>
      </c>
      <c r="G273" t="n">
        <v>2.4</v>
      </c>
      <c r="H273" t="n">
        <v>0</v>
      </c>
      <c r="I273" t="n">
        <v>0</v>
      </c>
      <c r="J273" t="n">
        <v>0</v>
      </c>
      <c r="K273" t="n">
        <v>0</v>
      </c>
      <c r="L273" t="n">
        <v>0</v>
      </c>
      <c r="M273" t="n">
        <v>0</v>
      </c>
      <c r="N273" t="n">
        <v>0</v>
      </c>
      <c r="O273" t="n">
        <v>0</v>
      </c>
      <c r="P273" t="n">
        <v>0</v>
      </c>
      <c r="Q273" t="n">
        <v>0</v>
      </c>
      <c r="R273" s="2" t="inlineStr"/>
    </row>
    <row r="274" ht="15" customHeight="1">
      <c r="A274" t="inlineStr">
        <is>
          <t>A 12327-2023</t>
        </is>
      </c>
      <c r="B274" s="1" t="n">
        <v>44999.36081018519</v>
      </c>
      <c r="C274" s="1" t="n">
        <v>45966</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43092-2024</t>
        </is>
      </c>
      <c r="B275" s="1" t="n">
        <v>45567</v>
      </c>
      <c r="C275" s="1" t="n">
        <v>45966</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47955-2025</t>
        </is>
      </c>
      <c r="B276" s="1" t="n">
        <v>45932.58896990741</v>
      </c>
      <c r="C276" s="1" t="n">
        <v>45966</v>
      </c>
      <c r="D276" t="inlineStr">
        <is>
          <t>KALMAR LÄN</t>
        </is>
      </c>
      <c r="E276" t="inlineStr">
        <is>
          <t>VIMMERBY</t>
        </is>
      </c>
      <c r="G276" t="n">
        <v>3.4</v>
      </c>
      <c r="H276" t="n">
        <v>0</v>
      </c>
      <c r="I276" t="n">
        <v>0</v>
      </c>
      <c r="J276" t="n">
        <v>0</v>
      </c>
      <c r="K276" t="n">
        <v>0</v>
      </c>
      <c r="L276" t="n">
        <v>0</v>
      </c>
      <c r="M276" t="n">
        <v>0</v>
      </c>
      <c r="N276" t="n">
        <v>0</v>
      </c>
      <c r="O276" t="n">
        <v>0</v>
      </c>
      <c r="P276" t="n">
        <v>0</v>
      </c>
      <c r="Q276" t="n">
        <v>0</v>
      </c>
      <c r="R276" s="2" t="inlineStr"/>
    </row>
    <row r="277" ht="15" customHeight="1">
      <c r="A277" t="inlineStr">
        <is>
          <t>A 30402-2023</t>
        </is>
      </c>
      <c r="B277" s="1" t="n">
        <v>45111.48395833333</v>
      </c>
      <c r="C277" s="1" t="n">
        <v>45966</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52435-2021</t>
        </is>
      </c>
      <c r="B278" s="1" t="n">
        <v>44466.34962962963</v>
      </c>
      <c r="C278" s="1" t="n">
        <v>45966</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39807-2025</t>
        </is>
      </c>
      <c r="B279" s="1" t="n">
        <v>45891.50986111111</v>
      </c>
      <c r="C279" s="1" t="n">
        <v>45966</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39736-2025</t>
        </is>
      </c>
      <c r="B280" s="1" t="n">
        <v>45891</v>
      </c>
      <c r="C280" s="1" t="n">
        <v>45966</v>
      </c>
      <c r="D280" t="inlineStr">
        <is>
          <t>KALMAR LÄN</t>
        </is>
      </c>
      <c r="E280" t="inlineStr">
        <is>
          <t>VIMMERBY</t>
        </is>
      </c>
      <c r="G280" t="n">
        <v>12.8</v>
      </c>
      <c r="H280" t="n">
        <v>0</v>
      </c>
      <c r="I280" t="n">
        <v>0</v>
      </c>
      <c r="J280" t="n">
        <v>0</v>
      </c>
      <c r="K280" t="n">
        <v>0</v>
      </c>
      <c r="L280" t="n">
        <v>0</v>
      </c>
      <c r="M280" t="n">
        <v>0</v>
      </c>
      <c r="N280" t="n">
        <v>0</v>
      </c>
      <c r="O280" t="n">
        <v>0</v>
      </c>
      <c r="P280" t="n">
        <v>0</v>
      </c>
      <c r="Q280" t="n">
        <v>0</v>
      </c>
      <c r="R280" s="2" t="inlineStr"/>
    </row>
    <row r="281" ht="15" customHeight="1">
      <c r="A281" t="inlineStr">
        <is>
          <t>A 12121-2025</t>
        </is>
      </c>
      <c r="B281" s="1" t="n">
        <v>45729.36868055556</v>
      </c>
      <c r="C281" s="1" t="n">
        <v>45966</v>
      </c>
      <c r="D281" t="inlineStr">
        <is>
          <t>KALMAR LÄN</t>
        </is>
      </c>
      <c r="E281" t="inlineStr">
        <is>
          <t>VIMMERBY</t>
        </is>
      </c>
      <c r="G281" t="n">
        <v>4.3</v>
      </c>
      <c r="H281" t="n">
        <v>0</v>
      </c>
      <c r="I281" t="n">
        <v>0</v>
      </c>
      <c r="J281" t="n">
        <v>0</v>
      </c>
      <c r="K281" t="n">
        <v>0</v>
      </c>
      <c r="L281" t="n">
        <v>0</v>
      </c>
      <c r="M281" t="n">
        <v>0</v>
      </c>
      <c r="N281" t="n">
        <v>0</v>
      </c>
      <c r="O281" t="n">
        <v>0</v>
      </c>
      <c r="P281" t="n">
        <v>0</v>
      </c>
      <c r="Q281" t="n">
        <v>0</v>
      </c>
      <c r="R281" s="2" t="inlineStr"/>
    </row>
    <row r="282" ht="15" customHeight="1">
      <c r="A282" t="inlineStr">
        <is>
          <t>A 47965-2025</t>
        </is>
      </c>
      <c r="B282" s="1" t="n">
        <v>45932.59597222223</v>
      </c>
      <c r="C282" s="1" t="n">
        <v>45966</v>
      </c>
      <c r="D282" t="inlineStr">
        <is>
          <t>KALMAR LÄN</t>
        </is>
      </c>
      <c r="E282" t="inlineStr">
        <is>
          <t>VIMMERBY</t>
        </is>
      </c>
      <c r="G282" t="n">
        <v>2.2</v>
      </c>
      <c r="H282" t="n">
        <v>0</v>
      </c>
      <c r="I282" t="n">
        <v>0</v>
      </c>
      <c r="J282" t="n">
        <v>0</v>
      </c>
      <c r="K282" t="n">
        <v>0</v>
      </c>
      <c r="L282" t="n">
        <v>0</v>
      </c>
      <c r="M282" t="n">
        <v>0</v>
      </c>
      <c r="N282" t="n">
        <v>0</v>
      </c>
      <c r="O282" t="n">
        <v>0</v>
      </c>
      <c r="P282" t="n">
        <v>0</v>
      </c>
      <c r="Q282" t="n">
        <v>0</v>
      </c>
      <c r="R282" s="2" t="inlineStr"/>
    </row>
    <row r="283" ht="15" customHeight="1">
      <c r="A283" t="inlineStr">
        <is>
          <t>A 35127-2024</t>
        </is>
      </c>
      <c r="B283" s="1" t="n">
        <v>45530.33202546297</v>
      </c>
      <c r="C283" s="1" t="n">
        <v>45966</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9710-2023</t>
        </is>
      </c>
      <c r="B284" s="1" t="n">
        <v>44984</v>
      </c>
      <c r="C284" s="1" t="n">
        <v>45966</v>
      </c>
      <c r="D284" t="inlineStr">
        <is>
          <t>KALMAR LÄN</t>
        </is>
      </c>
      <c r="E284" t="inlineStr">
        <is>
          <t>VIMMERBY</t>
        </is>
      </c>
      <c r="G284" t="n">
        <v>3.7</v>
      </c>
      <c r="H284" t="n">
        <v>0</v>
      </c>
      <c r="I284" t="n">
        <v>0</v>
      </c>
      <c r="J284" t="n">
        <v>0</v>
      </c>
      <c r="K284" t="n">
        <v>0</v>
      </c>
      <c r="L284" t="n">
        <v>0</v>
      </c>
      <c r="M284" t="n">
        <v>0</v>
      </c>
      <c r="N284" t="n">
        <v>0</v>
      </c>
      <c r="O284" t="n">
        <v>0</v>
      </c>
      <c r="P284" t="n">
        <v>0</v>
      </c>
      <c r="Q284" t="n">
        <v>0</v>
      </c>
      <c r="R284" s="2" t="inlineStr"/>
    </row>
    <row r="285" ht="15" customHeight="1">
      <c r="A285" t="inlineStr">
        <is>
          <t>A 9720-2023</t>
        </is>
      </c>
      <c r="B285" s="1" t="n">
        <v>44984</v>
      </c>
      <c r="C285" s="1" t="n">
        <v>45966</v>
      </c>
      <c r="D285" t="inlineStr">
        <is>
          <t>KALMAR LÄN</t>
        </is>
      </c>
      <c r="E285" t="inlineStr">
        <is>
          <t>VIMMERBY</t>
        </is>
      </c>
      <c r="G285" t="n">
        <v>4.4</v>
      </c>
      <c r="H285" t="n">
        <v>0</v>
      </c>
      <c r="I285" t="n">
        <v>0</v>
      </c>
      <c r="J285" t="n">
        <v>0</v>
      </c>
      <c r="K285" t="n">
        <v>0</v>
      </c>
      <c r="L285" t="n">
        <v>0</v>
      </c>
      <c r="M285" t="n">
        <v>0</v>
      </c>
      <c r="N285" t="n">
        <v>0</v>
      </c>
      <c r="O285" t="n">
        <v>0</v>
      </c>
      <c r="P285" t="n">
        <v>0</v>
      </c>
      <c r="Q285" t="n">
        <v>0</v>
      </c>
      <c r="R285" s="2" t="inlineStr"/>
    </row>
    <row r="286" ht="15" customHeight="1">
      <c r="A286" t="inlineStr">
        <is>
          <t>A 15493-2023</t>
        </is>
      </c>
      <c r="B286" s="1" t="n">
        <v>45018</v>
      </c>
      <c r="C286" s="1" t="n">
        <v>45966</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48299-2025</t>
        </is>
      </c>
      <c r="B287" s="1" t="n">
        <v>45933.60982638889</v>
      </c>
      <c r="C287" s="1" t="n">
        <v>45966</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60215-2022</t>
        </is>
      </c>
      <c r="B288" s="1" t="n">
        <v>44910.41346064815</v>
      </c>
      <c r="C288" s="1" t="n">
        <v>45966</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29441-2024</t>
        </is>
      </c>
      <c r="B289" s="1" t="n">
        <v>45483.82834490741</v>
      </c>
      <c r="C289" s="1" t="n">
        <v>45966</v>
      </c>
      <c r="D289" t="inlineStr">
        <is>
          <t>KALMAR LÄN</t>
        </is>
      </c>
      <c r="E289" t="inlineStr">
        <is>
          <t>VIMMERBY</t>
        </is>
      </c>
      <c r="G289" t="n">
        <v>1.3</v>
      </c>
      <c r="H289" t="n">
        <v>0</v>
      </c>
      <c r="I289" t="n">
        <v>0</v>
      </c>
      <c r="J289" t="n">
        <v>0</v>
      </c>
      <c r="K289" t="n">
        <v>0</v>
      </c>
      <c r="L289" t="n">
        <v>0</v>
      </c>
      <c r="M289" t="n">
        <v>0</v>
      </c>
      <c r="N289" t="n">
        <v>0</v>
      </c>
      <c r="O289" t="n">
        <v>0</v>
      </c>
      <c r="P289" t="n">
        <v>0</v>
      </c>
      <c r="Q289" t="n">
        <v>0</v>
      </c>
      <c r="R289" s="2" t="inlineStr"/>
    </row>
    <row r="290" ht="15" customHeight="1">
      <c r="A290" t="inlineStr">
        <is>
          <t>A 39803-2025</t>
        </is>
      </c>
      <c r="B290" s="1" t="n">
        <v>45891.50525462963</v>
      </c>
      <c r="C290" s="1" t="n">
        <v>45966</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39889-2025</t>
        </is>
      </c>
      <c r="B291" s="1" t="n">
        <v>45891</v>
      </c>
      <c r="C291" s="1" t="n">
        <v>45966</v>
      </c>
      <c r="D291" t="inlineStr">
        <is>
          <t>KALMAR LÄN</t>
        </is>
      </c>
      <c r="E291" t="inlineStr">
        <is>
          <t>VIMMERBY</t>
        </is>
      </c>
      <c r="G291" t="n">
        <v>4.5</v>
      </c>
      <c r="H291" t="n">
        <v>0</v>
      </c>
      <c r="I291" t="n">
        <v>0</v>
      </c>
      <c r="J291" t="n">
        <v>0</v>
      </c>
      <c r="K291" t="n">
        <v>0</v>
      </c>
      <c r="L291" t="n">
        <v>0</v>
      </c>
      <c r="M291" t="n">
        <v>0</v>
      </c>
      <c r="N291" t="n">
        <v>0</v>
      </c>
      <c r="O291" t="n">
        <v>0</v>
      </c>
      <c r="P291" t="n">
        <v>0</v>
      </c>
      <c r="Q291" t="n">
        <v>0</v>
      </c>
      <c r="R291" s="2" t="inlineStr"/>
    </row>
    <row r="292" ht="15" customHeight="1">
      <c r="A292" t="inlineStr">
        <is>
          <t>A 6216-2025</t>
        </is>
      </c>
      <c r="B292" s="1" t="n">
        <v>45698.52806712963</v>
      </c>
      <c r="C292" s="1" t="n">
        <v>45966</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62779-2023</t>
        </is>
      </c>
      <c r="B293" s="1" t="n">
        <v>45271.66576388889</v>
      </c>
      <c r="C293" s="1" t="n">
        <v>45966</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52294-2023</t>
        </is>
      </c>
      <c r="B294" s="1" t="n">
        <v>45224.60075231481</v>
      </c>
      <c r="C294" s="1" t="n">
        <v>45966</v>
      </c>
      <c r="D294" t="inlineStr">
        <is>
          <t>KALMAR LÄN</t>
        </is>
      </c>
      <c r="E294" t="inlineStr">
        <is>
          <t>VIMMERBY</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29093-2023</t>
        </is>
      </c>
      <c r="B295" s="1" t="n">
        <v>45105</v>
      </c>
      <c r="C295" s="1" t="n">
        <v>45966</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33352-2022</t>
        </is>
      </c>
      <c r="B296" s="1" t="n">
        <v>44788</v>
      </c>
      <c r="C296" s="1" t="n">
        <v>45966</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48723-2025</t>
        </is>
      </c>
      <c r="B297" s="1" t="n">
        <v>45936.65121527778</v>
      </c>
      <c r="C297" s="1" t="n">
        <v>45966</v>
      </c>
      <c r="D297" t="inlineStr">
        <is>
          <t>KALMAR LÄN</t>
        </is>
      </c>
      <c r="E297" t="inlineStr">
        <is>
          <t>VIMMERBY</t>
        </is>
      </c>
      <c r="G297" t="n">
        <v>3</v>
      </c>
      <c r="H297" t="n">
        <v>0</v>
      </c>
      <c r="I297" t="n">
        <v>0</v>
      </c>
      <c r="J297" t="n">
        <v>0</v>
      </c>
      <c r="K297" t="n">
        <v>0</v>
      </c>
      <c r="L297" t="n">
        <v>0</v>
      </c>
      <c r="M297" t="n">
        <v>0</v>
      </c>
      <c r="N297" t="n">
        <v>0</v>
      </c>
      <c r="O297" t="n">
        <v>0</v>
      </c>
      <c r="P297" t="n">
        <v>0</v>
      </c>
      <c r="Q297" t="n">
        <v>0</v>
      </c>
      <c r="R297" s="2" t="inlineStr"/>
    </row>
    <row r="298" ht="15" customHeight="1">
      <c r="A298" t="inlineStr">
        <is>
          <t>A 31013-2023</t>
        </is>
      </c>
      <c r="B298" s="1" t="n">
        <v>45113.56574074074</v>
      </c>
      <c r="C298" s="1" t="n">
        <v>45966</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10674-2021</t>
        </is>
      </c>
      <c r="B299" s="1" t="n">
        <v>44258</v>
      </c>
      <c r="C299" s="1" t="n">
        <v>45966</v>
      </c>
      <c r="D299" t="inlineStr">
        <is>
          <t>KALMAR LÄN</t>
        </is>
      </c>
      <c r="E299" t="inlineStr">
        <is>
          <t>VIMMERBY</t>
        </is>
      </c>
      <c r="G299" t="n">
        <v>8.4</v>
      </c>
      <c r="H299" t="n">
        <v>0</v>
      </c>
      <c r="I299" t="n">
        <v>0</v>
      </c>
      <c r="J299" t="n">
        <v>0</v>
      </c>
      <c r="K299" t="n">
        <v>0</v>
      </c>
      <c r="L299" t="n">
        <v>0</v>
      </c>
      <c r="M299" t="n">
        <v>0</v>
      </c>
      <c r="N299" t="n">
        <v>0</v>
      </c>
      <c r="O299" t="n">
        <v>0</v>
      </c>
      <c r="P299" t="n">
        <v>0</v>
      </c>
      <c r="Q299" t="n">
        <v>0</v>
      </c>
      <c r="R299" s="2" t="inlineStr"/>
    </row>
    <row r="300" ht="15" customHeight="1">
      <c r="A300" t="inlineStr">
        <is>
          <t>A 48600-2025</t>
        </is>
      </c>
      <c r="B300" s="1" t="n">
        <v>45935</v>
      </c>
      <c r="C300" s="1" t="n">
        <v>45966</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22264-2023</t>
        </is>
      </c>
      <c r="B301" s="1" t="n">
        <v>45070.3665625</v>
      </c>
      <c r="C301" s="1" t="n">
        <v>45966</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72067-2021</t>
        </is>
      </c>
      <c r="B302" s="1" t="n">
        <v>44540</v>
      </c>
      <c r="C302" s="1" t="n">
        <v>45966</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16676-2023</t>
        </is>
      </c>
      <c r="B303" s="1" t="n">
        <v>45028</v>
      </c>
      <c r="C303" s="1" t="n">
        <v>45966</v>
      </c>
      <c r="D303" t="inlineStr">
        <is>
          <t>KALMAR LÄN</t>
        </is>
      </c>
      <c r="E303" t="inlineStr">
        <is>
          <t>VIMMERBY</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61538-2022</t>
        </is>
      </c>
      <c r="B304" s="1" t="n">
        <v>44916.55414351852</v>
      </c>
      <c r="C304" s="1" t="n">
        <v>45966</v>
      </c>
      <c r="D304" t="inlineStr">
        <is>
          <t>KALMAR LÄN</t>
        </is>
      </c>
      <c r="E304" t="inlineStr">
        <is>
          <t>VIMMERBY</t>
        </is>
      </c>
      <c r="G304" t="n">
        <v>1.5</v>
      </c>
      <c r="H304" t="n">
        <v>0</v>
      </c>
      <c r="I304" t="n">
        <v>0</v>
      </c>
      <c r="J304" t="n">
        <v>0</v>
      </c>
      <c r="K304" t="n">
        <v>0</v>
      </c>
      <c r="L304" t="n">
        <v>0</v>
      </c>
      <c r="M304" t="n">
        <v>0</v>
      </c>
      <c r="N304" t="n">
        <v>0</v>
      </c>
      <c r="O304" t="n">
        <v>0</v>
      </c>
      <c r="P304" t="n">
        <v>0</v>
      </c>
      <c r="Q304" t="n">
        <v>0</v>
      </c>
      <c r="R304" s="2" t="inlineStr"/>
    </row>
    <row r="305" ht="15" customHeight="1">
      <c r="A305" t="inlineStr">
        <is>
          <t>A 6220-2025</t>
        </is>
      </c>
      <c r="B305" s="1" t="n">
        <v>45698.53725694444</v>
      </c>
      <c r="C305" s="1" t="n">
        <v>45966</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24096-2024</t>
        </is>
      </c>
      <c r="B306" s="1" t="n">
        <v>45456.59289351852</v>
      </c>
      <c r="C306" s="1" t="n">
        <v>45966</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48408-2025</t>
        </is>
      </c>
      <c r="B307" s="1" t="n">
        <v>45934.40527777778</v>
      </c>
      <c r="C307" s="1" t="n">
        <v>45966</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36155-2023</t>
        </is>
      </c>
      <c r="B308" s="1" t="n">
        <v>45149.60917824074</v>
      </c>
      <c r="C308" s="1" t="n">
        <v>45966</v>
      </c>
      <c r="D308" t="inlineStr">
        <is>
          <t>KALMAR LÄN</t>
        </is>
      </c>
      <c r="E308" t="inlineStr">
        <is>
          <t>VIMMERBY</t>
        </is>
      </c>
      <c r="G308" t="n">
        <v>5</v>
      </c>
      <c r="H308" t="n">
        <v>0</v>
      </c>
      <c r="I308" t="n">
        <v>0</v>
      </c>
      <c r="J308" t="n">
        <v>0</v>
      </c>
      <c r="K308" t="n">
        <v>0</v>
      </c>
      <c r="L308" t="n">
        <v>0</v>
      </c>
      <c r="M308" t="n">
        <v>0</v>
      </c>
      <c r="N308" t="n">
        <v>0</v>
      </c>
      <c r="O308" t="n">
        <v>0</v>
      </c>
      <c r="P308" t="n">
        <v>0</v>
      </c>
      <c r="Q308" t="n">
        <v>0</v>
      </c>
      <c r="R308" s="2" t="inlineStr"/>
    </row>
    <row r="309" ht="15" customHeight="1">
      <c r="A309" t="inlineStr">
        <is>
          <t>A 48409-2025</t>
        </is>
      </c>
      <c r="B309" s="1" t="n">
        <v>45934.41387731482</v>
      </c>
      <c r="C309" s="1" t="n">
        <v>45966</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29013-2024</t>
        </is>
      </c>
      <c r="B310" s="1" t="n">
        <v>45481.55984953704</v>
      </c>
      <c r="C310" s="1" t="n">
        <v>45966</v>
      </c>
      <c r="D310" t="inlineStr">
        <is>
          <t>KALMAR LÄN</t>
        </is>
      </c>
      <c r="E310" t="inlineStr">
        <is>
          <t>VIMMERBY</t>
        </is>
      </c>
      <c r="G310" t="n">
        <v>3.4</v>
      </c>
      <c r="H310" t="n">
        <v>0</v>
      </c>
      <c r="I310" t="n">
        <v>0</v>
      </c>
      <c r="J310" t="n">
        <v>0</v>
      </c>
      <c r="K310" t="n">
        <v>0</v>
      </c>
      <c r="L310" t="n">
        <v>0</v>
      </c>
      <c r="M310" t="n">
        <v>0</v>
      </c>
      <c r="N310" t="n">
        <v>0</v>
      </c>
      <c r="O310" t="n">
        <v>0</v>
      </c>
      <c r="P310" t="n">
        <v>0</v>
      </c>
      <c r="Q310" t="n">
        <v>0</v>
      </c>
      <c r="R310" s="2" t="inlineStr"/>
    </row>
    <row r="311" ht="15" customHeight="1">
      <c r="A311" t="inlineStr">
        <is>
          <t>A 29173-2024</t>
        </is>
      </c>
      <c r="B311" s="1" t="n">
        <v>45482.52887731481</v>
      </c>
      <c r="C311" s="1" t="n">
        <v>45966</v>
      </c>
      <c r="D311" t="inlineStr">
        <is>
          <t>KALMAR LÄN</t>
        </is>
      </c>
      <c r="E311" t="inlineStr">
        <is>
          <t>VIMMERBY</t>
        </is>
      </c>
      <c r="G311" t="n">
        <v>0.6</v>
      </c>
      <c r="H311" t="n">
        <v>0</v>
      </c>
      <c r="I311" t="n">
        <v>0</v>
      </c>
      <c r="J311" t="n">
        <v>0</v>
      </c>
      <c r="K311" t="n">
        <v>0</v>
      </c>
      <c r="L311" t="n">
        <v>0</v>
      </c>
      <c r="M311" t="n">
        <v>0</v>
      </c>
      <c r="N311" t="n">
        <v>0</v>
      </c>
      <c r="O311" t="n">
        <v>0</v>
      </c>
      <c r="P311" t="n">
        <v>0</v>
      </c>
      <c r="Q311" t="n">
        <v>0</v>
      </c>
      <c r="R311" s="2" t="inlineStr"/>
    </row>
    <row r="312" ht="15" customHeight="1">
      <c r="A312" t="inlineStr">
        <is>
          <t>A 53542-2022</t>
        </is>
      </c>
      <c r="B312" s="1" t="n">
        <v>44879.62173611111</v>
      </c>
      <c r="C312" s="1" t="n">
        <v>45966</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6066-2023</t>
        </is>
      </c>
      <c r="B313" s="1" t="n">
        <v>44964.50894675926</v>
      </c>
      <c r="C313" s="1" t="n">
        <v>45966</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59955-2023</t>
        </is>
      </c>
      <c r="B314" s="1" t="n">
        <v>45257.70313657408</v>
      </c>
      <c r="C314" s="1" t="n">
        <v>45966</v>
      </c>
      <c r="D314" t="inlineStr">
        <is>
          <t>KALMAR LÄN</t>
        </is>
      </c>
      <c r="E314" t="inlineStr">
        <is>
          <t>VIMMERBY</t>
        </is>
      </c>
      <c r="G314" t="n">
        <v>13.8</v>
      </c>
      <c r="H314" t="n">
        <v>0</v>
      </c>
      <c r="I314" t="n">
        <v>0</v>
      </c>
      <c r="J314" t="n">
        <v>0</v>
      </c>
      <c r="K314" t="n">
        <v>0</v>
      </c>
      <c r="L314" t="n">
        <v>0</v>
      </c>
      <c r="M314" t="n">
        <v>0</v>
      </c>
      <c r="N314" t="n">
        <v>0</v>
      </c>
      <c r="O314" t="n">
        <v>0</v>
      </c>
      <c r="P314" t="n">
        <v>0</v>
      </c>
      <c r="Q314" t="n">
        <v>0</v>
      </c>
      <c r="R314" s="2" t="inlineStr"/>
    </row>
    <row r="315" ht="15" customHeight="1">
      <c r="A315" t="inlineStr">
        <is>
          <t>A 36040-2024</t>
        </is>
      </c>
      <c r="B315" s="1" t="n">
        <v>45533.60232638889</v>
      </c>
      <c r="C315" s="1" t="n">
        <v>45966</v>
      </c>
      <c r="D315" t="inlineStr">
        <is>
          <t>KALMAR LÄN</t>
        </is>
      </c>
      <c r="E315" t="inlineStr">
        <is>
          <t>VIMMERBY</t>
        </is>
      </c>
      <c r="F315" t="inlineStr">
        <is>
          <t>Kommuner</t>
        </is>
      </c>
      <c r="G315" t="n">
        <v>3.6</v>
      </c>
      <c r="H315" t="n">
        <v>0</v>
      </c>
      <c r="I315" t="n">
        <v>0</v>
      </c>
      <c r="J315" t="n">
        <v>0</v>
      </c>
      <c r="K315" t="n">
        <v>0</v>
      </c>
      <c r="L315" t="n">
        <v>0</v>
      </c>
      <c r="M315" t="n">
        <v>0</v>
      </c>
      <c r="N315" t="n">
        <v>0</v>
      </c>
      <c r="O315" t="n">
        <v>0</v>
      </c>
      <c r="P315" t="n">
        <v>0</v>
      </c>
      <c r="Q315" t="n">
        <v>0</v>
      </c>
      <c r="R315" s="2" t="inlineStr"/>
    </row>
    <row r="316" ht="15" customHeight="1">
      <c r="A316" t="inlineStr">
        <is>
          <t>A 36043-2024</t>
        </is>
      </c>
      <c r="B316" s="1" t="n">
        <v>45533.60770833334</v>
      </c>
      <c r="C316" s="1" t="n">
        <v>45966</v>
      </c>
      <c r="D316" t="inlineStr">
        <is>
          <t>KALMAR LÄN</t>
        </is>
      </c>
      <c r="E316" t="inlineStr">
        <is>
          <t>VIMMERBY</t>
        </is>
      </c>
      <c r="F316" t="inlineStr">
        <is>
          <t>Kommuner</t>
        </is>
      </c>
      <c r="G316" t="n">
        <v>1.5</v>
      </c>
      <c r="H316" t="n">
        <v>0</v>
      </c>
      <c r="I316" t="n">
        <v>0</v>
      </c>
      <c r="J316" t="n">
        <v>0</v>
      </c>
      <c r="K316" t="n">
        <v>0</v>
      </c>
      <c r="L316" t="n">
        <v>0</v>
      </c>
      <c r="M316" t="n">
        <v>0</v>
      </c>
      <c r="N316" t="n">
        <v>0</v>
      </c>
      <c r="O316" t="n">
        <v>0</v>
      </c>
      <c r="P316" t="n">
        <v>0</v>
      </c>
      <c r="Q316" t="n">
        <v>0</v>
      </c>
      <c r="R316" s="2" t="inlineStr"/>
    </row>
    <row r="317" ht="15" customHeight="1">
      <c r="A317" t="inlineStr">
        <is>
          <t>A 12890-2023</t>
        </is>
      </c>
      <c r="B317" s="1" t="n">
        <v>45001.59209490741</v>
      </c>
      <c r="C317" s="1" t="n">
        <v>45966</v>
      </c>
      <c r="D317" t="inlineStr">
        <is>
          <t>KALMAR LÄN</t>
        </is>
      </c>
      <c r="E317" t="inlineStr">
        <is>
          <t>VIMMERBY</t>
        </is>
      </c>
      <c r="G317" t="n">
        <v>2.8</v>
      </c>
      <c r="H317" t="n">
        <v>0</v>
      </c>
      <c r="I317" t="n">
        <v>0</v>
      </c>
      <c r="J317" t="n">
        <v>0</v>
      </c>
      <c r="K317" t="n">
        <v>0</v>
      </c>
      <c r="L317" t="n">
        <v>0</v>
      </c>
      <c r="M317" t="n">
        <v>0</v>
      </c>
      <c r="N317" t="n">
        <v>0</v>
      </c>
      <c r="O317" t="n">
        <v>0</v>
      </c>
      <c r="P317" t="n">
        <v>0</v>
      </c>
      <c r="Q317" t="n">
        <v>0</v>
      </c>
      <c r="R317" s="2" t="inlineStr"/>
    </row>
    <row r="318" ht="15" customHeight="1">
      <c r="A318" t="inlineStr">
        <is>
          <t>A 43594-2024</t>
        </is>
      </c>
      <c r="B318" s="1" t="n">
        <v>45569.44295138889</v>
      </c>
      <c r="C318" s="1" t="n">
        <v>45966</v>
      </c>
      <c r="D318" t="inlineStr">
        <is>
          <t>KALMAR LÄN</t>
        </is>
      </c>
      <c r="E318" t="inlineStr">
        <is>
          <t>VIMMERBY</t>
        </is>
      </c>
      <c r="G318" t="n">
        <v>3.9</v>
      </c>
      <c r="H318" t="n">
        <v>0</v>
      </c>
      <c r="I318" t="n">
        <v>0</v>
      </c>
      <c r="J318" t="n">
        <v>0</v>
      </c>
      <c r="K318" t="n">
        <v>0</v>
      </c>
      <c r="L318" t="n">
        <v>0</v>
      </c>
      <c r="M318" t="n">
        <v>0</v>
      </c>
      <c r="N318" t="n">
        <v>0</v>
      </c>
      <c r="O318" t="n">
        <v>0</v>
      </c>
      <c r="P318" t="n">
        <v>0</v>
      </c>
      <c r="Q318" t="n">
        <v>0</v>
      </c>
      <c r="R318" s="2" t="inlineStr"/>
    </row>
    <row r="319" ht="15" customHeight="1">
      <c r="A319" t="inlineStr">
        <is>
          <t>A 53482-2022</t>
        </is>
      </c>
      <c r="B319" s="1" t="n">
        <v>44879</v>
      </c>
      <c r="C319" s="1" t="n">
        <v>45966</v>
      </c>
      <c r="D319" t="inlineStr">
        <is>
          <t>KALMAR LÄN</t>
        </is>
      </c>
      <c r="E319" t="inlineStr">
        <is>
          <t>VIMMERBY</t>
        </is>
      </c>
      <c r="G319" t="n">
        <v>10.1</v>
      </c>
      <c r="H319" t="n">
        <v>0</v>
      </c>
      <c r="I319" t="n">
        <v>0</v>
      </c>
      <c r="J319" t="n">
        <v>0</v>
      </c>
      <c r="K319" t="n">
        <v>0</v>
      </c>
      <c r="L319" t="n">
        <v>0</v>
      </c>
      <c r="M319" t="n">
        <v>0</v>
      </c>
      <c r="N319" t="n">
        <v>0</v>
      </c>
      <c r="O319" t="n">
        <v>0</v>
      </c>
      <c r="P319" t="n">
        <v>0</v>
      </c>
      <c r="Q319" t="n">
        <v>0</v>
      </c>
      <c r="R319" s="2" t="inlineStr"/>
    </row>
    <row r="320" ht="15" customHeight="1">
      <c r="A320" t="inlineStr">
        <is>
          <t>A 48712-2025</t>
        </is>
      </c>
      <c r="B320" s="1" t="n">
        <v>45936.63373842592</v>
      </c>
      <c r="C320" s="1" t="n">
        <v>45966</v>
      </c>
      <c r="D320" t="inlineStr">
        <is>
          <t>KALMAR LÄN</t>
        </is>
      </c>
      <c r="E320" t="inlineStr">
        <is>
          <t>VIMMERBY</t>
        </is>
      </c>
      <c r="G320" t="n">
        <v>3</v>
      </c>
      <c r="H320" t="n">
        <v>0</v>
      </c>
      <c r="I320" t="n">
        <v>0</v>
      </c>
      <c r="J320" t="n">
        <v>0</v>
      </c>
      <c r="K320" t="n">
        <v>0</v>
      </c>
      <c r="L320" t="n">
        <v>0</v>
      </c>
      <c r="M320" t="n">
        <v>0</v>
      </c>
      <c r="N320" t="n">
        <v>0</v>
      </c>
      <c r="O320" t="n">
        <v>0</v>
      </c>
      <c r="P320" t="n">
        <v>0</v>
      </c>
      <c r="Q320" t="n">
        <v>0</v>
      </c>
      <c r="R320" s="2" t="inlineStr"/>
    </row>
    <row r="321" ht="15" customHeight="1">
      <c r="A321" t="inlineStr">
        <is>
          <t>A 27761-2024</t>
        </is>
      </c>
      <c r="B321" s="1" t="n">
        <v>45475.49018518518</v>
      </c>
      <c r="C321" s="1" t="n">
        <v>45966</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64203-2021</t>
        </is>
      </c>
      <c r="B322" s="1" t="n">
        <v>44510.60921296296</v>
      </c>
      <c r="C322" s="1" t="n">
        <v>45966</v>
      </c>
      <c r="D322" t="inlineStr">
        <is>
          <t>KALMAR LÄN</t>
        </is>
      </c>
      <c r="E322" t="inlineStr">
        <is>
          <t>VIMMERBY</t>
        </is>
      </c>
      <c r="F322" t="inlineStr">
        <is>
          <t>Övriga Aktiebolag</t>
        </is>
      </c>
      <c r="G322" t="n">
        <v>5.4</v>
      </c>
      <c r="H322" t="n">
        <v>0</v>
      </c>
      <c r="I322" t="n">
        <v>0</v>
      </c>
      <c r="J322" t="n">
        <v>0</v>
      </c>
      <c r="K322" t="n">
        <v>0</v>
      </c>
      <c r="L322" t="n">
        <v>0</v>
      </c>
      <c r="M322" t="n">
        <v>0</v>
      </c>
      <c r="N322" t="n">
        <v>0</v>
      </c>
      <c r="O322" t="n">
        <v>0</v>
      </c>
      <c r="P322" t="n">
        <v>0</v>
      </c>
      <c r="Q322" t="n">
        <v>0</v>
      </c>
      <c r="R322" s="2" t="inlineStr"/>
    </row>
    <row r="323" ht="15" customHeight="1">
      <c r="A323" t="inlineStr">
        <is>
          <t>A 5720-2023</t>
        </is>
      </c>
      <c r="B323" s="1" t="n">
        <v>44961</v>
      </c>
      <c r="C323" s="1" t="n">
        <v>45966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40925-2025</t>
        </is>
      </c>
      <c r="B324" s="1" t="n">
        <v>45897.64208333333</v>
      </c>
      <c r="C324" s="1" t="n">
        <v>45966</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9643-2023</t>
        </is>
      </c>
      <c r="B325" s="1" t="n">
        <v>44984</v>
      </c>
      <c r="C325" s="1" t="n">
        <v>45966</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25728-2023</t>
        </is>
      </c>
      <c r="B326" s="1" t="n">
        <v>45090.38012731481</v>
      </c>
      <c r="C326" s="1" t="n">
        <v>45966</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6807-2025</t>
        </is>
      </c>
      <c r="B327" s="1" t="n">
        <v>45700.68672453704</v>
      </c>
      <c r="C327" s="1" t="n">
        <v>45966</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7047-2022</t>
        </is>
      </c>
      <c r="B328" s="1" t="n">
        <v>44603</v>
      </c>
      <c r="C328" s="1" t="n">
        <v>45966</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40921-2025</t>
        </is>
      </c>
      <c r="B329" s="1" t="n">
        <v>45897.63520833333</v>
      </c>
      <c r="C329" s="1" t="n">
        <v>45966</v>
      </c>
      <c r="D329" t="inlineStr">
        <is>
          <t>KALMAR LÄN</t>
        </is>
      </c>
      <c r="E329" t="inlineStr">
        <is>
          <t>VIMMERBY</t>
        </is>
      </c>
      <c r="G329" t="n">
        <v>4.2</v>
      </c>
      <c r="H329" t="n">
        <v>0</v>
      </c>
      <c r="I329" t="n">
        <v>0</v>
      </c>
      <c r="J329" t="n">
        <v>0</v>
      </c>
      <c r="K329" t="n">
        <v>0</v>
      </c>
      <c r="L329" t="n">
        <v>0</v>
      </c>
      <c r="M329" t="n">
        <v>0</v>
      </c>
      <c r="N329" t="n">
        <v>0</v>
      </c>
      <c r="O329" t="n">
        <v>0</v>
      </c>
      <c r="P329" t="n">
        <v>0</v>
      </c>
      <c r="Q329" t="n">
        <v>0</v>
      </c>
      <c r="R329" s="2" t="inlineStr"/>
    </row>
    <row r="330" ht="15" customHeight="1">
      <c r="A330" t="inlineStr">
        <is>
          <t>A 35711-2023</t>
        </is>
      </c>
      <c r="B330" s="1" t="n">
        <v>45147.67172453704</v>
      </c>
      <c r="C330" s="1" t="n">
        <v>45966</v>
      </c>
      <c r="D330" t="inlineStr">
        <is>
          <t>KALMAR LÄN</t>
        </is>
      </c>
      <c r="E330" t="inlineStr">
        <is>
          <t>VIMMERBY</t>
        </is>
      </c>
      <c r="G330" t="n">
        <v>1</v>
      </c>
      <c r="H330" t="n">
        <v>0</v>
      </c>
      <c r="I330" t="n">
        <v>0</v>
      </c>
      <c r="J330" t="n">
        <v>0</v>
      </c>
      <c r="K330" t="n">
        <v>0</v>
      </c>
      <c r="L330" t="n">
        <v>0</v>
      </c>
      <c r="M330" t="n">
        <v>0</v>
      </c>
      <c r="N330" t="n">
        <v>0</v>
      </c>
      <c r="O330" t="n">
        <v>0</v>
      </c>
      <c r="P330" t="n">
        <v>0</v>
      </c>
      <c r="Q330" t="n">
        <v>0</v>
      </c>
      <c r="R330" s="2" t="inlineStr"/>
    </row>
    <row r="331" ht="15" customHeight="1">
      <c r="A331" t="inlineStr">
        <is>
          <t>A 5382-2023</t>
        </is>
      </c>
      <c r="B331" s="1" t="n">
        <v>44959.66407407408</v>
      </c>
      <c r="C331" s="1" t="n">
        <v>45966</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41311-2023</t>
        </is>
      </c>
      <c r="B332" s="1" t="n">
        <v>45174</v>
      </c>
      <c r="C332" s="1" t="n">
        <v>45966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40823-2023</t>
        </is>
      </c>
      <c r="B333" s="1" t="n">
        <v>45171.77335648148</v>
      </c>
      <c r="C333" s="1" t="n">
        <v>45966</v>
      </c>
      <c r="D333" t="inlineStr">
        <is>
          <t>KALMAR LÄN</t>
        </is>
      </c>
      <c r="E333" t="inlineStr">
        <is>
          <t>VIMMERBY</t>
        </is>
      </c>
      <c r="G333" t="n">
        <v>2.7</v>
      </c>
      <c r="H333" t="n">
        <v>0</v>
      </c>
      <c r="I333" t="n">
        <v>0</v>
      </c>
      <c r="J333" t="n">
        <v>0</v>
      </c>
      <c r="K333" t="n">
        <v>0</v>
      </c>
      <c r="L333" t="n">
        <v>0</v>
      </c>
      <c r="M333" t="n">
        <v>0</v>
      </c>
      <c r="N333" t="n">
        <v>0</v>
      </c>
      <c r="O333" t="n">
        <v>0</v>
      </c>
      <c r="P333" t="n">
        <v>0</v>
      </c>
      <c r="Q333" t="n">
        <v>0</v>
      </c>
      <c r="R333" s="2" t="inlineStr"/>
    </row>
    <row r="334" ht="15" customHeight="1">
      <c r="A334" t="inlineStr">
        <is>
          <t>A 6218-2025</t>
        </is>
      </c>
      <c r="B334" s="1" t="n">
        <v>45698.53336805556</v>
      </c>
      <c r="C334" s="1" t="n">
        <v>45966</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26318-2023</t>
        </is>
      </c>
      <c r="B335" s="1" t="n">
        <v>45091.67936342592</v>
      </c>
      <c r="C335" s="1" t="n">
        <v>45966</v>
      </c>
      <c r="D335" t="inlineStr">
        <is>
          <t>KALMAR LÄN</t>
        </is>
      </c>
      <c r="E335" t="inlineStr">
        <is>
          <t>VIMMERBY</t>
        </is>
      </c>
      <c r="G335" t="n">
        <v>3.8</v>
      </c>
      <c r="H335" t="n">
        <v>0</v>
      </c>
      <c r="I335" t="n">
        <v>0</v>
      </c>
      <c r="J335" t="n">
        <v>0</v>
      </c>
      <c r="K335" t="n">
        <v>0</v>
      </c>
      <c r="L335" t="n">
        <v>0</v>
      </c>
      <c r="M335" t="n">
        <v>0</v>
      </c>
      <c r="N335" t="n">
        <v>0</v>
      </c>
      <c r="O335" t="n">
        <v>0</v>
      </c>
      <c r="P335" t="n">
        <v>0</v>
      </c>
      <c r="Q335" t="n">
        <v>0</v>
      </c>
      <c r="R335" s="2" t="inlineStr"/>
    </row>
    <row r="336" ht="15" customHeight="1">
      <c r="A336" t="inlineStr">
        <is>
          <t>A 30920-2023</t>
        </is>
      </c>
      <c r="B336" s="1" t="n">
        <v>45113.43921296296</v>
      </c>
      <c r="C336" s="1" t="n">
        <v>45966</v>
      </c>
      <c r="D336" t="inlineStr">
        <is>
          <t>KALMAR LÄN</t>
        </is>
      </c>
      <c r="E336" t="inlineStr">
        <is>
          <t>VIMMERBY</t>
        </is>
      </c>
      <c r="G336" t="n">
        <v>3.1</v>
      </c>
      <c r="H336" t="n">
        <v>0</v>
      </c>
      <c r="I336" t="n">
        <v>0</v>
      </c>
      <c r="J336" t="n">
        <v>0</v>
      </c>
      <c r="K336" t="n">
        <v>0</v>
      </c>
      <c r="L336" t="n">
        <v>0</v>
      </c>
      <c r="M336" t="n">
        <v>0</v>
      </c>
      <c r="N336" t="n">
        <v>0</v>
      </c>
      <c r="O336" t="n">
        <v>0</v>
      </c>
      <c r="P336" t="n">
        <v>0</v>
      </c>
      <c r="Q336" t="n">
        <v>0</v>
      </c>
      <c r="R336" s="2" t="inlineStr"/>
    </row>
    <row r="337" ht="15" customHeight="1">
      <c r="A337" t="inlineStr">
        <is>
          <t>A 45855-2025</t>
        </is>
      </c>
      <c r="B337" s="1" t="n">
        <v>45923</v>
      </c>
      <c r="C337" s="1" t="n">
        <v>45966</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6857-2023</t>
        </is>
      </c>
      <c r="B338" s="1" t="n">
        <v>44967.45122685185</v>
      </c>
      <c r="C338" s="1" t="n">
        <v>45966</v>
      </c>
      <c r="D338" t="inlineStr">
        <is>
          <t>KALMAR LÄN</t>
        </is>
      </c>
      <c r="E338" t="inlineStr">
        <is>
          <t>VIMMERBY</t>
        </is>
      </c>
      <c r="G338" t="n">
        <v>2.1</v>
      </c>
      <c r="H338" t="n">
        <v>0</v>
      </c>
      <c r="I338" t="n">
        <v>0</v>
      </c>
      <c r="J338" t="n">
        <v>0</v>
      </c>
      <c r="K338" t="n">
        <v>0</v>
      </c>
      <c r="L338" t="n">
        <v>0</v>
      </c>
      <c r="M338" t="n">
        <v>0</v>
      </c>
      <c r="N338" t="n">
        <v>0</v>
      </c>
      <c r="O338" t="n">
        <v>0</v>
      </c>
      <c r="P338" t="n">
        <v>0</v>
      </c>
      <c r="Q338" t="n">
        <v>0</v>
      </c>
      <c r="R338" s="2" t="inlineStr"/>
    </row>
    <row r="339" ht="15" customHeight="1">
      <c r="A339" t="inlineStr">
        <is>
          <t>A 61355-2024</t>
        </is>
      </c>
      <c r="B339" s="1" t="n">
        <v>45646.38200231481</v>
      </c>
      <c r="C339" s="1" t="n">
        <v>45966</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11609-2023</t>
        </is>
      </c>
      <c r="B340" s="1" t="n">
        <v>44994.40635416667</v>
      </c>
      <c r="C340" s="1" t="n">
        <v>45966</v>
      </c>
      <c r="D340" t="inlineStr">
        <is>
          <t>KALMAR LÄN</t>
        </is>
      </c>
      <c r="E340" t="inlineStr">
        <is>
          <t>VIMMERBY</t>
        </is>
      </c>
      <c r="G340" t="n">
        <v>4.9</v>
      </c>
      <c r="H340" t="n">
        <v>0</v>
      </c>
      <c r="I340" t="n">
        <v>0</v>
      </c>
      <c r="J340" t="n">
        <v>0</v>
      </c>
      <c r="K340" t="n">
        <v>0</v>
      </c>
      <c r="L340" t="n">
        <v>0</v>
      </c>
      <c r="M340" t="n">
        <v>0</v>
      </c>
      <c r="N340" t="n">
        <v>0</v>
      </c>
      <c r="O340" t="n">
        <v>0</v>
      </c>
      <c r="P340" t="n">
        <v>0</v>
      </c>
      <c r="Q340" t="n">
        <v>0</v>
      </c>
      <c r="R340" s="2" t="inlineStr"/>
    </row>
    <row r="341" ht="15" customHeight="1">
      <c r="A341" t="inlineStr">
        <is>
          <t>A 41224-2025</t>
        </is>
      </c>
      <c r="B341" s="1" t="n">
        <v>45898.58861111111</v>
      </c>
      <c r="C341" s="1" t="n">
        <v>45966</v>
      </c>
      <c r="D341" t="inlineStr">
        <is>
          <t>KALMAR LÄN</t>
        </is>
      </c>
      <c r="E341" t="inlineStr">
        <is>
          <t>VIMMERBY</t>
        </is>
      </c>
      <c r="G341" t="n">
        <v>4.4</v>
      </c>
      <c r="H341" t="n">
        <v>0</v>
      </c>
      <c r="I341" t="n">
        <v>0</v>
      </c>
      <c r="J341" t="n">
        <v>0</v>
      </c>
      <c r="K341" t="n">
        <v>0</v>
      </c>
      <c r="L341" t="n">
        <v>0</v>
      </c>
      <c r="M341" t="n">
        <v>0</v>
      </c>
      <c r="N341" t="n">
        <v>0</v>
      </c>
      <c r="O341" t="n">
        <v>0</v>
      </c>
      <c r="P341" t="n">
        <v>0</v>
      </c>
      <c r="Q341" t="n">
        <v>0</v>
      </c>
      <c r="R341" s="2" t="inlineStr"/>
    </row>
    <row r="342" ht="15" customHeight="1">
      <c r="A342" t="inlineStr">
        <is>
          <t>A 49871-2025</t>
        </is>
      </c>
      <c r="B342" s="1" t="n">
        <v>45940.54104166666</v>
      </c>
      <c r="C342" s="1" t="n">
        <v>45966</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41591-2025</t>
        </is>
      </c>
      <c r="B343" s="1" t="n">
        <v>45901.6327662037</v>
      </c>
      <c r="C343" s="1" t="n">
        <v>45966</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5792-2023</t>
        </is>
      </c>
      <c r="B344" s="1" t="n">
        <v>44963.44769675926</v>
      </c>
      <c r="C344" s="1" t="n">
        <v>45966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36802-2021</t>
        </is>
      </c>
      <c r="B345" s="1" t="n">
        <v>44392</v>
      </c>
      <c r="C345" s="1" t="n">
        <v>45966</v>
      </c>
      <c r="D345" t="inlineStr">
        <is>
          <t>KALMAR LÄN</t>
        </is>
      </c>
      <c r="E345" t="inlineStr">
        <is>
          <t>VIMMERBY</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40971-2025</t>
        </is>
      </c>
      <c r="B346" s="1" t="n">
        <v>45897.88836805556</v>
      </c>
      <c r="C346" s="1" t="n">
        <v>45966</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10303-2025</t>
        </is>
      </c>
      <c r="B347" s="1" t="n">
        <v>45720.44217592593</v>
      </c>
      <c r="C347" s="1" t="n">
        <v>45966</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41589-2025</t>
        </is>
      </c>
      <c r="B348" s="1" t="n">
        <v>45901.63219907408</v>
      </c>
      <c r="C348" s="1" t="n">
        <v>45966</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60110-2022</t>
        </is>
      </c>
      <c r="B349" s="1" t="n">
        <v>44909</v>
      </c>
      <c r="C349" s="1" t="n">
        <v>45966</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40970-2025</t>
        </is>
      </c>
      <c r="B350" s="1" t="n">
        <v>45897.88706018519</v>
      </c>
      <c r="C350" s="1" t="n">
        <v>45966</v>
      </c>
      <c r="D350" t="inlineStr">
        <is>
          <t>KALMAR LÄN</t>
        </is>
      </c>
      <c r="E350" t="inlineStr">
        <is>
          <t>VIMMERBY</t>
        </is>
      </c>
      <c r="G350" t="n">
        <v>1</v>
      </c>
      <c r="H350" t="n">
        <v>0</v>
      </c>
      <c r="I350" t="n">
        <v>0</v>
      </c>
      <c r="J350" t="n">
        <v>0</v>
      </c>
      <c r="K350" t="n">
        <v>0</v>
      </c>
      <c r="L350" t="n">
        <v>0</v>
      </c>
      <c r="M350" t="n">
        <v>0</v>
      </c>
      <c r="N350" t="n">
        <v>0</v>
      </c>
      <c r="O350" t="n">
        <v>0</v>
      </c>
      <c r="P350" t="n">
        <v>0</v>
      </c>
      <c r="Q350" t="n">
        <v>0</v>
      </c>
      <c r="R350" s="2" t="inlineStr"/>
    </row>
    <row r="351" ht="15" customHeight="1">
      <c r="A351" t="inlineStr">
        <is>
          <t>A 40973-2025</t>
        </is>
      </c>
      <c r="B351" s="1" t="n">
        <v>45897.89737268518</v>
      </c>
      <c r="C351" s="1" t="n">
        <v>45966</v>
      </c>
      <c r="D351" t="inlineStr">
        <is>
          <t>KALMAR LÄN</t>
        </is>
      </c>
      <c r="E351" t="inlineStr">
        <is>
          <t>VIMMERBY</t>
        </is>
      </c>
      <c r="G351" t="n">
        <v>1.8</v>
      </c>
      <c r="H351" t="n">
        <v>0</v>
      </c>
      <c r="I351" t="n">
        <v>0</v>
      </c>
      <c r="J351" t="n">
        <v>0</v>
      </c>
      <c r="K351" t="n">
        <v>0</v>
      </c>
      <c r="L351" t="n">
        <v>0</v>
      </c>
      <c r="M351" t="n">
        <v>0</v>
      </c>
      <c r="N351" t="n">
        <v>0</v>
      </c>
      <c r="O351" t="n">
        <v>0</v>
      </c>
      <c r="P351" t="n">
        <v>0</v>
      </c>
      <c r="Q351" t="n">
        <v>0</v>
      </c>
      <c r="R351" s="2" t="inlineStr"/>
    </row>
    <row r="352" ht="15" customHeight="1">
      <c r="A352" t="inlineStr">
        <is>
          <t>A 15394-2025</t>
        </is>
      </c>
      <c r="B352" s="1" t="n">
        <v>45747.43196759259</v>
      </c>
      <c r="C352" s="1" t="n">
        <v>45966</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15388-2025</t>
        </is>
      </c>
      <c r="B353" s="1" t="n">
        <v>45747.42633101852</v>
      </c>
      <c r="C353" s="1" t="n">
        <v>45966</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15391-2025</t>
        </is>
      </c>
      <c r="B354" s="1" t="n">
        <v>45747.42958333333</v>
      </c>
      <c r="C354" s="1" t="n">
        <v>45966</v>
      </c>
      <c r="D354" t="inlineStr">
        <is>
          <t>KALMAR LÄN</t>
        </is>
      </c>
      <c r="E354" t="inlineStr">
        <is>
          <t>VIMMERBY</t>
        </is>
      </c>
      <c r="G354" t="n">
        <v>1.1</v>
      </c>
      <c r="H354" t="n">
        <v>0</v>
      </c>
      <c r="I354" t="n">
        <v>0</v>
      </c>
      <c r="J354" t="n">
        <v>0</v>
      </c>
      <c r="K354" t="n">
        <v>0</v>
      </c>
      <c r="L354" t="n">
        <v>0</v>
      </c>
      <c r="M354" t="n">
        <v>0</v>
      </c>
      <c r="N354" t="n">
        <v>0</v>
      </c>
      <c r="O354" t="n">
        <v>0</v>
      </c>
      <c r="P354" t="n">
        <v>0</v>
      </c>
      <c r="Q354" t="n">
        <v>0</v>
      </c>
      <c r="R354" s="2" t="inlineStr"/>
    </row>
    <row r="355" ht="15" customHeight="1">
      <c r="A355" t="inlineStr">
        <is>
          <t>A 6474-2025</t>
        </is>
      </c>
      <c r="B355" s="1" t="n">
        <v>45699.60055555555</v>
      </c>
      <c r="C355" s="1" t="n">
        <v>45966</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65961-2020</t>
        </is>
      </c>
      <c r="B356" s="1" t="n">
        <v>44175.39748842592</v>
      </c>
      <c r="C356" s="1" t="n">
        <v>45966</v>
      </c>
      <c r="D356" t="inlineStr">
        <is>
          <t>KALMAR LÄN</t>
        </is>
      </c>
      <c r="E356" t="inlineStr">
        <is>
          <t>VIMMERBY</t>
        </is>
      </c>
      <c r="G356" t="n">
        <v>2.6</v>
      </c>
      <c r="H356" t="n">
        <v>0</v>
      </c>
      <c r="I356" t="n">
        <v>0</v>
      </c>
      <c r="J356" t="n">
        <v>0</v>
      </c>
      <c r="K356" t="n">
        <v>0</v>
      </c>
      <c r="L356" t="n">
        <v>0</v>
      </c>
      <c r="M356" t="n">
        <v>0</v>
      </c>
      <c r="N356" t="n">
        <v>0</v>
      </c>
      <c r="O356" t="n">
        <v>0</v>
      </c>
      <c r="P356" t="n">
        <v>0</v>
      </c>
      <c r="Q356" t="n">
        <v>0</v>
      </c>
      <c r="R356" s="2" t="inlineStr"/>
    </row>
    <row r="357" ht="15" customHeight="1">
      <c r="A357" t="inlineStr">
        <is>
          <t>A 32919-2022</t>
        </is>
      </c>
      <c r="B357" s="1" t="n">
        <v>44784.62724537037</v>
      </c>
      <c r="C357" s="1" t="n">
        <v>45966</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38198-2024</t>
        </is>
      </c>
      <c r="B358" s="1" t="n">
        <v>45545.49508101852</v>
      </c>
      <c r="C358" s="1" t="n">
        <v>45966</v>
      </c>
      <c r="D358" t="inlineStr">
        <is>
          <t>KALMAR LÄN</t>
        </is>
      </c>
      <c r="E358" t="inlineStr">
        <is>
          <t>VIMMERBY</t>
        </is>
      </c>
      <c r="G358" t="n">
        <v>7.9</v>
      </c>
      <c r="H358" t="n">
        <v>0</v>
      </c>
      <c r="I358" t="n">
        <v>0</v>
      </c>
      <c r="J358" t="n">
        <v>0</v>
      </c>
      <c r="K358" t="n">
        <v>0</v>
      </c>
      <c r="L358" t="n">
        <v>0</v>
      </c>
      <c r="M358" t="n">
        <v>0</v>
      </c>
      <c r="N358" t="n">
        <v>0</v>
      </c>
      <c r="O358" t="n">
        <v>0</v>
      </c>
      <c r="P358" t="n">
        <v>0</v>
      </c>
      <c r="Q358" t="n">
        <v>0</v>
      </c>
      <c r="R358" s="2" t="inlineStr"/>
    </row>
    <row r="359" ht="15" customHeight="1">
      <c r="A359" t="inlineStr">
        <is>
          <t>A 9623-2024</t>
        </is>
      </c>
      <c r="B359" s="1" t="n">
        <v>45361.87975694444</v>
      </c>
      <c r="C359" s="1" t="n">
        <v>45966</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34090-2025</t>
        </is>
      </c>
      <c r="B360" s="1" t="n">
        <v>45845</v>
      </c>
      <c r="C360" s="1" t="n">
        <v>45966</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58967-2022</t>
        </is>
      </c>
      <c r="B361" s="1" t="n">
        <v>44896</v>
      </c>
      <c r="C361" s="1" t="n">
        <v>45966</v>
      </c>
      <c r="D361" t="inlineStr">
        <is>
          <t>KALMAR LÄN</t>
        </is>
      </c>
      <c r="E361" t="inlineStr">
        <is>
          <t>VIMMERBY</t>
        </is>
      </c>
      <c r="G361" t="n">
        <v>5</v>
      </c>
      <c r="H361" t="n">
        <v>0</v>
      </c>
      <c r="I361" t="n">
        <v>0</v>
      </c>
      <c r="J361" t="n">
        <v>0</v>
      </c>
      <c r="K361" t="n">
        <v>0</v>
      </c>
      <c r="L361" t="n">
        <v>0</v>
      </c>
      <c r="M361" t="n">
        <v>0</v>
      </c>
      <c r="N361" t="n">
        <v>0</v>
      </c>
      <c r="O361" t="n">
        <v>0</v>
      </c>
      <c r="P361" t="n">
        <v>0</v>
      </c>
      <c r="Q361" t="n">
        <v>0</v>
      </c>
      <c r="R361" s="2" t="inlineStr"/>
    </row>
    <row r="362" ht="15" customHeight="1">
      <c r="A362" t="inlineStr">
        <is>
          <t>A 16983-2023</t>
        </is>
      </c>
      <c r="B362" s="1" t="n">
        <v>45033.76043981482</v>
      </c>
      <c r="C362" s="1" t="n">
        <v>45966</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56659-2023</t>
        </is>
      </c>
      <c r="B363" s="1" t="n">
        <v>45243.84869212963</v>
      </c>
      <c r="C363" s="1" t="n">
        <v>45966</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13015-2022</t>
        </is>
      </c>
      <c r="B364" s="1" t="n">
        <v>44643</v>
      </c>
      <c r="C364" s="1" t="n">
        <v>45966</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6399-2025</t>
        </is>
      </c>
      <c r="B365" s="1" t="n">
        <v>45699.44291666667</v>
      </c>
      <c r="C365" s="1" t="n">
        <v>45966</v>
      </c>
      <c r="D365" t="inlineStr">
        <is>
          <t>KALMAR LÄN</t>
        </is>
      </c>
      <c r="E365" t="inlineStr">
        <is>
          <t>VIMMERBY</t>
        </is>
      </c>
      <c r="G365" t="n">
        <v>3.1</v>
      </c>
      <c r="H365" t="n">
        <v>0</v>
      </c>
      <c r="I365" t="n">
        <v>0</v>
      </c>
      <c r="J365" t="n">
        <v>0</v>
      </c>
      <c r="K365" t="n">
        <v>0</v>
      </c>
      <c r="L365" t="n">
        <v>0</v>
      </c>
      <c r="M365" t="n">
        <v>0</v>
      </c>
      <c r="N365" t="n">
        <v>0</v>
      </c>
      <c r="O365" t="n">
        <v>0</v>
      </c>
      <c r="P365" t="n">
        <v>0</v>
      </c>
      <c r="Q365" t="n">
        <v>0</v>
      </c>
      <c r="R365" s="2" t="inlineStr"/>
    </row>
    <row r="366" ht="15" customHeight="1">
      <c r="A366" t="inlineStr">
        <is>
          <t>A 31355-2023</t>
        </is>
      </c>
      <c r="B366" s="1" t="n">
        <v>45114.49505787037</v>
      </c>
      <c r="C366" s="1" t="n">
        <v>45966</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66295-2020</t>
        </is>
      </c>
      <c r="B367" s="1" t="n">
        <v>44176</v>
      </c>
      <c r="C367" s="1" t="n">
        <v>45966</v>
      </c>
      <c r="D367" t="inlineStr">
        <is>
          <t>KALMAR LÄN</t>
        </is>
      </c>
      <c r="E367" t="inlineStr">
        <is>
          <t>VIMMERBY</t>
        </is>
      </c>
      <c r="G367" t="n">
        <v>4.1</v>
      </c>
      <c r="H367" t="n">
        <v>0</v>
      </c>
      <c r="I367" t="n">
        <v>0</v>
      </c>
      <c r="J367" t="n">
        <v>0</v>
      </c>
      <c r="K367" t="n">
        <v>0</v>
      </c>
      <c r="L367" t="n">
        <v>0</v>
      </c>
      <c r="M367" t="n">
        <v>0</v>
      </c>
      <c r="N367" t="n">
        <v>0</v>
      </c>
      <c r="O367" t="n">
        <v>0</v>
      </c>
      <c r="P367" t="n">
        <v>0</v>
      </c>
      <c r="Q367" t="n">
        <v>0</v>
      </c>
      <c r="R367" s="2" t="inlineStr"/>
    </row>
    <row r="368" ht="15" customHeight="1">
      <c r="A368" t="inlineStr">
        <is>
          <t>A 30400-2023</t>
        </is>
      </c>
      <c r="B368" s="1" t="n">
        <v>45111.48225694444</v>
      </c>
      <c r="C368" s="1" t="n">
        <v>45966</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30404-2023</t>
        </is>
      </c>
      <c r="B369" s="1" t="n">
        <v>45111.48636574074</v>
      </c>
      <c r="C369" s="1" t="n">
        <v>45966</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27705-2023</t>
        </is>
      </c>
      <c r="B370" s="1" t="n">
        <v>45098.30535879629</v>
      </c>
      <c r="C370" s="1" t="n">
        <v>45966</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50324-2025</t>
        </is>
      </c>
      <c r="B371" s="1" t="n">
        <v>45944.45962962963</v>
      </c>
      <c r="C371" s="1" t="n">
        <v>45966</v>
      </c>
      <c r="D371" t="inlineStr">
        <is>
          <t>KALMAR LÄN</t>
        </is>
      </c>
      <c r="E371" t="inlineStr">
        <is>
          <t>VIMMERBY</t>
        </is>
      </c>
      <c r="G371" t="n">
        <v>2.1</v>
      </c>
      <c r="H371" t="n">
        <v>0</v>
      </c>
      <c r="I371" t="n">
        <v>0</v>
      </c>
      <c r="J371" t="n">
        <v>0</v>
      </c>
      <c r="K371" t="n">
        <v>0</v>
      </c>
      <c r="L371" t="n">
        <v>0</v>
      </c>
      <c r="M371" t="n">
        <v>0</v>
      </c>
      <c r="N371" t="n">
        <v>0</v>
      </c>
      <c r="O371" t="n">
        <v>0</v>
      </c>
      <c r="P371" t="n">
        <v>0</v>
      </c>
      <c r="Q371" t="n">
        <v>0</v>
      </c>
      <c r="R371" s="2" t="inlineStr"/>
    </row>
    <row r="372" ht="15" customHeight="1">
      <c r="A372" t="inlineStr">
        <is>
          <t>A 17968-2025</t>
        </is>
      </c>
      <c r="B372" s="1" t="n">
        <v>45761.35990740741</v>
      </c>
      <c r="C372" s="1" t="n">
        <v>45966</v>
      </c>
      <c r="D372" t="inlineStr">
        <is>
          <t>KALMAR LÄN</t>
        </is>
      </c>
      <c r="E372" t="inlineStr">
        <is>
          <t>VIMMERBY</t>
        </is>
      </c>
      <c r="G372" t="n">
        <v>3.3</v>
      </c>
      <c r="H372" t="n">
        <v>0</v>
      </c>
      <c r="I372" t="n">
        <v>0</v>
      </c>
      <c r="J372" t="n">
        <v>0</v>
      </c>
      <c r="K372" t="n">
        <v>0</v>
      </c>
      <c r="L372" t="n">
        <v>0</v>
      </c>
      <c r="M372" t="n">
        <v>0</v>
      </c>
      <c r="N372" t="n">
        <v>0</v>
      </c>
      <c r="O372" t="n">
        <v>0</v>
      </c>
      <c r="P372" t="n">
        <v>0</v>
      </c>
      <c r="Q372" t="n">
        <v>0</v>
      </c>
      <c r="R372" s="2" t="inlineStr"/>
    </row>
    <row r="373" ht="15" customHeight="1">
      <c r="A373" t="inlineStr">
        <is>
          <t>A 6028-2023</t>
        </is>
      </c>
      <c r="B373" s="1" t="n">
        <v>44964.44356481481</v>
      </c>
      <c r="C373" s="1" t="n">
        <v>45966</v>
      </c>
      <c r="D373" t="inlineStr">
        <is>
          <t>KALMAR LÄN</t>
        </is>
      </c>
      <c r="E373" t="inlineStr">
        <is>
          <t>VIMMERBY</t>
        </is>
      </c>
      <c r="G373" t="n">
        <v>2.5</v>
      </c>
      <c r="H373" t="n">
        <v>0</v>
      </c>
      <c r="I373" t="n">
        <v>0</v>
      </c>
      <c r="J373" t="n">
        <v>0</v>
      </c>
      <c r="K373" t="n">
        <v>0</v>
      </c>
      <c r="L373" t="n">
        <v>0</v>
      </c>
      <c r="M373" t="n">
        <v>0</v>
      </c>
      <c r="N373" t="n">
        <v>0</v>
      </c>
      <c r="O373" t="n">
        <v>0</v>
      </c>
      <c r="P373" t="n">
        <v>0</v>
      </c>
      <c r="Q373" t="n">
        <v>0</v>
      </c>
      <c r="R373" s="2" t="inlineStr"/>
    </row>
    <row r="374" ht="15" customHeight="1">
      <c r="A374" t="inlineStr">
        <is>
          <t>A 55436-2023</t>
        </is>
      </c>
      <c r="B374" s="1" t="n">
        <v>45238.4328587963</v>
      </c>
      <c r="C374" s="1" t="n">
        <v>45966</v>
      </c>
      <c r="D374" t="inlineStr">
        <is>
          <t>KALMAR LÄN</t>
        </is>
      </c>
      <c r="E374" t="inlineStr">
        <is>
          <t>VIMMERBY</t>
        </is>
      </c>
      <c r="G374" t="n">
        <v>5.6</v>
      </c>
      <c r="H374" t="n">
        <v>0</v>
      </c>
      <c r="I374" t="n">
        <v>0</v>
      </c>
      <c r="J374" t="n">
        <v>0</v>
      </c>
      <c r="K374" t="n">
        <v>0</v>
      </c>
      <c r="L374" t="n">
        <v>0</v>
      </c>
      <c r="M374" t="n">
        <v>0</v>
      </c>
      <c r="N374" t="n">
        <v>0</v>
      </c>
      <c r="O374" t="n">
        <v>0</v>
      </c>
      <c r="P374" t="n">
        <v>0</v>
      </c>
      <c r="Q374" t="n">
        <v>0</v>
      </c>
      <c r="R374" s="2" t="inlineStr"/>
    </row>
    <row r="375" ht="15" customHeight="1">
      <c r="A375" t="inlineStr">
        <is>
          <t>A 36843-2023</t>
        </is>
      </c>
      <c r="B375" s="1" t="n">
        <v>45154.49831018518</v>
      </c>
      <c r="C375" s="1" t="n">
        <v>45966</v>
      </c>
      <c r="D375" t="inlineStr">
        <is>
          <t>KALMAR LÄN</t>
        </is>
      </c>
      <c r="E375" t="inlineStr">
        <is>
          <t>VIMMERBY</t>
        </is>
      </c>
      <c r="G375" t="n">
        <v>2</v>
      </c>
      <c r="H375" t="n">
        <v>0</v>
      </c>
      <c r="I375" t="n">
        <v>0</v>
      </c>
      <c r="J375" t="n">
        <v>0</v>
      </c>
      <c r="K375" t="n">
        <v>0</v>
      </c>
      <c r="L375" t="n">
        <v>0</v>
      </c>
      <c r="M375" t="n">
        <v>0</v>
      </c>
      <c r="N375" t="n">
        <v>0</v>
      </c>
      <c r="O375" t="n">
        <v>0</v>
      </c>
      <c r="P375" t="n">
        <v>0</v>
      </c>
      <c r="Q375" t="n">
        <v>0</v>
      </c>
      <c r="R375" s="2" t="inlineStr"/>
    </row>
    <row r="376" ht="15" customHeight="1">
      <c r="A376" t="inlineStr">
        <is>
          <t>A 56582-2022</t>
        </is>
      </c>
      <c r="B376" s="1" t="n">
        <v>44893</v>
      </c>
      <c r="C376" s="1" t="n">
        <v>45966</v>
      </c>
      <c r="D376" t="inlineStr">
        <is>
          <t>KALMAR LÄN</t>
        </is>
      </c>
      <c r="E376" t="inlineStr">
        <is>
          <t>VIMMERBY</t>
        </is>
      </c>
      <c r="G376" t="n">
        <v>2.2</v>
      </c>
      <c r="H376" t="n">
        <v>0</v>
      </c>
      <c r="I376" t="n">
        <v>0</v>
      </c>
      <c r="J376" t="n">
        <v>0</v>
      </c>
      <c r="K376" t="n">
        <v>0</v>
      </c>
      <c r="L376" t="n">
        <v>0</v>
      </c>
      <c r="M376" t="n">
        <v>0</v>
      </c>
      <c r="N376" t="n">
        <v>0</v>
      </c>
      <c r="O376" t="n">
        <v>0</v>
      </c>
      <c r="P376" t="n">
        <v>0</v>
      </c>
      <c r="Q376" t="n">
        <v>0</v>
      </c>
      <c r="R376" s="2" t="inlineStr"/>
    </row>
    <row r="377" ht="15" customHeight="1">
      <c r="A377" t="inlineStr">
        <is>
          <t>A 20-2025</t>
        </is>
      </c>
      <c r="B377" s="1" t="n">
        <v>45658.80232638889</v>
      </c>
      <c r="C377" s="1" t="n">
        <v>45966</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23-2025</t>
        </is>
      </c>
      <c r="B378" s="1" t="n">
        <v>45658.80827546296</v>
      </c>
      <c r="C378" s="1" t="n">
        <v>45966</v>
      </c>
      <c r="D378" t="inlineStr">
        <is>
          <t>KALMAR LÄN</t>
        </is>
      </c>
      <c r="E378" t="inlineStr">
        <is>
          <t>VIMMERBY</t>
        </is>
      </c>
      <c r="G378" t="n">
        <v>1.8</v>
      </c>
      <c r="H378" t="n">
        <v>0</v>
      </c>
      <c r="I378" t="n">
        <v>0</v>
      </c>
      <c r="J378" t="n">
        <v>0</v>
      </c>
      <c r="K378" t="n">
        <v>0</v>
      </c>
      <c r="L378" t="n">
        <v>0</v>
      </c>
      <c r="M378" t="n">
        <v>0</v>
      </c>
      <c r="N378" t="n">
        <v>0</v>
      </c>
      <c r="O378" t="n">
        <v>0</v>
      </c>
      <c r="P378" t="n">
        <v>0</v>
      </c>
      <c r="Q378" t="n">
        <v>0</v>
      </c>
      <c r="R378" s="2" t="inlineStr"/>
    </row>
    <row r="379" ht="15" customHeight="1">
      <c r="A379" t="inlineStr">
        <is>
          <t>A 43962-2024</t>
        </is>
      </c>
      <c r="B379" s="1" t="n">
        <v>45572.48293981481</v>
      </c>
      <c r="C379" s="1" t="n">
        <v>45966</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10785-2025</t>
        </is>
      </c>
      <c r="B380" s="1" t="n">
        <v>45722.48634259259</v>
      </c>
      <c r="C380" s="1" t="n">
        <v>45966</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29017-2024</t>
        </is>
      </c>
      <c r="B381" s="1" t="n">
        <v>45481.56722222222</v>
      </c>
      <c r="C381" s="1" t="n">
        <v>45966</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41735-2025</t>
        </is>
      </c>
      <c r="B382" s="1" t="n">
        <v>45902.47164351852</v>
      </c>
      <c r="C382" s="1" t="n">
        <v>45966</v>
      </c>
      <c r="D382" t="inlineStr">
        <is>
          <t>KALMAR LÄN</t>
        </is>
      </c>
      <c r="E382" t="inlineStr">
        <is>
          <t>VIMMERBY</t>
        </is>
      </c>
      <c r="G382" t="n">
        <v>3</v>
      </c>
      <c r="H382" t="n">
        <v>0</v>
      </c>
      <c r="I382" t="n">
        <v>0</v>
      </c>
      <c r="J382" t="n">
        <v>0</v>
      </c>
      <c r="K382" t="n">
        <v>0</v>
      </c>
      <c r="L382" t="n">
        <v>0</v>
      </c>
      <c r="M382" t="n">
        <v>0</v>
      </c>
      <c r="N382" t="n">
        <v>0</v>
      </c>
      <c r="O382" t="n">
        <v>0</v>
      </c>
      <c r="P382" t="n">
        <v>0</v>
      </c>
      <c r="Q382" t="n">
        <v>0</v>
      </c>
      <c r="R382" s="2" t="inlineStr"/>
    </row>
    <row r="383" ht="15" customHeight="1">
      <c r="A383" t="inlineStr">
        <is>
          <t>A 35713-2023</t>
        </is>
      </c>
      <c r="B383" s="1" t="n">
        <v>45147</v>
      </c>
      <c r="C383" s="1" t="n">
        <v>45966</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23263-2024</t>
        </is>
      </c>
      <c r="B384" s="1" t="n">
        <v>45453.36854166666</v>
      </c>
      <c r="C384" s="1" t="n">
        <v>45966</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11074-2023</t>
        </is>
      </c>
      <c r="B385" s="1" t="n">
        <v>44992.34151620371</v>
      </c>
      <c r="C385" s="1" t="n">
        <v>45966</v>
      </c>
      <c r="D385" t="inlineStr">
        <is>
          <t>KALMAR LÄN</t>
        </is>
      </c>
      <c r="E385" t="inlineStr">
        <is>
          <t>VIMMERBY</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61939-2021</t>
        </is>
      </c>
      <c r="B386" s="1" t="n">
        <v>44502</v>
      </c>
      <c r="C386" s="1" t="n">
        <v>45966</v>
      </c>
      <c r="D386" t="inlineStr">
        <is>
          <t>KALMAR LÄN</t>
        </is>
      </c>
      <c r="E386" t="inlineStr">
        <is>
          <t>VIMMERBY</t>
        </is>
      </c>
      <c r="G386" t="n">
        <v>2.7</v>
      </c>
      <c r="H386" t="n">
        <v>0</v>
      </c>
      <c r="I386" t="n">
        <v>0</v>
      </c>
      <c r="J386" t="n">
        <v>0</v>
      </c>
      <c r="K386" t="n">
        <v>0</v>
      </c>
      <c r="L386" t="n">
        <v>0</v>
      </c>
      <c r="M386" t="n">
        <v>0</v>
      </c>
      <c r="N386" t="n">
        <v>0</v>
      </c>
      <c r="O386" t="n">
        <v>0</v>
      </c>
      <c r="P386" t="n">
        <v>0</v>
      </c>
      <c r="Q386" t="n">
        <v>0</v>
      </c>
      <c r="R386" s="2" t="inlineStr"/>
    </row>
    <row r="387" ht="15" customHeight="1">
      <c r="A387" t="inlineStr">
        <is>
          <t>A 12215-2024</t>
        </is>
      </c>
      <c r="B387" s="1" t="n">
        <v>45378.32185185186</v>
      </c>
      <c r="C387" s="1" t="n">
        <v>45966</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11303-2025</t>
        </is>
      </c>
      <c r="B388" s="1" t="n">
        <v>45726.44471064815</v>
      </c>
      <c r="C388" s="1" t="n">
        <v>45966</v>
      </c>
      <c r="D388" t="inlineStr">
        <is>
          <t>KALMAR LÄN</t>
        </is>
      </c>
      <c r="E388" t="inlineStr">
        <is>
          <t>VIMMERBY</t>
        </is>
      </c>
      <c r="G388" t="n">
        <v>2.1</v>
      </c>
      <c r="H388" t="n">
        <v>0</v>
      </c>
      <c r="I388" t="n">
        <v>0</v>
      </c>
      <c r="J388" t="n">
        <v>0</v>
      </c>
      <c r="K388" t="n">
        <v>0</v>
      </c>
      <c r="L388" t="n">
        <v>0</v>
      </c>
      <c r="M388" t="n">
        <v>0</v>
      </c>
      <c r="N388" t="n">
        <v>0</v>
      </c>
      <c r="O388" t="n">
        <v>0</v>
      </c>
      <c r="P388" t="n">
        <v>0</v>
      </c>
      <c r="Q388" t="n">
        <v>0</v>
      </c>
      <c r="R388" s="2" t="inlineStr"/>
    </row>
    <row r="389" ht="15" customHeight="1">
      <c r="A389" t="inlineStr">
        <is>
          <t>A 12033-2024</t>
        </is>
      </c>
      <c r="B389" s="1" t="n">
        <v>45377.40043981482</v>
      </c>
      <c r="C389" s="1" t="n">
        <v>45966</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51408-2023</t>
        </is>
      </c>
      <c r="B390" s="1" t="n">
        <v>45219.69356481481</v>
      </c>
      <c r="C390" s="1" t="n">
        <v>45966</v>
      </c>
      <c r="D390" t="inlineStr">
        <is>
          <t>KALMAR LÄN</t>
        </is>
      </c>
      <c r="E390" t="inlineStr">
        <is>
          <t>VIMMERBY</t>
        </is>
      </c>
      <c r="G390" t="n">
        <v>0.7</v>
      </c>
      <c r="H390" t="n">
        <v>0</v>
      </c>
      <c r="I390" t="n">
        <v>0</v>
      </c>
      <c r="J390" t="n">
        <v>0</v>
      </c>
      <c r="K390" t="n">
        <v>0</v>
      </c>
      <c r="L390" t="n">
        <v>0</v>
      </c>
      <c r="M390" t="n">
        <v>0</v>
      </c>
      <c r="N390" t="n">
        <v>0</v>
      </c>
      <c r="O390" t="n">
        <v>0</v>
      </c>
      <c r="P390" t="n">
        <v>0</v>
      </c>
      <c r="Q390" t="n">
        <v>0</v>
      </c>
      <c r="R390" s="2" t="inlineStr"/>
    </row>
    <row r="391" ht="15" customHeight="1">
      <c r="A391" t="inlineStr">
        <is>
          <t>A 50544-2025</t>
        </is>
      </c>
      <c r="B391" s="1" t="n">
        <v>45945.50736111111</v>
      </c>
      <c r="C391" s="1" t="n">
        <v>45966</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40147-2023</t>
        </is>
      </c>
      <c r="B392" s="1" t="n">
        <v>45169</v>
      </c>
      <c r="C392" s="1" t="n">
        <v>45966</v>
      </c>
      <c r="D392" t="inlineStr">
        <is>
          <t>KALMAR LÄN</t>
        </is>
      </c>
      <c r="E392" t="inlineStr">
        <is>
          <t>VIMMERBY</t>
        </is>
      </c>
      <c r="G392" t="n">
        <v>1.7</v>
      </c>
      <c r="H392" t="n">
        <v>0</v>
      </c>
      <c r="I392" t="n">
        <v>0</v>
      </c>
      <c r="J392" t="n">
        <v>0</v>
      </c>
      <c r="K392" t="n">
        <v>0</v>
      </c>
      <c r="L392" t="n">
        <v>0</v>
      </c>
      <c r="M392" t="n">
        <v>0</v>
      </c>
      <c r="N392" t="n">
        <v>0</v>
      </c>
      <c r="O392" t="n">
        <v>0</v>
      </c>
      <c r="P392" t="n">
        <v>0</v>
      </c>
      <c r="Q392" t="n">
        <v>0</v>
      </c>
      <c r="R392" s="2" t="inlineStr"/>
    </row>
    <row r="393" ht="15" customHeight="1">
      <c r="A393" t="inlineStr">
        <is>
          <t>A 49488-2023</t>
        </is>
      </c>
      <c r="B393" s="1" t="n">
        <v>45211.55472222222</v>
      </c>
      <c r="C393" s="1" t="n">
        <v>45966</v>
      </c>
      <c r="D393" t="inlineStr">
        <is>
          <t>KALMAR LÄN</t>
        </is>
      </c>
      <c r="E393" t="inlineStr">
        <is>
          <t>VIMMERBY</t>
        </is>
      </c>
      <c r="F393" t="inlineStr">
        <is>
          <t>Sveaskog</t>
        </is>
      </c>
      <c r="G393" t="n">
        <v>6.2</v>
      </c>
      <c r="H393" t="n">
        <v>0</v>
      </c>
      <c r="I393" t="n">
        <v>0</v>
      </c>
      <c r="J393" t="n">
        <v>0</v>
      </c>
      <c r="K393" t="n">
        <v>0</v>
      </c>
      <c r="L393" t="n">
        <v>0</v>
      </c>
      <c r="M393" t="n">
        <v>0</v>
      </c>
      <c r="N393" t="n">
        <v>0</v>
      </c>
      <c r="O393" t="n">
        <v>0</v>
      </c>
      <c r="P393" t="n">
        <v>0</v>
      </c>
      <c r="Q393" t="n">
        <v>0</v>
      </c>
      <c r="R393" s="2" t="inlineStr"/>
    </row>
    <row r="394" ht="15" customHeight="1">
      <c r="A394" t="inlineStr">
        <is>
          <t>A 50995-2022</t>
        </is>
      </c>
      <c r="B394" s="1" t="n">
        <v>44867</v>
      </c>
      <c r="C394" s="1" t="n">
        <v>45966</v>
      </c>
      <c r="D394" t="inlineStr">
        <is>
          <t>KALMAR LÄN</t>
        </is>
      </c>
      <c r="E394" t="inlineStr">
        <is>
          <t>VIMMERBY</t>
        </is>
      </c>
      <c r="G394" t="n">
        <v>2.4</v>
      </c>
      <c r="H394" t="n">
        <v>0</v>
      </c>
      <c r="I394" t="n">
        <v>0</v>
      </c>
      <c r="J394" t="n">
        <v>0</v>
      </c>
      <c r="K394" t="n">
        <v>0</v>
      </c>
      <c r="L394" t="n">
        <v>0</v>
      </c>
      <c r="M394" t="n">
        <v>0</v>
      </c>
      <c r="N394" t="n">
        <v>0</v>
      </c>
      <c r="O394" t="n">
        <v>0</v>
      </c>
      <c r="P394" t="n">
        <v>0</v>
      </c>
      <c r="Q394" t="n">
        <v>0</v>
      </c>
      <c r="R394" s="2" t="inlineStr"/>
    </row>
    <row r="395" ht="15" customHeight="1">
      <c r="A395" t="inlineStr">
        <is>
          <t>A 46144-2023</t>
        </is>
      </c>
      <c r="B395" s="1" t="n">
        <v>45196.57247685185</v>
      </c>
      <c r="C395" s="1" t="n">
        <v>45966</v>
      </c>
      <c r="D395" t="inlineStr">
        <is>
          <t>KALMAR LÄN</t>
        </is>
      </c>
      <c r="E395" t="inlineStr">
        <is>
          <t>VIMMERBY</t>
        </is>
      </c>
      <c r="G395" t="n">
        <v>6.5</v>
      </c>
      <c r="H395" t="n">
        <v>0</v>
      </c>
      <c r="I395" t="n">
        <v>0</v>
      </c>
      <c r="J395" t="n">
        <v>0</v>
      </c>
      <c r="K395" t="n">
        <v>0</v>
      </c>
      <c r="L395" t="n">
        <v>0</v>
      </c>
      <c r="M395" t="n">
        <v>0</v>
      </c>
      <c r="N395" t="n">
        <v>0</v>
      </c>
      <c r="O395" t="n">
        <v>0</v>
      </c>
      <c r="P395" t="n">
        <v>0</v>
      </c>
      <c r="Q395" t="n">
        <v>0</v>
      </c>
      <c r="R395" s="2" t="inlineStr"/>
    </row>
    <row r="396" ht="15" customHeight="1">
      <c r="A396" t="inlineStr">
        <is>
          <t>A 51062-2025</t>
        </is>
      </c>
      <c r="B396" s="1" t="n">
        <v>45947.44685185186</v>
      </c>
      <c r="C396" s="1" t="n">
        <v>45966</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8410-2023</t>
        </is>
      </c>
      <c r="B397" s="1" t="n">
        <v>44977</v>
      </c>
      <c r="C397" s="1" t="n">
        <v>45966</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30920-2024</t>
        </is>
      </c>
      <c r="B398" s="1" t="n">
        <v>45498.673125</v>
      </c>
      <c r="C398" s="1" t="n">
        <v>45966</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27993-2022</t>
        </is>
      </c>
      <c r="B399" s="1" t="n">
        <v>44745.84396990741</v>
      </c>
      <c r="C399" s="1" t="n">
        <v>45966</v>
      </c>
      <c r="D399" t="inlineStr">
        <is>
          <t>KALMAR LÄN</t>
        </is>
      </c>
      <c r="E399" t="inlineStr">
        <is>
          <t>VIMMERBY</t>
        </is>
      </c>
      <c r="G399" t="n">
        <v>2.8</v>
      </c>
      <c r="H399" t="n">
        <v>0</v>
      </c>
      <c r="I399" t="n">
        <v>0</v>
      </c>
      <c r="J399" t="n">
        <v>0</v>
      </c>
      <c r="K399" t="n">
        <v>0</v>
      </c>
      <c r="L399" t="n">
        <v>0</v>
      </c>
      <c r="M399" t="n">
        <v>0</v>
      </c>
      <c r="N399" t="n">
        <v>0</v>
      </c>
      <c r="O399" t="n">
        <v>0</v>
      </c>
      <c r="P399" t="n">
        <v>0</v>
      </c>
      <c r="Q399" t="n">
        <v>0</v>
      </c>
      <c r="R399" s="2" t="inlineStr"/>
    </row>
    <row r="400" ht="15" customHeight="1">
      <c r="A400" t="inlineStr">
        <is>
          <t>A 40929-2022</t>
        </is>
      </c>
      <c r="B400" s="1" t="n">
        <v>44825.4336574074</v>
      </c>
      <c r="C400" s="1" t="n">
        <v>45966</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50091-2023</t>
        </is>
      </c>
      <c r="B401" s="1" t="n">
        <v>45215.60199074074</v>
      </c>
      <c r="C401" s="1" t="n">
        <v>45966</v>
      </c>
      <c r="D401" t="inlineStr">
        <is>
          <t>KALMAR LÄN</t>
        </is>
      </c>
      <c r="E401" t="inlineStr">
        <is>
          <t>VIMMERBY</t>
        </is>
      </c>
      <c r="G401" t="n">
        <v>1.7</v>
      </c>
      <c r="H401" t="n">
        <v>0</v>
      </c>
      <c r="I401" t="n">
        <v>0</v>
      </c>
      <c r="J401" t="n">
        <v>0</v>
      </c>
      <c r="K401" t="n">
        <v>0</v>
      </c>
      <c r="L401" t="n">
        <v>0</v>
      </c>
      <c r="M401" t="n">
        <v>0</v>
      </c>
      <c r="N401" t="n">
        <v>0</v>
      </c>
      <c r="O401" t="n">
        <v>0</v>
      </c>
      <c r="P401" t="n">
        <v>0</v>
      </c>
      <c r="Q401" t="n">
        <v>0</v>
      </c>
      <c r="R401" s="2" t="inlineStr"/>
    </row>
    <row r="402" ht="15" customHeight="1">
      <c r="A402" t="inlineStr">
        <is>
          <t>A 36008-2024</t>
        </is>
      </c>
      <c r="B402" s="1" t="n">
        <v>45533.55362268518</v>
      </c>
      <c r="C402" s="1" t="n">
        <v>45966</v>
      </c>
      <c r="D402" t="inlineStr">
        <is>
          <t>KALMAR LÄN</t>
        </is>
      </c>
      <c r="E402" t="inlineStr">
        <is>
          <t>VIMMERBY</t>
        </is>
      </c>
      <c r="G402" t="n">
        <v>3.7</v>
      </c>
      <c r="H402" t="n">
        <v>0</v>
      </c>
      <c r="I402" t="n">
        <v>0</v>
      </c>
      <c r="J402" t="n">
        <v>0</v>
      </c>
      <c r="K402" t="n">
        <v>0</v>
      </c>
      <c r="L402" t="n">
        <v>0</v>
      </c>
      <c r="M402" t="n">
        <v>0</v>
      </c>
      <c r="N402" t="n">
        <v>0</v>
      </c>
      <c r="O402" t="n">
        <v>0</v>
      </c>
      <c r="P402" t="n">
        <v>0</v>
      </c>
      <c r="Q402" t="n">
        <v>0</v>
      </c>
      <c r="R402" s="2" t="inlineStr"/>
    </row>
    <row r="403" ht="15" customHeight="1">
      <c r="A403" t="inlineStr">
        <is>
          <t>A 57555-2024</t>
        </is>
      </c>
      <c r="B403" s="1" t="n">
        <v>45630.45069444444</v>
      </c>
      <c r="C403" s="1" t="n">
        <v>45966</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16622-2025</t>
        </is>
      </c>
      <c r="B404" s="1" t="n">
        <v>45754.33641203704</v>
      </c>
      <c r="C404" s="1" t="n">
        <v>45966</v>
      </c>
      <c r="D404" t="inlineStr">
        <is>
          <t>KALMAR LÄN</t>
        </is>
      </c>
      <c r="E404" t="inlineStr">
        <is>
          <t>VIMMERBY</t>
        </is>
      </c>
      <c r="G404" t="n">
        <v>1</v>
      </c>
      <c r="H404" t="n">
        <v>0</v>
      </c>
      <c r="I404" t="n">
        <v>0</v>
      </c>
      <c r="J404" t="n">
        <v>0</v>
      </c>
      <c r="K404" t="n">
        <v>0</v>
      </c>
      <c r="L404" t="n">
        <v>0</v>
      </c>
      <c r="M404" t="n">
        <v>0</v>
      </c>
      <c r="N404" t="n">
        <v>0</v>
      </c>
      <c r="O404" t="n">
        <v>0</v>
      </c>
      <c r="P404" t="n">
        <v>0</v>
      </c>
      <c r="Q404" t="n">
        <v>0</v>
      </c>
      <c r="R404" s="2" t="inlineStr"/>
    </row>
    <row r="405" ht="15" customHeight="1">
      <c r="A405" t="inlineStr">
        <is>
          <t>A 17511-2024</t>
        </is>
      </c>
      <c r="B405" s="1" t="n">
        <v>45415.57682870371</v>
      </c>
      <c r="C405" s="1" t="n">
        <v>45966</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43705-2023</t>
        </is>
      </c>
      <c r="B406" s="1" t="n">
        <v>45187.42854166667</v>
      </c>
      <c r="C406" s="1" t="n">
        <v>45966</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36014-2024</t>
        </is>
      </c>
      <c r="B407" s="1" t="n">
        <v>45533.56108796296</v>
      </c>
      <c r="C407" s="1" t="n">
        <v>45966</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36030-2024</t>
        </is>
      </c>
      <c r="B408" s="1" t="n">
        <v>45533.58302083334</v>
      </c>
      <c r="C408" s="1" t="n">
        <v>45966</v>
      </c>
      <c r="D408" t="inlineStr">
        <is>
          <t>KALMAR LÄN</t>
        </is>
      </c>
      <c r="E408" t="inlineStr">
        <is>
          <t>VIMMERBY</t>
        </is>
      </c>
      <c r="F408" t="inlineStr">
        <is>
          <t>Kommuner</t>
        </is>
      </c>
      <c r="G408" t="n">
        <v>4</v>
      </c>
      <c r="H408" t="n">
        <v>0</v>
      </c>
      <c r="I408" t="n">
        <v>0</v>
      </c>
      <c r="J408" t="n">
        <v>0</v>
      </c>
      <c r="K408" t="n">
        <v>0</v>
      </c>
      <c r="L408" t="n">
        <v>0</v>
      </c>
      <c r="M408" t="n">
        <v>0</v>
      </c>
      <c r="N408" t="n">
        <v>0</v>
      </c>
      <c r="O408" t="n">
        <v>0</v>
      </c>
      <c r="P408" t="n">
        <v>0</v>
      </c>
      <c r="Q408" t="n">
        <v>0</v>
      </c>
      <c r="R408" s="2" t="inlineStr"/>
    </row>
    <row r="409" ht="15" customHeight="1">
      <c r="A409" t="inlineStr">
        <is>
          <t>A 42828-2025</t>
        </is>
      </c>
      <c r="B409" s="1" t="n">
        <v>45908.57716435185</v>
      </c>
      <c r="C409" s="1" t="n">
        <v>45966</v>
      </c>
      <c r="D409" t="inlineStr">
        <is>
          <t>KALMAR LÄN</t>
        </is>
      </c>
      <c r="E409" t="inlineStr">
        <is>
          <t>VIMMERBY</t>
        </is>
      </c>
      <c r="G409" t="n">
        <v>5.2</v>
      </c>
      <c r="H409" t="n">
        <v>0</v>
      </c>
      <c r="I409" t="n">
        <v>0</v>
      </c>
      <c r="J409" t="n">
        <v>0</v>
      </c>
      <c r="K409" t="n">
        <v>0</v>
      </c>
      <c r="L409" t="n">
        <v>0</v>
      </c>
      <c r="M409" t="n">
        <v>0</v>
      </c>
      <c r="N409" t="n">
        <v>0</v>
      </c>
      <c r="O409" t="n">
        <v>0</v>
      </c>
      <c r="P409" t="n">
        <v>0</v>
      </c>
      <c r="Q409" t="n">
        <v>0</v>
      </c>
      <c r="R409" s="2" t="inlineStr"/>
    </row>
    <row r="410" ht="15" customHeight="1">
      <c r="A410" t="inlineStr">
        <is>
          <t>A 32865-2023</t>
        </is>
      </c>
      <c r="B410" s="1" t="n">
        <v>45124</v>
      </c>
      <c r="C410" s="1" t="n">
        <v>45966</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55300-2021</t>
        </is>
      </c>
      <c r="B411" s="1" t="n">
        <v>44475</v>
      </c>
      <c r="C411" s="1" t="n">
        <v>45966</v>
      </c>
      <c r="D411" t="inlineStr">
        <is>
          <t>KALMAR LÄN</t>
        </is>
      </c>
      <c r="E411" t="inlineStr">
        <is>
          <t>VIMMERBY</t>
        </is>
      </c>
      <c r="G411" t="n">
        <v>3.4</v>
      </c>
      <c r="H411" t="n">
        <v>0</v>
      </c>
      <c r="I411" t="n">
        <v>0</v>
      </c>
      <c r="J411" t="n">
        <v>0</v>
      </c>
      <c r="K411" t="n">
        <v>0</v>
      </c>
      <c r="L411" t="n">
        <v>0</v>
      </c>
      <c r="M411" t="n">
        <v>0</v>
      </c>
      <c r="N411" t="n">
        <v>0</v>
      </c>
      <c r="O411" t="n">
        <v>0</v>
      </c>
      <c r="P411" t="n">
        <v>0</v>
      </c>
      <c r="Q411" t="n">
        <v>0</v>
      </c>
      <c r="R411" s="2" t="inlineStr"/>
    </row>
    <row r="412" ht="15" customHeight="1">
      <c r="A412" t="inlineStr">
        <is>
          <t>A 42794-2025</t>
        </is>
      </c>
      <c r="B412" s="1" t="n">
        <v>45908</v>
      </c>
      <c r="C412" s="1" t="n">
        <v>45966</v>
      </c>
      <c r="D412" t="inlineStr">
        <is>
          <t>KALMAR LÄN</t>
        </is>
      </c>
      <c r="E412" t="inlineStr">
        <is>
          <t>VIMMERBY</t>
        </is>
      </c>
      <c r="G412" t="n">
        <v>0.9</v>
      </c>
      <c r="H412" t="n">
        <v>0</v>
      </c>
      <c r="I412" t="n">
        <v>0</v>
      </c>
      <c r="J412" t="n">
        <v>0</v>
      </c>
      <c r="K412" t="n">
        <v>0</v>
      </c>
      <c r="L412" t="n">
        <v>0</v>
      </c>
      <c r="M412" t="n">
        <v>0</v>
      </c>
      <c r="N412" t="n">
        <v>0</v>
      </c>
      <c r="O412" t="n">
        <v>0</v>
      </c>
      <c r="P412" t="n">
        <v>0</v>
      </c>
      <c r="Q412" t="n">
        <v>0</v>
      </c>
      <c r="R412" s="2" t="inlineStr"/>
    </row>
    <row r="413" ht="15" customHeight="1">
      <c r="A413" t="inlineStr">
        <is>
          <t>A 44179-2022</t>
        </is>
      </c>
      <c r="B413" s="1" t="n">
        <v>44839.4528125</v>
      </c>
      <c r="C413" s="1" t="n">
        <v>45966</v>
      </c>
      <c r="D413" t="inlineStr">
        <is>
          <t>KALMAR LÄN</t>
        </is>
      </c>
      <c r="E413" t="inlineStr">
        <is>
          <t>VIMMERBY</t>
        </is>
      </c>
      <c r="G413" t="n">
        <v>2.8</v>
      </c>
      <c r="H413" t="n">
        <v>0</v>
      </c>
      <c r="I413" t="n">
        <v>0</v>
      </c>
      <c r="J413" t="n">
        <v>0</v>
      </c>
      <c r="K413" t="n">
        <v>0</v>
      </c>
      <c r="L413" t="n">
        <v>0</v>
      </c>
      <c r="M413" t="n">
        <v>0</v>
      </c>
      <c r="N413" t="n">
        <v>0</v>
      </c>
      <c r="O413" t="n">
        <v>0</v>
      </c>
      <c r="P413" t="n">
        <v>0</v>
      </c>
      <c r="Q413" t="n">
        <v>0</v>
      </c>
      <c r="R413" s="2" t="inlineStr"/>
    </row>
    <row r="414" ht="15" customHeight="1">
      <c r="A414" t="inlineStr">
        <is>
          <t>A 42820-2025</t>
        </is>
      </c>
      <c r="B414" s="1" t="n">
        <v>45908</v>
      </c>
      <c r="C414" s="1" t="n">
        <v>45966</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52755-2022</t>
        </is>
      </c>
      <c r="B415" s="1" t="n">
        <v>44875.27736111111</v>
      </c>
      <c r="C415" s="1" t="n">
        <v>45966</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35998-2024</t>
        </is>
      </c>
      <c r="B416" s="1" t="n">
        <v>45533.54429398148</v>
      </c>
      <c r="C416" s="1" t="n">
        <v>45966</v>
      </c>
      <c r="D416" t="inlineStr">
        <is>
          <t>KALMAR LÄN</t>
        </is>
      </c>
      <c r="E416" t="inlineStr">
        <is>
          <t>VIMMERBY</t>
        </is>
      </c>
      <c r="G416" t="n">
        <v>8.6</v>
      </c>
      <c r="H416" t="n">
        <v>0</v>
      </c>
      <c r="I416" t="n">
        <v>0</v>
      </c>
      <c r="J416" t="n">
        <v>0</v>
      </c>
      <c r="K416" t="n">
        <v>0</v>
      </c>
      <c r="L416" t="n">
        <v>0</v>
      </c>
      <c r="M416" t="n">
        <v>0</v>
      </c>
      <c r="N416" t="n">
        <v>0</v>
      </c>
      <c r="O416" t="n">
        <v>0</v>
      </c>
      <c r="P416" t="n">
        <v>0</v>
      </c>
      <c r="Q416" t="n">
        <v>0</v>
      </c>
      <c r="R416" s="2" t="inlineStr"/>
    </row>
    <row r="417" ht="15" customHeight="1">
      <c r="A417" t="inlineStr">
        <is>
          <t>A 7797-2023</t>
        </is>
      </c>
      <c r="B417" s="1" t="n">
        <v>44973.43075231482</v>
      </c>
      <c r="C417" s="1" t="n">
        <v>45966</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42918-2021</t>
        </is>
      </c>
      <c r="B418" s="1" t="n">
        <v>44431</v>
      </c>
      <c r="C418" s="1" t="n">
        <v>45966</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29351-2023</t>
        </is>
      </c>
      <c r="B419" s="1" t="n">
        <v>45106.2610300926</v>
      </c>
      <c r="C419" s="1" t="n">
        <v>45966</v>
      </c>
      <c r="D419" t="inlineStr">
        <is>
          <t>KALMAR LÄN</t>
        </is>
      </c>
      <c r="E419" t="inlineStr">
        <is>
          <t>VIMMERBY</t>
        </is>
      </c>
      <c r="G419" t="n">
        <v>0.4</v>
      </c>
      <c r="H419" t="n">
        <v>0</v>
      </c>
      <c r="I419" t="n">
        <v>0</v>
      </c>
      <c r="J419" t="n">
        <v>0</v>
      </c>
      <c r="K419" t="n">
        <v>0</v>
      </c>
      <c r="L419" t="n">
        <v>0</v>
      </c>
      <c r="M419" t="n">
        <v>0</v>
      </c>
      <c r="N419" t="n">
        <v>0</v>
      </c>
      <c r="O419" t="n">
        <v>0</v>
      </c>
      <c r="P419" t="n">
        <v>0</v>
      </c>
      <c r="Q419" t="n">
        <v>0</v>
      </c>
      <c r="R419" s="2" t="inlineStr"/>
    </row>
    <row r="420" ht="15" customHeight="1">
      <c r="A420" t="inlineStr">
        <is>
          <t>A 7630-2025</t>
        </is>
      </c>
      <c r="B420" s="1" t="n">
        <v>45705.74418981482</v>
      </c>
      <c r="C420" s="1" t="n">
        <v>45966</v>
      </c>
      <c r="D420" t="inlineStr">
        <is>
          <t>KALMAR LÄN</t>
        </is>
      </c>
      <c r="E420" t="inlineStr">
        <is>
          <t>VIMMERBY</t>
        </is>
      </c>
      <c r="G420" t="n">
        <v>2.5</v>
      </c>
      <c r="H420" t="n">
        <v>0</v>
      </c>
      <c r="I420" t="n">
        <v>0</v>
      </c>
      <c r="J420" t="n">
        <v>0</v>
      </c>
      <c r="K420" t="n">
        <v>0</v>
      </c>
      <c r="L420" t="n">
        <v>0</v>
      </c>
      <c r="M420" t="n">
        <v>0</v>
      </c>
      <c r="N420" t="n">
        <v>0</v>
      </c>
      <c r="O420" t="n">
        <v>0</v>
      </c>
      <c r="P420" t="n">
        <v>0</v>
      </c>
      <c r="Q420" t="n">
        <v>0</v>
      </c>
      <c r="R420" s="2" t="inlineStr"/>
    </row>
    <row r="421" ht="15" customHeight="1">
      <c r="A421" t="inlineStr">
        <is>
          <t>A 1024-2024</t>
        </is>
      </c>
      <c r="B421" s="1" t="n">
        <v>45301.68237268519</v>
      </c>
      <c r="C421" s="1" t="n">
        <v>45966</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22643-2023</t>
        </is>
      </c>
      <c r="B422" s="1" t="n">
        <v>45071</v>
      </c>
      <c r="C422" s="1" t="n">
        <v>45966</v>
      </c>
      <c r="D422" t="inlineStr">
        <is>
          <t>KALMAR LÄN</t>
        </is>
      </c>
      <c r="E422" t="inlineStr">
        <is>
          <t>VIMMERBY</t>
        </is>
      </c>
      <c r="G422" t="n">
        <v>3.9</v>
      </c>
      <c r="H422" t="n">
        <v>0</v>
      </c>
      <c r="I422" t="n">
        <v>0</v>
      </c>
      <c r="J422" t="n">
        <v>0</v>
      </c>
      <c r="K422" t="n">
        <v>0</v>
      </c>
      <c r="L422" t="n">
        <v>0</v>
      </c>
      <c r="M422" t="n">
        <v>0</v>
      </c>
      <c r="N422" t="n">
        <v>0</v>
      </c>
      <c r="O422" t="n">
        <v>0</v>
      </c>
      <c r="P422" t="n">
        <v>0</v>
      </c>
      <c r="Q422" t="n">
        <v>0</v>
      </c>
      <c r="R422" s="2" t="inlineStr"/>
    </row>
    <row r="423" ht="15" customHeight="1">
      <c r="A423" t="inlineStr">
        <is>
          <t>A 18669-2025</t>
        </is>
      </c>
      <c r="B423" s="1" t="n">
        <v>45763.59436342592</v>
      </c>
      <c r="C423" s="1" t="n">
        <v>45966</v>
      </c>
      <c r="D423" t="inlineStr">
        <is>
          <t>KALMAR LÄN</t>
        </is>
      </c>
      <c r="E423" t="inlineStr">
        <is>
          <t>VIMMERBY</t>
        </is>
      </c>
      <c r="G423" t="n">
        <v>2.7</v>
      </c>
      <c r="H423" t="n">
        <v>0</v>
      </c>
      <c r="I423" t="n">
        <v>0</v>
      </c>
      <c r="J423" t="n">
        <v>0</v>
      </c>
      <c r="K423" t="n">
        <v>0</v>
      </c>
      <c r="L423" t="n">
        <v>0</v>
      </c>
      <c r="M423" t="n">
        <v>0</v>
      </c>
      <c r="N423" t="n">
        <v>0</v>
      </c>
      <c r="O423" t="n">
        <v>0</v>
      </c>
      <c r="P423" t="n">
        <v>0</v>
      </c>
      <c r="Q423" t="n">
        <v>0</v>
      </c>
      <c r="R423" s="2" t="inlineStr"/>
    </row>
    <row r="424" ht="15" customHeight="1">
      <c r="A424" t="inlineStr">
        <is>
          <t>A 10787-2025</t>
        </is>
      </c>
      <c r="B424" s="1" t="n">
        <v>45722.48915509259</v>
      </c>
      <c r="C424" s="1" t="n">
        <v>45966</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38780-2021</t>
        </is>
      </c>
      <c r="B425" s="1" t="n">
        <v>44410</v>
      </c>
      <c r="C425" s="1" t="n">
        <v>45966</v>
      </c>
      <c r="D425" t="inlineStr">
        <is>
          <t>KALMAR LÄN</t>
        </is>
      </c>
      <c r="E425" t="inlineStr">
        <is>
          <t>VIMMERBY</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34060-2025</t>
        </is>
      </c>
      <c r="B426" s="1" t="n">
        <v>45845.42015046296</v>
      </c>
      <c r="C426" s="1" t="n">
        <v>45966</v>
      </c>
      <c r="D426" t="inlineStr">
        <is>
          <t>KALMAR LÄN</t>
        </is>
      </c>
      <c r="E426" t="inlineStr">
        <is>
          <t>VIMMERBY</t>
        </is>
      </c>
      <c r="G426" t="n">
        <v>5.7</v>
      </c>
      <c r="H426" t="n">
        <v>0</v>
      </c>
      <c r="I426" t="n">
        <v>0</v>
      </c>
      <c r="J426" t="n">
        <v>0</v>
      </c>
      <c r="K426" t="n">
        <v>0</v>
      </c>
      <c r="L426" t="n">
        <v>0</v>
      </c>
      <c r="M426" t="n">
        <v>0</v>
      </c>
      <c r="N426" t="n">
        <v>0</v>
      </c>
      <c r="O426" t="n">
        <v>0</v>
      </c>
      <c r="P426" t="n">
        <v>0</v>
      </c>
      <c r="Q426" t="n">
        <v>0</v>
      </c>
      <c r="R426" s="2" t="inlineStr"/>
    </row>
    <row r="427" ht="15" customHeight="1">
      <c r="A427" t="inlineStr">
        <is>
          <t>A 29350-2023</t>
        </is>
      </c>
      <c r="B427" s="1" t="n">
        <v>45106</v>
      </c>
      <c r="C427" s="1" t="n">
        <v>45966</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14855-2025</t>
        </is>
      </c>
      <c r="B428" s="1" t="n">
        <v>45743.41148148148</v>
      </c>
      <c r="C428" s="1" t="n">
        <v>45966</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29020-2024</t>
        </is>
      </c>
      <c r="B429" s="1" t="n">
        <v>45481.58048611111</v>
      </c>
      <c r="C429" s="1" t="n">
        <v>45966</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43601-2024</t>
        </is>
      </c>
      <c r="B430" s="1" t="n">
        <v>45569.44684027778</v>
      </c>
      <c r="C430" s="1" t="n">
        <v>45966</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30406-2023</t>
        </is>
      </c>
      <c r="B431" s="1" t="n">
        <v>45111.48787037037</v>
      </c>
      <c r="C431" s="1" t="n">
        <v>45966</v>
      </c>
      <c r="D431" t="inlineStr">
        <is>
          <t>KALMAR LÄN</t>
        </is>
      </c>
      <c r="E431" t="inlineStr">
        <is>
          <t>VIMMERBY</t>
        </is>
      </c>
      <c r="G431" t="n">
        <v>2.4</v>
      </c>
      <c r="H431" t="n">
        <v>0</v>
      </c>
      <c r="I431" t="n">
        <v>0</v>
      </c>
      <c r="J431" t="n">
        <v>0</v>
      </c>
      <c r="K431" t="n">
        <v>0</v>
      </c>
      <c r="L431" t="n">
        <v>0</v>
      </c>
      <c r="M431" t="n">
        <v>0</v>
      </c>
      <c r="N431" t="n">
        <v>0</v>
      </c>
      <c r="O431" t="n">
        <v>0</v>
      </c>
      <c r="P431" t="n">
        <v>0</v>
      </c>
      <c r="Q431" t="n">
        <v>0</v>
      </c>
      <c r="R431" s="2" t="inlineStr"/>
    </row>
    <row r="432" ht="15" customHeight="1">
      <c r="A432" t="inlineStr">
        <is>
          <t>A 13817-2024</t>
        </is>
      </c>
      <c r="B432" s="1" t="n">
        <v>45391.41976851852</v>
      </c>
      <c r="C432" s="1" t="n">
        <v>45966</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35913-2023</t>
        </is>
      </c>
      <c r="B433" s="1" t="n">
        <v>45148</v>
      </c>
      <c r="C433" s="1" t="n">
        <v>45966</v>
      </c>
      <c r="D433" t="inlineStr">
        <is>
          <t>KALMAR LÄN</t>
        </is>
      </c>
      <c r="E433" t="inlineStr">
        <is>
          <t>VIMMERBY</t>
        </is>
      </c>
      <c r="G433" t="n">
        <v>6.9</v>
      </c>
      <c r="H433" t="n">
        <v>0</v>
      </c>
      <c r="I433" t="n">
        <v>0</v>
      </c>
      <c r="J433" t="n">
        <v>0</v>
      </c>
      <c r="K433" t="n">
        <v>0</v>
      </c>
      <c r="L433" t="n">
        <v>0</v>
      </c>
      <c r="M433" t="n">
        <v>0</v>
      </c>
      <c r="N433" t="n">
        <v>0</v>
      </c>
      <c r="O433" t="n">
        <v>0</v>
      </c>
      <c r="P433" t="n">
        <v>0</v>
      </c>
      <c r="Q433" t="n">
        <v>0</v>
      </c>
      <c r="R433" s="2" t="inlineStr"/>
    </row>
    <row r="434" ht="15" customHeight="1">
      <c r="A434" t="inlineStr">
        <is>
          <t>A 43465-2025</t>
        </is>
      </c>
      <c r="B434" s="1" t="n">
        <v>45911.47138888889</v>
      </c>
      <c r="C434" s="1" t="n">
        <v>45966</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9624-2024</t>
        </is>
      </c>
      <c r="B435" s="1" t="n">
        <v>45361.90282407407</v>
      </c>
      <c r="C435" s="1" t="n">
        <v>45966</v>
      </c>
      <c r="D435" t="inlineStr">
        <is>
          <t>KALMAR LÄN</t>
        </is>
      </c>
      <c r="E435" t="inlineStr">
        <is>
          <t>VIMMERBY</t>
        </is>
      </c>
      <c r="G435" t="n">
        <v>3.8</v>
      </c>
      <c r="H435" t="n">
        <v>0</v>
      </c>
      <c r="I435" t="n">
        <v>0</v>
      </c>
      <c r="J435" t="n">
        <v>0</v>
      </c>
      <c r="K435" t="n">
        <v>0</v>
      </c>
      <c r="L435" t="n">
        <v>0</v>
      </c>
      <c r="M435" t="n">
        <v>0</v>
      </c>
      <c r="N435" t="n">
        <v>0</v>
      </c>
      <c r="O435" t="n">
        <v>0</v>
      </c>
      <c r="P435" t="n">
        <v>0</v>
      </c>
      <c r="Q435" t="n">
        <v>0</v>
      </c>
      <c r="R435" s="2" t="inlineStr"/>
    </row>
    <row r="436" ht="15" customHeight="1">
      <c r="A436" t="inlineStr">
        <is>
          <t>A 3938-2023</t>
        </is>
      </c>
      <c r="B436" s="1" t="n">
        <v>44952.35775462963</v>
      </c>
      <c r="C436" s="1" t="n">
        <v>45966</v>
      </c>
      <c r="D436" t="inlineStr">
        <is>
          <t>KALMAR LÄN</t>
        </is>
      </c>
      <c r="E436" t="inlineStr">
        <is>
          <t>VIMMERBY</t>
        </is>
      </c>
      <c r="G436" t="n">
        <v>0.9</v>
      </c>
      <c r="H436" t="n">
        <v>0</v>
      </c>
      <c r="I436" t="n">
        <v>0</v>
      </c>
      <c r="J436" t="n">
        <v>0</v>
      </c>
      <c r="K436" t="n">
        <v>0</v>
      </c>
      <c r="L436" t="n">
        <v>0</v>
      </c>
      <c r="M436" t="n">
        <v>0</v>
      </c>
      <c r="N436" t="n">
        <v>0</v>
      </c>
      <c r="O436" t="n">
        <v>0</v>
      </c>
      <c r="P436" t="n">
        <v>0</v>
      </c>
      <c r="Q436" t="n">
        <v>0</v>
      </c>
      <c r="R436" s="2" t="inlineStr"/>
    </row>
    <row r="437" ht="15" customHeight="1">
      <c r="A437" t="inlineStr">
        <is>
          <t>A 39053-2024</t>
        </is>
      </c>
      <c r="B437" s="1" t="n">
        <v>45548</v>
      </c>
      <c r="C437" s="1" t="n">
        <v>45966</v>
      </c>
      <c r="D437" t="inlineStr">
        <is>
          <t>KALMAR LÄN</t>
        </is>
      </c>
      <c r="E437" t="inlineStr">
        <is>
          <t>VIMMERBY</t>
        </is>
      </c>
      <c r="G437" t="n">
        <v>5</v>
      </c>
      <c r="H437" t="n">
        <v>0</v>
      </c>
      <c r="I437" t="n">
        <v>0</v>
      </c>
      <c r="J437" t="n">
        <v>0</v>
      </c>
      <c r="K437" t="n">
        <v>0</v>
      </c>
      <c r="L437" t="n">
        <v>0</v>
      </c>
      <c r="M437" t="n">
        <v>0</v>
      </c>
      <c r="N437" t="n">
        <v>0</v>
      </c>
      <c r="O437" t="n">
        <v>0</v>
      </c>
      <c r="P437" t="n">
        <v>0</v>
      </c>
      <c r="Q437" t="n">
        <v>0</v>
      </c>
      <c r="R437" s="2" t="inlineStr"/>
    </row>
    <row r="438" ht="15" customHeight="1">
      <c r="A438" t="inlineStr">
        <is>
          <t>A 51990-2025</t>
        </is>
      </c>
      <c r="B438" s="1" t="n">
        <v>45952.58061342593</v>
      </c>
      <c r="C438" s="1" t="n">
        <v>45966</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14451-2024</t>
        </is>
      </c>
      <c r="B439" s="1" t="n">
        <v>45394.50028935185</v>
      </c>
      <c r="C439" s="1" t="n">
        <v>45966</v>
      </c>
      <c r="D439" t="inlineStr">
        <is>
          <t>KALMAR LÄN</t>
        </is>
      </c>
      <c r="E439" t="inlineStr">
        <is>
          <t>VIMMERBY</t>
        </is>
      </c>
      <c r="G439" t="n">
        <v>1.9</v>
      </c>
      <c r="H439" t="n">
        <v>0</v>
      </c>
      <c r="I439" t="n">
        <v>0</v>
      </c>
      <c r="J439" t="n">
        <v>0</v>
      </c>
      <c r="K439" t="n">
        <v>0</v>
      </c>
      <c r="L439" t="n">
        <v>0</v>
      </c>
      <c r="M439" t="n">
        <v>0</v>
      </c>
      <c r="N439" t="n">
        <v>0</v>
      </c>
      <c r="O439" t="n">
        <v>0</v>
      </c>
      <c r="P439" t="n">
        <v>0</v>
      </c>
      <c r="Q439" t="n">
        <v>0</v>
      </c>
      <c r="R439" s="2" t="inlineStr"/>
    </row>
    <row r="440" ht="15" customHeight="1">
      <c r="A440" t="inlineStr">
        <is>
          <t>A 43617-2025</t>
        </is>
      </c>
      <c r="B440" s="1" t="n">
        <v>45911.67798611111</v>
      </c>
      <c r="C440" s="1" t="n">
        <v>45966</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34205-2023</t>
        </is>
      </c>
      <c r="B441" s="1" t="n">
        <v>45138</v>
      </c>
      <c r="C441" s="1" t="n">
        <v>45966</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51993-2025</t>
        </is>
      </c>
      <c r="B442" s="1" t="n">
        <v>45952.58194444444</v>
      </c>
      <c r="C442" s="1" t="n">
        <v>45966</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3268-2024</t>
        </is>
      </c>
      <c r="B443" s="1" t="n">
        <v>45317</v>
      </c>
      <c r="C443" s="1" t="n">
        <v>45966</v>
      </c>
      <c r="D443" t="inlineStr">
        <is>
          <t>KALMAR LÄN</t>
        </is>
      </c>
      <c r="E443" t="inlineStr">
        <is>
          <t>VIMMERBY</t>
        </is>
      </c>
      <c r="F443" t="inlineStr">
        <is>
          <t>Övriga Aktiebolag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44095-2025</t>
        </is>
      </c>
      <c r="B444" s="1" t="n">
        <v>45915.56430555556</v>
      </c>
      <c r="C444" s="1" t="n">
        <v>45966</v>
      </c>
      <c r="D444" t="inlineStr">
        <is>
          <t>KALMAR LÄN</t>
        </is>
      </c>
      <c r="E444" t="inlineStr">
        <is>
          <t>VIMMERBY</t>
        </is>
      </c>
      <c r="G444" t="n">
        <v>2.4</v>
      </c>
      <c r="H444" t="n">
        <v>0</v>
      </c>
      <c r="I444" t="n">
        <v>0</v>
      </c>
      <c r="J444" t="n">
        <v>0</v>
      </c>
      <c r="K444" t="n">
        <v>0</v>
      </c>
      <c r="L444" t="n">
        <v>0</v>
      </c>
      <c r="M444" t="n">
        <v>0</v>
      </c>
      <c r="N444" t="n">
        <v>0</v>
      </c>
      <c r="O444" t="n">
        <v>0</v>
      </c>
      <c r="P444" t="n">
        <v>0</v>
      </c>
      <c r="Q444" t="n">
        <v>0</v>
      </c>
      <c r="R444" s="2" t="inlineStr"/>
    </row>
    <row r="445" ht="15" customHeight="1">
      <c r="A445" t="inlineStr">
        <is>
          <t>A 52451-2025</t>
        </is>
      </c>
      <c r="B445" s="1" t="n">
        <v>45954.42326388889</v>
      </c>
      <c r="C445" s="1" t="n">
        <v>45966</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12819-2024</t>
        </is>
      </c>
      <c r="B446" s="1" t="n">
        <v>45384.66917824074</v>
      </c>
      <c r="C446" s="1" t="n">
        <v>45966</v>
      </c>
      <c r="D446" t="inlineStr">
        <is>
          <t>KALMAR LÄN</t>
        </is>
      </c>
      <c r="E446" t="inlineStr">
        <is>
          <t>VIMMERBY</t>
        </is>
      </c>
      <c r="G446" t="n">
        <v>5.1</v>
      </c>
      <c r="H446" t="n">
        <v>0</v>
      </c>
      <c r="I446" t="n">
        <v>0</v>
      </c>
      <c r="J446" t="n">
        <v>0</v>
      </c>
      <c r="K446" t="n">
        <v>0</v>
      </c>
      <c r="L446" t="n">
        <v>0</v>
      </c>
      <c r="M446" t="n">
        <v>0</v>
      </c>
      <c r="N446" t="n">
        <v>0</v>
      </c>
      <c r="O446" t="n">
        <v>0</v>
      </c>
      <c r="P446" t="n">
        <v>0</v>
      </c>
      <c r="Q446" t="n">
        <v>0</v>
      </c>
      <c r="R446" s="2" t="inlineStr"/>
    </row>
    <row r="447" ht="15" customHeight="1">
      <c r="A447" t="inlineStr">
        <is>
          <t>A 6214-2025</t>
        </is>
      </c>
      <c r="B447" s="1" t="n">
        <v>45698.51711805556</v>
      </c>
      <c r="C447" s="1" t="n">
        <v>45966</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32569-2024</t>
        </is>
      </c>
      <c r="B448" s="1" t="n">
        <v>45513.55840277778</v>
      </c>
      <c r="C448" s="1" t="n">
        <v>45966</v>
      </c>
      <c r="D448" t="inlineStr">
        <is>
          <t>KALMAR LÄN</t>
        </is>
      </c>
      <c r="E448" t="inlineStr">
        <is>
          <t>VIMMERBY</t>
        </is>
      </c>
      <c r="G448" t="n">
        <v>3.7</v>
      </c>
      <c r="H448" t="n">
        <v>0</v>
      </c>
      <c r="I448" t="n">
        <v>0</v>
      </c>
      <c r="J448" t="n">
        <v>0</v>
      </c>
      <c r="K448" t="n">
        <v>0</v>
      </c>
      <c r="L448" t="n">
        <v>0</v>
      </c>
      <c r="M448" t="n">
        <v>0</v>
      </c>
      <c r="N448" t="n">
        <v>0</v>
      </c>
      <c r="O448" t="n">
        <v>0</v>
      </c>
      <c r="P448" t="n">
        <v>0</v>
      </c>
      <c r="Q448" t="n">
        <v>0</v>
      </c>
      <c r="R448" s="2" t="inlineStr"/>
    </row>
    <row r="449" ht="15" customHeight="1">
      <c r="A449" t="inlineStr">
        <is>
          <t>A 32575-2024</t>
        </is>
      </c>
      <c r="B449" s="1" t="n">
        <v>45513.56527777778</v>
      </c>
      <c r="C449" s="1" t="n">
        <v>45966</v>
      </c>
      <c r="D449" t="inlineStr">
        <is>
          <t>KALMAR LÄN</t>
        </is>
      </c>
      <c r="E449" t="inlineStr">
        <is>
          <t>VIMMERBY</t>
        </is>
      </c>
      <c r="G449" t="n">
        <v>1.5</v>
      </c>
      <c r="H449" t="n">
        <v>0</v>
      </c>
      <c r="I449" t="n">
        <v>0</v>
      </c>
      <c r="J449" t="n">
        <v>0</v>
      </c>
      <c r="K449" t="n">
        <v>0</v>
      </c>
      <c r="L449" t="n">
        <v>0</v>
      </c>
      <c r="M449" t="n">
        <v>0</v>
      </c>
      <c r="N449" t="n">
        <v>0</v>
      </c>
      <c r="O449" t="n">
        <v>0</v>
      </c>
      <c r="P449" t="n">
        <v>0</v>
      </c>
      <c r="Q449" t="n">
        <v>0</v>
      </c>
      <c r="R449" s="2" t="inlineStr"/>
    </row>
    <row r="450" ht="15" customHeight="1">
      <c r="A450" t="inlineStr">
        <is>
          <t>A 31382-2023</t>
        </is>
      </c>
      <c r="B450" s="1" t="n">
        <v>45114.55136574074</v>
      </c>
      <c r="C450" s="1" t="n">
        <v>45966</v>
      </c>
      <c r="D450" t="inlineStr">
        <is>
          <t>KALMAR LÄN</t>
        </is>
      </c>
      <c r="E450" t="inlineStr">
        <is>
          <t>VIMMERBY</t>
        </is>
      </c>
      <c r="G450" t="n">
        <v>3.7</v>
      </c>
      <c r="H450" t="n">
        <v>0</v>
      </c>
      <c r="I450" t="n">
        <v>0</v>
      </c>
      <c r="J450" t="n">
        <v>0</v>
      </c>
      <c r="K450" t="n">
        <v>0</v>
      </c>
      <c r="L450" t="n">
        <v>0</v>
      </c>
      <c r="M450" t="n">
        <v>0</v>
      </c>
      <c r="N450" t="n">
        <v>0</v>
      </c>
      <c r="O450" t="n">
        <v>0</v>
      </c>
      <c r="P450" t="n">
        <v>0</v>
      </c>
      <c r="Q450" t="n">
        <v>0</v>
      </c>
      <c r="R450" s="2" t="inlineStr"/>
    </row>
    <row r="451" ht="15" customHeight="1">
      <c r="A451" t="inlineStr">
        <is>
          <t>A 52473-2025</t>
        </is>
      </c>
      <c r="B451" s="1" t="n">
        <v>45954.45947916667</v>
      </c>
      <c r="C451" s="1" t="n">
        <v>45966</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52480-2025</t>
        </is>
      </c>
      <c r="B452" s="1" t="n">
        <v>45954.47172453703</v>
      </c>
      <c r="C452" s="1" t="n">
        <v>45966</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44091-2025</t>
        </is>
      </c>
      <c r="B453" s="1" t="n">
        <v>45915.55950231481</v>
      </c>
      <c r="C453" s="1" t="n">
        <v>45966</v>
      </c>
      <c r="D453" t="inlineStr">
        <is>
          <t>KALMAR LÄN</t>
        </is>
      </c>
      <c r="E453" t="inlineStr">
        <is>
          <t>VIMMERBY</t>
        </is>
      </c>
      <c r="G453" t="n">
        <v>0.8</v>
      </c>
      <c r="H453" t="n">
        <v>0</v>
      </c>
      <c r="I453" t="n">
        <v>0</v>
      </c>
      <c r="J453" t="n">
        <v>0</v>
      </c>
      <c r="K453" t="n">
        <v>0</v>
      </c>
      <c r="L453" t="n">
        <v>0</v>
      </c>
      <c r="M453" t="n">
        <v>0</v>
      </c>
      <c r="N453" t="n">
        <v>0</v>
      </c>
      <c r="O453" t="n">
        <v>0</v>
      </c>
      <c r="P453" t="n">
        <v>0</v>
      </c>
      <c r="Q453" t="n">
        <v>0</v>
      </c>
      <c r="R453" s="2" t="inlineStr"/>
    </row>
    <row r="454" ht="15" customHeight="1">
      <c r="A454" t="inlineStr">
        <is>
          <t>A 52466-2025</t>
        </is>
      </c>
      <c r="B454" s="1" t="n">
        <v>45954.44707175926</v>
      </c>
      <c r="C454" s="1" t="n">
        <v>45966</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56213-2024</t>
        </is>
      </c>
      <c r="B455" s="1" t="n">
        <v>45624.60141203704</v>
      </c>
      <c r="C455" s="1" t="n">
        <v>45966</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59300-2024</t>
        </is>
      </c>
      <c r="B456" s="1" t="n">
        <v>45637.66542824074</v>
      </c>
      <c r="C456" s="1" t="n">
        <v>45966</v>
      </c>
      <c r="D456" t="inlineStr">
        <is>
          <t>KALMAR LÄN</t>
        </is>
      </c>
      <c r="E456" t="inlineStr">
        <is>
          <t>VIMMERBY</t>
        </is>
      </c>
      <c r="G456" t="n">
        <v>0.8</v>
      </c>
      <c r="H456" t="n">
        <v>0</v>
      </c>
      <c r="I456" t="n">
        <v>0</v>
      </c>
      <c r="J456" t="n">
        <v>0</v>
      </c>
      <c r="K456" t="n">
        <v>0</v>
      </c>
      <c r="L456" t="n">
        <v>0</v>
      </c>
      <c r="M456" t="n">
        <v>0</v>
      </c>
      <c r="N456" t="n">
        <v>0</v>
      </c>
      <c r="O456" t="n">
        <v>0</v>
      </c>
      <c r="P456" t="n">
        <v>0</v>
      </c>
      <c r="Q456" t="n">
        <v>0</v>
      </c>
      <c r="R456" s="2" t="inlineStr"/>
    </row>
    <row r="457" ht="15" customHeight="1">
      <c r="A457" t="inlineStr">
        <is>
          <t>A 52475-2025</t>
        </is>
      </c>
      <c r="B457" s="1" t="n">
        <v>45954.468125</v>
      </c>
      <c r="C457" s="1" t="n">
        <v>45966</v>
      </c>
      <c r="D457" t="inlineStr">
        <is>
          <t>KALMAR LÄN</t>
        </is>
      </c>
      <c r="E457" t="inlineStr">
        <is>
          <t>VIMMERBY</t>
        </is>
      </c>
      <c r="G457" t="n">
        <v>1.5</v>
      </c>
      <c r="H457" t="n">
        <v>0</v>
      </c>
      <c r="I457" t="n">
        <v>0</v>
      </c>
      <c r="J457" t="n">
        <v>0</v>
      </c>
      <c r="K457" t="n">
        <v>0</v>
      </c>
      <c r="L457" t="n">
        <v>0</v>
      </c>
      <c r="M457" t="n">
        <v>0</v>
      </c>
      <c r="N457" t="n">
        <v>0</v>
      </c>
      <c r="O457" t="n">
        <v>0</v>
      </c>
      <c r="P457" t="n">
        <v>0</v>
      </c>
      <c r="Q457" t="n">
        <v>0</v>
      </c>
      <c r="R457" s="2" t="inlineStr"/>
    </row>
    <row r="458" ht="15" customHeight="1">
      <c r="A458" t="inlineStr">
        <is>
          <t>A 59768-2024</t>
        </is>
      </c>
      <c r="B458" s="1" t="n">
        <v>45639.56185185185</v>
      </c>
      <c r="C458" s="1" t="n">
        <v>45966</v>
      </c>
      <c r="D458" t="inlineStr">
        <is>
          <t>KALMAR LÄN</t>
        </is>
      </c>
      <c r="E458" t="inlineStr">
        <is>
          <t>VIMMERBY</t>
        </is>
      </c>
      <c r="G458" t="n">
        <v>5.9</v>
      </c>
      <c r="H458" t="n">
        <v>0</v>
      </c>
      <c r="I458" t="n">
        <v>0</v>
      </c>
      <c r="J458" t="n">
        <v>0</v>
      </c>
      <c r="K458" t="n">
        <v>0</v>
      </c>
      <c r="L458" t="n">
        <v>0</v>
      </c>
      <c r="M458" t="n">
        <v>0</v>
      </c>
      <c r="N458" t="n">
        <v>0</v>
      </c>
      <c r="O458" t="n">
        <v>0</v>
      </c>
      <c r="P458" t="n">
        <v>0</v>
      </c>
      <c r="Q458" t="n">
        <v>0</v>
      </c>
      <c r="R458" s="2" t="inlineStr"/>
    </row>
    <row r="459" ht="15" customHeight="1">
      <c r="A459" t="inlineStr">
        <is>
          <t>A 36526-2023</t>
        </is>
      </c>
      <c r="B459" s="1" t="n">
        <v>45153.32778935185</v>
      </c>
      <c r="C459" s="1" t="n">
        <v>45966</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52465-2025</t>
        </is>
      </c>
      <c r="B460" s="1" t="n">
        <v>45954.44543981482</v>
      </c>
      <c r="C460" s="1" t="n">
        <v>45966</v>
      </c>
      <c r="D460" t="inlineStr">
        <is>
          <t>KALMAR LÄN</t>
        </is>
      </c>
      <c r="E460" t="inlineStr">
        <is>
          <t>VIMMERBY</t>
        </is>
      </c>
      <c r="G460" t="n">
        <v>0.9</v>
      </c>
      <c r="H460" t="n">
        <v>0</v>
      </c>
      <c r="I460" t="n">
        <v>0</v>
      </c>
      <c r="J460" t="n">
        <v>0</v>
      </c>
      <c r="K460" t="n">
        <v>0</v>
      </c>
      <c r="L460" t="n">
        <v>0</v>
      </c>
      <c r="M460" t="n">
        <v>0</v>
      </c>
      <c r="N460" t="n">
        <v>0</v>
      </c>
      <c r="O460" t="n">
        <v>0</v>
      </c>
      <c r="P460" t="n">
        <v>0</v>
      </c>
      <c r="Q460" t="n">
        <v>0</v>
      </c>
      <c r="R460" s="2" t="inlineStr"/>
    </row>
    <row r="461" ht="15" customHeight="1">
      <c r="A461" t="inlineStr">
        <is>
          <t>A 54409-2024</t>
        </is>
      </c>
      <c r="B461" s="1" t="n">
        <v>45617.47570601852</v>
      </c>
      <c r="C461" s="1" t="n">
        <v>45966</v>
      </c>
      <c r="D461" t="inlineStr">
        <is>
          <t>KALMAR LÄN</t>
        </is>
      </c>
      <c r="E461" t="inlineStr">
        <is>
          <t>VIMMERBY</t>
        </is>
      </c>
      <c r="G461" t="n">
        <v>4.3</v>
      </c>
      <c r="H461" t="n">
        <v>0</v>
      </c>
      <c r="I461" t="n">
        <v>0</v>
      </c>
      <c r="J461" t="n">
        <v>0</v>
      </c>
      <c r="K461" t="n">
        <v>0</v>
      </c>
      <c r="L461" t="n">
        <v>0</v>
      </c>
      <c r="M461" t="n">
        <v>0</v>
      </c>
      <c r="N461" t="n">
        <v>0</v>
      </c>
      <c r="O461" t="n">
        <v>0</v>
      </c>
      <c r="P461" t="n">
        <v>0</v>
      </c>
      <c r="Q461" t="n">
        <v>0</v>
      </c>
      <c r="R461" s="2" t="inlineStr"/>
    </row>
    <row r="462" ht="15" customHeight="1">
      <c r="A462" t="inlineStr">
        <is>
          <t>A 22399-2025</t>
        </is>
      </c>
      <c r="B462" s="1" t="n">
        <v>45786.52996527778</v>
      </c>
      <c r="C462" s="1" t="n">
        <v>45966</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52516-2025</t>
        </is>
      </c>
      <c r="B463" s="1" t="n">
        <v>45954.51412037037</v>
      </c>
      <c r="C463" s="1" t="n">
        <v>45966</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22397-2025</t>
        </is>
      </c>
      <c r="B464" s="1" t="n">
        <v>45786.52878472222</v>
      </c>
      <c r="C464" s="1" t="n">
        <v>45966</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25582-2024</t>
        </is>
      </c>
      <c r="B465" s="1" t="n">
        <v>45463</v>
      </c>
      <c r="C465" s="1" t="n">
        <v>45966</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58728-2024</t>
        </is>
      </c>
      <c r="B466" s="1" t="n">
        <v>45635.66695601852</v>
      </c>
      <c r="C466" s="1" t="n">
        <v>45966</v>
      </c>
      <c r="D466" t="inlineStr">
        <is>
          <t>KALMAR LÄN</t>
        </is>
      </c>
      <c r="E466" t="inlineStr">
        <is>
          <t>VIMMERBY</t>
        </is>
      </c>
      <c r="G466" t="n">
        <v>0.4</v>
      </c>
      <c r="H466" t="n">
        <v>0</v>
      </c>
      <c r="I466" t="n">
        <v>0</v>
      </c>
      <c r="J466" t="n">
        <v>0</v>
      </c>
      <c r="K466" t="n">
        <v>0</v>
      </c>
      <c r="L466" t="n">
        <v>0</v>
      </c>
      <c r="M466" t="n">
        <v>0</v>
      </c>
      <c r="N466" t="n">
        <v>0</v>
      </c>
      <c r="O466" t="n">
        <v>0</v>
      </c>
      <c r="P466" t="n">
        <v>0</v>
      </c>
      <c r="Q466" t="n">
        <v>0</v>
      </c>
      <c r="R466" s="2" t="inlineStr"/>
    </row>
    <row r="467" ht="15" customHeight="1">
      <c r="A467" t="inlineStr">
        <is>
          <t>A 49474-2023</t>
        </is>
      </c>
      <c r="B467" s="1" t="n">
        <v>45211.541875</v>
      </c>
      <c r="C467" s="1" t="n">
        <v>45966</v>
      </c>
      <c r="D467" t="inlineStr">
        <is>
          <t>KALMAR LÄN</t>
        </is>
      </c>
      <c r="E467" t="inlineStr">
        <is>
          <t>VIMMERBY</t>
        </is>
      </c>
      <c r="G467" t="n">
        <v>3.6</v>
      </c>
      <c r="H467" t="n">
        <v>0</v>
      </c>
      <c r="I467" t="n">
        <v>0</v>
      </c>
      <c r="J467" t="n">
        <v>0</v>
      </c>
      <c r="K467" t="n">
        <v>0</v>
      </c>
      <c r="L467" t="n">
        <v>0</v>
      </c>
      <c r="M467" t="n">
        <v>0</v>
      </c>
      <c r="N467" t="n">
        <v>0</v>
      </c>
      <c r="O467" t="n">
        <v>0</v>
      </c>
      <c r="P467" t="n">
        <v>0</v>
      </c>
      <c r="Q467" t="n">
        <v>0</v>
      </c>
      <c r="R467" s="2" t="inlineStr"/>
    </row>
    <row r="468" ht="15" customHeight="1">
      <c r="A468" t="inlineStr">
        <is>
          <t>A 57682-2022</t>
        </is>
      </c>
      <c r="B468" s="1" t="n">
        <v>44890</v>
      </c>
      <c r="C468" s="1" t="n">
        <v>45966</v>
      </c>
      <c r="D468" t="inlineStr">
        <is>
          <t>KALMAR LÄN</t>
        </is>
      </c>
      <c r="E468" t="inlineStr">
        <is>
          <t>VIMMERBY</t>
        </is>
      </c>
      <c r="G468" t="n">
        <v>1.5</v>
      </c>
      <c r="H468" t="n">
        <v>0</v>
      </c>
      <c r="I468" t="n">
        <v>0</v>
      </c>
      <c r="J468" t="n">
        <v>0</v>
      </c>
      <c r="K468" t="n">
        <v>0</v>
      </c>
      <c r="L468" t="n">
        <v>0</v>
      </c>
      <c r="M468" t="n">
        <v>0</v>
      </c>
      <c r="N468" t="n">
        <v>0</v>
      </c>
      <c r="O468" t="n">
        <v>0</v>
      </c>
      <c r="P468" t="n">
        <v>0</v>
      </c>
      <c r="Q468" t="n">
        <v>0</v>
      </c>
      <c r="R468" s="2" t="inlineStr"/>
    </row>
    <row r="469" ht="15" customHeight="1">
      <c r="A469" t="inlineStr">
        <is>
          <t>A 14220-2021</t>
        </is>
      </c>
      <c r="B469" s="1" t="n">
        <v>44278.54855324074</v>
      </c>
      <c r="C469" s="1" t="n">
        <v>45966</v>
      </c>
      <c r="D469" t="inlineStr">
        <is>
          <t>KALMAR LÄN</t>
        </is>
      </c>
      <c r="E469" t="inlineStr">
        <is>
          <t>VIMMERBY</t>
        </is>
      </c>
      <c r="G469" t="n">
        <v>0.3</v>
      </c>
      <c r="H469" t="n">
        <v>0</v>
      </c>
      <c r="I469" t="n">
        <v>0</v>
      </c>
      <c r="J469" t="n">
        <v>0</v>
      </c>
      <c r="K469" t="n">
        <v>0</v>
      </c>
      <c r="L469" t="n">
        <v>0</v>
      </c>
      <c r="M469" t="n">
        <v>0</v>
      </c>
      <c r="N469" t="n">
        <v>0</v>
      </c>
      <c r="O469" t="n">
        <v>0</v>
      </c>
      <c r="P469" t="n">
        <v>0</v>
      </c>
      <c r="Q469" t="n">
        <v>0</v>
      </c>
      <c r="R469" s="2" t="inlineStr"/>
    </row>
    <row r="470" ht="15" customHeight="1">
      <c r="A470" t="inlineStr">
        <is>
          <t>A 57578-2024</t>
        </is>
      </c>
      <c r="B470" s="1" t="n">
        <v>45630.47564814815</v>
      </c>
      <c r="C470" s="1" t="n">
        <v>45966</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63950-2023</t>
        </is>
      </c>
      <c r="B471" s="1" t="n">
        <v>45278</v>
      </c>
      <c r="C471" s="1" t="n">
        <v>45966</v>
      </c>
      <c r="D471" t="inlineStr">
        <is>
          <t>KALMAR LÄN</t>
        </is>
      </c>
      <c r="E471" t="inlineStr">
        <is>
          <t>VIMMERBY</t>
        </is>
      </c>
      <c r="F471" t="inlineStr">
        <is>
          <t>Kyrkan</t>
        </is>
      </c>
      <c r="G471" t="n">
        <v>2.7</v>
      </c>
      <c r="H471" t="n">
        <v>0</v>
      </c>
      <c r="I471" t="n">
        <v>0</v>
      </c>
      <c r="J471" t="n">
        <v>0</v>
      </c>
      <c r="K471" t="n">
        <v>0</v>
      </c>
      <c r="L471" t="n">
        <v>0</v>
      </c>
      <c r="M471" t="n">
        <v>0</v>
      </c>
      <c r="N471" t="n">
        <v>0</v>
      </c>
      <c r="O471" t="n">
        <v>0</v>
      </c>
      <c r="P471" t="n">
        <v>0</v>
      </c>
      <c r="Q471" t="n">
        <v>0</v>
      </c>
      <c r="R471" s="2" t="inlineStr"/>
    </row>
    <row r="472" ht="15" customHeight="1">
      <c r="A472" t="inlineStr">
        <is>
          <t>A 53393-2025</t>
        </is>
      </c>
      <c r="B472" s="1" t="n">
        <v>45959.55284722222</v>
      </c>
      <c r="C472" s="1" t="n">
        <v>45966</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53398-2025</t>
        </is>
      </c>
      <c r="B473" s="1" t="n">
        <v>45959.56247685185</v>
      </c>
      <c r="C473" s="1" t="n">
        <v>45966</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53400-2025</t>
        </is>
      </c>
      <c r="B474" s="1" t="n">
        <v>45959.56684027778</v>
      </c>
      <c r="C474" s="1" t="n">
        <v>45966</v>
      </c>
      <c r="D474" t="inlineStr">
        <is>
          <t>KALMAR LÄN</t>
        </is>
      </c>
      <c r="E474" t="inlineStr">
        <is>
          <t>VIMMERBY</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6307-2025</t>
        </is>
      </c>
      <c r="B475" s="1" t="n">
        <v>45698.69016203703</v>
      </c>
      <c r="C475" s="1" t="n">
        <v>45966</v>
      </c>
      <c r="D475" t="inlineStr">
        <is>
          <t>KALMAR LÄN</t>
        </is>
      </c>
      <c r="E475" t="inlineStr">
        <is>
          <t>VIMMERBY</t>
        </is>
      </c>
      <c r="G475" t="n">
        <v>3</v>
      </c>
      <c r="H475" t="n">
        <v>0</v>
      </c>
      <c r="I475" t="n">
        <v>0</v>
      </c>
      <c r="J475" t="n">
        <v>0</v>
      </c>
      <c r="K475" t="n">
        <v>0</v>
      </c>
      <c r="L475" t="n">
        <v>0</v>
      </c>
      <c r="M475" t="n">
        <v>0</v>
      </c>
      <c r="N475" t="n">
        <v>0</v>
      </c>
      <c r="O475" t="n">
        <v>0</v>
      </c>
      <c r="P475" t="n">
        <v>0</v>
      </c>
      <c r="Q475" t="n">
        <v>0</v>
      </c>
      <c r="R475" s="2" t="inlineStr"/>
    </row>
    <row r="476" ht="15" customHeight="1">
      <c r="A476" t="inlineStr">
        <is>
          <t>A 16516-2023</t>
        </is>
      </c>
      <c r="B476" s="1" t="n">
        <v>45029</v>
      </c>
      <c r="C476" s="1" t="n">
        <v>45966</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16825-2024</t>
        </is>
      </c>
      <c r="B477" s="1" t="n">
        <v>45411.47335648148</v>
      </c>
      <c r="C477" s="1" t="n">
        <v>45966</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44517-2025</t>
        </is>
      </c>
      <c r="B478" s="1" t="n">
        <v>45916.7103587963</v>
      </c>
      <c r="C478" s="1" t="n">
        <v>45966</v>
      </c>
      <c r="D478" t="inlineStr">
        <is>
          <t>KALMAR LÄN</t>
        </is>
      </c>
      <c r="E478" t="inlineStr">
        <is>
          <t>VIMMERBY</t>
        </is>
      </c>
      <c r="G478" t="n">
        <v>0.9</v>
      </c>
      <c r="H478" t="n">
        <v>0</v>
      </c>
      <c r="I478" t="n">
        <v>0</v>
      </c>
      <c r="J478" t="n">
        <v>0</v>
      </c>
      <c r="K478" t="n">
        <v>0</v>
      </c>
      <c r="L478" t="n">
        <v>0</v>
      </c>
      <c r="M478" t="n">
        <v>0</v>
      </c>
      <c r="N478" t="n">
        <v>0</v>
      </c>
      <c r="O478" t="n">
        <v>0</v>
      </c>
      <c r="P478" t="n">
        <v>0</v>
      </c>
      <c r="Q478" t="n">
        <v>0</v>
      </c>
      <c r="R478" s="2" t="inlineStr"/>
    </row>
    <row r="479" ht="15" customHeight="1">
      <c r="A479" t="inlineStr">
        <is>
          <t>A 47842-2024</t>
        </is>
      </c>
      <c r="B479" s="1" t="n">
        <v>45588.65545138889</v>
      </c>
      <c r="C479" s="1" t="n">
        <v>45966</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11442-2025</t>
        </is>
      </c>
      <c r="B480" s="1" t="n">
        <v>45726.62721064815</v>
      </c>
      <c r="C480" s="1" t="n">
        <v>45966</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44742-2025</t>
        </is>
      </c>
      <c r="B481" s="1" t="n">
        <v>45917.67054398148</v>
      </c>
      <c r="C481" s="1" t="n">
        <v>45966</v>
      </c>
      <c r="D481" t="inlineStr">
        <is>
          <t>KALMAR LÄN</t>
        </is>
      </c>
      <c r="E481" t="inlineStr">
        <is>
          <t>VIMMERBY</t>
        </is>
      </c>
      <c r="G481" t="n">
        <v>4.7</v>
      </c>
      <c r="H481" t="n">
        <v>0</v>
      </c>
      <c r="I481" t="n">
        <v>0</v>
      </c>
      <c r="J481" t="n">
        <v>0</v>
      </c>
      <c r="K481" t="n">
        <v>0</v>
      </c>
      <c r="L481" t="n">
        <v>0</v>
      </c>
      <c r="M481" t="n">
        <v>0</v>
      </c>
      <c r="N481" t="n">
        <v>0</v>
      </c>
      <c r="O481" t="n">
        <v>0</v>
      </c>
      <c r="P481" t="n">
        <v>0</v>
      </c>
      <c r="Q481" t="n">
        <v>0</v>
      </c>
      <c r="R481" s="2" t="inlineStr"/>
    </row>
    <row r="482" ht="15" customHeight="1">
      <c r="A482" t="inlineStr">
        <is>
          <t>A 6408-2025</t>
        </is>
      </c>
      <c r="B482" s="1" t="n">
        <v>45699.45671296296</v>
      </c>
      <c r="C482" s="1" t="n">
        <v>45966</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25109-2023</t>
        </is>
      </c>
      <c r="B483" s="1" t="n">
        <v>45086</v>
      </c>
      <c r="C483" s="1" t="n">
        <v>45966</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33380-2023</t>
        </is>
      </c>
      <c r="B484" s="1" t="n">
        <v>45128</v>
      </c>
      <c r="C484" s="1" t="n">
        <v>45966</v>
      </c>
      <c r="D484" t="inlineStr">
        <is>
          <t>KALMAR LÄN</t>
        </is>
      </c>
      <c r="E484" t="inlineStr">
        <is>
          <t>VIMMERBY</t>
        </is>
      </c>
      <c r="G484" t="n">
        <v>5.2</v>
      </c>
      <c r="H484" t="n">
        <v>0</v>
      </c>
      <c r="I484" t="n">
        <v>0</v>
      </c>
      <c r="J484" t="n">
        <v>0</v>
      </c>
      <c r="K484" t="n">
        <v>0</v>
      </c>
      <c r="L484" t="n">
        <v>0</v>
      </c>
      <c r="M484" t="n">
        <v>0</v>
      </c>
      <c r="N484" t="n">
        <v>0</v>
      </c>
      <c r="O484" t="n">
        <v>0</v>
      </c>
      <c r="P484" t="n">
        <v>0</v>
      </c>
      <c r="Q484" t="n">
        <v>0</v>
      </c>
      <c r="R484" s="2" t="inlineStr"/>
    </row>
    <row r="485" ht="15" customHeight="1">
      <c r="A485" t="inlineStr">
        <is>
          <t>A 44329-2025</t>
        </is>
      </c>
      <c r="B485" s="1" t="n">
        <v>45916.41019675926</v>
      </c>
      <c r="C485" s="1" t="n">
        <v>45966</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41896-2025</t>
        </is>
      </c>
      <c r="B486" s="1" t="n">
        <v>45903.38800925926</v>
      </c>
      <c r="C486" s="1" t="n">
        <v>45966</v>
      </c>
      <c r="D486" t="inlineStr">
        <is>
          <t>KALMAR LÄN</t>
        </is>
      </c>
      <c r="E486" t="inlineStr">
        <is>
          <t>VIMMERBY</t>
        </is>
      </c>
      <c r="G486" t="n">
        <v>2.9</v>
      </c>
      <c r="H486" t="n">
        <v>0</v>
      </c>
      <c r="I486" t="n">
        <v>0</v>
      </c>
      <c r="J486" t="n">
        <v>0</v>
      </c>
      <c r="K486" t="n">
        <v>0</v>
      </c>
      <c r="L486" t="n">
        <v>0</v>
      </c>
      <c r="M486" t="n">
        <v>0</v>
      </c>
      <c r="N486" t="n">
        <v>0</v>
      </c>
      <c r="O486" t="n">
        <v>0</v>
      </c>
      <c r="P486" t="n">
        <v>0</v>
      </c>
      <c r="Q486" t="n">
        <v>0</v>
      </c>
      <c r="R486" s="2" t="inlineStr"/>
    </row>
    <row r="487" ht="15" customHeight="1">
      <c r="A487" t="inlineStr">
        <is>
          <t>A 32639-2023</t>
        </is>
      </c>
      <c r="B487" s="1" t="n">
        <v>45121.5965162037</v>
      </c>
      <c r="C487" s="1" t="n">
        <v>45966</v>
      </c>
      <c r="D487" t="inlineStr">
        <is>
          <t>KALMAR LÄN</t>
        </is>
      </c>
      <c r="E487" t="inlineStr">
        <is>
          <t>VIMMERBY</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32642-2023</t>
        </is>
      </c>
      <c r="B488" s="1" t="n">
        <v>45121.59954861111</v>
      </c>
      <c r="C488" s="1" t="n">
        <v>45966</v>
      </c>
      <c r="D488" t="inlineStr">
        <is>
          <t>KALMAR LÄN</t>
        </is>
      </c>
      <c r="E488" t="inlineStr">
        <is>
          <t>VIMMERBY</t>
        </is>
      </c>
      <c r="F488" t="inlineStr">
        <is>
          <t>Sveaskog</t>
        </is>
      </c>
      <c r="G488" t="n">
        <v>2.1</v>
      </c>
      <c r="H488" t="n">
        <v>0</v>
      </c>
      <c r="I488" t="n">
        <v>0</v>
      </c>
      <c r="J488" t="n">
        <v>0</v>
      </c>
      <c r="K488" t="n">
        <v>0</v>
      </c>
      <c r="L488" t="n">
        <v>0</v>
      </c>
      <c r="M488" t="n">
        <v>0</v>
      </c>
      <c r="N488" t="n">
        <v>0</v>
      </c>
      <c r="O488" t="n">
        <v>0</v>
      </c>
      <c r="P488" t="n">
        <v>0</v>
      </c>
      <c r="Q488" t="n">
        <v>0</v>
      </c>
      <c r="R488" s="2" t="inlineStr"/>
    </row>
    <row r="489" ht="15" customHeight="1">
      <c r="A489" t="inlineStr">
        <is>
          <t>A 32651-2023</t>
        </is>
      </c>
      <c r="B489" s="1" t="n">
        <v>45121.6096875</v>
      </c>
      <c r="C489" s="1" t="n">
        <v>45966</v>
      </c>
      <c r="D489" t="inlineStr">
        <is>
          <t>KALMAR LÄN</t>
        </is>
      </c>
      <c r="E489" t="inlineStr">
        <is>
          <t>VIMMERBY</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53404-2025</t>
        </is>
      </c>
      <c r="B490" s="1" t="n">
        <v>45959.57126157408</v>
      </c>
      <c r="C490" s="1" t="n">
        <v>45966</v>
      </c>
      <c r="D490" t="inlineStr">
        <is>
          <t>KALMAR LÄN</t>
        </is>
      </c>
      <c r="E490" t="inlineStr">
        <is>
          <t>VIMMERBY</t>
        </is>
      </c>
      <c r="G490" t="n">
        <v>6.4</v>
      </c>
      <c r="H490" t="n">
        <v>0</v>
      </c>
      <c r="I490" t="n">
        <v>0</v>
      </c>
      <c r="J490" t="n">
        <v>0</v>
      </c>
      <c r="K490" t="n">
        <v>0</v>
      </c>
      <c r="L490" t="n">
        <v>0</v>
      </c>
      <c r="M490" t="n">
        <v>0</v>
      </c>
      <c r="N490" t="n">
        <v>0</v>
      </c>
      <c r="O490" t="n">
        <v>0</v>
      </c>
      <c r="P490" t="n">
        <v>0</v>
      </c>
      <c r="Q490" t="n">
        <v>0</v>
      </c>
      <c r="R490" s="2" t="inlineStr"/>
    </row>
    <row r="491" ht="15" customHeight="1">
      <c r="A491" t="inlineStr">
        <is>
          <t>A 11928-2022</t>
        </is>
      </c>
      <c r="B491" s="1" t="n">
        <v>44635</v>
      </c>
      <c r="C491" s="1" t="n">
        <v>45966</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53413-2025</t>
        </is>
      </c>
      <c r="B492" s="1" t="n">
        <v>45959.5787037037</v>
      </c>
      <c r="C492" s="1" t="n">
        <v>45966</v>
      </c>
      <c r="D492" t="inlineStr">
        <is>
          <t>KALMAR LÄN</t>
        </is>
      </c>
      <c r="E492" t="inlineStr">
        <is>
          <t>VIMMERBY</t>
        </is>
      </c>
      <c r="G492" t="n">
        <v>4.3</v>
      </c>
      <c r="H492" t="n">
        <v>0</v>
      </c>
      <c r="I492" t="n">
        <v>0</v>
      </c>
      <c r="J492" t="n">
        <v>0</v>
      </c>
      <c r="K492" t="n">
        <v>0</v>
      </c>
      <c r="L492" t="n">
        <v>0</v>
      </c>
      <c r="M492" t="n">
        <v>0</v>
      </c>
      <c r="N492" t="n">
        <v>0</v>
      </c>
      <c r="O492" t="n">
        <v>0</v>
      </c>
      <c r="P492" t="n">
        <v>0</v>
      </c>
      <c r="Q492" t="n">
        <v>0</v>
      </c>
      <c r="R492" s="2" t="inlineStr"/>
    </row>
    <row r="493" ht="15" customHeight="1">
      <c r="A493" t="inlineStr">
        <is>
          <t>A 7643-2022</t>
        </is>
      </c>
      <c r="B493" s="1" t="n">
        <v>44607</v>
      </c>
      <c r="C493" s="1" t="n">
        <v>45966</v>
      </c>
      <c r="D493" t="inlineStr">
        <is>
          <t>KALMAR LÄN</t>
        </is>
      </c>
      <c r="E493" t="inlineStr">
        <is>
          <t>VIMMERBY</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53397-2025</t>
        </is>
      </c>
      <c r="B494" s="1" t="n">
        <v>45959.55918981481</v>
      </c>
      <c r="C494" s="1" t="n">
        <v>45966</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53220-2025</t>
        </is>
      </c>
      <c r="B495" s="1" t="n">
        <v>45958.60146990741</v>
      </c>
      <c r="C495" s="1" t="n">
        <v>45966</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53396-2025</t>
        </is>
      </c>
      <c r="B496" s="1" t="n">
        <v>45959.55577546296</v>
      </c>
      <c r="C496" s="1" t="n">
        <v>45966</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53416-2025</t>
        </is>
      </c>
      <c r="B497" s="1" t="n">
        <v>45959.58387731481</v>
      </c>
      <c r="C497" s="1" t="n">
        <v>45966</v>
      </c>
      <c r="D497" t="inlineStr">
        <is>
          <t>KALMAR LÄN</t>
        </is>
      </c>
      <c r="E497" t="inlineStr">
        <is>
          <t>VIMMERBY</t>
        </is>
      </c>
      <c r="G497" t="n">
        <v>4.4</v>
      </c>
      <c r="H497" t="n">
        <v>0</v>
      </c>
      <c r="I497" t="n">
        <v>0</v>
      </c>
      <c r="J497" t="n">
        <v>0</v>
      </c>
      <c r="K497" t="n">
        <v>0</v>
      </c>
      <c r="L497" t="n">
        <v>0</v>
      </c>
      <c r="M497" t="n">
        <v>0</v>
      </c>
      <c r="N497" t="n">
        <v>0</v>
      </c>
      <c r="O497" t="n">
        <v>0</v>
      </c>
      <c r="P497" t="n">
        <v>0</v>
      </c>
      <c r="Q497" t="n">
        <v>0</v>
      </c>
      <c r="R497" s="2" t="inlineStr"/>
    </row>
    <row r="498" ht="15" customHeight="1">
      <c r="A498" t="inlineStr">
        <is>
          <t>A 7068-2024</t>
        </is>
      </c>
      <c r="B498" s="1" t="n">
        <v>45343.68038194445</v>
      </c>
      <c r="C498" s="1" t="n">
        <v>45966</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53586-2025</t>
        </is>
      </c>
      <c r="B499" s="1" t="n">
        <v>45960.43395833333</v>
      </c>
      <c r="C499" s="1" t="n">
        <v>45966</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46234-2024</t>
        </is>
      </c>
      <c r="B500" s="1" t="n">
        <v>45581.57958333333</v>
      </c>
      <c r="C500" s="1" t="n">
        <v>45966</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37187-2024</t>
        </is>
      </c>
      <c r="B501" s="1" t="n">
        <v>45539.65212962963</v>
      </c>
      <c r="C501" s="1" t="n">
        <v>45966</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53923-2025</t>
        </is>
      </c>
      <c r="B502" s="1" t="n">
        <v>45961.4569212963</v>
      </c>
      <c r="C502" s="1" t="n">
        <v>45966</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1021-2024</t>
        </is>
      </c>
      <c r="B503" s="1" t="n">
        <v>45301.67736111111</v>
      </c>
      <c r="C503" s="1" t="n">
        <v>45966</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23394-2025</t>
        </is>
      </c>
      <c r="B504" s="1" t="n">
        <v>45791.89865740741</v>
      </c>
      <c r="C504" s="1" t="n">
        <v>45966</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53927-2025</t>
        </is>
      </c>
      <c r="B505" s="1" t="n">
        <v>45961.46740740741</v>
      </c>
      <c r="C505" s="1" t="n">
        <v>45966</v>
      </c>
      <c r="D505" t="inlineStr">
        <is>
          <t>KALMAR LÄN</t>
        </is>
      </c>
      <c r="E505" t="inlineStr">
        <is>
          <t>VIMMERBY</t>
        </is>
      </c>
      <c r="G505" t="n">
        <v>2.5</v>
      </c>
      <c r="H505" t="n">
        <v>0</v>
      </c>
      <c r="I505" t="n">
        <v>0</v>
      </c>
      <c r="J505" t="n">
        <v>0</v>
      </c>
      <c r="K505" t="n">
        <v>0</v>
      </c>
      <c r="L505" t="n">
        <v>0</v>
      </c>
      <c r="M505" t="n">
        <v>0</v>
      </c>
      <c r="N505" t="n">
        <v>0</v>
      </c>
      <c r="O505" t="n">
        <v>0</v>
      </c>
      <c r="P505" t="n">
        <v>0</v>
      </c>
      <c r="Q505" t="n">
        <v>0</v>
      </c>
      <c r="R505" s="2" t="inlineStr"/>
    </row>
    <row r="506" ht="15" customHeight="1">
      <c r="A506" t="inlineStr">
        <is>
          <t>A 53933-2025</t>
        </is>
      </c>
      <c r="B506" s="1" t="n">
        <v>45961.47650462963</v>
      </c>
      <c r="C506" s="1" t="n">
        <v>45966</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72701-2021</t>
        </is>
      </c>
      <c r="B507" s="1" t="n">
        <v>44546</v>
      </c>
      <c r="C507" s="1" t="n">
        <v>45966</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19111-2025</t>
        </is>
      </c>
      <c r="B508" s="1" t="n">
        <v>45768.65611111111</v>
      </c>
      <c r="C508" s="1" t="n">
        <v>45966</v>
      </c>
      <c r="D508" t="inlineStr">
        <is>
          <t>KALMAR LÄN</t>
        </is>
      </c>
      <c r="E508" t="inlineStr">
        <is>
          <t>VIMMERBY</t>
        </is>
      </c>
      <c r="G508" t="n">
        <v>6.2</v>
      </c>
      <c r="H508" t="n">
        <v>0</v>
      </c>
      <c r="I508" t="n">
        <v>0</v>
      </c>
      <c r="J508" t="n">
        <v>0</v>
      </c>
      <c r="K508" t="n">
        <v>0</v>
      </c>
      <c r="L508" t="n">
        <v>0</v>
      </c>
      <c r="M508" t="n">
        <v>0</v>
      </c>
      <c r="N508" t="n">
        <v>0</v>
      </c>
      <c r="O508" t="n">
        <v>0</v>
      </c>
      <c r="P508" t="n">
        <v>0</v>
      </c>
      <c r="Q508" t="n">
        <v>0</v>
      </c>
      <c r="R508" s="2" t="inlineStr"/>
    </row>
    <row r="509" ht="15" customHeight="1">
      <c r="A509" t="inlineStr">
        <is>
          <t>A 33374-2021</t>
        </is>
      </c>
      <c r="B509" s="1" t="n">
        <v>44377</v>
      </c>
      <c r="C509" s="1" t="n">
        <v>45966</v>
      </c>
      <c r="D509" t="inlineStr">
        <is>
          <t>KALMAR LÄN</t>
        </is>
      </c>
      <c r="E509" t="inlineStr">
        <is>
          <t>VIMMERBY</t>
        </is>
      </c>
      <c r="G509" t="n">
        <v>3.3</v>
      </c>
      <c r="H509" t="n">
        <v>0</v>
      </c>
      <c r="I509" t="n">
        <v>0</v>
      </c>
      <c r="J509" t="n">
        <v>0</v>
      </c>
      <c r="K509" t="n">
        <v>0</v>
      </c>
      <c r="L509" t="n">
        <v>0</v>
      </c>
      <c r="M509" t="n">
        <v>0</v>
      </c>
      <c r="N509" t="n">
        <v>0</v>
      </c>
      <c r="O509" t="n">
        <v>0</v>
      </c>
      <c r="P509" t="n">
        <v>0</v>
      </c>
      <c r="Q509" t="n">
        <v>0</v>
      </c>
      <c r="R509" s="2" t="inlineStr"/>
    </row>
    <row r="510" ht="15" customHeight="1">
      <c r="A510" t="inlineStr">
        <is>
          <t>A 10807-2024</t>
        </is>
      </c>
      <c r="B510" s="1" t="n">
        <v>45369.62780092593</v>
      </c>
      <c r="C510" s="1" t="n">
        <v>45966</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33359-2021</t>
        </is>
      </c>
      <c r="B511" s="1" t="n">
        <v>44377.49684027778</v>
      </c>
      <c r="C511" s="1" t="n">
        <v>45966</v>
      </c>
      <c r="D511" t="inlineStr">
        <is>
          <t>KALMAR LÄN</t>
        </is>
      </c>
      <c r="E511" t="inlineStr">
        <is>
          <t>VIMMERBY</t>
        </is>
      </c>
      <c r="F511" t="inlineStr">
        <is>
          <t>Kommuner</t>
        </is>
      </c>
      <c r="G511" t="n">
        <v>8</v>
      </c>
      <c r="H511" t="n">
        <v>0</v>
      </c>
      <c r="I511" t="n">
        <v>0</v>
      </c>
      <c r="J511" t="n">
        <v>0</v>
      </c>
      <c r="K511" t="n">
        <v>0</v>
      </c>
      <c r="L511" t="n">
        <v>0</v>
      </c>
      <c r="M511" t="n">
        <v>0</v>
      </c>
      <c r="N511" t="n">
        <v>0</v>
      </c>
      <c r="O511" t="n">
        <v>0</v>
      </c>
      <c r="P511" t="n">
        <v>0</v>
      </c>
      <c r="Q511" t="n">
        <v>0</v>
      </c>
      <c r="R511" s="2" t="inlineStr"/>
    </row>
    <row r="512" ht="15" customHeight="1">
      <c r="A512" t="inlineStr">
        <is>
          <t>A 53789-2025</t>
        </is>
      </c>
      <c r="B512" s="1" t="n">
        <v>45960</v>
      </c>
      <c r="C512" s="1" t="n">
        <v>45966</v>
      </c>
      <c r="D512" t="inlineStr">
        <is>
          <t>KALMAR LÄN</t>
        </is>
      </c>
      <c r="E512" t="inlineStr">
        <is>
          <t>VIMMERBY</t>
        </is>
      </c>
      <c r="F512" t="inlineStr">
        <is>
          <t>Övriga statliga verk och myndigheter</t>
        </is>
      </c>
      <c r="G512" t="n">
        <v>1.6</v>
      </c>
      <c r="H512" t="n">
        <v>0</v>
      </c>
      <c r="I512" t="n">
        <v>0</v>
      </c>
      <c r="J512" t="n">
        <v>0</v>
      </c>
      <c r="K512" t="n">
        <v>0</v>
      </c>
      <c r="L512" t="n">
        <v>0</v>
      </c>
      <c r="M512" t="n">
        <v>0</v>
      </c>
      <c r="N512" t="n">
        <v>0</v>
      </c>
      <c r="O512" t="n">
        <v>0</v>
      </c>
      <c r="P512" t="n">
        <v>0</v>
      </c>
      <c r="Q512" t="n">
        <v>0</v>
      </c>
      <c r="R512" s="2" t="inlineStr"/>
    </row>
    <row r="513" ht="15" customHeight="1">
      <c r="A513" t="inlineStr">
        <is>
          <t>A 23984-2025</t>
        </is>
      </c>
      <c r="B513" s="1" t="n">
        <v>45796</v>
      </c>
      <c r="C513" s="1" t="n">
        <v>45966</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53786-2025</t>
        </is>
      </c>
      <c r="B514" s="1" t="n">
        <v>45960</v>
      </c>
      <c r="C514" s="1" t="n">
        <v>45966</v>
      </c>
      <c r="D514" t="inlineStr">
        <is>
          <t>KALMAR LÄN</t>
        </is>
      </c>
      <c r="E514" t="inlineStr">
        <is>
          <t>VIMMERBY</t>
        </is>
      </c>
      <c r="F514" t="inlineStr">
        <is>
          <t>Övriga statliga verk och myndigheter</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11027-2023</t>
        </is>
      </c>
      <c r="B515" s="1" t="n">
        <v>44991.89657407408</v>
      </c>
      <c r="C515" s="1" t="n">
        <v>45966</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34588-2024</t>
        </is>
      </c>
      <c r="B516" s="1" t="n">
        <v>45526.3865625</v>
      </c>
      <c r="C516" s="1" t="n">
        <v>45966</v>
      </c>
      <c r="D516" t="inlineStr">
        <is>
          <t>KALMAR LÄN</t>
        </is>
      </c>
      <c r="E516" t="inlineStr">
        <is>
          <t>VIMMERBY</t>
        </is>
      </c>
      <c r="F516" t="inlineStr">
        <is>
          <t>Övriga Aktiebolag</t>
        </is>
      </c>
      <c r="G516" t="n">
        <v>3.3</v>
      </c>
      <c r="H516" t="n">
        <v>0</v>
      </c>
      <c r="I516" t="n">
        <v>0</v>
      </c>
      <c r="J516" t="n">
        <v>0</v>
      </c>
      <c r="K516" t="n">
        <v>0</v>
      </c>
      <c r="L516" t="n">
        <v>0</v>
      </c>
      <c r="M516" t="n">
        <v>0</v>
      </c>
      <c r="N516" t="n">
        <v>0</v>
      </c>
      <c r="O516" t="n">
        <v>0</v>
      </c>
      <c r="P516" t="n">
        <v>0</v>
      </c>
      <c r="Q516" t="n">
        <v>0</v>
      </c>
      <c r="R516" s="2" t="inlineStr"/>
    </row>
    <row r="517" ht="15" customHeight="1">
      <c r="A517" t="inlineStr">
        <is>
          <t>A 45114-2025</t>
        </is>
      </c>
      <c r="B517" s="1" t="n">
        <v>45919.42387731482</v>
      </c>
      <c r="C517" s="1" t="n">
        <v>45966</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17084-2025</t>
        </is>
      </c>
      <c r="B518" s="1" t="n">
        <v>45755.64450231481</v>
      </c>
      <c r="C518" s="1" t="n">
        <v>45966</v>
      </c>
      <c r="D518" t="inlineStr">
        <is>
          <t>KALMAR LÄN</t>
        </is>
      </c>
      <c r="E518" t="inlineStr">
        <is>
          <t>VIMMERBY</t>
        </is>
      </c>
      <c r="G518" t="n">
        <v>1.4</v>
      </c>
      <c r="H518" t="n">
        <v>0</v>
      </c>
      <c r="I518" t="n">
        <v>0</v>
      </c>
      <c r="J518" t="n">
        <v>0</v>
      </c>
      <c r="K518" t="n">
        <v>0</v>
      </c>
      <c r="L518" t="n">
        <v>0</v>
      </c>
      <c r="M518" t="n">
        <v>0</v>
      </c>
      <c r="N518" t="n">
        <v>0</v>
      </c>
      <c r="O518" t="n">
        <v>0</v>
      </c>
      <c r="P518" t="n">
        <v>0</v>
      </c>
      <c r="Q518" t="n">
        <v>0</v>
      </c>
      <c r="R518" s="2" t="inlineStr"/>
    </row>
    <row r="519" ht="15" customHeight="1">
      <c r="A519" t="inlineStr">
        <is>
          <t>A 53903-2025</t>
        </is>
      </c>
      <c r="B519" s="1" t="n">
        <v>45961.43738425926</v>
      </c>
      <c r="C519" s="1" t="n">
        <v>45966</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53920-2025</t>
        </is>
      </c>
      <c r="B520" s="1" t="n">
        <v>45961.44951388889</v>
      </c>
      <c r="C520" s="1" t="n">
        <v>45966</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33161-2024</t>
        </is>
      </c>
      <c r="B521" s="1" t="n">
        <v>45518.40657407408</v>
      </c>
      <c r="C521" s="1" t="n">
        <v>45966</v>
      </c>
      <c r="D521" t="inlineStr">
        <is>
          <t>KALMAR LÄN</t>
        </is>
      </c>
      <c r="E521" t="inlineStr">
        <is>
          <t>VIMMERBY</t>
        </is>
      </c>
      <c r="G521" t="n">
        <v>4.7</v>
      </c>
      <c r="H521" t="n">
        <v>0</v>
      </c>
      <c r="I521" t="n">
        <v>0</v>
      </c>
      <c r="J521" t="n">
        <v>0</v>
      </c>
      <c r="K521" t="n">
        <v>0</v>
      </c>
      <c r="L521" t="n">
        <v>0</v>
      </c>
      <c r="M521" t="n">
        <v>0</v>
      </c>
      <c r="N521" t="n">
        <v>0</v>
      </c>
      <c r="O521" t="n">
        <v>0</v>
      </c>
      <c r="P521" t="n">
        <v>0</v>
      </c>
      <c r="Q521" t="n">
        <v>0</v>
      </c>
      <c r="R521" s="2" t="inlineStr"/>
    </row>
    <row r="522" ht="15" customHeight="1">
      <c r="A522" t="inlineStr">
        <is>
          <t>A 14359-2025</t>
        </is>
      </c>
      <c r="B522" s="1" t="n">
        <v>45741.37270833334</v>
      </c>
      <c r="C522" s="1" t="n">
        <v>45966</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53483-2022</t>
        </is>
      </c>
      <c r="B523" s="1" t="n">
        <v>44879.55940972222</v>
      </c>
      <c r="C523" s="1" t="n">
        <v>45966</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18899-2025</t>
        </is>
      </c>
      <c r="B524" s="1" t="n">
        <v>45764.44931712963</v>
      </c>
      <c r="C524" s="1" t="n">
        <v>45966</v>
      </c>
      <c r="D524" t="inlineStr">
        <is>
          <t>KALMAR LÄN</t>
        </is>
      </c>
      <c r="E524" t="inlineStr">
        <is>
          <t>VIMMERBY</t>
        </is>
      </c>
      <c r="F524" t="inlineStr">
        <is>
          <t>Kommuner</t>
        </is>
      </c>
      <c r="G524" t="n">
        <v>4</v>
      </c>
      <c r="H524" t="n">
        <v>0</v>
      </c>
      <c r="I524" t="n">
        <v>0</v>
      </c>
      <c r="J524" t="n">
        <v>0</v>
      </c>
      <c r="K524" t="n">
        <v>0</v>
      </c>
      <c r="L524" t="n">
        <v>0</v>
      </c>
      <c r="M524" t="n">
        <v>0</v>
      </c>
      <c r="N524" t="n">
        <v>0</v>
      </c>
      <c r="O524" t="n">
        <v>0</v>
      </c>
      <c r="P524" t="n">
        <v>0</v>
      </c>
      <c r="Q524" t="n">
        <v>0</v>
      </c>
      <c r="R524" s="2" t="inlineStr"/>
    </row>
    <row r="525" ht="15" customHeight="1">
      <c r="A525" t="inlineStr">
        <is>
          <t>A 20054-2023</t>
        </is>
      </c>
      <c r="B525" s="1" t="n">
        <v>45054.6750462963</v>
      </c>
      <c r="C525" s="1" t="n">
        <v>45966</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58962-2022</t>
        </is>
      </c>
      <c r="B526" s="1" t="n">
        <v>44903</v>
      </c>
      <c r="C526" s="1" t="n">
        <v>45966</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45319-2025</t>
        </is>
      </c>
      <c r="B527" s="1" t="n">
        <v>45921.95611111111</v>
      </c>
      <c r="C527" s="1" t="n">
        <v>45966</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10837-2023</t>
        </is>
      </c>
      <c r="B528" s="1" t="n">
        <v>44991.30547453704</v>
      </c>
      <c r="C528" s="1" t="n">
        <v>45966</v>
      </c>
      <c r="D528" t="inlineStr">
        <is>
          <t>KALMAR LÄN</t>
        </is>
      </c>
      <c r="E528" t="inlineStr">
        <is>
          <t>VIMMERBY</t>
        </is>
      </c>
      <c r="G528" t="n">
        <v>7.3</v>
      </c>
      <c r="H528" t="n">
        <v>0</v>
      </c>
      <c r="I528" t="n">
        <v>0</v>
      </c>
      <c r="J528" t="n">
        <v>0</v>
      </c>
      <c r="K528" t="n">
        <v>0</v>
      </c>
      <c r="L528" t="n">
        <v>0</v>
      </c>
      <c r="M528" t="n">
        <v>0</v>
      </c>
      <c r="N528" t="n">
        <v>0</v>
      </c>
      <c r="O528" t="n">
        <v>0</v>
      </c>
      <c r="P528" t="n">
        <v>0</v>
      </c>
      <c r="Q528" t="n">
        <v>0</v>
      </c>
      <c r="R528" s="2" t="inlineStr"/>
    </row>
    <row r="529" ht="15" customHeight="1">
      <c r="A529" t="inlineStr">
        <is>
          <t>A 10838-2023</t>
        </is>
      </c>
      <c r="B529" s="1" t="n">
        <v>44991</v>
      </c>
      <c r="C529" s="1" t="n">
        <v>45966</v>
      </c>
      <c r="D529" t="inlineStr">
        <is>
          <t>KALMAR LÄN</t>
        </is>
      </c>
      <c r="E529" t="inlineStr">
        <is>
          <t>VIMMERBY</t>
        </is>
      </c>
      <c r="G529" t="n">
        <v>5.1</v>
      </c>
      <c r="H529" t="n">
        <v>0</v>
      </c>
      <c r="I529" t="n">
        <v>0</v>
      </c>
      <c r="J529" t="n">
        <v>0</v>
      </c>
      <c r="K529" t="n">
        <v>0</v>
      </c>
      <c r="L529" t="n">
        <v>0</v>
      </c>
      <c r="M529" t="n">
        <v>0</v>
      </c>
      <c r="N529" t="n">
        <v>0</v>
      </c>
      <c r="O529" t="n">
        <v>0</v>
      </c>
      <c r="P529" t="n">
        <v>0</v>
      </c>
      <c r="Q529" t="n">
        <v>0</v>
      </c>
      <c r="R529" s="2" t="inlineStr"/>
    </row>
    <row r="530" ht="15" customHeight="1">
      <c r="A530" t="inlineStr">
        <is>
          <t>A 7075-2021</t>
        </is>
      </c>
      <c r="B530" s="1" t="n">
        <v>44237</v>
      </c>
      <c r="C530" s="1" t="n">
        <v>45966</v>
      </c>
      <c r="D530" t="inlineStr">
        <is>
          <t>KALMAR LÄN</t>
        </is>
      </c>
      <c r="E530" t="inlineStr">
        <is>
          <t>VIMMERBY</t>
        </is>
      </c>
      <c r="G530" t="n">
        <v>3.6</v>
      </c>
      <c r="H530" t="n">
        <v>0</v>
      </c>
      <c r="I530" t="n">
        <v>0</v>
      </c>
      <c r="J530" t="n">
        <v>0</v>
      </c>
      <c r="K530" t="n">
        <v>0</v>
      </c>
      <c r="L530" t="n">
        <v>0</v>
      </c>
      <c r="M530" t="n">
        <v>0</v>
      </c>
      <c r="N530" t="n">
        <v>0</v>
      </c>
      <c r="O530" t="n">
        <v>0</v>
      </c>
      <c r="P530" t="n">
        <v>0</v>
      </c>
      <c r="Q530" t="n">
        <v>0</v>
      </c>
      <c r="R530" s="2" t="inlineStr"/>
    </row>
    <row r="531" ht="15" customHeight="1">
      <c r="A531" t="inlineStr">
        <is>
          <t>A 55605-2024</t>
        </is>
      </c>
      <c r="B531" s="1" t="n">
        <v>45622</v>
      </c>
      <c r="C531" s="1" t="n">
        <v>45966</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44464-2024</t>
        </is>
      </c>
      <c r="B532" s="1" t="n">
        <v>45574.35809027778</v>
      </c>
      <c r="C532" s="1" t="n">
        <v>45966</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36049-2024</t>
        </is>
      </c>
      <c r="B533" s="1" t="n">
        <v>45533.61996527778</v>
      </c>
      <c r="C533" s="1" t="n">
        <v>45966</v>
      </c>
      <c r="D533" t="inlineStr">
        <is>
          <t>KALMAR LÄN</t>
        </is>
      </c>
      <c r="E533" t="inlineStr">
        <is>
          <t>VIMMERBY</t>
        </is>
      </c>
      <c r="F533" t="inlineStr">
        <is>
          <t>Kommuner</t>
        </is>
      </c>
      <c r="G533" t="n">
        <v>2.6</v>
      </c>
      <c r="H533" t="n">
        <v>0</v>
      </c>
      <c r="I533" t="n">
        <v>0</v>
      </c>
      <c r="J533" t="n">
        <v>0</v>
      </c>
      <c r="K533" t="n">
        <v>0</v>
      </c>
      <c r="L533" t="n">
        <v>0</v>
      </c>
      <c r="M533" t="n">
        <v>0</v>
      </c>
      <c r="N533" t="n">
        <v>0</v>
      </c>
      <c r="O533" t="n">
        <v>0</v>
      </c>
      <c r="P533" t="n">
        <v>0</v>
      </c>
      <c r="Q533" t="n">
        <v>0</v>
      </c>
      <c r="R533" s="2" t="inlineStr"/>
    </row>
    <row r="534" ht="15" customHeight="1">
      <c r="A534" t="inlineStr">
        <is>
          <t>A 4297-2022</t>
        </is>
      </c>
      <c r="B534" s="1" t="n">
        <v>44588</v>
      </c>
      <c r="C534" s="1" t="n">
        <v>45966</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54236-2025</t>
        </is>
      </c>
      <c r="B535" s="1" t="n">
        <v>45964.62671296296</v>
      </c>
      <c r="C535" s="1" t="n">
        <v>45966</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35082-2024</t>
        </is>
      </c>
      <c r="B536" s="1" t="n">
        <v>45527.68784722222</v>
      </c>
      <c r="C536" s="1" t="n">
        <v>45966</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46399-2024</t>
        </is>
      </c>
      <c r="B537" s="1" t="n">
        <v>45582.41200231481</v>
      </c>
      <c r="C537" s="1" t="n">
        <v>45966</v>
      </c>
      <c r="D537" t="inlineStr">
        <is>
          <t>KALMAR LÄN</t>
        </is>
      </c>
      <c r="E537" t="inlineStr">
        <is>
          <t>VIMMERBY</t>
        </is>
      </c>
      <c r="G537" t="n">
        <v>4.6</v>
      </c>
      <c r="H537" t="n">
        <v>0</v>
      </c>
      <c r="I537" t="n">
        <v>0</v>
      </c>
      <c r="J537" t="n">
        <v>0</v>
      </c>
      <c r="K537" t="n">
        <v>0</v>
      </c>
      <c r="L537" t="n">
        <v>0</v>
      </c>
      <c r="M537" t="n">
        <v>0</v>
      </c>
      <c r="N537" t="n">
        <v>0</v>
      </c>
      <c r="O537" t="n">
        <v>0</v>
      </c>
      <c r="P537" t="n">
        <v>0</v>
      </c>
      <c r="Q537" t="n">
        <v>0</v>
      </c>
      <c r="R537" s="2" t="inlineStr"/>
    </row>
    <row r="538" ht="15" customHeight="1">
      <c r="A538" t="inlineStr">
        <is>
          <t>A 45320-2025</t>
        </is>
      </c>
      <c r="B538" s="1" t="n">
        <v>45921.96395833333</v>
      </c>
      <c r="C538" s="1" t="n">
        <v>45966</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51278-2024</t>
        </is>
      </c>
      <c r="B539" s="1" t="n">
        <v>45603.74959490741</v>
      </c>
      <c r="C539" s="1" t="n">
        <v>45966</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9456-2025</t>
        </is>
      </c>
      <c r="B540" s="1" t="n">
        <v>45715.44159722222</v>
      </c>
      <c r="C540" s="1" t="n">
        <v>45966</v>
      </c>
      <c r="D540" t="inlineStr">
        <is>
          <t>KALMAR LÄN</t>
        </is>
      </c>
      <c r="E540" t="inlineStr">
        <is>
          <t>VIMMERBY</t>
        </is>
      </c>
      <c r="G540" t="n">
        <v>1.5</v>
      </c>
      <c r="H540" t="n">
        <v>0</v>
      </c>
      <c r="I540" t="n">
        <v>0</v>
      </c>
      <c r="J540" t="n">
        <v>0</v>
      </c>
      <c r="K540" t="n">
        <v>0</v>
      </c>
      <c r="L540" t="n">
        <v>0</v>
      </c>
      <c r="M540" t="n">
        <v>0</v>
      </c>
      <c r="N540" t="n">
        <v>0</v>
      </c>
      <c r="O540" t="n">
        <v>0</v>
      </c>
      <c r="P540" t="n">
        <v>0</v>
      </c>
      <c r="Q540" t="n">
        <v>0</v>
      </c>
      <c r="R540" s="2" t="inlineStr"/>
    </row>
    <row r="541" ht="15" customHeight="1">
      <c r="A541" t="inlineStr">
        <is>
          <t>A 11111-2023</t>
        </is>
      </c>
      <c r="B541" s="1" t="n">
        <v>44992.4255787037</v>
      </c>
      <c r="C541" s="1" t="n">
        <v>45966</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52138-2025</t>
        </is>
      </c>
      <c r="B542" s="1" t="n">
        <v>45953</v>
      </c>
      <c r="C542" s="1" t="n">
        <v>45966</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54234-2025</t>
        </is>
      </c>
      <c r="B543" s="1" t="n">
        <v>45964.62486111111</v>
      </c>
      <c r="C543" s="1" t="n">
        <v>45966</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44582-2024</t>
        </is>
      </c>
      <c r="B544" s="1" t="n">
        <v>45574.49298611111</v>
      </c>
      <c r="C544" s="1" t="n">
        <v>45966</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13532-2025</t>
        </is>
      </c>
      <c r="B545" s="1" t="n">
        <v>45736.50743055555</v>
      </c>
      <c r="C545" s="1" t="n">
        <v>45966</v>
      </c>
      <c r="D545" t="inlineStr">
        <is>
          <t>KALMAR LÄN</t>
        </is>
      </c>
      <c r="E545" t="inlineStr">
        <is>
          <t>VIMMERBY</t>
        </is>
      </c>
      <c r="G545" t="n">
        <v>3.6</v>
      </c>
      <c r="H545" t="n">
        <v>0</v>
      </c>
      <c r="I545" t="n">
        <v>0</v>
      </c>
      <c r="J545" t="n">
        <v>0</v>
      </c>
      <c r="K545" t="n">
        <v>0</v>
      </c>
      <c r="L545" t="n">
        <v>0</v>
      </c>
      <c r="M545" t="n">
        <v>0</v>
      </c>
      <c r="N545" t="n">
        <v>0</v>
      </c>
      <c r="O545" t="n">
        <v>0</v>
      </c>
      <c r="P545" t="n">
        <v>0</v>
      </c>
      <c r="Q545" t="n">
        <v>0</v>
      </c>
      <c r="R545" s="2" t="inlineStr"/>
    </row>
    <row r="546" ht="15" customHeight="1">
      <c r="A546" t="inlineStr">
        <is>
          <t>A 43038-2022</t>
        </is>
      </c>
      <c r="B546" s="1" t="n">
        <v>44833.60123842592</v>
      </c>
      <c r="C546" s="1" t="n">
        <v>45966</v>
      </c>
      <c r="D546" t="inlineStr">
        <is>
          <t>KALMAR LÄN</t>
        </is>
      </c>
      <c r="E546" t="inlineStr">
        <is>
          <t>VIMMERBY</t>
        </is>
      </c>
      <c r="G546" t="n">
        <v>4.2</v>
      </c>
      <c r="H546" t="n">
        <v>0</v>
      </c>
      <c r="I546" t="n">
        <v>0</v>
      </c>
      <c r="J546" t="n">
        <v>0</v>
      </c>
      <c r="K546" t="n">
        <v>0</v>
      </c>
      <c r="L546" t="n">
        <v>0</v>
      </c>
      <c r="M546" t="n">
        <v>0</v>
      </c>
      <c r="N546" t="n">
        <v>0</v>
      </c>
      <c r="O546" t="n">
        <v>0</v>
      </c>
      <c r="P546" t="n">
        <v>0</v>
      </c>
      <c r="Q546" t="n">
        <v>0</v>
      </c>
      <c r="R546" s="2" t="inlineStr"/>
    </row>
    <row r="547" ht="15" customHeight="1">
      <c r="A547" t="inlineStr">
        <is>
          <t>A 15494-2024</t>
        </is>
      </c>
      <c r="B547" s="1" t="n">
        <v>45401.53033564815</v>
      </c>
      <c r="C547" s="1" t="n">
        <v>45966</v>
      </c>
      <c r="D547" t="inlineStr">
        <is>
          <t>KALMAR LÄN</t>
        </is>
      </c>
      <c r="E547" t="inlineStr">
        <is>
          <t>VIMMERBY</t>
        </is>
      </c>
      <c r="G547" t="n">
        <v>3.2</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44270.39765046296</v>
      </c>
      <c r="C548" s="1" t="n">
        <v>45966</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57799-2022</t>
        </is>
      </c>
      <c r="B549" s="1" t="n">
        <v>44897</v>
      </c>
      <c r="C549" s="1" t="n">
        <v>45966</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30921-2024</t>
        </is>
      </c>
      <c r="B550" s="1" t="n">
        <v>45498</v>
      </c>
      <c r="C550" s="1" t="n">
        <v>45966</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58724-2024</t>
        </is>
      </c>
      <c r="B551" s="1" t="n">
        <v>45635.66409722222</v>
      </c>
      <c r="C551" s="1" t="n">
        <v>45966</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25792-2025</t>
        </is>
      </c>
      <c r="B552" s="1" t="n">
        <v>45804.39141203704</v>
      </c>
      <c r="C552" s="1" t="n">
        <v>45966</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26039-2025</t>
        </is>
      </c>
      <c r="B553" s="1" t="n">
        <v>45804.6953587963</v>
      </c>
      <c r="C553" s="1" t="n">
        <v>45966</v>
      </c>
      <c r="D553" t="inlineStr">
        <is>
          <t>KALMAR LÄN</t>
        </is>
      </c>
      <c r="E553" t="inlineStr">
        <is>
          <t>VIMMERBY</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26046-2025</t>
        </is>
      </c>
      <c r="B554" s="1" t="n">
        <v>45804.708125</v>
      </c>
      <c r="C554" s="1" t="n">
        <v>45966</v>
      </c>
      <c r="D554" t="inlineStr">
        <is>
          <t>KALMAR LÄN</t>
        </is>
      </c>
      <c r="E554" t="inlineStr">
        <is>
          <t>VIMMERBY</t>
        </is>
      </c>
      <c r="F554" t="inlineStr">
        <is>
          <t>Sveaskog</t>
        </is>
      </c>
      <c r="G554" t="n">
        <v>5.1</v>
      </c>
      <c r="H554" t="n">
        <v>0</v>
      </c>
      <c r="I554" t="n">
        <v>0</v>
      </c>
      <c r="J554" t="n">
        <v>0</v>
      </c>
      <c r="K554" t="n">
        <v>0</v>
      </c>
      <c r="L554" t="n">
        <v>0</v>
      </c>
      <c r="M554" t="n">
        <v>0</v>
      </c>
      <c r="N554" t="n">
        <v>0</v>
      </c>
      <c r="O554" t="n">
        <v>0</v>
      </c>
      <c r="P554" t="n">
        <v>0</v>
      </c>
      <c r="Q554" t="n">
        <v>0</v>
      </c>
      <c r="R554" s="2" t="inlineStr"/>
    </row>
    <row r="555" ht="15" customHeight="1">
      <c r="A555" t="inlineStr">
        <is>
          <t>A 14137-2023</t>
        </is>
      </c>
      <c r="B555" s="1" t="n">
        <v>45009.4671875</v>
      </c>
      <c r="C555" s="1" t="n">
        <v>45966</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26124-2025</t>
        </is>
      </c>
      <c r="B556" s="1" t="n">
        <v>45805.39247685186</v>
      </c>
      <c r="C556" s="1" t="n">
        <v>45966</v>
      </c>
      <c r="D556" t="inlineStr">
        <is>
          <t>KALMAR LÄN</t>
        </is>
      </c>
      <c r="E556" t="inlineStr">
        <is>
          <t>VIMMERBY</t>
        </is>
      </c>
      <c r="G556" t="n">
        <v>6.6</v>
      </c>
      <c r="H556" t="n">
        <v>0</v>
      </c>
      <c r="I556" t="n">
        <v>0</v>
      </c>
      <c r="J556" t="n">
        <v>0</v>
      </c>
      <c r="K556" t="n">
        <v>0</v>
      </c>
      <c r="L556" t="n">
        <v>0</v>
      </c>
      <c r="M556" t="n">
        <v>0</v>
      </c>
      <c r="N556" t="n">
        <v>0</v>
      </c>
      <c r="O556" t="n">
        <v>0</v>
      </c>
      <c r="P556" t="n">
        <v>0</v>
      </c>
      <c r="Q556" t="n">
        <v>0</v>
      </c>
      <c r="R556" s="2" t="inlineStr"/>
    </row>
    <row r="557" ht="15" customHeight="1">
      <c r="A557" t="inlineStr">
        <is>
          <t>A 11152-2023</t>
        </is>
      </c>
      <c r="B557" s="1" t="n">
        <v>44992</v>
      </c>
      <c r="C557" s="1" t="n">
        <v>45966</v>
      </c>
      <c r="D557" t="inlineStr">
        <is>
          <t>KALMAR LÄN</t>
        </is>
      </c>
      <c r="E557" t="inlineStr">
        <is>
          <t>VIMMERBY</t>
        </is>
      </c>
      <c r="G557" t="n">
        <v>10.6</v>
      </c>
      <c r="H557" t="n">
        <v>0</v>
      </c>
      <c r="I557" t="n">
        <v>0</v>
      </c>
      <c r="J557" t="n">
        <v>0</v>
      </c>
      <c r="K557" t="n">
        <v>0</v>
      </c>
      <c r="L557" t="n">
        <v>0</v>
      </c>
      <c r="M557" t="n">
        <v>0</v>
      </c>
      <c r="N557" t="n">
        <v>0</v>
      </c>
      <c r="O557" t="n">
        <v>0</v>
      </c>
      <c r="P557" t="n">
        <v>0</v>
      </c>
      <c r="Q557" t="n">
        <v>0</v>
      </c>
      <c r="R557" s="2" t="inlineStr"/>
    </row>
    <row r="558" ht="15" customHeight="1">
      <c r="A558" t="inlineStr">
        <is>
          <t>A 26207-2025</t>
        </is>
      </c>
      <c r="B558" s="1" t="n">
        <v>45805.52983796296</v>
      </c>
      <c r="C558" s="1" t="n">
        <v>45966</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25830-2025</t>
        </is>
      </c>
      <c r="B559" s="1" t="n">
        <v>45804.44519675926</v>
      </c>
      <c r="C559" s="1" t="n">
        <v>45966</v>
      </c>
      <c r="D559" t="inlineStr">
        <is>
          <t>KALMAR LÄN</t>
        </is>
      </c>
      <c r="E559" t="inlineStr">
        <is>
          <t>VIMMERBY</t>
        </is>
      </c>
      <c r="G559" t="n">
        <v>4.9</v>
      </c>
      <c r="H559" t="n">
        <v>0</v>
      </c>
      <c r="I559" t="n">
        <v>0</v>
      </c>
      <c r="J559" t="n">
        <v>0</v>
      </c>
      <c r="K559" t="n">
        <v>0</v>
      </c>
      <c r="L559" t="n">
        <v>0</v>
      </c>
      <c r="M559" t="n">
        <v>0</v>
      </c>
      <c r="N559" t="n">
        <v>0</v>
      </c>
      <c r="O559" t="n">
        <v>0</v>
      </c>
      <c r="P559" t="n">
        <v>0</v>
      </c>
      <c r="Q559" t="n">
        <v>0</v>
      </c>
      <c r="R559" s="2" t="inlineStr"/>
    </row>
    <row r="560" ht="15" customHeight="1">
      <c r="A560" t="inlineStr">
        <is>
          <t>A 26254-2025</t>
        </is>
      </c>
      <c r="B560" s="1" t="n">
        <v>45805</v>
      </c>
      <c r="C560" s="1" t="n">
        <v>45966</v>
      </c>
      <c r="D560" t="inlineStr">
        <is>
          <t>KALMAR LÄN</t>
        </is>
      </c>
      <c r="E560" t="inlineStr">
        <is>
          <t>VIMMERBY</t>
        </is>
      </c>
      <c r="G560" t="n">
        <v>2</v>
      </c>
      <c r="H560" t="n">
        <v>0</v>
      </c>
      <c r="I560" t="n">
        <v>0</v>
      </c>
      <c r="J560" t="n">
        <v>0</v>
      </c>
      <c r="K560" t="n">
        <v>0</v>
      </c>
      <c r="L560" t="n">
        <v>0</v>
      </c>
      <c r="M560" t="n">
        <v>0</v>
      </c>
      <c r="N560" t="n">
        <v>0</v>
      </c>
      <c r="O560" t="n">
        <v>0</v>
      </c>
      <c r="P560" t="n">
        <v>0</v>
      </c>
      <c r="Q560" t="n">
        <v>0</v>
      </c>
      <c r="R560" s="2" t="inlineStr"/>
    </row>
    <row r="561" ht="15" customHeight="1">
      <c r="A561" t="inlineStr">
        <is>
          <t>A 12499-2023</t>
        </is>
      </c>
      <c r="B561" s="1" t="n">
        <v>44999.86172453704</v>
      </c>
      <c r="C561" s="1" t="n">
        <v>45966</v>
      </c>
      <c r="D561" t="inlineStr">
        <is>
          <t>KALMAR LÄN</t>
        </is>
      </c>
      <c r="E561" t="inlineStr">
        <is>
          <t>VIMMERBY</t>
        </is>
      </c>
      <c r="G561" t="n">
        <v>0.8</v>
      </c>
      <c r="H561" t="n">
        <v>0</v>
      </c>
      <c r="I561" t="n">
        <v>0</v>
      </c>
      <c r="J561" t="n">
        <v>0</v>
      </c>
      <c r="K561" t="n">
        <v>0</v>
      </c>
      <c r="L561" t="n">
        <v>0</v>
      </c>
      <c r="M561" t="n">
        <v>0</v>
      </c>
      <c r="N561" t="n">
        <v>0</v>
      </c>
      <c r="O561" t="n">
        <v>0</v>
      </c>
      <c r="P561" t="n">
        <v>0</v>
      </c>
      <c r="Q561" t="n">
        <v>0</v>
      </c>
      <c r="R561" s="2" t="inlineStr"/>
    </row>
    <row r="562" ht="15" customHeight="1">
      <c r="A562" t="inlineStr">
        <is>
          <t>A 12500-2023</t>
        </is>
      </c>
      <c r="B562" s="1" t="n">
        <v>44999.8625</v>
      </c>
      <c r="C562" s="1" t="n">
        <v>45966</v>
      </c>
      <c r="D562" t="inlineStr">
        <is>
          <t>KALMAR LÄN</t>
        </is>
      </c>
      <c r="E562" t="inlineStr">
        <is>
          <t>VIMMERBY</t>
        </is>
      </c>
      <c r="G562" t="n">
        <v>0.5</v>
      </c>
      <c r="H562" t="n">
        <v>0</v>
      </c>
      <c r="I562" t="n">
        <v>0</v>
      </c>
      <c r="J562" t="n">
        <v>0</v>
      </c>
      <c r="K562" t="n">
        <v>0</v>
      </c>
      <c r="L562" t="n">
        <v>0</v>
      </c>
      <c r="M562" t="n">
        <v>0</v>
      </c>
      <c r="N562" t="n">
        <v>0</v>
      </c>
      <c r="O562" t="n">
        <v>0</v>
      </c>
      <c r="P562" t="n">
        <v>0</v>
      </c>
      <c r="Q562" t="n">
        <v>0</v>
      </c>
      <c r="R562" s="2" t="inlineStr"/>
    </row>
    <row r="563" ht="15" customHeight="1">
      <c r="A563" t="inlineStr">
        <is>
          <t>A 35846-2023</t>
        </is>
      </c>
      <c r="B563" s="1" t="n">
        <v>45148</v>
      </c>
      <c r="C563" s="1" t="n">
        <v>45966</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49039-2021</t>
        </is>
      </c>
      <c r="B564" s="1" t="n">
        <v>44453.56578703703</v>
      </c>
      <c r="C564" s="1" t="n">
        <v>45966</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13290-2025</t>
        </is>
      </c>
      <c r="B565" s="1" t="n">
        <v>45735.56751157407</v>
      </c>
      <c r="C565" s="1" t="n">
        <v>45966</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46224-2024</t>
        </is>
      </c>
      <c r="B566" s="1" t="n">
        <v>45581.57016203704</v>
      </c>
      <c r="C566" s="1" t="n">
        <v>45966</v>
      </c>
      <c r="D566" t="inlineStr">
        <is>
          <t>KALMAR LÄN</t>
        </is>
      </c>
      <c r="E566" t="inlineStr">
        <is>
          <t>VIMMERBY</t>
        </is>
      </c>
      <c r="G566" t="n">
        <v>3.1</v>
      </c>
      <c r="H566" t="n">
        <v>0</v>
      </c>
      <c r="I566" t="n">
        <v>0</v>
      </c>
      <c r="J566" t="n">
        <v>0</v>
      </c>
      <c r="K566" t="n">
        <v>0</v>
      </c>
      <c r="L566" t="n">
        <v>0</v>
      </c>
      <c r="M566" t="n">
        <v>0</v>
      </c>
      <c r="N566" t="n">
        <v>0</v>
      </c>
      <c r="O566" t="n">
        <v>0</v>
      </c>
      <c r="P566" t="n">
        <v>0</v>
      </c>
      <c r="Q566" t="n">
        <v>0</v>
      </c>
      <c r="R566" s="2" t="inlineStr"/>
    </row>
    <row r="567" ht="15" customHeight="1">
      <c r="A567" t="inlineStr">
        <is>
          <t>A 46238-2024</t>
        </is>
      </c>
      <c r="B567" s="1" t="n">
        <v>45581.58418981481</v>
      </c>
      <c r="C567" s="1" t="n">
        <v>45966</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30633-2024</t>
        </is>
      </c>
      <c r="B568" s="1" t="n">
        <v>45495</v>
      </c>
      <c r="C568" s="1" t="n">
        <v>45966</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19162-2023</t>
        </is>
      </c>
      <c r="B569" s="1" t="n">
        <v>45048.59699074074</v>
      </c>
      <c r="C569" s="1" t="n">
        <v>45966</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54838-2024</t>
        </is>
      </c>
      <c r="B570" s="1" t="n">
        <v>45618.56787037037</v>
      </c>
      <c r="C570" s="1" t="n">
        <v>45966</v>
      </c>
      <c r="D570" t="inlineStr">
        <is>
          <t>KALMAR LÄN</t>
        </is>
      </c>
      <c r="E570" t="inlineStr">
        <is>
          <t>VIMMERBY</t>
        </is>
      </c>
      <c r="G570" t="n">
        <v>3.3</v>
      </c>
      <c r="H570" t="n">
        <v>0</v>
      </c>
      <c r="I570" t="n">
        <v>0</v>
      </c>
      <c r="J570" t="n">
        <v>0</v>
      </c>
      <c r="K570" t="n">
        <v>0</v>
      </c>
      <c r="L570" t="n">
        <v>0</v>
      </c>
      <c r="M570" t="n">
        <v>0</v>
      </c>
      <c r="N570" t="n">
        <v>0</v>
      </c>
      <c r="O570" t="n">
        <v>0</v>
      </c>
      <c r="P570" t="n">
        <v>0</v>
      </c>
      <c r="Q570" t="n">
        <v>0</v>
      </c>
      <c r="R570" s="2" t="inlineStr"/>
    </row>
    <row r="571" ht="15" customHeight="1">
      <c r="A571" t="inlineStr">
        <is>
          <t>A 6405-2025</t>
        </is>
      </c>
      <c r="B571" s="1" t="n">
        <v>45699.45392361111</v>
      </c>
      <c r="C571" s="1" t="n">
        <v>45966</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9475-2023</t>
        </is>
      </c>
      <c r="B572" s="1" t="n">
        <v>44981.58834490741</v>
      </c>
      <c r="C572" s="1" t="n">
        <v>45966</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60437-2023</t>
        </is>
      </c>
      <c r="B573" s="1" t="n">
        <v>45259.51916666667</v>
      </c>
      <c r="C573" s="1" t="n">
        <v>45966</v>
      </c>
      <c r="D573" t="inlineStr">
        <is>
          <t>KALMAR LÄN</t>
        </is>
      </c>
      <c r="E573" t="inlineStr">
        <is>
          <t>VIMMERBY</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60438-2023</t>
        </is>
      </c>
      <c r="B574" s="1" t="n">
        <v>45259.52020833334</v>
      </c>
      <c r="C574" s="1" t="n">
        <v>45966</v>
      </c>
      <c r="D574" t="inlineStr">
        <is>
          <t>KALMAR LÄN</t>
        </is>
      </c>
      <c r="E574" t="inlineStr">
        <is>
          <t>VIMMERBY</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42165-2024</t>
        </is>
      </c>
      <c r="B575" s="1" t="n">
        <v>45562.46342592593</v>
      </c>
      <c r="C575" s="1" t="n">
        <v>45966</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25244-2023</t>
        </is>
      </c>
      <c r="B576" s="1" t="n">
        <v>45086</v>
      </c>
      <c r="C576" s="1" t="n">
        <v>45966</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66022-2021</t>
        </is>
      </c>
      <c r="B577" s="1" t="n">
        <v>44517</v>
      </c>
      <c r="C577" s="1" t="n">
        <v>45966</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35895-2024</t>
        </is>
      </c>
      <c r="B578" s="1" t="n">
        <v>45533.38870370371</v>
      </c>
      <c r="C578" s="1" t="n">
        <v>45966</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11073-2023</t>
        </is>
      </c>
      <c r="B579" s="1" t="n">
        <v>44992</v>
      </c>
      <c r="C579" s="1" t="n">
        <v>45966</v>
      </c>
      <c r="D579" t="inlineStr">
        <is>
          <t>KALMAR LÄN</t>
        </is>
      </c>
      <c r="E579" t="inlineStr">
        <is>
          <t>VIMMERBY</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11946-2025</t>
        </is>
      </c>
      <c r="B580" s="1" t="n">
        <v>45728.54832175926</v>
      </c>
      <c r="C580" s="1" t="n">
        <v>45966</v>
      </c>
      <c r="D580" t="inlineStr">
        <is>
          <t>KALMAR LÄN</t>
        </is>
      </c>
      <c r="E580" t="inlineStr">
        <is>
          <t>VIMMERBY</t>
        </is>
      </c>
      <c r="G580" t="n">
        <v>0.4</v>
      </c>
      <c r="H580" t="n">
        <v>0</v>
      </c>
      <c r="I580" t="n">
        <v>0</v>
      </c>
      <c r="J580" t="n">
        <v>0</v>
      </c>
      <c r="K580" t="n">
        <v>0</v>
      </c>
      <c r="L580" t="n">
        <v>0</v>
      </c>
      <c r="M580" t="n">
        <v>0</v>
      </c>
      <c r="N580" t="n">
        <v>0</v>
      </c>
      <c r="O580" t="n">
        <v>0</v>
      </c>
      <c r="P580" t="n">
        <v>0</v>
      </c>
      <c r="Q580" t="n">
        <v>0</v>
      </c>
      <c r="R580" s="2" t="inlineStr"/>
    </row>
    <row r="581" ht="15" customHeight="1">
      <c r="A581" t="inlineStr">
        <is>
          <t>A 19537-2022</t>
        </is>
      </c>
      <c r="B581" s="1" t="n">
        <v>44693.62822916666</v>
      </c>
      <c r="C581" s="1" t="n">
        <v>45966</v>
      </c>
      <c r="D581" t="inlineStr">
        <is>
          <t>KALMAR LÄN</t>
        </is>
      </c>
      <c r="E581" t="inlineStr">
        <is>
          <t>VIMMERBY</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17-2025</t>
        </is>
      </c>
      <c r="B582" s="1" t="n">
        <v>45658.78774305555</v>
      </c>
      <c r="C582" s="1" t="n">
        <v>45966</v>
      </c>
      <c r="D582" t="inlineStr">
        <is>
          <t>KALMAR LÄN</t>
        </is>
      </c>
      <c r="E582" t="inlineStr">
        <is>
          <t>VIMMERBY</t>
        </is>
      </c>
      <c r="G582" t="n">
        <v>4.4</v>
      </c>
      <c r="H582" t="n">
        <v>0</v>
      </c>
      <c r="I582" t="n">
        <v>0</v>
      </c>
      <c r="J582" t="n">
        <v>0</v>
      </c>
      <c r="K582" t="n">
        <v>0</v>
      </c>
      <c r="L582" t="n">
        <v>0</v>
      </c>
      <c r="M582" t="n">
        <v>0</v>
      </c>
      <c r="N582" t="n">
        <v>0</v>
      </c>
      <c r="O582" t="n">
        <v>0</v>
      </c>
      <c r="P582" t="n">
        <v>0</v>
      </c>
      <c r="Q582" t="n">
        <v>0</v>
      </c>
      <c r="R582" s="2" t="inlineStr"/>
    </row>
    <row r="583" ht="15" customHeight="1">
      <c r="A583" t="inlineStr">
        <is>
          <t>A 32655-2023</t>
        </is>
      </c>
      <c r="B583" s="1" t="n">
        <v>45121.61318287037</v>
      </c>
      <c r="C583" s="1" t="n">
        <v>45966</v>
      </c>
      <c r="D583" t="inlineStr">
        <is>
          <t>KALMAR LÄN</t>
        </is>
      </c>
      <c r="E583" t="inlineStr">
        <is>
          <t>VIMMERBY</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63541-2023</t>
        </is>
      </c>
      <c r="B584" s="1" t="n">
        <v>45275.32266203704</v>
      </c>
      <c r="C584" s="1" t="n">
        <v>45966</v>
      </c>
      <c r="D584" t="inlineStr">
        <is>
          <t>KALMAR LÄN</t>
        </is>
      </c>
      <c r="E584" t="inlineStr">
        <is>
          <t>VIMMERBY</t>
        </is>
      </c>
      <c r="G584" t="n">
        <v>1.1</v>
      </c>
      <c r="H584" t="n">
        <v>0</v>
      </c>
      <c r="I584" t="n">
        <v>0</v>
      </c>
      <c r="J584" t="n">
        <v>0</v>
      </c>
      <c r="K584" t="n">
        <v>0</v>
      </c>
      <c r="L584" t="n">
        <v>0</v>
      </c>
      <c r="M584" t="n">
        <v>0</v>
      </c>
      <c r="N584" t="n">
        <v>0</v>
      </c>
      <c r="O584" t="n">
        <v>0</v>
      </c>
      <c r="P584" t="n">
        <v>0</v>
      </c>
      <c r="Q584" t="n">
        <v>0</v>
      </c>
      <c r="R584" s="2" t="inlineStr"/>
    </row>
    <row r="585" ht="15" customHeight="1">
      <c r="A585" t="inlineStr">
        <is>
          <t>A 28034-2022</t>
        </is>
      </c>
      <c r="B585" s="1" t="n">
        <v>44746.38834490741</v>
      </c>
      <c r="C585" s="1" t="n">
        <v>45966</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5938-2022</t>
        </is>
      </c>
      <c r="B586" s="1" t="n">
        <v>44598</v>
      </c>
      <c r="C586" s="1" t="n">
        <v>45966</v>
      </c>
      <c r="D586" t="inlineStr">
        <is>
          <t>KALMAR LÄN</t>
        </is>
      </c>
      <c r="E586" t="inlineStr">
        <is>
          <t>VIMMERBY</t>
        </is>
      </c>
      <c r="G586" t="n">
        <v>2.4</v>
      </c>
      <c r="H586" t="n">
        <v>0</v>
      </c>
      <c r="I586" t="n">
        <v>0</v>
      </c>
      <c r="J586" t="n">
        <v>0</v>
      </c>
      <c r="K586" t="n">
        <v>0</v>
      </c>
      <c r="L586" t="n">
        <v>0</v>
      </c>
      <c r="M586" t="n">
        <v>0</v>
      </c>
      <c r="N586" t="n">
        <v>0</v>
      </c>
      <c r="O586" t="n">
        <v>0</v>
      </c>
      <c r="P586" t="n">
        <v>0</v>
      </c>
      <c r="Q586" t="n">
        <v>0</v>
      </c>
      <c r="R586" s="2" t="inlineStr"/>
    </row>
    <row r="587" ht="15" customHeight="1">
      <c r="A587" t="inlineStr">
        <is>
          <t>A 60951-2023</t>
        </is>
      </c>
      <c r="B587" s="1" t="n">
        <v>45261.44914351852</v>
      </c>
      <c r="C587" s="1" t="n">
        <v>45966</v>
      </c>
      <c r="D587" t="inlineStr">
        <is>
          <t>KALMAR LÄN</t>
        </is>
      </c>
      <c r="E587" t="inlineStr">
        <is>
          <t>VIMMERBY</t>
        </is>
      </c>
      <c r="G587" t="n">
        <v>4.3</v>
      </c>
      <c r="H587" t="n">
        <v>0</v>
      </c>
      <c r="I587" t="n">
        <v>0</v>
      </c>
      <c r="J587" t="n">
        <v>0</v>
      </c>
      <c r="K587" t="n">
        <v>0</v>
      </c>
      <c r="L587" t="n">
        <v>0</v>
      </c>
      <c r="M587" t="n">
        <v>0</v>
      </c>
      <c r="N587" t="n">
        <v>0</v>
      </c>
      <c r="O587" t="n">
        <v>0</v>
      </c>
      <c r="P587" t="n">
        <v>0</v>
      </c>
      <c r="Q587" t="n">
        <v>0</v>
      </c>
      <c r="R587" s="2" t="inlineStr"/>
    </row>
    <row r="588" ht="15" customHeight="1">
      <c r="A588" t="inlineStr">
        <is>
          <t>A 60292-2022</t>
        </is>
      </c>
      <c r="B588" s="1" t="n">
        <v>44910.54231481482</v>
      </c>
      <c r="C588" s="1" t="n">
        <v>45966</v>
      </c>
      <c r="D588" t="inlineStr">
        <is>
          <t>KALMAR LÄN</t>
        </is>
      </c>
      <c r="E588" t="inlineStr">
        <is>
          <t>VIMMERBY</t>
        </is>
      </c>
      <c r="G588" t="n">
        <v>4.4</v>
      </c>
      <c r="H588" t="n">
        <v>0</v>
      </c>
      <c r="I588" t="n">
        <v>0</v>
      </c>
      <c r="J588" t="n">
        <v>0</v>
      </c>
      <c r="K588" t="n">
        <v>0</v>
      </c>
      <c r="L588" t="n">
        <v>0</v>
      </c>
      <c r="M588" t="n">
        <v>0</v>
      </c>
      <c r="N588" t="n">
        <v>0</v>
      </c>
      <c r="O588" t="n">
        <v>0</v>
      </c>
      <c r="P588" t="n">
        <v>0</v>
      </c>
      <c r="Q588" t="n">
        <v>0</v>
      </c>
      <c r="R588" s="2" t="inlineStr"/>
    </row>
    <row r="589" ht="15" customHeight="1">
      <c r="A589" t="inlineStr">
        <is>
          <t>A 24283-2023</t>
        </is>
      </c>
      <c r="B589" s="1" t="n">
        <v>45079.87827546296</v>
      </c>
      <c r="C589" s="1" t="n">
        <v>45966</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28286-2025</t>
        </is>
      </c>
      <c r="B590" s="1" t="n">
        <v>45818.58993055556</v>
      </c>
      <c r="C590" s="1" t="n">
        <v>45966</v>
      </c>
      <c r="D590" t="inlineStr">
        <is>
          <t>KALMAR LÄN</t>
        </is>
      </c>
      <c r="E590" t="inlineStr">
        <is>
          <t>VIMMERBY</t>
        </is>
      </c>
      <c r="F590" t="inlineStr">
        <is>
          <t>Sveaskog</t>
        </is>
      </c>
      <c r="G590" t="n">
        <v>8</v>
      </c>
      <c r="H590" t="n">
        <v>0</v>
      </c>
      <c r="I590" t="n">
        <v>0</v>
      </c>
      <c r="J590" t="n">
        <v>0</v>
      </c>
      <c r="K590" t="n">
        <v>0</v>
      </c>
      <c r="L590" t="n">
        <v>0</v>
      </c>
      <c r="M590" t="n">
        <v>0</v>
      </c>
      <c r="N590" t="n">
        <v>0</v>
      </c>
      <c r="O590" t="n">
        <v>0</v>
      </c>
      <c r="P590" t="n">
        <v>0</v>
      </c>
      <c r="Q590" t="n">
        <v>0</v>
      </c>
      <c r="R590" s="2" t="inlineStr"/>
    </row>
    <row r="591" ht="15" customHeight="1">
      <c r="A591" t="inlineStr">
        <is>
          <t>A 28282-2025</t>
        </is>
      </c>
      <c r="B591" s="1" t="n">
        <v>45818.58769675926</v>
      </c>
      <c r="C591" s="1" t="n">
        <v>45966</v>
      </c>
      <c r="D591" t="inlineStr">
        <is>
          <t>KALMAR LÄN</t>
        </is>
      </c>
      <c r="E591" t="inlineStr">
        <is>
          <t>VIMMERBY</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28294-2025</t>
        </is>
      </c>
      <c r="B592" s="1" t="n">
        <v>45818.595625</v>
      </c>
      <c r="C592" s="1" t="n">
        <v>45966</v>
      </c>
      <c r="D592" t="inlineStr">
        <is>
          <t>KALMAR LÄN</t>
        </is>
      </c>
      <c r="E592" t="inlineStr">
        <is>
          <t>VIMMERBY</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28290-2025</t>
        </is>
      </c>
      <c r="B593" s="1" t="n">
        <v>45818.59261574074</v>
      </c>
      <c r="C593" s="1" t="n">
        <v>45966</v>
      </c>
      <c r="D593" t="inlineStr">
        <is>
          <t>KALMAR LÄN</t>
        </is>
      </c>
      <c r="E593" t="inlineStr">
        <is>
          <t>VIMMERBY</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28280-2025</t>
        </is>
      </c>
      <c r="B594" s="1" t="n">
        <v>45818.5862037037</v>
      </c>
      <c r="C594" s="1" t="n">
        <v>45966</v>
      </c>
      <c r="D594" t="inlineStr">
        <is>
          <t>KALMAR LÄN</t>
        </is>
      </c>
      <c r="E594" t="inlineStr">
        <is>
          <t>VIMMERBY</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2462-2022</t>
        </is>
      </c>
      <c r="B595" s="1" t="n">
        <v>44579.62225694444</v>
      </c>
      <c r="C595" s="1" t="n">
        <v>45966</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60228-2021</t>
        </is>
      </c>
      <c r="B596" s="1" t="n">
        <v>44495</v>
      </c>
      <c r="C596" s="1" t="n">
        <v>45966</v>
      </c>
      <c r="D596" t="inlineStr">
        <is>
          <t>KALMAR LÄN</t>
        </is>
      </c>
      <c r="E596" t="inlineStr">
        <is>
          <t>VIMMERBY</t>
        </is>
      </c>
      <c r="G596" t="n">
        <v>4.1</v>
      </c>
      <c r="H596" t="n">
        <v>0</v>
      </c>
      <c r="I596" t="n">
        <v>0</v>
      </c>
      <c r="J596" t="n">
        <v>0</v>
      </c>
      <c r="K596" t="n">
        <v>0</v>
      </c>
      <c r="L596" t="n">
        <v>0</v>
      </c>
      <c r="M596" t="n">
        <v>0</v>
      </c>
      <c r="N596" t="n">
        <v>0</v>
      </c>
      <c r="O596" t="n">
        <v>0</v>
      </c>
      <c r="P596" t="n">
        <v>0</v>
      </c>
      <c r="Q596" t="n">
        <v>0</v>
      </c>
      <c r="R596" s="2" t="inlineStr"/>
    </row>
    <row r="597" ht="15" customHeight="1">
      <c r="A597" t="inlineStr">
        <is>
          <t>A 25979-2023</t>
        </is>
      </c>
      <c r="B597" s="1" t="n">
        <v>45090.89653935185</v>
      </c>
      <c r="C597" s="1" t="n">
        <v>45966</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25980-2023</t>
        </is>
      </c>
      <c r="B598" s="1" t="n">
        <v>45090.89880787037</v>
      </c>
      <c r="C598" s="1" t="n">
        <v>45966</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12510-2022</t>
        </is>
      </c>
      <c r="B599" s="1" t="n">
        <v>44638.55256944444</v>
      </c>
      <c r="C599" s="1" t="n">
        <v>45966</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6358-2022</t>
        </is>
      </c>
      <c r="B600" s="1" t="n">
        <v>44600</v>
      </c>
      <c r="C600" s="1" t="n">
        <v>45966</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28620-2025</t>
        </is>
      </c>
      <c r="B601" s="1" t="n">
        <v>45819.61060185185</v>
      </c>
      <c r="C601" s="1" t="n">
        <v>45966</v>
      </c>
      <c r="D601" t="inlineStr">
        <is>
          <t>KALMAR LÄN</t>
        </is>
      </c>
      <c r="E601" t="inlineStr">
        <is>
          <t>VIMMERBY</t>
        </is>
      </c>
      <c r="G601" t="n">
        <v>5.6</v>
      </c>
      <c r="H601" t="n">
        <v>0</v>
      </c>
      <c r="I601" t="n">
        <v>0</v>
      </c>
      <c r="J601" t="n">
        <v>0</v>
      </c>
      <c r="K601" t="n">
        <v>0</v>
      </c>
      <c r="L601" t="n">
        <v>0</v>
      </c>
      <c r="M601" t="n">
        <v>0</v>
      </c>
      <c r="N601" t="n">
        <v>0</v>
      </c>
      <c r="O601" t="n">
        <v>0</v>
      </c>
      <c r="P601" t="n">
        <v>0</v>
      </c>
      <c r="Q601" t="n">
        <v>0</v>
      </c>
      <c r="R601" s="2" t="inlineStr"/>
    </row>
    <row r="602" ht="15" customHeight="1">
      <c r="A602" t="inlineStr">
        <is>
          <t>A 7485-2024</t>
        </is>
      </c>
      <c r="B602" s="1" t="n">
        <v>45346.67184027778</v>
      </c>
      <c r="C602" s="1" t="n">
        <v>45966</v>
      </c>
      <c r="D602" t="inlineStr">
        <is>
          <t>KALMAR LÄN</t>
        </is>
      </c>
      <c r="E602" t="inlineStr">
        <is>
          <t>VIMMERBY</t>
        </is>
      </c>
      <c r="G602" t="n">
        <v>1.9</v>
      </c>
      <c r="H602" t="n">
        <v>0</v>
      </c>
      <c r="I602" t="n">
        <v>0</v>
      </c>
      <c r="J602" t="n">
        <v>0</v>
      </c>
      <c r="K602" t="n">
        <v>0</v>
      </c>
      <c r="L602" t="n">
        <v>0</v>
      </c>
      <c r="M602" t="n">
        <v>0</v>
      </c>
      <c r="N602" t="n">
        <v>0</v>
      </c>
      <c r="O602" t="n">
        <v>0</v>
      </c>
      <c r="P602" t="n">
        <v>0</v>
      </c>
      <c r="Q602" t="n">
        <v>0</v>
      </c>
      <c r="R602" s="2" t="inlineStr"/>
    </row>
    <row r="603" ht="15" customHeight="1">
      <c r="A603" t="inlineStr">
        <is>
          <t>A 28712-2025</t>
        </is>
      </c>
      <c r="B603" s="1" t="n">
        <v>45820.33708333333</v>
      </c>
      <c r="C603" s="1" t="n">
        <v>45966</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28714-2025</t>
        </is>
      </c>
      <c r="B604" s="1" t="n">
        <v>45820.34128472222</v>
      </c>
      <c r="C604" s="1" t="n">
        <v>45966</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12590-2025</t>
        </is>
      </c>
      <c r="B605" s="1" t="n">
        <v>45732.79925925926</v>
      </c>
      <c r="C605" s="1" t="n">
        <v>45966</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28713-2025</t>
        </is>
      </c>
      <c r="B606" s="1" t="n">
        <v>45820.33930555556</v>
      </c>
      <c r="C606" s="1" t="n">
        <v>45966</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35710-2023</t>
        </is>
      </c>
      <c r="B607" s="1" t="n">
        <v>45147.67096064815</v>
      </c>
      <c r="C607" s="1" t="n">
        <v>45966</v>
      </c>
      <c r="D607" t="inlineStr">
        <is>
          <t>KALMAR LÄN</t>
        </is>
      </c>
      <c r="E607" t="inlineStr">
        <is>
          <t>VIMMERBY</t>
        </is>
      </c>
      <c r="G607" t="n">
        <v>3.1</v>
      </c>
      <c r="H607" t="n">
        <v>0</v>
      </c>
      <c r="I607" t="n">
        <v>0</v>
      </c>
      <c r="J607" t="n">
        <v>0</v>
      </c>
      <c r="K607" t="n">
        <v>0</v>
      </c>
      <c r="L607" t="n">
        <v>0</v>
      </c>
      <c r="M607" t="n">
        <v>0</v>
      </c>
      <c r="N607" t="n">
        <v>0</v>
      </c>
      <c r="O607" t="n">
        <v>0</v>
      </c>
      <c r="P607" t="n">
        <v>0</v>
      </c>
      <c r="Q607" t="n">
        <v>0</v>
      </c>
      <c r="R607" s="2" t="inlineStr"/>
    </row>
    <row r="608" ht="15" customHeight="1">
      <c r="A608" t="inlineStr">
        <is>
          <t>A 48373-2021</t>
        </is>
      </c>
      <c r="B608" s="1" t="n">
        <v>44451</v>
      </c>
      <c r="C608" s="1" t="n">
        <v>45966</v>
      </c>
      <c r="D608" t="inlineStr">
        <is>
          <t>KALMAR LÄN</t>
        </is>
      </c>
      <c r="E608" t="inlineStr">
        <is>
          <t>VIMMERBY</t>
        </is>
      </c>
      <c r="G608" t="n">
        <v>2.2</v>
      </c>
      <c r="H608" t="n">
        <v>0</v>
      </c>
      <c r="I608" t="n">
        <v>0</v>
      </c>
      <c r="J608" t="n">
        <v>0</v>
      </c>
      <c r="K608" t="n">
        <v>0</v>
      </c>
      <c r="L608" t="n">
        <v>0</v>
      </c>
      <c r="M608" t="n">
        <v>0</v>
      </c>
      <c r="N608" t="n">
        <v>0</v>
      </c>
      <c r="O608" t="n">
        <v>0</v>
      </c>
      <c r="P608" t="n">
        <v>0</v>
      </c>
      <c r="Q608" t="n">
        <v>0</v>
      </c>
      <c r="R608" s="2" t="inlineStr"/>
    </row>
    <row r="609" ht="15" customHeight="1">
      <c r="A609" t="inlineStr">
        <is>
          <t>A 52823-2024</t>
        </is>
      </c>
      <c r="B609" s="1" t="n">
        <v>45610.59094907407</v>
      </c>
      <c r="C609" s="1" t="n">
        <v>45966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29737-2025</t>
        </is>
      </c>
      <c r="B610" s="1" t="n">
        <v>45825.58672453704</v>
      </c>
      <c r="C610" s="1" t="n">
        <v>45966</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29727-2025</t>
        </is>
      </c>
      <c r="B611" s="1" t="n">
        <v>45825.5796875</v>
      </c>
      <c r="C611" s="1" t="n">
        <v>45966</v>
      </c>
      <c r="D611" t="inlineStr">
        <is>
          <t>KALMAR LÄN</t>
        </is>
      </c>
      <c r="E611" t="inlineStr">
        <is>
          <t>VIMMERBY</t>
        </is>
      </c>
      <c r="G611" t="n">
        <v>1.3</v>
      </c>
      <c r="H611" t="n">
        <v>0</v>
      </c>
      <c r="I611" t="n">
        <v>0</v>
      </c>
      <c r="J611" t="n">
        <v>0</v>
      </c>
      <c r="K611" t="n">
        <v>0</v>
      </c>
      <c r="L611" t="n">
        <v>0</v>
      </c>
      <c r="M611" t="n">
        <v>0</v>
      </c>
      <c r="N611" t="n">
        <v>0</v>
      </c>
      <c r="O611" t="n">
        <v>0</v>
      </c>
      <c r="P611" t="n">
        <v>0</v>
      </c>
      <c r="Q611" t="n">
        <v>0</v>
      </c>
      <c r="R611" s="2" t="inlineStr"/>
    </row>
    <row r="612" ht="15" customHeight="1">
      <c r="A612" t="inlineStr">
        <is>
          <t>A 57256-2023</t>
        </is>
      </c>
      <c r="B612" s="1" t="n">
        <v>45245.5735300926</v>
      </c>
      <c r="C612" s="1" t="n">
        <v>45966</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17482-2024</t>
        </is>
      </c>
      <c r="B613" s="1" t="n">
        <v>45415.47848379629</v>
      </c>
      <c r="C613" s="1" t="n">
        <v>45966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55123-2024</t>
        </is>
      </c>
      <c r="B614" s="1" t="n">
        <v>45621.46103009259</v>
      </c>
      <c r="C614" s="1" t="n">
        <v>45966</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11147-2023</t>
        </is>
      </c>
      <c r="B615" s="1" t="n">
        <v>44992</v>
      </c>
      <c r="C615" s="1" t="n">
        <v>45966</v>
      </c>
      <c r="D615" t="inlineStr">
        <is>
          <t>KALMAR LÄN</t>
        </is>
      </c>
      <c r="E615" t="inlineStr">
        <is>
          <t>VIMMERBY</t>
        </is>
      </c>
      <c r="G615" t="n">
        <v>0.8</v>
      </c>
      <c r="H615" t="n">
        <v>0</v>
      </c>
      <c r="I615" t="n">
        <v>0</v>
      </c>
      <c r="J615" t="n">
        <v>0</v>
      </c>
      <c r="K615" t="n">
        <v>0</v>
      </c>
      <c r="L615" t="n">
        <v>0</v>
      </c>
      <c r="M615" t="n">
        <v>0</v>
      </c>
      <c r="N615" t="n">
        <v>0</v>
      </c>
      <c r="O615" t="n">
        <v>0</v>
      </c>
      <c r="P615" t="n">
        <v>0</v>
      </c>
      <c r="Q615" t="n">
        <v>0</v>
      </c>
      <c r="R615" s="2" t="inlineStr"/>
    </row>
    <row r="616" ht="15" customHeight="1">
      <c r="A616" t="inlineStr">
        <is>
          <t>A 49313-2022</t>
        </is>
      </c>
      <c r="B616" s="1" t="n">
        <v>44861.52505787037</v>
      </c>
      <c r="C616" s="1" t="n">
        <v>45966</v>
      </c>
      <c r="D616" t="inlineStr">
        <is>
          <t>KALMAR LÄN</t>
        </is>
      </c>
      <c r="E616" t="inlineStr">
        <is>
          <t>VIMMERBY</t>
        </is>
      </c>
      <c r="G616" t="n">
        <v>1.9</v>
      </c>
      <c r="H616" t="n">
        <v>0</v>
      </c>
      <c r="I616" t="n">
        <v>0</v>
      </c>
      <c r="J616" t="n">
        <v>0</v>
      </c>
      <c r="K616" t="n">
        <v>0</v>
      </c>
      <c r="L616" t="n">
        <v>0</v>
      </c>
      <c r="M616" t="n">
        <v>0</v>
      </c>
      <c r="N616" t="n">
        <v>0</v>
      </c>
      <c r="O616" t="n">
        <v>0</v>
      </c>
      <c r="P616" t="n">
        <v>0</v>
      </c>
      <c r="Q616" t="n">
        <v>0</v>
      </c>
      <c r="R616" s="2" t="inlineStr"/>
    </row>
    <row r="617" ht="15" customHeight="1">
      <c r="A617" t="inlineStr">
        <is>
          <t>A 1987-2024</t>
        </is>
      </c>
      <c r="B617" s="1" t="n">
        <v>45308.61152777778</v>
      </c>
      <c r="C617" s="1" t="n">
        <v>45966</v>
      </c>
      <c r="D617" t="inlineStr">
        <is>
          <t>KALMAR LÄN</t>
        </is>
      </c>
      <c r="E617" t="inlineStr">
        <is>
          <t>VIMMERBY</t>
        </is>
      </c>
      <c r="G617" t="n">
        <v>3</v>
      </c>
      <c r="H617" t="n">
        <v>0</v>
      </c>
      <c r="I617" t="n">
        <v>0</v>
      </c>
      <c r="J617" t="n">
        <v>0</v>
      </c>
      <c r="K617" t="n">
        <v>0</v>
      </c>
      <c r="L617" t="n">
        <v>0</v>
      </c>
      <c r="M617" t="n">
        <v>0</v>
      </c>
      <c r="N617" t="n">
        <v>0</v>
      </c>
      <c r="O617" t="n">
        <v>0</v>
      </c>
      <c r="P617" t="n">
        <v>0</v>
      </c>
      <c r="Q617" t="n">
        <v>0</v>
      </c>
      <c r="R617" s="2" t="inlineStr"/>
    </row>
    <row r="618" ht="15" customHeight="1">
      <c r="A618" t="inlineStr">
        <is>
          <t>A 19833-2023</t>
        </is>
      </c>
      <c r="B618" s="1" t="n">
        <v>45052</v>
      </c>
      <c r="C618" s="1" t="n">
        <v>45966</v>
      </c>
      <c r="D618" t="inlineStr">
        <is>
          <t>KALMAR LÄN</t>
        </is>
      </c>
      <c r="E618" t="inlineStr">
        <is>
          <t>VIMMERBY</t>
        </is>
      </c>
      <c r="G618" t="n">
        <v>6.7</v>
      </c>
      <c r="H618" t="n">
        <v>0</v>
      </c>
      <c r="I618" t="n">
        <v>0</v>
      </c>
      <c r="J618" t="n">
        <v>0</v>
      </c>
      <c r="K618" t="n">
        <v>0</v>
      </c>
      <c r="L618" t="n">
        <v>0</v>
      </c>
      <c r="M618" t="n">
        <v>0</v>
      </c>
      <c r="N618" t="n">
        <v>0</v>
      </c>
      <c r="O618" t="n">
        <v>0</v>
      </c>
      <c r="P618" t="n">
        <v>0</v>
      </c>
      <c r="Q618" t="n">
        <v>0</v>
      </c>
      <c r="R618" s="2" t="inlineStr"/>
    </row>
    <row r="619" ht="15" customHeight="1">
      <c r="A619" t="inlineStr">
        <is>
          <t>A 30293-2025</t>
        </is>
      </c>
      <c r="B619" s="1" t="n">
        <v>45827</v>
      </c>
      <c r="C619" s="1" t="n">
        <v>45966</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30290-2025</t>
        </is>
      </c>
      <c r="B620" s="1" t="n">
        <v>45827</v>
      </c>
      <c r="C620" s="1" t="n">
        <v>45966</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21507-2023</t>
        </is>
      </c>
      <c r="B621" s="1" t="n">
        <v>45063.508125</v>
      </c>
      <c r="C621" s="1" t="n">
        <v>45966</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57189-2022</t>
        </is>
      </c>
      <c r="B622" s="1" t="n">
        <v>44895.62296296296</v>
      </c>
      <c r="C622" s="1" t="n">
        <v>45966</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48673-2021</t>
        </is>
      </c>
      <c r="B623" s="1" t="n">
        <v>44452</v>
      </c>
      <c r="C623" s="1" t="n">
        <v>45966</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14248-2023</t>
        </is>
      </c>
      <c r="B624" s="1" t="n">
        <v>45009</v>
      </c>
      <c r="C624" s="1" t="n">
        <v>45966</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12480-2024</t>
        </is>
      </c>
      <c r="B625" s="1" t="n">
        <v>45379</v>
      </c>
      <c r="C625" s="1" t="n">
        <v>45966</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30850-2025</t>
        </is>
      </c>
      <c r="B626" s="1" t="n">
        <v>45831</v>
      </c>
      <c r="C626" s="1" t="n">
        <v>45966</v>
      </c>
      <c r="D626" t="inlineStr">
        <is>
          <t>KALMAR LÄN</t>
        </is>
      </c>
      <c r="E626" t="inlineStr">
        <is>
          <t>VIMMERBY</t>
        </is>
      </c>
      <c r="G626" t="n">
        <v>2.7</v>
      </c>
      <c r="H626" t="n">
        <v>0</v>
      </c>
      <c r="I626" t="n">
        <v>0</v>
      </c>
      <c r="J626" t="n">
        <v>0</v>
      </c>
      <c r="K626" t="n">
        <v>0</v>
      </c>
      <c r="L626" t="n">
        <v>0</v>
      </c>
      <c r="M626" t="n">
        <v>0</v>
      </c>
      <c r="N626" t="n">
        <v>0</v>
      </c>
      <c r="O626" t="n">
        <v>0</v>
      </c>
      <c r="P626" t="n">
        <v>0</v>
      </c>
      <c r="Q626" t="n">
        <v>0</v>
      </c>
      <c r="R626" s="2" t="inlineStr"/>
    </row>
    <row r="627" ht="15" customHeight="1">
      <c r="A627" t="inlineStr">
        <is>
          <t>A 14548-2024</t>
        </is>
      </c>
      <c r="B627" s="1" t="n">
        <v>45394.66887731481</v>
      </c>
      <c r="C627" s="1" t="n">
        <v>45966</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585-2024</t>
        </is>
      </c>
      <c r="B628" s="1" t="n">
        <v>45299.62576388889</v>
      </c>
      <c r="C628" s="1" t="n">
        <v>45966</v>
      </c>
      <c r="D628" t="inlineStr">
        <is>
          <t>KALMAR LÄN</t>
        </is>
      </c>
      <c r="E628" t="inlineStr">
        <is>
          <t>VIMMERBY</t>
        </is>
      </c>
      <c r="G628" t="n">
        <v>0.7</v>
      </c>
      <c r="H628" t="n">
        <v>0</v>
      </c>
      <c r="I628" t="n">
        <v>0</v>
      </c>
      <c r="J628" t="n">
        <v>0</v>
      </c>
      <c r="K628" t="n">
        <v>0</v>
      </c>
      <c r="L628" t="n">
        <v>0</v>
      </c>
      <c r="M628" t="n">
        <v>0</v>
      </c>
      <c r="N628" t="n">
        <v>0</v>
      </c>
      <c r="O628" t="n">
        <v>0</v>
      </c>
      <c r="P628" t="n">
        <v>0</v>
      </c>
      <c r="Q628" t="n">
        <v>0</v>
      </c>
      <c r="R628" s="2" t="inlineStr"/>
    </row>
    <row r="629" ht="15" customHeight="1">
      <c r="A629" t="inlineStr">
        <is>
          <t>A 56020-2024</t>
        </is>
      </c>
      <c r="B629" s="1" t="n">
        <v>45623.9525462963</v>
      </c>
      <c r="C629" s="1" t="n">
        <v>45966</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40095-2022</t>
        </is>
      </c>
      <c r="B630" s="1" t="n">
        <v>44820</v>
      </c>
      <c r="C630" s="1" t="n">
        <v>45966</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31552-2025</t>
        </is>
      </c>
      <c r="B631" s="1" t="n">
        <v>45833.64563657407</v>
      </c>
      <c r="C631" s="1" t="n">
        <v>45966</v>
      </c>
      <c r="D631" t="inlineStr">
        <is>
          <t>KALMAR LÄN</t>
        </is>
      </c>
      <c r="E631" t="inlineStr">
        <is>
          <t>VIMMERBY</t>
        </is>
      </c>
      <c r="G631" t="n">
        <v>1.7</v>
      </c>
      <c r="H631" t="n">
        <v>0</v>
      </c>
      <c r="I631" t="n">
        <v>0</v>
      </c>
      <c r="J631" t="n">
        <v>0</v>
      </c>
      <c r="K631" t="n">
        <v>0</v>
      </c>
      <c r="L631" t="n">
        <v>0</v>
      </c>
      <c r="M631" t="n">
        <v>0</v>
      </c>
      <c r="N631" t="n">
        <v>0</v>
      </c>
      <c r="O631" t="n">
        <v>0</v>
      </c>
      <c r="P631" t="n">
        <v>0</v>
      </c>
      <c r="Q631" t="n">
        <v>0</v>
      </c>
      <c r="R631" s="2" t="inlineStr"/>
    </row>
    <row r="632" ht="15" customHeight="1">
      <c r="A632" t="inlineStr">
        <is>
          <t>A 31555-2025</t>
        </is>
      </c>
      <c r="B632" s="1" t="n">
        <v>45833.64814814815</v>
      </c>
      <c r="C632" s="1" t="n">
        <v>45966</v>
      </c>
      <c r="D632" t="inlineStr">
        <is>
          <t>KALMAR LÄN</t>
        </is>
      </c>
      <c r="E632" t="inlineStr">
        <is>
          <t>VIMMERBY</t>
        </is>
      </c>
      <c r="G632" t="n">
        <v>1.8</v>
      </c>
      <c r="H632" t="n">
        <v>0</v>
      </c>
      <c r="I632" t="n">
        <v>0</v>
      </c>
      <c r="J632" t="n">
        <v>0</v>
      </c>
      <c r="K632" t="n">
        <v>0</v>
      </c>
      <c r="L632" t="n">
        <v>0</v>
      </c>
      <c r="M632" t="n">
        <v>0</v>
      </c>
      <c r="N632" t="n">
        <v>0</v>
      </c>
      <c r="O632" t="n">
        <v>0</v>
      </c>
      <c r="P632" t="n">
        <v>0</v>
      </c>
      <c r="Q632" t="n">
        <v>0</v>
      </c>
      <c r="R632" s="2" t="inlineStr"/>
    </row>
    <row r="633" ht="15" customHeight="1">
      <c r="A633" t="inlineStr">
        <is>
          <t>A 50085-2023</t>
        </is>
      </c>
      <c r="B633" s="1" t="n">
        <v>45215.5959375</v>
      </c>
      <c r="C633" s="1" t="n">
        <v>45966</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50087-2023</t>
        </is>
      </c>
      <c r="B634" s="1" t="n">
        <v>45215.59743055556</v>
      </c>
      <c r="C634" s="1" t="n">
        <v>45966</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8167-2024</t>
        </is>
      </c>
      <c r="B635" s="1" t="n">
        <v>45351.6062962963</v>
      </c>
      <c r="C635" s="1" t="n">
        <v>45966</v>
      </c>
      <c r="D635" t="inlineStr">
        <is>
          <t>KALMAR LÄN</t>
        </is>
      </c>
      <c r="E635" t="inlineStr">
        <is>
          <t>VIMMERBY</t>
        </is>
      </c>
      <c r="G635" t="n">
        <v>3.8</v>
      </c>
      <c r="H635" t="n">
        <v>0</v>
      </c>
      <c r="I635" t="n">
        <v>0</v>
      </c>
      <c r="J635" t="n">
        <v>0</v>
      </c>
      <c r="K635" t="n">
        <v>0</v>
      </c>
      <c r="L635" t="n">
        <v>0</v>
      </c>
      <c r="M635" t="n">
        <v>0</v>
      </c>
      <c r="N635" t="n">
        <v>0</v>
      </c>
      <c r="O635" t="n">
        <v>0</v>
      </c>
      <c r="P635" t="n">
        <v>0</v>
      </c>
      <c r="Q635" t="n">
        <v>0</v>
      </c>
      <c r="R635" s="2" t="inlineStr"/>
    </row>
    <row r="636" ht="15" customHeight="1">
      <c r="A636" t="inlineStr">
        <is>
          <t>A 30971-2025</t>
        </is>
      </c>
      <c r="B636" s="1" t="n">
        <v>45832.46146990741</v>
      </c>
      <c r="C636" s="1" t="n">
        <v>45966</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31551-2025</t>
        </is>
      </c>
      <c r="B637" s="1" t="n">
        <v>45833.64237268519</v>
      </c>
      <c r="C637" s="1" t="n">
        <v>45966</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23252-2024</t>
        </is>
      </c>
      <c r="B638" s="1" t="n">
        <v>45453.36067129629</v>
      </c>
      <c r="C638" s="1" t="n">
        <v>45966</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30882-2025</t>
        </is>
      </c>
      <c r="B639" s="1" t="n">
        <v>45832.34540509259</v>
      </c>
      <c r="C639" s="1" t="n">
        <v>45966</v>
      </c>
      <c r="D639" t="inlineStr">
        <is>
          <t>KALMAR LÄN</t>
        </is>
      </c>
      <c r="E639" t="inlineStr">
        <is>
          <t>VIMMERBY</t>
        </is>
      </c>
      <c r="G639" t="n">
        <v>0.7</v>
      </c>
      <c r="H639" t="n">
        <v>0</v>
      </c>
      <c r="I639" t="n">
        <v>0</v>
      </c>
      <c r="J639" t="n">
        <v>0</v>
      </c>
      <c r="K639" t="n">
        <v>0</v>
      </c>
      <c r="L639" t="n">
        <v>0</v>
      </c>
      <c r="M639" t="n">
        <v>0</v>
      </c>
      <c r="N639" t="n">
        <v>0</v>
      </c>
      <c r="O639" t="n">
        <v>0</v>
      </c>
      <c r="P639" t="n">
        <v>0</v>
      </c>
      <c r="Q639" t="n">
        <v>0</v>
      </c>
      <c r="R639" s="2" t="inlineStr"/>
    </row>
    <row r="640" ht="15" customHeight="1">
      <c r="A640" t="inlineStr">
        <is>
          <t>A 15550-2023</t>
        </is>
      </c>
      <c r="B640" s="1" t="n">
        <v>45020</v>
      </c>
      <c r="C640" s="1" t="n">
        <v>45966</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31872-2025</t>
        </is>
      </c>
      <c r="B641" s="1" t="n">
        <v>45834.65040509259</v>
      </c>
      <c r="C641" s="1" t="n">
        <v>45966</v>
      </c>
      <c r="D641" t="inlineStr">
        <is>
          <t>KALMAR LÄN</t>
        </is>
      </c>
      <c r="E641" t="inlineStr">
        <is>
          <t>VIMMERBY</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11219-2023</t>
        </is>
      </c>
      <c r="B642" s="1" t="n">
        <v>44992.62498842592</v>
      </c>
      <c r="C642" s="1" t="n">
        <v>45966</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8559-2025</t>
        </is>
      </c>
      <c r="B643" s="1" t="n">
        <v>45709.62280092593</v>
      </c>
      <c r="C643" s="1" t="n">
        <v>45966</v>
      </c>
      <c r="D643" t="inlineStr">
        <is>
          <t>KALMAR LÄN</t>
        </is>
      </c>
      <c r="E643" t="inlineStr">
        <is>
          <t>VIMMERBY</t>
        </is>
      </c>
      <c r="G643" t="n">
        <v>8.9</v>
      </c>
      <c r="H643" t="n">
        <v>0</v>
      </c>
      <c r="I643" t="n">
        <v>0</v>
      </c>
      <c r="J643" t="n">
        <v>0</v>
      </c>
      <c r="K643" t="n">
        <v>0</v>
      </c>
      <c r="L643" t="n">
        <v>0</v>
      </c>
      <c r="M643" t="n">
        <v>0</v>
      </c>
      <c r="N643" t="n">
        <v>0</v>
      </c>
      <c r="O643" t="n">
        <v>0</v>
      </c>
      <c r="P643" t="n">
        <v>0</v>
      </c>
      <c r="Q643" t="n">
        <v>0</v>
      </c>
      <c r="R643" s="2" t="inlineStr"/>
    </row>
    <row r="644" ht="15" customHeight="1">
      <c r="A644" t="inlineStr">
        <is>
          <t>A 18411-2021</t>
        </is>
      </c>
      <c r="B644" s="1" t="n">
        <v>44302</v>
      </c>
      <c r="C644" s="1" t="n">
        <v>45966</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32064-2025</t>
        </is>
      </c>
      <c r="B645" s="1" t="n">
        <v>45835.44709490741</v>
      </c>
      <c r="C645" s="1" t="n">
        <v>45966</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47855-2024</t>
        </is>
      </c>
      <c r="B646" s="1" t="n">
        <v>45588.66457175926</v>
      </c>
      <c r="C646" s="1" t="n">
        <v>45966</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32109-2025</t>
        </is>
      </c>
      <c r="B647" s="1" t="n">
        <v>45835.48267361111</v>
      </c>
      <c r="C647" s="1" t="n">
        <v>45966</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32113-2025</t>
        </is>
      </c>
      <c r="B648" s="1" t="n">
        <v>45835.48445601852</v>
      </c>
      <c r="C648" s="1" t="n">
        <v>45966</v>
      </c>
      <c r="D648" t="inlineStr">
        <is>
          <t>KALMAR LÄN</t>
        </is>
      </c>
      <c r="E648" t="inlineStr">
        <is>
          <t>VIMMERBY</t>
        </is>
      </c>
      <c r="G648" t="n">
        <v>3.5</v>
      </c>
      <c r="H648" t="n">
        <v>0</v>
      </c>
      <c r="I648" t="n">
        <v>0</v>
      </c>
      <c r="J648" t="n">
        <v>0</v>
      </c>
      <c r="K648" t="n">
        <v>0</v>
      </c>
      <c r="L648" t="n">
        <v>0</v>
      </c>
      <c r="M648" t="n">
        <v>0</v>
      </c>
      <c r="N648" t="n">
        <v>0</v>
      </c>
      <c r="O648" t="n">
        <v>0</v>
      </c>
      <c r="P648" t="n">
        <v>0</v>
      </c>
      <c r="Q648" t="n">
        <v>0</v>
      </c>
      <c r="R648" s="2" t="inlineStr"/>
    </row>
    <row r="649" ht="15" customHeight="1">
      <c r="A649" t="inlineStr">
        <is>
          <t>A 32116-2025</t>
        </is>
      </c>
      <c r="B649" s="1" t="n">
        <v>45835.48862268519</v>
      </c>
      <c r="C649" s="1" t="n">
        <v>45966</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2604-2025</t>
        </is>
      </c>
      <c r="B650" s="1" t="n">
        <v>45674.74094907408</v>
      </c>
      <c r="C650" s="1" t="n">
        <v>45966</v>
      </c>
      <c r="D650" t="inlineStr">
        <is>
          <t>KALMAR LÄN</t>
        </is>
      </c>
      <c r="E650" t="inlineStr">
        <is>
          <t>VIMMERBY</t>
        </is>
      </c>
      <c r="G650" t="n">
        <v>7.6</v>
      </c>
      <c r="H650" t="n">
        <v>0</v>
      </c>
      <c r="I650" t="n">
        <v>0</v>
      </c>
      <c r="J650" t="n">
        <v>0</v>
      </c>
      <c r="K650" t="n">
        <v>0</v>
      </c>
      <c r="L650" t="n">
        <v>0</v>
      </c>
      <c r="M650" t="n">
        <v>0</v>
      </c>
      <c r="N650" t="n">
        <v>0</v>
      </c>
      <c r="O650" t="n">
        <v>0</v>
      </c>
      <c r="P650" t="n">
        <v>0</v>
      </c>
      <c r="Q650" t="n">
        <v>0</v>
      </c>
      <c r="R650" s="2" t="inlineStr"/>
    </row>
    <row r="651" ht="15" customHeight="1">
      <c r="A651" t="inlineStr">
        <is>
          <t>A 31870-2025</t>
        </is>
      </c>
      <c r="B651" s="1" t="n">
        <v>45834.64667824074</v>
      </c>
      <c r="C651" s="1" t="n">
        <v>45966</v>
      </c>
      <c r="D651" t="inlineStr">
        <is>
          <t>KALMAR LÄN</t>
        </is>
      </c>
      <c r="E651" t="inlineStr">
        <is>
          <t>VIMMERBY</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32065-2025</t>
        </is>
      </c>
      <c r="B652" s="1" t="n">
        <v>45835.44732638889</v>
      </c>
      <c r="C652" s="1" t="n">
        <v>45966</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31987-2025</t>
        </is>
      </c>
      <c r="B653" s="1" t="n">
        <v>45835.36229166666</v>
      </c>
      <c r="C653" s="1" t="n">
        <v>45966</v>
      </c>
      <c r="D653" t="inlineStr">
        <is>
          <t>KALMAR LÄN</t>
        </is>
      </c>
      <c r="E653" t="inlineStr">
        <is>
          <t>VIMMERBY</t>
        </is>
      </c>
      <c r="F653" t="inlineStr">
        <is>
          <t>Kyrkan</t>
        </is>
      </c>
      <c r="G653" t="n">
        <v>1.2</v>
      </c>
      <c r="H653" t="n">
        <v>0</v>
      </c>
      <c r="I653" t="n">
        <v>0</v>
      </c>
      <c r="J653" t="n">
        <v>0</v>
      </c>
      <c r="K653" t="n">
        <v>0</v>
      </c>
      <c r="L653" t="n">
        <v>0</v>
      </c>
      <c r="M653" t="n">
        <v>0</v>
      </c>
      <c r="N653" t="n">
        <v>0</v>
      </c>
      <c r="O653" t="n">
        <v>0</v>
      </c>
      <c r="P653" t="n">
        <v>0</v>
      </c>
      <c r="Q653" t="n">
        <v>0</v>
      </c>
      <c r="R653" s="2" t="inlineStr"/>
    </row>
    <row r="654" ht="15" customHeight="1">
      <c r="A654" t="inlineStr">
        <is>
          <t>A 32077-2025</t>
        </is>
      </c>
      <c r="B654" s="1" t="n">
        <v>45835.45099537037</v>
      </c>
      <c r="C654" s="1" t="n">
        <v>45966</v>
      </c>
      <c r="D654" t="inlineStr">
        <is>
          <t>KALMAR LÄN</t>
        </is>
      </c>
      <c r="E654" t="inlineStr">
        <is>
          <t>VIMMERBY</t>
        </is>
      </c>
      <c r="G654" t="n">
        <v>1.8</v>
      </c>
      <c r="H654" t="n">
        <v>0</v>
      </c>
      <c r="I654" t="n">
        <v>0</v>
      </c>
      <c r="J654" t="n">
        <v>0</v>
      </c>
      <c r="K654" t="n">
        <v>0</v>
      </c>
      <c r="L654" t="n">
        <v>0</v>
      </c>
      <c r="M654" t="n">
        <v>0</v>
      </c>
      <c r="N654" t="n">
        <v>0</v>
      </c>
      <c r="O654" t="n">
        <v>0</v>
      </c>
      <c r="P654" t="n">
        <v>0</v>
      </c>
      <c r="Q654" t="n">
        <v>0</v>
      </c>
      <c r="R654" s="2" t="inlineStr"/>
    </row>
    <row r="655" ht="15" customHeight="1">
      <c r="A655" t="inlineStr">
        <is>
          <t>A 32120-2025</t>
        </is>
      </c>
      <c r="B655" s="1" t="n">
        <v>45835.4924537037</v>
      </c>
      <c r="C655" s="1" t="n">
        <v>45966</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31876-2025</t>
        </is>
      </c>
      <c r="B656" s="1" t="n">
        <v>45834.65197916667</v>
      </c>
      <c r="C656" s="1" t="n">
        <v>45966</v>
      </c>
      <c r="D656" t="inlineStr">
        <is>
          <t>KALMAR LÄN</t>
        </is>
      </c>
      <c r="E656" t="inlineStr">
        <is>
          <t>VIMMERBY</t>
        </is>
      </c>
      <c r="F656" t="inlineStr">
        <is>
          <t>Sveaskog</t>
        </is>
      </c>
      <c r="G656" t="n">
        <v>3.3</v>
      </c>
      <c r="H656" t="n">
        <v>0</v>
      </c>
      <c r="I656" t="n">
        <v>0</v>
      </c>
      <c r="J656" t="n">
        <v>0</v>
      </c>
      <c r="K656" t="n">
        <v>0</v>
      </c>
      <c r="L656" t="n">
        <v>0</v>
      </c>
      <c r="M656" t="n">
        <v>0</v>
      </c>
      <c r="N656" t="n">
        <v>0</v>
      </c>
      <c r="O656" t="n">
        <v>0</v>
      </c>
      <c r="P656" t="n">
        <v>0</v>
      </c>
      <c r="Q656" t="n">
        <v>0</v>
      </c>
      <c r="R656" s="2" t="inlineStr"/>
    </row>
    <row r="657" ht="15" customHeight="1">
      <c r="A657" t="inlineStr">
        <is>
          <t>A 37192-2024</t>
        </is>
      </c>
      <c r="B657" s="1" t="n">
        <v>45539.66027777778</v>
      </c>
      <c r="C657" s="1" t="n">
        <v>45966</v>
      </c>
      <c r="D657" t="inlineStr">
        <is>
          <t>KALMAR LÄN</t>
        </is>
      </c>
      <c r="E657" t="inlineStr">
        <is>
          <t>VIMMERBY</t>
        </is>
      </c>
      <c r="G657" t="n">
        <v>1</v>
      </c>
      <c r="H657" t="n">
        <v>0</v>
      </c>
      <c r="I657" t="n">
        <v>0</v>
      </c>
      <c r="J657" t="n">
        <v>0</v>
      </c>
      <c r="K657" t="n">
        <v>0</v>
      </c>
      <c r="L657" t="n">
        <v>0</v>
      </c>
      <c r="M657" t="n">
        <v>0</v>
      </c>
      <c r="N657" t="n">
        <v>0</v>
      </c>
      <c r="O657" t="n">
        <v>0</v>
      </c>
      <c r="P657" t="n">
        <v>0</v>
      </c>
      <c r="Q657" t="n">
        <v>0</v>
      </c>
      <c r="R657" s="2" t="inlineStr"/>
    </row>
    <row r="658" ht="15" customHeight="1">
      <c r="A658" t="inlineStr">
        <is>
          <t>A 172-2022</t>
        </is>
      </c>
      <c r="B658" s="1" t="n">
        <v>44564.62598379629</v>
      </c>
      <c r="C658" s="1" t="n">
        <v>45966</v>
      </c>
      <c r="D658" t="inlineStr">
        <is>
          <t>KALMAR LÄN</t>
        </is>
      </c>
      <c r="E658" t="inlineStr">
        <is>
          <t>VIMMERBY</t>
        </is>
      </c>
      <c r="G658" t="n">
        <v>2.1</v>
      </c>
      <c r="H658" t="n">
        <v>0</v>
      </c>
      <c r="I658" t="n">
        <v>0</v>
      </c>
      <c r="J658" t="n">
        <v>0</v>
      </c>
      <c r="K658" t="n">
        <v>0</v>
      </c>
      <c r="L658" t="n">
        <v>0</v>
      </c>
      <c r="M658" t="n">
        <v>0</v>
      </c>
      <c r="N658" t="n">
        <v>0</v>
      </c>
      <c r="O658" t="n">
        <v>0</v>
      </c>
      <c r="P658" t="n">
        <v>0</v>
      </c>
      <c r="Q658" t="n">
        <v>0</v>
      </c>
      <c r="R658" s="2" t="inlineStr"/>
    </row>
    <row r="659" ht="15" customHeight="1">
      <c r="A659" t="inlineStr">
        <is>
          <t>A 42429-2024</t>
        </is>
      </c>
      <c r="B659" s="1" t="n">
        <v>45565.40657407408</v>
      </c>
      <c r="C659" s="1" t="n">
        <v>45966</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39584-2024</t>
        </is>
      </c>
      <c r="B660" s="1" t="n">
        <v>45552.36759259259</v>
      </c>
      <c r="C660" s="1" t="n">
        <v>45966</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29180-2024</t>
        </is>
      </c>
      <c r="B661" s="1" t="n">
        <v>45482.54108796296</v>
      </c>
      <c r="C661" s="1" t="n">
        <v>45966</v>
      </c>
      <c r="D661" t="inlineStr">
        <is>
          <t>KALMAR LÄN</t>
        </is>
      </c>
      <c r="E661" t="inlineStr">
        <is>
          <t>VIMMERBY</t>
        </is>
      </c>
      <c r="G661" t="n">
        <v>3.8</v>
      </c>
      <c r="H661" t="n">
        <v>0</v>
      </c>
      <c r="I661" t="n">
        <v>0</v>
      </c>
      <c r="J661" t="n">
        <v>0</v>
      </c>
      <c r="K661" t="n">
        <v>0</v>
      </c>
      <c r="L661" t="n">
        <v>0</v>
      </c>
      <c r="M661" t="n">
        <v>0</v>
      </c>
      <c r="N661" t="n">
        <v>0</v>
      </c>
      <c r="O661" t="n">
        <v>0</v>
      </c>
      <c r="P661" t="n">
        <v>0</v>
      </c>
      <c r="Q661" t="n">
        <v>0</v>
      </c>
      <c r="R661" s="2" t="inlineStr"/>
    </row>
    <row r="662" ht="15" customHeight="1">
      <c r="A662" t="inlineStr">
        <is>
          <t>A 51881-2024</t>
        </is>
      </c>
      <c r="B662" s="1" t="n">
        <v>45607.56773148148</v>
      </c>
      <c r="C662" s="1" t="n">
        <v>45966</v>
      </c>
      <c r="D662" t="inlineStr">
        <is>
          <t>KALMAR LÄN</t>
        </is>
      </c>
      <c r="E662" t="inlineStr">
        <is>
          <t>VIMMERBY</t>
        </is>
      </c>
      <c r="G662" t="n">
        <v>3.4</v>
      </c>
      <c r="H662" t="n">
        <v>0</v>
      </c>
      <c r="I662" t="n">
        <v>0</v>
      </c>
      <c r="J662" t="n">
        <v>0</v>
      </c>
      <c r="K662" t="n">
        <v>0</v>
      </c>
      <c r="L662" t="n">
        <v>0</v>
      </c>
      <c r="M662" t="n">
        <v>0</v>
      </c>
      <c r="N662" t="n">
        <v>0</v>
      </c>
      <c r="O662" t="n">
        <v>0</v>
      </c>
      <c r="P662" t="n">
        <v>0</v>
      </c>
      <c r="Q662" t="n">
        <v>0</v>
      </c>
      <c r="R662" s="2" t="inlineStr"/>
    </row>
    <row r="663" ht="15" customHeight="1">
      <c r="A663" t="inlineStr">
        <is>
          <t>A 2596-2025</t>
        </is>
      </c>
      <c r="B663" s="1" t="n">
        <v>45674.71810185185</v>
      </c>
      <c r="C663" s="1" t="n">
        <v>45966</v>
      </c>
      <c r="D663" t="inlineStr">
        <is>
          <t>KALMAR LÄN</t>
        </is>
      </c>
      <c r="E663" t="inlineStr">
        <is>
          <t>VIMMERBY</t>
        </is>
      </c>
      <c r="G663" t="n">
        <v>9</v>
      </c>
      <c r="H663" t="n">
        <v>0</v>
      </c>
      <c r="I663" t="n">
        <v>0</v>
      </c>
      <c r="J663" t="n">
        <v>0</v>
      </c>
      <c r="K663" t="n">
        <v>0</v>
      </c>
      <c r="L663" t="n">
        <v>0</v>
      </c>
      <c r="M663" t="n">
        <v>0</v>
      </c>
      <c r="N663" t="n">
        <v>0</v>
      </c>
      <c r="O663" t="n">
        <v>0</v>
      </c>
      <c r="P663" t="n">
        <v>0</v>
      </c>
      <c r="Q663" t="n">
        <v>0</v>
      </c>
      <c r="R663" s="2" t="inlineStr"/>
    </row>
    <row r="664" ht="15" customHeight="1">
      <c r="A664" t="inlineStr">
        <is>
          <t>A 45846-2023</t>
        </is>
      </c>
      <c r="B664" s="1" t="n">
        <v>45195.58452546296</v>
      </c>
      <c r="C664" s="1" t="n">
        <v>45966</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16020-2023</t>
        </is>
      </c>
      <c r="B665" s="1" t="n">
        <v>45026.82216435186</v>
      </c>
      <c r="C665" s="1" t="n">
        <v>45966</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61820-2023</t>
        </is>
      </c>
      <c r="B666" s="1" t="n">
        <v>45266.32614583334</v>
      </c>
      <c r="C666" s="1" t="n">
        <v>45966</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16734-2023</t>
        </is>
      </c>
      <c r="B667" s="1" t="n">
        <v>45030.71012731481</v>
      </c>
      <c r="C667" s="1" t="n">
        <v>45966</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32380-2025</t>
        </is>
      </c>
      <c r="B668" s="1" t="n">
        <v>45837.77701388889</v>
      </c>
      <c r="C668" s="1" t="n">
        <v>45966</v>
      </c>
      <c r="D668" t="inlineStr">
        <is>
          <t>KALMAR LÄN</t>
        </is>
      </c>
      <c r="E668" t="inlineStr">
        <is>
          <t>VIMMERBY</t>
        </is>
      </c>
      <c r="G668" t="n">
        <v>3.1</v>
      </c>
      <c r="H668" t="n">
        <v>0</v>
      </c>
      <c r="I668" t="n">
        <v>0</v>
      </c>
      <c r="J668" t="n">
        <v>0</v>
      </c>
      <c r="K668" t="n">
        <v>0</v>
      </c>
      <c r="L668" t="n">
        <v>0</v>
      </c>
      <c r="M668" t="n">
        <v>0</v>
      </c>
      <c r="N668" t="n">
        <v>0</v>
      </c>
      <c r="O668" t="n">
        <v>0</v>
      </c>
      <c r="P668" t="n">
        <v>0</v>
      </c>
      <c r="Q668" t="n">
        <v>0</v>
      </c>
      <c r="R668" s="2" t="inlineStr"/>
    </row>
    <row r="669" ht="15" customHeight="1">
      <c r="A669" t="inlineStr">
        <is>
          <t>A 33186-2025</t>
        </is>
      </c>
      <c r="B669" s="1" t="n">
        <v>45840.59474537037</v>
      </c>
      <c r="C669" s="1" t="n">
        <v>45966</v>
      </c>
      <c r="D669" t="inlineStr">
        <is>
          <t>KALMAR LÄN</t>
        </is>
      </c>
      <c r="E669" t="inlineStr">
        <is>
          <t>VIMMERBY</t>
        </is>
      </c>
      <c r="G669" t="n">
        <v>2.6</v>
      </c>
      <c r="H669" t="n">
        <v>0</v>
      </c>
      <c r="I669" t="n">
        <v>0</v>
      </c>
      <c r="J669" t="n">
        <v>0</v>
      </c>
      <c r="K669" t="n">
        <v>0</v>
      </c>
      <c r="L669" t="n">
        <v>0</v>
      </c>
      <c r="M669" t="n">
        <v>0</v>
      </c>
      <c r="N669" t="n">
        <v>0</v>
      </c>
      <c r="O669" t="n">
        <v>0</v>
      </c>
      <c r="P669" t="n">
        <v>0</v>
      </c>
      <c r="Q669" t="n">
        <v>0</v>
      </c>
      <c r="R669" s="2" t="inlineStr"/>
    </row>
    <row r="670" ht="15" customHeight="1">
      <c r="A670" t="inlineStr">
        <is>
          <t>A 33695-2025</t>
        </is>
      </c>
      <c r="B670" s="1" t="n">
        <v>45841.70569444444</v>
      </c>
      <c r="C670" s="1" t="n">
        <v>45966</v>
      </c>
      <c r="D670" t="inlineStr">
        <is>
          <t>KALMAR LÄN</t>
        </is>
      </c>
      <c r="E670" t="inlineStr">
        <is>
          <t>VIMMERBY</t>
        </is>
      </c>
      <c r="G670" t="n">
        <v>2.7</v>
      </c>
      <c r="H670" t="n">
        <v>0</v>
      </c>
      <c r="I670" t="n">
        <v>0</v>
      </c>
      <c r="J670" t="n">
        <v>0</v>
      </c>
      <c r="K670" t="n">
        <v>0</v>
      </c>
      <c r="L670" t="n">
        <v>0</v>
      </c>
      <c r="M670" t="n">
        <v>0</v>
      </c>
      <c r="N670" t="n">
        <v>0</v>
      </c>
      <c r="O670" t="n">
        <v>0</v>
      </c>
      <c r="P670" t="n">
        <v>0</v>
      </c>
      <c r="Q670" t="n">
        <v>0</v>
      </c>
      <c r="R670" s="2" t="inlineStr"/>
    </row>
    <row r="671" ht="15" customHeight="1">
      <c r="A671" t="inlineStr">
        <is>
          <t>A 33698-2025</t>
        </is>
      </c>
      <c r="B671" s="1" t="n">
        <v>45841.70868055556</v>
      </c>
      <c r="C671" s="1" t="n">
        <v>45966</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30977-2025</t>
        </is>
      </c>
      <c r="B672" s="1" t="n">
        <v>45832.46649305556</v>
      </c>
      <c r="C672" s="1" t="n">
        <v>45966</v>
      </c>
      <c r="D672" t="inlineStr">
        <is>
          <t>KALMAR LÄN</t>
        </is>
      </c>
      <c r="E672" t="inlineStr">
        <is>
          <t>VIMMERBY</t>
        </is>
      </c>
      <c r="G672" t="n">
        <v>0.6</v>
      </c>
      <c r="H672" t="n">
        <v>0</v>
      </c>
      <c r="I672" t="n">
        <v>0</v>
      </c>
      <c r="J672" t="n">
        <v>0</v>
      </c>
      <c r="K672" t="n">
        <v>0</v>
      </c>
      <c r="L672" t="n">
        <v>0</v>
      </c>
      <c r="M672" t="n">
        <v>0</v>
      </c>
      <c r="N672" t="n">
        <v>0</v>
      </c>
      <c r="O672" t="n">
        <v>0</v>
      </c>
      <c r="P672" t="n">
        <v>0</v>
      </c>
      <c r="Q672" t="n">
        <v>0</v>
      </c>
      <c r="R672" s="2" t="inlineStr"/>
    </row>
    <row r="673" ht="15" customHeight="1">
      <c r="A673" t="inlineStr">
        <is>
          <t>A 45560-2021</t>
        </is>
      </c>
      <c r="B673" s="1" t="n">
        <v>44440</v>
      </c>
      <c r="C673" s="1" t="n">
        <v>45966</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33696-2025</t>
        </is>
      </c>
      <c r="B674" s="1" t="n">
        <v>45841.7072337963</v>
      </c>
      <c r="C674" s="1" t="n">
        <v>45966</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40256-2024</t>
        </is>
      </c>
      <c r="B675" s="1" t="n">
        <v>45554.62944444444</v>
      </c>
      <c r="C675" s="1" t="n">
        <v>45966</v>
      </c>
      <c r="D675" t="inlineStr">
        <is>
          <t>KALMAR LÄN</t>
        </is>
      </c>
      <c r="E675" t="inlineStr">
        <is>
          <t>VIMMERBY</t>
        </is>
      </c>
      <c r="G675" t="n">
        <v>0.9</v>
      </c>
      <c r="H675" t="n">
        <v>0</v>
      </c>
      <c r="I675" t="n">
        <v>0</v>
      </c>
      <c r="J675" t="n">
        <v>0</v>
      </c>
      <c r="K675" t="n">
        <v>0</v>
      </c>
      <c r="L675" t="n">
        <v>0</v>
      </c>
      <c r="M675" t="n">
        <v>0</v>
      </c>
      <c r="N675" t="n">
        <v>0</v>
      </c>
      <c r="O675" t="n">
        <v>0</v>
      </c>
      <c r="P675" t="n">
        <v>0</v>
      </c>
      <c r="Q675" t="n">
        <v>0</v>
      </c>
      <c r="R675" s="2" t="inlineStr"/>
    </row>
    <row r="676" ht="15" customHeight="1">
      <c r="A676" t="inlineStr">
        <is>
          <t>A 58104-2024</t>
        </is>
      </c>
      <c r="B676" s="1" t="n">
        <v>45632.37459490741</v>
      </c>
      <c r="C676" s="1" t="n">
        <v>45966</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36259-2022</t>
        </is>
      </c>
      <c r="B677" s="1" t="n">
        <v>44803.59118055556</v>
      </c>
      <c r="C677" s="1" t="n">
        <v>45966</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43034-2024</t>
        </is>
      </c>
      <c r="B678" s="1" t="n">
        <v>45567.42011574074</v>
      </c>
      <c r="C678" s="1" t="n">
        <v>45966</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26956-2025</t>
        </is>
      </c>
      <c r="B679" s="1" t="n">
        <v>45811.45460648148</v>
      </c>
      <c r="C679" s="1" t="n">
        <v>45966</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20129-2024</t>
        </is>
      </c>
      <c r="B680" s="1" t="n">
        <v>45434.55831018519</v>
      </c>
      <c r="C680" s="1" t="n">
        <v>45966</v>
      </c>
      <c r="D680" t="inlineStr">
        <is>
          <t>KALMAR LÄN</t>
        </is>
      </c>
      <c r="E680" t="inlineStr">
        <is>
          <t>VIMMERBY</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20137-2024</t>
        </is>
      </c>
      <c r="B681" s="1" t="n">
        <v>45434.56398148148</v>
      </c>
      <c r="C681" s="1" t="n">
        <v>45966</v>
      </c>
      <c r="D681" t="inlineStr">
        <is>
          <t>KALMAR LÄN</t>
        </is>
      </c>
      <c r="E681" t="inlineStr">
        <is>
          <t>VIMMERBY</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7456-2024</t>
        </is>
      </c>
      <c r="B682" s="1" t="n">
        <v>45345.83557870371</v>
      </c>
      <c r="C682" s="1" t="n">
        <v>45966</v>
      </c>
      <c r="D682" t="inlineStr">
        <is>
          <t>KALMAR LÄN</t>
        </is>
      </c>
      <c r="E682" t="inlineStr">
        <is>
          <t>VIMMERBY</t>
        </is>
      </c>
      <c r="G682" t="n">
        <v>4.1</v>
      </c>
      <c r="H682" t="n">
        <v>0</v>
      </c>
      <c r="I682" t="n">
        <v>0</v>
      </c>
      <c r="J682" t="n">
        <v>0</v>
      </c>
      <c r="K682" t="n">
        <v>0</v>
      </c>
      <c r="L682" t="n">
        <v>0</v>
      </c>
      <c r="M682" t="n">
        <v>0</v>
      </c>
      <c r="N682" t="n">
        <v>0</v>
      </c>
      <c r="O682" t="n">
        <v>0</v>
      </c>
      <c r="P682" t="n">
        <v>0</v>
      </c>
      <c r="Q682" t="n">
        <v>0</v>
      </c>
      <c r="R682" s="2" t="inlineStr"/>
    </row>
    <row r="683" ht="15" customHeight="1">
      <c r="A683" t="inlineStr">
        <is>
          <t>A 3902-2022</t>
        </is>
      </c>
      <c r="B683" s="1" t="n">
        <v>44587.48847222222</v>
      </c>
      <c r="C683" s="1" t="n">
        <v>45966</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30070-2023</t>
        </is>
      </c>
      <c r="B684" s="1" t="n">
        <v>45110.4275</v>
      </c>
      <c r="C684" s="1" t="n">
        <v>45966</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34071-2025</t>
        </is>
      </c>
      <c r="B685" s="1" t="n">
        <v>45845.43803240741</v>
      </c>
      <c r="C685" s="1" t="n">
        <v>45966</v>
      </c>
      <c r="D685" t="inlineStr">
        <is>
          <t>KALMAR LÄN</t>
        </is>
      </c>
      <c r="E685" t="inlineStr">
        <is>
          <t>VIMMERBY</t>
        </is>
      </c>
      <c r="G685" t="n">
        <v>6.8</v>
      </c>
      <c r="H685" t="n">
        <v>0</v>
      </c>
      <c r="I685" t="n">
        <v>0</v>
      </c>
      <c r="J685" t="n">
        <v>0</v>
      </c>
      <c r="K685" t="n">
        <v>0</v>
      </c>
      <c r="L685" t="n">
        <v>0</v>
      </c>
      <c r="M685" t="n">
        <v>0</v>
      </c>
      <c r="N685" t="n">
        <v>0</v>
      </c>
      <c r="O685" t="n">
        <v>0</v>
      </c>
      <c r="P685" t="n">
        <v>0</v>
      </c>
      <c r="Q685" t="n">
        <v>0</v>
      </c>
      <c r="R685" s="2" t="inlineStr"/>
    </row>
    <row r="686" ht="15" customHeight="1">
      <c r="A686" t="inlineStr">
        <is>
          <t>A 34106-2025</t>
        </is>
      </c>
      <c r="B686" s="1" t="n">
        <v>45845.49414351852</v>
      </c>
      <c r="C686" s="1" t="n">
        <v>45966</v>
      </c>
      <c r="D686" t="inlineStr">
        <is>
          <t>KALMAR LÄN</t>
        </is>
      </c>
      <c r="E686" t="inlineStr">
        <is>
          <t>VIMMERBY</t>
        </is>
      </c>
      <c r="G686" t="n">
        <v>6</v>
      </c>
      <c r="H686" t="n">
        <v>0</v>
      </c>
      <c r="I686" t="n">
        <v>0</v>
      </c>
      <c r="J686" t="n">
        <v>0</v>
      </c>
      <c r="K686" t="n">
        <v>0</v>
      </c>
      <c r="L686" t="n">
        <v>0</v>
      </c>
      <c r="M686" t="n">
        <v>0</v>
      </c>
      <c r="N686" t="n">
        <v>0</v>
      </c>
      <c r="O686" t="n">
        <v>0</v>
      </c>
      <c r="P686" t="n">
        <v>0</v>
      </c>
      <c r="Q686" t="n">
        <v>0</v>
      </c>
      <c r="R686" s="2" t="inlineStr"/>
    </row>
    <row r="687" ht="15" customHeight="1">
      <c r="A687" t="inlineStr">
        <is>
          <t>A 28702-2025</t>
        </is>
      </c>
      <c r="B687" s="1" t="n">
        <v>45820.03976851852</v>
      </c>
      <c r="C687" s="1" t="n">
        <v>45966</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31209-2024</t>
        </is>
      </c>
      <c r="B688" s="1" t="n">
        <v>45503.5658912037</v>
      </c>
      <c r="C688" s="1" t="n">
        <v>45966</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4527-2023</t>
        </is>
      </c>
      <c r="B689" s="1" t="n">
        <v>44956</v>
      </c>
      <c r="C689" s="1" t="n">
        <v>45966</v>
      </c>
      <c r="D689" t="inlineStr">
        <is>
          <t>KALMAR LÄN</t>
        </is>
      </c>
      <c r="E689" t="inlineStr">
        <is>
          <t>VIMMERBY</t>
        </is>
      </c>
      <c r="F689" t="inlineStr">
        <is>
          <t>Kommuner</t>
        </is>
      </c>
      <c r="G689" t="n">
        <v>8.5</v>
      </c>
      <c r="H689" t="n">
        <v>0</v>
      </c>
      <c r="I689" t="n">
        <v>0</v>
      </c>
      <c r="J689" t="n">
        <v>0</v>
      </c>
      <c r="K689" t="n">
        <v>0</v>
      </c>
      <c r="L689" t="n">
        <v>0</v>
      </c>
      <c r="M689" t="n">
        <v>0</v>
      </c>
      <c r="N689" t="n">
        <v>0</v>
      </c>
      <c r="O689" t="n">
        <v>0</v>
      </c>
      <c r="P689" t="n">
        <v>0</v>
      </c>
      <c r="Q689" t="n">
        <v>0</v>
      </c>
      <c r="R689" s="2" t="inlineStr"/>
    </row>
    <row r="690" ht="15" customHeight="1">
      <c r="A690" t="inlineStr">
        <is>
          <t>A 52324-2023</t>
        </is>
      </c>
      <c r="B690" s="1" t="n">
        <v>45224.64659722222</v>
      </c>
      <c r="C690" s="1" t="n">
        <v>45966</v>
      </c>
      <c r="D690" t="inlineStr">
        <is>
          <t>KALMAR LÄN</t>
        </is>
      </c>
      <c r="E690" t="inlineStr">
        <is>
          <t>VIMMERBY</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12586-2021</t>
        </is>
      </c>
      <c r="B691" s="1" t="n">
        <v>44270.38002314815</v>
      </c>
      <c r="C691" s="1" t="n">
        <v>45966</v>
      </c>
      <c r="D691" t="inlineStr">
        <is>
          <t>KALMAR LÄN</t>
        </is>
      </c>
      <c r="E691" t="inlineStr">
        <is>
          <t>VIMMERBY</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5864-2022</t>
        </is>
      </c>
      <c r="B692" s="1" t="n">
        <v>44596</v>
      </c>
      <c r="C692" s="1" t="n">
        <v>45966</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34628-2025</t>
        </is>
      </c>
      <c r="B693" s="1" t="n">
        <v>45847.91280092593</v>
      </c>
      <c r="C693" s="1" t="n">
        <v>45966</v>
      </c>
      <c r="D693" t="inlineStr">
        <is>
          <t>KALMAR LÄN</t>
        </is>
      </c>
      <c r="E693" t="inlineStr">
        <is>
          <t>VIMMERBY</t>
        </is>
      </c>
      <c r="G693" t="n">
        <v>4.2</v>
      </c>
      <c r="H693" t="n">
        <v>0</v>
      </c>
      <c r="I693" t="n">
        <v>0</v>
      </c>
      <c r="J693" t="n">
        <v>0</v>
      </c>
      <c r="K693" t="n">
        <v>0</v>
      </c>
      <c r="L693" t="n">
        <v>0</v>
      </c>
      <c r="M693" t="n">
        <v>0</v>
      </c>
      <c r="N693" t="n">
        <v>0</v>
      </c>
      <c r="O693" t="n">
        <v>0</v>
      </c>
      <c r="P693" t="n">
        <v>0</v>
      </c>
      <c r="Q693" t="n">
        <v>0</v>
      </c>
      <c r="R693" s="2" t="inlineStr"/>
    </row>
    <row r="694" ht="15" customHeight="1">
      <c r="A694" t="inlineStr">
        <is>
          <t>A 30912-2023</t>
        </is>
      </c>
      <c r="B694" s="1" t="n">
        <v>45113.41633101852</v>
      </c>
      <c r="C694" s="1" t="n">
        <v>45966</v>
      </c>
      <c r="D694" t="inlineStr">
        <is>
          <t>KALMAR LÄN</t>
        </is>
      </c>
      <c r="E694" t="inlineStr">
        <is>
          <t>VIMMERBY</t>
        </is>
      </c>
      <c r="G694" t="n">
        <v>5</v>
      </c>
      <c r="H694" t="n">
        <v>0</v>
      </c>
      <c r="I694" t="n">
        <v>0</v>
      </c>
      <c r="J694" t="n">
        <v>0</v>
      </c>
      <c r="K694" t="n">
        <v>0</v>
      </c>
      <c r="L694" t="n">
        <v>0</v>
      </c>
      <c r="M694" t="n">
        <v>0</v>
      </c>
      <c r="N694" t="n">
        <v>0</v>
      </c>
      <c r="O694" t="n">
        <v>0</v>
      </c>
      <c r="P694" t="n">
        <v>0</v>
      </c>
      <c r="Q694" t="n">
        <v>0</v>
      </c>
      <c r="R694" s="2" t="inlineStr"/>
    </row>
    <row r="695" ht="15" customHeight="1">
      <c r="A695" t="inlineStr">
        <is>
          <t>A 1146-2025</t>
        </is>
      </c>
      <c r="B695" s="1" t="n">
        <v>45666</v>
      </c>
      <c r="C695" s="1" t="n">
        <v>45966</v>
      </c>
      <c r="D695" t="inlineStr">
        <is>
          <t>KALMAR LÄN</t>
        </is>
      </c>
      <c r="E695" t="inlineStr">
        <is>
          <t>VIMMERBY</t>
        </is>
      </c>
      <c r="G695" t="n">
        <v>4</v>
      </c>
      <c r="H695" t="n">
        <v>0</v>
      </c>
      <c r="I695" t="n">
        <v>0</v>
      </c>
      <c r="J695" t="n">
        <v>0</v>
      </c>
      <c r="K695" t="n">
        <v>0</v>
      </c>
      <c r="L695" t="n">
        <v>0</v>
      </c>
      <c r="M695" t="n">
        <v>0</v>
      </c>
      <c r="N695" t="n">
        <v>0</v>
      </c>
      <c r="O695" t="n">
        <v>0</v>
      </c>
      <c r="P695" t="n">
        <v>0</v>
      </c>
      <c r="Q695" t="n">
        <v>0</v>
      </c>
      <c r="R695" s="2" t="inlineStr"/>
    </row>
    <row r="696" ht="15" customHeight="1">
      <c r="A696" t="inlineStr">
        <is>
          <t>A 62023-2022</t>
        </is>
      </c>
      <c r="B696" s="1" t="n">
        <v>44918.50106481482</v>
      </c>
      <c r="C696" s="1" t="n">
        <v>45966</v>
      </c>
      <c r="D696" t="inlineStr">
        <is>
          <t>KALMAR LÄN</t>
        </is>
      </c>
      <c r="E696" t="inlineStr">
        <is>
          <t>VIMMERBY</t>
        </is>
      </c>
      <c r="G696" t="n">
        <v>0.3</v>
      </c>
      <c r="H696" t="n">
        <v>0</v>
      </c>
      <c r="I696" t="n">
        <v>0</v>
      </c>
      <c r="J696" t="n">
        <v>0</v>
      </c>
      <c r="K696" t="n">
        <v>0</v>
      </c>
      <c r="L696" t="n">
        <v>0</v>
      </c>
      <c r="M696" t="n">
        <v>0</v>
      </c>
      <c r="N696" t="n">
        <v>0</v>
      </c>
      <c r="O696" t="n">
        <v>0</v>
      </c>
      <c r="P696" t="n">
        <v>0</v>
      </c>
      <c r="Q696" t="n">
        <v>0</v>
      </c>
      <c r="R696" s="2" t="inlineStr"/>
    </row>
    <row r="697" ht="15" customHeight="1">
      <c r="A697" t="inlineStr">
        <is>
          <t>A 17988-2025</t>
        </is>
      </c>
      <c r="B697" s="1" t="n">
        <v>45761.39600694444</v>
      </c>
      <c r="C697" s="1" t="n">
        <v>45966</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16119-2023</t>
        </is>
      </c>
      <c r="B698" s="1" t="n">
        <v>45027.59450231482</v>
      </c>
      <c r="C698" s="1" t="n">
        <v>45966</v>
      </c>
      <c r="D698" t="inlineStr">
        <is>
          <t>KALMAR LÄN</t>
        </is>
      </c>
      <c r="E698" t="inlineStr">
        <is>
          <t>VIMMERBY</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52327-2023</t>
        </is>
      </c>
      <c r="B699" s="1" t="n">
        <v>45224.6515162037</v>
      </c>
      <c r="C699" s="1" t="n">
        <v>45966</v>
      </c>
      <c r="D699" t="inlineStr">
        <is>
          <t>KALMAR LÄN</t>
        </is>
      </c>
      <c r="E699" t="inlineStr">
        <is>
          <t>VIMMERBY</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35270-2025</t>
        </is>
      </c>
      <c r="B700" s="1" t="n">
        <v>45853.87112268519</v>
      </c>
      <c r="C700" s="1" t="n">
        <v>45966</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12075-2024</t>
        </is>
      </c>
      <c r="B701" s="1" t="n">
        <v>45377</v>
      </c>
      <c r="C701" s="1" t="n">
        <v>45966</v>
      </c>
      <c r="D701" t="inlineStr">
        <is>
          <t>KALMAR LÄN</t>
        </is>
      </c>
      <c r="E701" t="inlineStr">
        <is>
          <t>VIMMERBY</t>
        </is>
      </c>
      <c r="G701" t="n">
        <v>3.7</v>
      </c>
      <c r="H701" t="n">
        <v>0</v>
      </c>
      <c r="I701" t="n">
        <v>0</v>
      </c>
      <c r="J701" t="n">
        <v>0</v>
      </c>
      <c r="K701" t="n">
        <v>0</v>
      </c>
      <c r="L701" t="n">
        <v>0</v>
      </c>
      <c r="M701" t="n">
        <v>0</v>
      </c>
      <c r="N701" t="n">
        <v>0</v>
      </c>
      <c r="O701" t="n">
        <v>0</v>
      </c>
      <c r="P701" t="n">
        <v>0</v>
      </c>
      <c r="Q701" t="n">
        <v>0</v>
      </c>
      <c r="R701" s="2" t="inlineStr"/>
    </row>
    <row r="702" ht="15" customHeight="1">
      <c r="A702" t="inlineStr">
        <is>
          <t>A 35271-2025</t>
        </is>
      </c>
      <c r="B702" s="1" t="n">
        <v>45853.87599537037</v>
      </c>
      <c r="C702" s="1" t="n">
        <v>45966</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35272-2025</t>
        </is>
      </c>
      <c r="B703" s="1" t="n">
        <v>45853.88070601852</v>
      </c>
      <c r="C703" s="1" t="n">
        <v>45966</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29348-2023</t>
        </is>
      </c>
      <c r="B704" s="1" t="n">
        <v>45106.25025462963</v>
      </c>
      <c r="C704" s="1" t="n">
        <v>45966</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16953-2025</t>
        </is>
      </c>
      <c r="B705" s="1" t="n">
        <v>45755.44333333334</v>
      </c>
      <c r="C705" s="1" t="n">
        <v>45966</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35596-2025</t>
        </is>
      </c>
      <c r="B706" s="1" t="n">
        <v>45858.60641203704</v>
      </c>
      <c r="C706" s="1" t="n">
        <v>45966</v>
      </c>
      <c r="D706" t="inlineStr">
        <is>
          <t>KALMAR LÄN</t>
        </is>
      </c>
      <c r="E706" t="inlineStr">
        <is>
          <t>VIMMERBY</t>
        </is>
      </c>
      <c r="G706" t="n">
        <v>2.8</v>
      </c>
      <c r="H706" t="n">
        <v>0</v>
      </c>
      <c r="I706" t="n">
        <v>0</v>
      </c>
      <c r="J706" t="n">
        <v>0</v>
      </c>
      <c r="K706" t="n">
        <v>0</v>
      </c>
      <c r="L706" t="n">
        <v>0</v>
      </c>
      <c r="M706" t="n">
        <v>0</v>
      </c>
      <c r="N706" t="n">
        <v>0</v>
      </c>
      <c r="O706" t="n">
        <v>0</v>
      </c>
      <c r="P706" t="n">
        <v>0</v>
      </c>
      <c r="Q706" t="n">
        <v>0</v>
      </c>
      <c r="R706" s="2" t="inlineStr"/>
    </row>
    <row r="707" ht="15" customHeight="1">
      <c r="A707" t="inlineStr">
        <is>
          <t>A 31340-2023</t>
        </is>
      </c>
      <c r="B707" s="1" t="n">
        <v>45114.47895833333</v>
      </c>
      <c r="C707" s="1" t="n">
        <v>45966</v>
      </c>
      <c r="D707" t="inlineStr">
        <is>
          <t>KALMAR LÄN</t>
        </is>
      </c>
      <c r="E707" t="inlineStr">
        <is>
          <t>VIMMERBY</t>
        </is>
      </c>
      <c r="G707" t="n">
        <v>1.8</v>
      </c>
      <c r="H707" t="n">
        <v>0</v>
      </c>
      <c r="I707" t="n">
        <v>0</v>
      </c>
      <c r="J707" t="n">
        <v>0</v>
      </c>
      <c r="K707" t="n">
        <v>0</v>
      </c>
      <c r="L707" t="n">
        <v>0</v>
      </c>
      <c r="M707" t="n">
        <v>0</v>
      </c>
      <c r="N707" t="n">
        <v>0</v>
      </c>
      <c r="O707" t="n">
        <v>0</v>
      </c>
      <c r="P707" t="n">
        <v>0</v>
      </c>
      <c r="Q707" t="n">
        <v>0</v>
      </c>
      <c r="R707" s="2" t="inlineStr"/>
    </row>
    <row r="708" ht="15" customHeight="1">
      <c r="A708" t="inlineStr">
        <is>
          <t>A 35597-2025</t>
        </is>
      </c>
      <c r="B708" s="1" t="n">
        <v>45858.66019675926</v>
      </c>
      <c r="C708" s="1" t="n">
        <v>45966</v>
      </c>
      <c r="D708" t="inlineStr">
        <is>
          <t>KALMAR LÄN</t>
        </is>
      </c>
      <c r="E708" t="inlineStr">
        <is>
          <t>VIMMERBY</t>
        </is>
      </c>
      <c r="G708" t="n">
        <v>6.4</v>
      </c>
      <c r="H708" t="n">
        <v>0</v>
      </c>
      <c r="I708" t="n">
        <v>0</v>
      </c>
      <c r="J708" t="n">
        <v>0</v>
      </c>
      <c r="K708" t="n">
        <v>0</v>
      </c>
      <c r="L708" t="n">
        <v>0</v>
      </c>
      <c r="M708" t="n">
        <v>0</v>
      </c>
      <c r="N708" t="n">
        <v>0</v>
      </c>
      <c r="O708" t="n">
        <v>0</v>
      </c>
      <c r="P708" t="n">
        <v>0</v>
      </c>
      <c r="Q708" t="n">
        <v>0</v>
      </c>
      <c r="R708" s="2" t="inlineStr"/>
    </row>
    <row r="709" ht="15" customHeight="1">
      <c r="A709" t="inlineStr">
        <is>
          <t>A 23341-2022</t>
        </is>
      </c>
      <c r="B709" s="1" t="n">
        <v>44720.53898148148</v>
      </c>
      <c r="C709" s="1" t="n">
        <v>45966</v>
      </c>
      <c r="D709" t="inlineStr">
        <is>
          <t>KALMAR LÄN</t>
        </is>
      </c>
      <c r="E709" t="inlineStr">
        <is>
          <t>VIMMERBY</t>
        </is>
      </c>
      <c r="G709" t="n">
        <v>0.8</v>
      </c>
      <c r="H709" t="n">
        <v>0</v>
      </c>
      <c r="I709" t="n">
        <v>0</v>
      </c>
      <c r="J709" t="n">
        <v>0</v>
      </c>
      <c r="K709" t="n">
        <v>0</v>
      </c>
      <c r="L709" t="n">
        <v>0</v>
      </c>
      <c r="M709" t="n">
        <v>0</v>
      </c>
      <c r="N709" t="n">
        <v>0</v>
      </c>
      <c r="O709" t="n">
        <v>0</v>
      </c>
      <c r="P709" t="n">
        <v>0</v>
      </c>
      <c r="Q709" t="n">
        <v>0</v>
      </c>
      <c r="R709" s="2" t="inlineStr"/>
    </row>
    <row r="710" ht="15" customHeight="1">
      <c r="A710" t="inlineStr">
        <is>
          <t>A 37028-2024</t>
        </is>
      </c>
      <c r="B710" s="1" t="n">
        <v>45539.38744212963</v>
      </c>
      <c r="C710" s="1" t="n">
        <v>45966</v>
      </c>
      <c r="D710" t="inlineStr">
        <is>
          <t>KALMAR LÄN</t>
        </is>
      </c>
      <c r="E710" t="inlineStr">
        <is>
          <t>VIMMERBY</t>
        </is>
      </c>
      <c r="G710" t="n">
        <v>5.2</v>
      </c>
      <c r="H710" t="n">
        <v>0</v>
      </c>
      <c r="I710" t="n">
        <v>0</v>
      </c>
      <c r="J710" t="n">
        <v>0</v>
      </c>
      <c r="K710" t="n">
        <v>0</v>
      </c>
      <c r="L710" t="n">
        <v>0</v>
      </c>
      <c r="M710" t="n">
        <v>0</v>
      </c>
      <c r="N710" t="n">
        <v>0</v>
      </c>
      <c r="O710" t="n">
        <v>0</v>
      </c>
      <c r="P710" t="n">
        <v>0</v>
      </c>
      <c r="Q710" t="n">
        <v>0</v>
      </c>
      <c r="R710" s="2" t="inlineStr"/>
    </row>
    <row r="711" ht="15" customHeight="1">
      <c r="A711" t="inlineStr">
        <is>
          <t>A 36226-2025</t>
        </is>
      </c>
      <c r="B711" s="1" t="n">
        <v>45867.51630787037</v>
      </c>
      <c r="C711" s="1" t="n">
        <v>45966</v>
      </c>
      <c r="D711" t="inlineStr">
        <is>
          <t>KALMAR LÄN</t>
        </is>
      </c>
      <c r="E711" t="inlineStr">
        <is>
          <t>VIMMERBY</t>
        </is>
      </c>
      <c r="G711" t="n">
        <v>3.1</v>
      </c>
      <c r="H711" t="n">
        <v>0</v>
      </c>
      <c r="I711" t="n">
        <v>0</v>
      </c>
      <c r="J711" t="n">
        <v>0</v>
      </c>
      <c r="K711" t="n">
        <v>0</v>
      </c>
      <c r="L711" t="n">
        <v>0</v>
      </c>
      <c r="M711" t="n">
        <v>0</v>
      </c>
      <c r="N711" t="n">
        <v>0</v>
      </c>
      <c r="O711" t="n">
        <v>0</v>
      </c>
      <c r="P711" t="n">
        <v>0</v>
      </c>
      <c r="Q711" t="n">
        <v>0</v>
      </c>
      <c r="R711" s="2" t="inlineStr"/>
    </row>
    <row r="712" ht="15" customHeight="1">
      <c r="A712" t="inlineStr">
        <is>
          <t>A 36273-2025</t>
        </is>
      </c>
      <c r="B712" s="1" t="n">
        <v>45867.63094907408</v>
      </c>
      <c r="C712" s="1" t="n">
        <v>45966</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36282-2025</t>
        </is>
      </c>
      <c r="B713" s="1" t="n">
        <v>45867.64663194444</v>
      </c>
      <c r="C713" s="1" t="n">
        <v>45966</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7758-2024</t>
        </is>
      </c>
      <c r="B714" s="1" t="n">
        <v>45349.54434027777</v>
      </c>
      <c r="C714" s="1" t="n">
        <v>45966</v>
      </c>
      <c r="D714" t="inlineStr">
        <is>
          <t>KALMAR LÄN</t>
        </is>
      </c>
      <c r="E714" t="inlineStr">
        <is>
          <t>VIMMERBY</t>
        </is>
      </c>
      <c r="G714" t="n">
        <v>3.5</v>
      </c>
      <c r="H714" t="n">
        <v>0</v>
      </c>
      <c r="I714" t="n">
        <v>0</v>
      </c>
      <c r="J714" t="n">
        <v>0</v>
      </c>
      <c r="K714" t="n">
        <v>0</v>
      </c>
      <c r="L714" t="n">
        <v>0</v>
      </c>
      <c r="M714" t="n">
        <v>0</v>
      </c>
      <c r="N714" t="n">
        <v>0</v>
      </c>
      <c r="O714" t="n">
        <v>0</v>
      </c>
      <c r="P714" t="n">
        <v>0</v>
      </c>
      <c r="Q714" t="n">
        <v>0</v>
      </c>
      <c r="R714" s="2" t="inlineStr"/>
    </row>
    <row r="715" ht="15" customHeight="1">
      <c r="A715" t="inlineStr">
        <is>
          <t>A 36246-2025</t>
        </is>
      </c>
      <c r="B715" s="1" t="n">
        <v>45867.56320601852</v>
      </c>
      <c r="C715" s="1" t="n">
        <v>45966</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36297-2025</t>
        </is>
      </c>
      <c r="B716" s="1" t="n">
        <v>45867.68625</v>
      </c>
      <c r="C716" s="1" t="n">
        <v>45966</v>
      </c>
      <c r="D716" t="inlineStr">
        <is>
          <t>KALMAR LÄN</t>
        </is>
      </c>
      <c r="E716" t="inlineStr">
        <is>
          <t>VIMMERBY</t>
        </is>
      </c>
      <c r="G716" t="n">
        <v>4.9</v>
      </c>
      <c r="H716" t="n">
        <v>0</v>
      </c>
      <c r="I716" t="n">
        <v>0</v>
      </c>
      <c r="J716" t="n">
        <v>0</v>
      </c>
      <c r="K716" t="n">
        <v>0</v>
      </c>
      <c r="L716" t="n">
        <v>0</v>
      </c>
      <c r="M716" t="n">
        <v>0</v>
      </c>
      <c r="N716" t="n">
        <v>0</v>
      </c>
      <c r="O716" t="n">
        <v>0</v>
      </c>
      <c r="P716" t="n">
        <v>0</v>
      </c>
      <c r="Q716" t="n">
        <v>0</v>
      </c>
      <c r="R716" s="2" t="inlineStr"/>
    </row>
    <row r="717" ht="15" customHeight="1">
      <c r="A717" t="inlineStr">
        <is>
          <t>A 5701-2024</t>
        </is>
      </c>
      <c r="B717" s="1" t="n">
        <v>45334.78826388889</v>
      </c>
      <c r="C717" s="1" t="n">
        <v>45966</v>
      </c>
      <c r="D717" t="inlineStr">
        <is>
          <t>KALMAR LÄN</t>
        </is>
      </c>
      <c r="E717" t="inlineStr">
        <is>
          <t>VIMMERBY</t>
        </is>
      </c>
      <c r="G717" t="n">
        <v>2.3</v>
      </c>
      <c r="H717" t="n">
        <v>0</v>
      </c>
      <c r="I717" t="n">
        <v>0</v>
      </c>
      <c r="J717" t="n">
        <v>0</v>
      </c>
      <c r="K717" t="n">
        <v>0</v>
      </c>
      <c r="L717" t="n">
        <v>0</v>
      </c>
      <c r="M717" t="n">
        <v>0</v>
      </c>
      <c r="N717" t="n">
        <v>0</v>
      </c>
      <c r="O717" t="n">
        <v>0</v>
      </c>
      <c r="P717" t="n">
        <v>0</v>
      </c>
      <c r="Q717" t="n">
        <v>0</v>
      </c>
      <c r="R717" s="2" t="inlineStr"/>
    </row>
    <row r="718" ht="15" customHeight="1">
      <c r="A718" t="inlineStr">
        <is>
          <t>A 31405-2023</t>
        </is>
      </c>
      <c r="B718" s="1" t="n">
        <v>45114.58148148148</v>
      </c>
      <c r="C718" s="1" t="n">
        <v>45966</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36221-2025</t>
        </is>
      </c>
      <c r="B719" s="1" t="n">
        <v>45867.50792824074</v>
      </c>
      <c r="C719" s="1" t="n">
        <v>45966</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6355-2022</t>
        </is>
      </c>
      <c r="B720" s="1" t="n">
        <v>44600</v>
      </c>
      <c r="C720" s="1" t="n">
        <v>45966</v>
      </c>
      <c r="D720" t="inlineStr">
        <is>
          <t>KALMAR LÄN</t>
        </is>
      </c>
      <c r="E720" t="inlineStr">
        <is>
          <t>VIMMERBY</t>
        </is>
      </c>
      <c r="G720" t="n">
        <v>4.9</v>
      </c>
      <c r="H720" t="n">
        <v>0</v>
      </c>
      <c r="I720" t="n">
        <v>0</v>
      </c>
      <c r="J720" t="n">
        <v>0</v>
      </c>
      <c r="K720" t="n">
        <v>0</v>
      </c>
      <c r="L720" t="n">
        <v>0</v>
      </c>
      <c r="M720" t="n">
        <v>0</v>
      </c>
      <c r="N720" t="n">
        <v>0</v>
      </c>
      <c r="O720" t="n">
        <v>0</v>
      </c>
      <c r="P720" t="n">
        <v>0</v>
      </c>
      <c r="Q720" t="n">
        <v>0</v>
      </c>
      <c r="R720" s="2" t="inlineStr"/>
    </row>
    <row r="721" ht="15" customHeight="1">
      <c r="A721" t="inlineStr">
        <is>
          <t>A 19502-2025</t>
        </is>
      </c>
      <c r="B721" s="1" t="n">
        <v>45769</v>
      </c>
      <c r="C721" s="1" t="n">
        <v>45966</v>
      </c>
      <c r="D721" t="inlineStr">
        <is>
          <t>KALMAR LÄN</t>
        </is>
      </c>
      <c r="E721" t="inlineStr">
        <is>
          <t>VIMMERBY</t>
        </is>
      </c>
      <c r="G721" t="n">
        <v>1.9</v>
      </c>
      <c r="H721" t="n">
        <v>0</v>
      </c>
      <c r="I721" t="n">
        <v>0</v>
      </c>
      <c r="J721" t="n">
        <v>0</v>
      </c>
      <c r="K721" t="n">
        <v>0</v>
      </c>
      <c r="L721" t="n">
        <v>0</v>
      </c>
      <c r="M721" t="n">
        <v>0</v>
      </c>
      <c r="N721" t="n">
        <v>0</v>
      </c>
      <c r="O721" t="n">
        <v>0</v>
      </c>
      <c r="P721" t="n">
        <v>0</v>
      </c>
      <c r="Q721" t="n">
        <v>0</v>
      </c>
      <c r="R721" s="2" t="inlineStr"/>
    </row>
    <row r="722" ht="15" customHeight="1">
      <c r="A722" t="inlineStr">
        <is>
          <t>A 46225-2024</t>
        </is>
      </c>
      <c r="B722" s="1" t="n">
        <v>45581.57333333333</v>
      </c>
      <c r="C722" s="1" t="n">
        <v>45966</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36299-2025</t>
        </is>
      </c>
      <c r="B723" s="1" t="n">
        <v>45867.69346064814</v>
      </c>
      <c r="C723" s="1" t="n">
        <v>45966</v>
      </c>
      <c r="D723" t="inlineStr">
        <is>
          <t>KALMAR LÄN</t>
        </is>
      </c>
      <c r="E723" t="inlineStr">
        <is>
          <t>VIMMERBY</t>
        </is>
      </c>
      <c r="G723" t="n">
        <v>7.6</v>
      </c>
      <c r="H723" t="n">
        <v>0</v>
      </c>
      <c r="I723" t="n">
        <v>0</v>
      </c>
      <c r="J723" t="n">
        <v>0</v>
      </c>
      <c r="K723" t="n">
        <v>0</v>
      </c>
      <c r="L723" t="n">
        <v>0</v>
      </c>
      <c r="M723" t="n">
        <v>0</v>
      </c>
      <c r="N723" t="n">
        <v>0</v>
      </c>
      <c r="O723" t="n">
        <v>0</v>
      </c>
      <c r="P723" t="n">
        <v>0</v>
      </c>
      <c r="Q723" t="n">
        <v>0</v>
      </c>
      <c r="R723" s="2" t="inlineStr"/>
    </row>
    <row r="724" ht="15" customHeight="1">
      <c r="A724" t="inlineStr">
        <is>
          <t>A 9418-2024</t>
        </is>
      </c>
      <c r="B724" s="1" t="n">
        <v>45359.45038194444</v>
      </c>
      <c r="C724" s="1" t="n">
        <v>45966</v>
      </c>
      <c r="D724" t="inlineStr">
        <is>
          <t>KALMAR LÄN</t>
        </is>
      </c>
      <c r="E724" t="inlineStr">
        <is>
          <t>VIMMERBY</t>
        </is>
      </c>
      <c r="G724" t="n">
        <v>1.9</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44895.46524305556</v>
      </c>
      <c r="C725" s="1" t="n">
        <v>45966</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3816-2022</t>
        </is>
      </c>
      <c r="B726" s="1" t="n">
        <v>44587</v>
      </c>
      <c r="C726" s="1" t="n">
        <v>45966</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36538-2025</t>
        </is>
      </c>
      <c r="B727" s="1" t="n">
        <v>45869.62276620371</v>
      </c>
      <c r="C727" s="1" t="n">
        <v>45966</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43606-2024</t>
        </is>
      </c>
      <c r="B728" s="1" t="n">
        <v>45569.45017361111</v>
      </c>
      <c r="C728" s="1" t="n">
        <v>45966</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43617-2024</t>
        </is>
      </c>
      <c r="B729" s="1" t="n">
        <v>45569.47494212963</v>
      </c>
      <c r="C729" s="1" t="n">
        <v>45966</v>
      </c>
      <c r="D729" t="inlineStr">
        <is>
          <t>KALMAR LÄN</t>
        </is>
      </c>
      <c r="E729" t="inlineStr">
        <is>
          <t>VIMMERBY</t>
        </is>
      </c>
      <c r="G729" t="n">
        <v>2.7</v>
      </c>
      <c r="H729" t="n">
        <v>0</v>
      </c>
      <c r="I729" t="n">
        <v>0</v>
      </c>
      <c r="J729" t="n">
        <v>0</v>
      </c>
      <c r="K729" t="n">
        <v>0</v>
      </c>
      <c r="L729" t="n">
        <v>0</v>
      </c>
      <c r="M729" t="n">
        <v>0</v>
      </c>
      <c r="N729" t="n">
        <v>0</v>
      </c>
      <c r="O729" t="n">
        <v>0</v>
      </c>
      <c r="P729" t="n">
        <v>0</v>
      </c>
      <c r="Q729" t="n">
        <v>0</v>
      </c>
      <c r="R729" s="2" t="inlineStr"/>
    </row>
    <row r="730" ht="15" customHeight="1">
      <c r="A730" t="inlineStr">
        <is>
          <t>A 47859-2024</t>
        </is>
      </c>
      <c r="B730" s="1" t="n">
        <v>45588.67070601852</v>
      </c>
      <c r="C730" s="1" t="n">
        <v>45966</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36598-2025</t>
        </is>
      </c>
      <c r="B731" s="1" t="n">
        <v>45870.51708333333</v>
      </c>
      <c r="C731" s="1" t="n">
        <v>45966</v>
      </c>
      <c r="D731" t="inlineStr">
        <is>
          <t>KALMAR LÄN</t>
        </is>
      </c>
      <c r="E731" t="inlineStr">
        <is>
          <t>VIMMERBY</t>
        </is>
      </c>
      <c r="G731" t="n">
        <v>3.7</v>
      </c>
      <c r="H731" t="n">
        <v>0</v>
      </c>
      <c r="I731" t="n">
        <v>0</v>
      </c>
      <c r="J731" t="n">
        <v>0</v>
      </c>
      <c r="K731" t="n">
        <v>0</v>
      </c>
      <c r="L731" t="n">
        <v>0</v>
      </c>
      <c r="M731" t="n">
        <v>0</v>
      </c>
      <c r="N731" t="n">
        <v>0</v>
      </c>
      <c r="O731" t="n">
        <v>0</v>
      </c>
      <c r="P731" t="n">
        <v>0</v>
      </c>
      <c r="Q731" t="n">
        <v>0</v>
      </c>
      <c r="R731" s="2" t="inlineStr"/>
    </row>
    <row r="732" ht="15" customHeight="1">
      <c r="A732" t="inlineStr">
        <is>
          <t>A 36602-2025</t>
        </is>
      </c>
      <c r="B732" s="1" t="n">
        <v>45870.52111111111</v>
      </c>
      <c r="C732" s="1" t="n">
        <v>45966</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8540-2024</t>
        </is>
      </c>
      <c r="B733" s="1" t="n">
        <v>45355.54138888889</v>
      </c>
      <c r="C733" s="1" t="n">
        <v>45966</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6668-2023</t>
        </is>
      </c>
      <c r="B734" s="1" t="n">
        <v>44966</v>
      </c>
      <c r="C734" s="1" t="n">
        <v>45966</v>
      </c>
      <c r="D734" t="inlineStr">
        <is>
          <t>KALMAR LÄN</t>
        </is>
      </c>
      <c r="E734" t="inlineStr">
        <is>
          <t>VIMMERBY</t>
        </is>
      </c>
      <c r="G734" t="n">
        <v>0.9</v>
      </c>
      <c r="H734" t="n">
        <v>0</v>
      </c>
      <c r="I734" t="n">
        <v>0</v>
      </c>
      <c r="J734" t="n">
        <v>0</v>
      </c>
      <c r="K734" t="n">
        <v>0</v>
      </c>
      <c r="L734" t="n">
        <v>0</v>
      </c>
      <c r="M734" t="n">
        <v>0</v>
      </c>
      <c r="N734" t="n">
        <v>0</v>
      </c>
      <c r="O734" t="n">
        <v>0</v>
      </c>
      <c r="P734" t="n">
        <v>0</v>
      </c>
      <c r="Q734" t="n">
        <v>0</v>
      </c>
      <c r="R734" s="2" t="inlineStr"/>
    </row>
    <row r="735" ht="15" customHeight="1">
      <c r="A735" t="inlineStr">
        <is>
          <t>A 29168-2024</t>
        </is>
      </c>
      <c r="B735" s="1" t="n">
        <v>45482.49870370371</v>
      </c>
      <c r="C735" s="1" t="n">
        <v>45966</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8086-2021</t>
        </is>
      </c>
      <c r="B736" s="1" t="n">
        <v>44243</v>
      </c>
      <c r="C736" s="1" t="n">
        <v>45966</v>
      </c>
      <c r="D736" t="inlineStr">
        <is>
          <t>KALMAR LÄN</t>
        </is>
      </c>
      <c r="E736" t="inlineStr">
        <is>
          <t>VIMMERBY</t>
        </is>
      </c>
      <c r="G736" t="n">
        <v>4.1</v>
      </c>
      <c r="H736" t="n">
        <v>0</v>
      </c>
      <c r="I736" t="n">
        <v>0</v>
      </c>
      <c r="J736" t="n">
        <v>0</v>
      </c>
      <c r="K736" t="n">
        <v>0</v>
      </c>
      <c r="L736" t="n">
        <v>0</v>
      </c>
      <c r="M736" t="n">
        <v>0</v>
      </c>
      <c r="N736" t="n">
        <v>0</v>
      </c>
      <c r="O736" t="n">
        <v>0</v>
      </c>
      <c r="P736" t="n">
        <v>0</v>
      </c>
      <c r="Q736" t="n">
        <v>0</v>
      </c>
      <c r="R736" s="2" t="inlineStr"/>
    </row>
    <row r="737" ht="15" customHeight="1">
      <c r="A737" t="inlineStr">
        <is>
          <t>A 3331-2023</t>
        </is>
      </c>
      <c r="B737" s="1" t="n">
        <v>44949</v>
      </c>
      <c r="C737" s="1" t="n">
        <v>45966</v>
      </c>
      <c r="D737" t="inlineStr">
        <is>
          <t>KALMAR LÄN</t>
        </is>
      </c>
      <c r="E737" t="inlineStr">
        <is>
          <t>VIMMERBY</t>
        </is>
      </c>
      <c r="G737" t="n">
        <v>6.2</v>
      </c>
      <c r="H737" t="n">
        <v>0</v>
      </c>
      <c r="I737" t="n">
        <v>0</v>
      </c>
      <c r="J737" t="n">
        <v>0</v>
      </c>
      <c r="K737" t="n">
        <v>0</v>
      </c>
      <c r="L737" t="n">
        <v>0</v>
      </c>
      <c r="M737" t="n">
        <v>0</v>
      </c>
      <c r="N737" t="n">
        <v>0</v>
      </c>
      <c r="O737" t="n">
        <v>0</v>
      </c>
      <c r="P737" t="n">
        <v>0</v>
      </c>
      <c r="Q737" t="n">
        <v>0</v>
      </c>
      <c r="R737" s="2" t="inlineStr"/>
    </row>
    <row r="738" ht="15" customHeight="1">
      <c r="A738" t="inlineStr">
        <is>
          <t>A 55236-2023</t>
        </is>
      </c>
      <c r="B738" s="1" t="n">
        <v>45237.63225694445</v>
      </c>
      <c r="C738" s="1" t="n">
        <v>45966</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55245-2023</t>
        </is>
      </c>
      <c r="B739" s="1" t="n">
        <v>45237.64408564815</v>
      </c>
      <c r="C739" s="1" t="n">
        <v>45966</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598-2025</t>
        </is>
      </c>
      <c r="B740" s="1" t="n">
        <v>45660</v>
      </c>
      <c r="C740" s="1" t="n">
        <v>45966</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36055-2024</t>
        </is>
      </c>
      <c r="B741" s="1" t="n">
        <v>45533.63056712963</v>
      </c>
      <c r="C741" s="1" t="n">
        <v>45966</v>
      </c>
      <c r="D741" t="inlineStr">
        <is>
          <t>KALMAR LÄN</t>
        </is>
      </c>
      <c r="E741" t="inlineStr">
        <is>
          <t>VIMMERBY</t>
        </is>
      </c>
      <c r="F741" t="inlineStr">
        <is>
          <t>Kommuner</t>
        </is>
      </c>
      <c r="G741" t="n">
        <v>1.9</v>
      </c>
      <c r="H741" t="n">
        <v>0</v>
      </c>
      <c r="I741" t="n">
        <v>0</v>
      </c>
      <c r="J741" t="n">
        <v>0</v>
      </c>
      <c r="K741" t="n">
        <v>0</v>
      </c>
      <c r="L741" t="n">
        <v>0</v>
      </c>
      <c r="M741" t="n">
        <v>0</v>
      </c>
      <c r="N741" t="n">
        <v>0</v>
      </c>
      <c r="O741" t="n">
        <v>0</v>
      </c>
      <c r="P741" t="n">
        <v>0</v>
      </c>
      <c r="Q741" t="n">
        <v>0</v>
      </c>
      <c r="R741" s="2" t="inlineStr"/>
    </row>
    <row r="742" ht="15" customHeight="1">
      <c r="A742" t="inlineStr">
        <is>
          <t>A 25799-2023</t>
        </is>
      </c>
      <c r="B742" s="1" t="n">
        <v>45090</v>
      </c>
      <c r="C742" s="1" t="n">
        <v>45966</v>
      </c>
      <c r="D742" t="inlineStr">
        <is>
          <t>KALMAR LÄN</t>
        </is>
      </c>
      <c r="E742" t="inlineStr">
        <is>
          <t>VIMMERBY</t>
        </is>
      </c>
      <c r="G742" t="n">
        <v>7.7</v>
      </c>
      <c r="H742" t="n">
        <v>0</v>
      </c>
      <c r="I742" t="n">
        <v>0</v>
      </c>
      <c r="J742" t="n">
        <v>0</v>
      </c>
      <c r="K742" t="n">
        <v>0</v>
      </c>
      <c r="L742" t="n">
        <v>0</v>
      </c>
      <c r="M742" t="n">
        <v>0</v>
      </c>
      <c r="N742" t="n">
        <v>0</v>
      </c>
      <c r="O742" t="n">
        <v>0</v>
      </c>
      <c r="P742" t="n">
        <v>0</v>
      </c>
      <c r="Q742" t="n">
        <v>0</v>
      </c>
      <c r="R742" s="2" t="inlineStr"/>
    </row>
    <row r="743" ht="15" customHeight="1">
      <c r="A743" t="inlineStr">
        <is>
          <t>A 53083-2021</t>
        </is>
      </c>
      <c r="B743" s="1" t="n">
        <v>44467.83386574074</v>
      </c>
      <c r="C743" s="1" t="n">
        <v>45966</v>
      </c>
      <c r="D743" t="inlineStr">
        <is>
          <t>KALMAR LÄN</t>
        </is>
      </c>
      <c r="E743" t="inlineStr">
        <is>
          <t>VIMMERBY</t>
        </is>
      </c>
      <c r="G743" t="n">
        <v>6.8</v>
      </c>
      <c r="H743" t="n">
        <v>0</v>
      </c>
      <c r="I743" t="n">
        <v>0</v>
      </c>
      <c r="J743" t="n">
        <v>0</v>
      </c>
      <c r="K743" t="n">
        <v>0</v>
      </c>
      <c r="L743" t="n">
        <v>0</v>
      </c>
      <c r="M743" t="n">
        <v>0</v>
      </c>
      <c r="N743" t="n">
        <v>0</v>
      </c>
      <c r="O743" t="n">
        <v>0</v>
      </c>
      <c r="P743" t="n">
        <v>0</v>
      </c>
      <c r="Q743" t="n">
        <v>0</v>
      </c>
      <c r="R743" s="2" t="inlineStr"/>
    </row>
    <row r="744" ht="15" customHeight="1">
      <c r="A744" t="inlineStr">
        <is>
          <t>A 24655-2021</t>
        </is>
      </c>
      <c r="B744" s="1" t="n">
        <v>44340</v>
      </c>
      <c r="C744" s="1" t="n">
        <v>45966</v>
      </c>
      <c r="D744" t="inlineStr">
        <is>
          <t>KALMAR LÄN</t>
        </is>
      </c>
      <c r="E744" t="inlineStr">
        <is>
          <t>VIMMERBY</t>
        </is>
      </c>
      <c r="G744" t="n">
        <v>14.9</v>
      </c>
      <c r="H744" t="n">
        <v>0</v>
      </c>
      <c r="I744" t="n">
        <v>0</v>
      </c>
      <c r="J744" t="n">
        <v>0</v>
      </c>
      <c r="K744" t="n">
        <v>0</v>
      </c>
      <c r="L744" t="n">
        <v>0</v>
      </c>
      <c r="M744" t="n">
        <v>0</v>
      </c>
      <c r="N744" t="n">
        <v>0</v>
      </c>
      <c r="O744" t="n">
        <v>0</v>
      </c>
      <c r="P744" t="n">
        <v>0</v>
      </c>
      <c r="Q744" t="n">
        <v>0</v>
      </c>
      <c r="R744" s="2" t="inlineStr"/>
    </row>
    <row r="745" ht="15" customHeight="1">
      <c r="A745" t="inlineStr">
        <is>
          <t>A 36603-2025</t>
        </is>
      </c>
      <c r="B745" s="1" t="n">
        <v>45870.52142361111</v>
      </c>
      <c r="C745" s="1" t="n">
        <v>45966</v>
      </c>
      <c r="D745" t="inlineStr">
        <is>
          <t>KALMAR LÄN</t>
        </is>
      </c>
      <c r="E745" t="inlineStr">
        <is>
          <t>VIMMERBY</t>
        </is>
      </c>
      <c r="G745" t="n">
        <v>1.6</v>
      </c>
      <c r="H745" t="n">
        <v>0</v>
      </c>
      <c r="I745" t="n">
        <v>0</v>
      </c>
      <c r="J745" t="n">
        <v>0</v>
      </c>
      <c r="K745" t="n">
        <v>0</v>
      </c>
      <c r="L745" t="n">
        <v>0</v>
      </c>
      <c r="M745" t="n">
        <v>0</v>
      </c>
      <c r="N745" t="n">
        <v>0</v>
      </c>
      <c r="O745" t="n">
        <v>0</v>
      </c>
      <c r="P745" t="n">
        <v>0</v>
      </c>
      <c r="Q745" t="n">
        <v>0</v>
      </c>
      <c r="R745" s="2" t="inlineStr"/>
    </row>
    <row r="746" ht="15" customHeight="1">
      <c r="A746" t="inlineStr">
        <is>
          <t>A 33838-2022</t>
        </is>
      </c>
      <c r="B746" s="1" t="n">
        <v>44790.49040509259</v>
      </c>
      <c r="C746" s="1" t="n">
        <v>45966</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32835-2022</t>
        </is>
      </c>
      <c r="B747" s="1" t="n">
        <v>44784.42528935185</v>
      </c>
      <c r="C747" s="1" t="n">
        <v>45966</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27443-2023</t>
        </is>
      </c>
      <c r="B748" s="1" t="n">
        <v>45097.40524305555</v>
      </c>
      <c r="C748" s="1" t="n">
        <v>45966</v>
      </c>
      <c r="D748" t="inlineStr">
        <is>
          <t>KALMAR LÄN</t>
        </is>
      </c>
      <c r="E748" t="inlineStr">
        <is>
          <t>VIMMERBY</t>
        </is>
      </c>
      <c r="F748" t="inlineStr">
        <is>
          <t>Övriga Aktiebolag</t>
        </is>
      </c>
      <c r="G748" t="n">
        <v>2.3</v>
      </c>
      <c r="H748" t="n">
        <v>0</v>
      </c>
      <c r="I748" t="n">
        <v>0</v>
      </c>
      <c r="J748" t="n">
        <v>0</v>
      </c>
      <c r="K748" t="n">
        <v>0</v>
      </c>
      <c r="L748" t="n">
        <v>0</v>
      </c>
      <c r="M748" t="n">
        <v>0</v>
      </c>
      <c r="N748" t="n">
        <v>0</v>
      </c>
      <c r="O748" t="n">
        <v>0</v>
      </c>
      <c r="P748" t="n">
        <v>0</v>
      </c>
      <c r="Q748" t="n">
        <v>0</v>
      </c>
      <c r="R748" s="2" t="inlineStr"/>
    </row>
    <row r="749" ht="15" customHeight="1">
      <c r="A749" t="inlineStr">
        <is>
          <t>A 36600-2025</t>
        </is>
      </c>
      <c r="B749" s="1" t="n">
        <v>45870.51958333333</v>
      </c>
      <c r="C749" s="1" t="n">
        <v>45966</v>
      </c>
      <c r="D749" t="inlineStr">
        <is>
          <t>KALMAR LÄN</t>
        </is>
      </c>
      <c r="E749" t="inlineStr">
        <is>
          <t>VIMMERBY</t>
        </is>
      </c>
      <c r="G749" t="n">
        <v>2</v>
      </c>
      <c r="H749" t="n">
        <v>0</v>
      </c>
      <c r="I749" t="n">
        <v>0</v>
      </c>
      <c r="J749" t="n">
        <v>0</v>
      </c>
      <c r="K749" t="n">
        <v>0</v>
      </c>
      <c r="L749" t="n">
        <v>0</v>
      </c>
      <c r="M749" t="n">
        <v>0</v>
      </c>
      <c r="N749" t="n">
        <v>0</v>
      </c>
      <c r="O749" t="n">
        <v>0</v>
      </c>
      <c r="P749" t="n">
        <v>0</v>
      </c>
      <c r="Q749" t="n">
        <v>0</v>
      </c>
      <c r="R749" s="2" t="inlineStr"/>
    </row>
    <row r="750" ht="15" customHeight="1">
      <c r="A750" t="inlineStr">
        <is>
          <t>A 36601-2025</t>
        </is>
      </c>
      <c r="B750" s="1" t="n">
        <v>45870.52005787037</v>
      </c>
      <c r="C750" s="1" t="n">
        <v>45966</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1081-2023</t>
        </is>
      </c>
      <c r="B751" s="1" t="n">
        <v>44935</v>
      </c>
      <c r="C751" s="1" t="n">
        <v>45966</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47063-2022</t>
        </is>
      </c>
      <c r="B752" s="1" t="n">
        <v>44852</v>
      </c>
      <c r="C752" s="1" t="n">
        <v>45966</v>
      </c>
      <c r="D752" t="inlineStr">
        <is>
          <t>KALMAR LÄN</t>
        </is>
      </c>
      <c r="E752" t="inlineStr">
        <is>
          <t>VIMMERBY</t>
        </is>
      </c>
      <c r="G752" t="n">
        <v>2.5</v>
      </c>
      <c r="H752" t="n">
        <v>0</v>
      </c>
      <c r="I752" t="n">
        <v>0</v>
      </c>
      <c r="J752" t="n">
        <v>0</v>
      </c>
      <c r="K752" t="n">
        <v>0</v>
      </c>
      <c r="L752" t="n">
        <v>0</v>
      </c>
      <c r="M752" t="n">
        <v>0</v>
      </c>
      <c r="N752" t="n">
        <v>0</v>
      </c>
      <c r="O752" t="n">
        <v>0</v>
      </c>
      <c r="P752" t="n">
        <v>0</v>
      </c>
      <c r="Q752" t="n">
        <v>0</v>
      </c>
      <c r="R752" s="2" t="inlineStr"/>
    </row>
    <row r="753" ht="15" customHeight="1">
      <c r="A753" t="inlineStr">
        <is>
          <t>A 845-2023</t>
        </is>
      </c>
      <c r="B753" s="1" t="n">
        <v>44931</v>
      </c>
      <c r="C753" s="1" t="n">
        <v>45966</v>
      </c>
      <c r="D753" t="inlineStr">
        <is>
          <t>KALMAR LÄN</t>
        </is>
      </c>
      <c r="E753" t="inlineStr">
        <is>
          <t>VIMMERBY</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37088-2025</t>
        </is>
      </c>
      <c r="B754" s="1" t="n">
        <v>45875.45716435185</v>
      </c>
      <c r="C754" s="1" t="n">
        <v>45966</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28403-2023</t>
        </is>
      </c>
      <c r="B755" s="1" t="n">
        <v>45100.85270833333</v>
      </c>
      <c r="C755" s="1" t="n">
        <v>45966</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37102-2025</t>
        </is>
      </c>
      <c r="B756" s="1" t="n">
        <v>45875.47454861111</v>
      </c>
      <c r="C756" s="1" t="n">
        <v>45966</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33103-2024</t>
        </is>
      </c>
      <c r="B757" s="1" t="n">
        <v>45517.8162037037</v>
      </c>
      <c r="C757" s="1" t="n">
        <v>45966</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37079-2025</t>
        </is>
      </c>
      <c r="B758" s="1" t="n">
        <v>45875.42716435185</v>
      </c>
      <c r="C758" s="1" t="n">
        <v>45966</v>
      </c>
      <c r="D758" t="inlineStr">
        <is>
          <t>KALMAR LÄN</t>
        </is>
      </c>
      <c r="E758" t="inlineStr">
        <is>
          <t>VIMMERBY</t>
        </is>
      </c>
      <c r="G758" t="n">
        <v>0.8</v>
      </c>
      <c r="H758" t="n">
        <v>0</v>
      </c>
      <c r="I758" t="n">
        <v>0</v>
      </c>
      <c r="J758" t="n">
        <v>0</v>
      </c>
      <c r="K758" t="n">
        <v>0</v>
      </c>
      <c r="L758" t="n">
        <v>0</v>
      </c>
      <c r="M758" t="n">
        <v>0</v>
      </c>
      <c r="N758" t="n">
        <v>0</v>
      </c>
      <c r="O758" t="n">
        <v>0</v>
      </c>
      <c r="P758" t="n">
        <v>0</v>
      </c>
      <c r="Q758" t="n">
        <v>0</v>
      </c>
      <c r="R758" s="2" t="inlineStr"/>
    </row>
    <row r="759" ht="15" customHeight="1">
      <c r="A759" t="inlineStr">
        <is>
          <t>A 36934-2025</t>
        </is>
      </c>
      <c r="B759" s="1" t="n">
        <v>45874.57109953704</v>
      </c>
      <c r="C759" s="1" t="n">
        <v>45966</v>
      </c>
      <c r="D759" t="inlineStr">
        <is>
          <t>KALMAR LÄN</t>
        </is>
      </c>
      <c r="E759" t="inlineStr">
        <is>
          <t>VIMMERBY</t>
        </is>
      </c>
      <c r="G759" t="n">
        <v>4.2</v>
      </c>
      <c r="H759" t="n">
        <v>0</v>
      </c>
      <c r="I759" t="n">
        <v>0</v>
      </c>
      <c r="J759" t="n">
        <v>0</v>
      </c>
      <c r="K759" t="n">
        <v>0</v>
      </c>
      <c r="L759" t="n">
        <v>0</v>
      </c>
      <c r="M759" t="n">
        <v>0</v>
      </c>
      <c r="N759" t="n">
        <v>0</v>
      </c>
      <c r="O759" t="n">
        <v>0</v>
      </c>
      <c r="P759" t="n">
        <v>0</v>
      </c>
      <c r="Q759" t="n">
        <v>0</v>
      </c>
      <c r="R759" s="2" t="inlineStr"/>
    </row>
    <row r="760" ht="15" customHeight="1">
      <c r="A760" t="inlineStr">
        <is>
          <t>A 2260-2022</t>
        </is>
      </c>
      <c r="B760" s="1" t="n">
        <v>44578.62943287037</v>
      </c>
      <c r="C760" s="1" t="n">
        <v>45966</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11661-2023</t>
        </is>
      </c>
      <c r="B761" s="1" t="n">
        <v>44994.46908564815</v>
      </c>
      <c r="C761" s="1" t="n">
        <v>45966</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58046-2022</t>
        </is>
      </c>
      <c r="B762" s="1" t="n">
        <v>44900.57393518519</v>
      </c>
      <c r="C762" s="1" t="n">
        <v>45966</v>
      </c>
      <c r="D762" t="inlineStr">
        <is>
          <t>KALMAR LÄN</t>
        </is>
      </c>
      <c r="E762" t="inlineStr">
        <is>
          <t>VIMMERBY</t>
        </is>
      </c>
      <c r="G762" t="n">
        <v>2.5</v>
      </c>
      <c r="H762" t="n">
        <v>0</v>
      </c>
      <c r="I762" t="n">
        <v>0</v>
      </c>
      <c r="J762" t="n">
        <v>0</v>
      </c>
      <c r="K762" t="n">
        <v>0</v>
      </c>
      <c r="L762" t="n">
        <v>0</v>
      </c>
      <c r="M762" t="n">
        <v>0</v>
      </c>
      <c r="N762" t="n">
        <v>0</v>
      </c>
      <c r="O762" t="n">
        <v>0</v>
      </c>
      <c r="P762" t="n">
        <v>0</v>
      </c>
      <c r="Q762" t="n">
        <v>0</v>
      </c>
      <c r="R762" s="2" t="inlineStr"/>
    </row>
    <row r="763" ht="15" customHeight="1">
      <c r="A763" t="inlineStr">
        <is>
          <t>A 45528-2021</t>
        </is>
      </c>
      <c r="B763" s="1" t="n">
        <v>44440.60415509259</v>
      </c>
      <c r="C763" s="1" t="n">
        <v>45966</v>
      </c>
      <c r="D763" t="inlineStr">
        <is>
          <t>KALMAR LÄN</t>
        </is>
      </c>
      <c r="E763" t="inlineStr">
        <is>
          <t>VIMMERBY</t>
        </is>
      </c>
      <c r="G763" t="n">
        <v>2.2</v>
      </c>
      <c r="H763" t="n">
        <v>0</v>
      </c>
      <c r="I763" t="n">
        <v>0</v>
      </c>
      <c r="J763" t="n">
        <v>0</v>
      </c>
      <c r="K763" t="n">
        <v>0</v>
      </c>
      <c r="L763" t="n">
        <v>0</v>
      </c>
      <c r="M763" t="n">
        <v>0</v>
      </c>
      <c r="N763" t="n">
        <v>0</v>
      </c>
      <c r="O763" t="n">
        <v>0</v>
      </c>
      <c r="P763" t="n">
        <v>0</v>
      </c>
      <c r="Q763" t="n">
        <v>0</v>
      </c>
      <c r="R763" s="2" t="inlineStr"/>
    </row>
    <row r="764" ht="15" customHeight="1">
      <c r="A764" t="inlineStr">
        <is>
          <t>A 46979-2023</t>
        </is>
      </c>
      <c r="B764" s="1" t="n">
        <v>45201</v>
      </c>
      <c r="C764" s="1" t="n">
        <v>45966</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6574-2023</t>
        </is>
      </c>
      <c r="B765" s="1" t="n">
        <v>44966</v>
      </c>
      <c r="C765" s="1" t="n">
        <v>45966</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37578-2025</t>
        </is>
      </c>
      <c r="B766" s="1" t="n">
        <v>45880.38380787037</v>
      </c>
      <c r="C766" s="1" t="n">
        <v>45966</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4058-2024</t>
        </is>
      </c>
      <c r="B767" s="1" t="n">
        <v>45323.53744212963</v>
      </c>
      <c r="C767" s="1" t="n">
        <v>45966</v>
      </c>
      <c r="D767" t="inlineStr">
        <is>
          <t>KALMAR LÄN</t>
        </is>
      </c>
      <c r="E767" t="inlineStr">
        <is>
          <t>VIMMERBY</t>
        </is>
      </c>
      <c r="G767" t="n">
        <v>6.5</v>
      </c>
      <c r="H767" t="n">
        <v>0</v>
      </c>
      <c r="I767" t="n">
        <v>0</v>
      </c>
      <c r="J767" t="n">
        <v>0</v>
      </c>
      <c r="K767" t="n">
        <v>0</v>
      </c>
      <c r="L767" t="n">
        <v>0</v>
      </c>
      <c r="M767" t="n">
        <v>0</v>
      </c>
      <c r="N767" t="n">
        <v>0</v>
      </c>
      <c r="O767" t="n">
        <v>0</v>
      </c>
      <c r="P767" t="n">
        <v>0</v>
      </c>
      <c r="Q767" t="n">
        <v>0</v>
      </c>
      <c r="R767" s="2" t="inlineStr"/>
    </row>
    <row r="768" ht="15" customHeight="1">
      <c r="A768" t="inlineStr">
        <is>
          <t>A 1978-2024</t>
        </is>
      </c>
      <c r="B768" s="1" t="n">
        <v>45308.59001157407</v>
      </c>
      <c r="C768" s="1" t="n">
        <v>45966</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37668-2025</t>
        </is>
      </c>
      <c r="B769" s="1" t="n">
        <v>45880.51550925926</v>
      </c>
      <c r="C769" s="1" t="n">
        <v>45966</v>
      </c>
      <c r="D769" t="inlineStr">
        <is>
          <t>KALMAR LÄN</t>
        </is>
      </c>
      <c r="E769" t="inlineStr">
        <is>
          <t>VIMMERBY</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30318-2023</t>
        </is>
      </c>
      <c r="B770" s="1" t="n">
        <v>45111.30824074074</v>
      </c>
      <c r="C770" s="1" t="n">
        <v>45966</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25234-2023</t>
        </is>
      </c>
      <c r="B771" s="1" t="n">
        <v>45086.63194444445</v>
      </c>
      <c r="C771" s="1" t="n">
        <v>45966</v>
      </c>
      <c r="D771" t="inlineStr">
        <is>
          <t>KALMAR LÄN</t>
        </is>
      </c>
      <c r="E771" t="inlineStr">
        <is>
          <t>VIMMERBY</t>
        </is>
      </c>
      <c r="G771" t="n">
        <v>2.1</v>
      </c>
      <c r="H771" t="n">
        <v>0</v>
      </c>
      <c r="I771" t="n">
        <v>0</v>
      </c>
      <c r="J771" t="n">
        <v>0</v>
      </c>
      <c r="K771" t="n">
        <v>0</v>
      </c>
      <c r="L771" t="n">
        <v>0</v>
      </c>
      <c r="M771" t="n">
        <v>0</v>
      </c>
      <c r="N771" t="n">
        <v>0</v>
      </c>
      <c r="O771" t="n">
        <v>0</v>
      </c>
      <c r="P771" t="n">
        <v>0</v>
      </c>
      <c r="Q771" t="n">
        <v>0</v>
      </c>
      <c r="R771" s="2" t="inlineStr"/>
    </row>
    <row r="772" ht="15" customHeight="1">
      <c r="A772" t="inlineStr">
        <is>
          <t>A 46078-2023</t>
        </is>
      </c>
      <c r="B772" s="1" t="n">
        <v>45196</v>
      </c>
      <c r="C772" s="1" t="n">
        <v>45966</v>
      </c>
      <c r="D772" t="inlineStr">
        <is>
          <t>KALMAR LÄN</t>
        </is>
      </c>
      <c r="E772" t="inlineStr">
        <is>
          <t>VIMMERBY</t>
        </is>
      </c>
      <c r="G772" t="n">
        <v>0.7</v>
      </c>
      <c r="H772" t="n">
        <v>0</v>
      </c>
      <c r="I772" t="n">
        <v>0</v>
      </c>
      <c r="J772" t="n">
        <v>0</v>
      </c>
      <c r="K772" t="n">
        <v>0</v>
      </c>
      <c r="L772" t="n">
        <v>0</v>
      </c>
      <c r="M772" t="n">
        <v>0</v>
      </c>
      <c r="N772" t="n">
        <v>0</v>
      </c>
      <c r="O772" t="n">
        <v>0</v>
      </c>
      <c r="P772" t="n">
        <v>0</v>
      </c>
      <c r="Q772" t="n">
        <v>0</v>
      </c>
      <c r="R772" s="2" t="inlineStr"/>
    </row>
    <row r="773" ht="15" customHeight="1">
      <c r="A773" t="inlineStr">
        <is>
          <t>A 46118-2025</t>
        </is>
      </c>
      <c r="B773" s="1" t="n">
        <v>45924.57697916667</v>
      </c>
      <c r="C773" s="1" t="n">
        <v>45966</v>
      </c>
      <c r="D773" t="inlineStr">
        <is>
          <t>KALMAR LÄN</t>
        </is>
      </c>
      <c r="E773" t="inlineStr">
        <is>
          <t>VIMMERBY</t>
        </is>
      </c>
      <c r="G773" t="n">
        <v>2.9</v>
      </c>
      <c r="H773" t="n">
        <v>0</v>
      </c>
      <c r="I773" t="n">
        <v>0</v>
      </c>
      <c r="J773" t="n">
        <v>0</v>
      </c>
      <c r="K773" t="n">
        <v>0</v>
      </c>
      <c r="L773" t="n">
        <v>0</v>
      </c>
      <c r="M773" t="n">
        <v>0</v>
      </c>
      <c r="N773" t="n">
        <v>0</v>
      </c>
      <c r="O773" t="n">
        <v>0</v>
      </c>
      <c r="P773" t="n">
        <v>0</v>
      </c>
      <c r="Q773" t="n">
        <v>0</v>
      </c>
      <c r="R773" s="2" t="inlineStr"/>
    </row>
    <row r="774" ht="15" customHeight="1">
      <c r="A774" t="inlineStr">
        <is>
          <t>A 37939-2025</t>
        </is>
      </c>
      <c r="B774" s="1" t="n">
        <v>45881.59877314815</v>
      </c>
      <c r="C774" s="1" t="n">
        <v>45966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37866-2025</t>
        </is>
      </c>
      <c r="B775" s="1" t="n">
        <v>45881</v>
      </c>
      <c r="C775" s="1" t="n">
        <v>45966</v>
      </c>
      <c r="D775" t="inlineStr">
        <is>
          <t>KALMAR LÄN</t>
        </is>
      </c>
      <c r="E775" t="inlineStr">
        <is>
          <t>VIMMERBY</t>
        </is>
      </c>
      <c r="G775" t="n">
        <v>3.4</v>
      </c>
      <c r="H775" t="n">
        <v>0</v>
      </c>
      <c r="I775" t="n">
        <v>0</v>
      </c>
      <c r="J775" t="n">
        <v>0</v>
      </c>
      <c r="K775" t="n">
        <v>0</v>
      </c>
      <c r="L775" t="n">
        <v>0</v>
      </c>
      <c r="M775" t="n">
        <v>0</v>
      </c>
      <c r="N775" t="n">
        <v>0</v>
      </c>
      <c r="O775" t="n">
        <v>0</v>
      </c>
      <c r="P775" t="n">
        <v>0</v>
      </c>
      <c r="Q775" t="n">
        <v>0</v>
      </c>
      <c r="R775" s="2" t="inlineStr"/>
    </row>
    <row r="776" ht="15" customHeight="1">
      <c r="A776" t="inlineStr">
        <is>
          <t>A 46361-2025</t>
        </is>
      </c>
      <c r="B776" s="1" t="n">
        <v>45925.49670138889</v>
      </c>
      <c r="C776" s="1" t="n">
        <v>45966</v>
      </c>
      <c r="D776" t="inlineStr">
        <is>
          <t>KALMAR LÄN</t>
        </is>
      </c>
      <c r="E776" t="inlineStr">
        <is>
          <t>VIMMERBY</t>
        </is>
      </c>
      <c r="G776" t="n">
        <v>4.2</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44965.4815162037</v>
      </c>
      <c r="C777" s="1" t="n">
        <v>45966</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4624-2024</t>
        </is>
      </c>
      <c r="B778" s="1" t="n">
        <v>45328.38755787037</v>
      </c>
      <c r="C778" s="1" t="n">
        <v>45966</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3609-2024</t>
        </is>
      </c>
      <c r="B779" s="1" t="n">
        <v>45320.89128472222</v>
      </c>
      <c r="C779" s="1" t="n">
        <v>45966</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10424-2023</t>
        </is>
      </c>
      <c r="B780" s="1" t="n">
        <v>44987.54104166666</v>
      </c>
      <c r="C780" s="1" t="n">
        <v>45966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40730-2024</t>
        </is>
      </c>
      <c r="B781" s="1" t="n">
        <v>45558.44914351852</v>
      </c>
      <c r="C781" s="1" t="n">
        <v>45966</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46365-2025</t>
        </is>
      </c>
      <c r="B782" s="1" t="n">
        <v>45925.50075231482</v>
      </c>
      <c r="C782" s="1" t="n">
        <v>45966</v>
      </c>
      <c r="D782" t="inlineStr">
        <is>
          <t>KALMAR LÄN</t>
        </is>
      </c>
      <c r="E782" t="inlineStr">
        <is>
          <t>VIMMERBY</t>
        </is>
      </c>
      <c r="G782" t="n">
        <v>5.6</v>
      </c>
      <c r="H782" t="n">
        <v>0</v>
      </c>
      <c r="I782" t="n">
        <v>0</v>
      </c>
      <c r="J782" t="n">
        <v>0</v>
      </c>
      <c r="K782" t="n">
        <v>0</v>
      </c>
      <c r="L782" t="n">
        <v>0</v>
      </c>
      <c r="M782" t="n">
        <v>0</v>
      </c>
      <c r="N782" t="n">
        <v>0</v>
      </c>
      <c r="O782" t="n">
        <v>0</v>
      </c>
      <c r="P782" t="n">
        <v>0</v>
      </c>
      <c r="Q782" t="n">
        <v>0</v>
      </c>
      <c r="R782" s="2" t="inlineStr"/>
    </row>
    <row r="783" ht="15" customHeight="1">
      <c r="A783" t="inlineStr">
        <is>
          <t>A 2157-2024</t>
        </is>
      </c>
      <c r="B783" s="1" t="n">
        <v>45309.59487268519</v>
      </c>
      <c r="C783" s="1" t="n">
        <v>45966</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49382-2023</t>
        </is>
      </c>
      <c r="B784" s="1" t="n">
        <v>45208</v>
      </c>
      <c r="C784" s="1" t="n">
        <v>45966</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12810-2023</t>
        </is>
      </c>
      <c r="B785" s="1" t="n">
        <v>45001.43854166667</v>
      </c>
      <c r="C785" s="1" t="n">
        <v>45966</v>
      </c>
      <c r="D785" t="inlineStr">
        <is>
          <t>KALMAR LÄN</t>
        </is>
      </c>
      <c r="E785" t="inlineStr">
        <is>
          <t>VIMMERBY</t>
        </is>
      </c>
      <c r="G785" t="n">
        <v>1.5</v>
      </c>
      <c r="H785" t="n">
        <v>0</v>
      </c>
      <c r="I785" t="n">
        <v>0</v>
      </c>
      <c r="J785" t="n">
        <v>0</v>
      </c>
      <c r="K785" t="n">
        <v>0</v>
      </c>
      <c r="L785" t="n">
        <v>0</v>
      </c>
      <c r="M785" t="n">
        <v>0</v>
      </c>
      <c r="N785" t="n">
        <v>0</v>
      </c>
      <c r="O785" t="n">
        <v>0</v>
      </c>
      <c r="P785" t="n">
        <v>0</v>
      </c>
      <c r="Q785" t="n">
        <v>0</v>
      </c>
      <c r="R785" s="2" t="inlineStr"/>
    </row>
    <row r="786" ht="15" customHeight="1">
      <c r="A786" t="inlineStr">
        <is>
          <t>A 3425-2022</t>
        </is>
      </c>
      <c r="B786" s="1" t="n">
        <v>44585.51060185185</v>
      </c>
      <c r="C786" s="1" t="n">
        <v>45966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60675-2023</t>
        </is>
      </c>
      <c r="B787" s="1" t="n">
        <v>45260.4716550926</v>
      </c>
      <c r="C787" s="1" t="n">
        <v>45966</v>
      </c>
      <c r="D787" t="inlineStr">
        <is>
          <t>KALMAR LÄN</t>
        </is>
      </c>
      <c r="E787" t="inlineStr">
        <is>
          <t>VIMMERBY</t>
        </is>
      </c>
      <c r="G787" t="n">
        <v>1.2</v>
      </c>
      <c r="H787" t="n">
        <v>0</v>
      </c>
      <c r="I787" t="n">
        <v>0</v>
      </c>
      <c r="J787" t="n">
        <v>0</v>
      </c>
      <c r="K787" t="n">
        <v>0</v>
      </c>
      <c r="L787" t="n">
        <v>0</v>
      </c>
      <c r="M787" t="n">
        <v>0</v>
      </c>
      <c r="N787" t="n">
        <v>0</v>
      </c>
      <c r="O787" t="n">
        <v>0</v>
      </c>
      <c r="P787" t="n">
        <v>0</v>
      </c>
      <c r="Q787" t="n">
        <v>0</v>
      </c>
      <c r="R787" s="2" t="inlineStr"/>
    </row>
    <row r="788" ht="15" customHeight="1">
      <c r="A788" t="inlineStr">
        <is>
          <t>A 2536-2023</t>
        </is>
      </c>
      <c r="B788" s="1" t="n">
        <v>44943.62954861111</v>
      </c>
      <c r="C788" s="1" t="n">
        <v>45966</v>
      </c>
      <c r="D788" t="inlineStr">
        <is>
          <t>KALMAR LÄN</t>
        </is>
      </c>
      <c r="E788" t="inlineStr">
        <is>
          <t>VIMMERBY</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49461-2022</t>
        </is>
      </c>
      <c r="B789" s="1" t="n">
        <v>44861</v>
      </c>
      <c r="C789" s="1" t="n">
        <v>45966</v>
      </c>
      <c r="D789" t="inlineStr">
        <is>
          <t>KALMAR LÄN</t>
        </is>
      </c>
      <c r="E789" t="inlineStr">
        <is>
          <t>VIMMERBY</t>
        </is>
      </c>
      <c r="G789" t="n">
        <v>3.2</v>
      </c>
      <c r="H789" t="n">
        <v>0</v>
      </c>
      <c r="I789" t="n">
        <v>0</v>
      </c>
      <c r="J789" t="n">
        <v>0</v>
      </c>
      <c r="K789" t="n">
        <v>0</v>
      </c>
      <c r="L789" t="n">
        <v>0</v>
      </c>
      <c r="M789" t="n">
        <v>0</v>
      </c>
      <c r="N789" t="n">
        <v>0</v>
      </c>
      <c r="O789" t="n">
        <v>0</v>
      </c>
      <c r="P789" t="n">
        <v>0</v>
      </c>
      <c r="Q789" t="n">
        <v>0</v>
      </c>
      <c r="R789" s="2" t="inlineStr"/>
    </row>
    <row r="790" ht="15" customHeight="1">
      <c r="A790" t="inlineStr">
        <is>
          <t>A 694-2024</t>
        </is>
      </c>
      <c r="B790" s="1" t="n">
        <v>45300.3794212963</v>
      </c>
      <c r="C790" s="1" t="n">
        <v>45966</v>
      </c>
      <c r="D790" t="inlineStr">
        <is>
          <t>KALMAR LÄN</t>
        </is>
      </c>
      <c r="E790" t="inlineStr">
        <is>
          <t>VIMMERBY</t>
        </is>
      </c>
      <c r="G790" t="n">
        <v>1.4</v>
      </c>
      <c r="H790" t="n">
        <v>0</v>
      </c>
      <c r="I790" t="n">
        <v>0</v>
      </c>
      <c r="J790" t="n">
        <v>0</v>
      </c>
      <c r="K790" t="n">
        <v>0</v>
      </c>
      <c r="L790" t="n">
        <v>0</v>
      </c>
      <c r="M790" t="n">
        <v>0</v>
      </c>
      <c r="N790" t="n">
        <v>0</v>
      </c>
      <c r="O790" t="n">
        <v>0</v>
      </c>
      <c r="P790" t="n">
        <v>0</v>
      </c>
      <c r="Q790" t="n">
        <v>0</v>
      </c>
      <c r="R790" s="2" t="inlineStr"/>
    </row>
    <row r="791" ht="15" customHeight="1">
      <c r="A791" t="inlineStr">
        <is>
          <t>A 59598-2023</t>
        </is>
      </c>
      <c r="B791" s="1" t="n">
        <v>45254.62489583333</v>
      </c>
      <c r="C791" s="1" t="n">
        <v>45966</v>
      </c>
      <c r="D791" t="inlineStr">
        <is>
          <t>KALMAR LÄN</t>
        </is>
      </c>
      <c r="E791" t="inlineStr">
        <is>
          <t>VIMMERBY</t>
        </is>
      </c>
      <c r="F791" t="inlineStr">
        <is>
          <t>Övriga Aktiebolag</t>
        </is>
      </c>
      <c r="G791" t="n">
        <v>4</v>
      </c>
      <c r="H791" t="n">
        <v>0</v>
      </c>
      <c r="I791" t="n">
        <v>0</v>
      </c>
      <c r="J791" t="n">
        <v>0</v>
      </c>
      <c r="K791" t="n">
        <v>0</v>
      </c>
      <c r="L791" t="n">
        <v>0</v>
      </c>
      <c r="M791" t="n">
        <v>0</v>
      </c>
      <c r="N791" t="n">
        <v>0</v>
      </c>
      <c r="O791" t="n">
        <v>0</v>
      </c>
      <c r="P791" t="n">
        <v>0</v>
      </c>
      <c r="Q791" t="n">
        <v>0</v>
      </c>
      <c r="R791" s="2" t="inlineStr"/>
    </row>
    <row r="792" ht="15" customHeight="1">
      <c r="A792" t="inlineStr">
        <is>
          <t>A 7944-2024</t>
        </is>
      </c>
      <c r="B792" s="1" t="n">
        <v>45350.53306712963</v>
      </c>
      <c r="C792" s="1" t="n">
        <v>45966</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21496-2023</t>
        </is>
      </c>
      <c r="B793" s="1" t="n">
        <v>45063.49936342592</v>
      </c>
      <c r="C793" s="1" t="n">
        <v>45966</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29783-2024</t>
        </is>
      </c>
      <c r="B794" s="1" t="n">
        <v>45485.45778935185</v>
      </c>
      <c r="C794" s="1" t="n">
        <v>45966</v>
      </c>
      <c r="D794" t="inlineStr">
        <is>
          <t>KALMAR LÄN</t>
        </is>
      </c>
      <c r="E794" t="inlineStr">
        <is>
          <t>VIMMERBY</t>
        </is>
      </c>
      <c r="G794" t="n">
        <v>3.1</v>
      </c>
      <c r="H794" t="n">
        <v>0</v>
      </c>
      <c r="I794" t="n">
        <v>0</v>
      </c>
      <c r="J794" t="n">
        <v>0</v>
      </c>
      <c r="K794" t="n">
        <v>0</v>
      </c>
      <c r="L794" t="n">
        <v>0</v>
      </c>
      <c r="M794" t="n">
        <v>0</v>
      </c>
      <c r="N794" t="n">
        <v>0</v>
      </c>
      <c r="O794" t="n">
        <v>0</v>
      </c>
      <c r="P794" t="n">
        <v>0</v>
      </c>
      <c r="Q794" t="n">
        <v>0</v>
      </c>
      <c r="R794" s="2" t="inlineStr"/>
    </row>
    <row r="795" ht="15" customHeight="1">
      <c r="A795" t="inlineStr">
        <is>
          <t>A 35198-2023</t>
        </is>
      </c>
      <c r="B795" s="1" t="n">
        <v>45145</v>
      </c>
      <c r="C795" s="1" t="n">
        <v>45966</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43853-2023</t>
        </is>
      </c>
      <c r="B796" s="1" t="n">
        <v>45187.60813657408</v>
      </c>
      <c r="C796" s="1" t="n">
        <v>45966</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44981.64725694444</v>
      </c>
      <c r="C797" s="1" t="n">
        <v>45966</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38757-2023</t>
        </is>
      </c>
      <c r="B798" s="1" t="n">
        <v>45163.41376157408</v>
      </c>
      <c r="C798" s="1" t="n">
        <v>45966</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29973-2023</t>
        </is>
      </c>
      <c r="B799" s="1" t="n">
        <v>45108.703125</v>
      </c>
      <c r="C799" s="1" t="n">
        <v>45966</v>
      </c>
      <c r="D799" t="inlineStr">
        <is>
          <t>KALMAR LÄN</t>
        </is>
      </c>
      <c r="E799" t="inlineStr">
        <is>
          <t>VIMMERBY</t>
        </is>
      </c>
      <c r="G799" t="n">
        <v>4</v>
      </c>
      <c r="H799" t="n">
        <v>0</v>
      </c>
      <c r="I799" t="n">
        <v>0</v>
      </c>
      <c r="J799" t="n">
        <v>0</v>
      </c>
      <c r="K799" t="n">
        <v>0</v>
      </c>
      <c r="L799" t="n">
        <v>0</v>
      </c>
      <c r="M799" t="n">
        <v>0</v>
      </c>
      <c r="N799" t="n">
        <v>0</v>
      </c>
      <c r="O799" t="n">
        <v>0</v>
      </c>
      <c r="P799" t="n">
        <v>0</v>
      </c>
      <c r="Q799" t="n">
        <v>0</v>
      </c>
      <c r="R799" s="2" t="inlineStr"/>
    </row>
    <row r="800" ht="15" customHeight="1">
      <c r="A800" t="inlineStr">
        <is>
          <t>A 64143-2021</t>
        </is>
      </c>
      <c r="B800" s="1" t="n">
        <v>44510.52157407408</v>
      </c>
      <c r="C800" s="1" t="n">
        <v>45966</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73938-2021</t>
        </is>
      </c>
      <c r="B801" s="1" t="n">
        <v>44553</v>
      </c>
      <c r="C801" s="1" t="n">
        <v>45966</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40076-2021</t>
        </is>
      </c>
      <c r="B802" s="1" t="n">
        <v>44418</v>
      </c>
      <c r="C802" s="1" t="n">
        <v>45966</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50648-2023</t>
        </is>
      </c>
      <c r="B803" s="1" t="n">
        <v>45217.47834490741</v>
      </c>
      <c r="C803" s="1" t="n">
        <v>45966</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529-2022</t>
        </is>
      </c>
      <c r="B804" s="1" t="n">
        <v>44566</v>
      </c>
      <c r="C804" s="1" t="n">
        <v>45966</v>
      </c>
      <c r="D804" t="inlineStr">
        <is>
          <t>KALMAR LÄN</t>
        </is>
      </c>
      <c r="E804" t="inlineStr">
        <is>
          <t>VIMMERBY</t>
        </is>
      </c>
      <c r="G804" t="n">
        <v>1.5</v>
      </c>
      <c r="H804" t="n">
        <v>0</v>
      </c>
      <c r="I804" t="n">
        <v>0</v>
      </c>
      <c r="J804" t="n">
        <v>0</v>
      </c>
      <c r="K804" t="n">
        <v>0</v>
      </c>
      <c r="L804" t="n">
        <v>0</v>
      </c>
      <c r="M804" t="n">
        <v>0</v>
      </c>
      <c r="N804" t="n">
        <v>0</v>
      </c>
      <c r="O804" t="n">
        <v>0</v>
      </c>
      <c r="P804" t="n">
        <v>0</v>
      </c>
      <c r="Q804" t="n">
        <v>0</v>
      </c>
      <c r="R804" s="2" t="inlineStr"/>
    </row>
    <row r="805" ht="15" customHeight="1">
      <c r="A805" t="inlineStr">
        <is>
          <t>A 58318-2021</t>
        </is>
      </c>
      <c r="B805" s="1" t="n">
        <v>44488.35878472222</v>
      </c>
      <c r="C805" s="1" t="n">
        <v>45966</v>
      </c>
      <c r="D805" t="inlineStr">
        <is>
          <t>KALMAR LÄN</t>
        </is>
      </c>
      <c r="E805" t="inlineStr">
        <is>
          <t>VIMMERBY</t>
        </is>
      </c>
      <c r="G805" t="n">
        <v>4</v>
      </c>
      <c r="H805" t="n">
        <v>0</v>
      </c>
      <c r="I805" t="n">
        <v>0</v>
      </c>
      <c r="J805" t="n">
        <v>0</v>
      </c>
      <c r="K805" t="n">
        <v>0</v>
      </c>
      <c r="L805" t="n">
        <v>0</v>
      </c>
      <c r="M805" t="n">
        <v>0</v>
      </c>
      <c r="N805" t="n">
        <v>0</v>
      </c>
      <c r="O805" t="n">
        <v>0</v>
      </c>
      <c r="P805" t="n">
        <v>0</v>
      </c>
      <c r="Q805" t="n">
        <v>0</v>
      </c>
      <c r="R805" s="2" t="inlineStr"/>
    </row>
    <row r="806" ht="15" customHeight="1">
      <c r="A806" t="inlineStr">
        <is>
          <t>A 89-2023</t>
        </is>
      </c>
      <c r="B806" s="1" t="n">
        <v>44918</v>
      </c>
      <c r="C806" s="1" t="n">
        <v>45966</v>
      </c>
      <c r="D806" t="inlineStr">
        <is>
          <t>KALMAR LÄN</t>
        </is>
      </c>
      <c r="E806" t="inlineStr">
        <is>
          <t>VIMMERBY</t>
        </is>
      </c>
      <c r="G806" t="n">
        <v>16.1</v>
      </c>
      <c r="H806" t="n">
        <v>0</v>
      </c>
      <c r="I806" t="n">
        <v>0</v>
      </c>
      <c r="J806" t="n">
        <v>0</v>
      </c>
      <c r="K806" t="n">
        <v>0</v>
      </c>
      <c r="L806" t="n">
        <v>0</v>
      </c>
      <c r="M806" t="n">
        <v>0</v>
      </c>
      <c r="N806" t="n">
        <v>0</v>
      </c>
      <c r="O806" t="n">
        <v>0</v>
      </c>
      <c r="P806" t="n">
        <v>0</v>
      </c>
      <c r="Q806" t="n">
        <v>0</v>
      </c>
      <c r="R806" s="2" t="inlineStr"/>
    </row>
    <row r="807" ht="15" customHeight="1">
      <c r="A807" t="inlineStr">
        <is>
          <t>A 23088-2024</t>
        </is>
      </c>
      <c r="B807" s="1" t="n">
        <v>45450.51092592593</v>
      </c>
      <c r="C807" s="1" t="n">
        <v>45966</v>
      </c>
      <c r="D807" t="inlineStr">
        <is>
          <t>KALMAR LÄN</t>
        </is>
      </c>
      <c r="E807" t="inlineStr">
        <is>
          <t>VIMMERBY</t>
        </is>
      </c>
      <c r="G807" t="n">
        <v>1.9</v>
      </c>
      <c r="H807" t="n">
        <v>0</v>
      </c>
      <c r="I807" t="n">
        <v>0</v>
      </c>
      <c r="J807" t="n">
        <v>0</v>
      </c>
      <c r="K807" t="n">
        <v>0</v>
      </c>
      <c r="L807" t="n">
        <v>0</v>
      </c>
      <c r="M807" t="n">
        <v>0</v>
      </c>
      <c r="N807" t="n">
        <v>0</v>
      </c>
      <c r="O807" t="n">
        <v>0</v>
      </c>
      <c r="P807" t="n">
        <v>0</v>
      </c>
      <c r="Q807" t="n">
        <v>0</v>
      </c>
      <c r="R807" s="2" t="inlineStr"/>
    </row>
    <row r="808" ht="15" customHeight="1">
      <c r="A808" t="inlineStr">
        <is>
          <t>A 38851-2023</t>
        </is>
      </c>
      <c r="B808" s="1" t="n">
        <v>45163</v>
      </c>
      <c r="C808" s="1" t="n">
        <v>45966</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10759-2023</t>
        </is>
      </c>
      <c r="B809" s="1" t="n">
        <v>44988</v>
      </c>
      <c r="C809" s="1" t="n">
        <v>45966</v>
      </c>
      <c r="D809" t="inlineStr">
        <is>
          <t>KALMAR LÄN</t>
        </is>
      </c>
      <c r="E809" t="inlineStr">
        <is>
          <t>VIMMERBY</t>
        </is>
      </c>
      <c r="G809" t="n">
        <v>0.4</v>
      </c>
      <c r="H809" t="n">
        <v>0</v>
      </c>
      <c r="I809" t="n">
        <v>0</v>
      </c>
      <c r="J809" t="n">
        <v>0</v>
      </c>
      <c r="K809" t="n">
        <v>0</v>
      </c>
      <c r="L809" t="n">
        <v>0</v>
      </c>
      <c r="M809" t="n">
        <v>0</v>
      </c>
      <c r="N809" t="n">
        <v>0</v>
      </c>
      <c r="O809" t="n">
        <v>0</v>
      </c>
      <c r="P809" t="n">
        <v>0</v>
      </c>
      <c r="Q809" t="n">
        <v>0</v>
      </c>
      <c r="R809" s="2" t="inlineStr"/>
    </row>
    <row r="810" ht="15" customHeight="1">
      <c r="A810" t="inlineStr">
        <is>
          <t>A 63583-2023</t>
        </is>
      </c>
      <c r="B810" s="1" t="n">
        <v>45275.41833333333</v>
      </c>
      <c r="C810" s="1" t="n">
        <v>45966</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40079-2023</t>
        </is>
      </c>
      <c r="B811" s="1" t="n">
        <v>45168.89298611111</v>
      </c>
      <c r="C811" s="1" t="n">
        <v>45966</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43774-2023</t>
        </is>
      </c>
      <c r="B812" s="1" t="n">
        <v>45187</v>
      </c>
      <c r="C812" s="1" t="n">
        <v>45966</v>
      </c>
      <c r="D812" t="inlineStr">
        <is>
          <t>KALMAR LÄN</t>
        </is>
      </c>
      <c r="E812" t="inlineStr">
        <is>
          <t>VIMMERBY</t>
        </is>
      </c>
      <c r="G812" t="n">
        <v>3.4</v>
      </c>
      <c r="H812" t="n">
        <v>0</v>
      </c>
      <c r="I812" t="n">
        <v>0</v>
      </c>
      <c r="J812" t="n">
        <v>0</v>
      </c>
      <c r="K812" t="n">
        <v>0</v>
      </c>
      <c r="L812" t="n">
        <v>0</v>
      </c>
      <c r="M812" t="n">
        <v>0</v>
      </c>
      <c r="N812" t="n">
        <v>0</v>
      </c>
      <c r="O812" t="n">
        <v>0</v>
      </c>
      <c r="P812" t="n">
        <v>0</v>
      </c>
      <c r="Q812" t="n">
        <v>0</v>
      </c>
      <c r="R812" s="2" t="inlineStr"/>
    </row>
    <row r="813" ht="15" customHeight="1">
      <c r="A813" t="inlineStr">
        <is>
          <t>A 29616-2022</t>
        </is>
      </c>
      <c r="B813" s="1" t="n">
        <v>44754</v>
      </c>
      <c r="C813" s="1" t="n">
        <v>45966</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39578-2024</t>
        </is>
      </c>
      <c r="B814" s="1" t="n">
        <v>45552.36484953704</v>
      </c>
      <c r="C814" s="1" t="n">
        <v>45966</v>
      </c>
      <c r="D814" t="inlineStr">
        <is>
          <t>KALMAR LÄN</t>
        </is>
      </c>
      <c r="E814" t="inlineStr">
        <is>
          <t>VIMMERBY</t>
        </is>
      </c>
      <c r="G814" t="n">
        <v>1.5</v>
      </c>
      <c r="H814" t="n">
        <v>0</v>
      </c>
      <c r="I814" t="n">
        <v>0</v>
      </c>
      <c r="J814" t="n">
        <v>0</v>
      </c>
      <c r="K814" t="n">
        <v>0</v>
      </c>
      <c r="L814" t="n">
        <v>0</v>
      </c>
      <c r="M814" t="n">
        <v>0</v>
      </c>
      <c r="N814" t="n">
        <v>0</v>
      </c>
      <c r="O814" t="n">
        <v>0</v>
      </c>
      <c r="P814" t="n">
        <v>0</v>
      </c>
      <c r="Q814" t="n">
        <v>0</v>
      </c>
      <c r="R814" s="2" t="inlineStr"/>
    </row>
    <row r="815" ht="15" customHeight="1">
      <c r="A815" t="inlineStr">
        <is>
          <t>A 24707-2024</t>
        </is>
      </c>
      <c r="B815" s="1" t="n">
        <v>45460.62172453704</v>
      </c>
      <c r="C815" s="1" t="n">
        <v>45966</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31056-2022</t>
        </is>
      </c>
      <c r="B816" s="1" t="n">
        <v>44769.45805555556</v>
      </c>
      <c r="C816" s="1" t="n">
        <v>45966</v>
      </c>
      <c r="D816" t="inlineStr">
        <is>
          <t>KALMAR LÄN</t>
        </is>
      </c>
      <c r="E816" t="inlineStr">
        <is>
          <t>VIMMERBY</t>
        </is>
      </c>
      <c r="G816" t="n">
        <v>2</v>
      </c>
      <c r="H816" t="n">
        <v>0</v>
      </c>
      <c r="I816" t="n">
        <v>0</v>
      </c>
      <c r="J816" t="n">
        <v>0</v>
      </c>
      <c r="K816" t="n">
        <v>0</v>
      </c>
      <c r="L816" t="n">
        <v>0</v>
      </c>
      <c r="M816" t="n">
        <v>0</v>
      </c>
      <c r="N816" t="n">
        <v>0</v>
      </c>
      <c r="O816" t="n">
        <v>0</v>
      </c>
      <c r="P816" t="n">
        <v>0</v>
      </c>
      <c r="Q816" t="n">
        <v>0</v>
      </c>
      <c r="R816" s="2" t="inlineStr"/>
    </row>
    <row r="817" ht="15" customHeight="1">
      <c r="A817" t="inlineStr">
        <is>
          <t>A 33383-2023</t>
        </is>
      </c>
      <c r="B817" s="1" t="n">
        <v>45128.58414351852</v>
      </c>
      <c r="C817" s="1" t="n">
        <v>45966</v>
      </c>
      <c r="D817" t="inlineStr">
        <is>
          <t>KALMAR LÄN</t>
        </is>
      </c>
      <c r="E817" t="inlineStr">
        <is>
          <t>VIMMERBY</t>
        </is>
      </c>
      <c r="G817" t="n">
        <v>2.3</v>
      </c>
      <c r="H817" t="n">
        <v>0</v>
      </c>
      <c r="I817" t="n">
        <v>0</v>
      </c>
      <c r="J817" t="n">
        <v>0</v>
      </c>
      <c r="K817" t="n">
        <v>0</v>
      </c>
      <c r="L817" t="n">
        <v>0</v>
      </c>
      <c r="M817" t="n">
        <v>0</v>
      </c>
      <c r="N817" t="n">
        <v>0</v>
      </c>
      <c r="O817" t="n">
        <v>0</v>
      </c>
      <c r="P817" t="n">
        <v>0</v>
      </c>
      <c r="Q817" t="n">
        <v>0</v>
      </c>
      <c r="R817" s="2" t="inlineStr"/>
    </row>
    <row r="818" ht="15" customHeight="1">
      <c r="A818" t="inlineStr">
        <is>
          <t>A 40828-2023</t>
        </is>
      </c>
      <c r="B818" s="1" t="n">
        <v>45171.96248842592</v>
      </c>
      <c r="C818" s="1" t="n">
        <v>45966</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61861-2024</t>
        </is>
      </c>
      <c r="B819" s="1" t="n">
        <v>45650.37370370371</v>
      </c>
      <c r="C819" s="1" t="n">
        <v>45966</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8650-2022</t>
        </is>
      </c>
      <c r="B820" s="1" t="n">
        <v>44613</v>
      </c>
      <c r="C820" s="1" t="n">
        <v>45966</v>
      </c>
      <c r="D820" t="inlineStr">
        <is>
          <t>KALMAR LÄN</t>
        </is>
      </c>
      <c r="E820" t="inlineStr">
        <is>
          <t>VIMMERBY</t>
        </is>
      </c>
      <c r="G820" t="n">
        <v>1.4</v>
      </c>
      <c r="H820" t="n">
        <v>0</v>
      </c>
      <c r="I820" t="n">
        <v>0</v>
      </c>
      <c r="J820" t="n">
        <v>0</v>
      </c>
      <c r="K820" t="n">
        <v>0</v>
      </c>
      <c r="L820" t="n">
        <v>0</v>
      </c>
      <c r="M820" t="n">
        <v>0</v>
      </c>
      <c r="N820" t="n">
        <v>0</v>
      </c>
      <c r="O820" t="n">
        <v>0</v>
      </c>
      <c r="P820" t="n">
        <v>0</v>
      </c>
      <c r="Q820" t="n">
        <v>0</v>
      </c>
      <c r="R820" s="2" t="inlineStr"/>
    </row>
    <row r="821" ht="15" customHeight="1">
      <c r="A821" t="inlineStr">
        <is>
          <t>A 33340-2023</t>
        </is>
      </c>
      <c r="B821" s="1" t="n">
        <v>45128.37305555555</v>
      </c>
      <c r="C821" s="1" t="n">
        <v>45966</v>
      </c>
      <c r="D821" t="inlineStr">
        <is>
          <t>KALMAR LÄN</t>
        </is>
      </c>
      <c r="E821" t="inlineStr">
        <is>
          <t>VIMMERBY</t>
        </is>
      </c>
      <c r="G821" t="n">
        <v>1.5</v>
      </c>
      <c r="H821" t="n">
        <v>0</v>
      </c>
      <c r="I821" t="n">
        <v>0</v>
      </c>
      <c r="J821" t="n">
        <v>0</v>
      </c>
      <c r="K821" t="n">
        <v>0</v>
      </c>
      <c r="L821" t="n">
        <v>0</v>
      </c>
      <c r="M821" t="n">
        <v>0</v>
      </c>
      <c r="N821" t="n">
        <v>0</v>
      </c>
      <c r="O821" t="n">
        <v>0</v>
      </c>
      <c r="P821" t="n">
        <v>0</v>
      </c>
      <c r="Q821" t="n">
        <v>0</v>
      </c>
      <c r="R821" s="2" t="inlineStr"/>
    </row>
    <row r="822" ht="15" customHeight="1">
      <c r="A822" t="inlineStr">
        <is>
          <t>A 44423-2023</t>
        </is>
      </c>
      <c r="B822" s="1" t="n">
        <v>45189</v>
      </c>
      <c r="C822" s="1" t="n">
        <v>45966</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37323-2024</t>
        </is>
      </c>
      <c r="B823" s="1" t="n">
        <v>45540.50098379629</v>
      </c>
      <c r="C823" s="1" t="n">
        <v>45966</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18501-2024</t>
        </is>
      </c>
      <c r="B824" s="1" t="n">
        <v>45425.57538194444</v>
      </c>
      <c r="C824" s="1" t="n">
        <v>45966</v>
      </c>
      <c r="D824" t="inlineStr">
        <is>
          <t>KALMAR LÄN</t>
        </is>
      </c>
      <c r="E824" t="inlineStr">
        <is>
          <t>VIMMERBY</t>
        </is>
      </c>
      <c r="G824" t="n">
        <v>2</v>
      </c>
      <c r="H824" t="n">
        <v>0</v>
      </c>
      <c r="I824" t="n">
        <v>0</v>
      </c>
      <c r="J824" t="n">
        <v>0</v>
      </c>
      <c r="K824" t="n">
        <v>0</v>
      </c>
      <c r="L824" t="n">
        <v>0</v>
      </c>
      <c r="M824" t="n">
        <v>0</v>
      </c>
      <c r="N824" t="n">
        <v>0</v>
      </c>
      <c r="O824" t="n">
        <v>0</v>
      </c>
      <c r="P824" t="n">
        <v>0</v>
      </c>
      <c r="Q824" t="n">
        <v>0</v>
      </c>
      <c r="R824" s="2" t="inlineStr"/>
    </row>
    <row r="825" ht="15" customHeight="1">
      <c r="A825" t="inlineStr">
        <is>
          <t>A 27758-2024</t>
        </is>
      </c>
      <c r="B825" s="1" t="n">
        <v>45475.48303240741</v>
      </c>
      <c r="C825" s="1" t="n">
        <v>45966</v>
      </c>
      <c r="D825" t="inlineStr">
        <is>
          <t>KALMAR LÄN</t>
        </is>
      </c>
      <c r="E825" t="inlineStr">
        <is>
          <t>VIMMERBY</t>
        </is>
      </c>
      <c r="G825" t="n">
        <v>2.6</v>
      </c>
      <c r="H825" t="n">
        <v>0</v>
      </c>
      <c r="I825" t="n">
        <v>0</v>
      </c>
      <c r="J825" t="n">
        <v>0</v>
      </c>
      <c r="K825" t="n">
        <v>0</v>
      </c>
      <c r="L825" t="n">
        <v>0</v>
      </c>
      <c r="M825" t="n">
        <v>0</v>
      </c>
      <c r="N825" t="n">
        <v>0</v>
      </c>
      <c r="O825" t="n">
        <v>0</v>
      </c>
      <c r="P825" t="n">
        <v>0</v>
      </c>
      <c r="Q825" t="n">
        <v>0</v>
      </c>
      <c r="R825" s="2" t="inlineStr"/>
    </row>
    <row r="826" ht="15" customHeight="1">
      <c r="A826" t="inlineStr">
        <is>
          <t>A 13307-2025</t>
        </is>
      </c>
      <c r="B826" s="1" t="n">
        <v>45735.58024305556</v>
      </c>
      <c r="C826" s="1" t="n">
        <v>45966</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55716-2023</t>
        </is>
      </c>
      <c r="B827" s="1" t="n">
        <v>45232</v>
      </c>
      <c r="C827" s="1" t="n">
        <v>45966</v>
      </c>
      <c r="D827" t="inlineStr">
        <is>
          <t>KALMAR LÄN</t>
        </is>
      </c>
      <c r="E827" t="inlineStr">
        <is>
          <t>VIMMERBY</t>
        </is>
      </c>
      <c r="G827" t="n">
        <v>2.3</v>
      </c>
      <c r="H827" t="n">
        <v>0</v>
      </c>
      <c r="I827" t="n">
        <v>0</v>
      </c>
      <c r="J827" t="n">
        <v>0</v>
      </c>
      <c r="K827" t="n">
        <v>0</v>
      </c>
      <c r="L827" t="n">
        <v>0</v>
      </c>
      <c r="M827" t="n">
        <v>0</v>
      </c>
      <c r="N827" t="n">
        <v>0</v>
      </c>
      <c r="O827" t="n">
        <v>0</v>
      </c>
      <c r="P827" t="n">
        <v>0</v>
      </c>
      <c r="Q827" t="n">
        <v>0</v>
      </c>
      <c r="R827" s="2" t="inlineStr"/>
    </row>
    <row r="828" ht="15" customHeight="1">
      <c r="A828" t="inlineStr">
        <is>
          <t>A 18329-2023</t>
        </is>
      </c>
      <c r="B828" s="1" t="n">
        <v>45041.63380787037</v>
      </c>
      <c r="C828" s="1" t="n">
        <v>45966</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13015-2023</t>
        </is>
      </c>
      <c r="B829" s="1" t="n">
        <v>45002</v>
      </c>
      <c r="C829" s="1" t="n">
        <v>45966</v>
      </c>
      <c r="D829" t="inlineStr">
        <is>
          <t>KALMAR LÄN</t>
        </is>
      </c>
      <c r="E829" t="inlineStr">
        <is>
          <t>VIMMERBY</t>
        </is>
      </c>
      <c r="G829" t="n">
        <v>3.2</v>
      </c>
      <c r="H829" t="n">
        <v>0</v>
      </c>
      <c r="I829" t="n">
        <v>0</v>
      </c>
      <c r="J829" t="n">
        <v>0</v>
      </c>
      <c r="K829" t="n">
        <v>0</v>
      </c>
      <c r="L829" t="n">
        <v>0</v>
      </c>
      <c r="M829" t="n">
        <v>0</v>
      </c>
      <c r="N829" t="n">
        <v>0</v>
      </c>
      <c r="O829" t="n">
        <v>0</v>
      </c>
      <c r="P829" t="n">
        <v>0</v>
      </c>
      <c r="Q829" t="n">
        <v>0</v>
      </c>
      <c r="R829" s="2" t="inlineStr"/>
    </row>
    <row r="830" ht="15" customHeight="1">
      <c r="A830" t="inlineStr">
        <is>
          <t>A 29186-2024</t>
        </is>
      </c>
      <c r="B830" s="1" t="n">
        <v>45482.54844907407</v>
      </c>
      <c r="C830" s="1" t="n">
        <v>45966</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50993-2022</t>
        </is>
      </c>
      <c r="B831" s="1" t="n">
        <v>44867</v>
      </c>
      <c r="C831" s="1" t="n">
        <v>45966</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54787-2023</t>
        </is>
      </c>
      <c r="B832" s="1" t="n">
        <v>45236</v>
      </c>
      <c r="C832" s="1" t="n">
        <v>45966</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32614-2023</t>
        </is>
      </c>
      <c r="B833" s="1" t="n">
        <v>45121</v>
      </c>
      <c r="C833" s="1" t="n">
        <v>45966</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6850-2023</t>
        </is>
      </c>
      <c r="B834" s="1" t="n">
        <v>44967.44255787037</v>
      </c>
      <c r="C834" s="1" t="n">
        <v>45966</v>
      </c>
      <c r="D834" t="inlineStr">
        <is>
          <t>KALMAR LÄN</t>
        </is>
      </c>
      <c r="E834" t="inlineStr">
        <is>
          <t>VIMMERBY</t>
        </is>
      </c>
      <c r="G834" t="n">
        <v>0.6</v>
      </c>
      <c r="H834" t="n">
        <v>0</v>
      </c>
      <c r="I834" t="n">
        <v>0</v>
      </c>
      <c r="J834" t="n">
        <v>0</v>
      </c>
      <c r="K834" t="n">
        <v>0</v>
      </c>
      <c r="L834" t="n">
        <v>0</v>
      </c>
      <c r="M834" t="n">
        <v>0</v>
      </c>
      <c r="N834" t="n">
        <v>0</v>
      </c>
      <c r="O834" t="n">
        <v>0</v>
      </c>
      <c r="P834" t="n">
        <v>0</v>
      </c>
      <c r="Q834" t="n">
        <v>0</v>
      </c>
      <c r="R834" s="2" t="inlineStr"/>
    </row>
    <row r="835" ht="15" customHeight="1">
      <c r="A835" t="inlineStr">
        <is>
          <t>A 58750-2022</t>
        </is>
      </c>
      <c r="B835" s="1" t="n">
        <v>44903.33363425926</v>
      </c>
      <c r="C835" s="1" t="n">
        <v>45966</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41158-2023</t>
        </is>
      </c>
      <c r="B836" s="1" t="n">
        <v>45174.31395833333</v>
      </c>
      <c r="C836" s="1" t="n">
        <v>45966</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2510-2023</t>
        </is>
      </c>
      <c r="B837" s="1" t="n">
        <v>44943.57309027778</v>
      </c>
      <c r="C837" s="1" t="n">
        <v>45966</v>
      </c>
      <c r="D837" t="inlineStr">
        <is>
          <t>KALMAR LÄN</t>
        </is>
      </c>
      <c r="E837" t="inlineStr">
        <is>
          <t>VIMMERBY</t>
        </is>
      </c>
      <c r="G837" t="n">
        <v>8.6</v>
      </c>
      <c r="H837" t="n">
        <v>0</v>
      </c>
      <c r="I837" t="n">
        <v>0</v>
      </c>
      <c r="J837" t="n">
        <v>0</v>
      </c>
      <c r="K837" t="n">
        <v>0</v>
      </c>
      <c r="L837" t="n">
        <v>0</v>
      </c>
      <c r="M837" t="n">
        <v>0</v>
      </c>
      <c r="N837" t="n">
        <v>0</v>
      </c>
      <c r="O837" t="n">
        <v>0</v>
      </c>
      <c r="P837" t="n">
        <v>0</v>
      </c>
      <c r="Q837" t="n">
        <v>0</v>
      </c>
      <c r="R837" s="2" t="inlineStr"/>
    </row>
    <row r="838" ht="15" customHeight="1">
      <c r="A838" t="inlineStr">
        <is>
          <t>A 3269-2024</t>
        </is>
      </c>
      <c r="B838" s="1" t="n">
        <v>45317.40372685185</v>
      </c>
      <c r="C838" s="1" t="n">
        <v>45966</v>
      </c>
      <c r="D838" t="inlineStr">
        <is>
          <t>KALMAR LÄN</t>
        </is>
      </c>
      <c r="E838" t="inlineStr">
        <is>
          <t>VIMMERBY</t>
        </is>
      </c>
      <c r="F838" t="inlineStr">
        <is>
          <t>Övriga Aktiebolag</t>
        </is>
      </c>
      <c r="G838" t="n">
        <v>1.7</v>
      </c>
      <c r="H838" t="n">
        <v>0</v>
      </c>
      <c r="I838" t="n">
        <v>0</v>
      </c>
      <c r="J838" t="n">
        <v>0</v>
      </c>
      <c r="K838" t="n">
        <v>0</v>
      </c>
      <c r="L838" t="n">
        <v>0</v>
      </c>
      <c r="M838" t="n">
        <v>0</v>
      </c>
      <c r="N838" t="n">
        <v>0</v>
      </c>
      <c r="O838" t="n">
        <v>0</v>
      </c>
      <c r="P838" t="n">
        <v>0</v>
      </c>
      <c r="Q838" t="n">
        <v>0</v>
      </c>
      <c r="R838" s="2" t="inlineStr"/>
    </row>
    <row r="839" ht="15" customHeight="1">
      <c r="A839" t="inlineStr">
        <is>
          <t>A 48120-2022</t>
        </is>
      </c>
      <c r="B839" s="1" t="n">
        <v>44857.65989583333</v>
      </c>
      <c r="C839" s="1" t="n">
        <v>45966</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6368-2023</t>
        </is>
      </c>
      <c r="B840" s="1" t="n">
        <v>44965</v>
      </c>
      <c r="C840" s="1" t="n">
        <v>45966</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9416-2024</t>
        </is>
      </c>
      <c r="B841" s="1" t="n">
        <v>45359.44837962963</v>
      </c>
      <c r="C841" s="1" t="n">
        <v>45966</v>
      </c>
      <c r="D841" t="inlineStr">
        <is>
          <t>KALMAR LÄN</t>
        </is>
      </c>
      <c r="E841" t="inlineStr">
        <is>
          <t>VIMMERBY</t>
        </is>
      </c>
      <c r="G841" t="n">
        <v>3.2</v>
      </c>
      <c r="H841" t="n">
        <v>0</v>
      </c>
      <c r="I841" t="n">
        <v>0</v>
      </c>
      <c r="J841" t="n">
        <v>0</v>
      </c>
      <c r="K841" t="n">
        <v>0</v>
      </c>
      <c r="L841" t="n">
        <v>0</v>
      </c>
      <c r="M841" t="n">
        <v>0</v>
      </c>
      <c r="N841" t="n">
        <v>0</v>
      </c>
      <c r="O841" t="n">
        <v>0</v>
      </c>
      <c r="P841" t="n">
        <v>0</v>
      </c>
      <c r="Q841" t="n">
        <v>0</v>
      </c>
      <c r="R841" s="2" t="inlineStr"/>
    </row>
    <row r="842" ht="15" customHeight="1">
      <c r="A842" t="inlineStr">
        <is>
          <t>A 2797-2023</t>
        </is>
      </c>
      <c r="B842" s="1" t="n">
        <v>44944.71386574074</v>
      </c>
      <c r="C842" s="1" t="n">
        <v>45966</v>
      </c>
      <c r="D842" t="inlineStr">
        <is>
          <t>KALMAR LÄN</t>
        </is>
      </c>
      <c r="E842" t="inlineStr">
        <is>
          <t>VIMMERBY</t>
        </is>
      </c>
      <c r="G842" t="n">
        <v>3.4</v>
      </c>
      <c r="H842" t="n">
        <v>0</v>
      </c>
      <c r="I842" t="n">
        <v>0</v>
      </c>
      <c r="J842" t="n">
        <v>0</v>
      </c>
      <c r="K842" t="n">
        <v>0</v>
      </c>
      <c r="L842" t="n">
        <v>0</v>
      </c>
      <c r="M842" t="n">
        <v>0</v>
      </c>
      <c r="N842" t="n">
        <v>0</v>
      </c>
      <c r="O842" t="n">
        <v>0</v>
      </c>
      <c r="P842" t="n">
        <v>0</v>
      </c>
      <c r="Q842" t="n">
        <v>0</v>
      </c>
      <c r="R842" s="2" t="inlineStr"/>
    </row>
    <row r="843" ht="15" customHeight="1">
      <c r="A843" t="inlineStr">
        <is>
          <t>A 2799-2023</t>
        </is>
      </c>
      <c r="B843" s="1" t="n">
        <v>44944.72100694444</v>
      </c>
      <c r="C843" s="1" t="n">
        <v>45966</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25987-2024</t>
        </is>
      </c>
      <c r="B844" s="1" t="n">
        <v>45467.74417824074</v>
      </c>
      <c r="C844" s="1" t="n">
        <v>45966</v>
      </c>
      <c r="D844" t="inlineStr">
        <is>
          <t>KALMAR LÄN</t>
        </is>
      </c>
      <c r="E844" t="inlineStr">
        <is>
          <t>VIMMERBY</t>
        </is>
      </c>
      <c r="G844" t="n">
        <v>0.8</v>
      </c>
      <c r="H844" t="n">
        <v>0</v>
      </c>
      <c r="I844" t="n">
        <v>0</v>
      </c>
      <c r="J844" t="n">
        <v>0</v>
      </c>
      <c r="K844" t="n">
        <v>0</v>
      </c>
      <c r="L844" t="n">
        <v>0</v>
      </c>
      <c r="M844" t="n">
        <v>0</v>
      </c>
      <c r="N844" t="n">
        <v>0</v>
      </c>
      <c r="O844" t="n">
        <v>0</v>
      </c>
      <c r="P844" t="n">
        <v>0</v>
      </c>
      <c r="Q844" t="n">
        <v>0</v>
      </c>
      <c r="R844" s="2" t="inlineStr"/>
    </row>
    <row r="845" ht="15" customHeight="1">
      <c r="A845" t="inlineStr">
        <is>
          <t>A 22194-2024</t>
        </is>
      </c>
      <c r="B845" s="1" t="n">
        <v>45446.36482638889</v>
      </c>
      <c r="C845" s="1" t="n">
        <v>45966</v>
      </c>
      <c r="D845" t="inlineStr">
        <is>
          <t>KALMAR LÄN</t>
        </is>
      </c>
      <c r="E845" t="inlineStr">
        <is>
          <t>VIMMERBY</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19865-2021</t>
        </is>
      </c>
      <c r="B846" s="1" t="n">
        <v>44312</v>
      </c>
      <c r="C846" s="1" t="n">
        <v>45966</v>
      </c>
      <c r="D846" t="inlineStr">
        <is>
          <t>KALMAR LÄN</t>
        </is>
      </c>
      <c r="E846" t="inlineStr">
        <is>
          <t>VIMMERBY</t>
        </is>
      </c>
      <c r="G846" t="n">
        <v>8.6</v>
      </c>
      <c r="H846" t="n">
        <v>0</v>
      </c>
      <c r="I846" t="n">
        <v>0</v>
      </c>
      <c r="J846" t="n">
        <v>0</v>
      </c>
      <c r="K846" t="n">
        <v>0</v>
      </c>
      <c r="L846" t="n">
        <v>0</v>
      </c>
      <c r="M846" t="n">
        <v>0</v>
      </c>
      <c r="N846" t="n">
        <v>0</v>
      </c>
      <c r="O846" t="n">
        <v>0</v>
      </c>
      <c r="P846" t="n">
        <v>0</v>
      </c>
      <c r="Q846" t="n">
        <v>0</v>
      </c>
      <c r="R846" s="2" t="inlineStr"/>
    </row>
    <row r="847" ht="15" customHeight="1">
      <c r="A847" t="inlineStr">
        <is>
          <t>A 12630-2023</t>
        </is>
      </c>
      <c r="B847" s="1" t="n">
        <v>45000.47998842593</v>
      </c>
      <c r="C847" s="1" t="n">
        <v>45966</v>
      </c>
      <c r="D847" t="inlineStr">
        <is>
          <t>KALMAR LÄN</t>
        </is>
      </c>
      <c r="E847" t="inlineStr">
        <is>
          <t>VIMMERBY</t>
        </is>
      </c>
      <c r="G847" t="n">
        <v>2.1</v>
      </c>
      <c r="H847" t="n">
        <v>0</v>
      </c>
      <c r="I847" t="n">
        <v>0</v>
      </c>
      <c r="J847" t="n">
        <v>0</v>
      </c>
      <c r="K847" t="n">
        <v>0</v>
      </c>
      <c r="L847" t="n">
        <v>0</v>
      </c>
      <c r="M847" t="n">
        <v>0</v>
      </c>
      <c r="N847" t="n">
        <v>0</v>
      </c>
      <c r="O847" t="n">
        <v>0</v>
      </c>
      <c r="P847" t="n">
        <v>0</v>
      </c>
      <c r="Q847" t="n">
        <v>0</v>
      </c>
      <c r="R847" s="2" t="inlineStr"/>
    </row>
    <row r="848" ht="15" customHeight="1">
      <c r="A848" t="inlineStr">
        <is>
          <t>A 21109-2024</t>
        </is>
      </c>
      <c r="B848" s="1" t="n">
        <v>45440.28329861111</v>
      </c>
      <c r="C848" s="1" t="n">
        <v>45966</v>
      </c>
      <c r="D848" t="inlineStr">
        <is>
          <t>KALMAR LÄN</t>
        </is>
      </c>
      <c r="E848" t="inlineStr">
        <is>
          <t>VIMMERBY</t>
        </is>
      </c>
      <c r="G848" t="n">
        <v>0.8</v>
      </c>
      <c r="H848" t="n">
        <v>0</v>
      </c>
      <c r="I848" t="n">
        <v>0</v>
      </c>
      <c r="J848" t="n">
        <v>0</v>
      </c>
      <c r="K848" t="n">
        <v>0</v>
      </c>
      <c r="L848" t="n">
        <v>0</v>
      </c>
      <c r="M848" t="n">
        <v>0</v>
      </c>
      <c r="N848" t="n">
        <v>0</v>
      </c>
      <c r="O848" t="n">
        <v>0</v>
      </c>
      <c r="P848" t="n">
        <v>0</v>
      </c>
      <c r="Q848" t="n">
        <v>0</v>
      </c>
      <c r="R848" s="2" t="inlineStr"/>
    </row>
    <row r="849" ht="15" customHeight="1">
      <c r="A849" t="inlineStr">
        <is>
          <t>A 30634-2024</t>
        </is>
      </c>
      <c r="B849" s="1" t="n">
        <v>45495</v>
      </c>
      <c r="C849" s="1" t="n">
        <v>45966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40260-2024</t>
        </is>
      </c>
      <c r="B850" s="1" t="n">
        <v>45554.63225694445</v>
      </c>
      <c r="C850" s="1" t="n">
        <v>45966</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59943-2023</t>
        </is>
      </c>
      <c r="B851" s="1" t="n">
        <v>45257.67958333333</v>
      </c>
      <c r="C851" s="1" t="n">
        <v>45966</v>
      </c>
      <c r="D851" t="inlineStr">
        <is>
          <t>KALMAR LÄN</t>
        </is>
      </c>
      <c r="E851" t="inlineStr">
        <is>
          <t>VIMMERBY</t>
        </is>
      </c>
      <c r="G851" t="n">
        <v>6.4</v>
      </c>
      <c r="H851" t="n">
        <v>0</v>
      </c>
      <c r="I851" t="n">
        <v>0</v>
      </c>
      <c r="J851" t="n">
        <v>0</v>
      </c>
      <c r="K851" t="n">
        <v>0</v>
      </c>
      <c r="L851" t="n">
        <v>0</v>
      </c>
      <c r="M851" t="n">
        <v>0</v>
      </c>
      <c r="N851" t="n">
        <v>0</v>
      </c>
      <c r="O851" t="n">
        <v>0</v>
      </c>
      <c r="P851" t="n">
        <v>0</v>
      </c>
      <c r="Q851" t="n">
        <v>0</v>
      </c>
      <c r="R851" s="2" t="inlineStr"/>
    </row>
    <row r="852" ht="15" customHeight="1">
      <c r="A852" t="inlineStr">
        <is>
          <t>A 5527-2022</t>
        </is>
      </c>
      <c r="B852" s="1" t="n">
        <v>44595.583125</v>
      </c>
      <c r="C852" s="1" t="n">
        <v>45966</v>
      </c>
      <c r="D852" t="inlineStr">
        <is>
          <t>KALMAR LÄN</t>
        </is>
      </c>
      <c r="E852" t="inlineStr">
        <is>
          <t>VIMMERBY</t>
        </is>
      </c>
      <c r="G852" t="n">
        <v>3.6</v>
      </c>
      <c r="H852" t="n">
        <v>0</v>
      </c>
      <c r="I852" t="n">
        <v>0</v>
      </c>
      <c r="J852" t="n">
        <v>0</v>
      </c>
      <c r="K852" t="n">
        <v>0</v>
      </c>
      <c r="L852" t="n">
        <v>0</v>
      </c>
      <c r="M852" t="n">
        <v>0</v>
      </c>
      <c r="N852" t="n">
        <v>0</v>
      </c>
      <c r="O852" t="n">
        <v>0</v>
      </c>
      <c r="P852" t="n">
        <v>0</v>
      </c>
      <c r="Q852" t="n">
        <v>0</v>
      </c>
      <c r="R852" s="2" t="inlineStr"/>
    </row>
    <row r="853" ht="15" customHeight="1">
      <c r="A853" t="inlineStr">
        <is>
          <t>A 12325-2023</t>
        </is>
      </c>
      <c r="B853" s="1" t="n">
        <v>44999.35858796296</v>
      </c>
      <c r="C853" s="1" t="n">
        <v>45966</v>
      </c>
      <c r="D853" t="inlineStr">
        <is>
          <t>KALMAR LÄN</t>
        </is>
      </c>
      <c r="E853" t="inlineStr">
        <is>
          <t>VIMMERBY</t>
        </is>
      </c>
      <c r="G853" t="n">
        <v>3.4</v>
      </c>
      <c r="H853" t="n">
        <v>0</v>
      </c>
      <c r="I853" t="n">
        <v>0</v>
      </c>
      <c r="J853" t="n">
        <v>0</v>
      </c>
      <c r="K853" t="n">
        <v>0</v>
      </c>
      <c r="L853" t="n">
        <v>0</v>
      </c>
      <c r="M853" t="n">
        <v>0</v>
      </c>
      <c r="N853" t="n">
        <v>0</v>
      </c>
      <c r="O853" t="n">
        <v>0</v>
      </c>
      <c r="P853" t="n">
        <v>0</v>
      </c>
      <c r="Q853" t="n">
        <v>0</v>
      </c>
      <c r="R853" s="2" t="inlineStr"/>
    </row>
    <row r="854" ht="15" customHeight="1">
      <c r="A854" t="inlineStr">
        <is>
          <t>A 1016-2024</t>
        </is>
      </c>
      <c r="B854" s="1" t="n">
        <v>45301</v>
      </c>
      <c r="C854" s="1" t="n">
        <v>45966</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33681-2022</t>
        </is>
      </c>
      <c r="B855" s="1" t="n">
        <v>44789</v>
      </c>
      <c r="C855" s="1" t="n">
        <v>45966</v>
      </c>
      <c r="D855" t="inlineStr">
        <is>
          <t>KALMAR LÄN</t>
        </is>
      </c>
      <c r="E855" t="inlineStr">
        <is>
          <t>VIMMERBY</t>
        </is>
      </c>
      <c r="G855" t="n">
        <v>3.2</v>
      </c>
      <c r="H855" t="n">
        <v>0</v>
      </c>
      <c r="I855" t="n">
        <v>0</v>
      </c>
      <c r="J855" t="n">
        <v>0</v>
      </c>
      <c r="K855" t="n">
        <v>0</v>
      </c>
      <c r="L855" t="n">
        <v>0</v>
      </c>
      <c r="M855" t="n">
        <v>0</v>
      </c>
      <c r="N855" t="n">
        <v>0</v>
      </c>
      <c r="O855" t="n">
        <v>0</v>
      </c>
      <c r="P855" t="n">
        <v>0</v>
      </c>
      <c r="Q855" t="n">
        <v>0</v>
      </c>
      <c r="R855" s="2" t="inlineStr"/>
    </row>
    <row r="856" ht="15" customHeight="1">
      <c r="A856" t="inlineStr">
        <is>
          <t>A 5074-2023</t>
        </is>
      </c>
      <c r="B856" s="1" t="n">
        <v>44958.61047453704</v>
      </c>
      <c r="C856" s="1" t="n">
        <v>45966</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51187-2023</t>
        </is>
      </c>
      <c r="B857" s="1" t="n">
        <v>45219.40528935185</v>
      </c>
      <c r="C857" s="1" t="n">
        <v>45966</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15715-2022</t>
        </is>
      </c>
      <c r="B858" s="1" t="n">
        <v>44663</v>
      </c>
      <c r="C858" s="1" t="n">
        <v>45966</v>
      </c>
      <c r="D858" t="inlineStr">
        <is>
          <t>KALMAR LÄN</t>
        </is>
      </c>
      <c r="E858" t="inlineStr">
        <is>
          <t>VIMMERBY</t>
        </is>
      </c>
      <c r="G858" t="n">
        <v>2.3</v>
      </c>
      <c r="H858" t="n">
        <v>0</v>
      </c>
      <c r="I858" t="n">
        <v>0</v>
      </c>
      <c r="J858" t="n">
        <v>0</v>
      </c>
      <c r="K858" t="n">
        <v>0</v>
      </c>
      <c r="L858" t="n">
        <v>0</v>
      </c>
      <c r="M858" t="n">
        <v>0</v>
      </c>
      <c r="N858" t="n">
        <v>0</v>
      </c>
      <c r="O858" t="n">
        <v>0</v>
      </c>
      <c r="P858" t="n">
        <v>0</v>
      </c>
      <c r="Q858" t="n">
        <v>0</v>
      </c>
      <c r="R858" s="2" t="inlineStr"/>
    </row>
    <row r="859" ht="15" customHeight="1">
      <c r="A859" t="inlineStr">
        <is>
          <t>A 43093-2024</t>
        </is>
      </c>
      <c r="B859" s="1" t="n">
        <v>45567</v>
      </c>
      <c r="C859" s="1" t="n">
        <v>45966</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56022-2024</t>
        </is>
      </c>
      <c r="B860" s="1" t="n">
        <v>45623.95947916667</v>
      </c>
      <c r="C860" s="1" t="n">
        <v>45966</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18330-2023</t>
        </is>
      </c>
      <c r="B861" s="1" t="n">
        <v>45041</v>
      </c>
      <c r="C861" s="1" t="n">
        <v>45966</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20126-2024</t>
        </is>
      </c>
      <c r="B862" s="1" t="n">
        <v>45434.55471064815</v>
      </c>
      <c r="C862" s="1" t="n">
        <v>45966</v>
      </c>
      <c r="D862" t="inlineStr">
        <is>
          <t>KALMAR LÄN</t>
        </is>
      </c>
      <c r="E862" t="inlineStr">
        <is>
          <t>VIMMERBY</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20136-2024</t>
        </is>
      </c>
      <c r="B863" s="1" t="n">
        <v>45434.56291666667</v>
      </c>
      <c r="C863" s="1" t="n">
        <v>45966</v>
      </c>
      <c r="D863" t="inlineStr">
        <is>
          <t>KALMAR LÄN</t>
        </is>
      </c>
      <c r="E863" t="inlineStr">
        <is>
          <t>VIMMERBY</t>
        </is>
      </c>
      <c r="F863" t="inlineStr">
        <is>
          <t>Sveaskog</t>
        </is>
      </c>
      <c r="G863" t="n">
        <v>8.4</v>
      </c>
      <c r="H863" t="n">
        <v>0</v>
      </c>
      <c r="I863" t="n">
        <v>0</v>
      </c>
      <c r="J863" t="n">
        <v>0</v>
      </c>
      <c r="K863" t="n">
        <v>0</v>
      </c>
      <c r="L863" t="n">
        <v>0</v>
      </c>
      <c r="M863" t="n">
        <v>0</v>
      </c>
      <c r="N863" t="n">
        <v>0</v>
      </c>
      <c r="O863" t="n">
        <v>0</v>
      </c>
      <c r="P863" t="n">
        <v>0</v>
      </c>
      <c r="Q863" t="n">
        <v>0</v>
      </c>
      <c r="R863" s="2" t="inlineStr"/>
    </row>
    <row r="864" ht="15" customHeight="1">
      <c r="A864" t="inlineStr">
        <is>
          <t>A 46921-2023</t>
        </is>
      </c>
      <c r="B864" s="1" t="n">
        <v>45201.39996527778</v>
      </c>
      <c r="C864" s="1" t="n">
        <v>45966</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25236-2023</t>
        </is>
      </c>
      <c r="B865" s="1" t="n">
        <v>45086.63334490741</v>
      </c>
      <c r="C865" s="1" t="n">
        <v>45966</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6082-2022</t>
        </is>
      </c>
      <c r="B866" s="1" t="n">
        <v>44599</v>
      </c>
      <c r="C866" s="1" t="n">
        <v>45966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2801-2023</t>
        </is>
      </c>
      <c r="B867" s="1" t="n">
        <v>44944.73487268519</v>
      </c>
      <c r="C867" s="1" t="n">
        <v>45966</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5146-2024</t>
        </is>
      </c>
      <c r="B868" s="1" t="n">
        <v>45330</v>
      </c>
      <c r="C868" s="1" t="n">
        <v>45966</v>
      </c>
      <c r="D868" t="inlineStr">
        <is>
          <t>KALMAR LÄN</t>
        </is>
      </c>
      <c r="E868" t="inlineStr">
        <is>
          <t>VIMMERBY</t>
        </is>
      </c>
      <c r="G868" t="n">
        <v>5.3</v>
      </c>
      <c r="H868" t="n">
        <v>0</v>
      </c>
      <c r="I868" t="n">
        <v>0</v>
      </c>
      <c r="J868" t="n">
        <v>0</v>
      </c>
      <c r="K868" t="n">
        <v>0</v>
      </c>
      <c r="L868" t="n">
        <v>0</v>
      </c>
      <c r="M868" t="n">
        <v>0</v>
      </c>
      <c r="N868" t="n">
        <v>0</v>
      </c>
      <c r="O868" t="n">
        <v>0</v>
      </c>
      <c r="P868" t="n">
        <v>0</v>
      </c>
      <c r="Q868" t="n">
        <v>0</v>
      </c>
      <c r="R868" s="2" t="inlineStr"/>
    </row>
    <row r="869" ht="15" customHeight="1">
      <c r="A869" t="inlineStr">
        <is>
          <t>A 5148-2024</t>
        </is>
      </c>
      <c r="B869" s="1" t="n">
        <v>45330</v>
      </c>
      <c r="C869" s="1" t="n">
        <v>45966</v>
      </c>
      <c r="D869" t="inlineStr">
        <is>
          <t>KALMAR LÄN</t>
        </is>
      </c>
      <c r="E869" t="inlineStr">
        <is>
          <t>VIMMERBY</t>
        </is>
      </c>
      <c r="G869" t="n">
        <v>5.6</v>
      </c>
      <c r="H869" t="n">
        <v>0</v>
      </c>
      <c r="I869" t="n">
        <v>0</v>
      </c>
      <c r="J869" t="n">
        <v>0</v>
      </c>
      <c r="K869" t="n">
        <v>0</v>
      </c>
      <c r="L869" t="n">
        <v>0</v>
      </c>
      <c r="M869" t="n">
        <v>0</v>
      </c>
      <c r="N869" t="n">
        <v>0</v>
      </c>
      <c r="O869" t="n">
        <v>0</v>
      </c>
      <c r="P869" t="n">
        <v>0</v>
      </c>
      <c r="Q869" t="n">
        <v>0</v>
      </c>
      <c r="R869" s="2" t="inlineStr"/>
    </row>
    <row r="870" ht="15" customHeight="1">
      <c r="A870" t="inlineStr">
        <is>
          <t>A 58278-2023</t>
        </is>
      </c>
      <c r="B870" s="1" t="n">
        <v>45250.5278587963</v>
      </c>
      <c r="C870" s="1" t="n">
        <v>45966</v>
      </c>
      <c r="D870" t="inlineStr">
        <is>
          <t>KALMAR LÄN</t>
        </is>
      </c>
      <c r="E870" t="inlineStr">
        <is>
          <t>VIMMERBY</t>
        </is>
      </c>
      <c r="G870" t="n">
        <v>1.8</v>
      </c>
      <c r="H870" t="n">
        <v>0</v>
      </c>
      <c r="I870" t="n">
        <v>0</v>
      </c>
      <c r="J870" t="n">
        <v>0</v>
      </c>
      <c r="K870" t="n">
        <v>0</v>
      </c>
      <c r="L870" t="n">
        <v>0</v>
      </c>
      <c r="M870" t="n">
        <v>0</v>
      </c>
      <c r="N870" t="n">
        <v>0</v>
      </c>
      <c r="O870" t="n">
        <v>0</v>
      </c>
      <c r="P870" t="n">
        <v>0</v>
      </c>
      <c r="Q870" t="n">
        <v>0</v>
      </c>
      <c r="R870" s="2" t="inlineStr"/>
    </row>
    <row r="871" ht="15" customHeight="1">
      <c r="A871" t="inlineStr">
        <is>
          <t>A 22266-2023</t>
        </is>
      </c>
      <c r="B871" s="1" t="n">
        <v>45070</v>
      </c>
      <c r="C871" s="1" t="n">
        <v>45966</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52588-2023</t>
        </is>
      </c>
      <c r="B872" s="1" t="n">
        <v>45225.60192129629</v>
      </c>
      <c r="C872" s="1" t="n">
        <v>45966</v>
      </c>
      <c r="D872" t="inlineStr">
        <is>
          <t>KALMAR LÄN</t>
        </is>
      </c>
      <c r="E872" t="inlineStr">
        <is>
          <t>VIMMERBY</t>
        </is>
      </c>
      <c r="G872" t="n">
        <v>2.9</v>
      </c>
      <c r="H872" t="n">
        <v>0</v>
      </c>
      <c r="I872" t="n">
        <v>0</v>
      </c>
      <c r="J872" t="n">
        <v>0</v>
      </c>
      <c r="K872" t="n">
        <v>0</v>
      </c>
      <c r="L872" t="n">
        <v>0</v>
      </c>
      <c r="M872" t="n">
        <v>0</v>
      </c>
      <c r="N872" t="n">
        <v>0</v>
      </c>
      <c r="O872" t="n">
        <v>0</v>
      </c>
      <c r="P872" t="n">
        <v>0</v>
      </c>
      <c r="Q872" t="n">
        <v>0</v>
      </c>
      <c r="R872" s="2" t="inlineStr"/>
    </row>
    <row r="873" ht="15" customHeight="1">
      <c r="A873" t="inlineStr">
        <is>
          <t>A 6802-2025</t>
        </is>
      </c>
      <c r="B873" s="1" t="n">
        <v>45700.68289351852</v>
      </c>
      <c r="C873" s="1" t="n">
        <v>45966</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71793-2021</t>
        </is>
      </c>
      <c r="B874" s="1" t="n">
        <v>44539</v>
      </c>
      <c r="C874" s="1" t="n">
        <v>45966</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527-2024</t>
        </is>
      </c>
      <c r="B875" s="1" t="n">
        <v>45299.47513888889</v>
      </c>
      <c r="C875" s="1" t="n">
        <v>45966</v>
      </c>
      <c r="D875" t="inlineStr">
        <is>
          <t>KALMAR LÄN</t>
        </is>
      </c>
      <c r="E875" t="inlineStr">
        <is>
          <t>VIMMERBY</t>
        </is>
      </c>
      <c r="G875" t="n">
        <v>2.2</v>
      </c>
      <c r="H875" t="n">
        <v>0</v>
      </c>
      <c r="I875" t="n">
        <v>0</v>
      </c>
      <c r="J875" t="n">
        <v>0</v>
      </c>
      <c r="K875" t="n">
        <v>0</v>
      </c>
      <c r="L875" t="n">
        <v>0</v>
      </c>
      <c r="M875" t="n">
        <v>0</v>
      </c>
      <c r="N875" t="n">
        <v>0</v>
      </c>
      <c r="O875" t="n">
        <v>0</v>
      </c>
      <c r="P875" t="n">
        <v>0</v>
      </c>
      <c r="Q875" t="n">
        <v>0</v>
      </c>
      <c r="R875" s="2" t="inlineStr"/>
    </row>
    <row r="876" ht="15" customHeight="1">
      <c r="A876" t="inlineStr">
        <is>
          <t>A 60230-2022</t>
        </is>
      </c>
      <c r="B876" s="1" t="n">
        <v>44910</v>
      </c>
      <c r="C876" s="1" t="n">
        <v>45966</v>
      </c>
      <c r="D876" t="inlineStr">
        <is>
          <t>KALMAR LÄN</t>
        </is>
      </c>
      <c r="E876" t="inlineStr">
        <is>
          <t>VIMMERBY</t>
        </is>
      </c>
      <c r="G876" t="n">
        <v>11.3</v>
      </c>
      <c r="H876" t="n">
        <v>0</v>
      </c>
      <c r="I876" t="n">
        <v>0</v>
      </c>
      <c r="J876" t="n">
        <v>0</v>
      </c>
      <c r="K876" t="n">
        <v>0</v>
      </c>
      <c r="L876" t="n">
        <v>0</v>
      </c>
      <c r="M876" t="n">
        <v>0</v>
      </c>
      <c r="N876" t="n">
        <v>0</v>
      </c>
      <c r="O876" t="n">
        <v>0</v>
      </c>
      <c r="P876" t="n">
        <v>0</v>
      </c>
      <c r="Q876" t="n">
        <v>0</v>
      </c>
      <c r="R876" s="2" t="inlineStr"/>
    </row>
    <row r="877" ht="15" customHeight="1">
      <c r="A877" t="inlineStr">
        <is>
          <t>A 5925-2022</t>
        </is>
      </c>
      <c r="B877" s="1" t="n">
        <v>44598.7384837963</v>
      </c>
      <c r="C877" s="1" t="n">
        <v>45966</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46522-2022</t>
        </is>
      </c>
      <c r="B878" s="1" t="n">
        <v>44848.59133101852</v>
      </c>
      <c r="C878" s="1" t="n">
        <v>45966</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41066-2024</t>
        </is>
      </c>
      <c r="B879" s="1" t="n">
        <v>45559.38876157408</v>
      </c>
      <c r="C879" s="1" t="n">
        <v>45966</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52279-2023</t>
        </is>
      </c>
      <c r="B880" s="1" t="n">
        <v>45224</v>
      </c>
      <c r="C880" s="1" t="n">
        <v>45966</v>
      </c>
      <c r="D880" t="inlineStr">
        <is>
          <t>KALMAR LÄN</t>
        </is>
      </c>
      <c r="E880" t="inlineStr">
        <is>
          <t>VIMMERBY</t>
        </is>
      </c>
      <c r="G880" t="n">
        <v>1.8</v>
      </c>
      <c r="H880" t="n">
        <v>0</v>
      </c>
      <c r="I880" t="n">
        <v>0</v>
      </c>
      <c r="J880" t="n">
        <v>0</v>
      </c>
      <c r="K880" t="n">
        <v>0</v>
      </c>
      <c r="L880" t="n">
        <v>0</v>
      </c>
      <c r="M880" t="n">
        <v>0</v>
      </c>
      <c r="N880" t="n">
        <v>0</v>
      </c>
      <c r="O880" t="n">
        <v>0</v>
      </c>
      <c r="P880" t="n">
        <v>0</v>
      </c>
      <c r="Q880" t="n">
        <v>0</v>
      </c>
      <c r="R880" s="2" t="inlineStr"/>
    </row>
    <row r="881" ht="15" customHeight="1">
      <c r="A881" t="inlineStr">
        <is>
          <t>A 17486-2024</t>
        </is>
      </c>
      <c r="B881" s="1" t="n">
        <v>45415.48979166667</v>
      </c>
      <c r="C881" s="1" t="n">
        <v>45966</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c r="A882" t="inlineStr">
        <is>
          <t>A 71631-2021</t>
        </is>
      </c>
      <c r="B882" s="1" t="n">
        <v>44542.90072916666</v>
      </c>
      <c r="C882" s="1" t="n">
        <v>45966</v>
      </c>
      <c r="D882" t="inlineStr">
        <is>
          <t>KALMAR LÄN</t>
        </is>
      </c>
      <c r="E882" t="inlineStr">
        <is>
          <t>VIMMERBY</t>
        </is>
      </c>
      <c r="G882" t="n">
        <v>0.9</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2025-11-05T10:08:04Z</dcterms:created>
  <dcterms:modified xmlns:dcterms="http://purl.org/dc/terms/" xmlns:xsi="http://www.w3.org/2001/XMLSchema-instance" xsi:type="dcterms:W3CDTF">2025-11-05T10:08:05Z</dcterms:modified>
</cp:coreProperties>
</file>