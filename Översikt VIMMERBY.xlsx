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46133</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46133</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46133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46133</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46133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46133</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7040-2026</t>
        </is>
      </c>
      <c r="B15" s="1" t="n">
        <v>46057.69520833333</v>
      </c>
      <c r="C15" s="1" t="n">
        <v>46133</v>
      </c>
      <c r="D15" t="inlineStr">
        <is>
          <t>KALMAR LÄN</t>
        </is>
      </c>
      <c r="E15" t="inlineStr">
        <is>
          <t>VIMMERBY</t>
        </is>
      </c>
      <c r="G15" t="n">
        <v>2.7</v>
      </c>
      <c r="H15" t="n">
        <v>4</v>
      </c>
      <c r="I15" t="n">
        <v>0</v>
      </c>
      <c r="J15" t="n">
        <v>2</v>
      </c>
      <c r="K15" t="n">
        <v>1</v>
      </c>
      <c r="L15" t="n">
        <v>0</v>
      </c>
      <c r="M15" t="n">
        <v>0</v>
      </c>
      <c r="N15" t="n">
        <v>0</v>
      </c>
      <c r="O15" t="n">
        <v>3</v>
      </c>
      <c r="P15" t="n">
        <v>1</v>
      </c>
      <c r="Q15" t="n">
        <v>4</v>
      </c>
      <c r="R15" s="2" t="inlineStr">
        <is>
          <t>Knärot
Spillkråka
Talltita
Tjäder</t>
        </is>
      </c>
      <c r="S15">
        <f>HYPERLINK("https://klasma.github.io/Logging_0884/artfynd/A 7040-2026 artfynd.xlsx", "A 7040-2026")</f>
        <v/>
      </c>
      <c r="T15">
        <f>HYPERLINK("https://klasma.github.io/Logging_0884/kartor/A 7040-2026 karta.png", "A 7040-2026")</f>
        <v/>
      </c>
      <c r="U15">
        <f>HYPERLINK("https://klasma.github.io/Logging_0884/knärot/A 7040-2026 karta knärot.png", "A 7040-2026")</f>
        <v/>
      </c>
      <c r="V15">
        <f>HYPERLINK("https://klasma.github.io/Logging_0884/klagomål/A 7040-2026 FSC-klagomål.docx", "A 7040-2026")</f>
        <v/>
      </c>
      <c r="W15">
        <f>HYPERLINK("https://klasma.github.io/Logging_0884/klagomålsmail/A 7040-2026 FSC-klagomål mail.docx", "A 7040-2026")</f>
        <v/>
      </c>
      <c r="X15">
        <f>HYPERLINK("https://klasma.github.io/Logging_0884/tillsyn/A 7040-2026 tillsynsbegäran.docx", "A 7040-2026")</f>
        <v/>
      </c>
      <c r="Y15">
        <f>HYPERLINK("https://klasma.github.io/Logging_0884/tillsynsmail/A 7040-2026 tillsynsbegäran mail.docx", "A 7040-2026")</f>
        <v/>
      </c>
      <c r="Z15">
        <f>HYPERLINK("https://klasma.github.io/Logging_0884/fåglar/A 7040-2026 prioriterade fågelarter.docx", "A 7040-2026")</f>
        <v/>
      </c>
    </row>
    <row r="16" ht="15" customHeight="1">
      <c r="A16" t="inlineStr">
        <is>
          <t>A 32645-2023</t>
        </is>
      </c>
      <c r="B16" s="1" t="n">
        <v>45121.60543981481</v>
      </c>
      <c r="C16" s="1" t="n">
        <v>46133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55604-2025</t>
        </is>
      </c>
      <c r="B17" s="1" t="n">
        <v>45971</v>
      </c>
      <c r="C17" s="1" t="n">
        <v>46133</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46133</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46133</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46133</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46133</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46133</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46133</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46133</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46133</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46133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46133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46133</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46133</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14426-2026</t>
        </is>
      </c>
      <c r="B31" s="1" t="n">
        <v>46100.46956018519</v>
      </c>
      <c r="C31" s="1" t="n">
        <v>46133</v>
      </c>
      <c r="D31" t="inlineStr">
        <is>
          <t>KALMAR LÄN</t>
        </is>
      </c>
      <c r="E31" t="inlineStr">
        <is>
          <t>VIMMERBY</t>
        </is>
      </c>
      <c r="F31" t="inlineStr">
        <is>
          <t>Kyrkan</t>
        </is>
      </c>
      <c r="G31" t="n">
        <v>8.6</v>
      </c>
      <c r="H31" t="n">
        <v>1</v>
      </c>
      <c r="I31" t="n">
        <v>0</v>
      </c>
      <c r="J31" t="n">
        <v>1</v>
      </c>
      <c r="K31" t="n">
        <v>1</v>
      </c>
      <c r="L31" t="n">
        <v>0</v>
      </c>
      <c r="M31" t="n">
        <v>0</v>
      </c>
      <c r="N31" t="n">
        <v>0</v>
      </c>
      <c r="O31" t="n">
        <v>2</v>
      </c>
      <c r="P31" t="n">
        <v>1</v>
      </c>
      <c r="Q31" t="n">
        <v>2</v>
      </c>
      <c r="R31" s="2" t="inlineStr">
        <is>
          <t>Knärot
Tallticka</t>
        </is>
      </c>
      <c r="S31">
        <f>HYPERLINK("https://klasma.github.io/Logging_0884/artfynd/A 14426-2026 artfynd.xlsx", "A 14426-2026")</f>
        <v/>
      </c>
      <c r="T31">
        <f>HYPERLINK("https://klasma.github.io/Logging_0884/kartor/A 14426-2026 karta.png", "A 14426-2026")</f>
        <v/>
      </c>
      <c r="U31">
        <f>HYPERLINK("https://klasma.github.io/Logging_0884/knärot/A 14426-2026 karta knärot.png", "A 14426-2026")</f>
        <v/>
      </c>
      <c r="V31">
        <f>HYPERLINK("https://klasma.github.io/Logging_0884/klagomål/A 14426-2026 FSC-klagomål.docx", "A 14426-2026")</f>
        <v/>
      </c>
      <c r="W31">
        <f>HYPERLINK("https://klasma.github.io/Logging_0884/klagomålsmail/A 14426-2026 FSC-klagomål mail.docx", "A 14426-2026")</f>
        <v/>
      </c>
      <c r="X31">
        <f>HYPERLINK("https://klasma.github.io/Logging_0884/tillsyn/A 14426-2026 tillsynsbegäran.docx", "A 14426-2026")</f>
        <v/>
      </c>
      <c r="Y31">
        <f>HYPERLINK("https://klasma.github.io/Logging_0884/tillsynsmail/A 14426-2026 tillsynsbegäran mail.docx", "A 14426-2026")</f>
        <v/>
      </c>
    </row>
    <row r="32" ht="15" customHeight="1">
      <c r="A32" t="inlineStr">
        <is>
          <t>A 14024-2023</t>
        </is>
      </c>
      <c r="B32" s="1" t="n">
        <v>45008.60878472222</v>
      </c>
      <c r="C32" s="1" t="n">
        <v>46133</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46133</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46133</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46133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46133</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46133</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61860-2024</t>
        </is>
      </c>
      <c r="B38" s="1" t="n">
        <v>45649</v>
      </c>
      <c r="C38" s="1" t="n">
        <v>46133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46133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52301-2023</t>
        </is>
      </c>
      <c r="B40" s="1" t="n">
        <v>45224</v>
      </c>
      <c r="C40" s="1" t="n">
        <v>46133</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29183-2025</t>
        </is>
      </c>
      <c r="B41" s="1" t="n">
        <v>45821</v>
      </c>
      <c r="C41" s="1" t="n">
        <v>46133</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46133</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46133</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23602-2023</t>
        </is>
      </c>
      <c r="B44" s="1" t="n">
        <v>45077</v>
      </c>
      <c r="C44" s="1" t="n">
        <v>46133</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53404-2025</t>
        </is>
      </c>
      <c r="B45" s="1" t="n">
        <v>45959.57126157408</v>
      </c>
      <c r="C45" s="1" t="n">
        <v>46133</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46133</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55384-2025</t>
        </is>
      </c>
      <c r="B47" s="1" t="n">
        <v>45971.43178240741</v>
      </c>
      <c r="C47" s="1" t="n">
        <v>46133</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46133</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32985-2023</t>
        </is>
      </c>
      <c r="B49" s="1" t="n">
        <v>45125</v>
      </c>
      <c r="C49" s="1" t="n">
        <v>46133</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46133</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37930-2021</t>
        </is>
      </c>
      <c r="B51" s="1" t="n">
        <v>44403</v>
      </c>
      <c r="C51" s="1" t="n">
        <v>46133</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46133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46133</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56754-2021</t>
        </is>
      </c>
      <c r="B54" s="1" t="n">
        <v>44481.47483796296</v>
      </c>
      <c r="C54" s="1" t="n">
        <v>46133</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46133</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46133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46133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46133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46133</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46133</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46133</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46133</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46133</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63926-2021</t>
        </is>
      </c>
      <c r="B65" s="1" t="n">
        <v>44509</v>
      </c>
      <c r="C65" s="1" t="n">
        <v>46133</v>
      </c>
      <c r="D65" t="inlineStr">
        <is>
          <t>KALMAR LÄN</t>
        </is>
      </c>
      <c r="E65" t="inlineStr">
        <is>
          <t>VIMMERBY</t>
        </is>
      </c>
      <c r="G65" t="n">
        <v>0.7</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46133</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46133</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46133</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46133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46133</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46133</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46133</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46133</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46133</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46133</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7049-2022</t>
        </is>
      </c>
      <c r="B76" s="1" t="n">
        <v>44603</v>
      </c>
      <c r="C76" s="1" t="n">
        <v>46133</v>
      </c>
      <c r="D76" t="inlineStr">
        <is>
          <t>KALMAR LÄN</t>
        </is>
      </c>
      <c r="E76" t="inlineStr">
        <is>
          <t>VIMMERBY</t>
        </is>
      </c>
      <c r="G76" t="n">
        <v>2.3</v>
      </c>
      <c r="H76" t="n">
        <v>0</v>
      </c>
      <c r="I76" t="n">
        <v>0</v>
      </c>
      <c r="J76" t="n">
        <v>0</v>
      </c>
      <c r="K76" t="n">
        <v>0</v>
      </c>
      <c r="L76" t="n">
        <v>0</v>
      </c>
      <c r="M76" t="n">
        <v>0</v>
      </c>
      <c r="N76" t="n">
        <v>0</v>
      </c>
      <c r="O76" t="n">
        <v>0</v>
      </c>
      <c r="P76" t="n">
        <v>0</v>
      </c>
      <c r="Q76" t="n">
        <v>0</v>
      </c>
      <c r="R76" s="2" t="inlineStr"/>
    </row>
    <row r="77" ht="15" customHeight="1">
      <c r="A77" t="inlineStr">
        <is>
          <t>A 4296-2022</t>
        </is>
      </c>
      <c r="B77" s="1" t="n">
        <v>44588</v>
      </c>
      <c r="C77" s="1" t="n">
        <v>46133</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46133</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46133</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46133</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71626-2021</t>
        </is>
      </c>
      <c r="B81" s="1" t="n">
        <v>44542.8859375</v>
      </c>
      <c r="C81" s="1" t="n">
        <v>46133</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46133</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46133</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46133</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46133</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46133</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46133</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46133</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46133</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46133</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19863-2021</t>
        </is>
      </c>
      <c r="B91" s="1" t="n">
        <v>44312</v>
      </c>
      <c r="C91" s="1" t="n">
        <v>46133</v>
      </c>
      <c r="D91" t="inlineStr">
        <is>
          <t>KALMAR LÄN</t>
        </is>
      </c>
      <c r="E91" t="inlineStr">
        <is>
          <t>VIMMERBY</t>
        </is>
      </c>
      <c r="G91" t="n">
        <v>3.7</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46133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46133</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46133</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46133</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46133</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46133</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46133</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46133</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46133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46133</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32386-2021</t>
        </is>
      </c>
      <c r="B102" s="1" t="n">
        <v>44371.62743055556</v>
      </c>
      <c r="C102" s="1" t="n">
        <v>46133</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35633-2021</t>
        </is>
      </c>
      <c r="B103" s="1" t="n">
        <v>44386.40783564815</v>
      </c>
      <c r="C103" s="1" t="n">
        <v>46133</v>
      </c>
      <c r="D103" t="inlineStr">
        <is>
          <t>KALMAR LÄN</t>
        </is>
      </c>
      <c r="E103" t="inlineStr">
        <is>
          <t>VIMMERBY</t>
        </is>
      </c>
      <c r="G103" t="n">
        <v>1.6</v>
      </c>
      <c r="H103" t="n">
        <v>0</v>
      </c>
      <c r="I103" t="n">
        <v>0</v>
      </c>
      <c r="J103" t="n">
        <v>0</v>
      </c>
      <c r="K103" t="n">
        <v>0</v>
      </c>
      <c r="L103" t="n">
        <v>0</v>
      </c>
      <c r="M103" t="n">
        <v>0</v>
      </c>
      <c r="N103" t="n">
        <v>0</v>
      </c>
      <c r="O103" t="n">
        <v>0</v>
      </c>
      <c r="P103" t="n">
        <v>0</v>
      </c>
      <c r="Q103" t="n">
        <v>0</v>
      </c>
      <c r="R103" s="2" t="inlineStr"/>
    </row>
    <row r="104" ht="15" customHeight="1">
      <c r="A104" t="inlineStr">
        <is>
          <t>A 56343-2021</t>
        </is>
      </c>
      <c r="B104" s="1" t="n">
        <v>44480</v>
      </c>
      <c r="C104" s="1" t="n">
        <v>46133</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24369-2021</t>
        </is>
      </c>
      <c r="B105" s="1" t="n">
        <v>44337</v>
      </c>
      <c r="C105" s="1" t="n">
        <v>46133</v>
      </c>
      <c r="D105" t="inlineStr">
        <is>
          <t>KALMAR LÄN</t>
        </is>
      </c>
      <c r="E105" t="inlineStr">
        <is>
          <t>VIMMERBY</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51972-2021</t>
        </is>
      </c>
      <c r="B106" s="1" t="n">
        <v>44463.29439814815</v>
      </c>
      <c r="C106" s="1" t="n">
        <v>46133</v>
      </c>
      <c r="D106" t="inlineStr">
        <is>
          <t>KALMAR LÄN</t>
        </is>
      </c>
      <c r="E106" t="inlineStr">
        <is>
          <t>VIMMERBY</t>
        </is>
      </c>
      <c r="G106" t="n">
        <v>4.5</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46133</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46133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46133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46133</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46133</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46133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46133</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24738-2021</t>
        </is>
      </c>
      <c r="B114" s="1" t="n">
        <v>44340.58002314815</v>
      </c>
      <c r="C114" s="1" t="n">
        <v>46133</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46133</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8454-2022</t>
        </is>
      </c>
      <c r="B116" s="1" t="n">
        <v>44612.86762731482</v>
      </c>
      <c r="C116" s="1" t="n">
        <v>46133</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46133</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46133</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7917-2022</t>
        </is>
      </c>
      <c r="B119" s="1" t="n">
        <v>44608</v>
      </c>
      <c r="C119" s="1" t="n">
        <v>46133</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46133</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24999-2021</t>
        </is>
      </c>
      <c r="B121" s="1" t="n">
        <v>44341</v>
      </c>
      <c r="C121" s="1" t="n">
        <v>46133</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46133</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46133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46133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46133</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46133</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46133</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46133</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17029-2022</t>
        </is>
      </c>
      <c r="B129" s="1" t="n">
        <v>44676.85248842592</v>
      </c>
      <c r="C129" s="1" t="n">
        <v>46133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7167-2022</t>
        </is>
      </c>
      <c r="B130" s="1" t="n">
        <v>44604</v>
      </c>
      <c r="C130" s="1" t="n">
        <v>46133</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35001-2021</t>
        </is>
      </c>
      <c r="B131" s="1" t="n">
        <v>44383</v>
      </c>
      <c r="C131" s="1" t="n">
        <v>46133</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55674-2021</t>
        </is>
      </c>
      <c r="B132" s="1" t="n">
        <v>44476</v>
      </c>
      <c r="C132" s="1" t="n">
        <v>46133</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40077-2021</t>
        </is>
      </c>
      <c r="B133" s="1" t="n">
        <v>44418</v>
      </c>
      <c r="C133" s="1" t="n">
        <v>46133</v>
      </c>
      <c r="D133" t="inlineStr">
        <is>
          <t>KALMAR LÄN</t>
        </is>
      </c>
      <c r="E133" t="inlineStr">
        <is>
          <t>VIMMERBY</t>
        </is>
      </c>
      <c r="G133" t="n">
        <v>2.9</v>
      </c>
      <c r="H133" t="n">
        <v>0</v>
      </c>
      <c r="I133" t="n">
        <v>0</v>
      </c>
      <c r="J133" t="n">
        <v>0</v>
      </c>
      <c r="K133" t="n">
        <v>0</v>
      </c>
      <c r="L133" t="n">
        <v>0</v>
      </c>
      <c r="M133" t="n">
        <v>0</v>
      </c>
      <c r="N133" t="n">
        <v>0</v>
      </c>
      <c r="O133" t="n">
        <v>0</v>
      </c>
      <c r="P133" t="n">
        <v>0</v>
      </c>
      <c r="Q133" t="n">
        <v>0</v>
      </c>
      <c r="R133" s="2" t="inlineStr"/>
    </row>
    <row r="134" ht="15" customHeight="1">
      <c r="A134" t="inlineStr">
        <is>
          <t>A 47769-2022</t>
        </is>
      </c>
      <c r="B134" s="1" t="n">
        <v>44854</v>
      </c>
      <c r="C134" s="1" t="n">
        <v>46133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48377-2021</t>
        </is>
      </c>
      <c r="B135" s="1" t="n">
        <v>44451.8375</v>
      </c>
      <c r="C135" s="1" t="n">
        <v>46133</v>
      </c>
      <c r="D135" t="inlineStr">
        <is>
          <t>KALMAR LÄN</t>
        </is>
      </c>
      <c r="E135" t="inlineStr">
        <is>
          <t>VIMMERBY</t>
        </is>
      </c>
      <c r="G135" t="n">
        <v>0.4</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46133</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46133</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40472-2022</t>
        </is>
      </c>
      <c r="B138" s="1" t="n">
        <v>44823</v>
      </c>
      <c r="C138" s="1" t="n">
        <v>46133</v>
      </c>
      <c r="D138" t="inlineStr">
        <is>
          <t>KALMAR LÄN</t>
        </is>
      </c>
      <c r="E138" t="inlineStr">
        <is>
          <t>VIMMERBY</t>
        </is>
      </c>
      <c r="G138" t="n">
        <v>2</v>
      </c>
      <c r="H138" t="n">
        <v>0</v>
      </c>
      <c r="I138" t="n">
        <v>0</v>
      </c>
      <c r="J138" t="n">
        <v>0</v>
      </c>
      <c r="K138" t="n">
        <v>0</v>
      </c>
      <c r="L138" t="n">
        <v>0</v>
      </c>
      <c r="M138" t="n">
        <v>0</v>
      </c>
      <c r="N138" t="n">
        <v>0</v>
      </c>
      <c r="O138" t="n">
        <v>0</v>
      </c>
      <c r="P138" t="n">
        <v>0</v>
      </c>
      <c r="Q138" t="n">
        <v>0</v>
      </c>
      <c r="R138" s="2" t="inlineStr"/>
    </row>
    <row r="139" ht="15" customHeight="1">
      <c r="A139" t="inlineStr">
        <is>
          <t>A 47708-2022</t>
        </is>
      </c>
      <c r="B139" s="1" t="n">
        <v>44854.59157407407</v>
      </c>
      <c r="C139" s="1" t="n">
        <v>46133</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9918-2022</t>
        </is>
      </c>
      <c r="B140" s="1" t="n">
        <v>44620</v>
      </c>
      <c r="C140" s="1" t="n">
        <v>46133</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23825-2022</t>
        </is>
      </c>
      <c r="B141" s="1" t="n">
        <v>44722.48768518519</v>
      </c>
      <c r="C141" s="1" t="n">
        <v>46133</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47473-2021</t>
        </is>
      </c>
      <c r="B142" s="1" t="n">
        <v>44447</v>
      </c>
      <c r="C142" s="1" t="n">
        <v>46133</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41056-2022</t>
        </is>
      </c>
      <c r="B143" s="1" t="n">
        <v>44824</v>
      </c>
      <c r="C143" s="1" t="n">
        <v>46133</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31660-2021</t>
        </is>
      </c>
      <c r="B144" s="1" t="n">
        <v>44369</v>
      </c>
      <c r="C144" s="1" t="n">
        <v>46133</v>
      </c>
      <c r="D144" t="inlineStr">
        <is>
          <t>KALMAR LÄN</t>
        </is>
      </c>
      <c r="E144" t="inlineStr">
        <is>
          <t>VIMMERBY</t>
        </is>
      </c>
      <c r="G144" t="n">
        <v>4.2</v>
      </c>
      <c r="H144" t="n">
        <v>0</v>
      </c>
      <c r="I144" t="n">
        <v>0</v>
      </c>
      <c r="J144" t="n">
        <v>0</v>
      </c>
      <c r="K144" t="n">
        <v>0</v>
      </c>
      <c r="L144" t="n">
        <v>0</v>
      </c>
      <c r="M144" t="n">
        <v>0</v>
      </c>
      <c r="N144" t="n">
        <v>0</v>
      </c>
      <c r="O144" t="n">
        <v>0</v>
      </c>
      <c r="P144" t="n">
        <v>0</v>
      </c>
      <c r="Q144" t="n">
        <v>0</v>
      </c>
      <c r="R144" s="2" t="inlineStr"/>
    </row>
    <row r="145" ht="15" customHeight="1">
      <c r="A145" t="inlineStr">
        <is>
          <t>A 27455-2022</t>
        </is>
      </c>
      <c r="B145" s="1" t="n">
        <v>44742</v>
      </c>
      <c r="C145" s="1" t="n">
        <v>46133</v>
      </c>
      <c r="D145" t="inlineStr">
        <is>
          <t>KALMAR LÄN</t>
        </is>
      </c>
      <c r="E145" t="inlineStr">
        <is>
          <t>VIMMERBY</t>
        </is>
      </c>
      <c r="G145" t="n">
        <v>1.6</v>
      </c>
      <c r="H145" t="n">
        <v>0</v>
      </c>
      <c r="I145" t="n">
        <v>0</v>
      </c>
      <c r="J145" t="n">
        <v>0</v>
      </c>
      <c r="K145" t="n">
        <v>0</v>
      </c>
      <c r="L145" t="n">
        <v>0</v>
      </c>
      <c r="M145" t="n">
        <v>0</v>
      </c>
      <c r="N145" t="n">
        <v>0</v>
      </c>
      <c r="O145" t="n">
        <v>0</v>
      </c>
      <c r="P145" t="n">
        <v>0</v>
      </c>
      <c r="Q145" t="n">
        <v>0</v>
      </c>
      <c r="R145" s="2" t="inlineStr"/>
    </row>
    <row r="146" ht="15" customHeight="1">
      <c r="A146" t="inlineStr">
        <is>
          <t>A 32603-2021</t>
        </is>
      </c>
      <c r="B146" s="1" t="n">
        <v>44375.38789351852</v>
      </c>
      <c r="C146" s="1" t="n">
        <v>46133</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36117-2021</t>
        </is>
      </c>
      <c r="B147" s="1" t="n">
        <v>44386</v>
      </c>
      <c r="C147" s="1" t="n">
        <v>46133</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42521-2021</t>
        </is>
      </c>
      <c r="B148" s="1" t="n">
        <v>44427</v>
      </c>
      <c r="C148" s="1" t="n">
        <v>46133</v>
      </c>
      <c r="D148" t="inlineStr">
        <is>
          <t>KALMAR LÄN</t>
        </is>
      </c>
      <c r="E148" t="inlineStr">
        <is>
          <t>VIMMERBY</t>
        </is>
      </c>
      <c r="G148" t="n">
        <v>5.4</v>
      </c>
      <c r="H148" t="n">
        <v>0</v>
      </c>
      <c r="I148" t="n">
        <v>0</v>
      </c>
      <c r="J148" t="n">
        <v>0</v>
      </c>
      <c r="K148" t="n">
        <v>0</v>
      </c>
      <c r="L148" t="n">
        <v>0</v>
      </c>
      <c r="M148" t="n">
        <v>0</v>
      </c>
      <c r="N148" t="n">
        <v>0</v>
      </c>
      <c r="O148" t="n">
        <v>0</v>
      </c>
      <c r="P148" t="n">
        <v>0</v>
      </c>
      <c r="Q148" t="n">
        <v>0</v>
      </c>
      <c r="R148" s="2" t="inlineStr"/>
    </row>
    <row r="149" ht="15" customHeight="1">
      <c r="A149" t="inlineStr">
        <is>
          <t>A 46964-2022</t>
        </is>
      </c>
      <c r="B149" s="1" t="n">
        <v>44851.95016203704</v>
      </c>
      <c r="C149" s="1" t="n">
        <v>46133</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13180-2022</t>
        </is>
      </c>
      <c r="B150" s="1" t="n">
        <v>44644</v>
      </c>
      <c r="C150" s="1" t="n">
        <v>46133</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42850-2022</t>
        </is>
      </c>
      <c r="B151" s="1" t="n">
        <v>44832.67608796297</v>
      </c>
      <c r="C151" s="1" t="n">
        <v>46133</v>
      </c>
      <c r="D151" t="inlineStr">
        <is>
          <t>KALMAR LÄN</t>
        </is>
      </c>
      <c r="E151" t="inlineStr">
        <is>
          <t>VIMMERBY</t>
        </is>
      </c>
      <c r="G151" t="n">
        <v>5.9</v>
      </c>
      <c r="H151" t="n">
        <v>0</v>
      </c>
      <c r="I151" t="n">
        <v>0</v>
      </c>
      <c r="J151" t="n">
        <v>0</v>
      </c>
      <c r="K151" t="n">
        <v>0</v>
      </c>
      <c r="L151" t="n">
        <v>0</v>
      </c>
      <c r="M151" t="n">
        <v>0</v>
      </c>
      <c r="N151" t="n">
        <v>0</v>
      </c>
      <c r="O151" t="n">
        <v>0</v>
      </c>
      <c r="P151" t="n">
        <v>0</v>
      </c>
      <c r="Q151" t="n">
        <v>0</v>
      </c>
      <c r="R151" s="2" t="inlineStr"/>
    </row>
    <row r="152" ht="15" customHeight="1">
      <c r="A152" t="inlineStr">
        <is>
          <t>A 10086-2022</t>
        </is>
      </c>
      <c r="B152" s="1" t="n">
        <v>44621</v>
      </c>
      <c r="C152" s="1" t="n">
        <v>46133</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53145-2022</t>
        </is>
      </c>
      <c r="B153" s="1" t="n">
        <v>44876.48346064815</v>
      </c>
      <c r="C153" s="1" t="n">
        <v>46133</v>
      </c>
      <c r="D153" t="inlineStr">
        <is>
          <t>KALMAR LÄN</t>
        </is>
      </c>
      <c r="E153" t="inlineStr">
        <is>
          <t>VIMMERBY</t>
        </is>
      </c>
      <c r="G153" t="n">
        <v>0.4</v>
      </c>
      <c r="H153" t="n">
        <v>0</v>
      </c>
      <c r="I153" t="n">
        <v>0</v>
      </c>
      <c r="J153" t="n">
        <v>0</v>
      </c>
      <c r="K153" t="n">
        <v>0</v>
      </c>
      <c r="L153" t="n">
        <v>0</v>
      </c>
      <c r="M153" t="n">
        <v>0</v>
      </c>
      <c r="N153" t="n">
        <v>0</v>
      </c>
      <c r="O153" t="n">
        <v>0</v>
      </c>
      <c r="P153" t="n">
        <v>0</v>
      </c>
      <c r="Q153" t="n">
        <v>0</v>
      </c>
      <c r="R153" s="2" t="inlineStr"/>
    </row>
    <row r="154" ht="15" customHeight="1">
      <c r="A154" t="inlineStr">
        <is>
          <t>A 25738-2022</t>
        </is>
      </c>
      <c r="B154" s="1" t="n">
        <v>44733.43092592592</v>
      </c>
      <c r="C154" s="1" t="n">
        <v>46133</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8194-2022</t>
        </is>
      </c>
      <c r="B155" s="1" t="n">
        <v>44609</v>
      </c>
      <c r="C155" s="1" t="n">
        <v>46133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40971-2021</t>
        </is>
      </c>
      <c r="B156" s="1" t="n">
        <v>44421</v>
      </c>
      <c r="C156" s="1" t="n">
        <v>46133</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8453-2022</t>
        </is>
      </c>
      <c r="B157" s="1" t="n">
        <v>44612.86554398148</v>
      </c>
      <c r="C157" s="1" t="n">
        <v>46133</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52433-2021</t>
        </is>
      </c>
      <c r="B158" s="1" t="n">
        <v>44466.34726851852</v>
      </c>
      <c r="C158" s="1" t="n">
        <v>46133</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54065-2021</t>
        </is>
      </c>
      <c r="B159" s="1" t="n">
        <v>44470.44232638889</v>
      </c>
      <c r="C159" s="1" t="n">
        <v>46133</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50621-2022</t>
        </is>
      </c>
      <c r="B160" s="1" t="n">
        <v>44866.81100694444</v>
      </c>
      <c r="C160" s="1" t="n">
        <v>46133</v>
      </c>
      <c r="D160" t="inlineStr">
        <is>
          <t>KALMAR LÄN</t>
        </is>
      </c>
      <c r="E160" t="inlineStr">
        <is>
          <t>VIMMERBY</t>
        </is>
      </c>
      <c r="F160" t="inlineStr">
        <is>
          <t>Övriga Aktiebolag</t>
        </is>
      </c>
      <c r="G160" t="n">
        <v>5.1</v>
      </c>
      <c r="H160" t="n">
        <v>0</v>
      </c>
      <c r="I160" t="n">
        <v>0</v>
      </c>
      <c r="J160" t="n">
        <v>0</v>
      </c>
      <c r="K160" t="n">
        <v>0</v>
      </c>
      <c r="L160" t="n">
        <v>0</v>
      </c>
      <c r="M160" t="n">
        <v>0</v>
      </c>
      <c r="N160" t="n">
        <v>0</v>
      </c>
      <c r="O160" t="n">
        <v>0</v>
      </c>
      <c r="P160" t="n">
        <v>0</v>
      </c>
      <c r="Q160" t="n">
        <v>0</v>
      </c>
      <c r="R160" s="2" t="inlineStr"/>
    </row>
    <row r="161" ht="15" customHeight="1">
      <c r="A161" t="inlineStr">
        <is>
          <t>A 31824-2022</t>
        </is>
      </c>
      <c r="B161" s="1" t="n">
        <v>44776</v>
      </c>
      <c r="C161" s="1" t="n">
        <v>46133</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39042-2022</t>
        </is>
      </c>
      <c r="B162" s="1" t="n">
        <v>44817</v>
      </c>
      <c r="C162" s="1" t="n">
        <v>46133</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7804-2022</t>
        </is>
      </c>
      <c r="B163" s="1" t="n">
        <v>44608.50458333334</v>
      </c>
      <c r="C163" s="1" t="n">
        <v>46133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4076-2022</t>
        </is>
      </c>
      <c r="B164" s="1" t="n">
        <v>44588.37998842593</v>
      </c>
      <c r="C164" s="1" t="n">
        <v>46133</v>
      </c>
      <c r="D164" t="inlineStr">
        <is>
          <t>KALMAR LÄN</t>
        </is>
      </c>
      <c r="E164" t="inlineStr">
        <is>
          <t>VIMMERBY</t>
        </is>
      </c>
      <c r="G164" t="n">
        <v>3</v>
      </c>
      <c r="H164" t="n">
        <v>0</v>
      </c>
      <c r="I164" t="n">
        <v>0</v>
      </c>
      <c r="J164" t="n">
        <v>0</v>
      </c>
      <c r="K164" t="n">
        <v>0</v>
      </c>
      <c r="L164" t="n">
        <v>0</v>
      </c>
      <c r="M164" t="n">
        <v>0</v>
      </c>
      <c r="N164" t="n">
        <v>0</v>
      </c>
      <c r="O164" t="n">
        <v>0</v>
      </c>
      <c r="P164" t="n">
        <v>0</v>
      </c>
      <c r="Q164" t="n">
        <v>0</v>
      </c>
      <c r="R164" s="2" t="inlineStr"/>
    </row>
    <row r="165" ht="15" customHeight="1">
      <c r="A165" t="inlineStr">
        <is>
          <t>A 4122-2022</t>
        </is>
      </c>
      <c r="B165" s="1" t="n">
        <v>44588</v>
      </c>
      <c r="C165" s="1" t="n">
        <v>46133</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11733-2022</t>
        </is>
      </c>
      <c r="B166" s="1" t="n">
        <v>44634</v>
      </c>
      <c r="C166" s="1" t="n">
        <v>46133</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58374-2024</t>
        </is>
      </c>
      <c r="B167" s="1" t="n">
        <v>45632.72635416667</v>
      </c>
      <c r="C167" s="1" t="n">
        <v>46133</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30402-2023</t>
        </is>
      </c>
      <c r="B168" s="1" t="n">
        <v>45111.48395833333</v>
      </c>
      <c r="C168" s="1" t="n">
        <v>46133</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11609-2023</t>
        </is>
      </c>
      <c r="B169" s="1" t="n">
        <v>44994.40635416667</v>
      </c>
      <c r="C169" s="1" t="n">
        <v>46133</v>
      </c>
      <c r="D169" t="inlineStr">
        <is>
          <t>KALMAR LÄN</t>
        </is>
      </c>
      <c r="E169" t="inlineStr">
        <is>
          <t>VIMMERBY</t>
        </is>
      </c>
      <c r="G169" t="n">
        <v>4.9</v>
      </c>
      <c r="H169" t="n">
        <v>0</v>
      </c>
      <c r="I169" t="n">
        <v>0</v>
      </c>
      <c r="J169" t="n">
        <v>0</v>
      </c>
      <c r="K169" t="n">
        <v>0</v>
      </c>
      <c r="L169" t="n">
        <v>0</v>
      </c>
      <c r="M169" t="n">
        <v>0</v>
      </c>
      <c r="N169" t="n">
        <v>0</v>
      </c>
      <c r="O169" t="n">
        <v>0</v>
      </c>
      <c r="P169" t="n">
        <v>0</v>
      </c>
      <c r="Q169" t="n">
        <v>0</v>
      </c>
      <c r="R169" s="2" t="inlineStr"/>
    </row>
    <row r="170" ht="15" customHeight="1">
      <c r="A170" t="inlineStr">
        <is>
          <t>A 7643-2022</t>
        </is>
      </c>
      <c r="B170" s="1" t="n">
        <v>44607</v>
      </c>
      <c r="C170" s="1" t="n">
        <v>46133</v>
      </c>
      <c r="D170" t="inlineStr">
        <is>
          <t>KALMAR LÄN</t>
        </is>
      </c>
      <c r="E170" t="inlineStr">
        <is>
          <t>VIMMERBY</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56213-2024</t>
        </is>
      </c>
      <c r="B171" s="1" t="n">
        <v>45624.60141203704</v>
      </c>
      <c r="C171" s="1" t="n">
        <v>46133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54409-2024</t>
        </is>
      </c>
      <c r="B172" s="1" t="n">
        <v>45617.47570601852</v>
      </c>
      <c r="C172" s="1" t="n">
        <v>46133</v>
      </c>
      <c r="D172" t="inlineStr">
        <is>
          <t>KALMAR LÄN</t>
        </is>
      </c>
      <c r="E172" t="inlineStr">
        <is>
          <t>VIMMERBY</t>
        </is>
      </c>
      <c r="G172" t="n">
        <v>4.3</v>
      </c>
      <c r="H172" t="n">
        <v>0</v>
      </c>
      <c r="I172" t="n">
        <v>0</v>
      </c>
      <c r="J172" t="n">
        <v>0</v>
      </c>
      <c r="K172" t="n">
        <v>0</v>
      </c>
      <c r="L172" t="n">
        <v>0</v>
      </c>
      <c r="M172" t="n">
        <v>0</v>
      </c>
      <c r="N172" t="n">
        <v>0</v>
      </c>
      <c r="O172" t="n">
        <v>0</v>
      </c>
      <c r="P172" t="n">
        <v>0</v>
      </c>
      <c r="Q172" t="n">
        <v>0</v>
      </c>
      <c r="R172" s="2" t="inlineStr"/>
    </row>
    <row r="173" ht="15" customHeight="1">
      <c r="A173" t="inlineStr">
        <is>
          <t>A 11027-2023</t>
        </is>
      </c>
      <c r="B173" s="1" t="n">
        <v>44991.89657407408</v>
      </c>
      <c r="C173" s="1" t="n">
        <v>46133</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16825-2024</t>
        </is>
      </c>
      <c r="B174" s="1" t="n">
        <v>45411.47335648148</v>
      </c>
      <c r="C174" s="1" t="n">
        <v>46133</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31382-2023</t>
        </is>
      </c>
      <c r="B175" s="1" t="n">
        <v>45114.55136574074</v>
      </c>
      <c r="C175" s="1" t="n">
        <v>46133</v>
      </c>
      <c r="D175" t="inlineStr">
        <is>
          <t>KALMAR LÄN</t>
        </is>
      </c>
      <c r="E175" t="inlineStr">
        <is>
          <t>VIMMERBY</t>
        </is>
      </c>
      <c r="G175" t="n">
        <v>3.7</v>
      </c>
      <c r="H175" t="n">
        <v>0</v>
      </c>
      <c r="I175" t="n">
        <v>0</v>
      </c>
      <c r="J175" t="n">
        <v>0</v>
      </c>
      <c r="K175" t="n">
        <v>0</v>
      </c>
      <c r="L175" t="n">
        <v>0</v>
      </c>
      <c r="M175" t="n">
        <v>0</v>
      </c>
      <c r="N175" t="n">
        <v>0</v>
      </c>
      <c r="O175" t="n">
        <v>0</v>
      </c>
      <c r="P175" t="n">
        <v>0</v>
      </c>
      <c r="Q175" t="n">
        <v>0</v>
      </c>
      <c r="R175" s="2" t="inlineStr"/>
    </row>
    <row r="176" ht="15" customHeight="1">
      <c r="A176" t="inlineStr">
        <is>
          <t>A 58962-2022</t>
        </is>
      </c>
      <c r="B176" s="1" t="n">
        <v>44903</v>
      </c>
      <c r="C176" s="1" t="n">
        <v>46133</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53483-2022</t>
        </is>
      </c>
      <c r="B177" s="1" t="n">
        <v>44879.55940972222</v>
      </c>
      <c r="C177" s="1" t="n">
        <v>46133</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18899-2025</t>
        </is>
      </c>
      <c r="B178" s="1" t="n">
        <v>45764.44931712963</v>
      </c>
      <c r="C178" s="1" t="n">
        <v>46133</v>
      </c>
      <c r="D178" t="inlineStr">
        <is>
          <t>KALMAR LÄN</t>
        </is>
      </c>
      <c r="E178" t="inlineStr">
        <is>
          <t>VIMMERBY</t>
        </is>
      </c>
      <c r="F178" t="inlineStr">
        <is>
          <t>Kommuner</t>
        </is>
      </c>
      <c r="G178" t="n">
        <v>4</v>
      </c>
      <c r="H178" t="n">
        <v>0</v>
      </c>
      <c r="I178" t="n">
        <v>0</v>
      </c>
      <c r="J178" t="n">
        <v>0</v>
      </c>
      <c r="K178" t="n">
        <v>0</v>
      </c>
      <c r="L178" t="n">
        <v>0</v>
      </c>
      <c r="M178" t="n">
        <v>0</v>
      </c>
      <c r="N178" t="n">
        <v>0</v>
      </c>
      <c r="O178" t="n">
        <v>0</v>
      </c>
      <c r="P178" t="n">
        <v>0</v>
      </c>
      <c r="Q178" t="n">
        <v>0</v>
      </c>
      <c r="R178" s="2" t="inlineStr"/>
    </row>
    <row r="179" ht="15" customHeight="1">
      <c r="A179" t="inlineStr">
        <is>
          <t>A 20054-2023</t>
        </is>
      </c>
      <c r="B179" s="1" t="n">
        <v>45054.6750462963</v>
      </c>
      <c r="C179" s="1" t="n">
        <v>46133</v>
      </c>
      <c r="D179" t="inlineStr">
        <is>
          <t>KALMAR LÄN</t>
        </is>
      </c>
      <c r="E179" t="inlineStr">
        <is>
          <t>VIMMERBY</t>
        </is>
      </c>
      <c r="G179" t="n">
        <v>2.4</v>
      </c>
      <c r="H179" t="n">
        <v>0</v>
      </c>
      <c r="I179" t="n">
        <v>0</v>
      </c>
      <c r="J179" t="n">
        <v>0</v>
      </c>
      <c r="K179" t="n">
        <v>0</v>
      </c>
      <c r="L179" t="n">
        <v>0</v>
      </c>
      <c r="M179" t="n">
        <v>0</v>
      </c>
      <c r="N179" t="n">
        <v>0</v>
      </c>
      <c r="O179" t="n">
        <v>0</v>
      </c>
      <c r="P179" t="n">
        <v>0</v>
      </c>
      <c r="Q179" t="n">
        <v>0</v>
      </c>
      <c r="R179" s="2" t="inlineStr"/>
    </row>
    <row r="180" ht="15" customHeight="1">
      <c r="A180" t="inlineStr">
        <is>
          <t>A 10837-2023</t>
        </is>
      </c>
      <c r="B180" s="1" t="n">
        <v>44991.30547453704</v>
      </c>
      <c r="C180" s="1" t="n">
        <v>46133</v>
      </c>
      <c r="D180" t="inlineStr">
        <is>
          <t>KALMAR LÄN</t>
        </is>
      </c>
      <c r="E180" t="inlineStr">
        <is>
          <t>VIMMERBY</t>
        </is>
      </c>
      <c r="G180" t="n">
        <v>7.3</v>
      </c>
      <c r="H180" t="n">
        <v>0</v>
      </c>
      <c r="I180" t="n">
        <v>0</v>
      </c>
      <c r="J180" t="n">
        <v>0</v>
      </c>
      <c r="K180" t="n">
        <v>0</v>
      </c>
      <c r="L180" t="n">
        <v>0</v>
      </c>
      <c r="M180" t="n">
        <v>0</v>
      </c>
      <c r="N180" t="n">
        <v>0</v>
      </c>
      <c r="O180" t="n">
        <v>0</v>
      </c>
      <c r="P180" t="n">
        <v>0</v>
      </c>
      <c r="Q180" t="n">
        <v>0</v>
      </c>
      <c r="R180" s="2" t="inlineStr"/>
    </row>
    <row r="181" ht="15" customHeight="1">
      <c r="A181" t="inlineStr">
        <is>
          <t>A 10838-2023</t>
        </is>
      </c>
      <c r="B181" s="1" t="n">
        <v>44991</v>
      </c>
      <c r="C181" s="1" t="n">
        <v>46133</v>
      </c>
      <c r="D181" t="inlineStr">
        <is>
          <t>KALMAR LÄN</t>
        </is>
      </c>
      <c r="E181" t="inlineStr">
        <is>
          <t>VIMMERBY</t>
        </is>
      </c>
      <c r="G181" t="n">
        <v>5.1</v>
      </c>
      <c r="H181" t="n">
        <v>0</v>
      </c>
      <c r="I181" t="n">
        <v>0</v>
      </c>
      <c r="J181" t="n">
        <v>0</v>
      </c>
      <c r="K181" t="n">
        <v>0</v>
      </c>
      <c r="L181" t="n">
        <v>0</v>
      </c>
      <c r="M181" t="n">
        <v>0</v>
      </c>
      <c r="N181" t="n">
        <v>0</v>
      </c>
      <c r="O181" t="n">
        <v>0</v>
      </c>
      <c r="P181" t="n">
        <v>0</v>
      </c>
      <c r="Q181" t="n">
        <v>0</v>
      </c>
      <c r="R181" s="2" t="inlineStr"/>
    </row>
    <row r="182" ht="15" customHeight="1">
      <c r="A182" t="inlineStr">
        <is>
          <t>A 13290-2025</t>
        </is>
      </c>
      <c r="B182" s="1" t="n">
        <v>45735.56751157407</v>
      </c>
      <c r="C182" s="1" t="n">
        <v>46133</v>
      </c>
      <c r="D182" t="inlineStr">
        <is>
          <t>KALMAR LÄN</t>
        </is>
      </c>
      <c r="E182" t="inlineStr">
        <is>
          <t>VIMMERBY</t>
        </is>
      </c>
      <c r="G182" t="n">
        <v>0.8</v>
      </c>
      <c r="H182" t="n">
        <v>0</v>
      </c>
      <c r="I182" t="n">
        <v>0</v>
      </c>
      <c r="J182" t="n">
        <v>0</v>
      </c>
      <c r="K182" t="n">
        <v>0</v>
      </c>
      <c r="L182" t="n">
        <v>0</v>
      </c>
      <c r="M182" t="n">
        <v>0</v>
      </c>
      <c r="N182" t="n">
        <v>0</v>
      </c>
      <c r="O182" t="n">
        <v>0</v>
      </c>
      <c r="P182" t="n">
        <v>0</v>
      </c>
      <c r="Q182" t="n">
        <v>0</v>
      </c>
      <c r="R182" s="2" t="inlineStr"/>
    </row>
    <row r="183" ht="15" customHeight="1">
      <c r="A183" t="inlineStr">
        <is>
          <t>A 19162-2023</t>
        </is>
      </c>
      <c r="B183" s="1" t="n">
        <v>45048.59699074074</v>
      </c>
      <c r="C183" s="1" t="n">
        <v>46133</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9475-2023</t>
        </is>
      </c>
      <c r="B184" s="1" t="n">
        <v>44981.58834490741</v>
      </c>
      <c r="C184" s="1" t="n">
        <v>46133</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60951-2023</t>
        </is>
      </c>
      <c r="B185" s="1" t="n">
        <v>45261.44914351852</v>
      </c>
      <c r="C185" s="1" t="n">
        <v>46133</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11946-2025</t>
        </is>
      </c>
      <c r="B186" s="1" t="n">
        <v>45728.54832175926</v>
      </c>
      <c r="C186" s="1" t="n">
        <v>46133</v>
      </c>
      <c r="D186" t="inlineStr">
        <is>
          <t>KALMAR LÄN</t>
        </is>
      </c>
      <c r="E186" t="inlineStr">
        <is>
          <t>VIMMERBY</t>
        </is>
      </c>
      <c r="G186" t="n">
        <v>0.4</v>
      </c>
      <c r="H186" t="n">
        <v>0</v>
      </c>
      <c r="I186" t="n">
        <v>0</v>
      </c>
      <c r="J186" t="n">
        <v>0</v>
      </c>
      <c r="K186" t="n">
        <v>0</v>
      </c>
      <c r="L186" t="n">
        <v>0</v>
      </c>
      <c r="M186" t="n">
        <v>0</v>
      </c>
      <c r="N186" t="n">
        <v>0</v>
      </c>
      <c r="O186" t="n">
        <v>0</v>
      </c>
      <c r="P186" t="n">
        <v>0</v>
      </c>
      <c r="Q186" t="n">
        <v>0</v>
      </c>
      <c r="R186" s="2" t="inlineStr"/>
    </row>
    <row r="187" ht="15" customHeight="1">
      <c r="A187" t="inlineStr">
        <is>
          <t>A 19537-2022</t>
        </is>
      </c>
      <c r="B187" s="1" t="n">
        <v>44693.62822916666</v>
      </c>
      <c r="C187" s="1" t="n">
        <v>46133</v>
      </c>
      <c r="D187" t="inlineStr">
        <is>
          <t>KALMAR LÄN</t>
        </is>
      </c>
      <c r="E187" t="inlineStr">
        <is>
          <t>VIMMERBY</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60292-2022</t>
        </is>
      </c>
      <c r="B188" s="1" t="n">
        <v>44910.54231481482</v>
      </c>
      <c r="C188" s="1" t="n">
        <v>46133</v>
      </c>
      <c r="D188" t="inlineStr">
        <is>
          <t>KALMAR LÄN</t>
        </is>
      </c>
      <c r="E188" t="inlineStr">
        <is>
          <t>VIMMERBY</t>
        </is>
      </c>
      <c r="G188" t="n">
        <v>4.4</v>
      </c>
      <c r="H188" t="n">
        <v>0</v>
      </c>
      <c r="I188" t="n">
        <v>0</v>
      </c>
      <c r="J188" t="n">
        <v>0</v>
      </c>
      <c r="K188" t="n">
        <v>0</v>
      </c>
      <c r="L188" t="n">
        <v>0</v>
      </c>
      <c r="M188" t="n">
        <v>0</v>
      </c>
      <c r="N188" t="n">
        <v>0</v>
      </c>
      <c r="O188" t="n">
        <v>0</v>
      </c>
      <c r="P188" t="n">
        <v>0</v>
      </c>
      <c r="Q188" t="n">
        <v>0</v>
      </c>
      <c r="R188" s="2" t="inlineStr"/>
    </row>
    <row r="189" ht="15" customHeight="1">
      <c r="A189" t="inlineStr">
        <is>
          <t>A 7485-2024</t>
        </is>
      </c>
      <c r="B189" s="1" t="n">
        <v>45346.67184027778</v>
      </c>
      <c r="C189" s="1" t="n">
        <v>46133</v>
      </c>
      <c r="D189" t="inlineStr">
        <is>
          <t>KALMAR LÄN</t>
        </is>
      </c>
      <c r="E189" t="inlineStr">
        <is>
          <t>VIMMERBY</t>
        </is>
      </c>
      <c r="G189" t="n">
        <v>1.9</v>
      </c>
      <c r="H189" t="n">
        <v>0</v>
      </c>
      <c r="I189" t="n">
        <v>0</v>
      </c>
      <c r="J189" t="n">
        <v>0</v>
      </c>
      <c r="K189" t="n">
        <v>0</v>
      </c>
      <c r="L189" t="n">
        <v>0</v>
      </c>
      <c r="M189" t="n">
        <v>0</v>
      </c>
      <c r="N189" t="n">
        <v>0</v>
      </c>
      <c r="O189" t="n">
        <v>0</v>
      </c>
      <c r="P189" t="n">
        <v>0</v>
      </c>
      <c r="Q189" t="n">
        <v>0</v>
      </c>
      <c r="R189" s="2" t="inlineStr"/>
    </row>
    <row r="190" ht="15" customHeight="1">
      <c r="A190" t="inlineStr">
        <is>
          <t>A 11147-2023</t>
        </is>
      </c>
      <c r="B190" s="1" t="n">
        <v>44992</v>
      </c>
      <c r="C190" s="1" t="n">
        <v>46133</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12590-2025</t>
        </is>
      </c>
      <c r="B191" s="1" t="n">
        <v>45732.79925925926</v>
      </c>
      <c r="C191" s="1" t="n">
        <v>46133</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35710-2023</t>
        </is>
      </c>
      <c r="B192" s="1" t="n">
        <v>45147.67096064815</v>
      </c>
      <c r="C192" s="1" t="n">
        <v>46133</v>
      </c>
      <c r="D192" t="inlineStr">
        <is>
          <t>KALMAR LÄN</t>
        </is>
      </c>
      <c r="E192" t="inlineStr">
        <is>
          <t>VIMMERBY</t>
        </is>
      </c>
      <c r="G192" t="n">
        <v>3.1</v>
      </c>
      <c r="H192" t="n">
        <v>0</v>
      </c>
      <c r="I192" t="n">
        <v>0</v>
      </c>
      <c r="J192" t="n">
        <v>0</v>
      </c>
      <c r="K192" t="n">
        <v>0</v>
      </c>
      <c r="L192" t="n">
        <v>0</v>
      </c>
      <c r="M192" t="n">
        <v>0</v>
      </c>
      <c r="N192" t="n">
        <v>0</v>
      </c>
      <c r="O192" t="n">
        <v>0</v>
      </c>
      <c r="P192" t="n">
        <v>0</v>
      </c>
      <c r="Q192" t="n">
        <v>0</v>
      </c>
      <c r="R192" s="2" t="inlineStr"/>
    </row>
    <row r="193" ht="15" customHeight="1">
      <c r="A193" t="inlineStr">
        <is>
          <t>A 19833-2023</t>
        </is>
      </c>
      <c r="B193" s="1" t="n">
        <v>45052</v>
      </c>
      <c r="C193" s="1" t="n">
        <v>46133</v>
      </c>
      <c r="D193" t="inlineStr">
        <is>
          <t>KALMAR LÄN</t>
        </is>
      </c>
      <c r="E193" t="inlineStr">
        <is>
          <t>VIMMERBY</t>
        </is>
      </c>
      <c r="G193" t="n">
        <v>6.7</v>
      </c>
      <c r="H193" t="n">
        <v>0</v>
      </c>
      <c r="I193" t="n">
        <v>0</v>
      </c>
      <c r="J193" t="n">
        <v>0</v>
      </c>
      <c r="K193" t="n">
        <v>0</v>
      </c>
      <c r="L193" t="n">
        <v>0</v>
      </c>
      <c r="M193" t="n">
        <v>0</v>
      </c>
      <c r="N193" t="n">
        <v>0</v>
      </c>
      <c r="O193" t="n">
        <v>0</v>
      </c>
      <c r="P193" t="n">
        <v>0</v>
      </c>
      <c r="Q193" t="n">
        <v>0</v>
      </c>
      <c r="R193" s="2" t="inlineStr"/>
    </row>
    <row r="194" ht="15" customHeight="1">
      <c r="A194" t="inlineStr">
        <is>
          <t>A 52823-2024</t>
        </is>
      </c>
      <c r="B194" s="1" t="n">
        <v>45610.59094907407</v>
      </c>
      <c r="C194" s="1" t="n">
        <v>46133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47855-2024</t>
        </is>
      </c>
      <c r="B195" s="1" t="n">
        <v>45588.66457175926</v>
      </c>
      <c r="C195" s="1" t="n">
        <v>46133</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14548-2024</t>
        </is>
      </c>
      <c r="B196" s="1" t="n">
        <v>45394.66887731481</v>
      </c>
      <c r="C196" s="1" t="n">
        <v>46133</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23252-2024</t>
        </is>
      </c>
      <c r="B197" s="1" t="n">
        <v>45453.36067129629</v>
      </c>
      <c r="C197" s="1" t="n">
        <v>46133</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585-2024</t>
        </is>
      </c>
      <c r="B198" s="1" t="n">
        <v>45299.62576388889</v>
      </c>
      <c r="C198" s="1" t="n">
        <v>46133</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172-2022</t>
        </is>
      </c>
      <c r="B199" s="1" t="n">
        <v>44564.62598379629</v>
      </c>
      <c r="C199" s="1" t="n">
        <v>46133</v>
      </c>
      <c r="D199" t="inlineStr">
        <is>
          <t>KALMAR LÄN</t>
        </is>
      </c>
      <c r="E199" t="inlineStr">
        <is>
          <t>VIMMERBY</t>
        </is>
      </c>
      <c r="G199" t="n">
        <v>2.1</v>
      </c>
      <c r="H199" t="n">
        <v>0</v>
      </c>
      <c r="I199" t="n">
        <v>0</v>
      </c>
      <c r="J199" t="n">
        <v>0</v>
      </c>
      <c r="K199" t="n">
        <v>0</v>
      </c>
      <c r="L199" t="n">
        <v>0</v>
      </c>
      <c r="M199" t="n">
        <v>0</v>
      </c>
      <c r="N199" t="n">
        <v>0</v>
      </c>
      <c r="O199" t="n">
        <v>0</v>
      </c>
      <c r="P199" t="n">
        <v>0</v>
      </c>
      <c r="Q199" t="n">
        <v>0</v>
      </c>
      <c r="R199" s="2" t="inlineStr"/>
    </row>
    <row r="200" ht="15" customHeight="1">
      <c r="A200" t="inlineStr">
        <is>
          <t>A 56020-2024</t>
        </is>
      </c>
      <c r="B200" s="1" t="n">
        <v>45623.9525462963</v>
      </c>
      <c r="C200" s="1" t="n">
        <v>46133</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39584-2024</t>
        </is>
      </c>
      <c r="B201" s="1" t="n">
        <v>45552.36759259259</v>
      </c>
      <c r="C201" s="1" t="n">
        <v>46133</v>
      </c>
      <c r="D201" t="inlineStr">
        <is>
          <t>KALMAR LÄN</t>
        </is>
      </c>
      <c r="E201" t="inlineStr">
        <is>
          <t>VIMMERBY</t>
        </is>
      </c>
      <c r="G201" t="n">
        <v>1.9</v>
      </c>
      <c r="H201" t="n">
        <v>0</v>
      </c>
      <c r="I201" t="n">
        <v>0</v>
      </c>
      <c r="J201" t="n">
        <v>0</v>
      </c>
      <c r="K201" t="n">
        <v>0</v>
      </c>
      <c r="L201" t="n">
        <v>0</v>
      </c>
      <c r="M201" t="n">
        <v>0</v>
      </c>
      <c r="N201" t="n">
        <v>0</v>
      </c>
      <c r="O201" t="n">
        <v>0</v>
      </c>
      <c r="P201" t="n">
        <v>0</v>
      </c>
      <c r="Q201" t="n">
        <v>0</v>
      </c>
      <c r="R201" s="2" t="inlineStr"/>
    </row>
    <row r="202" ht="15" customHeight="1">
      <c r="A202" t="inlineStr">
        <is>
          <t>A 15550-2023</t>
        </is>
      </c>
      <c r="B202" s="1" t="n">
        <v>45020</v>
      </c>
      <c r="C202" s="1" t="n">
        <v>46133</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16983-2023</t>
        </is>
      </c>
      <c r="B203" s="1" t="n">
        <v>45033.76043981482</v>
      </c>
      <c r="C203" s="1" t="n">
        <v>46133</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51881-2024</t>
        </is>
      </c>
      <c r="B204" s="1" t="n">
        <v>45607.56773148148</v>
      </c>
      <c r="C204" s="1" t="n">
        <v>46133</v>
      </c>
      <c r="D204" t="inlineStr">
        <is>
          <t>KALMAR LÄN</t>
        </is>
      </c>
      <c r="E204" t="inlineStr">
        <is>
          <t>VIMMERBY</t>
        </is>
      </c>
      <c r="G204" t="n">
        <v>3.4</v>
      </c>
      <c r="H204" t="n">
        <v>0</v>
      </c>
      <c r="I204" t="n">
        <v>0</v>
      </c>
      <c r="J204" t="n">
        <v>0</v>
      </c>
      <c r="K204" t="n">
        <v>0</v>
      </c>
      <c r="L204" t="n">
        <v>0</v>
      </c>
      <c r="M204" t="n">
        <v>0</v>
      </c>
      <c r="N204" t="n">
        <v>0</v>
      </c>
      <c r="O204" t="n">
        <v>0</v>
      </c>
      <c r="P204" t="n">
        <v>0</v>
      </c>
      <c r="Q204" t="n">
        <v>0</v>
      </c>
      <c r="R204" s="2" t="inlineStr"/>
    </row>
    <row r="205" ht="15" customHeight="1">
      <c r="A205" t="inlineStr">
        <is>
          <t>A 11219-2023</t>
        </is>
      </c>
      <c r="B205" s="1" t="n">
        <v>44992.62498842592</v>
      </c>
      <c r="C205" s="1" t="n">
        <v>46133</v>
      </c>
      <c r="D205" t="inlineStr">
        <is>
          <t>KALMAR LÄN</t>
        </is>
      </c>
      <c r="E205" t="inlineStr">
        <is>
          <t>VIMMERBY</t>
        </is>
      </c>
      <c r="G205" t="n">
        <v>2.5</v>
      </c>
      <c r="H205" t="n">
        <v>0</v>
      </c>
      <c r="I205" t="n">
        <v>0</v>
      </c>
      <c r="J205" t="n">
        <v>0</v>
      </c>
      <c r="K205" t="n">
        <v>0</v>
      </c>
      <c r="L205" t="n">
        <v>0</v>
      </c>
      <c r="M205" t="n">
        <v>0</v>
      </c>
      <c r="N205" t="n">
        <v>0</v>
      </c>
      <c r="O205" t="n">
        <v>0</v>
      </c>
      <c r="P205" t="n">
        <v>0</v>
      </c>
      <c r="Q205" t="n">
        <v>0</v>
      </c>
      <c r="R205" s="2" t="inlineStr"/>
    </row>
    <row r="206" ht="15" customHeight="1">
      <c r="A206" t="inlineStr">
        <is>
          <t>A 2596-2025</t>
        </is>
      </c>
      <c r="B206" s="1" t="n">
        <v>45674.71810185185</v>
      </c>
      <c r="C206" s="1" t="n">
        <v>46133</v>
      </c>
      <c r="D206" t="inlineStr">
        <is>
          <t>KALMAR LÄN</t>
        </is>
      </c>
      <c r="E206" t="inlineStr">
        <is>
          <t>VIMMERBY</t>
        </is>
      </c>
      <c r="G206" t="n">
        <v>9</v>
      </c>
      <c r="H206" t="n">
        <v>0</v>
      </c>
      <c r="I206" t="n">
        <v>0</v>
      </c>
      <c r="J206" t="n">
        <v>0</v>
      </c>
      <c r="K206" t="n">
        <v>0</v>
      </c>
      <c r="L206" t="n">
        <v>0</v>
      </c>
      <c r="M206" t="n">
        <v>0</v>
      </c>
      <c r="N206" t="n">
        <v>0</v>
      </c>
      <c r="O206" t="n">
        <v>0</v>
      </c>
      <c r="P206" t="n">
        <v>0</v>
      </c>
      <c r="Q206" t="n">
        <v>0</v>
      </c>
      <c r="R206" s="2" t="inlineStr"/>
    </row>
    <row r="207" ht="15" customHeight="1">
      <c r="A207" t="inlineStr">
        <is>
          <t>A 46144-2023</t>
        </is>
      </c>
      <c r="B207" s="1" t="n">
        <v>45196.57247685185</v>
      </c>
      <c r="C207" s="1" t="n">
        <v>46133</v>
      </c>
      <c r="D207" t="inlineStr">
        <is>
          <t>KALMAR LÄN</t>
        </is>
      </c>
      <c r="E207" t="inlineStr">
        <is>
          <t>VIMMERBY</t>
        </is>
      </c>
      <c r="G207" t="n">
        <v>6.5</v>
      </c>
      <c r="H207" t="n">
        <v>0</v>
      </c>
      <c r="I207" t="n">
        <v>0</v>
      </c>
      <c r="J207" t="n">
        <v>0</v>
      </c>
      <c r="K207" t="n">
        <v>0</v>
      </c>
      <c r="L207" t="n">
        <v>0</v>
      </c>
      <c r="M207" t="n">
        <v>0</v>
      </c>
      <c r="N207" t="n">
        <v>0</v>
      </c>
      <c r="O207" t="n">
        <v>0</v>
      </c>
      <c r="P207" t="n">
        <v>0</v>
      </c>
      <c r="Q207" t="n">
        <v>0</v>
      </c>
      <c r="R207" s="2" t="inlineStr"/>
    </row>
    <row r="208" ht="15" customHeight="1">
      <c r="A208" t="inlineStr">
        <is>
          <t>A 57578-2024</t>
        </is>
      </c>
      <c r="B208" s="1" t="n">
        <v>45630.47564814815</v>
      </c>
      <c r="C208" s="1" t="n">
        <v>46133</v>
      </c>
      <c r="D208" t="inlineStr">
        <is>
          <t>KALMAR LÄN</t>
        </is>
      </c>
      <c r="E208" t="inlineStr">
        <is>
          <t>VIMMERBY</t>
        </is>
      </c>
      <c r="G208" t="n">
        <v>2.6</v>
      </c>
      <c r="H208" t="n">
        <v>0</v>
      </c>
      <c r="I208" t="n">
        <v>0</v>
      </c>
      <c r="J208" t="n">
        <v>0</v>
      </c>
      <c r="K208" t="n">
        <v>0</v>
      </c>
      <c r="L208" t="n">
        <v>0</v>
      </c>
      <c r="M208" t="n">
        <v>0</v>
      </c>
      <c r="N208" t="n">
        <v>0</v>
      </c>
      <c r="O208" t="n">
        <v>0</v>
      </c>
      <c r="P208" t="n">
        <v>0</v>
      </c>
      <c r="Q208" t="n">
        <v>0</v>
      </c>
      <c r="R208" s="2" t="inlineStr"/>
    </row>
    <row r="209" ht="15" customHeight="1">
      <c r="A209" t="inlineStr">
        <is>
          <t>A 16734-2023</t>
        </is>
      </c>
      <c r="B209" s="1" t="n">
        <v>45030.71012731481</v>
      </c>
      <c r="C209" s="1" t="n">
        <v>46133</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6307-2025</t>
        </is>
      </c>
      <c r="B210" s="1" t="n">
        <v>45698.69016203703</v>
      </c>
      <c r="C210" s="1" t="n">
        <v>46133</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11442-2025</t>
        </is>
      </c>
      <c r="B211" s="1" t="n">
        <v>45726.62721064815</v>
      </c>
      <c r="C211" s="1" t="n">
        <v>46133</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20129-2024</t>
        </is>
      </c>
      <c r="B212" s="1" t="n">
        <v>45434.55831018519</v>
      </c>
      <c r="C212" s="1" t="n">
        <v>46133</v>
      </c>
      <c r="D212" t="inlineStr">
        <is>
          <t>KALMAR LÄN</t>
        </is>
      </c>
      <c r="E212" t="inlineStr">
        <is>
          <t>VIMMERBY</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20137-2024</t>
        </is>
      </c>
      <c r="B213" s="1" t="n">
        <v>45434.56398148148</v>
      </c>
      <c r="C213" s="1" t="n">
        <v>46133</v>
      </c>
      <c r="D213" t="inlineStr">
        <is>
          <t>KALMAR LÄN</t>
        </is>
      </c>
      <c r="E213" t="inlineStr">
        <is>
          <t>VIMMERBY</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61725-2025</t>
        </is>
      </c>
      <c r="B214" s="1" t="n">
        <v>46002.58680555555</v>
      </c>
      <c r="C214" s="1" t="n">
        <v>46133</v>
      </c>
      <c r="D214" t="inlineStr">
        <is>
          <t>KALMAR LÄN</t>
        </is>
      </c>
      <c r="E214" t="inlineStr">
        <is>
          <t>VIMMERBY</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7456-2024</t>
        </is>
      </c>
      <c r="B215" s="1" t="n">
        <v>45345.83557870371</v>
      </c>
      <c r="C215" s="1" t="n">
        <v>46133</v>
      </c>
      <c r="D215" t="inlineStr">
        <is>
          <t>KALMAR LÄN</t>
        </is>
      </c>
      <c r="E215" t="inlineStr">
        <is>
          <t>VIMMERBY</t>
        </is>
      </c>
      <c r="G215" t="n">
        <v>4.1</v>
      </c>
      <c r="H215" t="n">
        <v>0</v>
      </c>
      <c r="I215" t="n">
        <v>0</v>
      </c>
      <c r="J215" t="n">
        <v>0</v>
      </c>
      <c r="K215" t="n">
        <v>0</v>
      </c>
      <c r="L215" t="n">
        <v>0</v>
      </c>
      <c r="M215" t="n">
        <v>0</v>
      </c>
      <c r="N215" t="n">
        <v>0</v>
      </c>
      <c r="O215" t="n">
        <v>0</v>
      </c>
      <c r="P215" t="n">
        <v>0</v>
      </c>
      <c r="Q215" t="n">
        <v>0</v>
      </c>
      <c r="R215" s="2" t="inlineStr"/>
    </row>
    <row r="216" ht="15" customHeight="1">
      <c r="A216" t="inlineStr">
        <is>
          <t>A 61790-2025</t>
        </is>
      </c>
      <c r="B216" s="1" t="n">
        <v>46002.68768518518</v>
      </c>
      <c r="C216" s="1" t="n">
        <v>46133</v>
      </c>
      <c r="D216" t="inlineStr">
        <is>
          <t>KALMAR LÄN</t>
        </is>
      </c>
      <c r="E216" t="inlineStr">
        <is>
          <t>VIMMERBY</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52324-2023</t>
        </is>
      </c>
      <c r="B217" s="1" t="n">
        <v>45224.64659722222</v>
      </c>
      <c r="C217" s="1" t="n">
        <v>46133</v>
      </c>
      <c r="D217" t="inlineStr">
        <is>
          <t>KALMAR LÄN</t>
        </is>
      </c>
      <c r="E217" t="inlineStr">
        <is>
          <t>VIMMERBY</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17988-2025</t>
        </is>
      </c>
      <c r="B218" s="1" t="n">
        <v>45761.39600694444</v>
      </c>
      <c r="C218" s="1" t="n">
        <v>46133</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23341-2022</t>
        </is>
      </c>
      <c r="B219" s="1" t="n">
        <v>44720.53898148148</v>
      </c>
      <c r="C219" s="1" t="n">
        <v>46133</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37028-2024</t>
        </is>
      </c>
      <c r="B220" s="1" t="n">
        <v>45539.38744212963</v>
      </c>
      <c r="C220" s="1" t="n">
        <v>46133</v>
      </c>
      <c r="D220" t="inlineStr">
        <is>
          <t>KALMAR LÄN</t>
        </is>
      </c>
      <c r="E220" t="inlineStr">
        <is>
          <t>VIMMERBY</t>
        </is>
      </c>
      <c r="G220" t="n">
        <v>5.2</v>
      </c>
      <c r="H220" t="n">
        <v>0</v>
      </c>
      <c r="I220" t="n">
        <v>0</v>
      </c>
      <c r="J220" t="n">
        <v>0</v>
      </c>
      <c r="K220" t="n">
        <v>0</v>
      </c>
      <c r="L220" t="n">
        <v>0</v>
      </c>
      <c r="M220" t="n">
        <v>0</v>
      </c>
      <c r="N220" t="n">
        <v>0</v>
      </c>
      <c r="O220" t="n">
        <v>0</v>
      </c>
      <c r="P220" t="n">
        <v>0</v>
      </c>
      <c r="Q220" t="n">
        <v>0</v>
      </c>
      <c r="R220" s="2" t="inlineStr"/>
    </row>
    <row r="221" ht="15" customHeight="1">
      <c r="A221" t="inlineStr">
        <is>
          <t>A 61726-2025</t>
        </is>
      </c>
      <c r="B221" s="1" t="n">
        <v>46002.58822916666</v>
      </c>
      <c r="C221" s="1" t="n">
        <v>46133</v>
      </c>
      <c r="D221" t="inlineStr">
        <is>
          <t>KALMAR LÄN</t>
        </is>
      </c>
      <c r="E221" t="inlineStr">
        <is>
          <t>VIMMERBY</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38604-2025</t>
        </is>
      </c>
      <c r="B222" s="1" t="n">
        <v>45884.50613425926</v>
      </c>
      <c r="C222" s="1" t="n">
        <v>46133</v>
      </c>
      <c r="D222" t="inlineStr">
        <is>
          <t>KALMAR LÄN</t>
        </is>
      </c>
      <c r="E222" t="inlineStr">
        <is>
          <t>VIMMERBY</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6668-2023</t>
        </is>
      </c>
      <c r="B223" s="1" t="n">
        <v>44966</v>
      </c>
      <c r="C223" s="1" t="n">
        <v>46133</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29168-2024</t>
        </is>
      </c>
      <c r="B224" s="1" t="n">
        <v>45482.49870370371</v>
      </c>
      <c r="C224" s="1" t="n">
        <v>46133</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55236-2023</t>
        </is>
      </c>
      <c r="B225" s="1" t="n">
        <v>45237.63225694445</v>
      </c>
      <c r="C225" s="1" t="n">
        <v>46133</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55245-2023</t>
        </is>
      </c>
      <c r="B226" s="1" t="n">
        <v>45237.64408564815</v>
      </c>
      <c r="C226" s="1" t="n">
        <v>46133</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36055-2024</t>
        </is>
      </c>
      <c r="B227" s="1" t="n">
        <v>45533.63056712963</v>
      </c>
      <c r="C227" s="1" t="n">
        <v>46133</v>
      </c>
      <c r="D227" t="inlineStr">
        <is>
          <t>KALMAR LÄN</t>
        </is>
      </c>
      <c r="E227" t="inlineStr">
        <is>
          <t>VIMMERBY</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23394-2025</t>
        </is>
      </c>
      <c r="B228" s="1" t="n">
        <v>45791.89865740741</v>
      </c>
      <c r="C228" s="1" t="n">
        <v>46133</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23984-2025</t>
        </is>
      </c>
      <c r="B229" s="1" t="n">
        <v>45796</v>
      </c>
      <c r="C229" s="1" t="n">
        <v>46133</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29726-2025</t>
        </is>
      </c>
      <c r="B230" s="1" t="n">
        <v>45825.57805555555</v>
      </c>
      <c r="C230" s="1" t="n">
        <v>46133</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27443-2023</t>
        </is>
      </c>
      <c r="B231" s="1" t="n">
        <v>45097.40524305555</v>
      </c>
      <c r="C231" s="1" t="n">
        <v>46133</v>
      </c>
      <c r="D231" t="inlineStr">
        <is>
          <t>KALMAR LÄN</t>
        </is>
      </c>
      <c r="E231" t="inlineStr">
        <is>
          <t>VIMMERBY</t>
        </is>
      </c>
      <c r="F231" t="inlineStr">
        <is>
          <t>Övriga Aktiebolag</t>
        </is>
      </c>
      <c r="G231" t="n">
        <v>2.3</v>
      </c>
      <c r="H231" t="n">
        <v>0</v>
      </c>
      <c r="I231" t="n">
        <v>0</v>
      </c>
      <c r="J231" t="n">
        <v>0</v>
      </c>
      <c r="K231" t="n">
        <v>0</v>
      </c>
      <c r="L231" t="n">
        <v>0</v>
      </c>
      <c r="M231" t="n">
        <v>0</v>
      </c>
      <c r="N231" t="n">
        <v>0</v>
      </c>
      <c r="O231" t="n">
        <v>0</v>
      </c>
      <c r="P231" t="n">
        <v>0</v>
      </c>
      <c r="Q231" t="n">
        <v>0</v>
      </c>
      <c r="R231" s="2" t="inlineStr"/>
    </row>
    <row r="232" ht="15" customHeight="1">
      <c r="A232" t="inlineStr">
        <is>
          <t>A 845-2023</t>
        </is>
      </c>
      <c r="B232" s="1" t="n">
        <v>44931</v>
      </c>
      <c r="C232" s="1" t="n">
        <v>46133</v>
      </c>
      <c r="D232" t="inlineStr">
        <is>
          <t>KALMAR LÄN</t>
        </is>
      </c>
      <c r="E232" t="inlineStr">
        <is>
          <t>VIMMERBY</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46133</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39801-2025</t>
        </is>
      </c>
      <c r="B234" s="1" t="n">
        <v>45891.50216435185</v>
      </c>
      <c r="C234" s="1" t="n">
        <v>46133</v>
      </c>
      <c r="D234" t="inlineStr">
        <is>
          <t>KALMAR LÄN</t>
        </is>
      </c>
      <c r="E234" t="inlineStr">
        <is>
          <t>VIMMERBY</t>
        </is>
      </c>
      <c r="G234" t="n">
        <v>2</v>
      </c>
      <c r="H234" t="n">
        <v>0</v>
      </c>
      <c r="I234" t="n">
        <v>0</v>
      </c>
      <c r="J234" t="n">
        <v>0</v>
      </c>
      <c r="K234" t="n">
        <v>0</v>
      </c>
      <c r="L234" t="n">
        <v>0</v>
      </c>
      <c r="M234" t="n">
        <v>0</v>
      </c>
      <c r="N234" t="n">
        <v>0</v>
      </c>
      <c r="O234" t="n">
        <v>0</v>
      </c>
      <c r="P234" t="n">
        <v>0</v>
      </c>
      <c r="Q234" t="n">
        <v>0</v>
      </c>
      <c r="R234" s="2" t="inlineStr"/>
    </row>
    <row r="235" ht="15" customHeight="1">
      <c r="A235" t="inlineStr">
        <is>
          <t>A 39807-2025</t>
        </is>
      </c>
      <c r="B235" s="1" t="n">
        <v>45891.50986111111</v>
      </c>
      <c r="C235" s="1" t="n">
        <v>46133</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51278-2024</t>
        </is>
      </c>
      <c r="B236" s="1" t="n">
        <v>45603.74959490741</v>
      </c>
      <c r="C236" s="1" t="n">
        <v>46133</v>
      </c>
      <c r="D236" t="inlineStr">
        <is>
          <t>KALMAR LÄN</t>
        </is>
      </c>
      <c r="E236" t="inlineStr">
        <is>
          <t>VIMMERBY</t>
        </is>
      </c>
      <c r="G236" t="n">
        <v>3.4</v>
      </c>
      <c r="H236" t="n">
        <v>0</v>
      </c>
      <c r="I236" t="n">
        <v>0</v>
      </c>
      <c r="J236" t="n">
        <v>0</v>
      </c>
      <c r="K236" t="n">
        <v>0</v>
      </c>
      <c r="L236" t="n">
        <v>0</v>
      </c>
      <c r="M236" t="n">
        <v>0</v>
      </c>
      <c r="N236" t="n">
        <v>0</v>
      </c>
      <c r="O236" t="n">
        <v>0</v>
      </c>
      <c r="P236" t="n">
        <v>0</v>
      </c>
      <c r="Q236" t="n">
        <v>0</v>
      </c>
      <c r="R236" s="2" t="inlineStr"/>
    </row>
    <row r="237" ht="15" customHeight="1">
      <c r="A237" t="inlineStr">
        <is>
          <t>A 39736-2025</t>
        </is>
      </c>
      <c r="B237" s="1" t="n">
        <v>45891</v>
      </c>
      <c r="C237" s="1" t="n">
        <v>46133</v>
      </c>
      <c r="D237" t="inlineStr">
        <is>
          <t>KALMAR LÄN</t>
        </is>
      </c>
      <c r="E237" t="inlineStr">
        <is>
          <t>VIMMERBY</t>
        </is>
      </c>
      <c r="G237" t="n">
        <v>12.8</v>
      </c>
      <c r="H237" t="n">
        <v>0</v>
      </c>
      <c r="I237" t="n">
        <v>0</v>
      </c>
      <c r="J237" t="n">
        <v>0</v>
      </c>
      <c r="K237" t="n">
        <v>0</v>
      </c>
      <c r="L237" t="n">
        <v>0</v>
      </c>
      <c r="M237" t="n">
        <v>0</v>
      </c>
      <c r="N237" t="n">
        <v>0</v>
      </c>
      <c r="O237" t="n">
        <v>0</v>
      </c>
      <c r="P237" t="n">
        <v>0</v>
      </c>
      <c r="Q237" t="n">
        <v>0</v>
      </c>
      <c r="R237" s="2" t="inlineStr"/>
    </row>
    <row r="238" ht="15" customHeight="1">
      <c r="A238" t="inlineStr">
        <is>
          <t>A 6321-2023</t>
        </is>
      </c>
      <c r="B238" s="1" t="n">
        <v>44965.4815162037</v>
      </c>
      <c r="C238" s="1" t="n">
        <v>46133</v>
      </c>
      <c r="D238" t="inlineStr">
        <is>
          <t>KALMAR LÄN</t>
        </is>
      </c>
      <c r="E238" t="inlineStr">
        <is>
          <t>VIMMERBY</t>
        </is>
      </c>
      <c r="G238" t="n">
        <v>1.8</v>
      </c>
      <c r="H238" t="n">
        <v>0</v>
      </c>
      <c r="I238" t="n">
        <v>0</v>
      </c>
      <c r="J238" t="n">
        <v>0</v>
      </c>
      <c r="K238" t="n">
        <v>0</v>
      </c>
      <c r="L238" t="n">
        <v>0</v>
      </c>
      <c r="M238" t="n">
        <v>0</v>
      </c>
      <c r="N238" t="n">
        <v>0</v>
      </c>
      <c r="O238" t="n">
        <v>0</v>
      </c>
      <c r="P238" t="n">
        <v>0</v>
      </c>
      <c r="Q238" t="n">
        <v>0</v>
      </c>
      <c r="R238" s="2" t="inlineStr"/>
    </row>
    <row r="239" ht="15" customHeight="1">
      <c r="A239" t="inlineStr">
        <is>
          <t>A 4624-2024</t>
        </is>
      </c>
      <c r="B239" s="1" t="n">
        <v>45328.38755787037</v>
      </c>
      <c r="C239" s="1" t="n">
        <v>46133</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9456-2025</t>
        </is>
      </c>
      <c r="B240" s="1" t="n">
        <v>45715.44159722222</v>
      </c>
      <c r="C240" s="1" t="n">
        <v>46133</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11111-2023</t>
        </is>
      </c>
      <c r="B241" s="1" t="n">
        <v>44992.4255787037</v>
      </c>
      <c r="C241" s="1" t="n">
        <v>46133</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40730-2024</t>
        </is>
      </c>
      <c r="B242" s="1" t="n">
        <v>45558.44914351852</v>
      </c>
      <c r="C242" s="1" t="n">
        <v>46133</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2157-2024</t>
        </is>
      </c>
      <c r="B243" s="1" t="n">
        <v>45309.59487268519</v>
      </c>
      <c r="C243" s="1" t="n">
        <v>46133</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39803-2025</t>
        </is>
      </c>
      <c r="B244" s="1" t="n">
        <v>45891.50525462963</v>
      </c>
      <c r="C244" s="1" t="n">
        <v>46133</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39889-2025</t>
        </is>
      </c>
      <c r="B245" s="1" t="n">
        <v>45891</v>
      </c>
      <c r="C245" s="1" t="n">
        <v>46133</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44582-2024</t>
        </is>
      </c>
      <c r="B246" s="1" t="n">
        <v>45574.49298611111</v>
      </c>
      <c r="C246" s="1" t="n">
        <v>46133</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49461-2022</t>
        </is>
      </c>
      <c r="B247" s="1" t="n">
        <v>44861</v>
      </c>
      <c r="C247" s="1" t="n">
        <v>46133</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694-2024</t>
        </is>
      </c>
      <c r="B248" s="1" t="n">
        <v>45300.3794212963</v>
      </c>
      <c r="C248" s="1" t="n">
        <v>46133</v>
      </c>
      <c r="D248" t="inlineStr">
        <is>
          <t>KALMAR LÄN</t>
        </is>
      </c>
      <c r="E248" t="inlineStr">
        <is>
          <t>VIMMERBY</t>
        </is>
      </c>
      <c r="G248" t="n">
        <v>1.4</v>
      </c>
      <c r="H248" t="n">
        <v>0</v>
      </c>
      <c r="I248" t="n">
        <v>0</v>
      </c>
      <c r="J248" t="n">
        <v>0</v>
      </c>
      <c r="K248" t="n">
        <v>0</v>
      </c>
      <c r="L248" t="n">
        <v>0</v>
      </c>
      <c r="M248" t="n">
        <v>0</v>
      </c>
      <c r="N248" t="n">
        <v>0</v>
      </c>
      <c r="O248" t="n">
        <v>0</v>
      </c>
      <c r="P248" t="n">
        <v>0</v>
      </c>
      <c r="Q248" t="n">
        <v>0</v>
      </c>
      <c r="R248" s="2" t="inlineStr"/>
    </row>
    <row r="249" ht="15" customHeight="1">
      <c r="A249" t="inlineStr">
        <is>
          <t>A 15494-2024</t>
        </is>
      </c>
      <c r="B249" s="1" t="n">
        <v>45401.53033564815</v>
      </c>
      <c r="C249" s="1" t="n">
        <v>46133</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59598-2023</t>
        </is>
      </c>
      <c r="B250" s="1" t="n">
        <v>45254.62489583333</v>
      </c>
      <c r="C250" s="1" t="n">
        <v>46133</v>
      </c>
      <c r="D250" t="inlineStr">
        <is>
          <t>KALMAR LÄN</t>
        </is>
      </c>
      <c r="E250" t="inlineStr">
        <is>
          <t>VIMMERBY</t>
        </is>
      </c>
      <c r="F250" t="inlineStr">
        <is>
          <t>Övriga Aktiebolag</t>
        </is>
      </c>
      <c r="G250" t="n">
        <v>4</v>
      </c>
      <c r="H250" t="n">
        <v>0</v>
      </c>
      <c r="I250" t="n">
        <v>0</v>
      </c>
      <c r="J250" t="n">
        <v>0</v>
      </c>
      <c r="K250" t="n">
        <v>0</v>
      </c>
      <c r="L250" t="n">
        <v>0</v>
      </c>
      <c r="M250" t="n">
        <v>0</v>
      </c>
      <c r="N250" t="n">
        <v>0</v>
      </c>
      <c r="O250" t="n">
        <v>0</v>
      </c>
      <c r="P250" t="n">
        <v>0</v>
      </c>
      <c r="Q250" t="n">
        <v>0</v>
      </c>
      <c r="R250" s="2" t="inlineStr"/>
    </row>
    <row r="251" ht="15" customHeight="1">
      <c r="A251" t="inlineStr">
        <is>
          <t>A 7944-2024</t>
        </is>
      </c>
      <c r="B251" s="1" t="n">
        <v>45350.53306712963</v>
      </c>
      <c r="C251" s="1" t="n">
        <v>46133</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21496-2023</t>
        </is>
      </c>
      <c r="B252" s="1" t="n">
        <v>45063.49936342592</v>
      </c>
      <c r="C252" s="1" t="n">
        <v>46133</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58724-2024</t>
        </is>
      </c>
      <c r="B253" s="1" t="n">
        <v>45635.66409722222</v>
      </c>
      <c r="C253" s="1" t="n">
        <v>46133</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40925-2025</t>
        </is>
      </c>
      <c r="B254" s="1" t="n">
        <v>45897.64208333333</v>
      </c>
      <c r="C254" s="1" t="n">
        <v>46133</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29783-2024</t>
        </is>
      </c>
      <c r="B255" s="1" t="n">
        <v>45485.45778935185</v>
      </c>
      <c r="C255" s="1" t="n">
        <v>46133</v>
      </c>
      <c r="D255" t="inlineStr">
        <is>
          <t>KALMAR LÄN</t>
        </is>
      </c>
      <c r="E255" t="inlineStr">
        <is>
          <t>VIMMERBY</t>
        </is>
      </c>
      <c r="G255" t="n">
        <v>3.1</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46133</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26039-2025</t>
        </is>
      </c>
      <c r="B257" s="1" t="n">
        <v>45804.6953587963</v>
      </c>
      <c r="C257" s="1" t="n">
        <v>46133</v>
      </c>
      <c r="D257" t="inlineStr">
        <is>
          <t>KALMAR LÄN</t>
        </is>
      </c>
      <c r="E257" t="inlineStr">
        <is>
          <t>VIMMERBY</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40921-2025</t>
        </is>
      </c>
      <c r="B258" s="1" t="n">
        <v>45897.63520833333</v>
      </c>
      <c r="C258" s="1" t="n">
        <v>46133</v>
      </c>
      <c r="D258" t="inlineStr">
        <is>
          <t>KALMAR LÄN</t>
        </is>
      </c>
      <c r="E258" t="inlineStr">
        <is>
          <t>VIMMERBY</t>
        </is>
      </c>
      <c r="G258" t="n">
        <v>4.2</v>
      </c>
      <c r="H258" t="n">
        <v>0</v>
      </c>
      <c r="I258" t="n">
        <v>0</v>
      </c>
      <c r="J258" t="n">
        <v>0</v>
      </c>
      <c r="K258" t="n">
        <v>0</v>
      </c>
      <c r="L258" t="n">
        <v>0</v>
      </c>
      <c r="M258" t="n">
        <v>0</v>
      </c>
      <c r="N258" t="n">
        <v>0</v>
      </c>
      <c r="O258" t="n">
        <v>0</v>
      </c>
      <c r="P258" t="n">
        <v>0</v>
      </c>
      <c r="Q258" t="n">
        <v>0</v>
      </c>
      <c r="R258" s="2" t="inlineStr"/>
    </row>
    <row r="259" ht="15" customHeight="1">
      <c r="A259" t="inlineStr">
        <is>
          <t>A 26046-2025</t>
        </is>
      </c>
      <c r="B259" s="1" t="n">
        <v>45804.708125</v>
      </c>
      <c r="C259" s="1" t="n">
        <v>46133</v>
      </c>
      <c r="D259" t="inlineStr">
        <is>
          <t>KALMAR LÄN</t>
        </is>
      </c>
      <c r="E259" t="inlineStr">
        <is>
          <t>VIMMERBY</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26124-2025</t>
        </is>
      </c>
      <c r="B260" s="1" t="n">
        <v>45805.39247685186</v>
      </c>
      <c r="C260" s="1" t="n">
        <v>46133</v>
      </c>
      <c r="D260" t="inlineStr">
        <is>
          <t>KALMAR LÄN</t>
        </is>
      </c>
      <c r="E260" t="inlineStr">
        <is>
          <t>VIMMERBY</t>
        </is>
      </c>
      <c r="G260" t="n">
        <v>6.6</v>
      </c>
      <c r="H260" t="n">
        <v>0</v>
      </c>
      <c r="I260" t="n">
        <v>0</v>
      </c>
      <c r="J260" t="n">
        <v>0</v>
      </c>
      <c r="K260" t="n">
        <v>0</v>
      </c>
      <c r="L260" t="n">
        <v>0</v>
      </c>
      <c r="M260" t="n">
        <v>0</v>
      </c>
      <c r="N260" t="n">
        <v>0</v>
      </c>
      <c r="O260" t="n">
        <v>0</v>
      </c>
      <c r="P260" t="n">
        <v>0</v>
      </c>
      <c r="Q260" t="n">
        <v>0</v>
      </c>
      <c r="R260" s="2" t="inlineStr"/>
    </row>
    <row r="261" ht="15" customHeight="1">
      <c r="A261" t="inlineStr">
        <is>
          <t>A 35198-2023</t>
        </is>
      </c>
      <c r="B261" s="1" t="n">
        <v>45145</v>
      </c>
      <c r="C261" s="1" t="n">
        <v>46133</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26207-2025</t>
        </is>
      </c>
      <c r="B262" s="1" t="n">
        <v>45805.52983796296</v>
      </c>
      <c r="C262" s="1" t="n">
        <v>46133</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46133</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43853-2023</t>
        </is>
      </c>
      <c r="B264" s="1" t="n">
        <v>45187.60813657408</v>
      </c>
      <c r="C264" s="1" t="n">
        <v>46133</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26254-2025</t>
        </is>
      </c>
      <c r="B265" s="1" t="n">
        <v>45805</v>
      </c>
      <c r="C265" s="1" t="n">
        <v>46133</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41224-2025</t>
        </is>
      </c>
      <c r="B266" s="1" t="n">
        <v>45898.58861111111</v>
      </c>
      <c r="C266" s="1" t="n">
        <v>46133</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41591-2025</t>
        </is>
      </c>
      <c r="B267" s="1" t="n">
        <v>45901.6327662037</v>
      </c>
      <c r="C267" s="1" t="n">
        <v>46133</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40971-2025</t>
        </is>
      </c>
      <c r="B268" s="1" t="n">
        <v>45897.88836805556</v>
      </c>
      <c r="C268" s="1" t="n">
        <v>46133</v>
      </c>
      <c r="D268" t="inlineStr">
        <is>
          <t>KALMAR LÄN</t>
        </is>
      </c>
      <c r="E268" t="inlineStr">
        <is>
          <t>VIMMERBY</t>
        </is>
      </c>
      <c r="G268" t="n">
        <v>1.5</v>
      </c>
      <c r="H268" t="n">
        <v>0</v>
      </c>
      <c r="I268" t="n">
        <v>0</v>
      </c>
      <c r="J268" t="n">
        <v>0</v>
      </c>
      <c r="K268" t="n">
        <v>0</v>
      </c>
      <c r="L268" t="n">
        <v>0</v>
      </c>
      <c r="M268" t="n">
        <v>0</v>
      </c>
      <c r="N268" t="n">
        <v>0</v>
      </c>
      <c r="O268" t="n">
        <v>0</v>
      </c>
      <c r="P268" t="n">
        <v>0</v>
      </c>
      <c r="Q268" t="n">
        <v>0</v>
      </c>
      <c r="R268" s="2" t="inlineStr"/>
    </row>
    <row r="269" ht="15" customHeight="1">
      <c r="A269" t="inlineStr">
        <is>
          <t>A 41589-2025</t>
        </is>
      </c>
      <c r="B269" s="1" t="n">
        <v>45901.63219907408</v>
      </c>
      <c r="C269" s="1" t="n">
        <v>46133</v>
      </c>
      <c r="D269" t="inlineStr">
        <is>
          <t>KALMAR LÄN</t>
        </is>
      </c>
      <c r="E269" t="inlineStr">
        <is>
          <t>VIMMERBY</t>
        </is>
      </c>
      <c r="G269" t="n">
        <v>1.7</v>
      </c>
      <c r="H269" t="n">
        <v>0</v>
      </c>
      <c r="I269" t="n">
        <v>0</v>
      </c>
      <c r="J269" t="n">
        <v>0</v>
      </c>
      <c r="K269" t="n">
        <v>0</v>
      </c>
      <c r="L269" t="n">
        <v>0</v>
      </c>
      <c r="M269" t="n">
        <v>0</v>
      </c>
      <c r="N269" t="n">
        <v>0</v>
      </c>
      <c r="O269" t="n">
        <v>0</v>
      </c>
      <c r="P269" t="n">
        <v>0</v>
      </c>
      <c r="Q269" t="n">
        <v>0</v>
      </c>
      <c r="R269" s="2" t="inlineStr"/>
    </row>
    <row r="270" ht="15" customHeight="1">
      <c r="A270" t="inlineStr">
        <is>
          <t>A 9511-2023</t>
        </is>
      </c>
      <c r="B270" s="1" t="n">
        <v>44981.64725694444</v>
      </c>
      <c r="C270" s="1" t="n">
        <v>46133</v>
      </c>
      <c r="D270" t="inlineStr">
        <is>
          <t>KALMAR LÄN</t>
        </is>
      </c>
      <c r="E270" t="inlineStr">
        <is>
          <t>VIMMERBY</t>
        </is>
      </c>
      <c r="G270" t="n">
        <v>3.5</v>
      </c>
      <c r="H270" t="n">
        <v>0</v>
      </c>
      <c r="I270" t="n">
        <v>0</v>
      </c>
      <c r="J270" t="n">
        <v>0</v>
      </c>
      <c r="K270" t="n">
        <v>0</v>
      </c>
      <c r="L270" t="n">
        <v>0</v>
      </c>
      <c r="M270" t="n">
        <v>0</v>
      </c>
      <c r="N270" t="n">
        <v>0</v>
      </c>
      <c r="O270" t="n">
        <v>0</v>
      </c>
      <c r="P270" t="n">
        <v>0</v>
      </c>
      <c r="Q270" t="n">
        <v>0</v>
      </c>
      <c r="R270" s="2" t="inlineStr"/>
    </row>
    <row r="271" ht="15" customHeight="1">
      <c r="A271" t="inlineStr">
        <is>
          <t>A 40970-2025</t>
        </is>
      </c>
      <c r="B271" s="1" t="n">
        <v>45897.88706018519</v>
      </c>
      <c r="C271" s="1" t="n">
        <v>46133</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40973-2025</t>
        </is>
      </c>
      <c r="B272" s="1" t="n">
        <v>45897.89737268518</v>
      </c>
      <c r="C272" s="1" t="n">
        <v>46133</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38757-2023</t>
        </is>
      </c>
      <c r="B273" s="1" t="n">
        <v>45163.41376157408</v>
      </c>
      <c r="C273" s="1" t="n">
        <v>46133</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29973-2023</t>
        </is>
      </c>
      <c r="B274" s="1" t="n">
        <v>45108.703125</v>
      </c>
      <c r="C274" s="1" t="n">
        <v>46133</v>
      </c>
      <c r="D274" t="inlineStr">
        <is>
          <t>KALMAR LÄN</t>
        </is>
      </c>
      <c r="E274" t="inlineStr">
        <is>
          <t>VIMMERBY</t>
        </is>
      </c>
      <c r="G274" t="n">
        <v>4</v>
      </c>
      <c r="H274" t="n">
        <v>0</v>
      </c>
      <c r="I274" t="n">
        <v>0</v>
      </c>
      <c r="J274" t="n">
        <v>0</v>
      </c>
      <c r="K274" t="n">
        <v>0</v>
      </c>
      <c r="L274" t="n">
        <v>0</v>
      </c>
      <c r="M274" t="n">
        <v>0</v>
      </c>
      <c r="N274" t="n">
        <v>0</v>
      </c>
      <c r="O274" t="n">
        <v>0</v>
      </c>
      <c r="P274" t="n">
        <v>0</v>
      </c>
      <c r="Q274" t="n">
        <v>0</v>
      </c>
      <c r="R274" s="2" t="inlineStr"/>
    </row>
    <row r="275" ht="15" customHeight="1">
      <c r="A275" t="inlineStr">
        <is>
          <t>A 64143-2021</t>
        </is>
      </c>
      <c r="B275" s="1" t="n">
        <v>44510.52157407408</v>
      </c>
      <c r="C275" s="1" t="n">
        <v>46133</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34090-2025</t>
        </is>
      </c>
      <c r="B276" s="1" t="n">
        <v>45845</v>
      </c>
      <c r="C276" s="1" t="n">
        <v>46133</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73938-2021</t>
        </is>
      </c>
      <c r="B277" s="1" t="n">
        <v>44553</v>
      </c>
      <c r="C277" s="1" t="n">
        <v>46133</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40076-2021</t>
        </is>
      </c>
      <c r="B278" s="1" t="n">
        <v>44418</v>
      </c>
      <c r="C278" s="1" t="n">
        <v>46133</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50648-2023</t>
        </is>
      </c>
      <c r="B279" s="1" t="n">
        <v>45217.47834490741</v>
      </c>
      <c r="C279" s="1" t="n">
        <v>46133</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529-2022</t>
        </is>
      </c>
      <c r="B280" s="1" t="n">
        <v>44566</v>
      </c>
      <c r="C280" s="1" t="n">
        <v>46133</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58318-2021</t>
        </is>
      </c>
      <c r="B281" s="1" t="n">
        <v>44488.35878472222</v>
      </c>
      <c r="C281" s="1" t="n">
        <v>46133</v>
      </c>
      <c r="D281" t="inlineStr">
        <is>
          <t>KALMAR LÄN</t>
        </is>
      </c>
      <c r="E281" t="inlineStr">
        <is>
          <t>VIMMERBY</t>
        </is>
      </c>
      <c r="G281" t="n">
        <v>4</v>
      </c>
      <c r="H281" t="n">
        <v>0</v>
      </c>
      <c r="I281" t="n">
        <v>0</v>
      </c>
      <c r="J281" t="n">
        <v>0</v>
      </c>
      <c r="K281" t="n">
        <v>0</v>
      </c>
      <c r="L281" t="n">
        <v>0</v>
      </c>
      <c r="M281" t="n">
        <v>0</v>
      </c>
      <c r="N281" t="n">
        <v>0</v>
      </c>
      <c r="O281" t="n">
        <v>0</v>
      </c>
      <c r="P281" t="n">
        <v>0</v>
      </c>
      <c r="Q281" t="n">
        <v>0</v>
      </c>
      <c r="R281" s="2" t="inlineStr"/>
    </row>
    <row r="282" ht="15" customHeight="1">
      <c r="A282" t="inlineStr">
        <is>
          <t>A 89-2023</t>
        </is>
      </c>
      <c r="B282" s="1" t="n">
        <v>44918</v>
      </c>
      <c r="C282" s="1" t="n">
        <v>46133</v>
      </c>
      <c r="D282" t="inlineStr">
        <is>
          <t>KALMAR LÄN</t>
        </is>
      </c>
      <c r="E282" t="inlineStr">
        <is>
          <t>VIMMERBY</t>
        </is>
      </c>
      <c r="G282" t="n">
        <v>16.1</v>
      </c>
      <c r="H282" t="n">
        <v>0</v>
      </c>
      <c r="I282" t="n">
        <v>0</v>
      </c>
      <c r="J282" t="n">
        <v>0</v>
      </c>
      <c r="K282" t="n">
        <v>0</v>
      </c>
      <c r="L282" t="n">
        <v>0</v>
      </c>
      <c r="M282" t="n">
        <v>0</v>
      </c>
      <c r="N282" t="n">
        <v>0</v>
      </c>
      <c r="O282" t="n">
        <v>0</v>
      </c>
      <c r="P282" t="n">
        <v>0</v>
      </c>
      <c r="Q282" t="n">
        <v>0</v>
      </c>
      <c r="R282" s="2" t="inlineStr"/>
    </row>
    <row r="283" ht="15" customHeight="1">
      <c r="A283" t="inlineStr">
        <is>
          <t>A 23088-2024</t>
        </is>
      </c>
      <c r="B283" s="1" t="n">
        <v>45450.51092592593</v>
      </c>
      <c r="C283" s="1" t="n">
        <v>46133</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38851-2023</t>
        </is>
      </c>
      <c r="B284" s="1" t="n">
        <v>45163</v>
      </c>
      <c r="C284" s="1" t="n">
        <v>46133</v>
      </c>
      <c r="D284" t="inlineStr">
        <is>
          <t>KALMAR LÄN</t>
        </is>
      </c>
      <c r="E284" t="inlineStr">
        <is>
          <t>VIMMERBY</t>
        </is>
      </c>
      <c r="G284" t="n">
        <v>4.3</v>
      </c>
      <c r="H284" t="n">
        <v>0</v>
      </c>
      <c r="I284" t="n">
        <v>0</v>
      </c>
      <c r="J284" t="n">
        <v>0</v>
      </c>
      <c r="K284" t="n">
        <v>0</v>
      </c>
      <c r="L284" t="n">
        <v>0</v>
      </c>
      <c r="M284" t="n">
        <v>0</v>
      </c>
      <c r="N284" t="n">
        <v>0</v>
      </c>
      <c r="O284" t="n">
        <v>0</v>
      </c>
      <c r="P284" t="n">
        <v>0</v>
      </c>
      <c r="Q284" t="n">
        <v>0</v>
      </c>
      <c r="R284" s="2" t="inlineStr"/>
    </row>
    <row r="285" ht="15" customHeight="1">
      <c r="A285" t="inlineStr">
        <is>
          <t>A 10759-2023</t>
        </is>
      </c>
      <c r="B285" s="1" t="n">
        <v>44988</v>
      </c>
      <c r="C285" s="1" t="n">
        <v>46133</v>
      </c>
      <c r="D285" t="inlineStr">
        <is>
          <t>KALMAR LÄN</t>
        </is>
      </c>
      <c r="E285" t="inlineStr">
        <is>
          <t>VIMMERBY</t>
        </is>
      </c>
      <c r="G285" t="n">
        <v>0.4</v>
      </c>
      <c r="H285" t="n">
        <v>0</v>
      </c>
      <c r="I285" t="n">
        <v>0</v>
      </c>
      <c r="J285" t="n">
        <v>0</v>
      </c>
      <c r="K285" t="n">
        <v>0</v>
      </c>
      <c r="L285" t="n">
        <v>0</v>
      </c>
      <c r="M285" t="n">
        <v>0</v>
      </c>
      <c r="N285" t="n">
        <v>0</v>
      </c>
      <c r="O285" t="n">
        <v>0</v>
      </c>
      <c r="P285" t="n">
        <v>0</v>
      </c>
      <c r="Q285" t="n">
        <v>0</v>
      </c>
      <c r="R285" s="2" t="inlineStr"/>
    </row>
    <row r="286" ht="15" customHeight="1">
      <c r="A286" t="inlineStr">
        <is>
          <t>A 41735-2025</t>
        </is>
      </c>
      <c r="B286" s="1" t="n">
        <v>45902.47164351852</v>
      </c>
      <c r="C286" s="1" t="n">
        <v>46133</v>
      </c>
      <c r="D286" t="inlineStr">
        <is>
          <t>KALMAR LÄN</t>
        </is>
      </c>
      <c r="E286" t="inlineStr">
        <is>
          <t>VIMMERBY</t>
        </is>
      </c>
      <c r="G286" t="n">
        <v>3</v>
      </c>
      <c r="H286" t="n">
        <v>0</v>
      </c>
      <c r="I286" t="n">
        <v>0</v>
      </c>
      <c r="J286" t="n">
        <v>0</v>
      </c>
      <c r="K286" t="n">
        <v>0</v>
      </c>
      <c r="L286" t="n">
        <v>0</v>
      </c>
      <c r="M286" t="n">
        <v>0</v>
      </c>
      <c r="N286" t="n">
        <v>0</v>
      </c>
      <c r="O286" t="n">
        <v>0</v>
      </c>
      <c r="P286" t="n">
        <v>0</v>
      </c>
      <c r="Q286" t="n">
        <v>0</v>
      </c>
      <c r="R286" s="2" t="inlineStr"/>
    </row>
    <row r="287" ht="15" customHeight="1">
      <c r="A287" t="inlineStr">
        <is>
          <t>A 63583-2023</t>
        </is>
      </c>
      <c r="B287" s="1" t="n">
        <v>45275.41833333333</v>
      </c>
      <c r="C287" s="1" t="n">
        <v>46133</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40079-2023</t>
        </is>
      </c>
      <c r="B288" s="1" t="n">
        <v>45168.89298611111</v>
      </c>
      <c r="C288" s="1" t="n">
        <v>46133</v>
      </c>
      <c r="D288" t="inlineStr">
        <is>
          <t>KALMAR LÄN</t>
        </is>
      </c>
      <c r="E288" t="inlineStr">
        <is>
          <t>VIMMERBY</t>
        </is>
      </c>
      <c r="G288" t="n">
        <v>1.2</v>
      </c>
      <c r="H288" t="n">
        <v>0</v>
      </c>
      <c r="I288" t="n">
        <v>0</v>
      </c>
      <c r="J288" t="n">
        <v>0</v>
      </c>
      <c r="K288" t="n">
        <v>0</v>
      </c>
      <c r="L288" t="n">
        <v>0</v>
      </c>
      <c r="M288" t="n">
        <v>0</v>
      </c>
      <c r="N288" t="n">
        <v>0</v>
      </c>
      <c r="O288" t="n">
        <v>0</v>
      </c>
      <c r="P288" t="n">
        <v>0</v>
      </c>
      <c r="Q288" t="n">
        <v>0</v>
      </c>
      <c r="R288" s="2" t="inlineStr"/>
    </row>
    <row r="289" ht="15" customHeight="1">
      <c r="A289" t="inlineStr">
        <is>
          <t>A 43774-2023</t>
        </is>
      </c>
      <c r="B289" s="1" t="n">
        <v>45187</v>
      </c>
      <c r="C289" s="1" t="n">
        <v>46133</v>
      </c>
      <c r="D289" t="inlineStr">
        <is>
          <t>KALMAR LÄN</t>
        </is>
      </c>
      <c r="E289" t="inlineStr">
        <is>
          <t>VIMMERBY</t>
        </is>
      </c>
      <c r="G289" t="n">
        <v>3.4</v>
      </c>
      <c r="H289" t="n">
        <v>0</v>
      </c>
      <c r="I289" t="n">
        <v>0</v>
      </c>
      <c r="J289" t="n">
        <v>0</v>
      </c>
      <c r="K289" t="n">
        <v>0</v>
      </c>
      <c r="L289" t="n">
        <v>0</v>
      </c>
      <c r="M289" t="n">
        <v>0</v>
      </c>
      <c r="N289" t="n">
        <v>0</v>
      </c>
      <c r="O289" t="n">
        <v>0</v>
      </c>
      <c r="P289" t="n">
        <v>0</v>
      </c>
      <c r="Q289" t="n">
        <v>0</v>
      </c>
      <c r="R289" s="2" t="inlineStr"/>
    </row>
    <row r="290" ht="15" customHeight="1">
      <c r="A290" t="inlineStr">
        <is>
          <t>A 29616-2022</t>
        </is>
      </c>
      <c r="B290" s="1" t="n">
        <v>44754</v>
      </c>
      <c r="C290" s="1" t="n">
        <v>46133</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39578-2024</t>
        </is>
      </c>
      <c r="B291" s="1" t="n">
        <v>45552.36484953704</v>
      </c>
      <c r="C291" s="1" t="n">
        <v>46133</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24707-2024</t>
        </is>
      </c>
      <c r="B292" s="1" t="n">
        <v>45460.62172453704</v>
      </c>
      <c r="C292" s="1" t="n">
        <v>46133</v>
      </c>
      <c r="D292" t="inlineStr">
        <is>
          <t>KALMAR LÄN</t>
        </is>
      </c>
      <c r="E292" t="inlineStr">
        <is>
          <t>VIMMERBY</t>
        </is>
      </c>
      <c r="G292" t="n">
        <v>1.7</v>
      </c>
      <c r="H292" t="n">
        <v>0</v>
      </c>
      <c r="I292" t="n">
        <v>0</v>
      </c>
      <c r="J292" t="n">
        <v>0</v>
      </c>
      <c r="K292" t="n">
        <v>0</v>
      </c>
      <c r="L292" t="n">
        <v>0</v>
      </c>
      <c r="M292" t="n">
        <v>0</v>
      </c>
      <c r="N292" t="n">
        <v>0</v>
      </c>
      <c r="O292" t="n">
        <v>0</v>
      </c>
      <c r="P292" t="n">
        <v>0</v>
      </c>
      <c r="Q292" t="n">
        <v>0</v>
      </c>
      <c r="R292" s="2" t="inlineStr"/>
    </row>
    <row r="293" ht="15" customHeight="1">
      <c r="A293" t="inlineStr">
        <is>
          <t>A 31056-2022</t>
        </is>
      </c>
      <c r="B293" s="1" t="n">
        <v>44769.45805555556</v>
      </c>
      <c r="C293" s="1" t="n">
        <v>46133</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33383-2023</t>
        </is>
      </c>
      <c r="B294" s="1" t="n">
        <v>45128.58414351852</v>
      </c>
      <c r="C294" s="1" t="n">
        <v>46133</v>
      </c>
      <c r="D294" t="inlineStr">
        <is>
          <t>KALMAR LÄN</t>
        </is>
      </c>
      <c r="E294" t="inlineStr">
        <is>
          <t>VIMMERBY</t>
        </is>
      </c>
      <c r="G294" t="n">
        <v>2.3</v>
      </c>
      <c r="H294" t="n">
        <v>0</v>
      </c>
      <c r="I294" t="n">
        <v>0</v>
      </c>
      <c r="J294" t="n">
        <v>0</v>
      </c>
      <c r="K294" t="n">
        <v>0</v>
      </c>
      <c r="L294" t="n">
        <v>0</v>
      </c>
      <c r="M294" t="n">
        <v>0</v>
      </c>
      <c r="N294" t="n">
        <v>0</v>
      </c>
      <c r="O294" t="n">
        <v>0</v>
      </c>
      <c r="P294" t="n">
        <v>0</v>
      </c>
      <c r="Q294" t="n">
        <v>0</v>
      </c>
      <c r="R294" s="2" t="inlineStr"/>
    </row>
    <row r="295" ht="15" customHeight="1">
      <c r="A295" t="inlineStr">
        <is>
          <t>A 40828-2023</t>
        </is>
      </c>
      <c r="B295" s="1" t="n">
        <v>45171.96248842592</v>
      </c>
      <c r="C295" s="1" t="n">
        <v>46133</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28286-2025</t>
        </is>
      </c>
      <c r="B296" s="1" t="n">
        <v>45818.58993055556</v>
      </c>
      <c r="C296" s="1" t="n">
        <v>46133</v>
      </c>
      <c r="D296" t="inlineStr">
        <is>
          <t>KALMAR LÄN</t>
        </is>
      </c>
      <c r="E296" t="inlineStr">
        <is>
          <t>VIMMERBY</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28282-2025</t>
        </is>
      </c>
      <c r="B297" s="1" t="n">
        <v>45818.58769675926</v>
      </c>
      <c r="C297" s="1" t="n">
        <v>46133</v>
      </c>
      <c r="D297" t="inlineStr">
        <is>
          <t>KALMAR LÄN</t>
        </is>
      </c>
      <c r="E297" t="inlineStr">
        <is>
          <t>VIMMERBY</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28294-2025</t>
        </is>
      </c>
      <c r="B298" s="1" t="n">
        <v>45818.595625</v>
      </c>
      <c r="C298" s="1" t="n">
        <v>46133</v>
      </c>
      <c r="D298" t="inlineStr">
        <is>
          <t>KALMAR LÄN</t>
        </is>
      </c>
      <c r="E298" t="inlineStr">
        <is>
          <t>VIMMERBY</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28290-2025</t>
        </is>
      </c>
      <c r="B299" s="1" t="n">
        <v>45818.59261574074</v>
      </c>
      <c r="C299" s="1" t="n">
        <v>46133</v>
      </c>
      <c r="D299" t="inlineStr">
        <is>
          <t>KALMAR LÄN</t>
        </is>
      </c>
      <c r="E299" t="inlineStr">
        <is>
          <t>VIMMERBY</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61861-2024</t>
        </is>
      </c>
      <c r="B300" s="1" t="n">
        <v>45650.37370370371</v>
      </c>
      <c r="C300" s="1" t="n">
        <v>46133</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28280-2025</t>
        </is>
      </c>
      <c r="B301" s="1" t="n">
        <v>45818.5862037037</v>
      </c>
      <c r="C301" s="1" t="n">
        <v>46133</v>
      </c>
      <c r="D301" t="inlineStr">
        <is>
          <t>KALMAR LÄN</t>
        </is>
      </c>
      <c r="E301" t="inlineStr">
        <is>
          <t>VIMMERBY</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42828-2025</t>
        </is>
      </c>
      <c r="B302" s="1" t="n">
        <v>45908.57716435185</v>
      </c>
      <c r="C302" s="1" t="n">
        <v>46133</v>
      </c>
      <c r="D302" t="inlineStr">
        <is>
          <t>KALMAR LÄN</t>
        </is>
      </c>
      <c r="E302" t="inlineStr">
        <is>
          <t>VIMMERBY</t>
        </is>
      </c>
      <c r="G302" t="n">
        <v>5.2</v>
      </c>
      <c r="H302" t="n">
        <v>0</v>
      </c>
      <c r="I302" t="n">
        <v>0</v>
      </c>
      <c r="J302" t="n">
        <v>0</v>
      </c>
      <c r="K302" t="n">
        <v>0</v>
      </c>
      <c r="L302" t="n">
        <v>0</v>
      </c>
      <c r="M302" t="n">
        <v>0</v>
      </c>
      <c r="N302" t="n">
        <v>0</v>
      </c>
      <c r="O302" t="n">
        <v>0</v>
      </c>
      <c r="P302" t="n">
        <v>0</v>
      </c>
      <c r="Q302" t="n">
        <v>0</v>
      </c>
      <c r="R302" s="2" t="inlineStr"/>
    </row>
    <row r="303" ht="15" customHeight="1">
      <c r="A303" t="inlineStr">
        <is>
          <t>A 8650-2022</t>
        </is>
      </c>
      <c r="B303" s="1" t="n">
        <v>44613</v>
      </c>
      <c r="C303" s="1" t="n">
        <v>46133</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33340-2023</t>
        </is>
      </c>
      <c r="B304" s="1" t="n">
        <v>45128.37305555555</v>
      </c>
      <c r="C304" s="1" t="n">
        <v>46133</v>
      </c>
      <c r="D304" t="inlineStr">
        <is>
          <t>KALMAR LÄN</t>
        </is>
      </c>
      <c r="E304" t="inlineStr">
        <is>
          <t>VIMMERBY</t>
        </is>
      </c>
      <c r="G304" t="n">
        <v>1.5</v>
      </c>
      <c r="H304" t="n">
        <v>0</v>
      </c>
      <c r="I304" t="n">
        <v>0</v>
      </c>
      <c r="J304" t="n">
        <v>0</v>
      </c>
      <c r="K304" t="n">
        <v>0</v>
      </c>
      <c r="L304" t="n">
        <v>0</v>
      </c>
      <c r="M304" t="n">
        <v>0</v>
      </c>
      <c r="N304" t="n">
        <v>0</v>
      </c>
      <c r="O304" t="n">
        <v>0</v>
      </c>
      <c r="P304" t="n">
        <v>0</v>
      </c>
      <c r="Q304" t="n">
        <v>0</v>
      </c>
      <c r="R304" s="2" t="inlineStr"/>
    </row>
    <row r="305" ht="15" customHeight="1">
      <c r="A305" t="inlineStr">
        <is>
          <t>A 42794-2025</t>
        </is>
      </c>
      <c r="B305" s="1" t="n">
        <v>45908</v>
      </c>
      <c r="C305" s="1" t="n">
        <v>46133</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44423-2023</t>
        </is>
      </c>
      <c r="B306" s="1" t="n">
        <v>45189</v>
      </c>
      <c r="C306" s="1" t="n">
        <v>46133</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28620-2025</t>
        </is>
      </c>
      <c r="B307" s="1" t="n">
        <v>45819.61060185185</v>
      </c>
      <c r="C307" s="1" t="n">
        <v>46133</v>
      </c>
      <c r="D307" t="inlineStr">
        <is>
          <t>KALMAR LÄN</t>
        </is>
      </c>
      <c r="E307" t="inlineStr">
        <is>
          <t>VIMMERBY</t>
        </is>
      </c>
      <c r="G307" t="n">
        <v>5.6</v>
      </c>
      <c r="H307" t="n">
        <v>0</v>
      </c>
      <c r="I307" t="n">
        <v>0</v>
      </c>
      <c r="J307" t="n">
        <v>0</v>
      </c>
      <c r="K307" t="n">
        <v>0</v>
      </c>
      <c r="L307" t="n">
        <v>0</v>
      </c>
      <c r="M307" t="n">
        <v>0</v>
      </c>
      <c r="N307" t="n">
        <v>0</v>
      </c>
      <c r="O307" t="n">
        <v>0</v>
      </c>
      <c r="P307" t="n">
        <v>0</v>
      </c>
      <c r="Q307" t="n">
        <v>0</v>
      </c>
      <c r="R307" s="2" t="inlineStr"/>
    </row>
    <row r="308" ht="15" customHeight="1">
      <c r="A308" t="inlineStr">
        <is>
          <t>A 42820-2025</t>
        </is>
      </c>
      <c r="B308" s="1" t="n">
        <v>45908</v>
      </c>
      <c r="C308" s="1" t="n">
        <v>46133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37323-2024</t>
        </is>
      </c>
      <c r="B309" s="1" t="n">
        <v>45540.50098379629</v>
      </c>
      <c r="C309" s="1" t="n">
        <v>46133</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28712-2025</t>
        </is>
      </c>
      <c r="B310" s="1" t="n">
        <v>45820.33708333333</v>
      </c>
      <c r="C310" s="1" t="n">
        <v>46133</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28714-2025</t>
        </is>
      </c>
      <c r="B311" s="1" t="n">
        <v>45820.34128472222</v>
      </c>
      <c r="C311" s="1" t="n">
        <v>46133</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34060-2025</t>
        </is>
      </c>
      <c r="B312" s="1" t="n">
        <v>45845.42015046296</v>
      </c>
      <c r="C312" s="1" t="n">
        <v>46133</v>
      </c>
      <c r="D312" t="inlineStr">
        <is>
          <t>KALMAR LÄN</t>
        </is>
      </c>
      <c r="E312" t="inlineStr">
        <is>
          <t>VIMMERBY</t>
        </is>
      </c>
      <c r="G312" t="n">
        <v>5.7</v>
      </c>
      <c r="H312" t="n">
        <v>0</v>
      </c>
      <c r="I312" t="n">
        <v>0</v>
      </c>
      <c r="J312" t="n">
        <v>0</v>
      </c>
      <c r="K312" t="n">
        <v>0</v>
      </c>
      <c r="L312" t="n">
        <v>0</v>
      </c>
      <c r="M312" t="n">
        <v>0</v>
      </c>
      <c r="N312" t="n">
        <v>0</v>
      </c>
      <c r="O312" t="n">
        <v>0</v>
      </c>
      <c r="P312" t="n">
        <v>0</v>
      </c>
      <c r="Q312" t="n">
        <v>0</v>
      </c>
      <c r="R312" s="2" t="inlineStr"/>
    </row>
    <row r="313" ht="15" customHeight="1">
      <c r="A313" t="inlineStr">
        <is>
          <t>A 28713-2025</t>
        </is>
      </c>
      <c r="B313" s="1" t="n">
        <v>45820.33930555556</v>
      </c>
      <c r="C313" s="1" t="n">
        <v>46133</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43465-2025</t>
        </is>
      </c>
      <c r="B314" s="1" t="n">
        <v>45911.47138888889</v>
      </c>
      <c r="C314" s="1" t="n">
        <v>46133</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43617-2025</t>
        </is>
      </c>
      <c r="B315" s="1" t="n">
        <v>45911.67798611111</v>
      </c>
      <c r="C315" s="1" t="n">
        <v>46133</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18501-2024</t>
        </is>
      </c>
      <c r="B316" s="1" t="n">
        <v>45425.57538194444</v>
      </c>
      <c r="C316" s="1" t="n">
        <v>46133</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29737-2025</t>
        </is>
      </c>
      <c r="B317" s="1" t="n">
        <v>45825.58672453704</v>
      </c>
      <c r="C317" s="1" t="n">
        <v>46133</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29727-2025</t>
        </is>
      </c>
      <c r="B318" s="1" t="n">
        <v>45825.5796875</v>
      </c>
      <c r="C318" s="1" t="n">
        <v>46133</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27758-2024</t>
        </is>
      </c>
      <c r="B319" s="1" t="n">
        <v>45475.48303240741</v>
      </c>
      <c r="C319" s="1" t="n">
        <v>46133</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13307-2025</t>
        </is>
      </c>
      <c r="B320" s="1" t="n">
        <v>45735.58024305556</v>
      </c>
      <c r="C320" s="1" t="n">
        <v>46133</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44095-2025</t>
        </is>
      </c>
      <c r="B321" s="1" t="n">
        <v>45915.56430555556</v>
      </c>
      <c r="C321" s="1" t="n">
        <v>46133</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55716-2023</t>
        </is>
      </c>
      <c r="B322" s="1" t="n">
        <v>45232</v>
      </c>
      <c r="C322" s="1" t="n">
        <v>46133</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18329-2023</t>
        </is>
      </c>
      <c r="B323" s="1" t="n">
        <v>45041.63380787037</v>
      </c>
      <c r="C323" s="1" t="n">
        <v>46133</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44091-2025</t>
        </is>
      </c>
      <c r="B324" s="1" t="n">
        <v>45915.55950231481</v>
      </c>
      <c r="C324" s="1" t="n">
        <v>46133</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30293-2025</t>
        </is>
      </c>
      <c r="B325" s="1" t="n">
        <v>45827</v>
      </c>
      <c r="C325" s="1" t="n">
        <v>46133</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30290-2025</t>
        </is>
      </c>
      <c r="B326" s="1" t="n">
        <v>45827</v>
      </c>
      <c r="C326" s="1" t="n">
        <v>46133</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13015-2023</t>
        </is>
      </c>
      <c r="B327" s="1" t="n">
        <v>45002</v>
      </c>
      <c r="C327" s="1" t="n">
        <v>46133</v>
      </c>
      <c r="D327" t="inlineStr">
        <is>
          <t>KALMAR LÄN</t>
        </is>
      </c>
      <c r="E327" t="inlineStr">
        <is>
          <t>VIMMERBY</t>
        </is>
      </c>
      <c r="G327" t="n">
        <v>3.2</v>
      </c>
      <c r="H327" t="n">
        <v>0</v>
      </c>
      <c r="I327" t="n">
        <v>0</v>
      </c>
      <c r="J327" t="n">
        <v>0</v>
      </c>
      <c r="K327" t="n">
        <v>0</v>
      </c>
      <c r="L327" t="n">
        <v>0</v>
      </c>
      <c r="M327" t="n">
        <v>0</v>
      </c>
      <c r="N327" t="n">
        <v>0</v>
      </c>
      <c r="O327" t="n">
        <v>0</v>
      </c>
      <c r="P327" t="n">
        <v>0</v>
      </c>
      <c r="Q327" t="n">
        <v>0</v>
      </c>
      <c r="R327" s="2" t="inlineStr"/>
    </row>
    <row r="328" ht="15" customHeight="1">
      <c r="A328" t="inlineStr">
        <is>
          <t>A 63711-2025</t>
        </is>
      </c>
      <c r="B328" s="1" t="n">
        <v>46014.62724537037</v>
      </c>
      <c r="C328" s="1" t="n">
        <v>46133</v>
      </c>
      <c r="D328" t="inlineStr">
        <is>
          <t>KALMAR LÄN</t>
        </is>
      </c>
      <c r="E328" t="inlineStr">
        <is>
          <t>VIMMERBY</t>
        </is>
      </c>
      <c r="G328" t="n">
        <v>2.1</v>
      </c>
      <c r="H328" t="n">
        <v>0</v>
      </c>
      <c r="I328" t="n">
        <v>0</v>
      </c>
      <c r="J328" t="n">
        <v>0</v>
      </c>
      <c r="K328" t="n">
        <v>0</v>
      </c>
      <c r="L328" t="n">
        <v>0</v>
      </c>
      <c r="M328" t="n">
        <v>0</v>
      </c>
      <c r="N328" t="n">
        <v>0</v>
      </c>
      <c r="O328" t="n">
        <v>0</v>
      </c>
      <c r="P328" t="n">
        <v>0</v>
      </c>
      <c r="Q328" t="n">
        <v>0</v>
      </c>
      <c r="R328" s="2" t="inlineStr"/>
    </row>
    <row r="329" ht="15" customHeight="1">
      <c r="A329" t="inlineStr">
        <is>
          <t>A 44517-2025</t>
        </is>
      </c>
      <c r="B329" s="1" t="n">
        <v>45916.7103587963</v>
      </c>
      <c r="C329" s="1" t="n">
        <v>46133</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29186-2024</t>
        </is>
      </c>
      <c r="B330" s="1" t="n">
        <v>45482.54844907407</v>
      </c>
      <c r="C330" s="1" t="n">
        <v>46133</v>
      </c>
      <c r="D330" t="inlineStr">
        <is>
          <t>KALMAR LÄN</t>
        </is>
      </c>
      <c r="E330" t="inlineStr">
        <is>
          <t>VIMMERBY</t>
        </is>
      </c>
      <c r="G330" t="n">
        <v>2.6</v>
      </c>
      <c r="H330" t="n">
        <v>0</v>
      </c>
      <c r="I330" t="n">
        <v>0</v>
      </c>
      <c r="J330" t="n">
        <v>0</v>
      </c>
      <c r="K330" t="n">
        <v>0</v>
      </c>
      <c r="L330" t="n">
        <v>0</v>
      </c>
      <c r="M330" t="n">
        <v>0</v>
      </c>
      <c r="N330" t="n">
        <v>0</v>
      </c>
      <c r="O330" t="n">
        <v>0</v>
      </c>
      <c r="P330" t="n">
        <v>0</v>
      </c>
      <c r="Q330" t="n">
        <v>0</v>
      </c>
      <c r="R330" s="2" t="inlineStr"/>
    </row>
    <row r="331" ht="15" customHeight="1">
      <c r="A331" t="inlineStr">
        <is>
          <t>A 44742-2025</t>
        </is>
      </c>
      <c r="B331" s="1" t="n">
        <v>45917.67054398148</v>
      </c>
      <c r="C331" s="1" t="n">
        <v>46133</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30850-2025</t>
        </is>
      </c>
      <c r="B332" s="1" t="n">
        <v>45831</v>
      </c>
      <c r="C332" s="1" t="n">
        <v>46133</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50993-2022</t>
        </is>
      </c>
      <c r="B333" s="1" t="n">
        <v>44867</v>
      </c>
      <c r="C333" s="1" t="n">
        <v>46133</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44329-2025</t>
        </is>
      </c>
      <c r="B334" s="1" t="n">
        <v>45916.41019675926</v>
      </c>
      <c r="C334" s="1" t="n">
        <v>46133</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41896-2025</t>
        </is>
      </c>
      <c r="B335" s="1" t="n">
        <v>45903.38800925926</v>
      </c>
      <c r="C335" s="1" t="n">
        <v>46133</v>
      </c>
      <c r="D335" t="inlineStr">
        <is>
          <t>KALMAR LÄN</t>
        </is>
      </c>
      <c r="E335" t="inlineStr">
        <is>
          <t>VIMMERBY</t>
        </is>
      </c>
      <c r="G335" t="n">
        <v>2.9</v>
      </c>
      <c r="H335" t="n">
        <v>0</v>
      </c>
      <c r="I335" t="n">
        <v>0</v>
      </c>
      <c r="J335" t="n">
        <v>0</v>
      </c>
      <c r="K335" t="n">
        <v>0</v>
      </c>
      <c r="L335" t="n">
        <v>0</v>
      </c>
      <c r="M335" t="n">
        <v>0</v>
      </c>
      <c r="N335" t="n">
        <v>0</v>
      </c>
      <c r="O335" t="n">
        <v>0</v>
      </c>
      <c r="P335" t="n">
        <v>0</v>
      </c>
      <c r="Q335" t="n">
        <v>0</v>
      </c>
      <c r="R335" s="2" t="inlineStr"/>
    </row>
    <row r="336" ht="15" customHeight="1">
      <c r="A336" t="inlineStr">
        <is>
          <t>A 54787-2023</t>
        </is>
      </c>
      <c r="B336" s="1" t="n">
        <v>45236</v>
      </c>
      <c r="C336" s="1" t="n">
        <v>46133</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32614-2023</t>
        </is>
      </c>
      <c r="B337" s="1" t="n">
        <v>45121</v>
      </c>
      <c r="C337" s="1" t="n">
        <v>46133</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6850-2023</t>
        </is>
      </c>
      <c r="B338" s="1" t="n">
        <v>44967.44255787037</v>
      </c>
      <c r="C338" s="1" t="n">
        <v>46133</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58750-2022</t>
        </is>
      </c>
      <c r="B339" s="1" t="n">
        <v>44903.33363425926</v>
      </c>
      <c r="C339" s="1" t="n">
        <v>46133</v>
      </c>
      <c r="D339" t="inlineStr">
        <is>
          <t>KALMAR LÄN</t>
        </is>
      </c>
      <c r="E339" t="inlineStr">
        <is>
          <t>VIMMERBY</t>
        </is>
      </c>
      <c r="G339" t="n">
        <v>3.3</v>
      </c>
      <c r="H339" t="n">
        <v>0</v>
      </c>
      <c r="I339" t="n">
        <v>0</v>
      </c>
      <c r="J339" t="n">
        <v>0</v>
      </c>
      <c r="K339" t="n">
        <v>0</v>
      </c>
      <c r="L339" t="n">
        <v>0</v>
      </c>
      <c r="M339" t="n">
        <v>0</v>
      </c>
      <c r="N339" t="n">
        <v>0</v>
      </c>
      <c r="O339" t="n">
        <v>0</v>
      </c>
      <c r="P339" t="n">
        <v>0</v>
      </c>
      <c r="Q339" t="n">
        <v>0</v>
      </c>
      <c r="R339" s="2" t="inlineStr"/>
    </row>
    <row r="340" ht="15" customHeight="1">
      <c r="A340" t="inlineStr">
        <is>
          <t>A 31552-2025</t>
        </is>
      </c>
      <c r="B340" s="1" t="n">
        <v>45833.64563657407</v>
      </c>
      <c r="C340" s="1" t="n">
        <v>46133</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31555-2025</t>
        </is>
      </c>
      <c r="B341" s="1" t="n">
        <v>45833.64814814815</v>
      </c>
      <c r="C341" s="1" t="n">
        <v>46133</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41158-2023</t>
        </is>
      </c>
      <c r="B342" s="1" t="n">
        <v>45174.31395833333</v>
      </c>
      <c r="C342" s="1" t="n">
        <v>46133</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30971-2025</t>
        </is>
      </c>
      <c r="B343" s="1" t="n">
        <v>45832.46146990741</v>
      </c>
      <c r="C343" s="1" t="n">
        <v>46133</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61937-2025</t>
        </is>
      </c>
      <c r="B344" s="1" t="n">
        <v>46003</v>
      </c>
      <c r="C344" s="1" t="n">
        <v>46133</v>
      </c>
      <c r="D344" t="inlineStr">
        <is>
          <t>KALMAR LÄN</t>
        </is>
      </c>
      <c r="E344" t="inlineStr">
        <is>
          <t>VIMMERBY</t>
        </is>
      </c>
      <c r="G344" t="n">
        <v>3.4</v>
      </c>
      <c r="H344" t="n">
        <v>0</v>
      </c>
      <c r="I344" t="n">
        <v>0</v>
      </c>
      <c r="J344" t="n">
        <v>0</v>
      </c>
      <c r="K344" t="n">
        <v>0</v>
      </c>
      <c r="L344" t="n">
        <v>0</v>
      </c>
      <c r="M344" t="n">
        <v>0</v>
      </c>
      <c r="N344" t="n">
        <v>0</v>
      </c>
      <c r="O344" t="n">
        <v>0</v>
      </c>
      <c r="P344" t="n">
        <v>0</v>
      </c>
      <c r="Q344" t="n">
        <v>0</v>
      </c>
      <c r="R344" s="2" t="inlineStr"/>
    </row>
    <row r="345" ht="15" customHeight="1">
      <c r="A345" t="inlineStr">
        <is>
          <t>A 31551-2025</t>
        </is>
      </c>
      <c r="B345" s="1" t="n">
        <v>45833.64237268519</v>
      </c>
      <c r="C345" s="1" t="n">
        <v>46133</v>
      </c>
      <c r="D345" t="inlineStr">
        <is>
          <t>KALMAR LÄN</t>
        </is>
      </c>
      <c r="E345" t="inlineStr">
        <is>
          <t>VIMMERBY</t>
        </is>
      </c>
      <c r="G345" t="n">
        <v>1.9</v>
      </c>
      <c r="H345" t="n">
        <v>0</v>
      </c>
      <c r="I345" t="n">
        <v>0</v>
      </c>
      <c r="J345" t="n">
        <v>0</v>
      </c>
      <c r="K345" t="n">
        <v>0</v>
      </c>
      <c r="L345" t="n">
        <v>0</v>
      </c>
      <c r="M345" t="n">
        <v>0</v>
      </c>
      <c r="N345" t="n">
        <v>0</v>
      </c>
      <c r="O345" t="n">
        <v>0</v>
      </c>
      <c r="P345" t="n">
        <v>0</v>
      </c>
      <c r="Q345" t="n">
        <v>0</v>
      </c>
      <c r="R345" s="2" t="inlineStr"/>
    </row>
    <row r="346" ht="15" customHeight="1">
      <c r="A346" t="inlineStr">
        <is>
          <t>A 30882-2025</t>
        </is>
      </c>
      <c r="B346" s="1" t="n">
        <v>45832.34540509259</v>
      </c>
      <c r="C346" s="1" t="n">
        <v>46133</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2510-2023</t>
        </is>
      </c>
      <c r="B347" s="1" t="n">
        <v>44943.57309027778</v>
      </c>
      <c r="C347" s="1" t="n">
        <v>46133</v>
      </c>
      <c r="D347" t="inlineStr">
        <is>
          <t>KALMAR LÄN</t>
        </is>
      </c>
      <c r="E347" t="inlineStr">
        <is>
          <t>VIMMERBY</t>
        </is>
      </c>
      <c r="G347" t="n">
        <v>8.6</v>
      </c>
      <c r="H347" t="n">
        <v>0</v>
      </c>
      <c r="I347" t="n">
        <v>0</v>
      </c>
      <c r="J347" t="n">
        <v>0</v>
      </c>
      <c r="K347" t="n">
        <v>0</v>
      </c>
      <c r="L347" t="n">
        <v>0</v>
      </c>
      <c r="M347" t="n">
        <v>0</v>
      </c>
      <c r="N347" t="n">
        <v>0</v>
      </c>
      <c r="O347" t="n">
        <v>0</v>
      </c>
      <c r="P347" t="n">
        <v>0</v>
      </c>
      <c r="Q347" t="n">
        <v>0</v>
      </c>
      <c r="R347" s="2" t="inlineStr"/>
    </row>
    <row r="348" ht="15" customHeight="1">
      <c r="A348" t="inlineStr">
        <is>
          <t>A 31872-2025</t>
        </is>
      </c>
      <c r="B348" s="1" t="n">
        <v>45834.65040509259</v>
      </c>
      <c r="C348" s="1" t="n">
        <v>46133</v>
      </c>
      <c r="D348" t="inlineStr">
        <is>
          <t>KALMAR LÄN</t>
        </is>
      </c>
      <c r="E348" t="inlineStr">
        <is>
          <t>VIMMERBY</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8559-2025</t>
        </is>
      </c>
      <c r="B349" s="1" t="n">
        <v>45709.62280092593</v>
      </c>
      <c r="C349" s="1" t="n">
        <v>46133</v>
      </c>
      <c r="D349" t="inlineStr">
        <is>
          <t>KALMAR LÄN</t>
        </is>
      </c>
      <c r="E349" t="inlineStr">
        <is>
          <t>VIMMERBY</t>
        </is>
      </c>
      <c r="G349" t="n">
        <v>8.9</v>
      </c>
      <c r="H349" t="n">
        <v>0</v>
      </c>
      <c r="I349" t="n">
        <v>0</v>
      </c>
      <c r="J349" t="n">
        <v>0</v>
      </c>
      <c r="K349" t="n">
        <v>0</v>
      </c>
      <c r="L349" t="n">
        <v>0</v>
      </c>
      <c r="M349" t="n">
        <v>0</v>
      </c>
      <c r="N349" t="n">
        <v>0</v>
      </c>
      <c r="O349" t="n">
        <v>0</v>
      </c>
      <c r="P349" t="n">
        <v>0</v>
      </c>
      <c r="Q349" t="n">
        <v>0</v>
      </c>
      <c r="R349" s="2" t="inlineStr"/>
    </row>
    <row r="350" ht="15" customHeight="1">
      <c r="A350" t="inlineStr">
        <is>
          <t>A 63762-2025</t>
        </is>
      </c>
      <c r="B350" s="1" t="n">
        <v>46018.67197916667</v>
      </c>
      <c r="C350" s="1" t="n">
        <v>46133</v>
      </c>
      <c r="D350" t="inlineStr">
        <is>
          <t>KALMAR LÄN</t>
        </is>
      </c>
      <c r="E350" t="inlineStr">
        <is>
          <t>VIMMERBY</t>
        </is>
      </c>
      <c r="G350" t="n">
        <v>2.5</v>
      </c>
      <c r="H350" t="n">
        <v>0</v>
      </c>
      <c r="I350" t="n">
        <v>0</v>
      </c>
      <c r="J350" t="n">
        <v>0</v>
      </c>
      <c r="K350" t="n">
        <v>0</v>
      </c>
      <c r="L350" t="n">
        <v>0</v>
      </c>
      <c r="M350" t="n">
        <v>0</v>
      </c>
      <c r="N350" t="n">
        <v>0</v>
      </c>
      <c r="O350" t="n">
        <v>0</v>
      </c>
      <c r="P350" t="n">
        <v>0</v>
      </c>
      <c r="Q350" t="n">
        <v>0</v>
      </c>
      <c r="R350" s="2" t="inlineStr"/>
    </row>
    <row r="351" ht="15" customHeight="1">
      <c r="A351" t="inlineStr">
        <is>
          <t>A 32064-2025</t>
        </is>
      </c>
      <c r="B351" s="1" t="n">
        <v>45835.44709490741</v>
      </c>
      <c r="C351" s="1" t="n">
        <v>46133</v>
      </c>
      <c r="D351" t="inlineStr">
        <is>
          <t>KALMAR LÄN</t>
        </is>
      </c>
      <c r="E351" t="inlineStr">
        <is>
          <t>VIMMERBY</t>
        </is>
      </c>
      <c r="G351" t="n">
        <v>2.6</v>
      </c>
      <c r="H351" t="n">
        <v>0</v>
      </c>
      <c r="I351" t="n">
        <v>0</v>
      </c>
      <c r="J351" t="n">
        <v>0</v>
      </c>
      <c r="K351" t="n">
        <v>0</v>
      </c>
      <c r="L351" t="n">
        <v>0</v>
      </c>
      <c r="M351" t="n">
        <v>0</v>
      </c>
      <c r="N351" t="n">
        <v>0</v>
      </c>
      <c r="O351" t="n">
        <v>0</v>
      </c>
      <c r="P351" t="n">
        <v>0</v>
      </c>
      <c r="Q351" t="n">
        <v>0</v>
      </c>
      <c r="R351" s="2" t="inlineStr"/>
    </row>
    <row r="352" ht="15" customHeight="1">
      <c r="A352" t="inlineStr">
        <is>
          <t>A 63758-2025</t>
        </is>
      </c>
      <c r="B352" s="1" t="n">
        <v>46018.46483796297</v>
      </c>
      <c r="C352" s="1" t="n">
        <v>46133</v>
      </c>
      <c r="D352" t="inlineStr">
        <is>
          <t>KALMAR LÄN</t>
        </is>
      </c>
      <c r="E352" t="inlineStr">
        <is>
          <t>VIMMERBY</t>
        </is>
      </c>
      <c r="G352" t="n">
        <v>0.6</v>
      </c>
      <c r="H352" t="n">
        <v>0</v>
      </c>
      <c r="I352" t="n">
        <v>0</v>
      </c>
      <c r="J352" t="n">
        <v>0</v>
      </c>
      <c r="K352" t="n">
        <v>0</v>
      </c>
      <c r="L352" t="n">
        <v>0</v>
      </c>
      <c r="M352" t="n">
        <v>0</v>
      </c>
      <c r="N352" t="n">
        <v>0</v>
      </c>
      <c r="O352" t="n">
        <v>0</v>
      </c>
      <c r="P352" t="n">
        <v>0</v>
      </c>
      <c r="Q352" t="n">
        <v>0</v>
      </c>
      <c r="R352" s="2" t="inlineStr"/>
    </row>
    <row r="353" ht="15" customHeight="1">
      <c r="A353" t="inlineStr">
        <is>
          <t>A 32109-2025</t>
        </is>
      </c>
      <c r="B353" s="1" t="n">
        <v>45835.48267361111</v>
      </c>
      <c r="C353" s="1" t="n">
        <v>46133</v>
      </c>
      <c r="D353" t="inlineStr">
        <is>
          <t>KALMAR LÄN</t>
        </is>
      </c>
      <c r="E353" t="inlineStr">
        <is>
          <t>VIMMERBY</t>
        </is>
      </c>
      <c r="G353" t="n">
        <v>2.5</v>
      </c>
      <c r="H353" t="n">
        <v>0</v>
      </c>
      <c r="I353" t="n">
        <v>0</v>
      </c>
      <c r="J353" t="n">
        <v>0</v>
      </c>
      <c r="K353" t="n">
        <v>0</v>
      </c>
      <c r="L353" t="n">
        <v>0</v>
      </c>
      <c r="M353" t="n">
        <v>0</v>
      </c>
      <c r="N353" t="n">
        <v>0</v>
      </c>
      <c r="O353" t="n">
        <v>0</v>
      </c>
      <c r="P353" t="n">
        <v>0</v>
      </c>
      <c r="Q353" t="n">
        <v>0</v>
      </c>
      <c r="R353" s="2" t="inlineStr"/>
    </row>
    <row r="354" ht="15" customHeight="1">
      <c r="A354" t="inlineStr">
        <is>
          <t>A 32113-2025</t>
        </is>
      </c>
      <c r="B354" s="1" t="n">
        <v>45835.48445601852</v>
      </c>
      <c r="C354" s="1" t="n">
        <v>46133</v>
      </c>
      <c r="D354" t="inlineStr">
        <is>
          <t>KALMAR LÄN</t>
        </is>
      </c>
      <c r="E354" t="inlineStr">
        <is>
          <t>VIMMERBY</t>
        </is>
      </c>
      <c r="G354" t="n">
        <v>3.5</v>
      </c>
      <c r="H354" t="n">
        <v>0</v>
      </c>
      <c r="I354" t="n">
        <v>0</v>
      </c>
      <c r="J354" t="n">
        <v>0</v>
      </c>
      <c r="K354" t="n">
        <v>0</v>
      </c>
      <c r="L354" t="n">
        <v>0</v>
      </c>
      <c r="M354" t="n">
        <v>0</v>
      </c>
      <c r="N354" t="n">
        <v>0</v>
      </c>
      <c r="O354" t="n">
        <v>0</v>
      </c>
      <c r="P354" t="n">
        <v>0</v>
      </c>
      <c r="Q354" t="n">
        <v>0</v>
      </c>
      <c r="R354" s="2" t="inlineStr"/>
    </row>
    <row r="355" ht="15" customHeight="1">
      <c r="A355" t="inlineStr">
        <is>
          <t>A 32116-2025</t>
        </is>
      </c>
      <c r="B355" s="1" t="n">
        <v>45835.48862268519</v>
      </c>
      <c r="C355" s="1" t="n">
        <v>46133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3269-2024</t>
        </is>
      </c>
      <c r="B356" s="1" t="n">
        <v>45317.40372685185</v>
      </c>
      <c r="C356" s="1" t="n">
        <v>46133</v>
      </c>
      <c r="D356" t="inlineStr">
        <is>
          <t>KALMAR LÄN</t>
        </is>
      </c>
      <c r="E356" t="inlineStr">
        <is>
          <t>VIMMERBY</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63845-2025</t>
        </is>
      </c>
      <c r="B357" s="1" t="n">
        <v>46020.43715277778</v>
      </c>
      <c r="C357" s="1" t="n">
        <v>46133</v>
      </c>
      <c r="D357" t="inlineStr">
        <is>
          <t>KALMAR LÄN</t>
        </is>
      </c>
      <c r="E357" t="inlineStr">
        <is>
          <t>VIMMERBY</t>
        </is>
      </c>
      <c r="G357" t="n">
        <v>3.8</v>
      </c>
      <c r="H357" t="n">
        <v>0</v>
      </c>
      <c r="I357" t="n">
        <v>0</v>
      </c>
      <c r="J357" t="n">
        <v>0</v>
      </c>
      <c r="K357" t="n">
        <v>0</v>
      </c>
      <c r="L357" t="n">
        <v>0</v>
      </c>
      <c r="M357" t="n">
        <v>0</v>
      </c>
      <c r="N357" t="n">
        <v>0</v>
      </c>
      <c r="O357" t="n">
        <v>0</v>
      </c>
      <c r="P357" t="n">
        <v>0</v>
      </c>
      <c r="Q357" t="n">
        <v>0</v>
      </c>
      <c r="R357" s="2" t="inlineStr"/>
    </row>
    <row r="358" ht="15" customHeight="1">
      <c r="A358" t="inlineStr">
        <is>
          <t>A 63848-2025</t>
        </is>
      </c>
      <c r="B358" s="1" t="n">
        <v>46020.44902777778</v>
      </c>
      <c r="C358" s="1" t="n">
        <v>46133</v>
      </c>
      <c r="D358" t="inlineStr">
        <is>
          <t>KALMAR LÄN</t>
        </is>
      </c>
      <c r="E358" t="inlineStr">
        <is>
          <t>VIMMERBY</t>
        </is>
      </c>
      <c r="G358" t="n">
        <v>3.4</v>
      </c>
      <c r="H358" t="n">
        <v>0</v>
      </c>
      <c r="I358" t="n">
        <v>0</v>
      </c>
      <c r="J358" t="n">
        <v>0</v>
      </c>
      <c r="K358" t="n">
        <v>0</v>
      </c>
      <c r="L358" t="n">
        <v>0</v>
      </c>
      <c r="M358" t="n">
        <v>0</v>
      </c>
      <c r="N358" t="n">
        <v>0</v>
      </c>
      <c r="O358" t="n">
        <v>0</v>
      </c>
      <c r="P358" t="n">
        <v>0</v>
      </c>
      <c r="Q358" t="n">
        <v>0</v>
      </c>
      <c r="R358" s="2" t="inlineStr"/>
    </row>
    <row r="359" ht="15" customHeight="1">
      <c r="A359" t="inlineStr">
        <is>
          <t>A 48120-2022</t>
        </is>
      </c>
      <c r="B359" s="1" t="n">
        <v>44857.65989583333</v>
      </c>
      <c r="C359" s="1" t="n">
        <v>46133</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6368-2023</t>
        </is>
      </c>
      <c r="B360" s="1" t="n">
        <v>44965</v>
      </c>
      <c r="C360" s="1" t="n">
        <v>46133</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31870-2025</t>
        </is>
      </c>
      <c r="B361" s="1" t="n">
        <v>45834.64667824074</v>
      </c>
      <c r="C361" s="1" t="n">
        <v>46133</v>
      </c>
      <c r="D361" t="inlineStr">
        <is>
          <t>KALMAR LÄN</t>
        </is>
      </c>
      <c r="E361" t="inlineStr">
        <is>
          <t>VIMMERBY</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9416-2024</t>
        </is>
      </c>
      <c r="B362" s="1" t="n">
        <v>45359.44837962963</v>
      </c>
      <c r="C362" s="1" t="n">
        <v>46133</v>
      </c>
      <c r="D362" t="inlineStr">
        <is>
          <t>KALMAR LÄN</t>
        </is>
      </c>
      <c r="E362" t="inlineStr">
        <is>
          <t>VIMMERBY</t>
        </is>
      </c>
      <c r="G362" t="n">
        <v>3.2</v>
      </c>
      <c r="H362" t="n">
        <v>0</v>
      </c>
      <c r="I362" t="n">
        <v>0</v>
      </c>
      <c r="J362" t="n">
        <v>0</v>
      </c>
      <c r="K362" t="n">
        <v>0</v>
      </c>
      <c r="L362" t="n">
        <v>0</v>
      </c>
      <c r="M362" t="n">
        <v>0</v>
      </c>
      <c r="N362" t="n">
        <v>0</v>
      </c>
      <c r="O362" t="n">
        <v>0</v>
      </c>
      <c r="P362" t="n">
        <v>0</v>
      </c>
      <c r="Q362" t="n">
        <v>0</v>
      </c>
      <c r="R362" s="2" t="inlineStr"/>
    </row>
    <row r="363" ht="15" customHeight="1">
      <c r="A363" t="inlineStr">
        <is>
          <t>A 32065-2025</t>
        </is>
      </c>
      <c r="B363" s="1" t="n">
        <v>45835.44732638889</v>
      </c>
      <c r="C363" s="1" t="n">
        <v>46133</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31987-2025</t>
        </is>
      </c>
      <c r="B364" s="1" t="n">
        <v>45835.36229166666</v>
      </c>
      <c r="C364" s="1" t="n">
        <v>46133</v>
      </c>
      <c r="D364" t="inlineStr">
        <is>
          <t>KALMAR LÄN</t>
        </is>
      </c>
      <c r="E364" t="inlineStr">
        <is>
          <t>VIMMERBY</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45114-2025</t>
        </is>
      </c>
      <c r="B365" s="1" t="n">
        <v>45919.42387731482</v>
      </c>
      <c r="C365" s="1" t="n">
        <v>46133</v>
      </c>
      <c r="D365" t="inlineStr">
        <is>
          <t>KALMAR LÄN</t>
        </is>
      </c>
      <c r="E365" t="inlineStr">
        <is>
          <t>VIMMERBY</t>
        </is>
      </c>
      <c r="G365" t="n">
        <v>2.7</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46133</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32120-2025</t>
        </is>
      </c>
      <c r="B367" s="1" t="n">
        <v>45835.4924537037</v>
      </c>
      <c r="C367" s="1" t="n">
        <v>46133</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46133</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2797-2023</t>
        </is>
      </c>
      <c r="B369" s="1" t="n">
        <v>44944.71386574074</v>
      </c>
      <c r="C369" s="1" t="n">
        <v>46133</v>
      </c>
      <c r="D369" t="inlineStr">
        <is>
          <t>KALMAR LÄN</t>
        </is>
      </c>
      <c r="E369" t="inlineStr">
        <is>
          <t>VIMMERBY</t>
        </is>
      </c>
      <c r="G369" t="n">
        <v>3.4</v>
      </c>
      <c r="H369" t="n">
        <v>0</v>
      </c>
      <c r="I369" t="n">
        <v>0</v>
      </c>
      <c r="J369" t="n">
        <v>0</v>
      </c>
      <c r="K369" t="n">
        <v>0</v>
      </c>
      <c r="L369" t="n">
        <v>0</v>
      </c>
      <c r="M369" t="n">
        <v>0</v>
      </c>
      <c r="N369" t="n">
        <v>0</v>
      </c>
      <c r="O369" t="n">
        <v>0</v>
      </c>
      <c r="P369" t="n">
        <v>0</v>
      </c>
      <c r="Q369" t="n">
        <v>0</v>
      </c>
      <c r="R369" s="2" t="inlineStr"/>
    </row>
    <row r="370" ht="15" customHeight="1">
      <c r="A370" t="inlineStr">
        <is>
          <t>A 2799-2023</t>
        </is>
      </c>
      <c r="B370" s="1" t="n">
        <v>44944.72100694444</v>
      </c>
      <c r="C370" s="1" t="n">
        <v>46133</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25987-2024</t>
        </is>
      </c>
      <c r="B371" s="1" t="n">
        <v>45467.74417824074</v>
      </c>
      <c r="C371" s="1" t="n">
        <v>46133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63839-2025</t>
        </is>
      </c>
      <c r="B372" s="1" t="n">
        <v>46020.41998842593</v>
      </c>
      <c r="C372" s="1" t="n">
        <v>46133</v>
      </c>
      <c r="D372" t="inlineStr">
        <is>
          <t>KALMAR LÄN</t>
        </is>
      </c>
      <c r="E372" t="inlineStr">
        <is>
          <t>VIMMERBY</t>
        </is>
      </c>
      <c r="G372" t="n">
        <v>2.9</v>
      </c>
      <c r="H372" t="n">
        <v>0</v>
      </c>
      <c r="I372" t="n">
        <v>0</v>
      </c>
      <c r="J372" t="n">
        <v>0</v>
      </c>
      <c r="K372" t="n">
        <v>0</v>
      </c>
      <c r="L372" t="n">
        <v>0</v>
      </c>
      <c r="M372" t="n">
        <v>0</v>
      </c>
      <c r="N372" t="n">
        <v>0</v>
      </c>
      <c r="O372" t="n">
        <v>0</v>
      </c>
      <c r="P372" t="n">
        <v>0</v>
      </c>
      <c r="Q372" t="n">
        <v>0</v>
      </c>
      <c r="R372" s="2" t="inlineStr"/>
    </row>
    <row r="373" ht="15" customHeight="1">
      <c r="A373" t="inlineStr">
        <is>
          <t>A 22194-2024</t>
        </is>
      </c>
      <c r="B373" s="1" t="n">
        <v>45446.36482638889</v>
      </c>
      <c r="C373" s="1" t="n">
        <v>46133</v>
      </c>
      <c r="D373" t="inlineStr">
        <is>
          <t>KALMAR LÄN</t>
        </is>
      </c>
      <c r="E373" t="inlineStr">
        <is>
          <t>VIMMERBY</t>
        </is>
      </c>
      <c r="F373" t="inlineStr">
        <is>
          <t>Sveaskog</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19865-2021</t>
        </is>
      </c>
      <c r="B374" s="1" t="n">
        <v>44312</v>
      </c>
      <c r="C374" s="1" t="n">
        <v>46133</v>
      </c>
      <c r="D374" t="inlineStr">
        <is>
          <t>KALMAR LÄN</t>
        </is>
      </c>
      <c r="E374" t="inlineStr">
        <is>
          <t>VIMMERBY</t>
        </is>
      </c>
      <c r="G374" t="n">
        <v>8.6</v>
      </c>
      <c r="H374" t="n">
        <v>0</v>
      </c>
      <c r="I374" t="n">
        <v>0</v>
      </c>
      <c r="J374" t="n">
        <v>0</v>
      </c>
      <c r="K374" t="n">
        <v>0</v>
      </c>
      <c r="L374" t="n">
        <v>0</v>
      </c>
      <c r="M374" t="n">
        <v>0</v>
      </c>
      <c r="N374" t="n">
        <v>0</v>
      </c>
      <c r="O374" t="n">
        <v>0</v>
      </c>
      <c r="P374" t="n">
        <v>0</v>
      </c>
      <c r="Q374" t="n">
        <v>0</v>
      </c>
      <c r="R374" s="2" t="inlineStr"/>
    </row>
    <row r="375" ht="15" customHeight="1">
      <c r="A375" t="inlineStr">
        <is>
          <t>A 45319-2025</t>
        </is>
      </c>
      <c r="B375" s="1" t="n">
        <v>45921.95611111111</v>
      </c>
      <c r="C375" s="1" t="n">
        <v>46133</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12630-2023</t>
        </is>
      </c>
      <c r="B376" s="1" t="n">
        <v>45000.47998842593</v>
      </c>
      <c r="C376" s="1" t="n">
        <v>46133</v>
      </c>
      <c r="D376" t="inlineStr">
        <is>
          <t>KALMAR LÄN</t>
        </is>
      </c>
      <c r="E376" t="inlineStr">
        <is>
          <t>VIMMERBY</t>
        </is>
      </c>
      <c r="G376" t="n">
        <v>2.1</v>
      </c>
      <c r="H376" t="n">
        <v>0</v>
      </c>
      <c r="I376" t="n">
        <v>0</v>
      </c>
      <c r="J376" t="n">
        <v>0</v>
      </c>
      <c r="K376" t="n">
        <v>0</v>
      </c>
      <c r="L376" t="n">
        <v>0</v>
      </c>
      <c r="M376" t="n">
        <v>0</v>
      </c>
      <c r="N376" t="n">
        <v>0</v>
      </c>
      <c r="O376" t="n">
        <v>0</v>
      </c>
      <c r="P376" t="n">
        <v>0</v>
      </c>
      <c r="Q376" t="n">
        <v>0</v>
      </c>
      <c r="R376" s="2" t="inlineStr"/>
    </row>
    <row r="377" ht="15" customHeight="1">
      <c r="A377" t="inlineStr">
        <is>
          <t>A 21109-2024</t>
        </is>
      </c>
      <c r="B377" s="1" t="n">
        <v>45440.28329861111</v>
      </c>
      <c r="C377" s="1" t="n">
        <v>46133</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45320-2025</t>
        </is>
      </c>
      <c r="B378" s="1" t="n">
        <v>45921.96395833333</v>
      </c>
      <c r="C378" s="1" t="n">
        <v>46133</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30634-2024</t>
        </is>
      </c>
      <c r="B379" s="1" t="n">
        <v>45495</v>
      </c>
      <c r="C379" s="1" t="n">
        <v>46133</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40260-2024</t>
        </is>
      </c>
      <c r="B380" s="1" t="n">
        <v>45554.63225694445</v>
      </c>
      <c r="C380" s="1" t="n">
        <v>46133</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32380-2025</t>
        </is>
      </c>
      <c r="B381" s="1" t="n">
        <v>45837.77701388889</v>
      </c>
      <c r="C381" s="1" t="n">
        <v>46133</v>
      </c>
      <c r="D381" t="inlineStr">
        <is>
          <t>KALMAR LÄN</t>
        </is>
      </c>
      <c r="E381" t="inlineStr">
        <is>
          <t>VIMMERBY</t>
        </is>
      </c>
      <c r="G381" t="n">
        <v>3.1</v>
      </c>
      <c r="H381" t="n">
        <v>0</v>
      </c>
      <c r="I381" t="n">
        <v>0</v>
      </c>
      <c r="J381" t="n">
        <v>0</v>
      </c>
      <c r="K381" t="n">
        <v>0</v>
      </c>
      <c r="L381" t="n">
        <v>0</v>
      </c>
      <c r="M381" t="n">
        <v>0</v>
      </c>
      <c r="N381" t="n">
        <v>0</v>
      </c>
      <c r="O381" t="n">
        <v>0</v>
      </c>
      <c r="P381" t="n">
        <v>0</v>
      </c>
      <c r="Q381" t="n">
        <v>0</v>
      </c>
      <c r="R381" s="2" t="inlineStr"/>
    </row>
    <row r="382" ht="15" customHeight="1">
      <c r="A382" t="inlineStr">
        <is>
          <t>A 59943-2023</t>
        </is>
      </c>
      <c r="B382" s="1" t="n">
        <v>45257.67958333333</v>
      </c>
      <c r="C382" s="1" t="n">
        <v>46133</v>
      </c>
      <c r="D382" t="inlineStr">
        <is>
          <t>KALMAR LÄN</t>
        </is>
      </c>
      <c r="E382" t="inlineStr">
        <is>
          <t>VIMMERBY</t>
        </is>
      </c>
      <c r="G382" t="n">
        <v>6.4</v>
      </c>
      <c r="H382" t="n">
        <v>0</v>
      </c>
      <c r="I382" t="n">
        <v>0</v>
      </c>
      <c r="J382" t="n">
        <v>0</v>
      </c>
      <c r="K382" t="n">
        <v>0</v>
      </c>
      <c r="L382" t="n">
        <v>0</v>
      </c>
      <c r="M382" t="n">
        <v>0</v>
      </c>
      <c r="N382" t="n">
        <v>0</v>
      </c>
      <c r="O382" t="n">
        <v>0</v>
      </c>
      <c r="P382" t="n">
        <v>0</v>
      </c>
      <c r="Q382" t="n">
        <v>0</v>
      </c>
      <c r="R382" s="2" t="inlineStr"/>
    </row>
    <row r="383" ht="15" customHeight="1">
      <c r="A383" t="inlineStr">
        <is>
          <t>A 33186-2025</t>
        </is>
      </c>
      <c r="B383" s="1" t="n">
        <v>45840.59474537037</v>
      </c>
      <c r="C383" s="1" t="n">
        <v>46133</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33695-2025</t>
        </is>
      </c>
      <c r="B384" s="1" t="n">
        <v>45841.70569444444</v>
      </c>
      <c r="C384" s="1" t="n">
        <v>46133</v>
      </c>
      <c r="D384" t="inlineStr">
        <is>
          <t>KALMAR LÄN</t>
        </is>
      </c>
      <c r="E384" t="inlineStr">
        <is>
          <t>VIMMERBY</t>
        </is>
      </c>
      <c r="G384" t="n">
        <v>2.7</v>
      </c>
      <c r="H384" t="n">
        <v>0</v>
      </c>
      <c r="I384" t="n">
        <v>0</v>
      </c>
      <c r="J384" t="n">
        <v>0</v>
      </c>
      <c r="K384" t="n">
        <v>0</v>
      </c>
      <c r="L384" t="n">
        <v>0</v>
      </c>
      <c r="M384" t="n">
        <v>0</v>
      </c>
      <c r="N384" t="n">
        <v>0</v>
      </c>
      <c r="O384" t="n">
        <v>0</v>
      </c>
      <c r="P384" t="n">
        <v>0</v>
      </c>
      <c r="Q384" t="n">
        <v>0</v>
      </c>
      <c r="R384" s="2" t="inlineStr"/>
    </row>
    <row r="385" ht="15" customHeight="1">
      <c r="A385" t="inlineStr">
        <is>
          <t>A 33698-2025</t>
        </is>
      </c>
      <c r="B385" s="1" t="n">
        <v>45841.70868055556</v>
      </c>
      <c r="C385" s="1" t="n">
        <v>46133</v>
      </c>
      <c r="D385" t="inlineStr">
        <is>
          <t>KALMAR LÄN</t>
        </is>
      </c>
      <c r="E385" t="inlineStr">
        <is>
          <t>VIMMERBY</t>
        </is>
      </c>
      <c r="G385" t="n">
        <v>3.7</v>
      </c>
      <c r="H385" t="n">
        <v>0</v>
      </c>
      <c r="I385" t="n">
        <v>0</v>
      </c>
      <c r="J385" t="n">
        <v>0</v>
      </c>
      <c r="K385" t="n">
        <v>0</v>
      </c>
      <c r="L385" t="n">
        <v>0</v>
      </c>
      <c r="M385" t="n">
        <v>0</v>
      </c>
      <c r="N385" t="n">
        <v>0</v>
      </c>
      <c r="O385" t="n">
        <v>0</v>
      </c>
      <c r="P385" t="n">
        <v>0</v>
      </c>
      <c r="Q385" t="n">
        <v>0</v>
      </c>
      <c r="R385" s="2" t="inlineStr"/>
    </row>
    <row r="386" ht="15" customHeight="1">
      <c r="A386" t="inlineStr">
        <is>
          <t>A 5527-2022</t>
        </is>
      </c>
      <c r="B386" s="1" t="n">
        <v>44595.583125</v>
      </c>
      <c r="C386" s="1" t="n">
        <v>46133</v>
      </c>
      <c r="D386" t="inlineStr">
        <is>
          <t>KALMAR LÄN</t>
        </is>
      </c>
      <c r="E386" t="inlineStr">
        <is>
          <t>VIMMERBY</t>
        </is>
      </c>
      <c r="G386" t="n">
        <v>3.6</v>
      </c>
      <c r="H386" t="n">
        <v>0</v>
      </c>
      <c r="I386" t="n">
        <v>0</v>
      </c>
      <c r="J386" t="n">
        <v>0</v>
      </c>
      <c r="K386" t="n">
        <v>0</v>
      </c>
      <c r="L386" t="n">
        <v>0</v>
      </c>
      <c r="M386" t="n">
        <v>0</v>
      </c>
      <c r="N386" t="n">
        <v>0</v>
      </c>
      <c r="O386" t="n">
        <v>0</v>
      </c>
      <c r="P386" t="n">
        <v>0</v>
      </c>
      <c r="Q386" t="n">
        <v>0</v>
      </c>
      <c r="R386" s="2" t="inlineStr"/>
    </row>
    <row r="387" ht="15" customHeight="1">
      <c r="A387" t="inlineStr">
        <is>
          <t>A 12325-2023</t>
        </is>
      </c>
      <c r="B387" s="1" t="n">
        <v>44999.35858796296</v>
      </c>
      <c r="C387" s="1" t="n">
        <v>46133</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30977-2025</t>
        </is>
      </c>
      <c r="B388" s="1" t="n">
        <v>45832.46649305556</v>
      </c>
      <c r="C388" s="1" t="n">
        <v>46133</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46118-2025</t>
        </is>
      </c>
      <c r="B389" s="1" t="n">
        <v>45924.57697916667</v>
      </c>
      <c r="C389" s="1" t="n">
        <v>46133</v>
      </c>
      <c r="D389" t="inlineStr">
        <is>
          <t>KALMAR LÄN</t>
        </is>
      </c>
      <c r="E389" t="inlineStr">
        <is>
          <t>VIMMERBY</t>
        </is>
      </c>
      <c r="G389" t="n">
        <v>2.9</v>
      </c>
      <c r="H389" t="n">
        <v>0</v>
      </c>
      <c r="I389" t="n">
        <v>0</v>
      </c>
      <c r="J389" t="n">
        <v>0</v>
      </c>
      <c r="K389" t="n">
        <v>0</v>
      </c>
      <c r="L389" t="n">
        <v>0</v>
      </c>
      <c r="M389" t="n">
        <v>0</v>
      </c>
      <c r="N389" t="n">
        <v>0</v>
      </c>
      <c r="O389" t="n">
        <v>0</v>
      </c>
      <c r="P389" t="n">
        <v>0</v>
      </c>
      <c r="Q389" t="n">
        <v>0</v>
      </c>
      <c r="R389" s="2" t="inlineStr"/>
    </row>
    <row r="390" ht="15" customHeight="1">
      <c r="A390" t="inlineStr">
        <is>
          <t>A 1016-2024</t>
        </is>
      </c>
      <c r="B390" s="1" t="n">
        <v>45301</v>
      </c>
      <c r="C390" s="1" t="n">
        <v>46133</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33696-2025</t>
        </is>
      </c>
      <c r="B391" s="1" t="n">
        <v>45841.7072337963</v>
      </c>
      <c r="C391" s="1" t="n">
        <v>46133</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46365-2025</t>
        </is>
      </c>
      <c r="B392" s="1" t="n">
        <v>45925.50075231482</v>
      </c>
      <c r="C392" s="1" t="n">
        <v>46133</v>
      </c>
      <c r="D392" t="inlineStr">
        <is>
          <t>KALMAR LÄN</t>
        </is>
      </c>
      <c r="E392" t="inlineStr">
        <is>
          <t>VIMMERBY</t>
        </is>
      </c>
      <c r="G392" t="n">
        <v>5.6</v>
      </c>
      <c r="H392" t="n">
        <v>0</v>
      </c>
      <c r="I392" t="n">
        <v>0</v>
      </c>
      <c r="J392" t="n">
        <v>0</v>
      </c>
      <c r="K392" t="n">
        <v>0</v>
      </c>
      <c r="L392" t="n">
        <v>0</v>
      </c>
      <c r="M392" t="n">
        <v>0</v>
      </c>
      <c r="N392" t="n">
        <v>0</v>
      </c>
      <c r="O392" t="n">
        <v>0</v>
      </c>
      <c r="P392" t="n">
        <v>0</v>
      </c>
      <c r="Q392" t="n">
        <v>0</v>
      </c>
      <c r="R392" s="2" t="inlineStr"/>
    </row>
    <row r="393" ht="15" customHeight="1">
      <c r="A393" t="inlineStr">
        <is>
          <t>A 26956-2025</t>
        </is>
      </c>
      <c r="B393" s="1" t="n">
        <v>45811.45460648148</v>
      </c>
      <c r="C393" s="1" t="n">
        <v>46133</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33681-2022</t>
        </is>
      </c>
      <c r="B394" s="1" t="n">
        <v>44789</v>
      </c>
      <c r="C394" s="1" t="n">
        <v>46133</v>
      </c>
      <c r="D394" t="inlineStr">
        <is>
          <t>KALMAR LÄN</t>
        </is>
      </c>
      <c r="E394" t="inlineStr">
        <is>
          <t>VIMMERBY</t>
        </is>
      </c>
      <c r="G394" t="n">
        <v>3.2</v>
      </c>
      <c r="H394" t="n">
        <v>0</v>
      </c>
      <c r="I394" t="n">
        <v>0</v>
      </c>
      <c r="J394" t="n">
        <v>0</v>
      </c>
      <c r="K394" t="n">
        <v>0</v>
      </c>
      <c r="L394" t="n">
        <v>0</v>
      </c>
      <c r="M394" t="n">
        <v>0</v>
      </c>
      <c r="N394" t="n">
        <v>0</v>
      </c>
      <c r="O394" t="n">
        <v>0</v>
      </c>
      <c r="P394" t="n">
        <v>0</v>
      </c>
      <c r="Q394" t="n">
        <v>0</v>
      </c>
      <c r="R394" s="2" t="inlineStr"/>
    </row>
    <row r="395" ht="15" customHeight="1">
      <c r="A395" t="inlineStr">
        <is>
          <t>A 46361-2025</t>
        </is>
      </c>
      <c r="B395" s="1" t="n">
        <v>45925.49670138889</v>
      </c>
      <c r="C395" s="1" t="n">
        <v>46133</v>
      </c>
      <c r="D395" t="inlineStr">
        <is>
          <t>KALMAR LÄN</t>
        </is>
      </c>
      <c r="E395" t="inlineStr">
        <is>
          <t>VIMMERBY</t>
        </is>
      </c>
      <c r="G395" t="n">
        <v>4.2</v>
      </c>
      <c r="H395" t="n">
        <v>0</v>
      </c>
      <c r="I395" t="n">
        <v>0</v>
      </c>
      <c r="J395" t="n">
        <v>0</v>
      </c>
      <c r="K395" t="n">
        <v>0</v>
      </c>
      <c r="L395" t="n">
        <v>0</v>
      </c>
      <c r="M395" t="n">
        <v>0</v>
      </c>
      <c r="N395" t="n">
        <v>0</v>
      </c>
      <c r="O395" t="n">
        <v>0</v>
      </c>
      <c r="P395" t="n">
        <v>0</v>
      </c>
      <c r="Q395" t="n">
        <v>0</v>
      </c>
      <c r="R395" s="2" t="inlineStr"/>
    </row>
    <row r="396" ht="15" customHeight="1">
      <c r="A396" t="inlineStr">
        <is>
          <t>A 34071-2025</t>
        </is>
      </c>
      <c r="B396" s="1" t="n">
        <v>45845.43803240741</v>
      </c>
      <c r="C396" s="1" t="n">
        <v>46133</v>
      </c>
      <c r="D396" t="inlineStr">
        <is>
          <t>KALMAR LÄN</t>
        </is>
      </c>
      <c r="E396" t="inlineStr">
        <is>
          <t>VIMMERBY</t>
        </is>
      </c>
      <c r="G396" t="n">
        <v>6.8</v>
      </c>
      <c r="H396" t="n">
        <v>0</v>
      </c>
      <c r="I396" t="n">
        <v>0</v>
      </c>
      <c r="J396" t="n">
        <v>0</v>
      </c>
      <c r="K396" t="n">
        <v>0</v>
      </c>
      <c r="L396" t="n">
        <v>0</v>
      </c>
      <c r="M396" t="n">
        <v>0</v>
      </c>
      <c r="N396" t="n">
        <v>0</v>
      </c>
      <c r="O396" t="n">
        <v>0</v>
      </c>
      <c r="P396" t="n">
        <v>0</v>
      </c>
      <c r="Q396" t="n">
        <v>0</v>
      </c>
      <c r="R396" s="2" t="inlineStr"/>
    </row>
    <row r="397" ht="15" customHeight="1">
      <c r="A397" t="inlineStr">
        <is>
          <t>A 34106-2025</t>
        </is>
      </c>
      <c r="B397" s="1" t="n">
        <v>45845.49414351852</v>
      </c>
      <c r="C397" s="1" t="n">
        <v>46133</v>
      </c>
      <c r="D397" t="inlineStr">
        <is>
          <t>KALMAR LÄN</t>
        </is>
      </c>
      <c r="E397" t="inlineStr">
        <is>
          <t>VIMMERBY</t>
        </is>
      </c>
      <c r="G397" t="n">
        <v>6</v>
      </c>
      <c r="H397" t="n">
        <v>0</v>
      </c>
      <c r="I397" t="n">
        <v>0</v>
      </c>
      <c r="J397" t="n">
        <v>0</v>
      </c>
      <c r="K397" t="n">
        <v>0</v>
      </c>
      <c r="L397" t="n">
        <v>0</v>
      </c>
      <c r="M397" t="n">
        <v>0</v>
      </c>
      <c r="N397" t="n">
        <v>0</v>
      </c>
      <c r="O397" t="n">
        <v>0</v>
      </c>
      <c r="P397" t="n">
        <v>0</v>
      </c>
      <c r="Q397" t="n">
        <v>0</v>
      </c>
      <c r="R397" s="2" t="inlineStr"/>
    </row>
    <row r="398" ht="15" customHeight="1">
      <c r="A398" t="inlineStr">
        <is>
          <t>A 28702-2025</t>
        </is>
      </c>
      <c r="B398" s="1" t="n">
        <v>45820.03976851852</v>
      </c>
      <c r="C398" s="1" t="n">
        <v>46133</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5074-2023</t>
        </is>
      </c>
      <c r="B399" s="1" t="n">
        <v>44958.61047453704</v>
      </c>
      <c r="C399" s="1" t="n">
        <v>46133</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51187-2023</t>
        </is>
      </c>
      <c r="B400" s="1" t="n">
        <v>45219.40528935185</v>
      </c>
      <c r="C400" s="1" t="n">
        <v>46133</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15715-2022</t>
        </is>
      </c>
      <c r="B401" s="1" t="n">
        <v>44663</v>
      </c>
      <c r="C401" s="1" t="n">
        <v>46133</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43093-2024</t>
        </is>
      </c>
      <c r="B402" s="1" t="n">
        <v>45567</v>
      </c>
      <c r="C402" s="1" t="n">
        <v>46133</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56022-2024</t>
        </is>
      </c>
      <c r="B403" s="1" t="n">
        <v>45623.95947916667</v>
      </c>
      <c r="C403" s="1" t="n">
        <v>46133</v>
      </c>
      <c r="D403" t="inlineStr">
        <is>
          <t>KALMAR LÄN</t>
        </is>
      </c>
      <c r="E403" t="inlineStr">
        <is>
          <t>VIMMERBY</t>
        </is>
      </c>
      <c r="G403" t="n">
        <v>0.3</v>
      </c>
      <c r="H403" t="n">
        <v>0</v>
      </c>
      <c r="I403" t="n">
        <v>0</v>
      </c>
      <c r="J403" t="n">
        <v>0</v>
      </c>
      <c r="K403" t="n">
        <v>0</v>
      </c>
      <c r="L403" t="n">
        <v>0</v>
      </c>
      <c r="M403" t="n">
        <v>0</v>
      </c>
      <c r="N403" t="n">
        <v>0</v>
      </c>
      <c r="O403" t="n">
        <v>0</v>
      </c>
      <c r="P403" t="n">
        <v>0</v>
      </c>
      <c r="Q403" t="n">
        <v>0</v>
      </c>
      <c r="R403" s="2" t="inlineStr"/>
    </row>
    <row r="404" ht="15" customHeight="1">
      <c r="A404" t="inlineStr">
        <is>
          <t>A 46887-2025</t>
        </is>
      </c>
      <c r="B404" s="1" t="n">
        <v>45929.3672337963</v>
      </c>
      <c r="C404" s="1" t="n">
        <v>46133</v>
      </c>
      <c r="D404" t="inlineStr">
        <is>
          <t>KALMAR LÄN</t>
        </is>
      </c>
      <c r="E404" t="inlineStr">
        <is>
          <t>VIMMERBY</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18330-2023</t>
        </is>
      </c>
      <c r="B405" s="1" t="n">
        <v>45041</v>
      </c>
      <c r="C405" s="1" t="n">
        <v>46133</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579-2026</t>
        </is>
      </c>
      <c r="B406" s="1" t="n">
        <v>46029.47912037037</v>
      </c>
      <c r="C406" s="1" t="n">
        <v>46133</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45856-2025</t>
        </is>
      </c>
      <c r="B407" s="1" t="n">
        <v>45923</v>
      </c>
      <c r="C407" s="1" t="n">
        <v>46133</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409-2026</t>
        </is>
      </c>
      <c r="B408" s="1" t="n">
        <v>46028.69432870371</v>
      </c>
      <c r="C408" s="1" t="n">
        <v>46133</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406-2026</t>
        </is>
      </c>
      <c r="B409" s="1" t="n">
        <v>46028.68663194445</v>
      </c>
      <c r="C409" s="1" t="n">
        <v>46133</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34628-2025</t>
        </is>
      </c>
      <c r="B410" s="1" t="n">
        <v>45847.91280092593</v>
      </c>
      <c r="C410" s="1" t="n">
        <v>46133</v>
      </c>
      <c r="D410" t="inlineStr">
        <is>
          <t>KALMAR LÄN</t>
        </is>
      </c>
      <c r="E410" t="inlineStr">
        <is>
          <t>VIMMERBY</t>
        </is>
      </c>
      <c r="G410" t="n">
        <v>4.2</v>
      </c>
      <c r="H410" t="n">
        <v>0</v>
      </c>
      <c r="I410" t="n">
        <v>0</v>
      </c>
      <c r="J410" t="n">
        <v>0</v>
      </c>
      <c r="K410" t="n">
        <v>0</v>
      </c>
      <c r="L410" t="n">
        <v>0</v>
      </c>
      <c r="M410" t="n">
        <v>0</v>
      </c>
      <c r="N410" t="n">
        <v>0</v>
      </c>
      <c r="O410" t="n">
        <v>0</v>
      </c>
      <c r="P410" t="n">
        <v>0</v>
      </c>
      <c r="Q410" t="n">
        <v>0</v>
      </c>
      <c r="R410" s="2" t="inlineStr"/>
    </row>
    <row r="411" ht="15" customHeight="1">
      <c r="A411" t="inlineStr">
        <is>
          <t>A 842-2026</t>
        </is>
      </c>
      <c r="B411" s="1" t="n">
        <v>46030.380625</v>
      </c>
      <c r="C411" s="1" t="n">
        <v>46133</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1069-2026</t>
        </is>
      </c>
      <c r="B412" s="1" t="n">
        <v>46030</v>
      </c>
      <c r="C412" s="1" t="n">
        <v>46133</v>
      </c>
      <c r="D412" t="inlineStr">
        <is>
          <t>KALMAR LÄN</t>
        </is>
      </c>
      <c r="E412" t="inlineStr">
        <is>
          <t>VIMMERBY</t>
        </is>
      </c>
      <c r="G412" t="n">
        <v>3.3</v>
      </c>
      <c r="H412" t="n">
        <v>0</v>
      </c>
      <c r="I412" t="n">
        <v>0</v>
      </c>
      <c r="J412" t="n">
        <v>0</v>
      </c>
      <c r="K412" t="n">
        <v>0</v>
      </c>
      <c r="L412" t="n">
        <v>0</v>
      </c>
      <c r="M412" t="n">
        <v>0</v>
      </c>
      <c r="N412" t="n">
        <v>0</v>
      </c>
      <c r="O412" t="n">
        <v>0</v>
      </c>
      <c r="P412" t="n">
        <v>0</v>
      </c>
      <c r="Q412" t="n">
        <v>0</v>
      </c>
      <c r="R412" s="2" t="inlineStr"/>
    </row>
    <row r="413" ht="15" customHeight="1">
      <c r="A413" t="inlineStr">
        <is>
          <t>A 20126-2024</t>
        </is>
      </c>
      <c r="B413" s="1" t="n">
        <v>45434.55471064815</v>
      </c>
      <c r="C413" s="1" t="n">
        <v>46133</v>
      </c>
      <c r="D413" t="inlineStr">
        <is>
          <t>KALMAR LÄN</t>
        </is>
      </c>
      <c r="E413" t="inlineStr">
        <is>
          <t>VIMMERBY</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20136-2024</t>
        </is>
      </c>
      <c r="B414" s="1" t="n">
        <v>45434.56291666667</v>
      </c>
      <c r="C414" s="1" t="n">
        <v>46133</v>
      </c>
      <c r="D414" t="inlineStr">
        <is>
          <t>KALMAR LÄN</t>
        </is>
      </c>
      <c r="E414" t="inlineStr">
        <is>
          <t>VIMMERBY</t>
        </is>
      </c>
      <c r="F414" t="inlineStr">
        <is>
          <t>Sveaskog</t>
        </is>
      </c>
      <c r="G414" t="n">
        <v>8.4</v>
      </c>
      <c r="H414" t="n">
        <v>0</v>
      </c>
      <c r="I414" t="n">
        <v>0</v>
      </c>
      <c r="J414" t="n">
        <v>0</v>
      </c>
      <c r="K414" t="n">
        <v>0</v>
      </c>
      <c r="L414" t="n">
        <v>0</v>
      </c>
      <c r="M414" t="n">
        <v>0</v>
      </c>
      <c r="N414" t="n">
        <v>0</v>
      </c>
      <c r="O414" t="n">
        <v>0</v>
      </c>
      <c r="P414" t="n">
        <v>0</v>
      </c>
      <c r="Q414" t="n">
        <v>0</v>
      </c>
      <c r="R414" s="2" t="inlineStr"/>
    </row>
    <row r="415" ht="15" customHeight="1">
      <c r="A415" t="inlineStr">
        <is>
          <t>A 45854-2025</t>
        </is>
      </c>
      <c r="B415" s="1" t="n">
        <v>45923</v>
      </c>
      <c r="C415" s="1" t="n">
        <v>46133</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45855-2025</t>
        </is>
      </c>
      <c r="B416" s="1" t="n">
        <v>45923</v>
      </c>
      <c r="C416" s="1" t="n">
        <v>46133</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46921-2023</t>
        </is>
      </c>
      <c r="B417" s="1" t="n">
        <v>45201.39996527778</v>
      </c>
      <c r="C417" s="1" t="n">
        <v>46133</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1734-2026</t>
        </is>
      </c>
      <c r="B418" s="1" t="n">
        <v>46034</v>
      </c>
      <c r="C418" s="1" t="n">
        <v>46133</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1743-2026</t>
        </is>
      </c>
      <c r="B419" s="1" t="n">
        <v>46034</v>
      </c>
      <c r="C419" s="1" t="n">
        <v>46133</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1748-2026</t>
        </is>
      </c>
      <c r="B420" s="1" t="n">
        <v>46034.65589120371</v>
      </c>
      <c r="C420" s="1" t="n">
        <v>46133</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46133</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1862-2026</t>
        </is>
      </c>
      <c r="B422" s="1" t="n">
        <v>46035.44689814815</v>
      </c>
      <c r="C422" s="1" t="n">
        <v>46133</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2518-2026</t>
        </is>
      </c>
      <c r="B423" s="1" t="n">
        <v>46037.42511574074</v>
      </c>
      <c r="C423" s="1" t="n">
        <v>46133</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47227-2025</t>
        </is>
      </c>
      <c r="B424" s="1" t="n">
        <v>45930.39769675926</v>
      </c>
      <c r="C424" s="1" t="n">
        <v>46133</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6082-2022</t>
        </is>
      </c>
      <c r="B425" s="1" t="n">
        <v>44599</v>
      </c>
      <c r="C425" s="1" t="n">
        <v>46133</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35270-2025</t>
        </is>
      </c>
      <c r="B426" s="1" t="n">
        <v>45853.87112268519</v>
      </c>
      <c r="C426" s="1" t="n">
        <v>46133</v>
      </c>
      <c r="D426" t="inlineStr">
        <is>
          <t>KALMAR LÄN</t>
        </is>
      </c>
      <c r="E426" t="inlineStr">
        <is>
          <t>VIMMERBY</t>
        </is>
      </c>
      <c r="G426" t="n">
        <v>2.4</v>
      </c>
      <c r="H426" t="n">
        <v>0</v>
      </c>
      <c r="I426" t="n">
        <v>0</v>
      </c>
      <c r="J426" t="n">
        <v>0</v>
      </c>
      <c r="K426" t="n">
        <v>0</v>
      </c>
      <c r="L426" t="n">
        <v>0</v>
      </c>
      <c r="M426" t="n">
        <v>0</v>
      </c>
      <c r="N426" t="n">
        <v>0</v>
      </c>
      <c r="O426" t="n">
        <v>0</v>
      </c>
      <c r="P426" t="n">
        <v>0</v>
      </c>
      <c r="Q426" t="n">
        <v>0</v>
      </c>
      <c r="R426" s="2" t="inlineStr"/>
    </row>
    <row r="427" ht="15" customHeight="1">
      <c r="A427" t="inlineStr">
        <is>
          <t>A 35271-2025</t>
        </is>
      </c>
      <c r="B427" s="1" t="n">
        <v>45853.87599537037</v>
      </c>
      <c r="C427" s="1" t="n">
        <v>46133</v>
      </c>
      <c r="D427" t="inlineStr">
        <is>
          <t>KALMAR LÄN</t>
        </is>
      </c>
      <c r="E427" t="inlineStr">
        <is>
          <t>VIMMERBY</t>
        </is>
      </c>
      <c r="G427" t="n">
        <v>0.4</v>
      </c>
      <c r="H427" t="n">
        <v>0</v>
      </c>
      <c r="I427" t="n">
        <v>0</v>
      </c>
      <c r="J427" t="n">
        <v>0</v>
      </c>
      <c r="K427" t="n">
        <v>0</v>
      </c>
      <c r="L427" t="n">
        <v>0</v>
      </c>
      <c r="M427" t="n">
        <v>0</v>
      </c>
      <c r="N427" t="n">
        <v>0</v>
      </c>
      <c r="O427" t="n">
        <v>0</v>
      </c>
      <c r="P427" t="n">
        <v>0</v>
      </c>
      <c r="Q427" t="n">
        <v>0</v>
      </c>
      <c r="R427" s="2" t="inlineStr"/>
    </row>
    <row r="428" ht="15" customHeight="1">
      <c r="A428" t="inlineStr">
        <is>
          <t>A 35272-2025</t>
        </is>
      </c>
      <c r="B428" s="1" t="n">
        <v>45853.88070601852</v>
      </c>
      <c r="C428" s="1" t="n">
        <v>46133</v>
      </c>
      <c r="D428" t="inlineStr">
        <is>
          <t>KALMAR LÄN</t>
        </is>
      </c>
      <c r="E428" t="inlineStr">
        <is>
          <t>VIMMERBY</t>
        </is>
      </c>
      <c r="G428" t="n">
        <v>0.6</v>
      </c>
      <c r="H428" t="n">
        <v>0</v>
      </c>
      <c r="I428" t="n">
        <v>0</v>
      </c>
      <c r="J428" t="n">
        <v>0</v>
      </c>
      <c r="K428" t="n">
        <v>0</v>
      </c>
      <c r="L428" t="n">
        <v>0</v>
      </c>
      <c r="M428" t="n">
        <v>0</v>
      </c>
      <c r="N428" t="n">
        <v>0</v>
      </c>
      <c r="O428" t="n">
        <v>0</v>
      </c>
      <c r="P428" t="n">
        <v>0</v>
      </c>
      <c r="Q428" t="n">
        <v>0</v>
      </c>
      <c r="R428" s="2" t="inlineStr"/>
    </row>
    <row r="429" ht="15" customHeight="1">
      <c r="A429" t="inlineStr">
        <is>
          <t>A 16953-2025</t>
        </is>
      </c>
      <c r="B429" s="1" t="n">
        <v>45755.44333333334</v>
      </c>
      <c r="C429" s="1" t="n">
        <v>46133</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35596-2025</t>
        </is>
      </c>
      <c r="B430" s="1" t="n">
        <v>45858.60641203704</v>
      </c>
      <c r="C430" s="1" t="n">
        <v>46133</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2801-2023</t>
        </is>
      </c>
      <c r="B431" s="1" t="n">
        <v>44944.73487268519</v>
      </c>
      <c r="C431" s="1" t="n">
        <v>46133</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35597-2025</t>
        </is>
      </c>
      <c r="B432" s="1" t="n">
        <v>45858.66019675926</v>
      </c>
      <c r="C432" s="1" t="n">
        <v>46133</v>
      </c>
      <c r="D432" t="inlineStr">
        <is>
          <t>KALMAR LÄN</t>
        </is>
      </c>
      <c r="E432" t="inlineStr">
        <is>
          <t>VIMMERBY</t>
        </is>
      </c>
      <c r="G432" t="n">
        <v>6.4</v>
      </c>
      <c r="H432" t="n">
        <v>0</v>
      </c>
      <c r="I432" t="n">
        <v>0</v>
      </c>
      <c r="J432" t="n">
        <v>0</v>
      </c>
      <c r="K432" t="n">
        <v>0</v>
      </c>
      <c r="L432" t="n">
        <v>0</v>
      </c>
      <c r="M432" t="n">
        <v>0</v>
      </c>
      <c r="N432" t="n">
        <v>0</v>
      </c>
      <c r="O432" t="n">
        <v>0</v>
      </c>
      <c r="P432" t="n">
        <v>0</v>
      </c>
      <c r="Q432" t="n">
        <v>0</v>
      </c>
      <c r="R432" s="2" t="inlineStr"/>
    </row>
    <row r="433" ht="15" customHeight="1">
      <c r="A433" t="inlineStr">
        <is>
          <t>A 5146-2024</t>
        </is>
      </c>
      <c r="B433" s="1" t="n">
        <v>45330</v>
      </c>
      <c r="C433" s="1" t="n">
        <v>46133</v>
      </c>
      <c r="D433" t="inlineStr">
        <is>
          <t>KALMAR LÄN</t>
        </is>
      </c>
      <c r="E433" t="inlineStr">
        <is>
          <t>VIMMERBY</t>
        </is>
      </c>
      <c r="G433" t="n">
        <v>5.3</v>
      </c>
      <c r="H433" t="n">
        <v>0</v>
      </c>
      <c r="I433" t="n">
        <v>0</v>
      </c>
      <c r="J433" t="n">
        <v>0</v>
      </c>
      <c r="K433" t="n">
        <v>0</v>
      </c>
      <c r="L433" t="n">
        <v>0</v>
      </c>
      <c r="M433" t="n">
        <v>0</v>
      </c>
      <c r="N433" t="n">
        <v>0</v>
      </c>
      <c r="O433" t="n">
        <v>0</v>
      </c>
      <c r="P433" t="n">
        <v>0</v>
      </c>
      <c r="Q433" t="n">
        <v>0</v>
      </c>
      <c r="R433" s="2" t="inlineStr"/>
    </row>
    <row r="434" ht="15" customHeight="1">
      <c r="A434" t="inlineStr">
        <is>
          <t>A 5148-2024</t>
        </is>
      </c>
      <c r="B434" s="1" t="n">
        <v>45330</v>
      </c>
      <c r="C434" s="1" t="n">
        <v>46133</v>
      </c>
      <c r="D434" t="inlineStr">
        <is>
          <t>KALMAR LÄN</t>
        </is>
      </c>
      <c r="E434" t="inlineStr">
        <is>
          <t>VIMMERBY</t>
        </is>
      </c>
      <c r="G434" t="n">
        <v>5.6</v>
      </c>
      <c r="H434" t="n">
        <v>0</v>
      </c>
      <c r="I434" t="n">
        <v>0</v>
      </c>
      <c r="J434" t="n">
        <v>0</v>
      </c>
      <c r="K434" t="n">
        <v>0</v>
      </c>
      <c r="L434" t="n">
        <v>0</v>
      </c>
      <c r="M434" t="n">
        <v>0</v>
      </c>
      <c r="N434" t="n">
        <v>0</v>
      </c>
      <c r="O434" t="n">
        <v>0</v>
      </c>
      <c r="P434" t="n">
        <v>0</v>
      </c>
      <c r="Q434" t="n">
        <v>0</v>
      </c>
      <c r="R434" s="2" t="inlineStr"/>
    </row>
    <row r="435" ht="15" customHeight="1">
      <c r="A435" t="inlineStr">
        <is>
          <t>A 58278-2023</t>
        </is>
      </c>
      <c r="B435" s="1" t="n">
        <v>45250.5278587963</v>
      </c>
      <c r="C435" s="1" t="n">
        <v>46133</v>
      </c>
      <c r="D435" t="inlineStr">
        <is>
          <t>KALMAR LÄN</t>
        </is>
      </c>
      <c r="E435" t="inlineStr">
        <is>
          <t>VIMMERBY</t>
        </is>
      </c>
      <c r="G435" t="n">
        <v>1.8</v>
      </c>
      <c r="H435" t="n">
        <v>0</v>
      </c>
      <c r="I435" t="n">
        <v>0</v>
      </c>
      <c r="J435" t="n">
        <v>0</v>
      </c>
      <c r="K435" t="n">
        <v>0</v>
      </c>
      <c r="L435" t="n">
        <v>0</v>
      </c>
      <c r="M435" t="n">
        <v>0</v>
      </c>
      <c r="N435" t="n">
        <v>0</v>
      </c>
      <c r="O435" t="n">
        <v>0</v>
      </c>
      <c r="P435" t="n">
        <v>0</v>
      </c>
      <c r="Q435" t="n">
        <v>0</v>
      </c>
      <c r="R435" s="2" t="inlineStr"/>
    </row>
    <row r="436" ht="15" customHeight="1">
      <c r="A436" t="inlineStr">
        <is>
          <t>A 48299-2025</t>
        </is>
      </c>
      <c r="B436" s="1" t="n">
        <v>45933.60982638889</v>
      </c>
      <c r="C436" s="1" t="n">
        <v>46133</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22266-2023</t>
        </is>
      </c>
      <c r="B437" s="1" t="n">
        <v>45070</v>
      </c>
      <c r="C437" s="1" t="n">
        <v>46133</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52588-2023</t>
        </is>
      </c>
      <c r="B438" s="1" t="n">
        <v>45225.60192129629</v>
      </c>
      <c r="C438" s="1" t="n">
        <v>46133</v>
      </c>
      <c r="D438" t="inlineStr">
        <is>
          <t>KALMAR LÄN</t>
        </is>
      </c>
      <c r="E438" t="inlineStr">
        <is>
          <t>VIMMERBY</t>
        </is>
      </c>
      <c r="G438" t="n">
        <v>2.9</v>
      </c>
      <c r="H438" t="n">
        <v>0</v>
      </c>
      <c r="I438" t="n">
        <v>0</v>
      </c>
      <c r="J438" t="n">
        <v>0</v>
      </c>
      <c r="K438" t="n">
        <v>0</v>
      </c>
      <c r="L438" t="n">
        <v>0</v>
      </c>
      <c r="M438" t="n">
        <v>0</v>
      </c>
      <c r="N438" t="n">
        <v>0</v>
      </c>
      <c r="O438" t="n">
        <v>0</v>
      </c>
      <c r="P438" t="n">
        <v>0</v>
      </c>
      <c r="Q438" t="n">
        <v>0</v>
      </c>
      <c r="R438" s="2" t="inlineStr"/>
    </row>
    <row r="439" ht="15" customHeight="1">
      <c r="A439" t="inlineStr">
        <is>
          <t>A 47965-2025</t>
        </is>
      </c>
      <c r="B439" s="1" t="n">
        <v>45932.59597222223</v>
      </c>
      <c r="C439" s="1" t="n">
        <v>46133</v>
      </c>
      <c r="D439" t="inlineStr">
        <is>
          <t>KALMAR LÄN</t>
        </is>
      </c>
      <c r="E439" t="inlineStr">
        <is>
          <t>VIMMERBY</t>
        </is>
      </c>
      <c r="G439" t="n">
        <v>2.2</v>
      </c>
      <c r="H439" t="n">
        <v>0</v>
      </c>
      <c r="I439" t="n">
        <v>0</v>
      </c>
      <c r="J439" t="n">
        <v>0</v>
      </c>
      <c r="K439" t="n">
        <v>0</v>
      </c>
      <c r="L439" t="n">
        <v>0</v>
      </c>
      <c r="M439" t="n">
        <v>0</v>
      </c>
      <c r="N439" t="n">
        <v>0</v>
      </c>
      <c r="O439" t="n">
        <v>0</v>
      </c>
      <c r="P439" t="n">
        <v>0</v>
      </c>
      <c r="Q439" t="n">
        <v>0</v>
      </c>
      <c r="R439" s="2" t="inlineStr"/>
    </row>
    <row r="440" ht="15" customHeight="1">
      <c r="A440" t="inlineStr">
        <is>
          <t>A 6802-2025</t>
        </is>
      </c>
      <c r="B440" s="1" t="n">
        <v>45700.68289351852</v>
      </c>
      <c r="C440" s="1" t="n">
        <v>46133</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71793-2021</t>
        </is>
      </c>
      <c r="B441" s="1" t="n">
        <v>44539</v>
      </c>
      <c r="C441" s="1" t="n">
        <v>46133</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36226-2025</t>
        </is>
      </c>
      <c r="B442" s="1" t="n">
        <v>45867.51630787037</v>
      </c>
      <c r="C442" s="1" t="n">
        <v>46133</v>
      </c>
      <c r="D442" t="inlineStr">
        <is>
          <t>KALMAR LÄN</t>
        </is>
      </c>
      <c r="E442" t="inlineStr">
        <is>
          <t>VIMMERBY</t>
        </is>
      </c>
      <c r="G442" t="n">
        <v>3.1</v>
      </c>
      <c r="H442" t="n">
        <v>0</v>
      </c>
      <c r="I442" t="n">
        <v>0</v>
      </c>
      <c r="J442" t="n">
        <v>0</v>
      </c>
      <c r="K442" t="n">
        <v>0</v>
      </c>
      <c r="L442" t="n">
        <v>0</v>
      </c>
      <c r="M442" t="n">
        <v>0</v>
      </c>
      <c r="N442" t="n">
        <v>0</v>
      </c>
      <c r="O442" t="n">
        <v>0</v>
      </c>
      <c r="P442" t="n">
        <v>0</v>
      </c>
      <c r="Q442" t="n">
        <v>0</v>
      </c>
      <c r="R442" s="2" t="inlineStr"/>
    </row>
    <row r="443" ht="15" customHeight="1">
      <c r="A443" t="inlineStr">
        <is>
          <t>A 36273-2025</t>
        </is>
      </c>
      <c r="B443" s="1" t="n">
        <v>45867.63094907408</v>
      </c>
      <c r="C443" s="1" t="n">
        <v>46133</v>
      </c>
      <c r="D443" t="inlineStr">
        <is>
          <t>KALMAR LÄN</t>
        </is>
      </c>
      <c r="E443" t="inlineStr">
        <is>
          <t>VIMMERBY</t>
        </is>
      </c>
      <c r="G443" t="n">
        <v>1.7</v>
      </c>
      <c r="H443" t="n">
        <v>0</v>
      </c>
      <c r="I443" t="n">
        <v>0</v>
      </c>
      <c r="J443" t="n">
        <v>0</v>
      </c>
      <c r="K443" t="n">
        <v>0</v>
      </c>
      <c r="L443" t="n">
        <v>0</v>
      </c>
      <c r="M443" t="n">
        <v>0</v>
      </c>
      <c r="N443" t="n">
        <v>0</v>
      </c>
      <c r="O443" t="n">
        <v>0</v>
      </c>
      <c r="P443" t="n">
        <v>0</v>
      </c>
      <c r="Q443" t="n">
        <v>0</v>
      </c>
      <c r="R443" s="2" t="inlineStr"/>
    </row>
    <row r="444" ht="15" customHeight="1">
      <c r="A444" t="inlineStr">
        <is>
          <t>A 36282-2025</t>
        </is>
      </c>
      <c r="B444" s="1" t="n">
        <v>45867.64663194444</v>
      </c>
      <c r="C444" s="1" t="n">
        <v>46133</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36246-2025</t>
        </is>
      </c>
      <c r="B445" s="1" t="n">
        <v>45867.56320601852</v>
      </c>
      <c r="C445" s="1" t="n">
        <v>46133</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36297-2025</t>
        </is>
      </c>
      <c r="B446" s="1" t="n">
        <v>45867.68625</v>
      </c>
      <c r="C446" s="1" t="n">
        <v>46133</v>
      </c>
      <c r="D446" t="inlineStr">
        <is>
          <t>KALMAR LÄN</t>
        </is>
      </c>
      <c r="E446" t="inlineStr">
        <is>
          <t>VIMMERBY</t>
        </is>
      </c>
      <c r="G446" t="n">
        <v>4.9</v>
      </c>
      <c r="H446" t="n">
        <v>0</v>
      </c>
      <c r="I446" t="n">
        <v>0</v>
      </c>
      <c r="J446" t="n">
        <v>0</v>
      </c>
      <c r="K446" t="n">
        <v>0</v>
      </c>
      <c r="L446" t="n">
        <v>0</v>
      </c>
      <c r="M446" t="n">
        <v>0</v>
      </c>
      <c r="N446" t="n">
        <v>0</v>
      </c>
      <c r="O446" t="n">
        <v>0</v>
      </c>
      <c r="P446" t="n">
        <v>0</v>
      </c>
      <c r="Q446" t="n">
        <v>0</v>
      </c>
      <c r="R446" s="2" t="inlineStr"/>
    </row>
    <row r="447" ht="15" customHeight="1">
      <c r="A447" t="inlineStr">
        <is>
          <t>A 527-2024</t>
        </is>
      </c>
      <c r="B447" s="1" t="n">
        <v>45299.47513888889</v>
      </c>
      <c r="C447" s="1" t="n">
        <v>46133</v>
      </c>
      <c r="D447" t="inlineStr">
        <is>
          <t>KALMAR LÄN</t>
        </is>
      </c>
      <c r="E447" t="inlineStr">
        <is>
          <t>VIMMERBY</t>
        </is>
      </c>
      <c r="G447" t="n">
        <v>2.2</v>
      </c>
      <c r="H447" t="n">
        <v>0</v>
      </c>
      <c r="I447" t="n">
        <v>0</v>
      </c>
      <c r="J447" t="n">
        <v>0</v>
      </c>
      <c r="K447" t="n">
        <v>0</v>
      </c>
      <c r="L447" t="n">
        <v>0</v>
      </c>
      <c r="M447" t="n">
        <v>0</v>
      </c>
      <c r="N447" t="n">
        <v>0</v>
      </c>
      <c r="O447" t="n">
        <v>0</v>
      </c>
      <c r="P447" t="n">
        <v>0</v>
      </c>
      <c r="Q447" t="n">
        <v>0</v>
      </c>
      <c r="R447" s="2" t="inlineStr"/>
    </row>
    <row r="448" ht="15" customHeight="1">
      <c r="A448" t="inlineStr">
        <is>
          <t>A 36221-2025</t>
        </is>
      </c>
      <c r="B448" s="1" t="n">
        <v>45867.50792824074</v>
      </c>
      <c r="C448" s="1" t="n">
        <v>46133</v>
      </c>
      <c r="D448" t="inlineStr">
        <is>
          <t>KALMAR LÄN</t>
        </is>
      </c>
      <c r="E448" t="inlineStr">
        <is>
          <t>VIMMERBY</t>
        </is>
      </c>
      <c r="G448" t="n">
        <v>2.5</v>
      </c>
      <c r="H448" t="n">
        <v>0</v>
      </c>
      <c r="I448" t="n">
        <v>0</v>
      </c>
      <c r="J448" t="n">
        <v>0</v>
      </c>
      <c r="K448" t="n">
        <v>0</v>
      </c>
      <c r="L448" t="n">
        <v>0</v>
      </c>
      <c r="M448" t="n">
        <v>0</v>
      </c>
      <c r="N448" t="n">
        <v>0</v>
      </c>
      <c r="O448" t="n">
        <v>0</v>
      </c>
      <c r="P448" t="n">
        <v>0</v>
      </c>
      <c r="Q448" t="n">
        <v>0</v>
      </c>
      <c r="R448" s="2" t="inlineStr"/>
    </row>
    <row r="449" ht="15" customHeight="1">
      <c r="A449" t="inlineStr">
        <is>
          <t>A 60230-2022</t>
        </is>
      </c>
      <c r="B449" s="1" t="n">
        <v>44910</v>
      </c>
      <c r="C449" s="1" t="n">
        <v>46133</v>
      </c>
      <c r="D449" t="inlineStr">
        <is>
          <t>KALMAR LÄN</t>
        </is>
      </c>
      <c r="E449" t="inlineStr">
        <is>
          <t>VIMMERBY</t>
        </is>
      </c>
      <c r="G449" t="n">
        <v>11.3</v>
      </c>
      <c r="H449" t="n">
        <v>0</v>
      </c>
      <c r="I449" t="n">
        <v>0</v>
      </c>
      <c r="J449" t="n">
        <v>0</v>
      </c>
      <c r="K449" t="n">
        <v>0</v>
      </c>
      <c r="L449" t="n">
        <v>0</v>
      </c>
      <c r="M449" t="n">
        <v>0</v>
      </c>
      <c r="N449" t="n">
        <v>0</v>
      </c>
      <c r="O449" t="n">
        <v>0</v>
      </c>
      <c r="P449" t="n">
        <v>0</v>
      </c>
      <c r="Q449" t="n">
        <v>0</v>
      </c>
      <c r="R449" s="2" t="inlineStr"/>
    </row>
    <row r="450" ht="15" customHeight="1">
      <c r="A450" t="inlineStr">
        <is>
          <t>A 19502-2025</t>
        </is>
      </c>
      <c r="B450" s="1" t="n">
        <v>45769</v>
      </c>
      <c r="C450" s="1" t="n">
        <v>46133</v>
      </c>
      <c r="D450" t="inlineStr">
        <is>
          <t>KALMAR LÄN</t>
        </is>
      </c>
      <c r="E450" t="inlineStr">
        <is>
          <t>VIMMERBY</t>
        </is>
      </c>
      <c r="G450" t="n">
        <v>1.9</v>
      </c>
      <c r="H450" t="n">
        <v>0</v>
      </c>
      <c r="I450" t="n">
        <v>0</v>
      </c>
      <c r="J450" t="n">
        <v>0</v>
      </c>
      <c r="K450" t="n">
        <v>0</v>
      </c>
      <c r="L450" t="n">
        <v>0</v>
      </c>
      <c r="M450" t="n">
        <v>0</v>
      </c>
      <c r="N450" t="n">
        <v>0</v>
      </c>
      <c r="O450" t="n">
        <v>0</v>
      </c>
      <c r="P450" t="n">
        <v>0</v>
      </c>
      <c r="Q450" t="n">
        <v>0</v>
      </c>
      <c r="R450" s="2" t="inlineStr"/>
    </row>
    <row r="451" ht="15" customHeight="1">
      <c r="A451" t="inlineStr">
        <is>
          <t>A 47955-2025</t>
        </is>
      </c>
      <c r="B451" s="1" t="n">
        <v>45932.58896990741</v>
      </c>
      <c r="C451" s="1" t="n">
        <v>46133</v>
      </c>
      <c r="D451" t="inlineStr">
        <is>
          <t>KALMAR LÄN</t>
        </is>
      </c>
      <c r="E451" t="inlineStr">
        <is>
          <t>VIMMERBY</t>
        </is>
      </c>
      <c r="G451" t="n">
        <v>3.4</v>
      </c>
      <c r="H451" t="n">
        <v>0</v>
      </c>
      <c r="I451" t="n">
        <v>0</v>
      </c>
      <c r="J451" t="n">
        <v>0</v>
      </c>
      <c r="K451" t="n">
        <v>0</v>
      </c>
      <c r="L451" t="n">
        <v>0</v>
      </c>
      <c r="M451" t="n">
        <v>0</v>
      </c>
      <c r="N451" t="n">
        <v>0</v>
      </c>
      <c r="O451" t="n">
        <v>0</v>
      </c>
      <c r="P451" t="n">
        <v>0</v>
      </c>
      <c r="Q451" t="n">
        <v>0</v>
      </c>
      <c r="R451" s="2" t="inlineStr"/>
    </row>
    <row r="452" ht="15" customHeight="1">
      <c r="A452" t="inlineStr">
        <is>
          <t>A 36299-2025</t>
        </is>
      </c>
      <c r="B452" s="1" t="n">
        <v>45867.69346064814</v>
      </c>
      <c r="C452" s="1" t="n">
        <v>46133</v>
      </c>
      <c r="D452" t="inlineStr">
        <is>
          <t>KALMAR LÄN</t>
        </is>
      </c>
      <c r="E452" t="inlineStr">
        <is>
          <t>VIMMERBY</t>
        </is>
      </c>
      <c r="G452" t="n">
        <v>7.6</v>
      </c>
      <c r="H452" t="n">
        <v>0</v>
      </c>
      <c r="I452" t="n">
        <v>0</v>
      </c>
      <c r="J452" t="n">
        <v>0</v>
      </c>
      <c r="K452" t="n">
        <v>0</v>
      </c>
      <c r="L452" t="n">
        <v>0</v>
      </c>
      <c r="M452" t="n">
        <v>0</v>
      </c>
      <c r="N452" t="n">
        <v>0</v>
      </c>
      <c r="O452" t="n">
        <v>0</v>
      </c>
      <c r="P452" t="n">
        <v>0</v>
      </c>
      <c r="Q452" t="n">
        <v>0</v>
      </c>
      <c r="R452" s="2" t="inlineStr"/>
    </row>
    <row r="453" ht="15" customHeight="1">
      <c r="A453" t="inlineStr">
        <is>
          <t>A 48723-2025</t>
        </is>
      </c>
      <c r="B453" s="1" t="n">
        <v>45936.65121527778</v>
      </c>
      <c r="C453" s="1" t="n">
        <v>46133</v>
      </c>
      <c r="D453" t="inlineStr">
        <is>
          <t>KALMAR LÄN</t>
        </is>
      </c>
      <c r="E453" t="inlineStr">
        <is>
          <t>VIMMERBY</t>
        </is>
      </c>
      <c r="G453" t="n">
        <v>3</v>
      </c>
      <c r="H453" t="n">
        <v>0</v>
      </c>
      <c r="I453" t="n">
        <v>0</v>
      </c>
      <c r="J453" t="n">
        <v>0</v>
      </c>
      <c r="K453" t="n">
        <v>0</v>
      </c>
      <c r="L453" t="n">
        <v>0</v>
      </c>
      <c r="M453" t="n">
        <v>0</v>
      </c>
      <c r="N453" t="n">
        <v>0</v>
      </c>
      <c r="O453" t="n">
        <v>0</v>
      </c>
      <c r="P453" t="n">
        <v>0</v>
      </c>
      <c r="Q453" t="n">
        <v>0</v>
      </c>
      <c r="R453" s="2" t="inlineStr"/>
    </row>
    <row r="454" ht="15" customHeight="1">
      <c r="A454" t="inlineStr">
        <is>
          <t>A 5925-2022</t>
        </is>
      </c>
      <c r="B454" s="1" t="n">
        <v>44598.7384837963</v>
      </c>
      <c r="C454" s="1" t="n">
        <v>46133</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48712-2025</t>
        </is>
      </c>
      <c r="B455" s="1" t="n">
        <v>45936.63373842592</v>
      </c>
      <c r="C455" s="1" t="n">
        <v>46133</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2514-2026</t>
        </is>
      </c>
      <c r="B456" s="1" t="n">
        <v>46037.42219907408</v>
      </c>
      <c r="C456" s="1" t="n">
        <v>46133</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48408-2025</t>
        </is>
      </c>
      <c r="B457" s="1" t="n">
        <v>45934.40527777778</v>
      </c>
      <c r="C457" s="1" t="n">
        <v>46133</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46522-2022</t>
        </is>
      </c>
      <c r="B458" s="1" t="n">
        <v>44848.59133101852</v>
      </c>
      <c r="C458" s="1" t="n">
        <v>46133</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36538-2025</t>
        </is>
      </c>
      <c r="B459" s="1" t="n">
        <v>45869.62276620371</v>
      </c>
      <c r="C459" s="1" t="n">
        <v>46133</v>
      </c>
      <c r="D459" t="inlineStr">
        <is>
          <t>KALMAR LÄN</t>
        </is>
      </c>
      <c r="E459" t="inlineStr">
        <is>
          <t>VIMMERBY</t>
        </is>
      </c>
      <c r="G459" t="n">
        <v>2.6</v>
      </c>
      <c r="H459" t="n">
        <v>0</v>
      </c>
      <c r="I459" t="n">
        <v>0</v>
      </c>
      <c r="J459" t="n">
        <v>0</v>
      </c>
      <c r="K459" t="n">
        <v>0</v>
      </c>
      <c r="L459" t="n">
        <v>0</v>
      </c>
      <c r="M459" t="n">
        <v>0</v>
      </c>
      <c r="N459" t="n">
        <v>0</v>
      </c>
      <c r="O459" t="n">
        <v>0</v>
      </c>
      <c r="P459" t="n">
        <v>0</v>
      </c>
      <c r="Q459" t="n">
        <v>0</v>
      </c>
      <c r="R459" s="2" t="inlineStr"/>
    </row>
    <row r="460" ht="15" customHeight="1">
      <c r="A460" t="inlineStr">
        <is>
          <t>A 48409-2025</t>
        </is>
      </c>
      <c r="B460" s="1" t="n">
        <v>45934.41387731482</v>
      </c>
      <c r="C460" s="1" t="n">
        <v>46133</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48600-2025</t>
        </is>
      </c>
      <c r="B461" s="1" t="n">
        <v>45935</v>
      </c>
      <c r="C461" s="1" t="n">
        <v>46133</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41066-2024</t>
        </is>
      </c>
      <c r="B462" s="1" t="n">
        <v>45559.38876157408</v>
      </c>
      <c r="C462" s="1" t="n">
        <v>46133</v>
      </c>
      <c r="D462" t="inlineStr">
        <is>
          <t>KALMAR LÄN</t>
        </is>
      </c>
      <c r="E462" t="inlineStr">
        <is>
          <t>VIMMERBY</t>
        </is>
      </c>
      <c r="G462" t="n">
        <v>2.4</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46133</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36598-2025</t>
        </is>
      </c>
      <c r="B464" s="1" t="n">
        <v>45870.51708333333</v>
      </c>
      <c r="C464" s="1" t="n">
        <v>46133</v>
      </c>
      <c r="D464" t="inlineStr">
        <is>
          <t>KALMAR LÄN</t>
        </is>
      </c>
      <c r="E464" t="inlineStr">
        <is>
          <t>VIMMERBY</t>
        </is>
      </c>
      <c r="G464" t="n">
        <v>3.7</v>
      </c>
      <c r="H464" t="n">
        <v>0</v>
      </c>
      <c r="I464" t="n">
        <v>0</v>
      </c>
      <c r="J464" t="n">
        <v>0</v>
      </c>
      <c r="K464" t="n">
        <v>0</v>
      </c>
      <c r="L464" t="n">
        <v>0</v>
      </c>
      <c r="M464" t="n">
        <v>0</v>
      </c>
      <c r="N464" t="n">
        <v>0</v>
      </c>
      <c r="O464" t="n">
        <v>0</v>
      </c>
      <c r="P464" t="n">
        <v>0</v>
      </c>
      <c r="Q464" t="n">
        <v>0</v>
      </c>
      <c r="R464" s="2" t="inlineStr"/>
    </row>
    <row r="465" ht="15" customHeight="1">
      <c r="A465" t="inlineStr">
        <is>
          <t>A 36602-2025</t>
        </is>
      </c>
      <c r="B465" s="1" t="n">
        <v>45870.52111111111</v>
      </c>
      <c r="C465" s="1" t="n">
        <v>46133</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17486-2024</t>
        </is>
      </c>
      <c r="B466" s="1" t="n">
        <v>45415.48979166667</v>
      </c>
      <c r="C466" s="1" t="n">
        <v>46133</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71631-2021</t>
        </is>
      </c>
      <c r="B467" s="1" t="n">
        <v>44542.90072916666</v>
      </c>
      <c r="C467" s="1" t="n">
        <v>46133</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36603-2025</t>
        </is>
      </c>
      <c r="B468" s="1" t="n">
        <v>45870.52142361111</v>
      </c>
      <c r="C468" s="1" t="n">
        <v>46133</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36600-2025</t>
        </is>
      </c>
      <c r="B469" s="1" t="n">
        <v>45870.51958333333</v>
      </c>
      <c r="C469" s="1" t="n">
        <v>46133</v>
      </c>
      <c r="D469" t="inlineStr">
        <is>
          <t>KALMAR LÄN</t>
        </is>
      </c>
      <c r="E469" t="inlineStr">
        <is>
          <t>VIMMERBY</t>
        </is>
      </c>
      <c r="G469" t="n">
        <v>2</v>
      </c>
      <c r="H469" t="n">
        <v>0</v>
      </c>
      <c r="I469" t="n">
        <v>0</v>
      </c>
      <c r="J469" t="n">
        <v>0</v>
      </c>
      <c r="K469" t="n">
        <v>0</v>
      </c>
      <c r="L469" t="n">
        <v>0</v>
      </c>
      <c r="M469" t="n">
        <v>0</v>
      </c>
      <c r="N469" t="n">
        <v>0</v>
      </c>
      <c r="O469" t="n">
        <v>0</v>
      </c>
      <c r="P469" t="n">
        <v>0</v>
      </c>
      <c r="Q469" t="n">
        <v>0</v>
      </c>
      <c r="R469" s="2" t="inlineStr"/>
    </row>
    <row r="470" ht="15" customHeight="1">
      <c r="A470" t="inlineStr">
        <is>
          <t>A 36601-2025</t>
        </is>
      </c>
      <c r="B470" s="1" t="n">
        <v>45870.52005787037</v>
      </c>
      <c r="C470" s="1" t="n">
        <v>46133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16015-2025</t>
        </is>
      </c>
      <c r="B471" s="1" t="n">
        <v>45749.60487268519</v>
      </c>
      <c r="C471" s="1" t="n">
        <v>46133</v>
      </c>
      <c r="D471" t="inlineStr">
        <is>
          <t>KALMAR LÄN</t>
        </is>
      </c>
      <c r="E471" t="inlineStr">
        <is>
          <t>VIMMERBY</t>
        </is>
      </c>
      <c r="F471" t="inlineStr">
        <is>
          <t>Kyrkan</t>
        </is>
      </c>
      <c r="G471" t="n">
        <v>2.7</v>
      </c>
      <c r="H471" t="n">
        <v>0</v>
      </c>
      <c r="I471" t="n">
        <v>0</v>
      </c>
      <c r="J471" t="n">
        <v>0</v>
      </c>
      <c r="K471" t="n">
        <v>0</v>
      </c>
      <c r="L471" t="n">
        <v>0</v>
      </c>
      <c r="M471" t="n">
        <v>0</v>
      </c>
      <c r="N471" t="n">
        <v>0</v>
      </c>
      <c r="O471" t="n">
        <v>0</v>
      </c>
      <c r="P471" t="n">
        <v>0</v>
      </c>
      <c r="Q471" t="n">
        <v>0</v>
      </c>
      <c r="R471" s="2" t="inlineStr"/>
    </row>
    <row r="472" ht="15" customHeight="1">
      <c r="A472" t="inlineStr">
        <is>
          <t>A 2523-2026</t>
        </is>
      </c>
      <c r="B472" s="1" t="n">
        <v>46037.42825231481</v>
      </c>
      <c r="C472" s="1" t="n">
        <v>46133</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37088-2025</t>
        </is>
      </c>
      <c r="B473" s="1" t="n">
        <v>45875.45716435185</v>
      </c>
      <c r="C473" s="1" t="n">
        <v>46133</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37102-2025</t>
        </is>
      </c>
      <c r="B474" s="1" t="n">
        <v>45875.47454861111</v>
      </c>
      <c r="C474" s="1" t="n">
        <v>46133</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3266-2026</t>
        </is>
      </c>
      <c r="B475" s="1" t="n">
        <v>46041</v>
      </c>
      <c r="C475" s="1" t="n">
        <v>46133</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3292-2026</t>
        </is>
      </c>
      <c r="B476" s="1" t="n">
        <v>46041</v>
      </c>
      <c r="C476" s="1" t="n">
        <v>46133</v>
      </c>
      <c r="D476" t="inlineStr">
        <is>
          <t>KALMAR LÄN</t>
        </is>
      </c>
      <c r="E476" t="inlineStr">
        <is>
          <t>VIMMERBY</t>
        </is>
      </c>
      <c r="G476" t="n">
        <v>3.9</v>
      </c>
      <c r="H476" t="n">
        <v>0</v>
      </c>
      <c r="I476" t="n">
        <v>0</v>
      </c>
      <c r="J476" t="n">
        <v>0</v>
      </c>
      <c r="K476" t="n">
        <v>0</v>
      </c>
      <c r="L476" t="n">
        <v>0</v>
      </c>
      <c r="M476" t="n">
        <v>0</v>
      </c>
      <c r="N476" t="n">
        <v>0</v>
      </c>
      <c r="O476" t="n">
        <v>0</v>
      </c>
      <c r="P476" t="n">
        <v>0</v>
      </c>
      <c r="Q476" t="n">
        <v>0</v>
      </c>
      <c r="R476" s="2" t="inlineStr"/>
    </row>
    <row r="477" ht="15" customHeight="1">
      <c r="A477" t="inlineStr">
        <is>
          <t>A 9694-2023</t>
        </is>
      </c>
      <c r="B477" s="1" t="n">
        <v>44984.45895833334</v>
      </c>
      <c r="C477" s="1" t="n">
        <v>46133</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37079-2025</t>
        </is>
      </c>
      <c r="B478" s="1" t="n">
        <v>45875.42716435185</v>
      </c>
      <c r="C478" s="1" t="n">
        <v>46133</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22198-2024</t>
        </is>
      </c>
      <c r="B479" s="1" t="n">
        <v>45446.36865740741</v>
      </c>
      <c r="C479" s="1" t="n">
        <v>46133</v>
      </c>
      <c r="D479" t="inlineStr">
        <is>
          <t>KALMAR LÄN</t>
        </is>
      </c>
      <c r="E479" t="inlineStr">
        <is>
          <t>VIMMERBY</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49871-2025</t>
        </is>
      </c>
      <c r="B480" s="1" t="n">
        <v>45940.54104166666</v>
      </c>
      <c r="C480" s="1" t="n">
        <v>46133</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36934-2025</t>
        </is>
      </c>
      <c r="B481" s="1" t="n">
        <v>45874.57109953704</v>
      </c>
      <c r="C481" s="1" t="n">
        <v>46133</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57311-2023</t>
        </is>
      </c>
      <c r="B482" s="1" t="n">
        <v>45245.63574074074</v>
      </c>
      <c r="C482" s="1" t="n">
        <v>46133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12588-2025</t>
        </is>
      </c>
      <c r="B483" s="1" t="n">
        <v>45732.76936342593</v>
      </c>
      <c r="C483" s="1" t="n">
        <v>46133</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7932-2025</t>
        </is>
      </c>
      <c r="B484" s="1" t="n">
        <v>45707.3793287037</v>
      </c>
      <c r="C484" s="1" t="n">
        <v>46133</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3868-2026</t>
        </is>
      </c>
      <c r="B485" s="1" t="n">
        <v>46043.6360300926</v>
      </c>
      <c r="C485" s="1" t="n">
        <v>46133</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50544-2025</t>
        </is>
      </c>
      <c r="B486" s="1" t="n">
        <v>45945.50736111111</v>
      </c>
      <c r="C486" s="1" t="n">
        <v>46133</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37578-2025</t>
        </is>
      </c>
      <c r="B487" s="1" t="n">
        <v>45880.38380787037</v>
      </c>
      <c r="C487" s="1" t="n">
        <v>46133</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50324-2025</t>
        </is>
      </c>
      <c r="B488" s="1" t="n">
        <v>45944.45962962963</v>
      </c>
      <c r="C488" s="1" t="n">
        <v>46133</v>
      </c>
      <c r="D488" t="inlineStr">
        <is>
          <t>KALMAR LÄN</t>
        </is>
      </c>
      <c r="E488" t="inlineStr">
        <is>
          <t>VIMMERBY</t>
        </is>
      </c>
      <c r="G488" t="n">
        <v>2.1</v>
      </c>
      <c r="H488" t="n">
        <v>0</v>
      </c>
      <c r="I488" t="n">
        <v>0</v>
      </c>
      <c r="J488" t="n">
        <v>0</v>
      </c>
      <c r="K488" t="n">
        <v>0</v>
      </c>
      <c r="L488" t="n">
        <v>0</v>
      </c>
      <c r="M488" t="n">
        <v>0</v>
      </c>
      <c r="N488" t="n">
        <v>0</v>
      </c>
      <c r="O488" t="n">
        <v>0</v>
      </c>
      <c r="P488" t="n">
        <v>0</v>
      </c>
      <c r="Q488" t="n">
        <v>0</v>
      </c>
      <c r="R488" s="2" t="inlineStr"/>
    </row>
    <row r="489" ht="15" customHeight="1">
      <c r="A489" t="inlineStr">
        <is>
          <t>A 2121-2022</t>
        </is>
      </c>
      <c r="B489" s="1" t="n">
        <v>44578.32717592592</v>
      </c>
      <c r="C489" s="1" t="n">
        <v>46133</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34386-2024</t>
        </is>
      </c>
      <c r="B490" s="1" t="n">
        <v>45525.41762731481</v>
      </c>
      <c r="C490" s="1" t="n">
        <v>46133</v>
      </c>
      <c r="D490" t="inlineStr">
        <is>
          <t>KALMAR LÄN</t>
        </is>
      </c>
      <c r="E490" t="inlineStr">
        <is>
          <t>VIMMERBY</t>
        </is>
      </c>
      <c r="G490" t="n">
        <v>0.3</v>
      </c>
      <c r="H490" t="n">
        <v>0</v>
      </c>
      <c r="I490" t="n">
        <v>0</v>
      </c>
      <c r="J490" t="n">
        <v>0</v>
      </c>
      <c r="K490" t="n">
        <v>0</v>
      </c>
      <c r="L490" t="n">
        <v>0</v>
      </c>
      <c r="M490" t="n">
        <v>0</v>
      </c>
      <c r="N490" t="n">
        <v>0</v>
      </c>
      <c r="O490" t="n">
        <v>0</v>
      </c>
      <c r="P490" t="n">
        <v>0</v>
      </c>
      <c r="Q490" t="n">
        <v>0</v>
      </c>
      <c r="R490" s="2" t="inlineStr"/>
    </row>
    <row r="491" ht="15" customHeight="1">
      <c r="A491" t="inlineStr">
        <is>
          <t>A 6069-2023</t>
        </is>
      </c>
      <c r="B491" s="1" t="n">
        <v>44964.5115162037</v>
      </c>
      <c r="C491" s="1" t="n">
        <v>46133</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37668-2025</t>
        </is>
      </c>
      <c r="B492" s="1" t="n">
        <v>45880.51550925926</v>
      </c>
      <c r="C492" s="1" t="n">
        <v>46133</v>
      </c>
      <c r="D492" t="inlineStr">
        <is>
          <t>KALMAR LÄN</t>
        </is>
      </c>
      <c r="E492" t="inlineStr">
        <is>
          <t>VIMMERBY</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51062-2025</t>
        </is>
      </c>
      <c r="B493" s="1" t="n">
        <v>45947.44685185186</v>
      </c>
      <c r="C493" s="1" t="n">
        <v>46133</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32633-2023</t>
        </is>
      </c>
      <c r="B494" s="1" t="n">
        <v>45121.58699074074</v>
      </c>
      <c r="C494" s="1" t="n">
        <v>46133</v>
      </c>
      <c r="D494" t="inlineStr">
        <is>
          <t>KALMAR LÄN</t>
        </is>
      </c>
      <c r="E494" t="inlineStr">
        <is>
          <t>VIMMERBY</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49461-2023</t>
        </is>
      </c>
      <c r="B495" s="1" t="n">
        <v>45211.52642361111</v>
      </c>
      <c r="C495" s="1" t="n">
        <v>46133</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37939-2025</t>
        </is>
      </c>
      <c r="B496" s="1" t="n">
        <v>45881.59877314815</v>
      </c>
      <c r="C496" s="1" t="n">
        <v>46133</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3869-2026</t>
        </is>
      </c>
      <c r="B497" s="1" t="n">
        <v>46043.63940972222</v>
      </c>
      <c r="C497" s="1" t="n">
        <v>46133</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37866-2025</t>
        </is>
      </c>
      <c r="B498" s="1" t="n">
        <v>45881</v>
      </c>
      <c r="C498" s="1" t="n">
        <v>46133</v>
      </c>
      <c r="D498" t="inlineStr">
        <is>
          <t>KALMAR LÄN</t>
        </is>
      </c>
      <c r="E498" t="inlineStr">
        <is>
          <t>VIMMERBY</t>
        </is>
      </c>
      <c r="G498" t="n">
        <v>3.4</v>
      </c>
      <c r="H498" t="n">
        <v>0</v>
      </c>
      <c r="I498" t="n">
        <v>0</v>
      </c>
      <c r="J498" t="n">
        <v>0</v>
      </c>
      <c r="K498" t="n">
        <v>0</v>
      </c>
      <c r="L498" t="n">
        <v>0</v>
      </c>
      <c r="M498" t="n">
        <v>0</v>
      </c>
      <c r="N498" t="n">
        <v>0</v>
      </c>
      <c r="O498" t="n">
        <v>0</v>
      </c>
      <c r="P498" t="n">
        <v>0</v>
      </c>
      <c r="Q498" t="n">
        <v>0</v>
      </c>
      <c r="R498" s="2" t="inlineStr"/>
    </row>
    <row r="499" ht="15" customHeight="1">
      <c r="A499" t="inlineStr">
        <is>
          <t>A 23095-2023</t>
        </is>
      </c>
      <c r="B499" s="1" t="n">
        <v>45075.43059027778</v>
      </c>
      <c r="C499" s="1" t="n">
        <v>46133</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11429-2022</t>
        </is>
      </c>
      <c r="B500" s="1" t="n">
        <v>44630</v>
      </c>
      <c r="C500" s="1" t="n">
        <v>46133</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11141-2024</t>
        </is>
      </c>
      <c r="B501" s="1" t="n">
        <v>45371.45865740741</v>
      </c>
      <c r="C501" s="1" t="n">
        <v>46133</v>
      </c>
      <c r="D501" t="inlineStr">
        <is>
          <t>KALMAR LÄN</t>
        </is>
      </c>
      <c r="E501" t="inlineStr">
        <is>
          <t>VIMMERBY</t>
        </is>
      </c>
      <c r="G501" t="n">
        <v>0.7</v>
      </c>
      <c r="H501" t="n">
        <v>0</v>
      </c>
      <c r="I501" t="n">
        <v>0</v>
      </c>
      <c r="J501" t="n">
        <v>0</v>
      </c>
      <c r="K501" t="n">
        <v>0</v>
      </c>
      <c r="L501" t="n">
        <v>0</v>
      </c>
      <c r="M501" t="n">
        <v>0</v>
      </c>
      <c r="N501" t="n">
        <v>0</v>
      </c>
      <c r="O501" t="n">
        <v>0</v>
      </c>
      <c r="P501" t="n">
        <v>0</v>
      </c>
      <c r="Q501" t="n">
        <v>0</v>
      </c>
      <c r="R501" s="2" t="inlineStr"/>
    </row>
    <row r="502" ht="15" customHeight="1">
      <c r="A502" t="inlineStr">
        <is>
          <t>A 28395-2023</t>
        </is>
      </c>
      <c r="B502" s="1" t="n">
        <v>45100.4062962963</v>
      </c>
      <c r="C502" s="1" t="n">
        <v>46133</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34597-2022</t>
        </is>
      </c>
      <c r="B503" s="1" t="n">
        <v>44795</v>
      </c>
      <c r="C503" s="1" t="n">
        <v>46133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51990-2025</t>
        </is>
      </c>
      <c r="B504" s="1" t="n">
        <v>45952.58061342593</v>
      </c>
      <c r="C504" s="1" t="n">
        <v>46133</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64428-2023</t>
        </is>
      </c>
      <c r="B505" s="1" t="n">
        <v>45280.66769675926</v>
      </c>
      <c r="C505" s="1" t="n">
        <v>46133</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30588-2023</t>
        </is>
      </c>
      <c r="B506" s="1" t="n">
        <v>45112.33599537037</v>
      </c>
      <c r="C506" s="1" t="n">
        <v>46133</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30503-2023</t>
        </is>
      </c>
      <c r="B507" s="1" t="n">
        <v>45111</v>
      </c>
      <c r="C507" s="1" t="n">
        <v>46133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38964-2025</t>
        </is>
      </c>
      <c r="B508" s="1" t="n">
        <v>45887.68759259259</v>
      </c>
      <c r="C508" s="1" t="n">
        <v>46133</v>
      </c>
      <c r="D508" t="inlineStr">
        <is>
          <t>KALMAR LÄN</t>
        </is>
      </c>
      <c r="E508" t="inlineStr">
        <is>
          <t>VIMMERBY</t>
        </is>
      </c>
      <c r="G508" t="n">
        <v>7.5</v>
      </c>
      <c r="H508" t="n">
        <v>0</v>
      </c>
      <c r="I508" t="n">
        <v>0</v>
      </c>
      <c r="J508" t="n">
        <v>0</v>
      </c>
      <c r="K508" t="n">
        <v>0</v>
      </c>
      <c r="L508" t="n">
        <v>0</v>
      </c>
      <c r="M508" t="n">
        <v>0</v>
      </c>
      <c r="N508" t="n">
        <v>0</v>
      </c>
      <c r="O508" t="n">
        <v>0</v>
      </c>
      <c r="P508" t="n">
        <v>0</v>
      </c>
      <c r="Q508" t="n">
        <v>0</v>
      </c>
      <c r="R508" s="2" t="inlineStr"/>
    </row>
    <row r="509" ht="15" customHeight="1">
      <c r="A509" t="inlineStr">
        <is>
          <t>A 51993-2025</t>
        </is>
      </c>
      <c r="B509" s="1" t="n">
        <v>45952.58194444444</v>
      </c>
      <c r="C509" s="1" t="n">
        <v>46133</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52465-2025</t>
        </is>
      </c>
      <c r="B510" s="1" t="n">
        <v>45954.44543981482</v>
      </c>
      <c r="C510" s="1" t="n">
        <v>46133</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52451-2025</t>
        </is>
      </c>
      <c r="B511" s="1" t="n">
        <v>45954.42326388889</v>
      </c>
      <c r="C511" s="1" t="n">
        <v>46133</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47263-2023</t>
        </is>
      </c>
      <c r="B512" s="1" t="n">
        <v>45202.4209837963</v>
      </c>
      <c r="C512" s="1" t="n">
        <v>46133</v>
      </c>
      <c r="D512" t="inlineStr">
        <is>
          <t>KALMAR LÄN</t>
        </is>
      </c>
      <c r="E512" t="inlineStr">
        <is>
          <t>VIMMERBY</t>
        </is>
      </c>
      <c r="G512" t="n">
        <v>1.8</v>
      </c>
      <c r="H512" t="n">
        <v>0</v>
      </c>
      <c r="I512" t="n">
        <v>0</v>
      </c>
      <c r="J512" t="n">
        <v>0</v>
      </c>
      <c r="K512" t="n">
        <v>0</v>
      </c>
      <c r="L512" t="n">
        <v>0</v>
      </c>
      <c r="M512" t="n">
        <v>0</v>
      </c>
      <c r="N512" t="n">
        <v>0</v>
      </c>
      <c r="O512" t="n">
        <v>0</v>
      </c>
      <c r="P512" t="n">
        <v>0</v>
      </c>
      <c r="Q512" t="n">
        <v>0</v>
      </c>
      <c r="R512" s="2" t="inlineStr"/>
    </row>
    <row r="513" ht="15" customHeight="1">
      <c r="A513" t="inlineStr">
        <is>
          <t>A 52516-2025</t>
        </is>
      </c>
      <c r="B513" s="1" t="n">
        <v>45954.51412037037</v>
      </c>
      <c r="C513" s="1" t="n">
        <v>46133</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58100-2024</t>
        </is>
      </c>
      <c r="B514" s="1" t="n">
        <v>45632.36706018518</v>
      </c>
      <c r="C514" s="1" t="n">
        <v>46133</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52466-2025</t>
        </is>
      </c>
      <c r="B515" s="1" t="n">
        <v>45954.44707175926</v>
      </c>
      <c r="C515" s="1" t="n">
        <v>46133</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52473-2025</t>
        </is>
      </c>
      <c r="B516" s="1" t="n">
        <v>45954.45947916667</v>
      </c>
      <c r="C516" s="1" t="n">
        <v>46133</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58159-2024</t>
        </is>
      </c>
      <c r="B517" s="1" t="n">
        <v>45632.44886574074</v>
      </c>
      <c r="C517" s="1" t="n">
        <v>46133</v>
      </c>
      <c r="D517" t="inlineStr">
        <is>
          <t>KALMAR LÄN</t>
        </is>
      </c>
      <c r="E517" t="inlineStr">
        <is>
          <t>VIMMERBY</t>
        </is>
      </c>
      <c r="G517" t="n">
        <v>7.5</v>
      </c>
      <c r="H517" t="n">
        <v>0</v>
      </c>
      <c r="I517" t="n">
        <v>0</v>
      </c>
      <c r="J517" t="n">
        <v>0</v>
      </c>
      <c r="K517" t="n">
        <v>0</v>
      </c>
      <c r="L517" t="n">
        <v>0</v>
      </c>
      <c r="M517" t="n">
        <v>0</v>
      </c>
      <c r="N517" t="n">
        <v>0</v>
      </c>
      <c r="O517" t="n">
        <v>0</v>
      </c>
      <c r="P517" t="n">
        <v>0</v>
      </c>
      <c r="Q517" t="n">
        <v>0</v>
      </c>
      <c r="R517" s="2" t="inlineStr"/>
    </row>
    <row r="518" ht="15" customHeight="1">
      <c r="A518" t="inlineStr">
        <is>
          <t>A 52480-2025</t>
        </is>
      </c>
      <c r="B518" s="1" t="n">
        <v>45954.47172453703</v>
      </c>
      <c r="C518" s="1" t="n">
        <v>46133</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57114-2023</t>
        </is>
      </c>
      <c r="B519" s="1" t="n">
        <v>45245.36174768519</v>
      </c>
      <c r="C519" s="1" t="n">
        <v>46133</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3423-2022</t>
        </is>
      </c>
      <c r="B520" s="1" t="n">
        <v>44585.50431712963</v>
      </c>
      <c r="C520" s="1" t="n">
        <v>46133</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3965-2026</t>
        </is>
      </c>
      <c r="B521" s="1" t="n">
        <v>46044.34563657407</v>
      </c>
      <c r="C521" s="1" t="n">
        <v>46133</v>
      </c>
      <c r="D521" t="inlineStr">
        <is>
          <t>KALMAR LÄN</t>
        </is>
      </c>
      <c r="E521" t="inlineStr">
        <is>
          <t>VIMMERBY</t>
        </is>
      </c>
      <c r="G521" t="n">
        <v>2.6</v>
      </c>
      <c r="H521" t="n">
        <v>0</v>
      </c>
      <c r="I521" t="n">
        <v>0</v>
      </c>
      <c r="J521" t="n">
        <v>0</v>
      </c>
      <c r="K521" t="n">
        <v>0</v>
      </c>
      <c r="L521" t="n">
        <v>0</v>
      </c>
      <c r="M521" t="n">
        <v>0</v>
      </c>
      <c r="N521" t="n">
        <v>0</v>
      </c>
      <c r="O521" t="n">
        <v>0</v>
      </c>
      <c r="P521" t="n">
        <v>0</v>
      </c>
      <c r="Q521" t="n">
        <v>0</v>
      </c>
      <c r="R521" s="2" t="inlineStr"/>
    </row>
    <row r="522" ht="15" customHeight="1">
      <c r="A522" t="inlineStr">
        <is>
          <t>A 52475-2025</t>
        </is>
      </c>
      <c r="B522" s="1" t="n">
        <v>45954.468125</v>
      </c>
      <c r="C522" s="1" t="n">
        <v>46133</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40665-2023</t>
        </is>
      </c>
      <c r="B523" s="1" t="n">
        <v>45170</v>
      </c>
      <c r="C523" s="1" t="n">
        <v>46133</v>
      </c>
      <c r="D523" t="inlineStr">
        <is>
          <t>KALMAR LÄN</t>
        </is>
      </c>
      <c r="E523" t="inlineStr">
        <is>
          <t>VIMMERBY</t>
        </is>
      </c>
      <c r="G523" t="n">
        <v>2.6</v>
      </c>
      <c r="H523" t="n">
        <v>0</v>
      </c>
      <c r="I523" t="n">
        <v>0</v>
      </c>
      <c r="J523" t="n">
        <v>0</v>
      </c>
      <c r="K523" t="n">
        <v>0</v>
      </c>
      <c r="L523" t="n">
        <v>0</v>
      </c>
      <c r="M523" t="n">
        <v>0</v>
      </c>
      <c r="N523" t="n">
        <v>0</v>
      </c>
      <c r="O523" t="n">
        <v>0</v>
      </c>
      <c r="P523" t="n">
        <v>0</v>
      </c>
      <c r="Q523" t="n">
        <v>0</v>
      </c>
      <c r="R523" s="2" t="inlineStr"/>
    </row>
    <row r="524" ht="15" customHeight="1">
      <c r="A524" t="inlineStr">
        <is>
          <t>A 53396-2025</t>
        </is>
      </c>
      <c r="B524" s="1" t="n">
        <v>45959.55577546296</v>
      </c>
      <c r="C524" s="1" t="n">
        <v>46133</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53416-2025</t>
        </is>
      </c>
      <c r="B525" s="1" t="n">
        <v>45959.58387731481</v>
      </c>
      <c r="C525" s="1" t="n">
        <v>46133</v>
      </c>
      <c r="D525" t="inlineStr">
        <is>
          <t>KALMAR LÄN</t>
        </is>
      </c>
      <c r="E525" t="inlineStr">
        <is>
          <t>VIMMERBY</t>
        </is>
      </c>
      <c r="G525" t="n">
        <v>4.4</v>
      </c>
      <c r="H525" t="n">
        <v>0</v>
      </c>
      <c r="I525" t="n">
        <v>0</v>
      </c>
      <c r="J525" t="n">
        <v>0</v>
      </c>
      <c r="K525" t="n">
        <v>0</v>
      </c>
      <c r="L525" t="n">
        <v>0</v>
      </c>
      <c r="M525" t="n">
        <v>0</v>
      </c>
      <c r="N525" t="n">
        <v>0</v>
      </c>
      <c r="O525" t="n">
        <v>0</v>
      </c>
      <c r="P525" t="n">
        <v>0</v>
      </c>
      <c r="Q525" t="n">
        <v>0</v>
      </c>
      <c r="R525" s="2" t="inlineStr"/>
    </row>
    <row r="526" ht="15" customHeight="1">
      <c r="A526" t="inlineStr">
        <is>
          <t>A 53398-2025</t>
        </is>
      </c>
      <c r="B526" s="1" t="n">
        <v>45959.56247685185</v>
      </c>
      <c r="C526" s="1" t="n">
        <v>46133</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53397-2025</t>
        </is>
      </c>
      <c r="B527" s="1" t="n">
        <v>45959.55918981481</v>
      </c>
      <c r="C527" s="1" t="n">
        <v>46133</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53220-2025</t>
        </is>
      </c>
      <c r="B528" s="1" t="n">
        <v>45958.60146990741</v>
      </c>
      <c r="C528" s="1" t="n">
        <v>46133</v>
      </c>
      <c r="D528" t="inlineStr">
        <is>
          <t>KALMAR LÄN</t>
        </is>
      </c>
      <c r="E528" t="inlineStr">
        <is>
          <t>VIMMERBY</t>
        </is>
      </c>
      <c r="G528" t="n">
        <v>2.2</v>
      </c>
      <c r="H528" t="n">
        <v>0</v>
      </c>
      <c r="I528" t="n">
        <v>0</v>
      </c>
      <c r="J528" t="n">
        <v>0</v>
      </c>
      <c r="K528" t="n">
        <v>0</v>
      </c>
      <c r="L528" t="n">
        <v>0</v>
      </c>
      <c r="M528" t="n">
        <v>0</v>
      </c>
      <c r="N528" t="n">
        <v>0</v>
      </c>
      <c r="O528" t="n">
        <v>0</v>
      </c>
      <c r="P528" t="n">
        <v>0</v>
      </c>
      <c r="Q528" t="n">
        <v>0</v>
      </c>
      <c r="R528" s="2" t="inlineStr"/>
    </row>
    <row r="529" ht="15" customHeight="1">
      <c r="A529" t="inlineStr">
        <is>
          <t>A 53393-2025</t>
        </is>
      </c>
      <c r="B529" s="1" t="n">
        <v>45959.55284722222</v>
      </c>
      <c r="C529" s="1" t="n">
        <v>46133</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53413-2025</t>
        </is>
      </c>
      <c r="B530" s="1" t="n">
        <v>45959.5787037037</v>
      </c>
      <c r="C530" s="1" t="n">
        <v>46133</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53903-2025</t>
        </is>
      </c>
      <c r="B531" s="1" t="n">
        <v>45961.43738425926</v>
      </c>
      <c r="C531" s="1" t="n">
        <v>46133</v>
      </c>
      <c r="D531" t="inlineStr">
        <is>
          <t>KALMAR LÄN</t>
        </is>
      </c>
      <c r="E531" t="inlineStr">
        <is>
          <t>VIMMERBY</t>
        </is>
      </c>
      <c r="G531" t="n">
        <v>0.8</v>
      </c>
      <c r="H531" t="n">
        <v>0</v>
      </c>
      <c r="I531" t="n">
        <v>0</v>
      </c>
      <c r="J531" t="n">
        <v>0</v>
      </c>
      <c r="K531" t="n">
        <v>0</v>
      </c>
      <c r="L531" t="n">
        <v>0</v>
      </c>
      <c r="M531" t="n">
        <v>0</v>
      </c>
      <c r="N531" t="n">
        <v>0</v>
      </c>
      <c r="O531" t="n">
        <v>0</v>
      </c>
      <c r="P531" t="n">
        <v>0</v>
      </c>
      <c r="Q531" t="n">
        <v>0</v>
      </c>
      <c r="R531" s="2" t="inlineStr"/>
    </row>
    <row r="532" ht="15" customHeight="1">
      <c r="A532" t="inlineStr">
        <is>
          <t>A 53920-2025</t>
        </is>
      </c>
      <c r="B532" s="1" t="n">
        <v>45961.44951388889</v>
      </c>
      <c r="C532" s="1" t="n">
        <v>46133</v>
      </c>
      <c r="D532" t="inlineStr">
        <is>
          <t>KALMAR LÄN</t>
        </is>
      </c>
      <c r="E532" t="inlineStr">
        <is>
          <t>VIMMERBY</t>
        </is>
      </c>
      <c r="G532" t="n">
        <v>1.4</v>
      </c>
      <c r="H532" t="n">
        <v>0</v>
      </c>
      <c r="I532" t="n">
        <v>0</v>
      </c>
      <c r="J532" t="n">
        <v>0</v>
      </c>
      <c r="K532" t="n">
        <v>0</v>
      </c>
      <c r="L532" t="n">
        <v>0</v>
      </c>
      <c r="M532" t="n">
        <v>0</v>
      </c>
      <c r="N532" t="n">
        <v>0</v>
      </c>
      <c r="O532" t="n">
        <v>0</v>
      </c>
      <c r="P532" t="n">
        <v>0</v>
      </c>
      <c r="Q532" t="n">
        <v>0</v>
      </c>
      <c r="R532" s="2" t="inlineStr"/>
    </row>
    <row r="533" ht="15" customHeight="1">
      <c r="A533" t="inlineStr">
        <is>
          <t>A 53927-2025</t>
        </is>
      </c>
      <c r="B533" s="1" t="n">
        <v>45961.46740740741</v>
      </c>
      <c r="C533" s="1" t="n">
        <v>46133</v>
      </c>
      <c r="D533" t="inlineStr">
        <is>
          <t>KALMAR LÄN</t>
        </is>
      </c>
      <c r="E533" t="inlineStr">
        <is>
          <t>VIMMERBY</t>
        </is>
      </c>
      <c r="G533" t="n">
        <v>2.5</v>
      </c>
      <c r="H533" t="n">
        <v>0</v>
      </c>
      <c r="I533" t="n">
        <v>0</v>
      </c>
      <c r="J533" t="n">
        <v>0</v>
      </c>
      <c r="K533" t="n">
        <v>0</v>
      </c>
      <c r="L533" t="n">
        <v>0</v>
      </c>
      <c r="M533" t="n">
        <v>0</v>
      </c>
      <c r="N533" t="n">
        <v>0</v>
      </c>
      <c r="O533" t="n">
        <v>0</v>
      </c>
      <c r="P533" t="n">
        <v>0</v>
      </c>
      <c r="Q533" t="n">
        <v>0</v>
      </c>
      <c r="R533" s="2" t="inlineStr"/>
    </row>
    <row r="534" ht="15" customHeight="1">
      <c r="A534" t="inlineStr">
        <is>
          <t>A 53789-2025</t>
        </is>
      </c>
      <c r="B534" s="1" t="n">
        <v>45960</v>
      </c>
      <c r="C534" s="1" t="n">
        <v>46133</v>
      </c>
      <c r="D534" t="inlineStr">
        <is>
          <t>KALMAR LÄN</t>
        </is>
      </c>
      <c r="E534" t="inlineStr">
        <is>
          <t>VIMMERBY</t>
        </is>
      </c>
      <c r="F534" t="inlineStr">
        <is>
          <t>Övriga statliga verk och myndigheter</t>
        </is>
      </c>
      <c r="G534" t="n">
        <v>1.6</v>
      </c>
      <c r="H534" t="n">
        <v>0</v>
      </c>
      <c r="I534" t="n">
        <v>0</v>
      </c>
      <c r="J534" t="n">
        <v>0</v>
      </c>
      <c r="K534" t="n">
        <v>0</v>
      </c>
      <c r="L534" t="n">
        <v>0</v>
      </c>
      <c r="M534" t="n">
        <v>0</v>
      </c>
      <c r="N534" t="n">
        <v>0</v>
      </c>
      <c r="O534" t="n">
        <v>0</v>
      </c>
      <c r="P534" t="n">
        <v>0</v>
      </c>
      <c r="Q534" t="n">
        <v>0</v>
      </c>
      <c r="R534" s="2" t="inlineStr"/>
    </row>
    <row r="535" ht="15" customHeight="1">
      <c r="A535" t="inlineStr">
        <is>
          <t>A 53923-2025</t>
        </is>
      </c>
      <c r="B535" s="1" t="n">
        <v>45961.4569212963</v>
      </c>
      <c r="C535" s="1" t="n">
        <v>46133</v>
      </c>
      <c r="D535" t="inlineStr">
        <is>
          <t>KALMAR LÄN</t>
        </is>
      </c>
      <c r="E535" t="inlineStr">
        <is>
          <t>VIMMERBY</t>
        </is>
      </c>
      <c r="G535" t="n">
        <v>2.4</v>
      </c>
      <c r="H535" t="n">
        <v>0</v>
      </c>
      <c r="I535" t="n">
        <v>0</v>
      </c>
      <c r="J535" t="n">
        <v>0</v>
      </c>
      <c r="K535" t="n">
        <v>0</v>
      </c>
      <c r="L535" t="n">
        <v>0</v>
      </c>
      <c r="M535" t="n">
        <v>0</v>
      </c>
      <c r="N535" t="n">
        <v>0</v>
      </c>
      <c r="O535" t="n">
        <v>0</v>
      </c>
      <c r="P535" t="n">
        <v>0</v>
      </c>
      <c r="Q535" t="n">
        <v>0</v>
      </c>
      <c r="R535" s="2" t="inlineStr"/>
    </row>
    <row r="536" ht="15" customHeight="1">
      <c r="A536" t="inlineStr">
        <is>
          <t>A 50860-2022</t>
        </is>
      </c>
      <c r="B536" s="1" t="n">
        <v>44867</v>
      </c>
      <c r="C536" s="1" t="n">
        <v>46133</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53933-2025</t>
        </is>
      </c>
      <c r="B537" s="1" t="n">
        <v>45961.47650462963</v>
      </c>
      <c r="C537" s="1" t="n">
        <v>46133</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25370-2022</t>
        </is>
      </c>
      <c r="B538" s="1" t="n">
        <v>44732.3659837963</v>
      </c>
      <c r="C538" s="1" t="n">
        <v>46133</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58577-2024</t>
        </is>
      </c>
      <c r="B539" s="1" t="n">
        <v>45635.4874537037</v>
      </c>
      <c r="C539" s="1" t="n">
        <v>46133</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53788-2025</t>
        </is>
      </c>
      <c r="B540" s="1" t="n">
        <v>45960</v>
      </c>
      <c r="C540" s="1" t="n">
        <v>46133</v>
      </c>
      <c r="D540" t="inlineStr">
        <is>
          <t>KALMAR LÄN</t>
        </is>
      </c>
      <c r="E540" t="inlineStr">
        <is>
          <t>VIMMERBY</t>
        </is>
      </c>
      <c r="F540" t="inlineStr">
        <is>
          <t>Övriga statliga verk och myndigheter</t>
        </is>
      </c>
      <c r="G540" t="n">
        <v>6.3</v>
      </c>
      <c r="H540" t="n">
        <v>0</v>
      </c>
      <c r="I540" t="n">
        <v>0</v>
      </c>
      <c r="J540" t="n">
        <v>0</v>
      </c>
      <c r="K540" t="n">
        <v>0</v>
      </c>
      <c r="L540" t="n">
        <v>0</v>
      </c>
      <c r="M540" t="n">
        <v>0</v>
      </c>
      <c r="N540" t="n">
        <v>0</v>
      </c>
      <c r="O540" t="n">
        <v>0</v>
      </c>
      <c r="P540" t="n">
        <v>0</v>
      </c>
      <c r="Q540" t="n">
        <v>0</v>
      </c>
      <c r="R540" s="2" t="inlineStr"/>
    </row>
    <row r="541" ht="15" customHeight="1">
      <c r="A541" t="inlineStr">
        <is>
          <t>A 29440-2024</t>
        </is>
      </c>
      <c r="B541" s="1" t="n">
        <v>45483.82479166667</v>
      </c>
      <c r="C541" s="1" t="n">
        <v>46133</v>
      </c>
      <c r="D541" t="inlineStr">
        <is>
          <t>KALMAR LÄN</t>
        </is>
      </c>
      <c r="E541" t="inlineStr">
        <is>
          <t>VIMMERBY</t>
        </is>
      </c>
      <c r="G541" t="n">
        <v>4.5</v>
      </c>
      <c r="H541" t="n">
        <v>0</v>
      </c>
      <c r="I541" t="n">
        <v>0</v>
      </c>
      <c r="J541" t="n">
        <v>0</v>
      </c>
      <c r="K541" t="n">
        <v>0</v>
      </c>
      <c r="L541" t="n">
        <v>0</v>
      </c>
      <c r="M541" t="n">
        <v>0</v>
      </c>
      <c r="N541" t="n">
        <v>0</v>
      </c>
      <c r="O541" t="n">
        <v>0</v>
      </c>
      <c r="P541" t="n">
        <v>0</v>
      </c>
      <c r="Q541" t="n">
        <v>0</v>
      </c>
      <c r="R541" s="2" t="inlineStr"/>
    </row>
    <row r="542" ht="15" customHeight="1">
      <c r="A542" t="inlineStr">
        <is>
          <t>A 54236-2025</t>
        </is>
      </c>
      <c r="B542" s="1" t="n">
        <v>45964.62671296296</v>
      </c>
      <c r="C542" s="1" t="n">
        <v>46133</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9129-2025</t>
        </is>
      </c>
      <c r="B543" s="1" t="n">
        <v>45713.92412037037</v>
      </c>
      <c r="C543" s="1" t="n">
        <v>46133</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22197-2024</t>
        </is>
      </c>
      <c r="B544" s="1" t="n">
        <v>45446.36774305555</v>
      </c>
      <c r="C544" s="1" t="n">
        <v>46133</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53752-2024</t>
        </is>
      </c>
      <c r="B545" s="1" t="n">
        <v>45615.48927083334</v>
      </c>
      <c r="C545" s="1" t="n">
        <v>46133</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46133</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12121-2025</t>
        </is>
      </c>
      <c r="B547" s="1" t="n">
        <v>45729.36868055556</v>
      </c>
      <c r="C547" s="1" t="n">
        <v>46133</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54737-2025</t>
        </is>
      </c>
      <c r="B548" s="1" t="n">
        <v>45966.56826388889</v>
      </c>
      <c r="C548" s="1" t="n">
        <v>46133</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54813-2025</t>
        </is>
      </c>
      <c r="B549" s="1" t="n">
        <v>45966.64881944445</v>
      </c>
      <c r="C549" s="1" t="n">
        <v>46133</v>
      </c>
      <c r="D549" t="inlineStr">
        <is>
          <t>KALMAR LÄN</t>
        </is>
      </c>
      <c r="E549" t="inlineStr">
        <is>
          <t>VIMMERBY</t>
        </is>
      </c>
      <c r="G549" t="n">
        <v>1.7</v>
      </c>
      <c r="H549" t="n">
        <v>0</v>
      </c>
      <c r="I549" t="n">
        <v>0</v>
      </c>
      <c r="J549" t="n">
        <v>0</v>
      </c>
      <c r="K549" t="n">
        <v>0</v>
      </c>
      <c r="L549" t="n">
        <v>0</v>
      </c>
      <c r="M549" t="n">
        <v>0</v>
      </c>
      <c r="N549" t="n">
        <v>0</v>
      </c>
      <c r="O549" t="n">
        <v>0</v>
      </c>
      <c r="P549" t="n">
        <v>0</v>
      </c>
      <c r="Q549" t="n">
        <v>0</v>
      </c>
      <c r="R549" s="2" t="inlineStr"/>
    </row>
    <row r="550" ht="15" customHeight="1">
      <c r="A550" t="inlineStr">
        <is>
          <t>A 9710-2023</t>
        </is>
      </c>
      <c r="B550" s="1" t="n">
        <v>44984</v>
      </c>
      <c r="C550" s="1" t="n">
        <v>46133</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9720-2023</t>
        </is>
      </c>
      <c r="B551" s="1" t="n">
        <v>44984</v>
      </c>
      <c r="C551" s="1" t="n">
        <v>46133</v>
      </c>
      <c r="D551" t="inlineStr">
        <is>
          <t>KALMAR LÄN</t>
        </is>
      </c>
      <c r="E551" t="inlineStr">
        <is>
          <t>VIMMERBY</t>
        </is>
      </c>
      <c r="G551" t="n">
        <v>4.4</v>
      </c>
      <c r="H551" t="n">
        <v>0</v>
      </c>
      <c r="I551" t="n">
        <v>0</v>
      </c>
      <c r="J551" t="n">
        <v>0</v>
      </c>
      <c r="K551" t="n">
        <v>0</v>
      </c>
      <c r="L551" t="n">
        <v>0</v>
      </c>
      <c r="M551" t="n">
        <v>0</v>
      </c>
      <c r="N551" t="n">
        <v>0</v>
      </c>
      <c r="O551" t="n">
        <v>0</v>
      </c>
      <c r="P551" t="n">
        <v>0</v>
      </c>
      <c r="Q551" t="n">
        <v>0</v>
      </c>
      <c r="R551" s="2" t="inlineStr"/>
    </row>
    <row r="552" ht="15" customHeight="1">
      <c r="A552" t="inlineStr">
        <is>
          <t>A 15493-2023</t>
        </is>
      </c>
      <c r="B552" s="1" t="n">
        <v>45018</v>
      </c>
      <c r="C552" s="1" t="n">
        <v>46133</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55602-2025</t>
        </is>
      </c>
      <c r="B553" s="1" t="n">
        <v>45971</v>
      </c>
      <c r="C553" s="1" t="n">
        <v>46133</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55603-2025</t>
        </is>
      </c>
      <c r="B554" s="1" t="n">
        <v>45971</v>
      </c>
      <c r="C554" s="1" t="n">
        <v>46133</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55605-2025</t>
        </is>
      </c>
      <c r="B555" s="1" t="n">
        <v>45971</v>
      </c>
      <c r="C555" s="1" t="n">
        <v>46133</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55385-2025</t>
        </is>
      </c>
      <c r="B556" s="1" t="n">
        <v>45971.43350694444</v>
      </c>
      <c r="C556" s="1" t="n">
        <v>46133</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29093-2023</t>
        </is>
      </c>
      <c r="B557" s="1" t="n">
        <v>45105</v>
      </c>
      <c r="C557" s="1" t="n">
        <v>46133</v>
      </c>
      <c r="D557" t="inlineStr">
        <is>
          <t>KALMAR LÄN</t>
        </is>
      </c>
      <c r="E557" t="inlineStr">
        <is>
          <t>VIMMERBY</t>
        </is>
      </c>
      <c r="G557" t="n">
        <v>2.9</v>
      </c>
      <c r="H557" t="n">
        <v>0</v>
      </c>
      <c r="I557" t="n">
        <v>0</v>
      </c>
      <c r="J557" t="n">
        <v>0</v>
      </c>
      <c r="K557" t="n">
        <v>0</v>
      </c>
      <c r="L557" t="n">
        <v>0</v>
      </c>
      <c r="M557" t="n">
        <v>0</v>
      </c>
      <c r="N557" t="n">
        <v>0</v>
      </c>
      <c r="O557" t="n">
        <v>0</v>
      </c>
      <c r="P557" t="n">
        <v>0</v>
      </c>
      <c r="Q557" t="n">
        <v>0</v>
      </c>
      <c r="R557" s="2" t="inlineStr"/>
    </row>
    <row r="558" ht="15" customHeight="1">
      <c r="A558" t="inlineStr">
        <is>
          <t>A 33352-2022</t>
        </is>
      </c>
      <c r="B558" s="1" t="n">
        <v>44788</v>
      </c>
      <c r="C558" s="1" t="n">
        <v>46133</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22264-2023</t>
        </is>
      </c>
      <c r="B559" s="1" t="n">
        <v>45070.3665625</v>
      </c>
      <c r="C559" s="1" t="n">
        <v>46133</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16676-2023</t>
        </is>
      </c>
      <c r="B560" s="1" t="n">
        <v>45028</v>
      </c>
      <c r="C560" s="1" t="n">
        <v>46133</v>
      </c>
      <c r="D560" t="inlineStr">
        <is>
          <t>KALMAR LÄN</t>
        </is>
      </c>
      <c r="E560" t="inlineStr">
        <is>
          <t>VIMMERBY</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6220-2025</t>
        </is>
      </c>
      <c r="B561" s="1" t="n">
        <v>45698.53725694444</v>
      </c>
      <c r="C561" s="1" t="n">
        <v>46133</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24096-2024</t>
        </is>
      </c>
      <c r="B562" s="1" t="n">
        <v>45456.59289351852</v>
      </c>
      <c r="C562" s="1" t="n">
        <v>46133</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29013-2024</t>
        </is>
      </c>
      <c r="B563" s="1" t="n">
        <v>45481.55984953704</v>
      </c>
      <c r="C563" s="1" t="n">
        <v>46133</v>
      </c>
      <c r="D563" t="inlineStr">
        <is>
          <t>KALMAR LÄN</t>
        </is>
      </c>
      <c r="E563" t="inlineStr">
        <is>
          <t>VIMMERBY</t>
        </is>
      </c>
      <c r="G563" t="n">
        <v>3.4</v>
      </c>
      <c r="H563" t="n">
        <v>0</v>
      </c>
      <c r="I563" t="n">
        <v>0</v>
      </c>
      <c r="J563" t="n">
        <v>0</v>
      </c>
      <c r="K563" t="n">
        <v>0</v>
      </c>
      <c r="L563" t="n">
        <v>0</v>
      </c>
      <c r="M563" t="n">
        <v>0</v>
      </c>
      <c r="N563" t="n">
        <v>0</v>
      </c>
      <c r="O563" t="n">
        <v>0</v>
      </c>
      <c r="P563" t="n">
        <v>0</v>
      </c>
      <c r="Q563" t="n">
        <v>0</v>
      </c>
      <c r="R563" s="2" t="inlineStr"/>
    </row>
    <row r="564" ht="15" customHeight="1">
      <c r="A564" t="inlineStr">
        <is>
          <t>A 6066-2023</t>
        </is>
      </c>
      <c r="B564" s="1" t="n">
        <v>44964.50894675926</v>
      </c>
      <c r="C564" s="1" t="n">
        <v>46133</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59955-2023</t>
        </is>
      </c>
      <c r="B565" s="1" t="n">
        <v>45257.70313657408</v>
      </c>
      <c r="C565" s="1" t="n">
        <v>46133</v>
      </c>
      <c r="D565" t="inlineStr">
        <is>
          <t>KALMAR LÄN</t>
        </is>
      </c>
      <c r="E565" t="inlineStr">
        <is>
          <t>VIMMERBY</t>
        </is>
      </c>
      <c r="G565" t="n">
        <v>13.8</v>
      </c>
      <c r="H565" t="n">
        <v>0</v>
      </c>
      <c r="I565" t="n">
        <v>0</v>
      </c>
      <c r="J565" t="n">
        <v>0</v>
      </c>
      <c r="K565" t="n">
        <v>0</v>
      </c>
      <c r="L565" t="n">
        <v>0</v>
      </c>
      <c r="M565" t="n">
        <v>0</v>
      </c>
      <c r="N565" t="n">
        <v>0</v>
      </c>
      <c r="O565" t="n">
        <v>0</v>
      </c>
      <c r="P565" t="n">
        <v>0</v>
      </c>
      <c r="Q565" t="n">
        <v>0</v>
      </c>
      <c r="R565" s="2" t="inlineStr"/>
    </row>
    <row r="566" ht="15" customHeight="1">
      <c r="A566" t="inlineStr">
        <is>
          <t>A 36040-2024</t>
        </is>
      </c>
      <c r="B566" s="1" t="n">
        <v>45533.60232638889</v>
      </c>
      <c r="C566" s="1" t="n">
        <v>46133</v>
      </c>
      <c r="D566" t="inlineStr">
        <is>
          <t>KALMAR LÄN</t>
        </is>
      </c>
      <c r="E566" t="inlineStr">
        <is>
          <t>VIMMERBY</t>
        </is>
      </c>
      <c r="F566" t="inlineStr">
        <is>
          <t>Kommuner</t>
        </is>
      </c>
      <c r="G566" t="n">
        <v>3.6</v>
      </c>
      <c r="H566" t="n">
        <v>0</v>
      </c>
      <c r="I566" t="n">
        <v>0</v>
      </c>
      <c r="J566" t="n">
        <v>0</v>
      </c>
      <c r="K566" t="n">
        <v>0</v>
      </c>
      <c r="L566" t="n">
        <v>0</v>
      </c>
      <c r="M566" t="n">
        <v>0</v>
      </c>
      <c r="N566" t="n">
        <v>0</v>
      </c>
      <c r="O566" t="n">
        <v>0</v>
      </c>
      <c r="P566" t="n">
        <v>0</v>
      </c>
      <c r="Q566" t="n">
        <v>0</v>
      </c>
      <c r="R566" s="2" t="inlineStr"/>
    </row>
    <row r="567" ht="15" customHeight="1">
      <c r="A567" t="inlineStr">
        <is>
          <t>A 36043-2024</t>
        </is>
      </c>
      <c r="B567" s="1" t="n">
        <v>45533.60770833334</v>
      </c>
      <c r="C567" s="1" t="n">
        <v>46133</v>
      </c>
      <c r="D567" t="inlineStr">
        <is>
          <t>KALMAR LÄN</t>
        </is>
      </c>
      <c r="E567" t="inlineStr">
        <is>
          <t>VIMMERBY</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12890-2023</t>
        </is>
      </c>
      <c r="B568" s="1" t="n">
        <v>45001.59209490741</v>
      </c>
      <c r="C568" s="1" t="n">
        <v>46133</v>
      </c>
      <c r="D568" t="inlineStr">
        <is>
          <t>KALMAR LÄN</t>
        </is>
      </c>
      <c r="E568" t="inlineStr">
        <is>
          <t>VIMMERBY</t>
        </is>
      </c>
      <c r="G568" t="n">
        <v>2.8</v>
      </c>
      <c r="H568" t="n">
        <v>0</v>
      </c>
      <c r="I568" t="n">
        <v>0</v>
      </c>
      <c r="J568" t="n">
        <v>0</v>
      </c>
      <c r="K568" t="n">
        <v>0</v>
      </c>
      <c r="L568" t="n">
        <v>0</v>
      </c>
      <c r="M568" t="n">
        <v>0</v>
      </c>
      <c r="N568" t="n">
        <v>0</v>
      </c>
      <c r="O568" t="n">
        <v>0</v>
      </c>
      <c r="P568" t="n">
        <v>0</v>
      </c>
      <c r="Q568" t="n">
        <v>0</v>
      </c>
      <c r="R568" s="2" t="inlineStr"/>
    </row>
    <row r="569" ht="15" customHeight="1">
      <c r="A569" t="inlineStr">
        <is>
          <t>A 43594-2024</t>
        </is>
      </c>
      <c r="B569" s="1" t="n">
        <v>45569.44295138889</v>
      </c>
      <c r="C569" s="1" t="n">
        <v>46133</v>
      </c>
      <c r="D569" t="inlineStr">
        <is>
          <t>KALMAR LÄN</t>
        </is>
      </c>
      <c r="E569" t="inlineStr">
        <is>
          <t>VIMMERBY</t>
        </is>
      </c>
      <c r="G569" t="n">
        <v>3.9</v>
      </c>
      <c r="H569" t="n">
        <v>0</v>
      </c>
      <c r="I569" t="n">
        <v>0</v>
      </c>
      <c r="J569" t="n">
        <v>0</v>
      </c>
      <c r="K569" t="n">
        <v>0</v>
      </c>
      <c r="L569" t="n">
        <v>0</v>
      </c>
      <c r="M569" t="n">
        <v>0</v>
      </c>
      <c r="N569" t="n">
        <v>0</v>
      </c>
      <c r="O569" t="n">
        <v>0</v>
      </c>
      <c r="P569" t="n">
        <v>0</v>
      </c>
      <c r="Q569" t="n">
        <v>0</v>
      </c>
      <c r="R569" s="2" t="inlineStr"/>
    </row>
    <row r="570" ht="15" customHeight="1">
      <c r="A570" t="inlineStr">
        <is>
          <t>A 53482-2022</t>
        </is>
      </c>
      <c r="B570" s="1" t="n">
        <v>44879</v>
      </c>
      <c r="C570" s="1" t="n">
        <v>46133</v>
      </c>
      <c r="D570" t="inlineStr">
        <is>
          <t>KALMAR LÄN</t>
        </is>
      </c>
      <c r="E570" t="inlineStr">
        <is>
          <t>VIMMERBY</t>
        </is>
      </c>
      <c r="G570" t="n">
        <v>10.1</v>
      </c>
      <c r="H570" t="n">
        <v>0</v>
      </c>
      <c r="I570" t="n">
        <v>0</v>
      </c>
      <c r="J570" t="n">
        <v>0</v>
      </c>
      <c r="K570" t="n">
        <v>0</v>
      </c>
      <c r="L570" t="n">
        <v>0</v>
      </c>
      <c r="M570" t="n">
        <v>0</v>
      </c>
      <c r="N570" t="n">
        <v>0</v>
      </c>
      <c r="O570" t="n">
        <v>0</v>
      </c>
      <c r="P570" t="n">
        <v>0</v>
      </c>
      <c r="Q570" t="n">
        <v>0</v>
      </c>
      <c r="R570" s="2" t="inlineStr"/>
    </row>
    <row r="571" ht="15" customHeight="1">
      <c r="A571" t="inlineStr">
        <is>
          <t>A 27761-2024</t>
        </is>
      </c>
      <c r="B571" s="1" t="n">
        <v>45475.49018518518</v>
      </c>
      <c r="C571" s="1" t="n">
        <v>46133</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64203-2021</t>
        </is>
      </c>
      <c r="B572" s="1" t="n">
        <v>44510.60921296296</v>
      </c>
      <c r="C572" s="1" t="n">
        <v>46133</v>
      </c>
      <c r="D572" t="inlineStr">
        <is>
          <t>KALMAR LÄN</t>
        </is>
      </c>
      <c r="E572" t="inlineStr">
        <is>
          <t>VIMMERBY</t>
        </is>
      </c>
      <c r="F572" t="inlineStr">
        <is>
          <t>Övriga Aktiebolag</t>
        </is>
      </c>
      <c r="G572" t="n">
        <v>5.4</v>
      </c>
      <c r="H572" t="n">
        <v>0</v>
      </c>
      <c r="I572" t="n">
        <v>0</v>
      </c>
      <c r="J572" t="n">
        <v>0</v>
      </c>
      <c r="K572" t="n">
        <v>0</v>
      </c>
      <c r="L572" t="n">
        <v>0</v>
      </c>
      <c r="M572" t="n">
        <v>0</v>
      </c>
      <c r="N572" t="n">
        <v>0</v>
      </c>
      <c r="O572" t="n">
        <v>0</v>
      </c>
      <c r="P572" t="n">
        <v>0</v>
      </c>
      <c r="Q572" t="n">
        <v>0</v>
      </c>
      <c r="R572" s="2" t="inlineStr"/>
    </row>
    <row r="573" ht="15" customHeight="1">
      <c r="A573" t="inlineStr">
        <is>
          <t>A 5720-2023</t>
        </is>
      </c>
      <c r="B573" s="1" t="n">
        <v>44961</v>
      </c>
      <c r="C573" s="1" t="n">
        <v>46133</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9643-2023</t>
        </is>
      </c>
      <c r="B574" s="1" t="n">
        <v>44984</v>
      </c>
      <c r="C574" s="1" t="n">
        <v>46133</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25728-2023</t>
        </is>
      </c>
      <c r="B575" s="1" t="n">
        <v>45090.38012731481</v>
      </c>
      <c r="C575" s="1" t="n">
        <v>46133</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41311-2023</t>
        </is>
      </c>
      <c r="B576" s="1" t="n">
        <v>45174</v>
      </c>
      <c r="C576" s="1" t="n">
        <v>46133</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26318-2023</t>
        </is>
      </c>
      <c r="B577" s="1" t="n">
        <v>45091.67936342592</v>
      </c>
      <c r="C577" s="1" t="n">
        <v>46133</v>
      </c>
      <c r="D577" t="inlineStr">
        <is>
          <t>KALMAR LÄN</t>
        </is>
      </c>
      <c r="E577" t="inlineStr">
        <is>
          <t>VIMMERBY</t>
        </is>
      </c>
      <c r="G577" t="n">
        <v>3.8</v>
      </c>
      <c r="H577" t="n">
        <v>0</v>
      </c>
      <c r="I577" t="n">
        <v>0</v>
      </c>
      <c r="J577" t="n">
        <v>0</v>
      </c>
      <c r="K577" t="n">
        <v>0</v>
      </c>
      <c r="L577" t="n">
        <v>0</v>
      </c>
      <c r="M577" t="n">
        <v>0</v>
      </c>
      <c r="N577" t="n">
        <v>0</v>
      </c>
      <c r="O577" t="n">
        <v>0</v>
      </c>
      <c r="P577" t="n">
        <v>0</v>
      </c>
      <c r="Q577" t="n">
        <v>0</v>
      </c>
      <c r="R577" s="2" t="inlineStr"/>
    </row>
    <row r="578" ht="15" customHeight="1">
      <c r="A578" t="inlineStr">
        <is>
          <t>A 57728-2025</t>
        </is>
      </c>
      <c r="B578" s="1" t="n">
        <v>45981</v>
      </c>
      <c r="C578" s="1" t="n">
        <v>46133</v>
      </c>
      <c r="D578" t="inlineStr">
        <is>
          <t>KALMAR LÄN</t>
        </is>
      </c>
      <c r="E578" t="inlineStr">
        <is>
          <t>VIMMERBY</t>
        </is>
      </c>
      <c r="G578" t="n">
        <v>0.8</v>
      </c>
      <c r="H578" t="n">
        <v>0</v>
      </c>
      <c r="I578" t="n">
        <v>0</v>
      </c>
      <c r="J578" t="n">
        <v>0</v>
      </c>
      <c r="K578" t="n">
        <v>0</v>
      </c>
      <c r="L578" t="n">
        <v>0</v>
      </c>
      <c r="M578" t="n">
        <v>0</v>
      </c>
      <c r="N578" t="n">
        <v>0</v>
      </c>
      <c r="O578" t="n">
        <v>0</v>
      </c>
      <c r="P578" t="n">
        <v>0</v>
      </c>
      <c r="Q578" t="n">
        <v>0</v>
      </c>
      <c r="R578" s="2" t="inlineStr"/>
    </row>
    <row r="579" ht="15" customHeight="1">
      <c r="A579" t="inlineStr">
        <is>
          <t>A 61355-2024</t>
        </is>
      </c>
      <c r="B579" s="1" t="n">
        <v>45646.38200231481</v>
      </c>
      <c r="C579" s="1" t="n">
        <v>46133</v>
      </c>
      <c r="D579" t="inlineStr">
        <is>
          <t>KALMAR LÄN</t>
        </is>
      </c>
      <c r="E579" t="inlineStr">
        <is>
          <t>VIMMERBY</t>
        </is>
      </c>
      <c r="G579" t="n">
        <v>2.7</v>
      </c>
      <c r="H579" t="n">
        <v>0</v>
      </c>
      <c r="I579" t="n">
        <v>0</v>
      </c>
      <c r="J579" t="n">
        <v>0</v>
      </c>
      <c r="K579" t="n">
        <v>0</v>
      </c>
      <c r="L579" t="n">
        <v>0</v>
      </c>
      <c r="M579" t="n">
        <v>0</v>
      </c>
      <c r="N579" t="n">
        <v>0</v>
      </c>
      <c r="O579" t="n">
        <v>0</v>
      </c>
      <c r="P579" t="n">
        <v>0</v>
      </c>
      <c r="Q579" t="n">
        <v>0</v>
      </c>
      <c r="R579" s="2" t="inlineStr"/>
    </row>
    <row r="580" ht="15" customHeight="1">
      <c r="A580" t="inlineStr">
        <is>
          <t>A 58503-2025</t>
        </is>
      </c>
      <c r="B580" s="1" t="n">
        <v>45985.69509259259</v>
      </c>
      <c r="C580" s="1" t="n">
        <v>46133</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58498-2025</t>
        </is>
      </c>
      <c r="B581" s="1" t="n">
        <v>45985.68671296296</v>
      </c>
      <c r="C581" s="1" t="n">
        <v>46133</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58501-2025</t>
        </is>
      </c>
      <c r="B582" s="1" t="n">
        <v>45985.69153935185</v>
      </c>
      <c r="C582" s="1" t="n">
        <v>46133</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58514-2025</t>
        </is>
      </c>
      <c r="B583" s="1" t="n">
        <v>45985.70513888889</v>
      </c>
      <c r="C583" s="1" t="n">
        <v>46133</v>
      </c>
      <c r="D583" t="inlineStr">
        <is>
          <t>KALMAR LÄN</t>
        </is>
      </c>
      <c r="E583" t="inlineStr">
        <is>
          <t>VIMMERBY</t>
        </is>
      </c>
      <c r="G583" t="n">
        <v>3.7</v>
      </c>
      <c r="H583" t="n">
        <v>0</v>
      </c>
      <c r="I583" t="n">
        <v>0</v>
      </c>
      <c r="J583" t="n">
        <v>0</v>
      </c>
      <c r="K583" t="n">
        <v>0</v>
      </c>
      <c r="L583" t="n">
        <v>0</v>
      </c>
      <c r="M583" t="n">
        <v>0</v>
      </c>
      <c r="N583" t="n">
        <v>0</v>
      </c>
      <c r="O583" t="n">
        <v>0</v>
      </c>
      <c r="P583" t="n">
        <v>0</v>
      </c>
      <c r="Q583" t="n">
        <v>0</v>
      </c>
      <c r="R583" s="2" t="inlineStr"/>
    </row>
    <row r="584" ht="15" customHeight="1">
      <c r="A584" t="inlineStr">
        <is>
          <t>A 58442-2025</t>
        </is>
      </c>
      <c r="B584" s="1" t="n">
        <v>45985.61635416667</v>
      </c>
      <c r="C584" s="1" t="n">
        <v>46133</v>
      </c>
      <c r="D584" t="inlineStr">
        <is>
          <t>KALMAR LÄN</t>
        </is>
      </c>
      <c r="E584" t="inlineStr">
        <is>
          <t>VIMMERBY</t>
        </is>
      </c>
      <c r="G584" t="n">
        <v>0.8</v>
      </c>
      <c r="H584" t="n">
        <v>0</v>
      </c>
      <c r="I584" t="n">
        <v>0</v>
      </c>
      <c r="J584" t="n">
        <v>0</v>
      </c>
      <c r="K584" t="n">
        <v>0</v>
      </c>
      <c r="L584" t="n">
        <v>0</v>
      </c>
      <c r="M584" t="n">
        <v>0</v>
      </c>
      <c r="N584" t="n">
        <v>0</v>
      </c>
      <c r="O584" t="n">
        <v>0</v>
      </c>
      <c r="P584" t="n">
        <v>0</v>
      </c>
      <c r="Q584" t="n">
        <v>0</v>
      </c>
      <c r="R584" s="2" t="inlineStr"/>
    </row>
    <row r="585" ht="15" customHeight="1">
      <c r="A585" t="inlineStr">
        <is>
          <t>A 58435-2025</t>
        </is>
      </c>
      <c r="B585" s="1" t="n">
        <v>45985.61501157407</v>
      </c>
      <c r="C585" s="1" t="n">
        <v>46133</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58446-2025</t>
        </is>
      </c>
      <c r="B586" s="1" t="n">
        <v>45985.62168981481</v>
      </c>
      <c r="C586" s="1" t="n">
        <v>46133</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36802-2021</t>
        </is>
      </c>
      <c r="B587" s="1" t="n">
        <v>44392</v>
      </c>
      <c r="C587" s="1" t="n">
        <v>46133</v>
      </c>
      <c r="D587" t="inlineStr">
        <is>
          <t>KALMAR LÄN</t>
        </is>
      </c>
      <c r="E587" t="inlineStr">
        <is>
          <t>VIMMERBY</t>
        </is>
      </c>
      <c r="F587" t="inlineStr">
        <is>
          <t>Sveaskog</t>
        </is>
      </c>
      <c r="G587" t="n">
        <v>4.6</v>
      </c>
      <c r="H587" t="n">
        <v>0</v>
      </c>
      <c r="I587" t="n">
        <v>0</v>
      </c>
      <c r="J587" t="n">
        <v>0</v>
      </c>
      <c r="K587" t="n">
        <v>0</v>
      </c>
      <c r="L587" t="n">
        <v>0</v>
      </c>
      <c r="M587" t="n">
        <v>0</v>
      </c>
      <c r="N587" t="n">
        <v>0</v>
      </c>
      <c r="O587" t="n">
        <v>0</v>
      </c>
      <c r="P587" t="n">
        <v>0</v>
      </c>
      <c r="Q587" t="n">
        <v>0</v>
      </c>
      <c r="R587" s="2" t="inlineStr"/>
    </row>
    <row r="588" ht="15" customHeight="1">
      <c r="A588" t="inlineStr">
        <is>
          <t>A 58500-2025</t>
        </is>
      </c>
      <c r="B588" s="1" t="n">
        <v>45985.69008101852</v>
      </c>
      <c r="C588" s="1" t="n">
        <v>46133</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58841-2025</t>
        </is>
      </c>
      <c r="B589" s="1" t="n">
        <v>45987.36275462963</v>
      </c>
      <c r="C589" s="1" t="n">
        <v>46133</v>
      </c>
      <c r="D589" t="inlineStr">
        <is>
          <t>KALMAR LÄN</t>
        </is>
      </c>
      <c r="E589" t="inlineStr">
        <is>
          <t>VIMMERBY</t>
        </is>
      </c>
      <c r="G589" t="n">
        <v>3.5</v>
      </c>
      <c r="H589" t="n">
        <v>0</v>
      </c>
      <c r="I589" t="n">
        <v>0</v>
      </c>
      <c r="J589" t="n">
        <v>0</v>
      </c>
      <c r="K589" t="n">
        <v>0</v>
      </c>
      <c r="L589" t="n">
        <v>0</v>
      </c>
      <c r="M589" t="n">
        <v>0</v>
      </c>
      <c r="N589" t="n">
        <v>0</v>
      </c>
      <c r="O589" t="n">
        <v>0</v>
      </c>
      <c r="P589" t="n">
        <v>0</v>
      </c>
      <c r="Q589" t="n">
        <v>0</v>
      </c>
      <c r="R589" s="2" t="inlineStr"/>
    </row>
    <row r="590" ht="15" customHeight="1">
      <c r="A590" t="inlineStr">
        <is>
          <t>A 12730-2026</t>
        </is>
      </c>
      <c r="B590" s="1" t="n">
        <v>46091</v>
      </c>
      <c r="C590" s="1" t="n">
        <v>46133</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12821-2026</t>
        </is>
      </c>
      <c r="B591" s="1" t="n">
        <v>46092.41256944444</v>
      </c>
      <c r="C591" s="1" t="n">
        <v>46133</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38198-2024</t>
        </is>
      </c>
      <c r="B592" s="1" t="n">
        <v>45545.49508101852</v>
      </c>
      <c r="C592" s="1" t="n">
        <v>46133</v>
      </c>
      <c r="D592" t="inlineStr">
        <is>
          <t>KALMAR LÄN</t>
        </is>
      </c>
      <c r="E592" t="inlineStr">
        <is>
          <t>VIMMERBY</t>
        </is>
      </c>
      <c r="G592" t="n">
        <v>7.9</v>
      </c>
      <c r="H592" t="n">
        <v>0</v>
      </c>
      <c r="I592" t="n">
        <v>0</v>
      </c>
      <c r="J592" t="n">
        <v>0</v>
      </c>
      <c r="K592" t="n">
        <v>0</v>
      </c>
      <c r="L592" t="n">
        <v>0</v>
      </c>
      <c r="M592" t="n">
        <v>0</v>
      </c>
      <c r="N592" t="n">
        <v>0</v>
      </c>
      <c r="O592" t="n">
        <v>0</v>
      </c>
      <c r="P592" t="n">
        <v>0</v>
      </c>
      <c r="Q592" t="n">
        <v>0</v>
      </c>
      <c r="R592" s="2" t="inlineStr"/>
    </row>
    <row r="593" ht="15" customHeight="1">
      <c r="A593" t="inlineStr">
        <is>
          <t>A 9623-2024</t>
        </is>
      </c>
      <c r="B593" s="1" t="n">
        <v>45361.87975694444</v>
      </c>
      <c r="C593" s="1" t="n">
        <v>46133</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12820-2026</t>
        </is>
      </c>
      <c r="B594" s="1" t="n">
        <v>46092.40909722223</v>
      </c>
      <c r="C594" s="1" t="n">
        <v>46133</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12825-2026</t>
        </is>
      </c>
      <c r="B595" s="1" t="n">
        <v>46092.41561342592</v>
      </c>
      <c r="C595" s="1" t="n">
        <v>46133</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58967-2022</t>
        </is>
      </c>
      <c r="B596" s="1" t="n">
        <v>44896</v>
      </c>
      <c r="C596" s="1" t="n">
        <v>46133</v>
      </c>
      <c r="D596" t="inlineStr">
        <is>
          <t>KALMAR LÄN</t>
        </is>
      </c>
      <c r="E596" t="inlineStr">
        <is>
          <t>VIMMERBY</t>
        </is>
      </c>
      <c r="G596" t="n">
        <v>5</v>
      </c>
      <c r="H596" t="n">
        <v>0</v>
      </c>
      <c r="I596" t="n">
        <v>0</v>
      </c>
      <c r="J596" t="n">
        <v>0</v>
      </c>
      <c r="K596" t="n">
        <v>0</v>
      </c>
      <c r="L596" t="n">
        <v>0</v>
      </c>
      <c r="M596" t="n">
        <v>0</v>
      </c>
      <c r="N596" t="n">
        <v>0</v>
      </c>
      <c r="O596" t="n">
        <v>0</v>
      </c>
      <c r="P596" t="n">
        <v>0</v>
      </c>
      <c r="Q596" t="n">
        <v>0</v>
      </c>
      <c r="R596" s="2" t="inlineStr"/>
    </row>
    <row r="597" ht="15" customHeight="1">
      <c r="A597" t="inlineStr">
        <is>
          <t>A 58858-2025</t>
        </is>
      </c>
      <c r="B597" s="1" t="n">
        <v>45987.4243287037</v>
      </c>
      <c r="C597" s="1" t="n">
        <v>46133</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6399-2025</t>
        </is>
      </c>
      <c r="B598" s="1" t="n">
        <v>45699.44291666667</v>
      </c>
      <c r="C598" s="1" t="n">
        <v>46133</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31355-2023</t>
        </is>
      </c>
      <c r="B599" s="1" t="n">
        <v>45114.49505787037</v>
      </c>
      <c r="C599" s="1" t="n">
        <v>46133</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30400-2023</t>
        </is>
      </c>
      <c r="B600" s="1" t="n">
        <v>45111.48225694444</v>
      </c>
      <c r="C600" s="1" t="n">
        <v>46133</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30404-2023</t>
        </is>
      </c>
      <c r="B601" s="1" t="n">
        <v>45111.48636574074</v>
      </c>
      <c r="C601" s="1" t="n">
        <v>46133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27705-2023</t>
        </is>
      </c>
      <c r="B602" s="1" t="n">
        <v>45098.30535879629</v>
      </c>
      <c r="C602" s="1" t="n">
        <v>46133</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59039-2025</t>
        </is>
      </c>
      <c r="B603" s="1" t="n">
        <v>45988.36790509259</v>
      </c>
      <c r="C603" s="1" t="n">
        <v>46133</v>
      </c>
      <c r="D603" t="inlineStr">
        <is>
          <t>KALMAR LÄN</t>
        </is>
      </c>
      <c r="E603" t="inlineStr">
        <is>
          <t>VIMMERBY</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59034-2025</t>
        </is>
      </c>
      <c r="B604" s="1" t="n">
        <v>45988.36243055556</v>
      </c>
      <c r="C604" s="1" t="n">
        <v>46133</v>
      </c>
      <c r="D604" t="inlineStr">
        <is>
          <t>KALMAR LÄN</t>
        </is>
      </c>
      <c r="E604" t="inlineStr">
        <is>
          <t>VIMMERBY</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36843-2023</t>
        </is>
      </c>
      <c r="B605" s="1" t="n">
        <v>45154.49831018518</v>
      </c>
      <c r="C605" s="1" t="n">
        <v>46133</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59037-2025</t>
        </is>
      </c>
      <c r="B606" s="1" t="n">
        <v>45988.36508101852</v>
      </c>
      <c r="C606" s="1" t="n">
        <v>46133</v>
      </c>
      <c r="D606" t="inlineStr">
        <is>
          <t>KALMAR LÄN</t>
        </is>
      </c>
      <c r="E606" t="inlineStr">
        <is>
          <t>VIMMERBY</t>
        </is>
      </c>
      <c r="F606" t="inlineStr">
        <is>
          <t>Sveaskog</t>
        </is>
      </c>
      <c r="G606" t="n">
        <v>4</v>
      </c>
      <c r="H606" t="n">
        <v>0</v>
      </c>
      <c r="I606" t="n">
        <v>0</v>
      </c>
      <c r="J606" t="n">
        <v>0</v>
      </c>
      <c r="K606" t="n">
        <v>0</v>
      </c>
      <c r="L606" t="n">
        <v>0</v>
      </c>
      <c r="M606" t="n">
        <v>0</v>
      </c>
      <c r="N606" t="n">
        <v>0</v>
      </c>
      <c r="O606" t="n">
        <v>0</v>
      </c>
      <c r="P606" t="n">
        <v>0</v>
      </c>
      <c r="Q606" t="n">
        <v>0</v>
      </c>
      <c r="R606" s="2" t="inlineStr"/>
    </row>
    <row r="607" ht="15" customHeight="1">
      <c r="A607" t="inlineStr">
        <is>
          <t>A 59068-2025</t>
        </is>
      </c>
      <c r="B607" s="1" t="n">
        <v>45988.41725694444</v>
      </c>
      <c r="C607" s="1" t="n">
        <v>46133</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10785-2025</t>
        </is>
      </c>
      <c r="B608" s="1" t="n">
        <v>45722.48634259259</v>
      </c>
      <c r="C608" s="1" t="n">
        <v>46133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29017-2024</t>
        </is>
      </c>
      <c r="B609" s="1" t="n">
        <v>45481.56722222222</v>
      </c>
      <c r="C609" s="1" t="n">
        <v>46133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59579-2025</t>
        </is>
      </c>
      <c r="B610" s="1" t="n">
        <v>45992.30569444445</v>
      </c>
      <c r="C610" s="1" t="n">
        <v>46133</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23263-2024</t>
        </is>
      </c>
      <c r="B611" s="1" t="n">
        <v>45453.36854166666</v>
      </c>
      <c r="C611" s="1" t="n">
        <v>46133</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11074-2023</t>
        </is>
      </c>
      <c r="B612" s="1" t="n">
        <v>44992.34151620371</v>
      </c>
      <c r="C612" s="1" t="n">
        <v>46133</v>
      </c>
      <c r="D612" t="inlineStr">
        <is>
          <t>KALMAR LÄN</t>
        </is>
      </c>
      <c r="E612" t="inlineStr">
        <is>
          <t>VIMMERBY</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61939-2021</t>
        </is>
      </c>
      <c r="B613" s="1" t="n">
        <v>44502</v>
      </c>
      <c r="C613" s="1" t="n">
        <v>46133</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12215-2024</t>
        </is>
      </c>
      <c r="B614" s="1" t="n">
        <v>45378.32185185186</v>
      </c>
      <c r="C614" s="1" t="n">
        <v>46133</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11303-2025</t>
        </is>
      </c>
      <c r="B615" s="1" t="n">
        <v>45726.44471064815</v>
      </c>
      <c r="C615" s="1" t="n">
        <v>46133</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12033-2024</t>
        </is>
      </c>
      <c r="B616" s="1" t="n">
        <v>45377.40043981482</v>
      </c>
      <c r="C616" s="1" t="n">
        <v>46133</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51408-2023</t>
        </is>
      </c>
      <c r="B617" s="1" t="n">
        <v>45219.69356481481</v>
      </c>
      <c r="C617" s="1" t="n">
        <v>46133</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49488-2023</t>
        </is>
      </c>
      <c r="B618" s="1" t="n">
        <v>45211.55472222222</v>
      </c>
      <c r="C618" s="1" t="n">
        <v>46133</v>
      </c>
      <c r="D618" t="inlineStr">
        <is>
          <t>KALMAR LÄN</t>
        </is>
      </c>
      <c r="E618" t="inlineStr">
        <is>
          <t>VIMMERBY</t>
        </is>
      </c>
      <c r="F618" t="inlineStr">
        <is>
          <t>Sveaskog</t>
        </is>
      </c>
      <c r="G618" t="n">
        <v>6.2</v>
      </c>
      <c r="H618" t="n">
        <v>0</v>
      </c>
      <c r="I618" t="n">
        <v>0</v>
      </c>
      <c r="J618" t="n">
        <v>0</v>
      </c>
      <c r="K618" t="n">
        <v>0</v>
      </c>
      <c r="L618" t="n">
        <v>0</v>
      </c>
      <c r="M618" t="n">
        <v>0</v>
      </c>
      <c r="N618" t="n">
        <v>0</v>
      </c>
      <c r="O618" t="n">
        <v>0</v>
      </c>
      <c r="P618" t="n">
        <v>0</v>
      </c>
      <c r="Q618" t="n">
        <v>0</v>
      </c>
      <c r="R618" s="2" t="inlineStr"/>
    </row>
    <row r="619" ht="15" customHeight="1">
      <c r="A619" t="inlineStr">
        <is>
          <t>A 60180-2025</t>
        </is>
      </c>
      <c r="B619" s="1" t="n">
        <v>45994.46428240741</v>
      </c>
      <c r="C619" s="1" t="n">
        <v>46133</v>
      </c>
      <c r="D619" t="inlineStr">
        <is>
          <t>KALMAR LÄN</t>
        </is>
      </c>
      <c r="E619" t="inlineStr">
        <is>
          <t>VIMMERBY</t>
        </is>
      </c>
      <c r="G619" t="n">
        <v>6.8</v>
      </c>
      <c r="H619" t="n">
        <v>0</v>
      </c>
      <c r="I619" t="n">
        <v>0</v>
      </c>
      <c r="J619" t="n">
        <v>0</v>
      </c>
      <c r="K619" t="n">
        <v>0</v>
      </c>
      <c r="L619" t="n">
        <v>0</v>
      </c>
      <c r="M619" t="n">
        <v>0</v>
      </c>
      <c r="N619" t="n">
        <v>0</v>
      </c>
      <c r="O619" t="n">
        <v>0</v>
      </c>
      <c r="P619" t="n">
        <v>0</v>
      </c>
      <c r="Q619" t="n">
        <v>0</v>
      </c>
      <c r="R619" s="2" t="inlineStr"/>
    </row>
    <row r="620" ht="15" customHeight="1">
      <c r="A620" t="inlineStr">
        <is>
          <t>A 8410-2023</t>
        </is>
      </c>
      <c r="B620" s="1" t="n">
        <v>44977</v>
      </c>
      <c r="C620" s="1" t="n">
        <v>46133</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60297-2025</t>
        </is>
      </c>
      <c r="B621" s="1" t="n">
        <v>45994</v>
      </c>
      <c r="C621" s="1" t="n">
        <v>46133</v>
      </c>
      <c r="D621" t="inlineStr">
        <is>
          <t>KALMAR LÄN</t>
        </is>
      </c>
      <c r="E621" t="inlineStr">
        <is>
          <t>VIMMERBY</t>
        </is>
      </c>
      <c r="G621" t="n">
        <v>4.2</v>
      </c>
      <c r="H621" t="n">
        <v>0</v>
      </c>
      <c r="I621" t="n">
        <v>0</v>
      </c>
      <c r="J621" t="n">
        <v>0</v>
      </c>
      <c r="K621" t="n">
        <v>0</v>
      </c>
      <c r="L621" t="n">
        <v>0</v>
      </c>
      <c r="M621" t="n">
        <v>0</v>
      </c>
      <c r="N621" t="n">
        <v>0</v>
      </c>
      <c r="O621" t="n">
        <v>0</v>
      </c>
      <c r="P621" t="n">
        <v>0</v>
      </c>
      <c r="Q621" t="n">
        <v>0</v>
      </c>
      <c r="R621" s="2" t="inlineStr"/>
    </row>
    <row r="622" ht="15" customHeight="1">
      <c r="A622" t="inlineStr">
        <is>
          <t>A 30920-2024</t>
        </is>
      </c>
      <c r="B622" s="1" t="n">
        <v>45498.673125</v>
      </c>
      <c r="C622" s="1" t="n">
        <v>46133</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40929-2022</t>
        </is>
      </c>
      <c r="B623" s="1" t="n">
        <v>44825.4336574074</v>
      </c>
      <c r="C623" s="1" t="n">
        <v>46133</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50091-2023</t>
        </is>
      </c>
      <c r="B624" s="1" t="n">
        <v>45215.60199074074</v>
      </c>
      <c r="C624" s="1" t="n">
        <v>46133</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36008-2024</t>
        </is>
      </c>
      <c r="B625" s="1" t="n">
        <v>45533.55362268518</v>
      </c>
      <c r="C625" s="1" t="n">
        <v>46133</v>
      </c>
      <c r="D625" t="inlineStr">
        <is>
          <t>KALMAR LÄN</t>
        </is>
      </c>
      <c r="E625" t="inlineStr">
        <is>
          <t>VIMMERBY</t>
        </is>
      </c>
      <c r="G625" t="n">
        <v>3.7</v>
      </c>
      <c r="H625" t="n">
        <v>0</v>
      </c>
      <c r="I625" t="n">
        <v>0</v>
      </c>
      <c r="J625" t="n">
        <v>0</v>
      </c>
      <c r="K625" t="n">
        <v>0</v>
      </c>
      <c r="L625" t="n">
        <v>0</v>
      </c>
      <c r="M625" t="n">
        <v>0</v>
      </c>
      <c r="N625" t="n">
        <v>0</v>
      </c>
      <c r="O625" t="n">
        <v>0</v>
      </c>
      <c r="P625" t="n">
        <v>0</v>
      </c>
      <c r="Q625" t="n">
        <v>0</v>
      </c>
      <c r="R625" s="2" t="inlineStr"/>
    </row>
    <row r="626" ht="15" customHeight="1">
      <c r="A626" t="inlineStr">
        <is>
          <t>A 16622-2025</t>
        </is>
      </c>
      <c r="B626" s="1" t="n">
        <v>45754.33641203704</v>
      </c>
      <c r="C626" s="1" t="n">
        <v>46133</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17511-2024</t>
        </is>
      </c>
      <c r="B627" s="1" t="n">
        <v>45415.57682870371</v>
      </c>
      <c r="C627" s="1" t="n">
        <v>46133</v>
      </c>
      <c r="D627" t="inlineStr">
        <is>
          <t>KALMAR LÄN</t>
        </is>
      </c>
      <c r="E627" t="inlineStr">
        <is>
          <t>VIMMERBY</t>
        </is>
      </c>
      <c r="G627" t="n">
        <v>5.3</v>
      </c>
      <c r="H627" t="n">
        <v>0</v>
      </c>
      <c r="I627" t="n">
        <v>0</v>
      </c>
      <c r="J627" t="n">
        <v>0</v>
      </c>
      <c r="K627" t="n">
        <v>0</v>
      </c>
      <c r="L627" t="n">
        <v>0</v>
      </c>
      <c r="M627" t="n">
        <v>0</v>
      </c>
      <c r="N627" t="n">
        <v>0</v>
      </c>
      <c r="O627" t="n">
        <v>0</v>
      </c>
      <c r="P627" t="n">
        <v>0</v>
      </c>
      <c r="Q627" t="n">
        <v>0</v>
      </c>
      <c r="R627" s="2" t="inlineStr"/>
    </row>
    <row r="628" ht="15" customHeight="1">
      <c r="A628" t="inlineStr">
        <is>
          <t>A 43705-2023</t>
        </is>
      </c>
      <c r="B628" s="1" t="n">
        <v>45187.42854166667</v>
      </c>
      <c r="C628" s="1" t="n">
        <v>46133</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13714-2026</t>
        </is>
      </c>
      <c r="B629" s="1" t="n">
        <v>46097.58472222222</v>
      </c>
      <c r="C629" s="1" t="n">
        <v>46133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55300-2021</t>
        </is>
      </c>
      <c r="B630" s="1" t="n">
        <v>44475</v>
      </c>
      <c r="C630" s="1" t="n">
        <v>46133</v>
      </c>
      <c r="D630" t="inlineStr">
        <is>
          <t>KALMAR LÄN</t>
        </is>
      </c>
      <c r="E630" t="inlineStr">
        <is>
          <t>VIMMERBY</t>
        </is>
      </c>
      <c r="G630" t="n">
        <v>3.4</v>
      </c>
      <c r="H630" t="n">
        <v>0</v>
      </c>
      <c r="I630" t="n">
        <v>0</v>
      </c>
      <c r="J630" t="n">
        <v>0</v>
      </c>
      <c r="K630" t="n">
        <v>0</v>
      </c>
      <c r="L630" t="n">
        <v>0</v>
      </c>
      <c r="M630" t="n">
        <v>0</v>
      </c>
      <c r="N630" t="n">
        <v>0</v>
      </c>
      <c r="O630" t="n">
        <v>0</v>
      </c>
      <c r="P630" t="n">
        <v>0</v>
      </c>
      <c r="Q630" t="n">
        <v>0</v>
      </c>
      <c r="R630" s="2" t="inlineStr"/>
    </row>
    <row r="631" ht="15" customHeight="1">
      <c r="A631" t="inlineStr">
        <is>
          <t>A 44179-2022</t>
        </is>
      </c>
      <c r="B631" s="1" t="n">
        <v>44839.4528125</v>
      </c>
      <c r="C631" s="1" t="n">
        <v>46133</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52755-2022</t>
        </is>
      </c>
      <c r="B632" s="1" t="n">
        <v>44875.27736111111</v>
      </c>
      <c r="C632" s="1" t="n">
        <v>46133</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14279-2026</t>
        </is>
      </c>
      <c r="B633" s="1" t="n">
        <v>46099.66826388889</v>
      </c>
      <c r="C633" s="1" t="n">
        <v>46133</v>
      </c>
      <c r="D633" t="inlineStr">
        <is>
          <t>KALMAR LÄN</t>
        </is>
      </c>
      <c r="E633" t="inlineStr">
        <is>
          <t>VIMMERBY</t>
        </is>
      </c>
      <c r="G633" t="n">
        <v>2.8</v>
      </c>
      <c r="H633" t="n">
        <v>0</v>
      </c>
      <c r="I633" t="n">
        <v>0</v>
      </c>
      <c r="J633" t="n">
        <v>0</v>
      </c>
      <c r="K633" t="n">
        <v>0</v>
      </c>
      <c r="L633" t="n">
        <v>0</v>
      </c>
      <c r="M633" t="n">
        <v>0</v>
      </c>
      <c r="N633" t="n">
        <v>0</v>
      </c>
      <c r="O633" t="n">
        <v>0</v>
      </c>
      <c r="P633" t="n">
        <v>0</v>
      </c>
      <c r="Q633" t="n">
        <v>0</v>
      </c>
      <c r="R633" s="2" t="inlineStr"/>
    </row>
    <row r="634" ht="15" customHeight="1">
      <c r="A634" t="inlineStr">
        <is>
          <t>A 35998-2024</t>
        </is>
      </c>
      <c r="B634" s="1" t="n">
        <v>45533.54429398148</v>
      </c>
      <c r="C634" s="1" t="n">
        <v>46133</v>
      </c>
      <c r="D634" t="inlineStr">
        <is>
          <t>KALMAR LÄN</t>
        </is>
      </c>
      <c r="E634" t="inlineStr">
        <is>
          <t>VIMMERBY</t>
        </is>
      </c>
      <c r="G634" t="n">
        <v>8.6</v>
      </c>
      <c r="H634" t="n">
        <v>0</v>
      </c>
      <c r="I634" t="n">
        <v>0</v>
      </c>
      <c r="J634" t="n">
        <v>0</v>
      </c>
      <c r="K634" t="n">
        <v>0</v>
      </c>
      <c r="L634" t="n">
        <v>0</v>
      </c>
      <c r="M634" t="n">
        <v>0</v>
      </c>
      <c r="N634" t="n">
        <v>0</v>
      </c>
      <c r="O634" t="n">
        <v>0</v>
      </c>
      <c r="P634" t="n">
        <v>0</v>
      </c>
      <c r="Q634" t="n">
        <v>0</v>
      </c>
      <c r="R634" s="2" t="inlineStr"/>
    </row>
    <row r="635" ht="15" customHeight="1">
      <c r="A635" t="inlineStr">
        <is>
          <t>A 7797-2023</t>
        </is>
      </c>
      <c r="B635" s="1" t="n">
        <v>44973.43075231482</v>
      </c>
      <c r="C635" s="1" t="n">
        <v>46133</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29351-2023</t>
        </is>
      </c>
      <c r="B636" s="1" t="n">
        <v>45106.2610300926</v>
      </c>
      <c r="C636" s="1" t="n">
        <v>46133</v>
      </c>
      <c r="D636" t="inlineStr">
        <is>
          <t>KALMAR LÄN</t>
        </is>
      </c>
      <c r="E636" t="inlineStr">
        <is>
          <t>VIMMERBY</t>
        </is>
      </c>
      <c r="G636" t="n">
        <v>0.4</v>
      </c>
      <c r="H636" t="n">
        <v>0</v>
      </c>
      <c r="I636" t="n">
        <v>0</v>
      </c>
      <c r="J636" t="n">
        <v>0</v>
      </c>
      <c r="K636" t="n">
        <v>0</v>
      </c>
      <c r="L636" t="n">
        <v>0</v>
      </c>
      <c r="M636" t="n">
        <v>0</v>
      </c>
      <c r="N636" t="n">
        <v>0</v>
      </c>
      <c r="O636" t="n">
        <v>0</v>
      </c>
      <c r="P636" t="n">
        <v>0</v>
      </c>
      <c r="Q636" t="n">
        <v>0</v>
      </c>
      <c r="R636" s="2" t="inlineStr"/>
    </row>
    <row r="637" ht="15" customHeight="1">
      <c r="A637" t="inlineStr">
        <is>
          <t>A 6817-2026</t>
        </is>
      </c>
      <c r="B637" s="1" t="n">
        <v>46057.38412037037</v>
      </c>
      <c r="C637" s="1" t="n">
        <v>46133</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7630-2025</t>
        </is>
      </c>
      <c r="B638" s="1" t="n">
        <v>45705.74418981482</v>
      </c>
      <c r="C638" s="1" t="n">
        <v>46133</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1024-2024</t>
        </is>
      </c>
      <c r="B639" s="1" t="n">
        <v>45301.68237268519</v>
      </c>
      <c r="C639" s="1" t="n">
        <v>46133</v>
      </c>
      <c r="D639" t="inlineStr">
        <is>
          <t>KALMAR LÄN</t>
        </is>
      </c>
      <c r="E639" t="inlineStr">
        <is>
          <t>VIMMERBY</t>
        </is>
      </c>
      <c r="G639" t="n">
        <v>13</v>
      </c>
      <c r="H639" t="n">
        <v>0</v>
      </c>
      <c r="I639" t="n">
        <v>0</v>
      </c>
      <c r="J639" t="n">
        <v>0</v>
      </c>
      <c r="K639" t="n">
        <v>0</v>
      </c>
      <c r="L639" t="n">
        <v>0</v>
      </c>
      <c r="M639" t="n">
        <v>0</v>
      </c>
      <c r="N639" t="n">
        <v>0</v>
      </c>
      <c r="O639" t="n">
        <v>0</v>
      </c>
      <c r="P639" t="n">
        <v>0</v>
      </c>
      <c r="Q639" t="n">
        <v>0</v>
      </c>
      <c r="R639" s="2" t="inlineStr"/>
    </row>
    <row r="640" ht="15" customHeight="1">
      <c r="A640" t="inlineStr">
        <is>
          <t>A 14277-2026</t>
        </is>
      </c>
      <c r="B640" s="1" t="n">
        <v>46099.66305555555</v>
      </c>
      <c r="C640" s="1" t="n">
        <v>46133</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10787-2025</t>
        </is>
      </c>
      <c r="B641" s="1" t="n">
        <v>45722.48915509259</v>
      </c>
      <c r="C641" s="1" t="n">
        <v>46133</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13667-2026</t>
        </is>
      </c>
      <c r="B642" s="1" t="n">
        <v>46097</v>
      </c>
      <c r="C642" s="1" t="n">
        <v>46133</v>
      </c>
      <c r="D642" t="inlineStr">
        <is>
          <t>KALMAR LÄN</t>
        </is>
      </c>
      <c r="E642" t="inlineStr">
        <is>
          <t>VIMMERBY</t>
        </is>
      </c>
      <c r="G642" t="n">
        <v>6.8</v>
      </c>
      <c r="H642" t="n">
        <v>0</v>
      </c>
      <c r="I642" t="n">
        <v>0</v>
      </c>
      <c r="J642" t="n">
        <v>0</v>
      </c>
      <c r="K642" t="n">
        <v>0</v>
      </c>
      <c r="L642" t="n">
        <v>0</v>
      </c>
      <c r="M642" t="n">
        <v>0</v>
      </c>
      <c r="N642" t="n">
        <v>0</v>
      </c>
      <c r="O642" t="n">
        <v>0</v>
      </c>
      <c r="P642" t="n">
        <v>0</v>
      </c>
      <c r="Q642" t="n">
        <v>0</v>
      </c>
      <c r="R642" s="2" t="inlineStr"/>
    </row>
    <row r="643" ht="15" customHeight="1">
      <c r="A643" t="inlineStr">
        <is>
          <t>A 29350-2023</t>
        </is>
      </c>
      <c r="B643" s="1" t="n">
        <v>45106</v>
      </c>
      <c r="C643" s="1" t="n">
        <v>46133</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14855-2025</t>
        </is>
      </c>
      <c r="B644" s="1" t="n">
        <v>45743.41148148148</v>
      </c>
      <c r="C644" s="1" t="n">
        <v>46133</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43601-2024</t>
        </is>
      </c>
      <c r="B645" s="1" t="n">
        <v>45569.44684027778</v>
      </c>
      <c r="C645" s="1" t="n">
        <v>46133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13793-2026</t>
        </is>
      </c>
      <c r="B646" s="1" t="n">
        <v>46097.79199074074</v>
      </c>
      <c r="C646" s="1" t="n">
        <v>46133</v>
      </c>
      <c r="D646" t="inlineStr">
        <is>
          <t>KALMAR LÄN</t>
        </is>
      </c>
      <c r="E646" t="inlineStr">
        <is>
          <t>VIMMERBY</t>
        </is>
      </c>
      <c r="G646" t="n">
        <v>2.9</v>
      </c>
      <c r="H646" t="n">
        <v>0</v>
      </c>
      <c r="I646" t="n">
        <v>0</v>
      </c>
      <c r="J646" t="n">
        <v>0</v>
      </c>
      <c r="K646" t="n">
        <v>0</v>
      </c>
      <c r="L646" t="n">
        <v>0</v>
      </c>
      <c r="M646" t="n">
        <v>0</v>
      </c>
      <c r="N646" t="n">
        <v>0</v>
      </c>
      <c r="O646" t="n">
        <v>0</v>
      </c>
      <c r="P646" t="n">
        <v>0</v>
      </c>
      <c r="Q646" t="n">
        <v>0</v>
      </c>
      <c r="R646" s="2" t="inlineStr"/>
    </row>
    <row r="647" ht="15" customHeight="1">
      <c r="A647" t="inlineStr">
        <is>
          <t>A 35913-2023</t>
        </is>
      </c>
      <c r="B647" s="1" t="n">
        <v>45148</v>
      </c>
      <c r="C647" s="1" t="n">
        <v>46133</v>
      </c>
      <c r="D647" t="inlineStr">
        <is>
          <t>KALMAR LÄN</t>
        </is>
      </c>
      <c r="E647" t="inlineStr">
        <is>
          <t>VIMMERBY</t>
        </is>
      </c>
      <c r="G647" t="n">
        <v>6.9</v>
      </c>
      <c r="H647" t="n">
        <v>0</v>
      </c>
      <c r="I647" t="n">
        <v>0</v>
      </c>
      <c r="J647" t="n">
        <v>0</v>
      </c>
      <c r="K647" t="n">
        <v>0</v>
      </c>
      <c r="L647" t="n">
        <v>0</v>
      </c>
      <c r="M647" t="n">
        <v>0</v>
      </c>
      <c r="N647" t="n">
        <v>0</v>
      </c>
      <c r="O647" t="n">
        <v>0</v>
      </c>
      <c r="P647" t="n">
        <v>0</v>
      </c>
      <c r="Q647" t="n">
        <v>0</v>
      </c>
      <c r="R647" s="2" t="inlineStr"/>
    </row>
    <row r="648" ht="15" customHeight="1">
      <c r="A648" t="inlineStr">
        <is>
          <t>A 9624-2024</t>
        </is>
      </c>
      <c r="B648" s="1" t="n">
        <v>45361.90282407407</v>
      </c>
      <c r="C648" s="1" t="n">
        <v>46133</v>
      </c>
      <c r="D648" t="inlineStr">
        <is>
          <t>KALMAR LÄN</t>
        </is>
      </c>
      <c r="E648" t="inlineStr">
        <is>
          <t>VIMMERBY</t>
        </is>
      </c>
      <c r="G648" t="n">
        <v>3.8</v>
      </c>
      <c r="H648" t="n">
        <v>0</v>
      </c>
      <c r="I648" t="n">
        <v>0</v>
      </c>
      <c r="J648" t="n">
        <v>0</v>
      </c>
      <c r="K648" t="n">
        <v>0</v>
      </c>
      <c r="L648" t="n">
        <v>0</v>
      </c>
      <c r="M648" t="n">
        <v>0</v>
      </c>
      <c r="N648" t="n">
        <v>0</v>
      </c>
      <c r="O648" t="n">
        <v>0</v>
      </c>
      <c r="P648" t="n">
        <v>0</v>
      </c>
      <c r="Q648" t="n">
        <v>0</v>
      </c>
      <c r="R648" s="2" t="inlineStr"/>
    </row>
    <row r="649" ht="15" customHeight="1">
      <c r="A649" t="inlineStr">
        <is>
          <t>A 3938-2023</t>
        </is>
      </c>
      <c r="B649" s="1" t="n">
        <v>44952.35775462963</v>
      </c>
      <c r="C649" s="1" t="n">
        <v>46133</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14320-2026</t>
        </is>
      </c>
      <c r="B650" s="1" t="n">
        <v>46099.88449074074</v>
      </c>
      <c r="C650" s="1" t="n">
        <v>46133</v>
      </c>
      <c r="D650" t="inlineStr">
        <is>
          <t>KALMAR LÄN</t>
        </is>
      </c>
      <c r="E650" t="inlineStr">
        <is>
          <t>VIMMERBY</t>
        </is>
      </c>
      <c r="G650" t="n">
        <v>2.3</v>
      </c>
      <c r="H650" t="n">
        <v>0</v>
      </c>
      <c r="I650" t="n">
        <v>0</v>
      </c>
      <c r="J650" t="n">
        <v>0</v>
      </c>
      <c r="K650" t="n">
        <v>0</v>
      </c>
      <c r="L650" t="n">
        <v>0</v>
      </c>
      <c r="M650" t="n">
        <v>0</v>
      </c>
      <c r="N650" t="n">
        <v>0</v>
      </c>
      <c r="O650" t="n">
        <v>0</v>
      </c>
      <c r="P650" t="n">
        <v>0</v>
      </c>
      <c r="Q650" t="n">
        <v>0</v>
      </c>
      <c r="R650" s="2" t="inlineStr"/>
    </row>
    <row r="651" ht="15" customHeight="1">
      <c r="A651" t="inlineStr">
        <is>
          <t>A 39053-2024</t>
        </is>
      </c>
      <c r="B651" s="1" t="n">
        <v>45548</v>
      </c>
      <c r="C651" s="1" t="n">
        <v>46133</v>
      </c>
      <c r="D651" t="inlineStr">
        <is>
          <t>KALMAR LÄN</t>
        </is>
      </c>
      <c r="E651" t="inlineStr">
        <is>
          <t>VIMMERBY</t>
        </is>
      </c>
      <c r="G651" t="n">
        <v>5</v>
      </c>
      <c r="H651" t="n">
        <v>0</v>
      </c>
      <c r="I651" t="n">
        <v>0</v>
      </c>
      <c r="J651" t="n">
        <v>0</v>
      </c>
      <c r="K651" t="n">
        <v>0</v>
      </c>
      <c r="L651" t="n">
        <v>0</v>
      </c>
      <c r="M651" t="n">
        <v>0</v>
      </c>
      <c r="N651" t="n">
        <v>0</v>
      </c>
      <c r="O651" t="n">
        <v>0</v>
      </c>
      <c r="P651" t="n">
        <v>0</v>
      </c>
      <c r="Q651" t="n">
        <v>0</v>
      </c>
      <c r="R651" s="2" t="inlineStr"/>
    </row>
    <row r="652" ht="15" customHeight="1">
      <c r="A652" t="inlineStr">
        <is>
          <t>A 14451-2024</t>
        </is>
      </c>
      <c r="B652" s="1" t="n">
        <v>45394.50028935185</v>
      </c>
      <c r="C652" s="1" t="n">
        <v>46133</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34205-2023</t>
        </is>
      </c>
      <c r="B653" s="1" t="n">
        <v>45138</v>
      </c>
      <c r="C653" s="1" t="n">
        <v>46133</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14318-2026</t>
        </is>
      </c>
      <c r="B654" s="1" t="n">
        <v>46099.87961805556</v>
      </c>
      <c r="C654" s="1" t="n">
        <v>46133</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3268-2024</t>
        </is>
      </c>
      <c r="B655" s="1" t="n">
        <v>45317</v>
      </c>
      <c r="C655" s="1" t="n">
        <v>46133</v>
      </c>
      <c r="D655" t="inlineStr">
        <is>
          <t>KALMAR LÄN</t>
        </is>
      </c>
      <c r="E655" t="inlineStr">
        <is>
          <t>VIMMERBY</t>
        </is>
      </c>
      <c r="F655" t="inlineStr">
        <is>
          <t>Övriga Aktiebolag</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12819-2024</t>
        </is>
      </c>
      <c r="B656" s="1" t="n">
        <v>45384.66917824074</v>
      </c>
      <c r="C656" s="1" t="n">
        <v>46133</v>
      </c>
      <c r="D656" t="inlineStr">
        <is>
          <t>KALMAR LÄN</t>
        </is>
      </c>
      <c r="E656" t="inlineStr">
        <is>
          <t>VIMMERBY</t>
        </is>
      </c>
      <c r="G656" t="n">
        <v>5.1</v>
      </c>
      <c r="H656" t="n">
        <v>0</v>
      </c>
      <c r="I656" t="n">
        <v>0</v>
      </c>
      <c r="J656" t="n">
        <v>0</v>
      </c>
      <c r="K656" t="n">
        <v>0</v>
      </c>
      <c r="L656" t="n">
        <v>0</v>
      </c>
      <c r="M656" t="n">
        <v>0</v>
      </c>
      <c r="N656" t="n">
        <v>0</v>
      </c>
      <c r="O656" t="n">
        <v>0</v>
      </c>
      <c r="P656" t="n">
        <v>0</v>
      </c>
      <c r="Q656" t="n">
        <v>0</v>
      </c>
      <c r="R656" s="2" t="inlineStr"/>
    </row>
    <row r="657" ht="15" customHeight="1">
      <c r="A657" t="inlineStr">
        <is>
          <t>A 6214-2025</t>
        </is>
      </c>
      <c r="B657" s="1" t="n">
        <v>45698.51711805556</v>
      </c>
      <c r="C657" s="1" t="n">
        <v>46133</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32569-2024</t>
        </is>
      </c>
      <c r="B658" s="1" t="n">
        <v>45513.55840277778</v>
      </c>
      <c r="C658" s="1" t="n">
        <v>46133</v>
      </c>
      <c r="D658" t="inlineStr">
        <is>
          <t>KALMAR LÄN</t>
        </is>
      </c>
      <c r="E658" t="inlineStr">
        <is>
          <t>VIMMERBY</t>
        </is>
      </c>
      <c r="G658" t="n">
        <v>3.7</v>
      </c>
      <c r="H658" t="n">
        <v>0</v>
      </c>
      <c r="I658" t="n">
        <v>0</v>
      </c>
      <c r="J658" t="n">
        <v>0</v>
      </c>
      <c r="K658" t="n">
        <v>0</v>
      </c>
      <c r="L658" t="n">
        <v>0</v>
      </c>
      <c r="M658" t="n">
        <v>0</v>
      </c>
      <c r="N658" t="n">
        <v>0</v>
      </c>
      <c r="O658" t="n">
        <v>0</v>
      </c>
      <c r="P658" t="n">
        <v>0</v>
      </c>
      <c r="Q658" t="n">
        <v>0</v>
      </c>
      <c r="R658" s="2" t="inlineStr"/>
    </row>
    <row r="659" ht="15" customHeight="1">
      <c r="A659" t="inlineStr">
        <is>
          <t>A 32575-2024</t>
        </is>
      </c>
      <c r="B659" s="1" t="n">
        <v>45513.56527777778</v>
      </c>
      <c r="C659" s="1" t="n">
        <v>46133</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15205-2026</t>
        </is>
      </c>
      <c r="B660" s="1" t="n">
        <v>46105.48628472222</v>
      </c>
      <c r="C660" s="1" t="n">
        <v>46133</v>
      </c>
      <c r="D660" t="inlineStr">
        <is>
          <t>KALMAR LÄN</t>
        </is>
      </c>
      <c r="E660" t="inlineStr">
        <is>
          <t>VIMMERBY</t>
        </is>
      </c>
      <c r="G660" t="n">
        <v>2.1</v>
      </c>
      <c r="H660" t="n">
        <v>0</v>
      </c>
      <c r="I660" t="n">
        <v>0</v>
      </c>
      <c r="J660" t="n">
        <v>0</v>
      </c>
      <c r="K660" t="n">
        <v>0</v>
      </c>
      <c r="L660" t="n">
        <v>0</v>
      </c>
      <c r="M660" t="n">
        <v>0</v>
      </c>
      <c r="N660" t="n">
        <v>0</v>
      </c>
      <c r="O660" t="n">
        <v>0</v>
      </c>
      <c r="P660" t="n">
        <v>0</v>
      </c>
      <c r="Q660" t="n">
        <v>0</v>
      </c>
      <c r="R660" s="2" t="inlineStr"/>
    </row>
    <row r="661" ht="15" customHeight="1">
      <c r="A661" t="inlineStr">
        <is>
          <t>A 14792-2026</t>
        </is>
      </c>
      <c r="B661" s="1" t="n">
        <v>46101.91993055555</v>
      </c>
      <c r="C661" s="1" t="n">
        <v>46133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59300-2024</t>
        </is>
      </c>
      <c r="B662" s="1" t="n">
        <v>45637.66542824074</v>
      </c>
      <c r="C662" s="1" t="n">
        <v>46133</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59768-2024</t>
        </is>
      </c>
      <c r="B663" s="1" t="n">
        <v>45639.56185185185</v>
      </c>
      <c r="C663" s="1" t="n">
        <v>46133</v>
      </c>
      <c r="D663" t="inlineStr">
        <is>
          <t>KALMAR LÄN</t>
        </is>
      </c>
      <c r="E663" t="inlineStr">
        <is>
          <t>VIMMERBY</t>
        </is>
      </c>
      <c r="G663" t="n">
        <v>5.9</v>
      </c>
      <c r="H663" t="n">
        <v>0</v>
      </c>
      <c r="I663" t="n">
        <v>0</v>
      </c>
      <c r="J663" t="n">
        <v>0</v>
      </c>
      <c r="K663" t="n">
        <v>0</v>
      </c>
      <c r="L663" t="n">
        <v>0</v>
      </c>
      <c r="M663" t="n">
        <v>0</v>
      </c>
      <c r="N663" t="n">
        <v>0</v>
      </c>
      <c r="O663" t="n">
        <v>0</v>
      </c>
      <c r="P663" t="n">
        <v>0</v>
      </c>
      <c r="Q663" t="n">
        <v>0</v>
      </c>
      <c r="R663" s="2" t="inlineStr"/>
    </row>
    <row r="664" ht="15" customHeight="1">
      <c r="A664" t="inlineStr">
        <is>
          <t>A 36526-2023</t>
        </is>
      </c>
      <c r="B664" s="1" t="n">
        <v>45153.32778935185</v>
      </c>
      <c r="C664" s="1" t="n">
        <v>46133</v>
      </c>
      <c r="D664" t="inlineStr">
        <is>
          <t>KALMAR LÄN</t>
        </is>
      </c>
      <c r="E664" t="inlineStr">
        <is>
          <t>VIMMERBY</t>
        </is>
      </c>
      <c r="G664" t="n">
        <v>2.7</v>
      </c>
      <c r="H664" t="n">
        <v>0</v>
      </c>
      <c r="I664" t="n">
        <v>0</v>
      </c>
      <c r="J664" t="n">
        <v>0</v>
      </c>
      <c r="K664" t="n">
        <v>0</v>
      </c>
      <c r="L664" t="n">
        <v>0</v>
      </c>
      <c r="M664" t="n">
        <v>0</v>
      </c>
      <c r="N664" t="n">
        <v>0</v>
      </c>
      <c r="O664" t="n">
        <v>0</v>
      </c>
      <c r="P664" t="n">
        <v>0</v>
      </c>
      <c r="Q664" t="n">
        <v>0</v>
      </c>
      <c r="R664" s="2" t="inlineStr"/>
    </row>
    <row r="665" ht="15" customHeight="1">
      <c r="A665" t="inlineStr">
        <is>
          <t>A 14793-2026</t>
        </is>
      </c>
      <c r="B665" s="1" t="n">
        <v>46101.92108796296</v>
      </c>
      <c r="C665" s="1" t="n">
        <v>46133</v>
      </c>
      <c r="D665" t="inlineStr">
        <is>
          <t>KALMAR LÄN</t>
        </is>
      </c>
      <c r="E665" t="inlineStr">
        <is>
          <t>VIMMERBY</t>
        </is>
      </c>
      <c r="G665" t="n">
        <v>5.7</v>
      </c>
      <c r="H665" t="n">
        <v>0</v>
      </c>
      <c r="I665" t="n">
        <v>0</v>
      </c>
      <c r="J665" t="n">
        <v>0</v>
      </c>
      <c r="K665" t="n">
        <v>0</v>
      </c>
      <c r="L665" t="n">
        <v>0</v>
      </c>
      <c r="M665" t="n">
        <v>0</v>
      </c>
      <c r="N665" t="n">
        <v>0</v>
      </c>
      <c r="O665" t="n">
        <v>0</v>
      </c>
      <c r="P665" t="n">
        <v>0</v>
      </c>
      <c r="Q665" t="n">
        <v>0</v>
      </c>
      <c r="R665" s="2" t="inlineStr"/>
    </row>
    <row r="666" ht="15" customHeight="1">
      <c r="A666" t="inlineStr">
        <is>
          <t>A 15054-2026</t>
        </is>
      </c>
      <c r="B666" s="1" t="n">
        <v>46104.6815162037</v>
      </c>
      <c r="C666" s="1" t="n">
        <v>46133</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58728-2024</t>
        </is>
      </c>
      <c r="B667" s="1" t="n">
        <v>45635.66695601852</v>
      </c>
      <c r="C667" s="1" t="n">
        <v>46133</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49474-2023</t>
        </is>
      </c>
      <c r="B668" s="1" t="n">
        <v>45211.541875</v>
      </c>
      <c r="C668" s="1" t="n">
        <v>46133</v>
      </c>
      <c r="D668" t="inlineStr">
        <is>
          <t>KALMAR LÄN</t>
        </is>
      </c>
      <c r="E668" t="inlineStr">
        <is>
          <t>VIMMERBY</t>
        </is>
      </c>
      <c r="G668" t="n">
        <v>3.6</v>
      </c>
      <c r="H668" t="n">
        <v>0</v>
      </c>
      <c r="I668" t="n">
        <v>0</v>
      </c>
      <c r="J668" t="n">
        <v>0</v>
      </c>
      <c r="K668" t="n">
        <v>0</v>
      </c>
      <c r="L668" t="n">
        <v>0</v>
      </c>
      <c r="M668" t="n">
        <v>0</v>
      </c>
      <c r="N668" t="n">
        <v>0</v>
      </c>
      <c r="O668" t="n">
        <v>0</v>
      </c>
      <c r="P668" t="n">
        <v>0</v>
      </c>
      <c r="Q668" t="n">
        <v>0</v>
      </c>
      <c r="R668" s="2" t="inlineStr"/>
    </row>
    <row r="669" ht="15" customHeight="1">
      <c r="A669" t="inlineStr">
        <is>
          <t>A 57682-2022</t>
        </is>
      </c>
      <c r="B669" s="1" t="n">
        <v>44890</v>
      </c>
      <c r="C669" s="1" t="n">
        <v>46133</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63950-2023</t>
        </is>
      </c>
      <c r="B670" s="1" t="n">
        <v>45278</v>
      </c>
      <c r="C670" s="1" t="n">
        <v>46133</v>
      </c>
      <c r="D670" t="inlineStr">
        <is>
          <t>KALMAR LÄN</t>
        </is>
      </c>
      <c r="E670" t="inlineStr">
        <is>
          <t>VIMMERBY</t>
        </is>
      </c>
      <c r="F670" t="inlineStr">
        <is>
          <t>Kyrkan</t>
        </is>
      </c>
      <c r="G670" t="n">
        <v>2.7</v>
      </c>
      <c r="H670" t="n">
        <v>0</v>
      </c>
      <c r="I670" t="n">
        <v>0</v>
      </c>
      <c r="J670" t="n">
        <v>0</v>
      </c>
      <c r="K670" t="n">
        <v>0</v>
      </c>
      <c r="L670" t="n">
        <v>0</v>
      </c>
      <c r="M670" t="n">
        <v>0</v>
      </c>
      <c r="N670" t="n">
        <v>0</v>
      </c>
      <c r="O670" t="n">
        <v>0</v>
      </c>
      <c r="P670" t="n">
        <v>0</v>
      </c>
      <c r="Q670" t="n">
        <v>0</v>
      </c>
      <c r="R670" s="2" t="inlineStr"/>
    </row>
    <row r="671" ht="15" customHeight="1">
      <c r="A671" t="inlineStr">
        <is>
          <t>A 16516-2023</t>
        </is>
      </c>
      <c r="B671" s="1" t="n">
        <v>45029</v>
      </c>
      <c r="C671" s="1" t="n">
        <v>46133</v>
      </c>
      <c r="D671" t="inlineStr">
        <is>
          <t>KALMAR LÄN</t>
        </is>
      </c>
      <c r="E671" t="inlineStr">
        <is>
          <t>VIMMERBY</t>
        </is>
      </c>
      <c r="G671" t="n">
        <v>4.3</v>
      </c>
      <c r="H671" t="n">
        <v>0</v>
      </c>
      <c r="I671" t="n">
        <v>0</v>
      </c>
      <c r="J671" t="n">
        <v>0</v>
      </c>
      <c r="K671" t="n">
        <v>0</v>
      </c>
      <c r="L671" t="n">
        <v>0</v>
      </c>
      <c r="M671" t="n">
        <v>0</v>
      </c>
      <c r="N671" t="n">
        <v>0</v>
      </c>
      <c r="O671" t="n">
        <v>0</v>
      </c>
      <c r="P671" t="n">
        <v>0</v>
      </c>
      <c r="Q671" t="n">
        <v>0</v>
      </c>
      <c r="R671" s="2" t="inlineStr"/>
    </row>
    <row r="672" ht="15" customHeight="1">
      <c r="A672" t="inlineStr">
        <is>
          <t>A 47842-2024</t>
        </is>
      </c>
      <c r="B672" s="1" t="n">
        <v>45588.65545138889</v>
      </c>
      <c r="C672" s="1" t="n">
        <v>46133</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8595-2026</t>
        </is>
      </c>
      <c r="B673" s="1" t="n">
        <v>46065.7372337963</v>
      </c>
      <c r="C673" s="1" t="n">
        <v>46133</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6408-2025</t>
        </is>
      </c>
      <c r="B674" s="1" t="n">
        <v>45699.45671296296</v>
      </c>
      <c r="C674" s="1" t="n">
        <v>46133</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16183-2026</t>
        </is>
      </c>
      <c r="B675" s="1" t="n">
        <v>46111</v>
      </c>
      <c r="C675" s="1" t="n">
        <v>46133</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25109-2023</t>
        </is>
      </c>
      <c r="B676" s="1" t="n">
        <v>45086</v>
      </c>
      <c r="C676" s="1" t="n">
        <v>46133</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33380-2023</t>
        </is>
      </c>
      <c r="B677" s="1" t="n">
        <v>45128</v>
      </c>
      <c r="C677" s="1" t="n">
        <v>46133</v>
      </c>
      <c r="D677" t="inlineStr">
        <is>
          <t>KALMAR LÄN</t>
        </is>
      </c>
      <c r="E677" t="inlineStr">
        <is>
          <t>VIMMERBY</t>
        </is>
      </c>
      <c r="G677" t="n">
        <v>5.2</v>
      </c>
      <c r="H677" t="n">
        <v>0</v>
      </c>
      <c r="I677" t="n">
        <v>0</v>
      </c>
      <c r="J677" t="n">
        <v>0</v>
      </c>
      <c r="K677" t="n">
        <v>0</v>
      </c>
      <c r="L677" t="n">
        <v>0</v>
      </c>
      <c r="M677" t="n">
        <v>0</v>
      </c>
      <c r="N677" t="n">
        <v>0</v>
      </c>
      <c r="O677" t="n">
        <v>0</v>
      </c>
      <c r="P677" t="n">
        <v>0</v>
      </c>
      <c r="Q677" t="n">
        <v>0</v>
      </c>
      <c r="R677" s="2" t="inlineStr"/>
    </row>
    <row r="678" ht="15" customHeight="1">
      <c r="A678" t="inlineStr">
        <is>
          <t>A 8696-2026</t>
        </is>
      </c>
      <c r="B678" s="1" t="n">
        <v>46066.45273148148</v>
      </c>
      <c r="C678" s="1" t="n">
        <v>46133</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32639-2023</t>
        </is>
      </c>
      <c r="B679" s="1" t="n">
        <v>45121.5965162037</v>
      </c>
      <c r="C679" s="1" t="n">
        <v>46133</v>
      </c>
      <c r="D679" t="inlineStr">
        <is>
          <t>KALMAR LÄN</t>
        </is>
      </c>
      <c r="E679" t="inlineStr">
        <is>
          <t>VIMMERBY</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32642-2023</t>
        </is>
      </c>
      <c r="B680" s="1" t="n">
        <v>45121.59954861111</v>
      </c>
      <c r="C680" s="1" t="n">
        <v>46133</v>
      </c>
      <c r="D680" t="inlineStr">
        <is>
          <t>KALMAR LÄN</t>
        </is>
      </c>
      <c r="E680" t="inlineStr">
        <is>
          <t>VIMMERBY</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32651-2023</t>
        </is>
      </c>
      <c r="B681" s="1" t="n">
        <v>45121.6096875</v>
      </c>
      <c r="C681" s="1" t="n">
        <v>46133</v>
      </c>
      <c r="D681" t="inlineStr">
        <is>
          <t>KALMAR LÄN</t>
        </is>
      </c>
      <c r="E681" t="inlineStr">
        <is>
          <t>VIMMERBY</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11928-2022</t>
        </is>
      </c>
      <c r="B682" s="1" t="n">
        <v>44635</v>
      </c>
      <c r="C682" s="1" t="n">
        <v>46133</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16675-2026</t>
        </is>
      </c>
      <c r="B683" s="1" t="n">
        <v>46112.68202546296</v>
      </c>
      <c r="C683" s="1" t="n">
        <v>46133</v>
      </c>
      <c r="D683" t="inlineStr">
        <is>
          <t>KALMAR LÄN</t>
        </is>
      </c>
      <c r="E683" t="inlineStr">
        <is>
          <t>VIMMERBY</t>
        </is>
      </c>
      <c r="F683" t="inlineStr">
        <is>
          <t>Kommuner</t>
        </is>
      </c>
      <c r="G683" t="n">
        <v>0.8</v>
      </c>
      <c r="H683" t="n">
        <v>0</v>
      </c>
      <c r="I683" t="n">
        <v>0</v>
      </c>
      <c r="J683" t="n">
        <v>0</v>
      </c>
      <c r="K683" t="n">
        <v>0</v>
      </c>
      <c r="L683" t="n">
        <v>0</v>
      </c>
      <c r="M683" t="n">
        <v>0</v>
      </c>
      <c r="N683" t="n">
        <v>0</v>
      </c>
      <c r="O683" t="n">
        <v>0</v>
      </c>
      <c r="P683" t="n">
        <v>0</v>
      </c>
      <c r="Q683" t="n">
        <v>0</v>
      </c>
      <c r="R683" s="2" t="inlineStr"/>
    </row>
    <row r="684" ht="15" customHeight="1">
      <c r="A684" t="inlineStr">
        <is>
          <t>A 16653-2026</t>
        </is>
      </c>
      <c r="B684" s="1" t="n">
        <v>46112.64597222222</v>
      </c>
      <c r="C684" s="1" t="n">
        <v>46133</v>
      </c>
      <c r="D684" t="inlineStr">
        <is>
          <t>KALMAR LÄN</t>
        </is>
      </c>
      <c r="E684" t="inlineStr">
        <is>
          <t>VIMMERBY</t>
        </is>
      </c>
      <c r="F684" t="inlineStr">
        <is>
          <t>Kommuner</t>
        </is>
      </c>
      <c r="G684" t="n">
        <v>4.4</v>
      </c>
      <c r="H684" t="n">
        <v>0</v>
      </c>
      <c r="I684" t="n">
        <v>0</v>
      </c>
      <c r="J684" t="n">
        <v>0</v>
      </c>
      <c r="K684" t="n">
        <v>0</v>
      </c>
      <c r="L684" t="n">
        <v>0</v>
      </c>
      <c r="M684" t="n">
        <v>0</v>
      </c>
      <c r="N684" t="n">
        <v>0</v>
      </c>
      <c r="O684" t="n">
        <v>0</v>
      </c>
      <c r="P684" t="n">
        <v>0</v>
      </c>
      <c r="Q684" t="n">
        <v>0</v>
      </c>
      <c r="R684" s="2" t="inlineStr"/>
    </row>
    <row r="685" ht="15" customHeight="1">
      <c r="A685" t="inlineStr">
        <is>
          <t>A 16823-2026</t>
        </is>
      </c>
      <c r="B685" s="1" t="n">
        <v>46113.51649305555</v>
      </c>
      <c r="C685" s="1" t="n">
        <v>46133</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16870-2026</t>
        </is>
      </c>
      <c r="B686" s="1" t="n">
        <v>46113.5822800926</v>
      </c>
      <c r="C686" s="1" t="n">
        <v>46133</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7068-2024</t>
        </is>
      </c>
      <c r="B687" s="1" t="n">
        <v>45343.68038194445</v>
      </c>
      <c r="C687" s="1" t="n">
        <v>46133</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46234-2024</t>
        </is>
      </c>
      <c r="B688" s="1" t="n">
        <v>45581.57958333333</v>
      </c>
      <c r="C688" s="1" t="n">
        <v>46133</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16617-2026</t>
        </is>
      </c>
      <c r="B689" s="1" t="n">
        <v>46112.60607638889</v>
      </c>
      <c r="C689" s="1" t="n">
        <v>46133</v>
      </c>
      <c r="D689" t="inlineStr">
        <is>
          <t>KALMAR LÄN</t>
        </is>
      </c>
      <c r="E689" t="inlineStr">
        <is>
          <t>VIMMERBY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37187-2024</t>
        </is>
      </c>
      <c r="B690" s="1" t="n">
        <v>45539.65212962963</v>
      </c>
      <c r="C690" s="1" t="n">
        <v>46133</v>
      </c>
      <c r="D690" t="inlineStr">
        <is>
          <t>KALMAR LÄN</t>
        </is>
      </c>
      <c r="E690" t="inlineStr">
        <is>
          <t>VIMMERBY</t>
        </is>
      </c>
      <c r="G690" t="n">
        <v>2.7</v>
      </c>
      <c r="H690" t="n">
        <v>0</v>
      </c>
      <c r="I690" t="n">
        <v>0</v>
      </c>
      <c r="J690" t="n">
        <v>0</v>
      </c>
      <c r="K690" t="n">
        <v>0</v>
      </c>
      <c r="L690" t="n">
        <v>0</v>
      </c>
      <c r="M690" t="n">
        <v>0</v>
      </c>
      <c r="N690" t="n">
        <v>0</v>
      </c>
      <c r="O690" t="n">
        <v>0</v>
      </c>
      <c r="P690" t="n">
        <v>0</v>
      </c>
      <c r="Q690" t="n">
        <v>0</v>
      </c>
      <c r="R690" s="2" t="inlineStr"/>
    </row>
    <row r="691" ht="15" customHeight="1">
      <c r="A691" t="inlineStr">
        <is>
          <t>A 1021-2024</t>
        </is>
      </c>
      <c r="B691" s="1" t="n">
        <v>45301.67736111111</v>
      </c>
      <c r="C691" s="1" t="n">
        <v>46133</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16799-2026</t>
        </is>
      </c>
      <c r="B692" s="1" t="n">
        <v>46113.47913194444</v>
      </c>
      <c r="C692" s="1" t="n">
        <v>46133</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72701-2021</t>
        </is>
      </c>
      <c r="B693" s="1" t="n">
        <v>44546</v>
      </c>
      <c r="C693" s="1" t="n">
        <v>46133</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19111-2025</t>
        </is>
      </c>
      <c r="B694" s="1" t="n">
        <v>45768.65611111111</v>
      </c>
      <c r="C694" s="1" t="n">
        <v>46133</v>
      </c>
      <c r="D694" t="inlineStr">
        <is>
          <t>KALMAR LÄN</t>
        </is>
      </c>
      <c r="E694" t="inlineStr">
        <is>
          <t>VIMMERBY</t>
        </is>
      </c>
      <c r="G694" t="n">
        <v>6.2</v>
      </c>
      <c r="H694" t="n">
        <v>0</v>
      </c>
      <c r="I694" t="n">
        <v>0</v>
      </c>
      <c r="J694" t="n">
        <v>0</v>
      </c>
      <c r="K694" t="n">
        <v>0</v>
      </c>
      <c r="L694" t="n">
        <v>0</v>
      </c>
      <c r="M694" t="n">
        <v>0</v>
      </c>
      <c r="N694" t="n">
        <v>0</v>
      </c>
      <c r="O694" t="n">
        <v>0</v>
      </c>
      <c r="P694" t="n">
        <v>0</v>
      </c>
      <c r="Q694" t="n">
        <v>0</v>
      </c>
      <c r="R694" s="2" t="inlineStr"/>
    </row>
    <row r="695" ht="15" customHeight="1">
      <c r="A695" t="inlineStr">
        <is>
          <t>A 33374-2021</t>
        </is>
      </c>
      <c r="B695" s="1" t="n">
        <v>44377</v>
      </c>
      <c r="C695" s="1" t="n">
        <v>46133</v>
      </c>
      <c r="D695" t="inlineStr">
        <is>
          <t>KALMAR LÄN</t>
        </is>
      </c>
      <c r="E695" t="inlineStr">
        <is>
          <t>VIMMERBY</t>
        </is>
      </c>
      <c r="G695" t="n">
        <v>3.3</v>
      </c>
      <c r="H695" t="n">
        <v>0</v>
      </c>
      <c r="I695" t="n">
        <v>0</v>
      </c>
      <c r="J695" t="n">
        <v>0</v>
      </c>
      <c r="K695" t="n">
        <v>0</v>
      </c>
      <c r="L695" t="n">
        <v>0</v>
      </c>
      <c r="M695" t="n">
        <v>0</v>
      </c>
      <c r="N695" t="n">
        <v>0</v>
      </c>
      <c r="O695" t="n">
        <v>0</v>
      </c>
      <c r="P695" t="n">
        <v>0</v>
      </c>
      <c r="Q695" t="n">
        <v>0</v>
      </c>
      <c r="R695" s="2" t="inlineStr"/>
    </row>
    <row r="696" ht="15" customHeight="1">
      <c r="A696" t="inlineStr">
        <is>
          <t>A 16632-2026</t>
        </is>
      </c>
      <c r="B696" s="1" t="n">
        <v>46112.62212962963</v>
      </c>
      <c r="C696" s="1" t="n">
        <v>46133</v>
      </c>
      <c r="D696" t="inlineStr">
        <is>
          <t>KALMAR LÄN</t>
        </is>
      </c>
      <c r="E696" t="inlineStr">
        <is>
          <t>VIMMERBY</t>
        </is>
      </c>
      <c r="G696" t="n">
        <v>2.1</v>
      </c>
      <c r="H696" t="n">
        <v>0</v>
      </c>
      <c r="I696" t="n">
        <v>0</v>
      </c>
      <c r="J696" t="n">
        <v>0</v>
      </c>
      <c r="K696" t="n">
        <v>0</v>
      </c>
      <c r="L696" t="n">
        <v>0</v>
      </c>
      <c r="M696" t="n">
        <v>0</v>
      </c>
      <c r="N696" t="n">
        <v>0</v>
      </c>
      <c r="O696" t="n">
        <v>0</v>
      </c>
      <c r="P696" t="n">
        <v>0</v>
      </c>
      <c r="Q696" t="n">
        <v>0</v>
      </c>
      <c r="R696" s="2" t="inlineStr"/>
    </row>
    <row r="697" ht="15" customHeight="1">
      <c r="A697" t="inlineStr">
        <is>
          <t>A 16648-2026</t>
        </is>
      </c>
      <c r="B697" s="1" t="n">
        <v>46112.64032407408</v>
      </c>
      <c r="C697" s="1" t="n">
        <v>46133</v>
      </c>
      <c r="D697" t="inlineStr">
        <is>
          <t>KALMAR LÄN</t>
        </is>
      </c>
      <c r="E697" t="inlineStr">
        <is>
          <t>VIMMERBY</t>
        </is>
      </c>
      <c r="F697" t="inlineStr">
        <is>
          <t>Kommuner</t>
        </is>
      </c>
      <c r="G697" t="n">
        <v>0.9</v>
      </c>
      <c r="H697" t="n">
        <v>0</v>
      </c>
      <c r="I697" t="n">
        <v>0</v>
      </c>
      <c r="J697" t="n">
        <v>0</v>
      </c>
      <c r="K697" t="n">
        <v>0</v>
      </c>
      <c r="L697" t="n">
        <v>0</v>
      </c>
      <c r="M697" t="n">
        <v>0</v>
      </c>
      <c r="N697" t="n">
        <v>0</v>
      </c>
      <c r="O697" t="n">
        <v>0</v>
      </c>
      <c r="P697" t="n">
        <v>0</v>
      </c>
      <c r="Q697" t="n">
        <v>0</v>
      </c>
      <c r="R697" s="2" t="inlineStr"/>
    </row>
    <row r="698" ht="15" customHeight="1">
      <c r="A698" t="inlineStr">
        <is>
          <t>A 16656-2026</t>
        </is>
      </c>
      <c r="B698" s="1" t="n">
        <v>46112.65111111111</v>
      </c>
      <c r="C698" s="1" t="n">
        <v>46133</v>
      </c>
      <c r="D698" t="inlineStr">
        <is>
          <t>KALMAR LÄN</t>
        </is>
      </c>
      <c r="E698" t="inlineStr">
        <is>
          <t>VIMMERBY</t>
        </is>
      </c>
      <c r="F698" t="inlineStr">
        <is>
          <t>Kommuner</t>
        </is>
      </c>
      <c r="G698" t="n">
        <v>5.5</v>
      </c>
      <c r="H698" t="n">
        <v>0</v>
      </c>
      <c r="I698" t="n">
        <v>0</v>
      </c>
      <c r="J698" t="n">
        <v>0</v>
      </c>
      <c r="K698" t="n">
        <v>0</v>
      </c>
      <c r="L698" t="n">
        <v>0</v>
      </c>
      <c r="M698" t="n">
        <v>0</v>
      </c>
      <c r="N698" t="n">
        <v>0</v>
      </c>
      <c r="O698" t="n">
        <v>0</v>
      </c>
      <c r="P698" t="n">
        <v>0</v>
      </c>
      <c r="Q698" t="n">
        <v>0</v>
      </c>
      <c r="R698" s="2" t="inlineStr"/>
    </row>
    <row r="699" ht="15" customHeight="1">
      <c r="A699" t="inlineStr">
        <is>
          <t>A 16795-2026</t>
        </is>
      </c>
      <c r="B699" s="1" t="n">
        <v>46113.47216435185</v>
      </c>
      <c r="C699" s="1" t="n">
        <v>46133</v>
      </c>
      <c r="D699" t="inlineStr">
        <is>
          <t>KALMAR LÄN</t>
        </is>
      </c>
      <c r="E699" t="inlineStr">
        <is>
          <t>VIMMERBY</t>
        </is>
      </c>
      <c r="G699" t="n">
        <v>2.1</v>
      </c>
      <c r="H699" t="n">
        <v>0</v>
      </c>
      <c r="I699" t="n">
        <v>0</v>
      </c>
      <c r="J699" t="n">
        <v>0</v>
      </c>
      <c r="K699" t="n">
        <v>0</v>
      </c>
      <c r="L699" t="n">
        <v>0</v>
      </c>
      <c r="M699" t="n">
        <v>0</v>
      </c>
      <c r="N699" t="n">
        <v>0</v>
      </c>
      <c r="O699" t="n">
        <v>0</v>
      </c>
      <c r="P699" t="n">
        <v>0</v>
      </c>
      <c r="Q699" t="n">
        <v>0</v>
      </c>
      <c r="R699" s="2" t="inlineStr"/>
    </row>
    <row r="700" ht="15" customHeight="1">
      <c r="A700" t="inlineStr">
        <is>
          <t>A 10807-2024</t>
        </is>
      </c>
      <c r="B700" s="1" t="n">
        <v>45369.62780092593</v>
      </c>
      <c r="C700" s="1" t="n">
        <v>46133</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16801-2026</t>
        </is>
      </c>
      <c r="B701" s="1" t="n">
        <v>46113.48400462963</v>
      </c>
      <c r="C701" s="1" t="n">
        <v>46133</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33359-2021</t>
        </is>
      </c>
      <c r="B702" s="1" t="n">
        <v>44377.49684027778</v>
      </c>
      <c r="C702" s="1" t="n">
        <v>46133</v>
      </c>
      <c r="D702" t="inlineStr">
        <is>
          <t>KALMAR LÄN</t>
        </is>
      </c>
      <c r="E702" t="inlineStr">
        <is>
          <t>VIMMERBY</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16678-2026</t>
        </is>
      </c>
      <c r="B703" s="1" t="n">
        <v>46112.69435185185</v>
      </c>
      <c r="C703" s="1" t="n">
        <v>46133</v>
      </c>
      <c r="D703" t="inlineStr">
        <is>
          <t>KALMAR LÄN</t>
        </is>
      </c>
      <c r="E703" t="inlineStr">
        <is>
          <t>VIMMERBY</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16672-2026</t>
        </is>
      </c>
      <c r="B704" s="1" t="n">
        <v>46112.67336805556</v>
      </c>
      <c r="C704" s="1" t="n">
        <v>46133</v>
      </c>
      <c r="D704" t="inlineStr">
        <is>
          <t>KALMAR LÄN</t>
        </is>
      </c>
      <c r="E704" t="inlineStr">
        <is>
          <t>VIMMERBY</t>
        </is>
      </c>
      <c r="F704" t="inlineStr">
        <is>
          <t>Kommuner</t>
        </is>
      </c>
      <c r="G704" t="n">
        <v>1.4</v>
      </c>
      <c r="H704" t="n">
        <v>0</v>
      </c>
      <c r="I704" t="n">
        <v>0</v>
      </c>
      <c r="J704" t="n">
        <v>0</v>
      </c>
      <c r="K704" t="n">
        <v>0</v>
      </c>
      <c r="L704" t="n">
        <v>0</v>
      </c>
      <c r="M704" t="n">
        <v>0</v>
      </c>
      <c r="N704" t="n">
        <v>0</v>
      </c>
      <c r="O704" t="n">
        <v>0</v>
      </c>
      <c r="P704" t="n">
        <v>0</v>
      </c>
      <c r="Q704" t="n">
        <v>0</v>
      </c>
      <c r="R704" s="2" t="inlineStr"/>
    </row>
    <row r="705" ht="15" customHeight="1">
      <c r="A705" t="inlineStr">
        <is>
          <t>A 34588-2024</t>
        </is>
      </c>
      <c r="B705" s="1" t="n">
        <v>45526.3865625</v>
      </c>
      <c r="C705" s="1" t="n">
        <v>46133</v>
      </c>
      <c r="D705" t="inlineStr">
        <is>
          <t>KALMAR LÄN</t>
        </is>
      </c>
      <c r="E705" t="inlineStr">
        <is>
          <t>VIMMERBY</t>
        </is>
      </c>
      <c r="F705" t="inlineStr">
        <is>
          <t>Övriga Aktiebolag</t>
        </is>
      </c>
      <c r="G705" t="n">
        <v>3.3</v>
      </c>
      <c r="H705" t="n">
        <v>0</v>
      </c>
      <c r="I705" t="n">
        <v>0</v>
      </c>
      <c r="J705" t="n">
        <v>0</v>
      </c>
      <c r="K705" t="n">
        <v>0</v>
      </c>
      <c r="L705" t="n">
        <v>0</v>
      </c>
      <c r="M705" t="n">
        <v>0</v>
      </c>
      <c r="N705" t="n">
        <v>0</v>
      </c>
      <c r="O705" t="n">
        <v>0</v>
      </c>
      <c r="P705" t="n">
        <v>0</v>
      </c>
      <c r="Q705" t="n">
        <v>0</v>
      </c>
      <c r="R705" s="2" t="inlineStr"/>
    </row>
    <row r="706" ht="15" customHeight="1">
      <c r="A706" t="inlineStr">
        <is>
          <t>A 17084-2025</t>
        </is>
      </c>
      <c r="B706" s="1" t="n">
        <v>45755.64450231481</v>
      </c>
      <c r="C706" s="1" t="n">
        <v>46133</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33161-2024</t>
        </is>
      </c>
      <c r="B707" s="1" t="n">
        <v>45518.40657407408</v>
      </c>
      <c r="C707" s="1" t="n">
        <v>46133</v>
      </c>
      <c r="D707" t="inlineStr">
        <is>
          <t>KALMAR LÄN</t>
        </is>
      </c>
      <c r="E707" t="inlineStr">
        <is>
          <t>VIMMERBY</t>
        </is>
      </c>
      <c r="G707" t="n">
        <v>4.7</v>
      </c>
      <c r="H707" t="n">
        <v>0</v>
      </c>
      <c r="I707" t="n">
        <v>0</v>
      </c>
      <c r="J707" t="n">
        <v>0</v>
      </c>
      <c r="K707" t="n">
        <v>0</v>
      </c>
      <c r="L707" t="n">
        <v>0</v>
      </c>
      <c r="M707" t="n">
        <v>0</v>
      </c>
      <c r="N707" t="n">
        <v>0</v>
      </c>
      <c r="O707" t="n">
        <v>0</v>
      </c>
      <c r="P707" t="n">
        <v>0</v>
      </c>
      <c r="Q707" t="n">
        <v>0</v>
      </c>
      <c r="R707" s="2" t="inlineStr"/>
    </row>
    <row r="708" ht="15" customHeight="1">
      <c r="A708" t="inlineStr">
        <is>
          <t>A 14359-2025</t>
        </is>
      </c>
      <c r="B708" s="1" t="n">
        <v>45741.37270833334</v>
      </c>
      <c r="C708" s="1" t="n">
        <v>46133</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55605-2024</t>
        </is>
      </c>
      <c r="B709" s="1" t="n">
        <v>45622</v>
      </c>
      <c r="C709" s="1" t="n">
        <v>46133</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44464-2024</t>
        </is>
      </c>
      <c r="B710" s="1" t="n">
        <v>45574.35809027778</v>
      </c>
      <c r="C710" s="1" t="n">
        <v>46133</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36049-2024</t>
        </is>
      </c>
      <c r="B711" s="1" t="n">
        <v>45533.61996527778</v>
      </c>
      <c r="C711" s="1" t="n">
        <v>46133</v>
      </c>
      <c r="D711" t="inlineStr">
        <is>
          <t>KALMAR LÄN</t>
        </is>
      </c>
      <c r="E711" t="inlineStr">
        <is>
          <t>VIMMERBY</t>
        </is>
      </c>
      <c r="F711" t="inlineStr">
        <is>
          <t>Kommuner</t>
        </is>
      </c>
      <c r="G711" t="n">
        <v>2.6</v>
      </c>
      <c r="H711" t="n">
        <v>0</v>
      </c>
      <c r="I711" t="n">
        <v>0</v>
      </c>
      <c r="J711" t="n">
        <v>0</v>
      </c>
      <c r="K711" t="n">
        <v>0</v>
      </c>
      <c r="L711" t="n">
        <v>0</v>
      </c>
      <c r="M711" t="n">
        <v>0</v>
      </c>
      <c r="N711" t="n">
        <v>0</v>
      </c>
      <c r="O711" t="n">
        <v>0</v>
      </c>
      <c r="P711" t="n">
        <v>0</v>
      </c>
      <c r="Q711" t="n">
        <v>0</v>
      </c>
      <c r="R711" s="2" t="inlineStr"/>
    </row>
    <row r="712" ht="15" customHeight="1">
      <c r="A712" t="inlineStr">
        <is>
          <t>A 4297-2022</t>
        </is>
      </c>
      <c r="B712" s="1" t="n">
        <v>44588</v>
      </c>
      <c r="C712" s="1" t="n">
        <v>46133</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46399-2024</t>
        </is>
      </c>
      <c r="B713" s="1" t="n">
        <v>45582.41200231481</v>
      </c>
      <c r="C713" s="1" t="n">
        <v>46133</v>
      </c>
      <c r="D713" t="inlineStr">
        <is>
          <t>KALMAR LÄN</t>
        </is>
      </c>
      <c r="E713" t="inlineStr">
        <is>
          <t>VIMMERBY</t>
        </is>
      </c>
      <c r="G713" t="n">
        <v>4.6</v>
      </c>
      <c r="H713" t="n">
        <v>0</v>
      </c>
      <c r="I713" t="n">
        <v>0</v>
      </c>
      <c r="J713" t="n">
        <v>0</v>
      </c>
      <c r="K713" t="n">
        <v>0</v>
      </c>
      <c r="L713" t="n">
        <v>0</v>
      </c>
      <c r="M713" t="n">
        <v>0</v>
      </c>
      <c r="N713" t="n">
        <v>0</v>
      </c>
      <c r="O713" t="n">
        <v>0</v>
      </c>
      <c r="P713" t="n">
        <v>0</v>
      </c>
      <c r="Q713" t="n">
        <v>0</v>
      </c>
      <c r="R713" s="2" t="inlineStr"/>
    </row>
    <row r="714" ht="15" customHeight="1">
      <c r="A714" t="inlineStr">
        <is>
          <t>A 13532-2025</t>
        </is>
      </c>
      <c r="B714" s="1" t="n">
        <v>45736.50743055555</v>
      </c>
      <c r="C714" s="1" t="n">
        <v>46133</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43038-2022</t>
        </is>
      </c>
      <c r="B715" s="1" t="n">
        <v>44833.60123842592</v>
      </c>
      <c r="C715" s="1" t="n">
        <v>46133</v>
      </c>
      <c r="D715" t="inlineStr">
        <is>
          <t>KALMAR LÄN</t>
        </is>
      </c>
      <c r="E715" t="inlineStr">
        <is>
          <t>VIMMERBY</t>
        </is>
      </c>
      <c r="G715" t="n">
        <v>4.2</v>
      </c>
      <c r="H715" t="n">
        <v>0</v>
      </c>
      <c r="I715" t="n">
        <v>0</v>
      </c>
      <c r="J715" t="n">
        <v>0</v>
      </c>
      <c r="K715" t="n">
        <v>0</v>
      </c>
      <c r="L715" t="n">
        <v>0</v>
      </c>
      <c r="M715" t="n">
        <v>0</v>
      </c>
      <c r="N715" t="n">
        <v>0</v>
      </c>
      <c r="O715" t="n">
        <v>0</v>
      </c>
      <c r="P715" t="n">
        <v>0</v>
      </c>
      <c r="Q715" t="n">
        <v>0</v>
      </c>
      <c r="R715" s="2" t="inlineStr"/>
    </row>
    <row r="716" ht="15" customHeight="1">
      <c r="A716" t="inlineStr">
        <is>
          <t>A 57799-2022</t>
        </is>
      </c>
      <c r="B716" s="1" t="n">
        <v>44897</v>
      </c>
      <c r="C716" s="1" t="n">
        <v>46133</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30921-2024</t>
        </is>
      </c>
      <c r="B717" s="1" t="n">
        <v>45498</v>
      </c>
      <c r="C717" s="1" t="n">
        <v>46133</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14137-2023</t>
        </is>
      </c>
      <c r="B718" s="1" t="n">
        <v>45009.4671875</v>
      </c>
      <c r="C718" s="1" t="n">
        <v>46133</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11152-2023</t>
        </is>
      </c>
      <c r="B719" s="1" t="n">
        <v>44992</v>
      </c>
      <c r="C719" s="1" t="n">
        <v>46133</v>
      </c>
      <c r="D719" t="inlineStr">
        <is>
          <t>KALMAR LÄN</t>
        </is>
      </c>
      <c r="E719" t="inlineStr">
        <is>
          <t>VIMMERBY</t>
        </is>
      </c>
      <c r="G719" t="n">
        <v>10.6</v>
      </c>
      <c r="H719" t="n">
        <v>0</v>
      </c>
      <c r="I719" t="n">
        <v>0</v>
      </c>
      <c r="J719" t="n">
        <v>0</v>
      </c>
      <c r="K719" t="n">
        <v>0</v>
      </c>
      <c r="L719" t="n">
        <v>0</v>
      </c>
      <c r="M719" t="n">
        <v>0</v>
      </c>
      <c r="N719" t="n">
        <v>0</v>
      </c>
      <c r="O719" t="n">
        <v>0</v>
      </c>
      <c r="P719" t="n">
        <v>0</v>
      </c>
      <c r="Q719" t="n">
        <v>0</v>
      </c>
      <c r="R719" s="2" t="inlineStr"/>
    </row>
    <row r="720" ht="15" customHeight="1">
      <c r="A720" t="inlineStr">
        <is>
          <t>A 10965-2026</t>
        </is>
      </c>
      <c r="B720" s="1" t="n">
        <v>46079.43295138889</v>
      </c>
      <c r="C720" s="1" t="n">
        <v>46133</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12499-2023</t>
        </is>
      </c>
      <c r="B721" s="1" t="n">
        <v>44999.86172453704</v>
      </c>
      <c r="C721" s="1" t="n">
        <v>46133</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12500-2023</t>
        </is>
      </c>
      <c r="B722" s="1" t="n">
        <v>44999.8625</v>
      </c>
      <c r="C722" s="1" t="n">
        <v>46133</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35846-2023</t>
        </is>
      </c>
      <c r="B723" s="1" t="n">
        <v>45148</v>
      </c>
      <c r="C723" s="1" t="n">
        <v>46133</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11273-2026</t>
        </is>
      </c>
      <c r="B724" s="1" t="n">
        <v>46080.57634259259</v>
      </c>
      <c r="C724" s="1" t="n">
        <v>46133</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49039-2021</t>
        </is>
      </c>
      <c r="B725" s="1" t="n">
        <v>44453.56578703703</v>
      </c>
      <c r="C725" s="1" t="n">
        <v>46133</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17713-2026</t>
        </is>
      </c>
      <c r="B726" s="1" t="n">
        <v>46121.72810185186</v>
      </c>
      <c r="C726" s="1" t="n">
        <v>46133</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46224-2024</t>
        </is>
      </c>
      <c r="B727" s="1" t="n">
        <v>45581.57016203704</v>
      </c>
      <c r="C727" s="1" t="n">
        <v>46133</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46238-2024</t>
        </is>
      </c>
      <c r="B728" s="1" t="n">
        <v>45581.58418981481</v>
      </c>
      <c r="C728" s="1" t="n">
        <v>46133</v>
      </c>
      <c r="D728" t="inlineStr">
        <is>
          <t>KALMAR LÄN</t>
        </is>
      </c>
      <c r="E728" t="inlineStr">
        <is>
          <t>VIMMERBY</t>
        </is>
      </c>
      <c r="G728" t="n">
        <v>2.1</v>
      </c>
      <c r="H728" t="n">
        <v>0</v>
      </c>
      <c r="I728" t="n">
        <v>0</v>
      </c>
      <c r="J728" t="n">
        <v>0</v>
      </c>
      <c r="K728" t="n">
        <v>0</v>
      </c>
      <c r="L728" t="n">
        <v>0</v>
      </c>
      <c r="M728" t="n">
        <v>0</v>
      </c>
      <c r="N728" t="n">
        <v>0</v>
      </c>
      <c r="O728" t="n">
        <v>0</v>
      </c>
      <c r="P728" t="n">
        <v>0</v>
      </c>
      <c r="Q728" t="n">
        <v>0</v>
      </c>
      <c r="R728" s="2" t="inlineStr"/>
    </row>
    <row r="729" ht="15" customHeight="1">
      <c r="A729" t="inlineStr">
        <is>
          <t>A 30633-2024</t>
        </is>
      </c>
      <c r="B729" s="1" t="n">
        <v>45495</v>
      </c>
      <c r="C729" s="1" t="n">
        <v>46133</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54838-2024</t>
        </is>
      </c>
      <c r="B730" s="1" t="n">
        <v>45618.56787037037</v>
      </c>
      <c r="C730" s="1" t="n">
        <v>46133</v>
      </c>
      <c r="D730" t="inlineStr">
        <is>
          <t>KALMAR LÄN</t>
        </is>
      </c>
      <c r="E730" t="inlineStr">
        <is>
          <t>VIMMERBY</t>
        </is>
      </c>
      <c r="G730" t="n">
        <v>3.3</v>
      </c>
      <c r="H730" t="n">
        <v>0</v>
      </c>
      <c r="I730" t="n">
        <v>0</v>
      </c>
      <c r="J730" t="n">
        <v>0</v>
      </c>
      <c r="K730" t="n">
        <v>0</v>
      </c>
      <c r="L730" t="n">
        <v>0</v>
      </c>
      <c r="M730" t="n">
        <v>0</v>
      </c>
      <c r="N730" t="n">
        <v>0</v>
      </c>
      <c r="O730" t="n">
        <v>0</v>
      </c>
      <c r="P730" t="n">
        <v>0</v>
      </c>
      <c r="Q730" t="n">
        <v>0</v>
      </c>
      <c r="R730" s="2" t="inlineStr"/>
    </row>
    <row r="731" ht="15" customHeight="1">
      <c r="A731" t="inlineStr">
        <is>
          <t>A 6405-2025</t>
        </is>
      </c>
      <c r="B731" s="1" t="n">
        <v>45699.45392361111</v>
      </c>
      <c r="C731" s="1" t="n">
        <v>46133</v>
      </c>
      <c r="D731" t="inlineStr">
        <is>
          <t>KALMAR LÄN</t>
        </is>
      </c>
      <c r="E731" t="inlineStr">
        <is>
          <t>VIMMERBY</t>
        </is>
      </c>
      <c r="G731" t="n">
        <v>1.2</v>
      </c>
      <c r="H731" t="n">
        <v>0</v>
      </c>
      <c r="I731" t="n">
        <v>0</v>
      </c>
      <c r="J731" t="n">
        <v>0</v>
      </c>
      <c r="K731" t="n">
        <v>0</v>
      </c>
      <c r="L731" t="n">
        <v>0</v>
      </c>
      <c r="M731" t="n">
        <v>0</v>
      </c>
      <c r="N731" t="n">
        <v>0</v>
      </c>
      <c r="O731" t="n">
        <v>0</v>
      </c>
      <c r="P731" t="n">
        <v>0</v>
      </c>
      <c r="Q731" t="n">
        <v>0</v>
      </c>
      <c r="R731" s="2" t="inlineStr"/>
    </row>
    <row r="732" ht="15" customHeight="1">
      <c r="A732" t="inlineStr">
        <is>
          <t>A 18122-2026</t>
        </is>
      </c>
      <c r="B732" s="1" t="n">
        <v>46125.58524305555</v>
      </c>
      <c r="C732" s="1" t="n">
        <v>46133</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60437-2023</t>
        </is>
      </c>
      <c r="B733" s="1" t="n">
        <v>45259.51916666667</v>
      </c>
      <c r="C733" s="1" t="n">
        <v>46133</v>
      </c>
      <c r="D733" t="inlineStr">
        <is>
          <t>KALMAR LÄN</t>
        </is>
      </c>
      <c r="E733" t="inlineStr">
        <is>
          <t>VIMMERBY</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60438-2023</t>
        </is>
      </c>
      <c r="B734" s="1" t="n">
        <v>45259.52020833334</v>
      </c>
      <c r="C734" s="1" t="n">
        <v>46133</v>
      </c>
      <c r="D734" t="inlineStr">
        <is>
          <t>KALMAR LÄN</t>
        </is>
      </c>
      <c r="E734" t="inlineStr">
        <is>
          <t>VIMMERBY</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42165-2024</t>
        </is>
      </c>
      <c r="B735" s="1" t="n">
        <v>45562.46342592593</v>
      </c>
      <c r="C735" s="1" t="n">
        <v>46133</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25244-2023</t>
        </is>
      </c>
      <c r="B736" s="1" t="n">
        <v>45086</v>
      </c>
      <c r="C736" s="1" t="n">
        <v>46133</v>
      </c>
      <c r="D736" t="inlineStr">
        <is>
          <t>KALMAR LÄN</t>
        </is>
      </c>
      <c r="E736" t="inlineStr">
        <is>
          <t>VIMMERBY</t>
        </is>
      </c>
      <c r="G736" t="n">
        <v>4.7</v>
      </c>
      <c r="H736" t="n">
        <v>0</v>
      </c>
      <c r="I736" t="n">
        <v>0</v>
      </c>
      <c r="J736" t="n">
        <v>0</v>
      </c>
      <c r="K736" t="n">
        <v>0</v>
      </c>
      <c r="L736" t="n">
        <v>0</v>
      </c>
      <c r="M736" t="n">
        <v>0</v>
      </c>
      <c r="N736" t="n">
        <v>0</v>
      </c>
      <c r="O736" t="n">
        <v>0</v>
      </c>
      <c r="P736" t="n">
        <v>0</v>
      </c>
      <c r="Q736" t="n">
        <v>0</v>
      </c>
      <c r="R736" s="2" t="inlineStr"/>
    </row>
    <row r="737" ht="15" customHeight="1">
      <c r="A737" t="inlineStr">
        <is>
          <t>A 11415-2026</t>
        </is>
      </c>
      <c r="B737" s="1" t="n">
        <v>46083</v>
      </c>
      <c r="C737" s="1" t="n">
        <v>46133</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11407-2026</t>
        </is>
      </c>
      <c r="B738" s="1" t="n">
        <v>46083</v>
      </c>
      <c r="C738" s="1" t="n">
        <v>46133</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66022-2021</t>
        </is>
      </c>
      <c r="B739" s="1" t="n">
        <v>44517</v>
      </c>
      <c r="C739" s="1" t="n">
        <v>46133</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35895-2024</t>
        </is>
      </c>
      <c r="B740" s="1" t="n">
        <v>45533.38870370371</v>
      </c>
      <c r="C740" s="1" t="n">
        <v>46133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11073-2023</t>
        </is>
      </c>
      <c r="B741" s="1" t="n">
        <v>44992</v>
      </c>
      <c r="C741" s="1" t="n">
        <v>46133</v>
      </c>
      <c r="D741" t="inlineStr">
        <is>
          <t>KALMAR LÄN</t>
        </is>
      </c>
      <c r="E741" t="inlineStr">
        <is>
          <t>VIMMERBY</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17-2025</t>
        </is>
      </c>
      <c r="B742" s="1" t="n">
        <v>45658.78774305555</v>
      </c>
      <c r="C742" s="1" t="n">
        <v>46133</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32655-2023</t>
        </is>
      </c>
      <c r="B743" s="1" t="n">
        <v>45121.61318287037</v>
      </c>
      <c r="C743" s="1" t="n">
        <v>46133</v>
      </c>
      <c r="D743" t="inlineStr">
        <is>
          <t>KALMAR LÄN</t>
        </is>
      </c>
      <c r="E743" t="inlineStr">
        <is>
          <t>VIMMERBY</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63541-2023</t>
        </is>
      </c>
      <c r="B744" s="1" t="n">
        <v>45275.32266203704</v>
      </c>
      <c r="C744" s="1" t="n">
        <v>46133</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28034-2022</t>
        </is>
      </c>
      <c r="B745" s="1" t="n">
        <v>44746.38834490741</v>
      </c>
      <c r="C745" s="1" t="n">
        <v>46133</v>
      </c>
      <c r="D745" t="inlineStr">
        <is>
          <t>KALMAR LÄN</t>
        </is>
      </c>
      <c r="E745" t="inlineStr">
        <is>
          <t>VIMMERBY</t>
        </is>
      </c>
      <c r="G745" t="n">
        <v>2</v>
      </c>
      <c r="H745" t="n">
        <v>0</v>
      </c>
      <c r="I745" t="n">
        <v>0</v>
      </c>
      <c r="J745" t="n">
        <v>0</v>
      </c>
      <c r="K745" t="n">
        <v>0</v>
      </c>
      <c r="L745" t="n">
        <v>0</v>
      </c>
      <c r="M745" t="n">
        <v>0</v>
      </c>
      <c r="N745" t="n">
        <v>0</v>
      </c>
      <c r="O745" t="n">
        <v>0</v>
      </c>
      <c r="P745" t="n">
        <v>0</v>
      </c>
      <c r="Q745" t="n">
        <v>0</v>
      </c>
      <c r="R745" s="2" t="inlineStr"/>
    </row>
    <row r="746" ht="15" customHeight="1">
      <c r="A746" t="inlineStr">
        <is>
          <t>A 5938-2022</t>
        </is>
      </c>
      <c r="B746" s="1" t="n">
        <v>44598</v>
      </c>
      <c r="C746" s="1" t="n">
        <v>46133</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11798-2026</t>
        </is>
      </c>
      <c r="B747" s="1" t="n">
        <v>46085.34020833333</v>
      </c>
      <c r="C747" s="1" t="n">
        <v>46133</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24283-2023</t>
        </is>
      </c>
      <c r="B748" s="1" t="n">
        <v>45079.87827546296</v>
      </c>
      <c r="C748" s="1" t="n">
        <v>46133</v>
      </c>
      <c r="D748" t="inlineStr">
        <is>
          <t>KALMAR LÄN</t>
        </is>
      </c>
      <c r="E748" t="inlineStr">
        <is>
          <t>VIMMERBY</t>
        </is>
      </c>
      <c r="G748" t="n">
        <v>2</v>
      </c>
      <c r="H748" t="n">
        <v>0</v>
      </c>
      <c r="I748" t="n">
        <v>0</v>
      </c>
      <c r="J748" t="n">
        <v>0</v>
      </c>
      <c r="K748" t="n">
        <v>0</v>
      </c>
      <c r="L748" t="n">
        <v>0</v>
      </c>
      <c r="M748" t="n">
        <v>0</v>
      </c>
      <c r="N748" t="n">
        <v>0</v>
      </c>
      <c r="O748" t="n">
        <v>0</v>
      </c>
      <c r="P748" t="n">
        <v>0</v>
      </c>
      <c r="Q748" t="n">
        <v>0</v>
      </c>
      <c r="R748" s="2" t="inlineStr"/>
    </row>
    <row r="749" ht="15" customHeight="1">
      <c r="A749" t="inlineStr">
        <is>
          <t>A 2462-2022</t>
        </is>
      </c>
      <c r="B749" s="1" t="n">
        <v>44579.62225694444</v>
      </c>
      <c r="C749" s="1" t="n">
        <v>46133</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60228-2021</t>
        </is>
      </c>
      <c r="B750" s="1" t="n">
        <v>44495</v>
      </c>
      <c r="C750" s="1" t="n">
        <v>46133</v>
      </c>
      <c r="D750" t="inlineStr">
        <is>
          <t>KALMAR LÄN</t>
        </is>
      </c>
      <c r="E750" t="inlineStr">
        <is>
          <t>VIMMERBY</t>
        </is>
      </c>
      <c r="G750" t="n">
        <v>4.1</v>
      </c>
      <c r="H750" t="n">
        <v>0</v>
      </c>
      <c r="I750" t="n">
        <v>0</v>
      </c>
      <c r="J750" t="n">
        <v>0</v>
      </c>
      <c r="K750" t="n">
        <v>0</v>
      </c>
      <c r="L750" t="n">
        <v>0</v>
      </c>
      <c r="M750" t="n">
        <v>0</v>
      </c>
      <c r="N750" t="n">
        <v>0</v>
      </c>
      <c r="O750" t="n">
        <v>0</v>
      </c>
      <c r="P750" t="n">
        <v>0</v>
      </c>
      <c r="Q750" t="n">
        <v>0</v>
      </c>
      <c r="R750" s="2" t="inlineStr"/>
    </row>
    <row r="751" ht="15" customHeight="1">
      <c r="A751" t="inlineStr">
        <is>
          <t>A 25979-2023</t>
        </is>
      </c>
      <c r="B751" s="1" t="n">
        <v>45090.89653935185</v>
      </c>
      <c r="C751" s="1" t="n">
        <v>46133</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25980-2023</t>
        </is>
      </c>
      <c r="B752" s="1" t="n">
        <v>45090.89880787037</v>
      </c>
      <c r="C752" s="1" t="n">
        <v>46133</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12510-2022</t>
        </is>
      </c>
      <c r="B753" s="1" t="n">
        <v>44638.55256944444</v>
      </c>
      <c r="C753" s="1" t="n">
        <v>46133</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6358-2022</t>
        </is>
      </c>
      <c r="B754" s="1" t="n">
        <v>44600</v>
      </c>
      <c r="C754" s="1" t="n">
        <v>46133</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18633-2026</t>
        </is>
      </c>
      <c r="B755" s="1" t="n">
        <v>46128.26289351852</v>
      </c>
      <c r="C755" s="1" t="n">
        <v>46133</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48373-2021</t>
        </is>
      </c>
      <c r="B756" s="1" t="n">
        <v>44451</v>
      </c>
      <c r="C756" s="1" t="n">
        <v>46133</v>
      </c>
      <c r="D756" t="inlineStr">
        <is>
          <t>KALMAR LÄN</t>
        </is>
      </c>
      <c r="E756" t="inlineStr">
        <is>
          <t>VIMMERBY</t>
        </is>
      </c>
      <c r="G756" t="n">
        <v>2.2</v>
      </c>
      <c r="H756" t="n">
        <v>0</v>
      </c>
      <c r="I756" t="n">
        <v>0</v>
      </c>
      <c r="J756" t="n">
        <v>0</v>
      </c>
      <c r="K756" t="n">
        <v>0</v>
      </c>
      <c r="L756" t="n">
        <v>0</v>
      </c>
      <c r="M756" t="n">
        <v>0</v>
      </c>
      <c r="N756" t="n">
        <v>0</v>
      </c>
      <c r="O756" t="n">
        <v>0</v>
      </c>
      <c r="P756" t="n">
        <v>0</v>
      </c>
      <c r="Q756" t="n">
        <v>0</v>
      </c>
      <c r="R756" s="2" t="inlineStr"/>
    </row>
    <row r="757" ht="15" customHeight="1">
      <c r="A757" t="inlineStr">
        <is>
          <t>A 57256-2023</t>
        </is>
      </c>
      <c r="B757" s="1" t="n">
        <v>45245.5735300926</v>
      </c>
      <c r="C757" s="1" t="n">
        <v>46133</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17482-2024</t>
        </is>
      </c>
      <c r="B758" s="1" t="n">
        <v>45415.47848379629</v>
      </c>
      <c r="C758" s="1" t="n">
        <v>46133</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55123-2024</t>
        </is>
      </c>
      <c r="B759" s="1" t="n">
        <v>45621.46103009259</v>
      </c>
      <c r="C759" s="1" t="n">
        <v>46133</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49313-2022</t>
        </is>
      </c>
      <c r="B760" s="1" t="n">
        <v>44861.52505787037</v>
      </c>
      <c r="C760" s="1" t="n">
        <v>46133</v>
      </c>
      <c r="D760" t="inlineStr">
        <is>
          <t>KALMAR LÄN</t>
        </is>
      </c>
      <c r="E760" t="inlineStr">
        <is>
          <t>VIMMERBY</t>
        </is>
      </c>
      <c r="G760" t="n">
        <v>1.9</v>
      </c>
      <c r="H760" t="n">
        <v>0</v>
      </c>
      <c r="I760" t="n">
        <v>0</v>
      </c>
      <c r="J760" t="n">
        <v>0</v>
      </c>
      <c r="K760" t="n">
        <v>0</v>
      </c>
      <c r="L760" t="n">
        <v>0</v>
      </c>
      <c r="M760" t="n">
        <v>0</v>
      </c>
      <c r="N760" t="n">
        <v>0</v>
      </c>
      <c r="O760" t="n">
        <v>0</v>
      </c>
      <c r="P760" t="n">
        <v>0</v>
      </c>
      <c r="Q760" t="n">
        <v>0</v>
      </c>
      <c r="R760" s="2" t="inlineStr"/>
    </row>
    <row r="761" ht="15" customHeight="1">
      <c r="A761" t="inlineStr">
        <is>
          <t>A 1987-2024</t>
        </is>
      </c>
      <c r="B761" s="1" t="n">
        <v>45308.61152777778</v>
      </c>
      <c r="C761" s="1" t="n">
        <v>46133</v>
      </c>
      <c r="D761" t="inlineStr">
        <is>
          <t>KALMAR LÄN</t>
        </is>
      </c>
      <c r="E761" t="inlineStr">
        <is>
          <t>VIMMERBY</t>
        </is>
      </c>
      <c r="G761" t="n">
        <v>3</v>
      </c>
      <c r="H761" t="n">
        <v>0</v>
      </c>
      <c r="I761" t="n">
        <v>0</v>
      </c>
      <c r="J761" t="n">
        <v>0</v>
      </c>
      <c r="K761" t="n">
        <v>0</v>
      </c>
      <c r="L761" t="n">
        <v>0</v>
      </c>
      <c r="M761" t="n">
        <v>0</v>
      </c>
      <c r="N761" t="n">
        <v>0</v>
      </c>
      <c r="O761" t="n">
        <v>0</v>
      </c>
      <c r="P761" t="n">
        <v>0</v>
      </c>
      <c r="Q761" t="n">
        <v>0</v>
      </c>
      <c r="R761" s="2" t="inlineStr"/>
    </row>
    <row r="762" ht="15" customHeight="1">
      <c r="A762" t="inlineStr">
        <is>
          <t>A 21507-2023</t>
        </is>
      </c>
      <c r="B762" s="1" t="n">
        <v>45063.508125</v>
      </c>
      <c r="C762" s="1" t="n">
        <v>46133</v>
      </c>
      <c r="D762" t="inlineStr">
        <is>
          <t>KALMAR LÄN</t>
        </is>
      </c>
      <c r="E762" t="inlineStr">
        <is>
          <t>VIMMERBY</t>
        </is>
      </c>
      <c r="G762" t="n">
        <v>2.8</v>
      </c>
      <c r="H762" t="n">
        <v>0</v>
      </c>
      <c r="I762" t="n">
        <v>0</v>
      </c>
      <c r="J762" t="n">
        <v>0</v>
      </c>
      <c r="K762" t="n">
        <v>0</v>
      </c>
      <c r="L762" t="n">
        <v>0</v>
      </c>
      <c r="M762" t="n">
        <v>0</v>
      </c>
      <c r="N762" t="n">
        <v>0</v>
      </c>
      <c r="O762" t="n">
        <v>0</v>
      </c>
      <c r="P762" t="n">
        <v>0</v>
      </c>
      <c r="Q762" t="n">
        <v>0</v>
      </c>
      <c r="R762" s="2" t="inlineStr"/>
    </row>
    <row r="763" ht="15" customHeight="1">
      <c r="A763" t="inlineStr">
        <is>
          <t>A 57189-2022</t>
        </is>
      </c>
      <c r="B763" s="1" t="n">
        <v>44895.62296296296</v>
      </c>
      <c r="C763" s="1" t="n">
        <v>46133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48673-2021</t>
        </is>
      </c>
      <c r="B764" s="1" t="n">
        <v>44452</v>
      </c>
      <c r="C764" s="1" t="n">
        <v>46133</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14248-2023</t>
        </is>
      </c>
      <c r="B765" s="1" t="n">
        <v>45009</v>
      </c>
      <c r="C765" s="1" t="n">
        <v>46133</v>
      </c>
      <c r="D765" t="inlineStr">
        <is>
          <t>KALMAR LÄN</t>
        </is>
      </c>
      <c r="E765" t="inlineStr">
        <is>
          <t>VIMMERBY</t>
        </is>
      </c>
      <c r="G765" t="n">
        <v>2.6</v>
      </c>
      <c r="H765" t="n">
        <v>0</v>
      </c>
      <c r="I765" t="n">
        <v>0</v>
      </c>
      <c r="J765" t="n">
        <v>0</v>
      </c>
      <c r="K765" t="n">
        <v>0</v>
      </c>
      <c r="L765" t="n">
        <v>0</v>
      </c>
      <c r="M765" t="n">
        <v>0</v>
      </c>
      <c r="N765" t="n">
        <v>0</v>
      </c>
      <c r="O765" t="n">
        <v>0</v>
      </c>
      <c r="P765" t="n">
        <v>0</v>
      </c>
      <c r="Q765" t="n">
        <v>0</v>
      </c>
      <c r="R765" s="2" t="inlineStr"/>
    </row>
    <row r="766" ht="15" customHeight="1">
      <c r="A766" t="inlineStr">
        <is>
          <t>A 12480-2024</t>
        </is>
      </c>
      <c r="B766" s="1" t="n">
        <v>45379</v>
      </c>
      <c r="C766" s="1" t="n">
        <v>46133</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40095-2022</t>
        </is>
      </c>
      <c r="B767" s="1" t="n">
        <v>44820</v>
      </c>
      <c r="C767" s="1" t="n">
        <v>46133</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50085-2023</t>
        </is>
      </c>
      <c r="B768" s="1" t="n">
        <v>45215.5959375</v>
      </c>
      <c r="C768" s="1" t="n">
        <v>46133</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50087-2023</t>
        </is>
      </c>
      <c r="B769" s="1" t="n">
        <v>45215.59743055556</v>
      </c>
      <c r="C769" s="1" t="n">
        <v>46133</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8167-2024</t>
        </is>
      </c>
      <c r="B770" s="1" t="n">
        <v>45351.6062962963</v>
      </c>
      <c r="C770" s="1" t="n">
        <v>46133</v>
      </c>
      <c r="D770" t="inlineStr">
        <is>
          <t>KALMAR LÄN</t>
        </is>
      </c>
      <c r="E770" t="inlineStr">
        <is>
          <t>VIMMERBY</t>
        </is>
      </c>
      <c r="G770" t="n">
        <v>3.8</v>
      </c>
      <c r="H770" t="n">
        <v>0</v>
      </c>
      <c r="I770" t="n">
        <v>0</v>
      </c>
      <c r="J770" t="n">
        <v>0</v>
      </c>
      <c r="K770" t="n">
        <v>0</v>
      </c>
      <c r="L770" t="n">
        <v>0</v>
      </c>
      <c r="M770" t="n">
        <v>0</v>
      </c>
      <c r="N770" t="n">
        <v>0</v>
      </c>
      <c r="O770" t="n">
        <v>0</v>
      </c>
      <c r="P770" t="n">
        <v>0</v>
      </c>
      <c r="Q770" t="n">
        <v>0</v>
      </c>
      <c r="R770" s="2" t="inlineStr"/>
    </row>
    <row r="771" ht="15" customHeight="1">
      <c r="A771" t="inlineStr">
        <is>
          <t>A 2604-2025</t>
        </is>
      </c>
      <c r="B771" s="1" t="n">
        <v>45674.74094907408</v>
      </c>
      <c r="C771" s="1" t="n">
        <v>46133</v>
      </c>
      <c r="D771" t="inlineStr">
        <is>
          <t>KALMAR LÄN</t>
        </is>
      </c>
      <c r="E771" t="inlineStr">
        <is>
          <t>VIMMERBY</t>
        </is>
      </c>
      <c r="G771" t="n">
        <v>7.6</v>
      </c>
      <c r="H771" t="n">
        <v>0</v>
      </c>
      <c r="I771" t="n">
        <v>0</v>
      </c>
      <c r="J771" t="n">
        <v>0</v>
      </c>
      <c r="K771" t="n">
        <v>0</v>
      </c>
      <c r="L771" t="n">
        <v>0</v>
      </c>
      <c r="M771" t="n">
        <v>0</v>
      </c>
      <c r="N771" t="n">
        <v>0</v>
      </c>
      <c r="O771" t="n">
        <v>0</v>
      </c>
      <c r="P771" t="n">
        <v>0</v>
      </c>
      <c r="Q771" t="n">
        <v>0</v>
      </c>
      <c r="R771" s="2" t="inlineStr"/>
    </row>
    <row r="772" ht="15" customHeight="1">
      <c r="A772" t="inlineStr">
        <is>
          <t>A 37192-2024</t>
        </is>
      </c>
      <c r="B772" s="1" t="n">
        <v>45539.66027777778</v>
      </c>
      <c r="C772" s="1" t="n">
        <v>46133</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42429-2024</t>
        </is>
      </c>
      <c r="B773" s="1" t="n">
        <v>45565.40657407408</v>
      </c>
      <c r="C773" s="1" t="n">
        <v>46133</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29180-2024</t>
        </is>
      </c>
      <c r="B774" s="1" t="n">
        <v>45482.54108796296</v>
      </c>
      <c r="C774" s="1" t="n">
        <v>46133</v>
      </c>
      <c r="D774" t="inlineStr">
        <is>
          <t>KALMAR LÄN</t>
        </is>
      </c>
      <c r="E774" t="inlineStr">
        <is>
          <t>VIMMERBY</t>
        </is>
      </c>
      <c r="G774" t="n">
        <v>3.8</v>
      </c>
      <c r="H774" t="n">
        <v>0</v>
      </c>
      <c r="I774" t="n">
        <v>0</v>
      </c>
      <c r="J774" t="n">
        <v>0</v>
      </c>
      <c r="K774" t="n">
        <v>0</v>
      </c>
      <c r="L774" t="n">
        <v>0</v>
      </c>
      <c r="M774" t="n">
        <v>0</v>
      </c>
      <c r="N774" t="n">
        <v>0</v>
      </c>
      <c r="O774" t="n">
        <v>0</v>
      </c>
      <c r="P774" t="n">
        <v>0</v>
      </c>
      <c r="Q774" t="n">
        <v>0</v>
      </c>
      <c r="R774" s="2" t="inlineStr"/>
    </row>
    <row r="775" ht="15" customHeight="1">
      <c r="A775" t="inlineStr">
        <is>
          <t>A 45846-2023</t>
        </is>
      </c>
      <c r="B775" s="1" t="n">
        <v>45195.58452546296</v>
      </c>
      <c r="C775" s="1" t="n">
        <v>46133</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16020-2023</t>
        </is>
      </c>
      <c r="B776" s="1" t="n">
        <v>45026.82216435186</v>
      </c>
      <c r="C776" s="1" t="n">
        <v>46133</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61820-2023</t>
        </is>
      </c>
      <c r="B777" s="1" t="n">
        <v>45266.32614583334</v>
      </c>
      <c r="C777" s="1" t="n">
        <v>46133</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45560-2021</t>
        </is>
      </c>
      <c r="B778" s="1" t="n">
        <v>44440</v>
      </c>
      <c r="C778" s="1" t="n">
        <v>46133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40256-2024</t>
        </is>
      </c>
      <c r="B779" s="1" t="n">
        <v>45554.62944444444</v>
      </c>
      <c r="C779" s="1" t="n">
        <v>46133</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58104-2024</t>
        </is>
      </c>
      <c r="B780" s="1" t="n">
        <v>45632.37459490741</v>
      </c>
      <c r="C780" s="1" t="n">
        <v>46133</v>
      </c>
      <c r="D780" t="inlineStr">
        <is>
          <t>KALMAR LÄN</t>
        </is>
      </c>
      <c r="E780" t="inlineStr">
        <is>
          <t>VIMMERBY</t>
        </is>
      </c>
      <c r="G780" t="n">
        <v>5</v>
      </c>
      <c r="H780" t="n">
        <v>0</v>
      </c>
      <c r="I780" t="n">
        <v>0</v>
      </c>
      <c r="J780" t="n">
        <v>0</v>
      </c>
      <c r="K780" t="n">
        <v>0</v>
      </c>
      <c r="L780" t="n">
        <v>0</v>
      </c>
      <c r="M780" t="n">
        <v>0</v>
      </c>
      <c r="N780" t="n">
        <v>0</v>
      </c>
      <c r="O780" t="n">
        <v>0</v>
      </c>
      <c r="P780" t="n">
        <v>0</v>
      </c>
      <c r="Q780" t="n">
        <v>0</v>
      </c>
      <c r="R780" s="2" t="inlineStr"/>
    </row>
    <row r="781" ht="15" customHeight="1">
      <c r="A781" t="inlineStr">
        <is>
          <t>A 36259-2022</t>
        </is>
      </c>
      <c r="B781" s="1" t="n">
        <v>44803.59118055556</v>
      </c>
      <c r="C781" s="1" t="n">
        <v>46133</v>
      </c>
      <c r="D781" t="inlineStr">
        <is>
          <t>KALMAR LÄN</t>
        </is>
      </c>
      <c r="E781" t="inlineStr">
        <is>
          <t>VIMMERBY</t>
        </is>
      </c>
      <c r="G781" t="n">
        <v>3.9</v>
      </c>
      <c r="H781" t="n">
        <v>0</v>
      </c>
      <c r="I781" t="n">
        <v>0</v>
      </c>
      <c r="J781" t="n">
        <v>0</v>
      </c>
      <c r="K781" t="n">
        <v>0</v>
      </c>
      <c r="L781" t="n">
        <v>0</v>
      </c>
      <c r="M781" t="n">
        <v>0</v>
      </c>
      <c r="N781" t="n">
        <v>0</v>
      </c>
      <c r="O781" t="n">
        <v>0</v>
      </c>
      <c r="P781" t="n">
        <v>0</v>
      </c>
      <c r="Q781" t="n">
        <v>0</v>
      </c>
      <c r="R781" s="2" t="inlineStr"/>
    </row>
    <row r="782" ht="15" customHeight="1">
      <c r="A782" t="inlineStr">
        <is>
          <t>A 43034-2024</t>
        </is>
      </c>
      <c r="B782" s="1" t="n">
        <v>45567.42011574074</v>
      </c>
      <c r="C782" s="1" t="n">
        <v>46133</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3902-2022</t>
        </is>
      </c>
      <c r="B783" s="1" t="n">
        <v>44587.48847222222</v>
      </c>
      <c r="C783" s="1" t="n">
        <v>46133</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30070-2023</t>
        </is>
      </c>
      <c r="B784" s="1" t="n">
        <v>45110.4275</v>
      </c>
      <c r="C784" s="1" t="n">
        <v>46133</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31209-2024</t>
        </is>
      </c>
      <c r="B785" s="1" t="n">
        <v>45503.5658912037</v>
      </c>
      <c r="C785" s="1" t="n">
        <v>46133</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4527-2023</t>
        </is>
      </c>
      <c r="B786" s="1" t="n">
        <v>44956</v>
      </c>
      <c r="C786" s="1" t="n">
        <v>46133</v>
      </c>
      <c r="D786" t="inlineStr">
        <is>
          <t>KALMAR LÄN</t>
        </is>
      </c>
      <c r="E786" t="inlineStr">
        <is>
          <t>VIMMERBY</t>
        </is>
      </c>
      <c r="F786" t="inlineStr">
        <is>
          <t>Kommuner</t>
        </is>
      </c>
      <c r="G786" t="n">
        <v>8.5</v>
      </c>
      <c r="H786" t="n">
        <v>0</v>
      </c>
      <c r="I786" t="n">
        <v>0</v>
      </c>
      <c r="J786" t="n">
        <v>0</v>
      </c>
      <c r="K786" t="n">
        <v>0</v>
      </c>
      <c r="L786" t="n">
        <v>0</v>
      </c>
      <c r="M786" t="n">
        <v>0</v>
      </c>
      <c r="N786" t="n">
        <v>0</v>
      </c>
      <c r="O786" t="n">
        <v>0</v>
      </c>
      <c r="P786" t="n">
        <v>0</v>
      </c>
      <c r="Q786" t="n">
        <v>0</v>
      </c>
      <c r="R786" s="2" t="inlineStr"/>
    </row>
    <row r="787" ht="15" customHeight="1">
      <c r="A787" t="inlineStr">
        <is>
          <t>A 5864-2022</t>
        </is>
      </c>
      <c r="B787" s="1" t="n">
        <v>44596</v>
      </c>
      <c r="C787" s="1" t="n">
        <v>46133</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30912-2023</t>
        </is>
      </c>
      <c r="B788" s="1" t="n">
        <v>45113.41633101852</v>
      </c>
      <c r="C788" s="1" t="n">
        <v>46133</v>
      </c>
      <c r="D788" t="inlineStr">
        <is>
          <t>KALMAR LÄN</t>
        </is>
      </c>
      <c r="E788" t="inlineStr">
        <is>
          <t>VIMMERBY</t>
        </is>
      </c>
      <c r="G788" t="n">
        <v>5</v>
      </c>
      <c r="H788" t="n">
        <v>0</v>
      </c>
      <c r="I788" t="n">
        <v>0</v>
      </c>
      <c r="J788" t="n">
        <v>0</v>
      </c>
      <c r="K788" t="n">
        <v>0</v>
      </c>
      <c r="L788" t="n">
        <v>0</v>
      </c>
      <c r="M788" t="n">
        <v>0</v>
      </c>
      <c r="N788" t="n">
        <v>0</v>
      </c>
      <c r="O788" t="n">
        <v>0</v>
      </c>
      <c r="P788" t="n">
        <v>0</v>
      </c>
      <c r="Q788" t="n">
        <v>0</v>
      </c>
      <c r="R788" s="2" t="inlineStr"/>
    </row>
    <row r="789" ht="15" customHeight="1">
      <c r="A789" t="inlineStr">
        <is>
          <t>A 1146-2025</t>
        </is>
      </c>
      <c r="B789" s="1" t="n">
        <v>45666</v>
      </c>
      <c r="C789" s="1" t="n">
        <v>46133</v>
      </c>
      <c r="D789" t="inlineStr">
        <is>
          <t>KALMAR LÄN</t>
        </is>
      </c>
      <c r="E789" t="inlineStr">
        <is>
          <t>VIMMERBY</t>
        </is>
      </c>
      <c r="G789" t="n">
        <v>4</v>
      </c>
      <c r="H789" t="n">
        <v>0</v>
      </c>
      <c r="I789" t="n">
        <v>0</v>
      </c>
      <c r="J789" t="n">
        <v>0</v>
      </c>
      <c r="K789" t="n">
        <v>0</v>
      </c>
      <c r="L789" t="n">
        <v>0</v>
      </c>
      <c r="M789" t="n">
        <v>0</v>
      </c>
      <c r="N789" t="n">
        <v>0</v>
      </c>
      <c r="O789" t="n">
        <v>0</v>
      </c>
      <c r="P789" t="n">
        <v>0</v>
      </c>
      <c r="Q789" t="n">
        <v>0</v>
      </c>
      <c r="R789" s="2" t="inlineStr"/>
    </row>
    <row r="790" ht="15" customHeight="1">
      <c r="A790" t="inlineStr">
        <is>
          <t>A 62023-2022</t>
        </is>
      </c>
      <c r="B790" s="1" t="n">
        <v>44918.50106481482</v>
      </c>
      <c r="C790" s="1" t="n">
        <v>46133</v>
      </c>
      <c r="D790" t="inlineStr">
        <is>
          <t>KALMAR LÄN</t>
        </is>
      </c>
      <c r="E790" t="inlineStr">
        <is>
          <t>VIMMERBY</t>
        </is>
      </c>
      <c r="G790" t="n">
        <v>0.3</v>
      </c>
      <c r="H790" t="n">
        <v>0</v>
      </c>
      <c r="I790" t="n">
        <v>0</v>
      </c>
      <c r="J790" t="n">
        <v>0</v>
      </c>
      <c r="K790" t="n">
        <v>0</v>
      </c>
      <c r="L790" t="n">
        <v>0</v>
      </c>
      <c r="M790" t="n">
        <v>0</v>
      </c>
      <c r="N790" t="n">
        <v>0</v>
      </c>
      <c r="O790" t="n">
        <v>0</v>
      </c>
      <c r="P790" t="n">
        <v>0</v>
      </c>
      <c r="Q790" t="n">
        <v>0</v>
      </c>
      <c r="R790" s="2" t="inlineStr"/>
    </row>
    <row r="791" ht="15" customHeight="1">
      <c r="A791" t="inlineStr">
        <is>
          <t>A 16119-2023</t>
        </is>
      </c>
      <c r="B791" s="1" t="n">
        <v>45027.59450231482</v>
      </c>
      <c r="C791" s="1" t="n">
        <v>46133</v>
      </c>
      <c r="D791" t="inlineStr">
        <is>
          <t>KALMAR LÄN</t>
        </is>
      </c>
      <c r="E791" t="inlineStr">
        <is>
          <t>VIMMERBY</t>
        </is>
      </c>
      <c r="F791" t="inlineStr">
        <is>
          <t>Kommuner</t>
        </is>
      </c>
      <c r="G791" t="n">
        <v>4.4</v>
      </c>
      <c r="H791" t="n">
        <v>0</v>
      </c>
      <c r="I791" t="n">
        <v>0</v>
      </c>
      <c r="J791" t="n">
        <v>0</v>
      </c>
      <c r="K791" t="n">
        <v>0</v>
      </c>
      <c r="L791" t="n">
        <v>0</v>
      </c>
      <c r="M791" t="n">
        <v>0</v>
      </c>
      <c r="N791" t="n">
        <v>0</v>
      </c>
      <c r="O791" t="n">
        <v>0</v>
      </c>
      <c r="P791" t="n">
        <v>0</v>
      </c>
      <c r="Q791" t="n">
        <v>0</v>
      </c>
      <c r="R791" s="2" t="inlineStr"/>
    </row>
    <row r="792" ht="15" customHeight="1">
      <c r="A792" t="inlineStr">
        <is>
          <t>A 52327-2023</t>
        </is>
      </c>
      <c r="B792" s="1" t="n">
        <v>45224.6515162037</v>
      </c>
      <c r="C792" s="1" t="n">
        <v>46133</v>
      </c>
      <c r="D792" t="inlineStr">
        <is>
          <t>KALMAR LÄN</t>
        </is>
      </c>
      <c r="E792" t="inlineStr">
        <is>
          <t>VIMMERBY</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12075-2024</t>
        </is>
      </c>
      <c r="B793" s="1" t="n">
        <v>45377</v>
      </c>
      <c r="C793" s="1" t="n">
        <v>46133</v>
      </c>
      <c r="D793" t="inlineStr">
        <is>
          <t>KALMAR LÄN</t>
        </is>
      </c>
      <c r="E793" t="inlineStr">
        <is>
          <t>VIMMERBY</t>
        </is>
      </c>
      <c r="G793" t="n">
        <v>3.7</v>
      </c>
      <c r="H793" t="n">
        <v>0</v>
      </c>
      <c r="I793" t="n">
        <v>0</v>
      </c>
      <c r="J793" t="n">
        <v>0</v>
      </c>
      <c r="K793" t="n">
        <v>0</v>
      </c>
      <c r="L793" t="n">
        <v>0</v>
      </c>
      <c r="M793" t="n">
        <v>0</v>
      </c>
      <c r="N793" t="n">
        <v>0</v>
      </c>
      <c r="O793" t="n">
        <v>0</v>
      </c>
      <c r="P793" t="n">
        <v>0</v>
      </c>
      <c r="Q793" t="n">
        <v>0</v>
      </c>
      <c r="R793" s="2" t="inlineStr"/>
    </row>
    <row r="794" ht="15" customHeight="1">
      <c r="A794" t="inlineStr">
        <is>
          <t>A 29348-2023</t>
        </is>
      </c>
      <c r="B794" s="1" t="n">
        <v>45106.25025462963</v>
      </c>
      <c r="C794" s="1" t="n">
        <v>46133</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31340-2023</t>
        </is>
      </c>
      <c r="B795" s="1" t="n">
        <v>45114.47895833333</v>
      </c>
      <c r="C795" s="1" t="n">
        <v>46133</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7758-2024</t>
        </is>
      </c>
      <c r="B796" s="1" t="n">
        <v>45349.54434027777</v>
      </c>
      <c r="C796" s="1" t="n">
        <v>46133</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5701-2024</t>
        </is>
      </c>
      <c r="B797" s="1" t="n">
        <v>45334.78826388889</v>
      </c>
      <c r="C797" s="1" t="n">
        <v>46133</v>
      </c>
      <c r="D797" t="inlineStr">
        <is>
          <t>KALMAR LÄN</t>
        </is>
      </c>
      <c r="E797" t="inlineStr">
        <is>
          <t>VIMMERBY</t>
        </is>
      </c>
      <c r="G797" t="n">
        <v>2.3</v>
      </c>
      <c r="H797" t="n">
        <v>0</v>
      </c>
      <c r="I797" t="n">
        <v>0</v>
      </c>
      <c r="J797" t="n">
        <v>0</v>
      </c>
      <c r="K797" t="n">
        <v>0</v>
      </c>
      <c r="L797" t="n">
        <v>0</v>
      </c>
      <c r="M797" t="n">
        <v>0</v>
      </c>
      <c r="N797" t="n">
        <v>0</v>
      </c>
      <c r="O797" t="n">
        <v>0</v>
      </c>
      <c r="P797" t="n">
        <v>0</v>
      </c>
      <c r="Q797" t="n">
        <v>0</v>
      </c>
      <c r="R797" s="2" t="inlineStr"/>
    </row>
    <row r="798" ht="15" customHeight="1">
      <c r="A798" t="inlineStr">
        <is>
          <t>A 31405-2023</t>
        </is>
      </c>
      <c r="B798" s="1" t="n">
        <v>45114.58148148148</v>
      </c>
      <c r="C798" s="1" t="n">
        <v>46133</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6355-2022</t>
        </is>
      </c>
      <c r="B799" s="1" t="n">
        <v>44600</v>
      </c>
      <c r="C799" s="1" t="n">
        <v>46133</v>
      </c>
      <c r="D799" t="inlineStr">
        <is>
          <t>KALMAR LÄN</t>
        </is>
      </c>
      <c r="E799" t="inlineStr">
        <is>
          <t>VIMMERBY</t>
        </is>
      </c>
      <c r="G799" t="n">
        <v>4.9</v>
      </c>
      <c r="H799" t="n">
        <v>0</v>
      </c>
      <c r="I799" t="n">
        <v>0</v>
      </c>
      <c r="J799" t="n">
        <v>0</v>
      </c>
      <c r="K799" t="n">
        <v>0</v>
      </c>
      <c r="L799" t="n">
        <v>0</v>
      </c>
      <c r="M799" t="n">
        <v>0</v>
      </c>
      <c r="N799" t="n">
        <v>0</v>
      </c>
      <c r="O799" t="n">
        <v>0</v>
      </c>
      <c r="P799" t="n">
        <v>0</v>
      </c>
      <c r="Q799" t="n">
        <v>0</v>
      </c>
      <c r="R799" s="2" t="inlineStr"/>
    </row>
    <row r="800" ht="15" customHeight="1">
      <c r="A800" t="inlineStr">
        <is>
          <t>A 46225-2024</t>
        </is>
      </c>
      <c r="B800" s="1" t="n">
        <v>45581.57333333333</v>
      </c>
      <c r="C800" s="1" t="n">
        <v>46133</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9418-2024</t>
        </is>
      </c>
      <c r="B801" s="1" t="n">
        <v>45359.45038194444</v>
      </c>
      <c r="C801" s="1" t="n">
        <v>46133</v>
      </c>
      <c r="D801" t="inlineStr">
        <is>
          <t>KALMAR LÄN</t>
        </is>
      </c>
      <c r="E801" t="inlineStr">
        <is>
          <t>VIMMERBY</t>
        </is>
      </c>
      <c r="G801" t="n">
        <v>1.9</v>
      </c>
      <c r="H801" t="n">
        <v>0</v>
      </c>
      <c r="I801" t="n">
        <v>0</v>
      </c>
      <c r="J801" t="n">
        <v>0</v>
      </c>
      <c r="K801" t="n">
        <v>0</v>
      </c>
      <c r="L801" t="n">
        <v>0</v>
      </c>
      <c r="M801" t="n">
        <v>0</v>
      </c>
      <c r="N801" t="n">
        <v>0</v>
      </c>
      <c r="O801" t="n">
        <v>0</v>
      </c>
      <c r="P801" t="n">
        <v>0</v>
      </c>
      <c r="Q801" t="n">
        <v>0</v>
      </c>
      <c r="R801" s="2" t="inlineStr"/>
    </row>
    <row r="802" ht="15" customHeight="1">
      <c r="A802" t="inlineStr">
        <is>
          <t>A 57091-2022</t>
        </is>
      </c>
      <c r="B802" s="1" t="n">
        <v>44895.46524305556</v>
      </c>
      <c r="C802" s="1" t="n">
        <v>46133</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3816-2022</t>
        </is>
      </c>
      <c r="B803" s="1" t="n">
        <v>44587</v>
      </c>
      <c r="C803" s="1" t="n">
        <v>46133</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43606-2024</t>
        </is>
      </c>
      <c r="B804" s="1" t="n">
        <v>45569.45017361111</v>
      </c>
      <c r="C804" s="1" t="n">
        <v>46133</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43617-2024</t>
        </is>
      </c>
      <c r="B805" s="1" t="n">
        <v>45569.47494212963</v>
      </c>
      <c r="C805" s="1" t="n">
        <v>46133</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47859-2024</t>
        </is>
      </c>
      <c r="B806" s="1" t="n">
        <v>45588.67070601852</v>
      </c>
      <c r="C806" s="1" t="n">
        <v>46133</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8540-2024</t>
        </is>
      </c>
      <c r="B807" s="1" t="n">
        <v>45355.54138888889</v>
      </c>
      <c r="C807" s="1" t="n">
        <v>46133</v>
      </c>
      <c r="D807" t="inlineStr">
        <is>
          <t>KALMAR LÄN</t>
        </is>
      </c>
      <c r="E807" t="inlineStr">
        <is>
          <t>VIMMERBY</t>
        </is>
      </c>
      <c r="G807" t="n">
        <v>1.9</v>
      </c>
      <c r="H807" t="n">
        <v>0</v>
      </c>
      <c r="I807" t="n">
        <v>0</v>
      </c>
      <c r="J807" t="n">
        <v>0</v>
      </c>
      <c r="K807" t="n">
        <v>0</v>
      </c>
      <c r="L807" t="n">
        <v>0</v>
      </c>
      <c r="M807" t="n">
        <v>0</v>
      </c>
      <c r="N807" t="n">
        <v>0</v>
      </c>
      <c r="O807" t="n">
        <v>0</v>
      </c>
      <c r="P807" t="n">
        <v>0</v>
      </c>
      <c r="Q807" t="n">
        <v>0</v>
      </c>
      <c r="R807" s="2" t="inlineStr"/>
    </row>
    <row r="808" ht="15" customHeight="1">
      <c r="A808" t="inlineStr">
        <is>
          <t>A 3331-2023</t>
        </is>
      </c>
      <c r="B808" s="1" t="n">
        <v>44949</v>
      </c>
      <c r="C808" s="1" t="n">
        <v>46133</v>
      </c>
      <c r="D808" t="inlineStr">
        <is>
          <t>KALMAR LÄN</t>
        </is>
      </c>
      <c r="E808" t="inlineStr">
        <is>
          <t>VIMMERBY</t>
        </is>
      </c>
      <c r="G808" t="n">
        <v>6.2</v>
      </c>
      <c r="H808" t="n">
        <v>0</v>
      </c>
      <c r="I808" t="n">
        <v>0</v>
      </c>
      <c r="J808" t="n">
        <v>0</v>
      </c>
      <c r="K808" t="n">
        <v>0</v>
      </c>
      <c r="L808" t="n">
        <v>0</v>
      </c>
      <c r="M808" t="n">
        <v>0</v>
      </c>
      <c r="N808" t="n">
        <v>0</v>
      </c>
      <c r="O808" t="n">
        <v>0</v>
      </c>
      <c r="P808" t="n">
        <v>0</v>
      </c>
      <c r="Q808" t="n">
        <v>0</v>
      </c>
      <c r="R808" s="2" t="inlineStr"/>
    </row>
    <row r="809" ht="15" customHeight="1">
      <c r="A809" t="inlineStr">
        <is>
          <t>A 598-2025</t>
        </is>
      </c>
      <c r="B809" s="1" t="n">
        <v>45660</v>
      </c>
      <c r="C809" s="1" t="n">
        <v>46133</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25799-2023</t>
        </is>
      </c>
      <c r="B810" s="1" t="n">
        <v>45090</v>
      </c>
      <c r="C810" s="1" t="n">
        <v>46133</v>
      </c>
      <c r="D810" t="inlineStr">
        <is>
          <t>KALMAR LÄN</t>
        </is>
      </c>
      <c r="E810" t="inlineStr">
        <is>
          <t>VIMMERBY</t>
        </is>
      </c>
      <c r="G810" t="n">
        <v>7.7</v>
      </c>
      <c r="H810" t="n">
        <v>0</v>
      </c>
      <c r="I810" t="n">
        <v>0</v>
      </c>
      <c r="J810" t="n">
        <v>0</v>
      </c>
      <c r="K810" t="n">
        <v>0</v>
      </c>
      <c r="L810" t="n">
        <v>0</v>
      </c>
      <c r="M810" t="n">
        <v>0</v>
      </c>
      <c r="N810" t="n">
        <v>0</v>
      </c>
      <c r="O810" t="n">
        <v>0</v>
      </c>
      <c r="P810" t="n">
        <v>0</v>
      </c>
      <c r="Q810" t="n">
        <v>0</v>
      </c>
      <c r="R810" s="2" t="inlineStr"/>
    </row>
    <row r="811" ht="15" customHeight="1">
      <c r="A811" t="inlineStr">
        <is>
          <t>A 53083-2021</t>
        </is>
      </c>
      <c r="B811" s="1" t="n">
        <v>44467.83386574074</v>
      </c>
      <c r="C811" s="1" t="n">
        <v>46133</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24655-2021</t>
        </is>
      </c>
      <c r="B812" s="1" t="n">
        <v>44340</v>
      </c>
      <c r="C812" s="1" t="n">
        <v>46133</v>
      </c>
      <c r="D812" t="inlineStr">
        <is>
          <t>KALMAR LÄN</t>
        </is>
      </c>
      <c r="E812" t="inlineStr">
        <is>
          <t>VIMMERBY</t>
        </is>
      </c>
      <c r="G812" t="n">
        <v>14.9</v>
      </c>
      <c r="H812" t="n">
        <v>0</v>
      </c>
      <c r="I812" t="n">
        <v>0</v>
      </c>
      <c r="J812" t="n">
        <v>0</v>
      </c>
      <c r="K812" t="n">
        <v>0</v>
      </c>
      <c r="L812" t="n">
        <v>0</v>
      </c>
      <c r="M812" t="n">
        <v>0</v>
      </c>
      <c r="N812" t="n">
        <v>0</v>
      </c>
      <c r="O812" t="n">
        <v>0</v>
      </c>
      <c r="P812" t="n">
        <v>0</v>
      </c>
      <c r="Q812" t="n">
        <v>0</v>
      </c>
      <c r="R812" s="2" t="inlineStr"/>
    </row>
    <row r="813" ht="15" customHeight="1">
      <c r="A813" t="inlineStr">
        <is>
          <t>A 33838-2022</t>
        </is>
      </c>
      <c r="B813" s="1" t="n">
        <v>44790.49040509259</v>
      </c>
      <c r="C813" s="1" t="n">
        <v>46133</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32835-2022</t>
        </is>
      </c>
      <c r="B814" s="1" t="n">
        <v>44784.42528935185</v>
      </c>
      <c r="C814" s="1" t="n">
        <v>46133</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1081-2023</t>
        </is>
      </c>
      <c r="B815" s="1" t="n">
        <v>44935</v>
      </c>
      <c r="C815" s="1" t="n">
        <v>46133</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46133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28403-2023</t>
        </is>
      </c>
      <c r="B817" s="1" t="n">
        <v>45100.85270833333</v>
      </c>
      <c r="C817" s="1" t="n">
        <v>46133</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33103-2024</t>
        </is>
      </c>
      <c r="B818" s="1" t="n">
        <v>45517.8162037037</v>
      </c>
      <c r="C818" s="1" t="n">
        <v>46133</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2260-2022</t>
        </is>
      </c>
      <c r="B819" s="1" t="n">
        <v>44578.62943287037</v>
      </c>
      <c r="C819" s="1" t="n">
        <v>46133</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44994.46908564815</v>
      </c>
      <c r="C820" s="1" t="n">
        <v>46133</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58046-2022</t>
        </is>
      </c>
      <c r="B821" s="1" t="n">
        <v>44900.57393518519</v>
      </c>
      <c r="C821" s="1" t="n">
        <v>46133</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45528-2021</t>
        </is>
      </c>
      <c r="B822" s="1" t="n">
        <v>44440.60415509259</v>
      </c>
      <c r="C822" s="1" t="n">
        <v>46133</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46979-2023</t>
        </is>
      </c>
      <c r="B823" s="1" t="n">
        <v>45201</v>
      </c>
      <c r="C823" s="1" t="n">
        <v>46133</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6574-2023</t>
        </is>
      </c>
      <c r="B824" s="1" t="n">
        <v>44966</v>
      </c>
      <c r="C824" s="1" t="n">
        <v>46133</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4058-2024</t>
        </is>
      </c>
      <c r="B825" s="1" t="n">
        <v>45323.53744212963</v>
      </c>
      <c r="C825" s="1" t="n">
        <v>46133</v>
      </c>
      <c r="D825" t="inlineStr">
        <is>
          <t>KALMAR LÄN</t>
        </is>
      </c>
      <c r="E825" t="inlineStr">
        <is>
          <t>VIMMERBY</t>
        </is>
      </c>
      <c r="G825" t="n">
        <v>6.5</v>
      </c>
      <c r="H825" t="n">
        <v>0</v>
      </c>
      <c r="I825" t="n">
        <v>0</v>
      </c>
      <c r="J825" t="n">
        <v>0</v>
      </c>
      <c r="K825" t="n">
        <v>0</v>
      </c>
      <c r="L825" t="n">
        <v>0</v>
      </c>
      <c r="M825" t="n">
        <v>0</v>
      </c>
      <c r="N825" t="n">
        <v>0</v>
      </c>
      <c r="O825" t="n">
        <v>0</v>
      </c>
      <c r="P825" t="n">
        <v>0</v>
      </c>
      <c r="Q825" t="n">
        <v>0</v>
      </c>
      <c r="R825" s="2" t="inlineStr"/>
    </row>
    <row r="826" ht="15" customHeight="1">
      <c r="A826" t="inlineStr">
        <is>
          <t>A 1978-2024</t>
        </is>
      </c>
      <c r="B826" s="1" t="n">
        <v>45308.59001157407</v>
      </c>
      <c r="C826" s="1" t="n">
        <v>46133</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30318-2023</t>
        </is>
      </c>
      <c r="B827" s="1" t="n">
        <v>45111.30824074074</v>
      </c>
      <c r="C827" s="1" t="n">
        <v>46133</v>
      </c>
      <c r="D827" t="inlineStr">
        <is>
          <t>KALMAR LÄN</t>
        </is>
      </c>
      <c r="E827" t="inlineStr">
        <is>
          <t>VIMMERBY</t>
        </is>
      </c>
      <c r="G827" t="n">
        <v>2.6</v>
      </c>
      <c r="H827" t="n">
        <v>0</v>
      </c>
      <c r="I827" t="n">
        <v>0</v>
      </c>
      <c r="J827" t="n">
        <v>0</v>
      </c>
      <c r="K827" t="n">
        <v>0</v>
      </c>
      <c r="L827" t="n">
        <v>0</v>
      </c>
      <c r="M827" t="n">
        <v>0</v>
      </c>
      <c r="N827" t="n">
        <v>0</v>
      </c>
      <c r="O827" t="n">
        <v>0</v>
      </c>
      <c r="P827" t="n">
        <v>0</v>
      </c>
      <c r="Q827" t="n">
        <v>0</v>
      </c>
      <c r="R827" s="2" t="inlineStr"/>
    </row>
    <row r="828" ht="15" customHeight="1">
      <c r="A828" t="inlineStr">
        <is>
          <t>A 25234-2023</t>
        </is>
      </c>
      <c r="B828" s="1" t="n">
        <v>45086.63194444445</v>
      </c>
      <c r="C828" s="1" t="n">
        <v>46133</v>
      </c>
      <c r="D828" t="inlineStr">
        <is>
          <t>KALMAR LÄN</t>
        </is>
      </c>
      <c r="E828" t="inlineStr">
        <is>
          <t>VIMMERBY</t>
        </is>
      </c>
      <c r="G828" t="n">
        <v>2.1</v>
      </c>
      <c r="H828" t="n">
        <v>0</v>
      </c>
      <c r="I828" t="n">
        <v>0</v>
      </c>
      <c r="J828" t="n">
        <v>0</v>
      </c>
      <c r="K828" t="n">
        <v>0</v>
      </c>
      <c r="L828" t="n">
        <v>0</v>
      </c>
      <c r="M828" t="n">
        <v>0</v>
      </c>
      <c r="N828" t="n">
        <v>0</v>
      </c>
      <c r="O828" t="n">
        <v>0</v>
      </c>
      <c r="P828" t="n">
        <v>0</v>
      </c>
      <c r="Q828" t="n">
        <v>0</v>
      </c>
      <c r="R828" s="2" t="inlineStr"/>
    </row>
    <row r="829" ht="15" customHeight="1">
      <c r="A829" t="inlineStr">
        <is>
          <t>A 46078-2023</t>
        </is>
      </c>
      <c r="B829" s="1" t="n">
        <v>45196</v>
      </c>
      <c r="C829" s="1" t="n">
        <v>46133</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3609-2024</t>
        </is>
      </c>
      <c r="B830" s="1" t="n">
        <v>45320.89128472222</v>
      </c>
      <c r="C830" s="1" t="n">
        <v>46133</v>
      </c>
      <c r="D830" t="inlineStr">
        <is>
          <t>KALMAR LÄN</t>
        </is>
      </c>
      <c r="E830" t="inlineStr">
        <is>
          <t>VIMMERBY</t>
        </is>
      </c>
      <c r="G830" t="n">
        <v>1.7</v>
      </c>
      <c r="H830" t="n">
        <v>0</v>
      </c>
      <c r="I830" t="n">
        <v>0</v>
      </c>
      <c r="J830" t="n">
        <v>0</v>
      </c>
      <c r="K830" t="n">
        <v>0</v>
      </c>
      <c r="L830" t="n">
        <v>0</v>
      </c>
      <c r="M830" t="n">
        <v>0</v>
      </c>
      <c r="N830" t="n">
        <v>0</v>
      </c>
      <c r="O830" t="n">
        <v>0</v>
      </c>
      <c r="P830" t="n">
        <v>0</v>
      </c>
      <c r="Q830" t="n">
        <v>0</v>
      </c>
      <c r="R830" s="2" t="inlineStr"/>
    </row>
    <row r="831" ht="15" customHeight="1">
      <c r="A831" t="inlineStr">
        <is>
          <t>A 10424-2023</t>
        </is>
      </c>
      <c r="B831" s="1" t="n">
        <v>44987.54104166666</v>
      </c>
      <c r="C831" s="1" t="n">
        <v>46133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49382-2023</t>
        </is>
      </c>
      <c r="B832" s="1" t="n">
        <v>45208</v>
      </c>
      <c r="C832" s="1" t="n">
        <v>46133</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45001.43854166667</v>
      </c>
      <c r="C833" s="1" t="n">
        <v>46133</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3425-2022</t>
        </is>
      </c>
      <c r="B834" s="1" t="n">
        <v>44585.51060185185</v>
      </c>
      <c r="C834" s="1" t="n">
        <v>46133</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60675-2023</t>
        </is>
      </c>
      <c r="B835" s="1" t="n">
        <v>45260.4716550926</v>
      </c>
      <c r="C835" s="1" t="n">
        <v>46133</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2536-2023</t>
        </is>
      </c>
      <c r="B836" s="1" t="n">
        <v>44943.62954861111</v>
      </c>
      <c r="C836" s="1" t="n">
        <v>46133</v>
      </c>
      <c r="D836" t="inlineStr">
        <is>
          <t>KALMAR LÄN</t>
        </is>
      </c>
      <c r="E836" t="inlineStr">
        <is>
          <t>VIMMERBY</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11111-2024</t>
        </is>
      </c>
      <c r="B837" s="1" t="n">
        <v>45371.36359953704</v>
      </c>
      <c r="C837" s="1" t="n">
        <v>46133</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1687-2023</t>
        </is>
      </c>
      <c r="B838" s="1" t="n">
        <v>44938</v>
      </c>
      <c r="C838" s="1" t="n">
        <v>46133</v>
      </c>
      <c r="D838" t="inlineStr">
        <is>
          <t>KALMAR LÄN</t>
        </is>
      </c>
      <c r="E838" t="inlineStr">
        <is>
          <t>VIMMERBY</t>
        </is>
      </c>
      <c r="F838" t="inlineStr">
        <is>
          <t>Kommuner</t>
        </is>
      </c>
      <c r="G838" t="n">
        <v>2.5</v>
      </c>
      <c r="H838" t="n">
        <v>0</v>
      </c>
      <c r="I838" t="n">
        <v>0</v>
      </c>
      <c r="J838" t="n">
        <v>0</v>
      </c>
      <c r="K838" t="n">
        <v>0</v>
      </c>
      <c r="L838" t="n">
        <v>0</v>
      </c>
      <c r="M838" t="n">
        <v>0</v>
      </c>
      <c r="N838" t="n">
        <v>0</v>
      </c>
      <c r="O838" t="n">
        <v>0</v>
      </c>
      <c r="P838" t="n">
        <v>0</v>
      </c>
      <c r="Q838" t="n">
        <v>0</v>
      </c>
      <c r="R838" s="2" t="inlineStr"/>
    </row>
    <row r="839" ht="15" customHeight="1">
      <c r="A839" t="inlineStr">
        <is>
          <t>A 3494-2023</t>
        </is>
      </c>
      <c r="B839" s="1" t="n">
        <v>44949</v>
      </c>
      <c r="C839" s="1" t="n">
        <v>46133</v>
      </c>
      <c r="D839" t="inlineStr">
        <is>
          <t>KALMAR LÄN</t>
        </is>
      </c>
      <c r="E839" t="inlineStr">
        <is>
          <t>VIMMERBY</t>
        </is>
      </c>
      <c r="F839" t="inlineStr">
        <is>
          <t>Kyrkan</t>
        </is>
      </c>
      <c r="G839" t="n">
        <v>0.8</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46133</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43242-2024</t>
        </is>
      </c>
      <c r="B841" s="1" t="n">
        <v>45568.30189814815</v>
      </c>
      <c r="C841" s="1" t="n">
        <v>46133</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56853-2022</t>
        </is>
      </c>
      <c r="B842" s="1" t="n">
        <v>44894.49538194444</v>
      </c>
      <c r="C842" s="1" t="n">
        <v>46133</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33815-2022</t>
        </is>
      </c>
      <c r="B843" s="1" t="n">
        <v>44790.45876157407</v>
      </c>
      <c r="C843" s="1" t="n">
        <v>46133</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33842-2022</t>
        </is>
      </c>
      <c r="B844" s="1" t="n">
        <v>44790.49523148148</v>
      </c>
      <c r="C844" s="1" t="n">
        <v>46133</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49408-2023</t>
        </is>
      </c>
      <c r="B845" s="1" t="n">
        <v>45211.43555555555</v>
      </c>
      <c r="C845" s="1" t="n">
        <v>46133</v>
      </c>
      <c r="D845" t="inlineStr">
        <is>
          <t>KALMAR LÄN</t>
        </is>
      </c>
      <c r="E845" t="inlineStr">
        <is>
          <t>VIMMERBY</t>
        </is>
      </c>
      <c r="G845" t="n">
        <v>13.1</v>
      </c>
      <c r="H845" t="n">
        <v>0</v>
      </c>
      <c r="I845" t="n">
        <v>0</v>
      </c>
      <c r="J845" t="n">
        <v>0</v>
      </c>
      <c r="K845" t="n">
        <v>0</v>
      </c>
      <c r="L845" t="n">
        <v>0</v>
      </c>
      <c r="M845" t="n">
        <v>0</v>
      </c>
      <c r="N845" t="n">
        <v>0</v>
      </c>
      <c r="O845" t="n">
        <v>0</v>
      </c>
      <c r="P845" t="n">
        <v>0</v>
      </c>
      <c r="Q845" t="n">
        <v>0</v>
      </c>
      <c r="R845" s="2" t="inlineStr"/>
    </row>
    <row r="846" ht="15" customHeight="1">
      <c r="A846" t="inlineStr">
        <is>
          <t>A 56536-2022</t>
        </is>
      </c>
      <c r="B846" s="1" t="n">
        <v>44893</v>
      </c>
      <c r="C846" s="1" t="n">
        <v>46133</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41199-2023</t>
        </is>
      </c>
      <c r="B847" s="1" t="n">
        <v>45174.40454861111</v>
      </c>
      <c r="C847" s="1" t="n">
        <v>46133</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8945-2025</t>
        </is>
      </c>
      <c r="B848" s="1" t="n">
        <v>45713.45311342592</v>
      </c>
      <c r="C848" s="1" t="n">
        <v>46133</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11619-2023</t>
        </is>
      </c>
      <c r="B849" s="1" t="n">
        <v>44994.42113425926</v>
      </c>
      <c r="C849" s="1" t="n">
        <v>46133</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41896-2023</t>
        </is>
      </c>
      <c r="B850" s="1" t="n">
        <v>45176.72427083334</v>
      </c>
      <c r="C850" s="1" t="n">
        <v>46133</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17926-2025</t>
        </is>
      </c>
      <c r="B851" s="1" t="n">
        <v>45759.38987268518</v>
      </c>
      <c r="C851" s="1" t="n">
        <v>46133</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21028-2023</t>
        </is>
      </c>
      <c r="B852" s="1" t="n">
        <v>45061</v>
      </c>
      <c r="C852" s="1" t="n">
        <v>46133</v>
      </c>
      <c r="D852" t="inlineStr">
        <is>
          <t>KALMAR LÄN</t>
        </is>
      </c>
      <c r="E852" t="inlineStr">
        <is>
          <t>VIMMERBY</t>
        </is>
      </c>
      <c r="F852" t="inlineStr">
        <is>
          <t>Övriga Aktiebolag</t>
        </is>
      </c>
      <c r="G852" t="n">
        <v>0.7</v>
      </c>
      <c r="H852" t="n">
        <v>0</v>
      </c>
      <c r="I852" t="n">
        <v>0</v>
      </c>
      <c r="J852" t="n">
        <v>0</v>
      </c>
      <c r="K852" t="n">
        <v>0</v>
      </c>
      <c r="L852" t="n">
        <v>0</v>
      </c>
      <c r="M852" t="n">
        <v>0</v>
      </c>
      <c r="N852" t="n">
        <v>0</v>
      </c>
      <c r="O852" t="n">
        <v>0</v>
      </c>
      <c r="P852" t="n">
        <v>0</v>
      </c>
      <c r="Q852" t="n">
        <v>0</v>
      </c>
      <c r="R852" s="2" t="inlineStr"/>
    </row>
    <row r="853" ht="15" customHeight="1">
      <c r="A853" t="inlineStr">
        <is>
          <t>A 19445-2021</t>
        </is>
      </c>
      <c r="B853" s="1" t="n">
        <v>44310</v>
      </c>
      <c r="C853" s="1" t="n">
        <v>46133</v>
      </c>
      <c r="D853" t="inlineStr">
        <is>
          <t>KALMAR LÄN</t>
        </is>
      </c>
      <c r="E853" t="inlineStr">
        <is>
          <t>VIMMERBY</t>
        </is>
      </c>
      <c r="G853" t="n">
        <v>6.8</v>
      </c>
      <c r="H853" t="n">
        <v>0</v>
      </c>
      <c r="I853" t="n">
        <v>0</v>
      </c>
      <c r="J853" t="n">
        <v>0</v>
      </c>
      <c r="K853" t="n">
        <v>0</v>
      </c>
      <c r="L853" t="n">
        <v>0</v>
      </c>
      <c r="M853" t="n">
        <v>0</v>
      </c>
      <c r="N853" t="n">
        <v>0</v>
      </c>
      <c r="O853" t="n">
        <v>0</v>
      </c>
      <c r="P853" t="n">
        <v>0</v>
      </c>
      <c r="Q853" t="n">
        <v>0</v>
      </c>
      <c r="R853" s="2" t="inlineStr"/>
    </row>
    <row r="854" ht="15" customHeight="1">
      <c r="A854" t="inlineStr">
        <is>
          <t>A 27122-2023</t>
        </is>
      </c>
      <c r="B854" s="1" t="n">
        <v>45096.45247685185</v>
      </c>
      <c r="C854" s="1" t="n">
        <v>46133</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13813-2024</t>
        </is>
      </c>
      <c r="B855" s="1" t="n">
        <v>45391.41310185185</v>
      </c>
      <c r="C855" s="1" t="n">
        <v>46133</v>
      </c>
      <c r="D855" t="inlineStr">
        <is>
          <t>KALMAR LÄN</t>
        </is>
      </c>
      <c r="E855" t="inlineStr">
        <is>
          <t>VIMMERBY</t>
        </is>
      </c>
      <c r="G855" t="n">
        <v>0.4</v>
      </c>
      <c r="H855" t="n">
        <v>0</v>
      </c>
      <c r="I855" t="n">
        <v>0</v>
      </c>
      <c r="J855" t="n">
        <v>0</v>
      </c>
      <c r="K855" t="n">
        <v>0</v>
      </c>
      <c r="L855" t="n">
        <v>0</v>
      </c>
      <c r="M855" t="n">
        <v>0</v>
      </c>
      <c r="N855" t="n">
        <v>0</v>
      </c>
      <c r="O855" t="n">
        <v>0</v>
      </c>
      <c r="P855" t="n">
        <v>0</v>
      </c>
      <c r="Q855" t="n">
        <v>0</v>
      </c>
      <c r="R855" s="2" t="inlineStr"/>
    </row>
    <row r="856" ht="15" customHeight="1">
      <c r="A856" t="inlineStr">
        <is>
          <t>A 38969-2023</t>
        </is>
      </c>
      <c r="B856" s="1" t="n">
        <v>45163.63621527778</v>
      </c>
      <c r="C856" s="1" t="n">
        <v>46133</v>
      </c>
      <c r="D856" t="inlineStr">
        <is>
          <t>KALMAR LÄN</t>
        </is>
      </c>
      <c r="E856" t="inlineStr">
        <is>
          <t>VIMMERBY</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26937-2023</t>
        </is>
      </c>
      <c r="B857" s="1" t="n">
        <v>45093.62777777778</v>
      </c>
      <c r="C857" s="1" t="n">
        <v>46133</v>
      </c>
      <c r="D857" t="inlineStr">
        <is>
          <t>KALMAR LÄN</t>
        </is>
      </c>
      <c r="E857" t="inlineStr">
        <is>
          <t>VIMMERBY</t>
        </is>
      </c>
      <c r="F857" t="inlineStr">
        <is>
          <t>Sveaskog</t>
        </is>
      </c>
      <c r="G857" t="n">
        <v>14.5</v>
      </c>
      <c r="H857" t="n">
        <v>0</v>
      </c>
      <c r="I857" t="n">
        <v>0</v>
      </c>
      <c r="J857" t="n">
        <v>0</v>
      </c>
      <c r="K857" t="n">
        <v>0</v>
      </c>
      <c r="L857" t="n">
        <v>0</v>
      </c>
      <c r="M857" t="n">
        <v>0</v>
      </c>
      <c r="N857" t="n">
        <v>0</v>
      </c>
      <c r="O857" t="n">
        <v>0</v>
      </c>
      <c r="P857" t="n">
        <v>0</v>
      </c>
      <c r="Q857" t="n">
        <v>0</v>
      </c>
      <c r="R857" s="2" t="inlineStr"/>
    </row>
    <row r="858" ht="15" customHeight="1">
      <c r="A858" t="inlineStr">
        <is>
          <t>A 57486-2024</t>
        </is>
      </c>
      <c r="B858" s="1" t="n">
        <v>45630.35827546296</v>
      </c>
      <c r="C858" s="1" t="n">
        <v>46133</v>
      </c>
      <c r="D858" t="inlineStr">
        <is>
          <t>KALMAR LÄN</t>
        </is>
      </c>
      <c r="E858" t="inlineStr">
        <is>
          <t>VIMMERBY</t>
        </is>
      </c>
      <c r="G858" t="n">
        <v>0.4</v>
      </c>
      <c r="H858" t="n">
        <v>0</v>
      </c>
      <c r="I858" t="n">
        <v>0</v>
      </c>
      <c r="J858" t="n">
        <v>0</v>
      </c>
      <c r="K858" t="n">
        <v>0</v>
      </c>
      <c r="L858" t="n">
        <v>0</v>
      </c>
      <c r="M858" t="n">
        <v>0</v>
      </c>
      <c r="N858" t="n">
        <v>0</v>
      </c>
      <c r="O858" t="n">
        <v>0</v>
      </c>
      <c r="P858" t="n">
        <v>0</v>
      </c>
      <c r="Q858" t="n">
        <v>0</v>
      </c>
      <c r="R858" s="2" t="inlineStr"/>
    </row>
    <row r="859" ht="15" customHeight="1">
      <c r="A859" t="inlineStr">
        <is>
          <t>A 43186-2021</t>
        </is>
      </c>
      <c r="B859" s="1" t="n">
        <v>44431.84840277778</v>
      </c>
      <c r="C859" s="1" t="n">
        <v>46133</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1799-2025</t>
        </is>
      </c>
      <c r="B860" s="1" t="n">
        <v>45671.46746527778</v>
      </c>
      <c r="C860" s="1" t="n">
        <v>46133</v>
      </c>
      <c r="D860" t="inlineStr">
        <is>
          <t>KALMAR LÄN</t>
        </is>
      </c>
      <c r="E860" t="inlineStr">
        <is>
          <t>VIMMERBY</t>
        </is>
      </c>
      <c r="G860" t="n">
        <v>3.3</v>
      </c>
      <c r="H860" t="n">
        <v>0</v>
      </c>
      <c r="I860" t="n">
        <v>0</v>
      </c>
      <c r="J860" t="n">
        <v>0</v>
      </c>
      <c r="K860" t="n">
        <v>0</v>
      </c>
      <c r="L860" t="n">
        <v>0</v>
      </c>
      <c r="M860" t="n">
        <v>0</v>
      </c>
      <c r="N860" t="n">
        <v>0</v>
      </c>
      <c r="O860" t="n">
        <v>0</v>
      </c>
      <c r="P860" t="n">
        <v>0</v>
      </c>
      <c r="Q860" t="n">
        <v>0</v>
      </c>
      <c r="R860" s="2" t="inlineStr"/>
    </row>
    <row r="861" ht="15" customHeight="1">
      <c r="A861" t="inlineStr">
        <is>
          <t>A 30063-2023</t>
        </is>
      </c>
      <c r="B861" s="1" t="n">
        <v>45110.4184375</v>
      </c>
      <c r="C861" s="1" t="n">
        <v>46133</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43068-2023</t>
        </is>
      </c>
      <c r="B862" s="1" t="n">
        <v>45182.78834490741</v>
      </c>
      <c r="C862" s="1" t="n">
        <v>46133</v>
      </c>
      <c r="D862" t="inlineStr">
        <is>
          <t>KALMAR LÄN</t>
        </is>
      </c>
      <c r="E862" t="inlineStr">
        <is>
          <t>VIMMERBY</t>
        </is>
      </c>
      <c r="G862" t="n">
        <v>1.5</v>
      </c>
      <c r="H862" t="n">
        <v>0</v>
      </c>
      <c r="I862" t="n">
        <v>0</v>
      </c>
      <c r="J862" t="n">
        <v>0</v>
      </c>
      <c r="K862" t="n">
        <v>0</v>
      </c>
      <c r="L862" t="n">
        <v>0</v>
      </c>
      <c r="M862" t="n">
        <v>0</v>
      </c>
      <c r="N862" t="n">
        <v>0</v>
      </c>
      <c r="O862" t="n">
        <v>0</v>
      </c>
      <c r="P862" t="n">
        <v>0</v>
      </c>
      <c r="Q862" t="n">
        <v>0</v>
      </c>
      <c r="R862" s="2" t="inlineStr"/>
    </row>
    <row r="863" ht="15" customHeight="1">
      <c r="A863" t="inlineStr">
        <is>
          <t>A 18020-2025</t>
        </is>
      </c>
      <c r="B863" s="1" t="n">
        <v>45761.4437962963</v>
      </c>
      <c r="C863" s="1" t="n">
        <v>46133</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33424-2023</t>
        </is>
      </c>
      <c r="B864" s="1" t="n">
        <v>45128.9325</v>
      </c>
      <c r="C864" s="1" t="n">
        <v>46133</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33425-2023</t>
        </is>
      </c>
      <c r="B865" s="1" t="n">
        <v>45128.93540509259</v>
      </c>
      <c r="C865" s="1" t="n">
        <v>46133</v>
      </c>
      <c r="D865" t="inlineStr">
        <is>
          <t>KALMAR LÄN</t>
        </is>
      </c>
      <c r="E865" t="inlineStr">
        <is>
          <t>VIMMERBY</t>
        </is>
      </c>
      <c r="G865" t="n">
        <v>1.4</v>
      </c>
      <c r="H865" t="n">
        <v>0</v>
      </c>
      <c r="I865" t="n">
        <v>0</v>
      </c>
      <c r="J865" t="n">
        <v>0</v>
      </c>
      <c r="K865" t="n">
        <v>0</v>
      </c>
      <c r="L865" t="n">
        <v>0</v>
      </c>
      <c r="M865" t="n">
        <v>0</v>
      </c>
      <c r="N865" t="n">
        <v>0</v>
      </c>
      <c r="O865" t="n">
        <v>0</v>
      </c>
      <c r="P865" t="n">
        <v>0</v>
      </c>
      <c r="Q865" t="n">
        <v>0</v>
      </c>
      <c r="R865" s="2" t="inlineStr"/>
    </row>
    <row r="866" ht="15" customHeight="1">
      <c r="A866" t="inlineStr">
        <is>
          <t>A 12327-2023</t>
        </is>
      </c>
      <c r="B866" s="1" t="n">
        <v>44999.36081018519</v>
      </c>
      <c r="C866" s="1" t="n">
        <v>46133</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43092-2024</t>
        </is>
      </c>
      <c r="B867" s="1" t="n">
        <v>45567</v>
      </c>
      <c r="C867" s="1" t="n">
        <v>46133</v>
      </c>
      <c r="D867" t="inlineStr">
        <is>
          <t>KALMAR LÄN</t>
        </is>
      </c>
      <c r="E867" t="inlineStr">
        <is>
          <t>VIMMERBY</t>
        </is>
      </c>
      <c r="G867" t="n">
        <v>2.7</v>
      </c>
      <c r="H867" t="n">
        <v>0</v>
      </c>
      <c r="I867" t="n">
        <v>0</v>
      </c>
      <c r="J867" t="n">
        <v>0</v>
      </c>
      <c r="K867" t="n">
        <v>0</v>
      </c>
      <c r="L867" t="n">
        <v>0</v>
      </c>
      <c r="M867" t="n">
        <v>0</v>
      </c>
      <c r="N867" t="n">
        <v>0</v>
      </c>
      <c r="O867" t="n">
        <v>0</v>
      </c>
      <c r="P867" t="n">
        <v>0</v>
      </c>
      <c r="Q867" t="n">
        <v>0</v>
      </c>
      <c r="R867" s="2" t="inlineStr"/>
    </row>
    <row r="868" ht="15" customHeight="1">
      <c r="A868" t="inlineStr">
        <is>
          <t>A 52435-2021</t>
        </is>
      </c>
      <c r="B868" s="1" t="n">
        <v>44466.34962962963</v>
      </c>
      <c r="C868" s="1" t="n">
        <v>46133</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46133</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60215-2022</t>
        </is>
      </c>
      <c r="B870" s="1" t="n">
        <v>44910.41346064815</v>
      </c>
      <c r="C870" s="1" t="n">
        <v>46133</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29441-2024</t>
        </is>
      </c>
      <c r="B871" s="1" t="n">
        <v>45483.82834490741</v>
      </c>
      <c r="C871" s="1" t="n">
        <v>46133</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6216-2025</t>
        </is>
      </c>
      <c r="B872" s="1" t="n">
        <v>45698.52806712963</v>
      </c>
      <c r="C872" s="1" t="n">
        <v>46133</v>
      </c>
      <c r="D872" t="inlineStr">
        <is>
          <t>KALMAR LÄN</t>
        </is>
      </c>
      <c r="E872" t="inlineStr">
        <is>
          <t>VIMMERBY</t>
        </is>
      </c>
      <c r="G872" t="n">
        <v>1.2</v>
      </c>
      <c r="H872" t="n">
        <v>0</v>
      </c>
      <c r="I872" t="n">
        <v>0</v>
      </c>
      <c r="J872" t="n">
        <v>0</v>
      </c>
      <c r="K872" t="n">
        <v>0</v>
      </c>
      <c r="L872" t="n">
        <v>0</v>
      </c>
      <c r="M872" t="n">
        <v>0</v>
      </c>
      <c r="N872" t="n">
        <v>0</v>
      </c>
      <c r="O872" t="n">
        <v>0</v>
      </c>
      <c r="P872" t="n">
        <v>0</v>
      </c>
      <c r="Q872" t="n">
        <v>0</v>
      </c>
      <c r="R872" s="2" t="inlineStr"/>
    </row>
    <row r="873" ht="15" customHeight="1">
      <c r="A873" t="inlineStr">
        <is>
          <t>A 62779-2023</t>
        </is>
      </c>
      <c r="B873" s="1" t="n">
        <v>45271.66576388889</v>
      </c>
      <c r="C873" s="1" t="n">
        <v>46133</v>
      </c>
      <c r="D873" t="inlineStr">
        <is>
          <t>KALMAR LÄN</t>
        </is>
      </c>
      <c r="E873" t="inlineStr">
        <is>
          <t>VIMMERBY</t>
        </is>
      </c>
      <c r="G873" t="n">
        <v>1.1</v>
      </c>
      <c r="H873" t="n">
        <v>0</v>
      </c>
      <c r="I873" t="n">
        <v>0</v>
      </c>
      <c r="J873" t="n">
        <v>0</v>
      </c>
      <c r="K873" t="n">
        <v>0</v>
      </c>
      <c r="L873" t="n">
        <v>0</v>
      </c>
      <c r="M873" t="n">
        <v>0</v>
      </c>
      <c r="N873" t="n">
        <v>0</v>
      </c>
      <c r="O873" t="n">
        <v>0</v>
      </c>
      <c r="P873" t="n">
        <v>0</v>
      </c>
      <c r="Q873" t="n">
        <v>0</v>
      </c>
      <c r="R873" s="2" t="inlineStr"/>
    </row>
    <row r="874" ht="15" customHeight="1">
      <c r="A874" t="inlineStr">
        <is>
          <t>A 52294-2023</t>
        </is>
      </c>
      <c r="B874" s="1" t="n">
        <v>45224.60075231481</v>
      </c>
      <c r="C874" s="1" t="n">
        <v>46133</v>
      </c>
      <c r="D874" t="inlineStr">
        <is>
          <t>KALMAR LÄN</t>
        </is>
      </c>
      <c r="E874" t="inlineStr">
        <is>
          <t>VIMMERBY</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31013-2023</t>
        </is>
      </c>
      <c r="B875" s="1" t="n">
        <v>45113.56574074074</v>
      </c>
      <c r="C875" s="1" t="n">
        <v>46133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72067-2021</t>
        </is>
      </c>
      <c r="B876" s="1" t="n">
        <v>44540</v>
      </c>
      <c r="C876" s="1" t="n">
        <v>46133</v>
      </c>
      <c r="D876" t="inlineStr">
        <is>
          <t>KALMAR LÄN</t>
        </is>
      </c>
      <c r="E876" t="inlineStr">
        <is>
          <t>VIMMERBY</t>
        </is>
      </c>
      <c r="G876" t="n">
        <v>1.6</v>
      </c>
      <c r="H876" t="n">
        <v>0</v>
      </c>
      <c r="I876" t="n">
        <v>0</v>
      </c>
      <c r="J876" t="n">
        <v>0</v>
      </c>
      <c r="K876" t="n">
        <v>0</v>
      </c>
      <c r="L876" t="n">
        <v>0</v>
      </c>
      <c r="M876" t="n">
        <v>0</v>
      </c>
      <c r="N876" t="n">
        <v>0</v>
      </c>
      <c r="O876" t="n">
        <v>0</v>
      </c>
      <c r="P876" t="n">
        <v>0</v>
      </c>
      <c r="Q876" t="n">
        <v>0</v>
      </c>
      <c r="R876" s="2" t="inlineStr"/>
    </row>
    <row r="877" ht="15" customHeight="1">
      <c r="A877" t="inlineStr">
        <is>
          <t>A 61538-2022</t>
        </is>
      </c>
      <c r="B877" s="1" t="n">
        <v>44916.55414351852</v>
      </c>
      <c r="C877" s="1" t="n">
        <v>46133</v>
      </c>
      <c r="D877" t="inlineStr">
        <is>
          <t>KALMAR LÄN</t>
        </is>
      </c>
      <c r="E877" t="inlineStr">
        <is>
          <t>VIMMERBY</t>
        </is>
      </c>
      <c r="G877" t="n">
        <v>1.5</v>
      </c>
      <c r="H877" t="n">
        <v>0</v>
      </c>
      <c r="I877" t="n">
        <v>0</v>
      </c>
      <c r="J877" t="n">
        <v>0</v>
      </c>
      <c r="K877" t="n">
        <v>0</v>
      </c>
      <c r="L877" t="n">
        <v>0</v>
      </c>
      <c r="M877" t="n">
        <v>0</v>
      </c>
      <c r="N877" t="n">
        <v>0</v>
      </c>
      <c r="O877" t="n">
        <v>0</v>
      </c>
      <c r="P877" t="n">
        <v>0</v>
      </c>
      <c r="Q877" t="n">
        <v>0</v>
      </c>
      <c r="R877" s="2" t="inlineStr"/>
    </row>
    <row r="878" ht="15" customHeight="1">
      <c r="A878" t="inlineStr">
        <is>
          <t>A 36155-2023</t>
        </is>
      </c>
      <c r="B878" s="1" t="n">
        <v>45149.60917824074</v>
      </c>
      <c r="C878" s="1" t="n">
        <v>46133</v>
      </c>
      <c r="D878" t="inlineStr">
        <is>
          <t>KALMAR LÄN</t>
        </is>
      </c>
      <c r="E878" t="inlineStr">
        <is>
          <t>VIMMERBY</t>
        </is>
      </c>
      <c r="G878" t="n">
        <v>5</v>
      </c>
      <c r="H878" t="n">
        <v>0</v>
      </c>
      <c r="I878" t="n">
        <v>0</v>
      </c>
      <c r="J878" t="n">
        <v>0</v>
      </c>
      <c r="K878" t="n">
        <v>0</v>
      </c>
      <c r="L878" t="n">
        <v>0</v>
      </c>
      <c r="M878" t="n">
        <v>0</v>
      </c>
      <c r="N878" t="n">
        <v>0</v>
      </c>
      <c r="O878" t="n">
        <v>0</v>
      </c>
      <c r="P878" t="n">
        <v>0</v>
      </c>
      <c r="Q878" t="n">
        <v>0</v>
      </c>
      <c r="R878" s="2" t="inlineStr"/>
    </row>
    <row r="879" ht="15" customHeight="1">
      <c r="A879" t="inlineStr">
        <is>
          <t>A 29173-2024</t>
        </is>
      </c>
      <c r="B879" s="1" t="n">
        <v>45482.52887731481</v>
      </c>
      <c r="C879" s="1" t="n">
        <v>46133</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53542-2022</t>
        </is>
      </c>
      <c r="B880" s="1" t="n">
        <v>44879.62173611111</v>
      </c>
      <c r="C880" s="1" t="n">
        <v>46133</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6807-2025</t>
        </is>
      </c>
      <c r="B881" s="1" t="n">
        <v>45700.68672453704</v>
      </c>
      <c r="C881" s="1" t="n">
        <v>46133</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7047-2022</t>
        </is>
      </c>
      <c r="B882" s="1" t="n">
        <v>44603</v>
      </c>
      <c r="C882" s="1" t="n">
        <v>46133</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35711-2023</t>
        </is>
      </c>
      <c r="B883" s="1" t="n">
        <v>45147.67172453704</v>
      </c>
      <c r="C883" s="1" t="n">
        <v>46133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44959.66407407408</v>
      </c>
      <c r="C884" s="1" t="n">
        <v>46133</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40823-2023</t>
        </is>
      </c>
      <c r="B885" s="1" t="n">
        <v>45171.77335648148</v>
      </c>
      <c r="C885" s="1" t="n">
        <v>46133</v>
      </c>
      <c r="D885" t="inlineStr">
        <is>
          <t>KALMAR LÄN</t>
        </is>
      </c>
      <c r="E885" t="inlineStr">
        <is>
          <t>VIMMERBY</t>
        </is>
      </c>
      <c r="G885" t="n">
        <v>2.7</v>
      </c>
      <c r="H885" t="n">
        <v>0</v>
      </c>
      <c r="I885" t="n">
        <v>0</v>
      </c>
      <c r="J885" t="n">
        <v>0</v>
      </c>
      <c r="K885" t="n">
        <v>0</v>
      </c>
      <c r="L885" t="n">
        <v>0</v>
      </c>
      <c r="M885" t="n">
        <v>0</v>
      </c>
      <c r="N885" t="n">
        <v>0</v>
      </c>
      <c r="O885" t="n">
        <v>0</v>
      </c>
      <c r="P885" t="n">
        <v>0</v>
      </c>
      <c r="Q885" t="n">
        <v>0</v>
      </c>
      <c r="R885" s="2" t="inlineStr"/>
    </row>
    <row r="886" ht="15" customHeight="1">
      <c r="A886" t="inlineStr">
        <is>
          <t>A 6218-2025</t>
        </is>
      </c>
      <c r="B886" s="1" t="n">
        <v>45698.53336805556</v>
      </c>
      <c r="C886" s="1" t="n">
        <v>46133</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30920-2023</t>
        </is>
      </c>
      <c r="B887" s="1" t="n">
        <v>45113.43921296296</v>
      </c>
      <c r="C887" s="1" t="n">
        <v>46133</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6857-2023</t>
        </is>
      </c>
      <c r="B888" s="1" t="n">
        <v>44967.45122685185</v>
      </c>
      <c r="C888" s="1" t="n">
        <v>46133</v>
      </c>
      <c r="D888" t="inlineStr">
        <is>
          <t>KALMAR LÄN</t>
        </is>
      </c>
      <c r="E888" t="inlineStr">
        <is>
          <t>VIMMERBY</t>
        </is>
      </c>
      <c r="G888" t="n">
        <v>2.1</v>
      </c>
      <c r="H888" t="n">
        <v>0</v>
      </c>
      <c r="I888" t="n">
        <v>0</v>
      </c>
      <c r="J888" t="n">
        <v>0</v>
      </c>
      <c r="K888" t="n">
        <v>0</v>
      </c>
      <c r="L888" t="n">
        <v>0</v>
      </c>
      <c r="M888" t="n">
        <v>0</v>
      </c>
      <c r="N888" t="n">
        <v>0</v>
      </c>
      <c r="O888" t="n">
        <v>0</v>
      </c>
      <c r="P888" t="n">
        <v>0</v>
      </c>
      <c r="Q888" t="n">
        <v>0</v>
      </c>
      <c r="R888" s="2" t="inlineStr"/>
    </row>
    <row r="889" ht="15" customHeight="1">
      <c r="A889" t="inlineStr">
        <is>
          <t>A 5792-2023</t>
        </is>
      </c>
      <c r="B889" s="1" t="n">
        <v>44963.44769675926</v>
      </c>
      <c r="C889" s="1" t="n">
        <v>46133</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10303-2025</t>
        </is>
      </c>
      <c r="B890" s="1" t="n">
        <v>45720.44217592593</v>
      </c>
      <c r="C890" s="1" t="n">
        <v>46133</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60110-2022</t>
        </is>
      </c>
      <c r="B891" s="1" t="n">
        <v>44909</v>
      </c>
      <c r="C891" s="1" t="n">
        <v>46133</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15394-2025</t>
        </is>
      </c>
      <c r="B892" s="1" t="n">
        <v>45747.43196759259</v>
      </c>
      <c r="C892" s="1" t="n">
        <v>46133</v>
      </c>
      <c r="D892" t="inlineStr">
        <is>
          <t>KALMAR LÄN</t>
        </is>
      </c>
      <c r="E892" t="inlineStr">
        <is>
          <t>VIMMERBY</t>
        </is>
      </c>
      <c r="G892" t="n">
        <v>0.8</v>
      </c>
      <c r="H892" t="n">
        <v>0</v>
      </c>
      <c r="I892" t="n">
        <v>0</v>
      </c>
      <c r="J892" t="n">
        <v>0</v>
      </c>
      <c r="K892" t="n">
        <v>0</v>
      </c>
      <c r="L892" t="n">
        <v>0</v>
      </c>
      <c r="M892" t="n">
        <v>0</v>
      </c>
      <c r="N892" t="n">
        <v>0</v>
      </c>
      <c r="O892" t="n">
        <v>0</v>
      </c>
      <c r="P892" t="n">
        <v>0</v>
      </c>
      <c r="Q892" t="n">
        <v>0</v>
      </c>
      <c r="R892" s="2" t="inlineStr"/>
    </row>
    <row r="893" ht="15" customHeight="1">
      <c r="A893" t="inlineStr">
        <is>
          <t>A 15388-2025</t>
        </is>
      </c>
      <c r="B893" s="1" t="n">
        <v>45747.42633101852</v>
      </c>
      <c r="C893" s="1" t="n">
        <v>46133</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15391-2025</t>
        </is>
      </c>
      <c r="B894" s="1" t="n">
        <v>45747.42958333333</v>
      </c>
      <c r="C894" s="1" t="n">
        <v>46133</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6474-2025</t>
        </is>
      </c>
      <c r="B895" s="1" t="n">
        <v>45699.60055555555</v>
      </c>
      <c r="C895" s="1" t="n">
        <v>46133</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32919-2022</t>
        </is>
      </c>
      <c r="B896" s="1" t="n">
        <v>44784.62724537037</v>
      </c>
      <c r="C896" s="1" t="n">
        <v>46133</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56659-2023</t>
        </is>
      </c>
      <c r="B897" s="1" t="n">
        <v>45243.84869212963</v>
      </c>
      <c r="C897" s="1" t="n">
        <v>46133</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13015-2022</t>
        </is>
      </c>
      <c r="B898" s="1" t="n">
        <v>44643</v>
      </c>
      <c r="C898" s="1" t="n">
        <v>46133</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17968-2025</t>
        </is>
      </c>
      <c r="B899" s="1" t="n">
        <v>45761.35990740741</v>
      </c>
      <c r="C899" s="1" t="n">
        <v>46133</v>
      </c>
      <c r="D899" t="inlineStr">
        <is>
          <t>KALMAR LÄN</t>
        </is>
      </c>
      <c r="E899" t="inlineStr">
        <is>
          <t>VIMMERBY</t>
        </is>
      </c>
      <c r="G899" t="n">
        <v>3.3</v>
      </c>
      <c r="H899" t="n">
        <v>0</v>
      </c>
      <c r="I899" t="n">
        <v>0</v>
      </c>
      <c r="J899" t="n">
        <v>0</v>
      </c>
      <c r="K899" t="n">
        <v>0</v>
      </c>
      <c r="L899" t="n">
        <v>0</v>
      </c>
      <c r="M899" t="n">
        <v>0</v>
      </c>
      <c r="N899" t="n">
        <v>0</v>
      </c>
      <c r="O899" t="n">
        <v>0</v>
      </c>
      <c r="P899" t="n">
        <v>0</v>
      </c>
      <c r="Q899" t="n">
        <v>0</v>
      </c>
      <c r="R899" s="2" t="inlineStr"/>
    </row>
    <row r="900" ht="15" customHeight="1">
      <c r="A900" t="inlineStr">
        <is>
          <t>A 6028-2023</t>
        </is>
      </c>
      <c r="B900" s="1" t="n">
        <v>44964.44356481481</v>
      </c>
      <c r="C900" s="1" t="n">
        <v>46133</v>
      </c>
      <c r="D900" t="inlineStr">
        <is>
          <t>KALMAR LÄN</t>
        </is>
      </c>
      <c r="E900" t="inlineStr">
        <is>
          <t>VIMMERBY</t>
        </is>
      </c>
      <c r="G900" t="n">
        <v>2.5</v>
      </c>
      <c r="H900" t="n">
        <v>0</v>
      </c>
      <c r="I900" t="n">
        <v>0</v>
      </c>
      <c r="J900" t="n">
        <v>0</v>
      </c>
      <c r="K900" t="n">
        <v>0</v>
      </c>
      <c r="L900" t="n">
        <v>0</v>
      </c>
      <c r="M900" t="n">
        <v>0</v>
      </c>
      <c r="N900" t="n">
        <v>0</v>
      </c>
      <c r="O900" t="n">
        <v>0</v>
      </c>
      <c r="P900" t="n">
        <v>0</v>
      </c>
      <c r="Q900" t="n">
        <v>0</v>
      </c>
      <c r="R900" s="2" t="inlineStr"/>
    </row>
    <row r="901" ht="15" customHeight="1">
      <c r="A901" t="inlineStr">
        <is>
          <t>A 55436-2023</t>
        </is>
      </c>
      <c r="B901" s="1" t="n">
        <v>45238.4328587963</v>
      </c>
      <c r="C901" s="1" t="n">
        <v>46133</v>
      </c>
      <c r="D901" t="inlineStr">
        <is>
          <t>KALMAR LÄN</t>
        </is>
      </c>
      <c r="E901" t="inlineStr">
        <is>
          <t>VIMMERBY</t>
        </is>
      </c>
      <c r="G901" t="n">
        <v>5.6</v>
      </c>
      <c r="H901" t="n">
        <v>0</v>
      </c>
      <c r="I901" t="n">
        <v>0</v>
      </c>
      <c r="J901" t="n">
        <v>0</v>
      </c>
      <c r="K901" t="n">
        <v>0</v>
      </c>
      <c r="L901" t="n">
        <v>0</v>
      </c>
      <c r="M901" t="n">
        <v>0</v>
      </c>
      <c r="N901" t="n">
        <v>0</v>
      </c>
      <c r="O901" t="n">
        <v>0</v>
      </c>
      <c r="P901" t="n">
        <v>0</v>
      </c>
      <c r="Q901" t="n">
        <v>0</v>
      </c>
      <c r="R901" s="2" t="inlineStr"/>
    </row>
    <row r="902" ht="15" customHeight="1">
      <c r="A902" t="inlineStr">
        <is>
          <t>A 56582-2022</t>
        </is>
      </c>
      <c r="B902" s="1" t="n">
        <v>44893</v>
      </c>
      <c r="C902" s="1" t="n">
        <v>46133</v>
      </c>
      <c r="D902" t="inlineStr">
        <is>
          <t>KALMAR LÄN</t>
        </is>
      </c>
      <c r="E902" t="inlineStr">
        <is>
          <t>VIMMERBY</t>
        </is>
      </c>
      <c r="G902" t="n">
        <v>2.2</v>
      </c>
      <c r="H902" t="n">
        <v>0</v>
      </c>
      <c r="I902" t="n">
        <v>0</v>
      </c>
      <c r="J902" t="n">
        <v>0</v>
      </c>
      <c r="K902" t="n">
        <v>0</v>
      </c>
      <c r="L902" t="n">
        <v>0</v>
      </c>
      <c r="M902" t="n">
        <v>0</v>
      </c>
      <c r="N902" t="n">
        <v>0</v>
      </c>
      <c r="O902" t="n">
        <v>0</v>
      </c>
      <c r="P902" t="n">
        <v>0</v>
      </c>
      <c r="Q902" t="n">
        <v>0</v>
      </c>
      <c r="R902" s="2" t="inlineStr"/>
    </row>
    <row r="903" ht="15" customHeight="1">
      <c r="A903" t="inlineStr">
        <is>
          <t>A 20-2025</t>
        </is>
      </c>
      <c r="B903" s="1" t="n">
        <v>45658.80232638889</v>
      </c>
      <c r="C903" s="1" t="n">
        <v>46133</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23-2025</t>
        </is>
      </c>
      <c r="B904" s="1" t="n">
        <v>45658.80827546296</v>
      </c>
      <c r="C904" s="1" t="n">
        <v>46133</v>
      </c>
      <c r="D904" t="inlineStr">
        <is>
          <t>KALMAR LÄN</t>
        </is>
      </c>
      <c r="E904" t="inlineStr">
        <is>
          <t>VIMMERBY</t>
        </is>
      </c>
      <c r="G904" t="n">
        <v>1.8</v>
      </c>
      <c r="H904" t="n">
        <v>0</v>
      </c>
      <c r="I904" t="n">
        <v>0</v>
      </c>
      <c r="J904" t="n">
        <v>0</v>
      </c>
      <c r="K904" t="n">
        <v>0</v>
      </c>
      <c r="L904" t="n">
        <v>0</v>
      </c>
      <c r="M904" t="n">
        <v>0</v>
      </c>
      <c r="N904" t="n">
        <v>0</v>
      </c>
      <c r="O904" t="n">
        <v>0</v>
      </c>
      <c r="P904" t="n">
        <v>0</v>
      </c>
      <c r="Q904" t="n">
        <v>0</v>
      </c>
      <c r="R904" s="2" t="inlineStr"/>
    </row>
    <row r="905" ht="15" customHeight="1">
      <c r="A905" t="inlineStr">
        <is>
          <t>A 43962-2024</t>
        </is>
      </c>
      <c r="B905" s="1" t="n">
        <v>45572.48293981481</v>
      </c>
      <c r="C905" s="1" t="n">
        <v>46133</v>
      </c>
      <c r="D905" t="inlineStr">
        <is>
          <t>KALMAR LÄN</t>
        </is>
      </c>
      <c r="E905" t="inlineStr">
        <is>
          <t>VIMMERBY</t>
        </is>
      </c>
      <c r="G905" t="n">
        <v>0.6</v>
      </c>
      <c r="H905" t="n">
        <v>0</v>
      </c>
      <c r="I905" t="n">
        <v>0</v>
      </c>
      <c r="J905" t="n">
        <v>0</v>
      </c>
      <c r="K905" t="n">
        <v>0</v>
      </c>
      <c r="L905" t="n">
        <v>0</v>
      </c>
      <c r="M905" t="n">
        <v>0</v>
      </c>
      <c r="N905" t="n">
        <v>0</v>
      </c>
      <c r="O905" t="n">
        <v>0</v>
      </c>
      <c r="P905" t="n">
        <v>0</v>
      </c>
      <c r="Q905" t="n">
        <v>0</v>
      </c>
      <c r="R905" s="2" t="inlineStr"/>
    </row>
    <row r="906" ht="15" customHeight="1">
      <c r="A906" t="inlineStr">
        <is>
          <t>A 35713-2023</t>
        </is>
      </c>
      <c r="B906" s="1" t="n">
        <v>45147</v>
      </c>
      <c r="C906" s="1" t="n">
        <v>46133</v>
      </c>
      <c r="D906" t="inlineStr">
        <is>
          <t>KALMAR LÄN</t>
        </is>
      </c>
      <c r="E906" t="inlineStr">
        <is>
          <t>VIMMERBY</t>
        </is>
      </c>
      <c r="G906" t="n">
        <v>1.6</v>
      </c>
      <c r="H906" t="n">
        <v>0</v>
      </c>
      <c r="I906" t="n">
        <v>0</v>
      </c>
      <c r="J906" t="n">
        <v>0</v>
      </c>
      <c r="K906" t="n">
        <v>0</v>
      </c>
      <c r="L906" t="n">
        <v>0</v>
      </c>
      <c r="M906" t="n">
        <v>0</v>
      </c>
      <c r="N906" t="n">
        <v>0</v>
      </c>
      <c r="O906" t="n">
        <v>0</v>
      </c>
      <c r="P906" t="n">
        <v>0</v>
      </c>
      <c r="Q906" t="n">
        <v>0</v>
      </c>
      <c r="R906" s="2" t="inlineStr"/>
    </row>
    <row r="907" ht="15" customHeight="1">
      <c r="A907" t="inlineStr">
        <is>
          <t>A 40147-2023</t>
        </is>
      </c>
      <c r="B907" s="1" t="n">
        <v>45169</v>
      </c>
      <c r="C907" s="1" t="n">
        <v>46133</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50995-2022</t>
        </is>
      </c>
      <c r="B908" s="1" t="n">
        <v>44867</v>
      </c>
      <c r="C908" s="1" t="n">
        <v>46133</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ht="15" customHeight="1">
      <c r="A909" t="inlineStr">
        <is>
          <t>A 27993-2022</t>
        </is>
      </c>
      <c r="B909" s="1" t="n">
        <v>44745.84396990741</v>
      </c>
      <c r="C909" s="1" t="n">
        <v>46133</v>
      </c>
      <c r="D909" t="inlineStr">
        <is>
          <t>KALMAR LÄN</t>
        </is>
      </c>
      <c r="E909" t="inlineStr">
        <is>
          <t>VIMMERBY</t>
        </is>
      </c>
      <c r="G909" t="n">
        <v>2.8</v>
      </c>
      <c r="H909" t="n">
        <v>0</v>
      </c>
      <c r="I909" t="n">
        <v>0</v>
      </c>
      <c r="J909" t="n">
        <v>0</v>
      </c>
      <c r="K909" t="n">
        <v>0</v>
      </c>
      <c r="L909" t="n">
        <v>0</v>
      </c>
      <c r="M909" t="n">
        <v>0</v>
      </c>
      <c r="N909" t="n">
        <v>0</v>
      </c>
      <c r="O909" t="n">
        <v>0</v>
      </c>
      <c r="P909" t="n">
        <v>0</v>
      </c>
      <c r="Q909" t="n">
        <v>0</v>
      </c>
      <c r="R909" s="2" t="inlineStr"/>
    </row>
    <row r="910" ht="15" customHeight="1">
      <c r="A910" t="inlineStr">
        <is>
          <t>A 57555-2024</t>
        </is>
      </c>
      <c r="B910" s="1" t="n">
        <v>45630.45069444444</v>
      </c>
      <c r="C910" s="1" t="n">
        <v>46133</v>
      </c>
      <c r="D910" t="inlineStr">
        <is>
          <t>KALMAR LÄN</t>
        </is>
      </c>
      <c r="E910" t="inlineStr">
        <is>
          <t>VIMMERBY</t>
        </is>
      </c>
      <c r="G910" t="n">
        <v>1.1</v>
      </c>
      <c r="H910" t="n">
        <v>0</v>
      </c>
      <c r="I910" t="n">
        <v>0</v>
      </c>
      <c r="J910" t="n">
        <v>0</v>
      </c>
      <c r="K910" t="n">
        <v>0</v>
      </c>
      <c r="L910" t="n">
        <v>0</v>
      </c>
      <c r="M910" t="n">
        <v>0</v>
      </c>
      <c r="N910" t="n">
        <v>0</v>
      </c>
      <c r="O910" t="n">
        <v>0</v>
      </c>
      <c r="P910" t="n">
        <v>0</v>
      </c>
      <c r="Q910" t="n">
        <v>0</v>
      </c>
      <c r="R910" s="2" t="inlineStr"/>
    </row>
    <row r="911" ht="15" customHeight="1">
      <c r="A911" t="inlineStr">
        <is>
          <t>A 36014-2024</t>
        </is>
      </c>
      <c r="B911" s="1" t="n">
        <v>45533.56108796296</v>
      </c>
      <c r="C911" s="1" t="n">
        <v>46133</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36030-2024</t>
        </is>
      </c>
      <c r="B912" s="1" t="n">
        <v>45533.58302083334</v>
      </c>
      <c r="C912" s="1" t="n">
        <v>46133</v>
      </c>
      <c r="D912" t="inlineStr">
        <is>
          <t>KALMAR LÄN</t>
        </is>
      </c>
      <c r="E912" t="inlineStr">
        <is>
          <t>VIMMERBY</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32865-2023</t>
        </is>
      </c>
      <c r="B913" s="1" t="n">
        <v>45124</v>
      </c>
      <c r="C913" s="1" t="n">
        <v>46133</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42918-2021</t>
        </is>
      </c>
      <c r="B914" s="1" t="n">
        <v>44431</v>
      </c>
      <c r="C914" s="1" t="n">
        <v>46133</v>
      </c>
      <c r="D914" t="inlineStr">
        <is>
          <t>KALMAR LÄN</t>
        </is>
      </c>
      <c r="E914" t="inlineStr">
        <is>
          <t>VIMMERBY</t>
        </is>
      </c>
      <c r="G914" t="n">
        <v>1.6</v>
      </c>
      <c r="H914" t="n">
        <v>0</v>
      </c>
      <c r="I914" t="n">
        <v>0</v>
      </c>
      <c r="J914" t="n">
        <v>0</v>
      </c>
      <c r="K914" t="n">
        <v>0</v>
      </c>
      <c r="L914" t="n">
        <v>0</v>
      </c>
      <c r="M914" t="n">
        <v>0</v>
      </c>
      <c r="N914" t="n">
        <v>0</v>
      </c>
      <c r="O914" t="n">
        <v>0</v>
      </c>
      <c r="P914" t="n">
        <v>0</v>
      </c>
      <c r="Q914" t="n">
        <v>0</v>
      </c>
      <c r="R914" s="2" t="inlineStr"/>
    </row>
    <row r="915" ht="15" customHeight="1">
      <c r="A915" t="inlineStr">
        <is>
          <t>A 22643-2023</t>
        </is>
      </c>
      <c r="B915" s="1" t="n">
        <v>45071</v>
      </c>
      <c r="C915" s="1" t="n">
        <v>46133</v>
      </c>
      <c r="D915" t="inlineStr">
        <is>
          <t>KALMAR LÄN</t>
        </is>
      </c>
      <c r="E915" t="inlineStr">
        <is>
          <t>VIMMERBY</t>
        </is>
      </c>
      <c r="G915" t="n">
        <v>3.9</v>
      </c>
      <c r="H915" t="n">
        <v>0</v>
      </c>
      <c r="I915" t="n">
        <v>0</v>
      </c>
      <c r="J915" t="n">
        <v>0</v>
      </c>
      <c r="K915" t="n">
        <v>0</v>
      </c>
      <c r="L915" t="n">
        <v>0</v>
      </c>
      <c r="M915" t="n">
        <v>0</v>
      </c>
      <c r="N915" t="n">
        <v>0</v>
      </c>
      <c r="O915" t="n">
        <v>0</v>
      </c>
      <c r="P915" t="n">
        <v>0</v>
      </c>
      <c r="Q915" t="n">
        <v>0</v>
      </c>
      <c r="R915" s="2" t="inlineStr"/>
    </row>
    <row r="916" ht="15" customHeight="1">
      <c r="A916" t="inlineStr">
        <is>
          <t>A 18669-2025</t>
        </is>
      </c>
      <c r="B916" s="1" t="n">
        <v>45763.59436342592</v>
      </c>
      <c r="C916" s="1" t="n">
        <v>46133</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38780-2021</t>
        </is>
      </c>
      <c r="B917" s="1" t="n">
        <v>44410</v>
      </c>
      <c r="C917" s="1" t="n">
        <v>46133</v>
      </c>
      <c r="D917" t="inlineStr">
        <is>
          <t>KALMAR LÄN</t>
        </is>
      </c>
      <c r="E917" t="inlineStr">
        <is>
          <t>VIMMERBY</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29020-2024</t>
        </is>
      </c>
      <c r="B918" s="1" t="n">
        <v>45481.58048611111</v>
      </c>
      <c r="C918" s="1" t="n">
        <v>46133</v>
      </c>
      <c r="D918" t="inlineStr">
        <is>
          <t>KALMAR LÄN</t>
        </is>
      </c>
      <c r="E918" t="inlineStr">
        <is>
          <t>VIMMERBY</t>
        </is>
      </c>
      <c r="G918" t="n">
        <v>2.3</v>
      </c>
      <c r="H918" t="n">
        <v>0</v>
      </c>
      <c r="I918" t="n">
        <v>0</v>
      </c>
      <c r="J918" t="n">
        <v>0</v>
      </c>
      <c r="K918" t="n">
        <v>0</v>
      </c>
      <c r="L918" t="n">
        <v>0</v>
      </c>
      <c r="M918" t="n">
        <v>0</v>
      </c>
      <c r="N918" t="n">
        <v>0</v>
      </c>
      <c r="O918" t="n">
        <v>0</v>
      </c>
      <c r="P918" t="n">
        <v>0</v>
      </c>
      <c r="Q918" t="n">
        <v>0</v>
      </c>
      <c r="R918" s="2" t="inlineStr"/>
    </row>
    <row r="919" ht="15" customHeight="1">
      <c r="A919" t="inlineStr">
        <is>
          <t>A 30406-2023</t>
        </is>
      </c>
      <c r="B919" s="1" t="n">
        <v>45111.48787037037</v>
      </c>
      <c r="C919" s="1" t="n">
        <v>46133</v>
      </c>
      <c r="D919" t="inlineStr">
        <is>
          <t>KALMAR LÄN</t>
        </is>
      </c>
      <c r="E919" t="inlineStr">
        <is>
          <t>VIMMERBY</t>
        </is>
      </c>
      <c r="G919" t="n">
        <v>2.4</v>
      </c>
      <c r="H919" t="n">
        <v>0</v>
      </c>
      <c r="I919" t="n">
        <v>0</v>
      </c>
      <c r="J919" t="n">
        <v>0</v>
      </c>
      <c r="K919" t="n">
        <v>0</v>
      </c>
      <c r="L919" t="n">
        <v>0</v>
      </c>
      <c r="M919" t="n">
        <v>0</v>
      </c>
      <c r="N919" t="n">
        <v>0</v>
      </c>
      <c r="O919" t="n">
        <v>0</v>
      </c>
      <c r="P919" t="n">
        <v>0</v>
      </c>
      <c r="Q919" t="n">
        <v>0</v>
      </c>
      <c r="R919" s="2" t="inlineStr"/>
    </row>
    <row r="920" ht="15" customHeight="1">
      <c r="A920" t="inlineStr">
        <is>
          <t>A 13817-2024</t>
        </is>
      </c>
      <c r="B920" s="1" t="n">
        <v>45391.41976851852</v>
      </c>
      <c r="C920" s="1" t="n">
        <v>46133</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22399-2025</t>
        </is>
      </c>
      <c r="B921" s="1" t="n">
        <v>45786.52996527778</v>
      </c>
      <c r="C921" s="1" t="n">
        <v>46133</v>
      </c>
      <c r="D921" t="inlineStr">
        <is>
          <t>KALMAR LÄN</t>
        </is>
      </c>
      <c r="E921" t="inlineStr">
        <is>
          <t>VIMMERBY</t>
        </is>
      </c>
      <c r="G921" t="n">
        <v>2.1</v>
      </c>
      <c r="H921" t="n">
        <v>0</v>
      </c>
      <c r="I921" t="n">
        <v>0</v>
      </c>
      <c r="J921" t="n">
        <v>0</v>
      </c>
      <c r="K921" t="n">
        <v>0</v>
      </c>
      <c r="L921" t="n">
        <v>0</v>
      </c>
      <c r="M921" t="n">
        <v>0</v>
      </c>
      <c r="N921" t="n">
        <v>0</v>
      </c>
      <c r="O921" t="n">
        <v>0</v>
      </c>
      <c r="P921" t="n">
        <v>0</v>
      </c>
      <c r="Q921" t="n">
        <v>0</v>
      </c>
      <c r="R921" s="2" t="inlineStr"/>
    </row>
    <row r="922" ht="15" customHeight="1">
      <c r="A922" t="inlineStr">
        <is>
          <t>A 22397-2025</t>
        </is>
      </c>
      <c r="B922" s="1" t="n">
        <v>45786.52878472222</v>
      </c>
      <c r="C922" s="1" t="n">
        <v>46133</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c r="A923" t="inlineStr">
        <is>
          <t>A 25582-2024</t>
        </is>
      </c>
      <c r="B923" s="1" t="n">
        <v>45463</v>
      </c>
      <c r="C923" s="1" t="n">
        <v>46133</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2026-04-21T10:47:56Z</dcterms:created>
  <dcterms:modified xmlns:dcterms="http://purl.org/dc/terms/" xmlns:xsi="http://www.w3.org/2001/XMLSchema-instance" xsi:type="dcterms:W3CDTF">2026-04-21T10:47:56Z</dcterms:modified>
</cp:coreProperties>
</file>