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45904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45904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45904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45904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45904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45904</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45904</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45904</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45904</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45904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45904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45904</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45904</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15427-2023</t>
        </is>
      </c>
      <c r="B16" s="1" t="n">
        <v>45020</v>
      </c>
      <c r="C16" s="1" t="n">
        <v>45904</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45904</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45904</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41398-2021</t>
        </is>
      </c>
      <c r="B19" s="1" t="n">
        <v>44424</v>
      </c>
      <c r="C19" s="1" t="n">
        <v>45904</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45904</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45904</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45904</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2518-2023</t>
        </is>
      </c>
      <c r="B23" s="1" t="n">
        <v>44943</v>
      </c>
      <c r="C23" s="1" t="n">
        <v>45904</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45904</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40684-2025</t>
        </is>
      </c>
      <c r="B25" s="1" t="n">
        <v>45896.86820601852</v>
      </c>
      <c r="C25" s="1" t="n">
        <v>45904</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14024-2023</t>
        </is>
      </c>
      <c r="B26" s="1" t="n">
        <v>45008.60878472222</v>
      </c>
      <c r="C26" s="1" t="n">
        <v>45904</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45904</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45904</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45904</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9067-2025</t>
        </is>
      </c>
      <c r="B30" s="1" t="n">
        <v>45713</v>
      </c>
      <c r="C30" s="1" t="n">
        <v>45904</v>
      </c>
      <c r="D30" t="inlineStr">
        <is>
          <t>KALMAR LÄN</t>
        </is>
      </c>
      <c r="E30" t="inlineStr">
        <is>
          <t>VIMMERBY</t>
        </is>
      </c>
      <c r="G30" t="n">
        <v>3.9</v>
      </c>
      <c r="H30" t="n">
        <v>0</v>
      </c>
      <c r="I30" t="n">
        <v>1</v>
      </c>
      <c r="J30" t="n">
        <v>0</v>
      </c>
      <c r="K30" t="n">
        <v>0</v>
      </c>
      <c r="L30" t="n">
        <v>0</v>
      </c>
      <c r="M30" t="n">
        <v>0</v>
      </c>
      <c r="N30" t="n">
        <v>0</v>
      </c>
      <c r="O30" t="n">
        <v>0</v>
      </c>
      <c r="P30" t="n">
        <v>0</v>
      </c>
      <c r="Q30" t="n">
        <v>1</v>
      </c>
      <c r="R30" s="2" t="inlineStr">
        <is>
          <t>Ögonpyrola</t>
        </is>
      </c>
      <c r="S30">
        <f>HYPERLINK("https://klasma.github.io/Logging_0884/artfynd/A 9067-2025 artfynd.xlsx", "A 9067-2025")</f>
        <v/>
      </c>
      <c r="T30">
        <f>HYPERLINK("https://klasma.github.io/Logging_0884/kartor/A 9067-2025 karta.png", "A 9067-2025")</f>
        <v/>
      </c>
      <c r="V30">
        <f>HYPERLINK("https://klasma.github.io/Logging_0884/klagomål/A 9067-2025 FSC-klagomål.docx", "A 9067-2025")</f>
        <v/>
      </c>
      <c r="W30">
        <f>HYPERLINK("https://klasma.github.io/Logging_0884/klagomålsmail/A 9067-2025 FSC-klagomål mail.docx", "A 9067-2025")</f>
        <v/>
      </c>
      <c r="X30">
        <f>HYPERLINK("https://klasma.github.io/Logging_0884/tillsyn/A 9067-2025 tillsynsbegäran.docx", "A 9067-2025")</f>
        <v/>
      </c>
      <c r="Y30">
        <f>HYPERLINK("https://klasma.github.io/Logging_0884/tillsynsmail/A 9067-2025 tillsynsbegäran mail.docx", "A 9067-2025")</f>
        <v/>
      </c>
    </row>
    <row r="31" ht="15" customHeight="1">
      <c r="A31" t="inlineStr">
        <is>
          <t>A 28852-2023</t>
        </is>
      </c>
      <c r="B31" s="1" t="n">
        <v>45104</v>
      </c>
      <c r="C31" s="1" t="n">
        <v>45904</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1201-2025</t>
        </is>
      </c>
      <c r="B32" s="1" t="n">
        <v>45667</v>
      </c>
      <c r="C32" s="1" t="n">
        <v>45904</v>
      </c>
      <c r="D32" t="inlineStr">
        <is>
          <t>KALMAR LÄN</t>
        </is>
      </c>
      <c r="E32" t="inlineStr">
        <is>
          <t>VIMMERBY</t>
        </is>
      </c>
      <c r="G32" t="n">
        <v>6.4</v>
      </c>
      <c r="H32" t="n">
        <v>1</v>
      </c>
      <c r="I32" t="n">
        <v>0</v>
      </c>
      <c r="J32" t="n">
        <v>0</v>
      </c>
      <c r="K32" t="n">
        <v>1</v>
      </c>
      <c r="L32" t="n">
        <v>0</v>
      </c>
      <c r="M32" t="n">
        <v>0</v>
      </c>
      <c r="N32" t="n">
        <v>0</v>
      </c>
      <c r="O32" t="n">
        <v>1</v>
      </c>
      <c r="P32" t="n">
        <v>1</v>
      </c>
      <c r="Q32" t="n">
        <v>1</v>
      </c>
      <c r="R32" s="2" t="inlineStr">
        <is>
          <t>Knärot</t>
        </is>
      </c>
      <c r="S32">
        <f>HYPERLINK("https://klasma.github.io/Logging_0884/artfynd/A 1201-2025 artfynd.xlsx", "A 1201-2025")</f>
        <v/>
      </c>
      <c r="T32">
        <f>HYPERLINK("https://klasma.github.io/Logging_0884/kartor/A 1201-2025 karta.png", "A 1201-2025")</f>
        <v/>
      </c>
      <c r="U32">
        <f>HYPERLINK("https://klasma.github.io/Logging_0884/knärot/A 1201-2025 karta knärot.png", "A 1201-2025")</f>
        <v/>
      </c>
      <c r="V32">
        <f>HYPERLINK("https://klasma.github.io/Logging_0884/klagomål/A 1201-2025 FSC-klagomål.docx", "A 1201-2025")</f>
        <v/>
      </c>
      <c r="W32">
        <f>HYPERLINK("https://klasma.github.io/Logging_0884/klagomålsmail/A 1201-2025 FSC-klagomål mail.docx", "A 1201-2025")</f>
        <v/>
      </c>
      <c r="X32">
        <f>HYPERLINK("https://klasma.github.io/Logging_0884/tillsyn/A 1201-2025 tillsynsbegäran.docx", "A 1201-2025")</f>
        <v/>
      </c>
      <c r="Y32">
        <f>HYPERLINK("https://klasma.github.io/Logging_0884/tillsynsmail/A 1201-2025 tillsynsbegäran mail.docx", "A 1201-2025")</f>
        <v/>
      </c>
    </row>
    <row r="33" ht="15" customHeight="1">
      <c r="A33" t="inlineStr">
        <is>
          <t>A 52301-2023</t>
        </is>
      </c>
      <c r="B33" s="1" t="n">
        <v>45224</v>
      </c>
      <c r="C33" s="1" t="n">
        <v>45904</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29183-2025</t>
        </is>
      </c>
      <c r="B34" s="1" t="n">
        <v>45821</v>
      </c>
      <c r="C34" s="1" t="n">
        <v>45904</v>
      </c>
      <c r="D34" t="inlineStr">
        <is>
          <t>KALMAR LÄN</t>
        </is>
      </c>
      <c r="E34" t="inlineStr">
        <is>
          <t>VIMMERBY</t>
        </is>
      </c>
      <c r="G34" t="n">
        <v>2.7</v>
      </c>
      <c r="H34" t="n">
        <v>0</v>
      </c>
      <c r="I34" t="n">
        <v>1</v>
      </c>
      <c r="J34" t="n">
        <v>0</v>
      </c>
      <c r="K34" t="n">
        <v>0</v>
      </c>
      <c r="L34" t="n">
        <v>0</v>
      </c>
      <c r="M34" t="n">
        <v>0</v>
      </c>
      <c r="N34" t="n">
        <v>0</v>
      </c>
      <c r="O34" t="n">
        <v>0</v>
      </c>
      <c r="P34" t="n">
        <v>0</v>
      </c>
      <c r="Q34" t="n">
        <v>1</v>
      </c>
      <c r="R34" s="2" t="inlineStr">
        <is>
          <t>Sårläka</t>
        </is>
      </c>
      <c r="S34">
        <f>HYPERLINK("https://klasma.github.io/Logging_0884/artfynd/A 29183-2025 artfynd.xlsx", "A 29183-2025")</f>
        <v/>
      </c>
      <c r="T34">
        <f>HYPERLINK("https://klasma.github.io/Logging_0884/kartor/A 29183-2025 karta.png", "A 29183-2025")</f>
        <v/>
      </c>
      <c r="V34">
        <f>HYPERLINK("https://klasma.github.io/Logging_0884/klagomål/A 29183-2025 FSC-klagomål.docx", "A 29183-2025")</f>
        <v/>
      </c>
      <c r="W34">
        <f>HYPERLINK("https://klasma.github.io/Logging_0884/klagomålsmail/A 29183-2025 FSC-klagomål mail.docx", "A 29183-2025")</f>
        <v/>
      </c>
      <c r="X34">
        <f>HYPERLINK("https://klasma.github.io/Logging_0884/tillsyn/A 29183-2025 tillsynsbegäran.docx", "A 29183-2025")</f>
        <v/>
      </c>
      <c r="Y34">
        <f>HYPERLINK("https://klasma.github.io/Logging_0884/tillsynsmail/A 29183-2025 tillsynsbegäran mail.docx", "A 29183-2025")</f>
        <v/>
      </c>
    </row>
    <row r="35" ht="15" customHeight="1">
      <c r="A35" t="inlineStr">
        <is>
          <t>A 61860-2024</t>
        </is>
      </c>
      <c r="B35" s="1" t="n">
        <v>45649</v>
      </c>
      <c r="C35" s="1" t="n">
        <v>45904</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40083-2023</t>
        </is>
      </c>
      <c r="B36" s="1" t="n">
        <v>45168</v>
      </c>
      <c r="C36" s="1" t="n">
        <v>45904</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45904</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37930-2021</t>
        </is>
      </c>
      <c r="B38" s="1" t="n">
        <v>44403</v>
      </c>
      <c r="C38" s="1" t="n">
        <v>45904</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33436-2021</t>
        </is>
      </c>
      <c r="B39" s="1" t="n">
        <v>44377.61104166666</v>
      </c>
      <c r="C39" s="1" t="n">
        <v>45904</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45904</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44515-2024</t>
        </is>
      </c>
      <c r="B41" s="1" t="n">
        <v>45574.42767361111</v>
      </c>
      <c r="C41" s="1" t="n">
        <v>45904</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32985-2023</t>
        </is>
      </c>
      <c r="B42" s="1" t="n">
        <v>45125</v>
      </c>
      <c r="C42" s="1" t="n">
        <v>45904</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15122-2024</t>
        </is>
      </c>
      <c r="B43" s="1" t="n">
        <v>45399.71412037037</v>
      </c>
      <c r="C43" s="1" t="n">
        <v>45904</v>
      </c>
      <c r="D43" t="inlineStr">
        <is>
          <t>KALMAR LÄN</t>
        </is>
      </c>
      <c r="E43" t="inlineStr">
        <is>
          <t>VIMMERBY</t>
        </is>
      </c>
      <c r="G43" t="n">
        <v>1.7</v>
      </c>
      <c r="H43" t="n">
        <v>0</v>
      </c>
      <c r="I43" t="n">
        <v>0</v>
      </c>
      <c r="J43" t="n">
        <v>0</v>
      </c>
      <c r="K43" t="n">
        <v>1</v>
      </c>
      <c r="L43" t="n">
        <v>0</v>
      </c>
      <c r="M43" t="n">
        <v>0</v>
      </c>
      <c r="N43" t="n">
        <v>0</v>
      </c>
      <c r="O43" t="n">
        <v>1</v>
      </c>
      <c r="P43" t="n">
        <v>1</v>
      </c>
      <c r="Q43" t="n">
        <v>1</v>
      </c>
      <c r="R43" s="2" t="inlineStr">
        <is>
          <t>Sågfibbla</t>
        </is>
      </c>
      <c r="S43">
        <f>HYPERLINK("https://klasma.github.io/Logging_0884/artfynd/A 15122-2024 artfynd.xlsx", "A 15122-2024")</f>
        <v/>
      </c>
      <c r="T43">
        <f>HYPERLINK("https://klasma.github.io/Logging_0884/kartor/A 15122-2024 karta.png", "A 15122-2024")</f>
        <v/>
      </c>
      <c r="V43">
        <f>HYPERLINK("https://klasma.github.io/Logging_0884/klagomål/A 15122-2024 FSC-klagomål.docx", "A 15122-2024")</f>
        <v/>
      </c>
      <c r="W43">
        <f>HYPERLINK("https://klasma.github.io/Logging_0884/klagomålsmail/A 15122-2024 FSC-klagomål mail.docx", "A 15122-2024")</f>
        <v/>
      </c>
      <c r="X43">
        <f>HYPERLINK("https://klasma.github.io/Logging_0884/tillsyn/A 15122-2024 tillsynsbegäran.docx", "A 15122-2024")</f>
        <v/>
      </c>
      <c r="Y43">
        <f>HYPERLINK("https://klasma.github.io/Logging_0884/tillsynsmail/A 15122-2024 tillsynsbegäran mail.docx", "A 15122-2024")</f>
        <v/>
      </c>
    </row>
    <row r="44" ht="15" customHeight="1">
      <c r="A44" t="inlineStr">
        <is>
          <t>A 44306-2020</t>
        </is>
      </c>
      <c r="B44" s="1" t="n">
        <v>44082</v>
      </c>
      <c r="C44" s="1" t="n">
        <v>45904</v>
      </c>
      <c r="D44" t="inlineStr">
        <is>
          <t>KALMAR LÄN</t>
        </is>
      </c>
      <c r="E44" t="inlineStr">
        <is>
          <t>VIMMERBY</t>
        </is>
      </c>
      <c r="G44" t="n">
        <v>16.4</v>
      </c>
      <c r="H44" t="n">
        <v>1</v>
      </c>
      <c r="I44" t="n">
        <v>1</v>
      </c>
      <c r="J44" t="n">
        <v>0</v>
      </c>
      <c r="K44" t="n">
        <v>0</v>
      </c>
      <c r="L44" t="n">
        <v>0</v>
      </c>
      <c r="M44" t="n">
        <v>0</v>
      </c>
      <c r="N44" t="n">
        <v>0</v>
      </c>
      <c r="O44" t="n">
        <v>0</v>
      </c>
      <c r="P44" t="n">
        <v>0</v>
      </c>
      <c r="Q44" t="n">
        <v>1</v>
      </c>
      <c r="R44" s="2" t="inlineStr">
        <is>
          <t>Plattlummer</t>
        </is>
      </c>
      <c r="S44">
        <f>HYPERLINK("https://klasma.github.io/Logging_0884/artfynd/A 44306-2020 artfynd.xlsx", "A 44306-2020")</f>
        <v/>
      </c>
      <c r="T44">
        <f>HYPERLINK("https://klasma.github.io/Logging_0884/kartor/A 44306-2020 karta.png", "A 44306-2020")</f>
        <v/>
      </c>
      <c r="V44">
        <f>HYPERLINK("https://klasma.github.io/Logging_0884/klagomål/A 44306-2020 FSC-klagomål.docx", "A 44306-2020")</f>
        <v/>
      </c>
      <c r="W44">
        <f>HYPERLINK("https://klasma.github.io/Logging_0884/klagomålsmail/A 44306-2020 FSC-klagomål mail.docx", "A 44306-2020")</f>
        <v/>
      </c>
      <c r="X44">
        <f>HYPERLINK("https://klasma.github.io/Logging_0884/tillsyn/A 44306-2020 tillsynsbegäran.docx", "A 44306-2020")</f>
        <v/>
      </c>
      <c r="Y44">
        <f>HYPERLINK("https://klasma.github.io/Logging_0884/tillsynsmail/A 44306-2020 tillsynsbegäran mail.docx", "A 44306-2020")</f>
        <v/>
      </c>
    </row>
    <row r="45" ht="15" customHeight="1">
      <c r="A45" t="inlineStr">
        <is>
          <t>A 6841-2021</t>
        </is>
      </c>
      <c r="B45" s="1" t="n">
        <v>44236</v>
      </c>
      <c r="C45" s="1" t="n">
        <v>45904</v>
      </c>
      <c r="D45" t="inlineStr">
        <is>
          <t>KALMAR LÄN</t>
        </is>
      </c>
      <c r="E45" t="inlineStr">
        <is>
          <t>VIMMERBY</t>
        </is>
      </c>
      <c r="G45" t="n">
        <v>25</v>
      </c>
      <c r="H45" t="n">
        <v>0</v>
      </c>
      <c r="I45" t="n">
        <v>0</v>
      </c>
      <c r="J45" t="n">
        <v>1</v>
      </c>
      <c r="K45" t="n">
        <v>0</v>
      </c>
      <c r="L45" t="n">
        <v>0</v>
      </c>
      <c r="M45" t="n">
        <v>0</v>
      </c>
      <c r="N45" t="n">
        <v>0</v>
      </c>
      <c r="O45" t="n">
        <v>1</v>
      </c>
      <c r="P45" t="n">
        <v>0</v>
      </c>
      <c r="Q45" t="n">
        <v>1</v>
      </c>
      <c r="R45" s="2" t="inlineStr">
        <is>
          <t>Bredbrämad bastardsvärmare</t>
        </is>
      </c>
      <c r="S45">
        <f>HYPERLINK("https://klasma.github.io/Logging_0884/artfynd/A 6841-2021 artfynd.xlsx", "A 6841-2021")</f>
        <v/>
      </c>
      <c r="T45">
        <f>HYPERLINK("https://klasma.github.io/Logging_0884/kartor/A 6841-2021 karta.png", "A 6841-2021")</f>
        <v/>
      </c>
      <c r="V45">
        <f>HYPERLINK("https://klasma.github.io/Logging_0884/klagomål/A 6841-2021 FSC-klagomål.docx", "A 6841-2021")</f>
        <v/>
      </c>
      <c r="W45">
        <f>HYPERLINK("https://klasma.github.io/Logging_0884/klagomålsmail/A 6841-2021 FSC-klagomål mail.docx", "A 6841-2021")</f>
        <v/>
      </c>
      <c r="X45">
        <f>HYPERLINK("https://klasma.github.io/Logging_0884/tillsyn/A 6841-2021 tillsynsbegäran.docx", "A 6841-2021")</f>
        <v/>
      </c>
      <c r="Y45">
        <f>HYPERLINK("https://klasma.github.io/Logging_0884/tillsynsmail/A 6841-2021 tillsynsbegäran mail.docx", "A 6841-2021")</f>
        <v/>
      </c>
    </row>
    <row r="46" ht="15" customHeight="1">
      <c r="A46" t="inlineStr">
        <is>
          <t>A 44000-2020</t>
        </is>
      </c>
      <c r="B46" s="1" t="n">
        <v>44083</v>
      </c>
      <c r="C46" s="1" t="n">
        <v>45904</v>
      </c>
      <c r="D46" t="inlineStr">
        <is>
          <t>KALMAR LÄN</t>
        </is>
      </c>
      <c r="E46" t="inlineStr">
        <is>
          <t>VIMMERBY</t>
        </is>
      </c>
      <c r="G46" t="n">
        <v>0.8</v>
      </c>
      <c r="H46" t="n">
        <v>0</v>
      </c>
      <c r="I46" t="n">
        <v>0</v>
      </c>
      <c r="J46" t="n">
        <v>0</v>
      </c>
      <c r="K46" t="n">
        <v>0</v>
      </c>
      <c r="L46" t="n">
        <v>0</v>
      </c>
      <c r="M46" t="n">
        <v>0</v>
      </c>
      <c r="N46" t="n">
        <v>0</v>
      </c>
      <c r="O46" t="n">
        <v>0</v>
      </c>
      <c r="P46" t="n">
        <v>0</v>
      </c>
      <c r="Q46" t="n">
        <v>0</v>
      </c>
      <c r="R46" s="2" t="inlineStr"/>
    </row>
    <row r="47" ht="15" customHeight="1">
      <c r="A47" t="inlineStr">
        <is>
          <t>A 49059-2020</t>
        </is>
      </c>
      <c r="B47" s="1" t="n">
        <v>44102</v>
      </c>
      <c r="C47" s="1" t="n">
        <v>45904</v>
      </c>
      <c r="D47" t="inlineStr">
        <is>
          <t>KALMAR LÄN</t>
        </is>
      </c>
      <c r="E47" t="inlineStr">
        <is>
          <t>VIMMERBY</t>
        </is>
      </c>
      <c r="G47" t="n">
        <v>5.8</v>
      </c>
      <c r="H47" t="n">
        <v>0</v>
      </c>
      <c r="I47" t="n">
        <v>0</v>
      </c>
      <c r="J47" t="n">
        <v>0</v>
      </c>
      <c r="K47" t="n">
        <v>0</v>
      </c>
      <c r="L47" t="n">
        <v>0</v>
      </c>
      <c r="M47" t="n">
        <v>0</v>
      </c>
      <c r="N47" t="n">
        <v>0</v>
      </c>
      <c r="O47" t="n">
        <v>0</v>
      </c>
      <c r="P47" t="n">
        <v>0</v>
      </c>
      <c r="Q47" t="n">
        <v>0</v>
      </c>
      <c r="R47" s="2" t="inlineStr"/>
    </row>
    <row r="48" ht="15" customHeight="1">
      <c r="A48" t="inlineStr">
        <is>
          <t>A 55053-2020</t>
        </is>
      </c>
      <c r="B48" s="1" t="n">
        <v>44130</v>
      </c>
      <c r="C48" s="1" t="n">
        <v>45904</v>
      </c>
      <c r="D48" t="inlineStr">
        <is>
          <t>KALMAR LÄN</t>
        </is>
      </c>
      <c r="E48" t="inlineStr">
        <is>
          <t>VIMMERBY</t>
        </is>
      </c>
      <c r="G48" t="n">
        <v>1</v>
      </c>
      <c r="H48" t="n">
        <v>0</v>
      </c>
      <c r="I48" t="n">
        <v>0</v>
      </c>
      <c r="J48" t="n">
        <v>0</v>
      </c>
      <c r="K48" t="n">
        <v>0</v>
      </c>
      <c r="L48" t="n">
        <v>0</v>
      </c>
      <c r="M48" t="n">
        <v>0</v>
      </c>
      <c r="N48" t="n">
        <v>0</v>
      </c>
      <c r="O48" t="n">
        <v>0</v>
      </c>
      <c r="P48" t="n">
        <v>0</v>
      </c>
      <c r="Q48" t="n">
        <v>0</v>
      </c>
      <c r="R48" s="2" t="inlineStr"/>
    </row>
    <row r="49" ht="15" customHeight="1">
      <c r="A49" t="inlineStr">
        <is>
          <t>A 15903-2021</t>
        </is>
      </c>
      <c r="B49" s="1" t="n">
        <v>44287.33261574074</v>
      </c>
      <c r="C49" s="1" t="n">
        <v>45904</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45904</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45904</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45904</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45904</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45904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45904</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45904</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45904</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45904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45904</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45904</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45904</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45904</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45904</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45904</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45904</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45904</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45904</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45904</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45904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45904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45904</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45904</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45904</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45904</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45904</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45904</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45904</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45904</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45904</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45904</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45904</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45904</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45904</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45904</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45904</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45904</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45904</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45678-2020</t>
        </is>
      </c>
      <c r="B88" s="1" t="n">
        <v>44090</v>
      </c>
      <c r="C88" s="1" t="n">
        <v>45904</v>
      </c>
      <c r="D88" t="inlineStr">
        <is>
          <t>KALMAR LÄN</t>
        </is>
      </c>
      <c r="E88" t="inlineStr">
        <is>
          <t>VIMMERBY</t>
        </is>
      </c>
      <c r="G88" t="n">
        <v>4.3</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45904</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45904</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45904</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45904</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45904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45904</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45904</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45904</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45904</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45904</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45904</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45904</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45904</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45904</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45904</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45904</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45904</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45904</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45904</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45904</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45904</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45904</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45904</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45904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12848-2021</t>
        </is>
      </c>
      <c r="B113" s="1" t="n">
        <v>44271.37226851852</v>
      </c>
      <c r="C113" s="1" t="n">
        <v>45904</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45904</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45904</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45904</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45904</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45904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45904</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45904</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45904</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45904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45904</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45904</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45904</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45904</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45904</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52073-2020</t>
        </is>
      </c>
      <c r="B128" s="1" t="n">
        <v>44117</v>
      </c>
      <c r="C128" s="1" t="n">
        <v>45904</v>
      </c>
      <c r="D128" t="inlineStr">
        <is>
          <t>KALMAR LÄN</t>
        </is>
      </c>
      <c r="E128" t="inlineStr">
        <is>
          <t>VIMMERBY</t>
        </is>
      </c>
      <c r="G128" t="n">
        <v>2.3</v>
      </c>
      <c r="H128" t="n">
        <v>0</v>
      </c>
      <c r="I128" t="n">
        <v>0</v>
      </c>
      <c r="J128" t="n">
        <v>0</v>
      </c>
      <c r="K128" t="n">
        <v>0</v>
      </c>
      <c r="L128" t="n">
        <v>0</v>
      </c>
      <c r="M128" t="n">
        <v>0</v>
      </c>
      <c r="N128" t="n">
        <v>0</v>
      </c>
      <c r="O128" t="n">
        <v>0</v>
      </c>
      <c r="P128" t="n">
        <v>0</v>
      </c>
      <c r="Q128" t="n">
        <v>0</v>
      </c>
      <c r="R128" s="2" t="inlineStr"/>
    </row>
    <row r="129" ht="15" customHeight="1">
      <c r="A129" t="inlineStr">
        <is>
          <t>A 33690-2022</t>
        </is>
      </c>
      <c r="B129" s="1" t="n">
        <v>44789</v>
      </c>
      <c r="C129" s="1" t="n">
        <v>45904</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35198-2021</t>
        </is>
      </c>
      <c r="B130" s="1" t="n">
        <v>44377</v>
      </c>
      <c r="C130" s="1" t="n">
        <v>45904</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34036-2021</t>
        </is>
      </c>
      <c r="B131" s="1" t="n">
        <v>44379</v>
      </c>
      <c r="C131" s="1" t="n">
        <v>45904</v>
      </c>
      <c r="D131" t="inlineStr">
        <is>
          <t>KALMAR LÄN</t>
        </is>
      </c>
      <c r="E131" t="inlineStr">
        <is>
          <t>VIMMERBY</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45904</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46085-2020</t>
        </is>
      </c>
      <c r="B133" s="1" t="n">
        <v>44091</v>
      </c>
      <c r="C133" s="1" t="n">
        <v>45904</v>
      </c>
      <c r="D133" t="inlineStr">
        <is>
          <t>KALMAR LÄN</t>
        </is>
      </c>
      <c r="E133" t="inlineStr">
        <is>
          <t>VIMMERBY</t>
        </is>
      </c>
      <c r="G133" t="n">
        <v>6.1</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45904</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45904</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45904</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45904</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44605-2020</t>
        </is>
      </c>
      <c r="B138" s="1" t="n">
        <v>44085</v>
      </c>
      <c r="C138" s="1" t="n">
        <v>45904</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46461-2020</t>
        </is>
      </c>
      <c r="B139" s="1" t="n">
        <v>44092</v>
      </c>
      <c r="C139" s="1" t="n">
        <v>45904</v>
      </c>
      <c r="D139" t="inlineStr">
        <is>
          <t>KALMAR LÄN</t>
        </is>
      </c>
      <c r="E139" t="inlineStr">
        <is>
          <t>VIMMERBY</t>
        </is>
      </c>
      <c r="G139" t="n">
        <v>2.4</v>
      </c>
      <c r="H139" t="n">
        <v>0</v>
      </c>
      <c r="I139" t="n">
        <v>0</v>
      </c>
      <c r="J139" t="n">
        <v>0</v>
      </c>
      <c r="K139" t="n">
        <v>0</v>
      </c>
      <c r="L139" t="n">
        <v>0</v>
      </c>
      <c r="M139" t="n">
        <v>0</v>
      </c>
      <c r="N139" t="n">
        <v>0</v>
      </c>
      <c r="O139" t="n">
        <v>0</v>
      </c>
      <c r="P139" t="n">
        <v>0</v>
      </c>
      <c r="Q139" t="n">
        <v>0</v>
      </c>
      <c r="R139" s="2" t="inlineStr"/>
    </row>
    <row r="140" ht="15" customHeight="1">
      <c r="A140" t="inlineStr">
        <is>
          <t>A 8454-2022</t>
        </is>
      </c>
      <c r="B140" s="1" t="n">
        <v>44612.86762731482</v>
      </c>
      <c r="C140" s="1" t="n">
        <v>45904</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35001-2021</t>
        </is>
      </c>
      <c r="B141" s="1" t="n">
        <v>44383</v>
      </c>
      <c r="C141" s="1" t="n">
        <v>45904</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55674-2021</t>
        </is>
      </c>
      <c r="B142" s="1" t="n">
        <v>44476</v>
      </c>
      <c r="C142" s="1" t="n">
        <v>45904</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40077-2021</t>
        </is>
      </c>
      <c r="B143" s="1" t="n">
        <v>44418</v>
      </c>
      <c r="C143" s="1" t="n">
        <v>45904</v>
      </c>
      <c r="D143" t="inlineStr">
        <is>
          <t>KALMAR LÄN</t>
        </is>
      </c>
      <c r="E143" t="inlineStr">
        <is>
          <t>VIMMERBY</t>
        </is>
      </c>
      <c r="G143" t="n">
        <v>2.9</v>
      </c>
      <c r="H143" t="n">
        <v>0</v>
      </c>
      <c r="I143" t="n">
        <v>0</v>
      </c>
      <c r="J143" t="n">
        <v>0</v>
      </c>
      <c r="K143" t="n">
        <v>0</v>
      </c>
      <c r="L143" t="n">
        <v>0</v>
      </c>
      <c r="M143" t="n">
        <v>0</v>
      </c>
      <c r="N143" t="n">
        <v>0</v>
      </c>
      <c r="O143" t="n">
        <v>0</v>
      </c>
      <c r="P143" t="n">
        <v>0</v>
      </c>
      <c r="Q143" t="n">
        <v>0</v>
      </c>
      <c r="R143" s="2" t="inlineStr"/>
    </row>
    <row r="144" ht="15" customHeight="1">
      <c r="A144" t="inlineStr">
        <is>
          <t>A 65887-2021</t>
        </is>
      </c>
      <c r="B144" s="1" t="n">
        <v>44517</v>
      </c>
      <c r="C144" s="1" t="n">
        <v>45904</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45904</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57948-2020</t>
        </is>
      </c>
      <c r="B146" s="1" t="n">
        <v>44142</v>
      </c>
      <c r="C146" s="1" t="n">
        <v>45904</v>
      </c>
      <c r="D146" t="inlineStr">
        <is>
          <t>KALMAR LÄN</t>
        </is>
      </c>
      <c r="E146" t="inlineStr">
        <is>
          <t>VIMMERBY</t>
        </is>
      </c>
      <c r="G146" t="n">
        <v>7.1</v>
      </c>
      <c r="H146" t="n">
        <v>0</v>
      </c>
      <c r="I146" t="n">
        <v>0</v>
      </c>
      <c r="J146" t="n">
        <v>0</v>
      </c>
      <c r="K146" t="n">
        <v>0</v>
      </c>
      <c r="L146" t="n">
        <v>0</v>
      </c>
      <c r="M146" t="n">
        <v>0</v>
      </c>
      <c r="N146" t="n">
        <v>0</v>
      </c>
      <c r="O146" t="n">
        <v>0</v>
      </c>
      <c r="P146" t="n">
        <v>0</v>
      </c>
      <c r="Q146" t="n">
        <v>0</v>
      </c>
      <c r="R146" s="2" t="inlineStr"/>
    </row>
    <row r="147" ht="15" customHeight="1">
      <c r="A147" t="inlineStr">
        <is>
          <t>A 18276-2021</t>
        </is>
      </c>
      <c r="B147" s="1" t="n">
        <v>44305.40046296296</v>
      </c>
      <c r="C147" s="1" t="n">
        <v>45904</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47473-2021</t>
        </is>
      </c>
      <c r="B148" s="1" t="n">
        <v>44447</v>
      </c>
      <c r="C148" s="1" t="n">
        <v>45904</v>
      </c>
      <c r="D148" t="inlineStr">
        <is>
          <t>KALMAR LÄN</t>
        </is>
      </c>
      <c r="E148" t="inlineStr">
        <is>
          <t>VIMMERBY</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13180-2022</t>
        </is>
      </c>
      <c r="B149" s="1" t="n">
        <v>44644</v>
      </c>
      <c r="C149" s="1" t="n">
        <v>45904</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39959-2022</t>
        </is>
      </c>
      <c r="B150" s="1" t="n">
        <v>44819</v>
      </c>
      <c r="C150" s="1" t="n">
        <v>45904</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45904</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45904</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41056-2022</t>
        </is>
      </c>
      <c r="B153" s="1" t="n">
        <v>44824</v>
      </c>
      <c r="C153" s="1" t="n">
        <v>45904</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31660-2021</t>
        </is>
      </c>
      <c r="B154" s="1" t="n">
        <v>44369</v>
      </c>
      <c r="C154" s="1" t="n">
        <v>45904</v>
      </c>
      <c r="D154" t="inlineStr">
        <is>
          <t>KALMAR LÄN</t>
        </is>
      </c>
      <c r="E154" t="inlineStr">
        <is>
          <t>VIMMERBY</t>
        </is>
      </c>
      <c r="G154" t="n">
        <v>4.2</v>
      </c>
      <c r="H154" t="n">
        <v>0</v>
      </c>
      <c r="I154" t="n">
        <v>0</v>
      </c>
      <c r="J154" t="n">
        <v>0</v>
      </c>
      <c r="K154" t="n">
        <v>0</v>
      </c>
      <c r="L154" t="n">
        <v>0</v>
      </c>
      <c r="M154" t="n">
        <v>0</v>
      </c>
      <c r="N154" t="n">
        <v>0</v>
      </c>
      <c r="O154" t="n">
        <v>0</v>
      </c>
      <c r="P154" t="n">
        <v>0</v>
      </c>
      <c r="Q154" t="n">
        <v>0</v>
      </c>
      <c r="R154" s="2" t="inlineStr"/>
    </row>
    <row r="155" ht="15" customHeight="1">
      <c r="A155" t="inlineStr">
        <is>
          <t>A 27455-2022</t>
        </is>
      </c>
      <c r="B155" s="1" t="n">
        <v>44742</v>
      </c>
      <c r="C155" s="1" t="n">
        <v>45904</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35316-2021</t>
        </is>
      </c>
      <c r="B156" s="1" t="n">
        <v>44384</v>
      </c>
      <c r="C156" s="1" t="n">
        <v>45904</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33831-2022</t>
        </is>
      </c>
      <c r="B157" s="1" t="n">
        <v>44790.48503472222</v>
      </c>
      <c r="C157" s="1" t="n">
        <v>45904</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47708-2022</t>
        </is>
      </c>
      <c r="B158" s="1" t="n">
        <v>44854.59157407407</v>
      </c>
      <c r="C158" s="1" t="n">
        <v>45904</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12661-2021</t>
        </is>
      </c>
      <c r="B159" s="1" t="n">
        <v>44270</v>
      </c>
      <c r="C159" s="1" t="n">
        <v>45904</v>
      </c>
      <c r="D159" t="inlineStr">
        <is>
          <t>KALMAR LÄN</t>
        </is>
      </c>
      <c r="E159" t="inlineStr">
        <is>
          <t>VIMMERBY</t>
        </is>
      </c>
      <c r="G159" t="n">
        <v>1.8</v>
      </c>
      <c r="H159" t="n">
        <v>0</v>
      </c>
      <c r="I159" t="n">
        <v>0</v>
      </c>
      <c r="J159" t="n">
        <v>0</v>
      </c>
      <c r="K159" t="n">
        <v>0</v>
      </c>
      <c r="L159" t="n">
        <v>0</v>
      </c>
      <c r="M159" t="n">
        <v>0</v>
      </c>
      <c r="N159" t="n">
        <v>0</v>
      </c>
      <c r="O159" t="n">
        <v>0</v>
      </c>
      <c r="P159" t="n">
        <v>0</v>
      </c>
      <c r="Q159" t="n">
        <v>0</v>
      </c>
      <c r="R159" s="2" t="inlineStr"/>
    </row>
    <row r="160" ht="15" customHeight="1">
      <c r="A160" t="inlineStr">
        <is>
          <t>A 24999-2021</t>
        </is>
      </c>
      <c r="B160" s="1" t="n">
        <v>44341</v>
      </c>
      <c r="C160" s="1" t="n">
        <v>45904</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7917-2022</t>
        </is>
      </c>
      <c r="B161" s="1" t="n">
        <v>44608</v>
      </c>
      <c r="C161" s="1" t="n">
        <v>45904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47208-2021</t>
        </is>
      </c>
      <c r="B162" s="1" t="n">
        <v>44447.34237268518</v>
      </c>
      <c r="C162" s="1" t="n">
        <v>45904</v>
      </c>
      <c r="D162" t="inlineStr">
        <is>
          <t>KALMAR LÄN</t>
        </is>
      </c>
      <c r="E162" t="inlineStr">
        <is>
          <t>VIMMERBY</t>
        </is>
      </c>
      <c r="G162" t="n">
        <v>1.4</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45904</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3330-2021</t>
        </is>
      </c>
      <c r="B164" s="1" t="n">
        <v>44217.79856481482</v>
      </c>
      <c r="C164" s="1" t="n">
        <v>45904</v>
      </c>
      <c r="D164" t="inlineStr">
        <is>
          <t>KALMAR LÄN</t>
        </is>
      </c>
      <c r="E164" t="inlineStr">
        <is>
          <t>VIMMERBY</t>
        </is>
      </c>
      <c r="G164" t="n">
        <v>11.1</v>
      </c>
      <c r="H164" t="n">
        <v>0</v>
      </c>
      <c r="I164" t="n">
        <v>0</v>
      </c>
      <c r="J164" t="n">
        <v>0</v>
      </c>
      <c r="K164" t="n">
        <v>0</v>
      </c>
      <c r="L164" t="n">
        <v>0</v>
      </c>
      <c r="M164" t="n">
        <v>0</v>
      </c>
      <c r="N164" t="n">
        <v>0</v>
      </c>
      <c r="O164" t="n">
        <v>0</v>
      </c>
      <c r="P164" t="n">
        <v>0</v>
      </c>
      <c r="Q164" t="n">
        <v>0</v>
      </c>
      <c r="R164" s="2" t="inlineStr"/>
    </row>
    <row r="165" ht="15" customHeight="1">
      <c r="A165" t="inlineStr">
        <is>
          <t>A 42850-2022</t>
        </is>
      </c>
      <c r="B165" s="1" t="n">
        <v>44832.67608796297</v>
      </c>
      <c r="C165" s="1" t="n">
        <v>45904</v>
      </c>
      <c r="D165" t="inlineStr">
        <is>
          <t>KALMAR LÄN</t>
        </is>
      </c>
      <c r="E165" t="inlineStr">
        <is>
          <t>VIMMERBY</t>
        </is>
      </c>
      <c r="G165" t="n">
        <v>5.9</v>
      </c>
      <c r="H165" t="n">
        <v>0</v>
      </c>
      <c r="I165" t="n">
        <v>0</v>
      </c>
      <c r="J165" t="n">
        <v>0</v>
      </c>
      <c r="K165" t="n">
        <v>0</v>
      </c>
      <c r="L165" t="n">
        <v>0</v>
      </c>
      <c r="M165" t="n">
        <v>0</v>
      </c>
      <c r="N165" t="n">
        <v>0</v>
      </c>
      <c r="O165" t="n">
        <v>0</v>
      </c>
      <c r="P165" t="n">
        <v>0</v>
      </c>
      <c r="Q165" t="n">
        <v>0</v>
      </c>
      <c r="R165" s="2" t="inlineStr"/>
    </row>
    <row r="166" ht="15" customHeight="1">
      <c r="A166" t="inlineStr">
        <is>
          <t>A 16705-2021</t>
        </is>
      </c>
      <c r="B166" s="1" t="n">
        <v>44294</v>
      </c>
      <c r="C166" s="1" t="n">
        <v>45904</v>
      </c>
      <c r="D166" t="inlineStr">
        <is>
          <t>KALMAR LÄN</t>
        </is>
      </c>
      <c r="E166" t="inlineStr">
        <is>
          <t>VIMMERBY</t>
        </is>
      </c>
      <c r="G166" t="n">
        <v>2.6</v>
      </c>
      <c r="H166" t="n">
        <v>0</v>
      </c>
      <c r="I166" t="n">
        <v>0</v>
      </c>
      <c r="J166" t="n">
        <v>0</v>
      </c>
      <c r="K166" t="n">
        <v>0</v>
      </c>
      <c r="L166" t="n">
        <v>0</v>
      </c>
      <c r="M166" t="n">
        <v>0</v>
      </c>
      <c r="N166" t="n">
        <v>0</v>
      </c>
      <c r="O166" t="n">
        <v>0</v>
      </c>
      <c r="P166" t="n">
        <v>0</v>
      </c>
      <c r="Q166" t="n">
        <v>0</v>
      </c>
      <c r="R166" s="2" t="inlineStr"/>
    </row>
    <row r="167" ht="15" customHeight="1">
      <c r="A167" t="inlineStr">
        <is>
          <t>A 51977-2020</t>
        </is>
      </c>
      <c r="B167" s="1" t="n">
        <v>44116</v>
      </c>
      <c r="C167" s="1" t="n">
        <v>45904</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56389-2021</t>
        </is>
      </c>
      <c r="B168" s="1" t="n">
        <v>44480</v>
      </c>
      <c r="C168" s="1" t="n">
        <v>45904</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45528-2020</t>
        </is>
      </c>
      <c r="B169" s="1" t="n">
        <v>44089.78633101852</v>
      </c>
      <c r="C169" s="1" t="n">
        <v>45904</v>
      </c>
      <c r="D169" t="inlineStr">
        <is>
          <t>KALMAR LÄN</t>
        </is>
      </c>
      <c r="E169" t="inlineStr">
        <is>
          <t>VIMMERBY</t>
        </is>
      </c>
      <c r="G169" t="n">
        <v>3.8</v>
      </c>
      <c r="H169" t="n">
        <v>0</v>
      </c>
      <c r="I169" t="n">
        <v>0</v>
      </c>
      <c r="J169" t="n">
        <v>0</v>
      </c>
      <c r="K169" t="n">
        <v>0</v>
      </c>
      <c r="L169" t="n">
        <v>0</v>
      </c>
      <c r="M169" t="n">
        <v>0</v>
      </c>
      <c r="N169" t="n">
        <v>0</v>
      </c>
      <c r="O169" t="n">
        <v>0</v>
      </c>
      <c r="P169" t="n">
        <v>0</v>
      </c>
      <c r="Q169" t="n">
        <v>0</v>
      </c>
      <c r="R169" s="2" t="inlineStr"/>
    </row>
    <row r="170" ht="15" customHeight="1">
      <c r="A170" t="inlineStr">
        <is>
          <t>A 10086-2022</t>
        </is>
      </c>
      <c r="B170" s="1" t="n">
        <v>44621</v>
      </c>
      <c r="C170" s="1" t="n">
        <v>45904</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65564-2020</t>
        </is>
      </c>
      <c r="B171" s="1" t="n">
        <v>44172</v>
      </c>
      <c r="C171" s="1" t="n">
        <v>45904</v>
      </c>
      <c r="D171" t="inlineStr">
        <is>
          <t>KALMAR LÄN</t>
        </is>
      </c>
      <c r="E171" t="inlineStr">
        <is>
          <t>VIMMERBY</t>
        </is>
      </c>
      <c r="G171" t="n">
        <v>4.1</v>
      </c>
      <c r="H171" t="n">
        <v>0</v>
      </c>
      <c r="I171" t="n">
        <v>0</v>
      </c>
      <c r="J171" t="n">
        <v>0</v>
      </c>
      <c r="K171" t="n">
        <v>0</v>
      </c>
      <c r="L171" t="n">
        <v>0</v>
      </c>
      <c r="M171" t="n">
        <v>0</v>
      </c>
      <c r="N171" t="n">
        <v>0</v>
      </c>
      <c r="O171" t="n">
        <v>0</v>
      </c>
      <c r="P171" t="n">
        <v>0</v>
      </c>
      <c r="Q171" t="n">
        <v>0</v>
      </c>
      <c r="R171" s="2" t="inlineStr"/>
    </row>
    <row r="172" ht="15" customHeight="1">
      <c r="A172" t="inlineStr">
        <is>
          <t>A 67952-2021</t>
        </is>
      </c>
      <c r="B172" s="1" t="n">
        <v>44525.63913194444</v>
      </c>
      <c r="C172" s="1" t="n">
        <v>45904</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14521-2021</t>
        </is>
      </c>
      <c r="B173" s="1" t="n">
        <v>44279.64934027778</v>
      </c>
      <c r="C173" s="1" t="n">
        <v>45904</v>
      </c>
      <c r="D173" t="inlineStr">
        <is>
          <t>KALMAR LÄN</t>
        </is>
      </c>
      <c r="E173" t="inlineStr">
        <is>
          <t>VIMMERBY</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15533-2022</t>
        </is>
      </c>
      <c r="B174" s="1" t="n">
        <v>44662</v>
      </c>
      <c r="C174" s="1" t="n">
        <v>45904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46527-2020</t>
        </is>
      </c>
      <c r="B175" s="1" t="n">
        <v>44095</v>
      </c>
      <c r="C175" s="1" t="n">
        <v>45904</v>
      </c>
      <c r="D175" t="inlineStr">
        <is>
          <t>KALMAR LÄN</t>
        </is>
      </c>
      <c r="E175" t="inlineStr">
        <is>
          <t>VIMMERBY</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53145-2022</t>
        </is>
      </c>
      <c r="B176" s="1" t="n">
        <v>44876.48346064815</v>
      </c>
      <c r="C176" s="1" t="n">
        <v>45904</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45904</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165-2022</t>
        </is>
      </c>
      <c r="B178" s="1" t="n">
        <v>44564</v>
      </c>
      <c r="C178" s="1" t="n">
        <v>45904</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618-2021</t>
        </is>
      </c>
      <c r="B179" s="1" t="n">
        <v>44203</v>
      </c>
      <c r="C179" s="1" t="n">
        <v>45904</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32603-2021</t>
        </is>
      </c>
      <c r="B180" s="1" t="n">
        <v>44375.38789351852</v>
      </c>
      <c r="C180" s="1" t="n">
        <v>45904</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34040-2021</t>
        </is>
      </c>
      <c r="B181" s="1" t="n">
        <v>44379</v>
      </c>
      <c r="C181" s="1" t="n">
        <v>45904</v>
      </c>
      <c r="D181" t="inlineStr">
        <is>
          <t>KALMAR LÄN</t>
        </is>
      </c>
      <c r="E181" t="inlineStr">
        <is>
          <t>VIMMERBY</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15200-2021</t>
        </is>
      </c>
      <c r="B182" s="1" t="n">
        <v>44284.44574074074</v>
      </c>
      <c r="C182" s="1" t="n">
        <v>45904</v>
      </c>
      <c r="D182" t="inlineStr">
        <is>
          <t>KALMAR LÄN</t>
        </is>
      </c>
      <c r="E182" t="inlineStr">
        <is>
          <t>VIMMERBY</t>
        </is>
      </c>
      <c r="G182" t="n">
        <v>1.2</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45904</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36117-2021</t>
        </is>
      </c>
      <c r="B184" s="1" t="n">
        <v>44386</v>
      </c>
      <c r="C184" s="1" t="n">
        <v>45904</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12241-2021</t>
        </is>
      </c>
      <c r="B185" s="1" t="n">
        <v>44266.7240625</v>
      </c>
      <c r="C185" s="1" t="n">
        <v>45904</v>
      </c>
      <c r="D185" t="inlineStr">
        <is>
          <t>KALMAR LÄN</t>
        </is>
      </c>
      <c r="E185" t="inlineStr">
        <is>
          <t>VIMMERBY</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45904</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45050-2020</t>
        </is>
      </c>
      <c r="B187" s="1" t="n">
        <v>44088</v>
      </c>
      <c r="C187" s="1" t="n">
        <v>45904</v>
      </c>
      <c r="D187" t="inlineStr">
        <is>
          <t>KALMAR LÄN</t>
        </is>
      </c>
      <c r="E187" t="inlineStr">
        <is>
          <t>VIMMERBY</t>
        </is>
      </c>
      <c r="G187" t="n">
        <v>1.7</v>
      </c>
      <c r="H187" t="n">
        <v>0</v>
      </c>
      <c r="I187" t="n">
        <v>0</v>
      </c>
      <c r="J187" t="n">
        <v>0</v>
      </c>
      <c r="K187" t="n">
        <v>0</v>
      </c>
      <c r="L187" t="n">
        <v>0</v>
      </c>
      <c r="M187" t="n">
        <v>0</v>
      </c>
      <c r="N187" t="n">
        <v>0</v>
      </c>
      <c r="O187" t="n">
        <v>0</v>
      </c>
      <c r="P187" t="n">
        <v>0</v>
      </c>
      <c r="Q187" t="n">
        <v>0</v>
      </c>
      <c r="R187" s="2" t="inlineStr"/>
    </row>
    <row r="188" ht="15" customHeight="1">
      <c r="A188" t="inlineStr">
        <is>
          <t>A 42521-2021</t>
        </is>
      </c>
      <c r="B188" s="1" t="n">
        <v>44427</v>
      </c>
      <c r="C188" s="1" t="n">
        <v>45904</v>
      </c>
      <c r="D188" t="inlineStr">
        <is>
          <t>KALMAR LÄN</t>
        </is>
      </c>
      <c r="E188" t="inlineStr">
        <is>
          <t>VIMMERBY</t>
        </is>
      </c>
      <c r="G188" t="n">
        <v>5.4</v>
      </c>
      <c r="H188" t="n">
        <v>0</v>
      </c>
      <c r="I188" t="n">
        <v>0</v>
      </c>
      <c r="J188" t="n">
        <v>0</v>
      </c>
      <c r="K188" t="n">
        <v>0</v>
      </c>
      <c r="L188" t="n">
        <v>0</v>
      </c>
      <c r="M188" t="n">
        <v>0</v>
      </c>
      <c r="N188" t="n">
        <v>0</v>
      </c>
      <c r="O188" t="n">
        <v>0</v>
      </c>
      <c r="P188" t="n">
        <v>0</v>
      </c>
      <c r="Q188" t="n">
        <v>0</v>
      </c>
      <c r="R188" s="2" t="inlineStr"/>
    </row>
    <row r="189" ht="15" customHeight="1">
      <c r="A189" t="inlineStr">
        <is>
          <t>A 12662-2021</t>
        </is>
      </c>
      <c r="B189" s="1" t="n">
        <v>44270.49743055556</v>
      </c>
      <c r="C189" s="1" t="n">
        <v>45904</v>
      </c>
      <c r="D189" t="inlineStr">
        <is>
          <t>KALMAR LÄN</t>
        </is>
      </c>
      <c r="E189" t="inlineStr">
        <is>
          <t>VIMMERBY</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45054-2020</t>
        </is>
      </c>
      <c r="B190" s="1" t="n">
        <v>44088</v>
      </c>
      <c r="C190" s="1" t="n">
        <v>45904</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12107-2022</t>
        </is>
      </c>
      <c r="B191" s="1" t="n">
        <v>44636</v>
      </c>
      <c r="C191" s="1" t="n">
        <v>45904</v>
      </c>
      <c r="D191" t="inlineStr">
        <is>
          <t>KALMAR LÄN</t>
        </is>
      </c>
      <c r="E191" t="inlineStr">
        <is>
          <t>VIMMERBY</t>
        </is>
      </c>
      <c r="G191" t="n">
        <v>1.8</v>
      </c>
      <c r="H191" t="n">
        <v>0</v>
      </c>
      <c r="I191" t="n">
        <v>0</v>
      </c>
      <c r="J191" t="n">
        <v>0</v>
      </c>
      <c r="K191" t="n">
        <v>0</v>
      </c>
      <c r="L191" t="n">
        <v>0</v>
      </c>
      <c r="M191" t="n">
        <v>0</v>
      </c>
      <c r="N191" t="n">
        <v>0</v>
      </c>
      <c r="O191" t="n">
        <v>0</v>
      </c>
      <c r="P191" t="n">
        <v>0</v>
      </c>
      <c r="Q191" t="n">
        <v>0</v>
      </c>
      <c r="R191" s="2" t="inlineStr"/>
    </row>
    <row r="192" ht="15" customHeight="1">
      <c r="A192" t="inlineStr">
        <is>
          <t>A 40971-2021</t>
        </is>
      </c>
      <c r="B192" s="1" t="n">
        <v>44421</v>
      </c>
      <c r="C192" s="1" t="n">
        <v>45904</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68744-2020</t>
        </is>
      </c>
      <c r="B193" s="1" t="n">
        <v>44186</v>
      </c>
      <c r="C193" s="1" t="n">
        <v>45904</v>
      </c>
      <c r="D193" t="inlineStr">
        <is>
          <t>KALMAR LÄN</t>
        </is>
      </c>
      <c r="E193" t="inlineStr">
        <is>
          <t>VIMMERBY</t>
        </is>
      </c>
      <c r="G193" t="n">
        <v>2.5</v>
      </c>
      <c r="H193" t="n">
        <v>0</v>
      </c>
      <c r="I193" t="n">
        <v>0</v>
      </c>
      <c r="J193" t="n">
        <v>0</v>
      </c>
      <c r="K193" t="n">
        <v>0</v>
      </c>
      <c r="L193" t="n">
        <v>0</v>
      </c>
      <c r="M193" t="n">
        <v>0</v>
      </c>
      <c r="N193" t="n">
        <v>0</v>
      </c>
      <c r="O193" t="n">
        <v>0</v>
      </c>
      <c r="P193" t="n">
        <v>0</v>
      </c>
      <c r="Q193" t="n">
        <v>0</v>
      </c>
      <c r="R193" s="2" t="inlineStr"/>
    </row>
    <row r="194" ht="15" customHeight="1">
      <c r="A194" t="inlineStr">
        <is>
          <t>A 13457-2021</t>
        </is>
      </c>
      <c r="B194" s="1" t="n">
        <v>44273</v>
      </c>
      <c r="C194" s="1" t="n">
        <v>45904</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39225-2022</t>
        </is>
      </c>
      <c r="B195" s="1" t="n">
        <v>44817.57988425926</v>
      </c>
      <c r="C195" s="1" t="n">
        <v>45904</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14278-2021</t>
        </is>
      </c>
      <c r="B196" s="1" t="n">
        <v>44278.63479166666</v>
      </c>
      <c r="C196" s="1" t="n">
        <v>45904</v>
      </c>
      <c r="D196" t="inlineStr">
        <is>
          <t>KALMAR LÄN</t>
        </is>
      </c>
      <c r="E196" t="inlineStr">
        <is>
          <t>VIMMERBY</t>
        </is>
      </c>
      <c r="F196" t="inlineStr">
        <is>
          <t>Övriga statliga verk och myndigheter</t>
        </is>
      </c>
      <c r="G196" t="n">
        <v>0.8</v>
      </c>
      <c r="H196" t="n">
        <v>0</v>
      </c>
      <c r="I196" t="n">
        <v>0</v>
      </c>
      <c r="J196" t="n">
        <v>0</v>
      </c>
      <c r="K196" t="n">
        <v>0</v>
      </c>
      <c r="L196" t="n">
        <v>0</v>
      </c>
      <c r="M196" t="n">
        <v>0</v>
      </c>
      <c r="N196" t="n">
        <v>0</v>
      </c>
      <c r="O196" t="n">
        <v>0</v>
      </c>
      <c r="P196" t="n">
        <v>0</v>
      </c>
      <c r="Q196" t="n">
        <v>0</v>
      </c>
      <c r="R196" s="2" t="inlineStr"/>
    </row>
    <row r="197" ht="15" customHeight="1">
      <c r="A197" t="inlineStr">
        <is>
          <t>A 16602-2021</t>
        </is>
      </c>
      <c r="B197" s="1" t="n">
        <v>44294</v>
      </c>
      <c r="C197" s="1" t="n">
        <v>45904</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16607-2021</t>
        </is>
      </c>
      <c r="B198" s="1" t="n">
        <v>44294</v>
      </c>
      <c r="C198" s="1" t="n">
        <v>45904</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17029-2022</t>
        </is>
      </c>
      <c r="B199" s="1" t="n">
        <v>44676.85248842592</v>
      </c>
      <c r="C199" s="1" t="n">
        <v>45904</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23825-2022</t>
        </is>
      </c>
      <c r="B200" s="1" t="n">
        <v>44722.48768518519</v>
      </c>
      <c r="C200" s="1" t="n">
        <v>45904</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7167-2022</t>
        </is>
      </c>
      <c r="B201" s="1" t="n">
        <v>44604</v>
      </c>
      <c r="C201" s="1" t="n">
        <v>45904</v>
      </c>
      <c r="D201" t="inlineStr">
        <is>
          <t>KALMAR LÄN</t>
        </is>
      </c>
      <c r="E201" t="inlineStr">
        <is>
          <t>VIMMERBY</t>
        </is>
      </c>
      <c r="G201" t="n">
        <v>1.7</v>
      </c>
      <c r="H201" t="n">
        <v>0</v>
      </c>
      <c r="I201" t="n">
        <v>0</v>
      </c>
      <c r="J201" t="n">
        <v>0</v>
      </c>
      <c r="K201" t="n">
        <v>0</v>
      </c>
      <c r="L201" t="n">
        <v>0</v>
      </c>
      <c r="M201" t="n">
        <v>0</v>
      </c>
      <c r="N201" t="n">
        <v>0</v>
      </c>
      <c r="O201" t="n">
        <v>0</v>
      </c>
      <c r="P201" t="n">
        <v>0</v>
      </c>
      <c r="Q201" t="n">
        <v>0</v>
      </c>
      <c r="R201" s="2" t="inlineStr"/>
    </row>
    <row r="202" ht="15" customHeight="1">
      <c r="A202" t="inlineStr">
        <is>
          <t>A 8453-2022</t>
        </is>
      </c>
      <c r="B202" s="1" t="n">
        <v>44612.86554398148</v>
      </c>
      <c r="C202" s="1" t="n">
        <v>45904</v>
      </c>
      <c r="D202" t="inlineStr">
        <is>
          <t>KALMAR LÄN</t>
        </is>
      </c>
      <c r="E202" t="inlineStr">
        <is>
          <t>VIMMERBY</t>
        </is>
      </c>
      <c r="G202" t="n">
        <v>1.7</v>
      </c>
      <c r="H202" t="n">
        <v>0</v>
      </c>
      <c r="I202" t="n">
        <v>0</v>
      </c>
      <c r="J202" t="n">
        <v>0</v>
      </c>
      <c r="K202" t="n">
        <v>0</v>
      </c>
      <c r="L202" t="n">
        <v>0</v>
      </c>
      <c r="M202" t="n">
        <v>0</v>
      </c>
      <c r="N202" t="n">
        <v>0</v>
      </c>
      <c r="O202" t="n">
        <v>0</v>
      </c>
      <c r="P202" t="n">
        <v>0</v>
      </c>
      <c r="Q202" t="n">
        <v>0</v>
      </c>
      <c r="R202" s="2" t="inlineStr"/>
    </row>
    <row r="203" ht="15" customHeight="1">
      <c r="A203" t="inlineStr">
        <is>
          <t>A 46964-2022</t>
        </is>
      </c>
      <c r="B203" s="1" t="n">
        <v>44851.95016203704</v>
      </c>
      <c r="C203" s="1" t="n">
        <v>45904</v>
      </c>
      <c r="D203" t="inlineStr">
        <is>
          <t>KALMAR LÄN</t>
        </is>
      </c>
      <c r="E203" t="inlineStr">
        <is>
          <t>VIMMERBY</t>
        </is>
      </c>
      <c r="G203" t="n">
        <v>0.2</v>
      </c>
      <c r="H203" t="n">
        <v>0</v>
      </c>
      <c r="I203" t="n">
        <v>0</v>
      </c>
      <c r="J203" t="n">
        <v>0</v>
      </c>
      <c r="K203" t="n">
        <v>0</v>
      </c>
      <c r="L203" t="n">
        <v>0</v>
      </c>
      <c r="M203" t="n">
        <v>0</v>
      </c>
      <c r="N203" t="n">
        <v>0</v>
      </c>
      <c r="O203" t="n">
        <v>0</v>
      </c>
      <c r="P203" t="n">
        <v>0</v>
      </c>
      <c r="Q203" t="n">
        <v>0</v>
      </c>
      <c r="R203" s="2" t="inlineStr"/>
    </row>
    <row r="204" ht="15" customHeight="1">
      <c r="A204" t="inlineStr">
        <is>
          <t>A 52433-2021</t>
        </is>
      </c>
      <c r="B204" s="1" t="n">
        <v>44466.34726851852</v>
      </c>
      <c r="C204" s="1" t="n">
        <v>45904</v>
      </c>
      <c r="D204" t="inlineStr">
        <is>
          <t>KALMAR LÄN</t>
        </is>
      </c>
      <c r="E204" t="inlineStr">
        <is>
          <t>VIMMERBY</t>
        </is>
      </c>
      <c r="G204" t="n">
        <v>3.5</v>
      </c>
      <c r="H204" t="n">
        <v>0</v>
      </c>
      <c r="I204" t="n">
        <v>0</v>
      </c>
      <c r="J204" t="n">
        <v>0</v>
      </c>
      <c r="K204" t="n">
        <v>0</v>
      </c>
      <c r="L204" t="n">
        <v>0</v>
      </c>
      <c r="M204" t="n">
        <v>0</v>
      </c>
      <c r="N204" t="n">
        <v>0</v>
      </c>
      <c r="O204" t="n">
        <v>0</v>
      </c>
      <c r="P204" t="n">
        <v>0</v>
      </c>
      <c r="Q204" t="n">
        <v>0</v>
      </c>
      <c r="R204" s="2" t="inlineStr"/>
    </row>
    <row r="205" ht="15" customHeight="1">
      <c r="A205" t="inlineStr">
        <is>
          <t>A 50621-2022</t>
        </is>
      </c>
      <c r="B205" s="1" t="n">
        <v>44866.81100694444</v>
      </c>
      <c r="C205" s="1" t="n">
        <v>45904</v>
      </c>
      <c r="D205" t="inlineStr">
        <is>
          <t>KALMAR LÄN</t>
        </is>
      </c>
      <c r="E205" t="inlineStr">
        <is>
          <t>VIMMERBY</t>
        </is>
      </c>
      <c r="F205" t="inlineStr">
        <is>
          <t>Övriga Aktiebolag</t>
        </is>
      </c>
      <c r="G205" t="n">
        <v>5.1</v>
      </c>
      <c r="H205" t="n">
        <v>0</v>
      </c>
      <c r="I205" t="n">
        <v>0</v>
      </c>
      <c r="J205" t="n">
        <v>0</v>
      </c>
      <c r="K205" t="n">
        <v>0</v>
      </c>
      <c r="L205" t="n">
        <v>0</v>
      </c>
      <c r="M205" t="n">
        <v>0</v>
      </c>
      <c r="N205" t="n">
        <v>0</v>
      </c>
      <c r="O205" t="n">
        <v>0</v>
      </c>
      <c r="P205" t="n">
        <v>0</v>
      </c>
      <c r="Q205" t="n">
        <v>0</v>
      </c>
      <c r="R205" s="2" t="inlineStr"/>
    </row>
    <row r="206" ht="15" customHeight="1">
      <c r="A206" t="inlineStr">
        <is>
          <t>A 54065-2021</t>
        </is>
      </c>
      <c r="B206" s="1" t="n">
        <v>44470.44232638889</v>
      </c>
      <c r="C206" s="1" t="n">
        <v>45904</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31824-2022</t>
        </is>
      </c>
      <c r="B207" s="1" t="n">
        <v>44776</v>
      </c>
      <c r="C207" s="1" t="n">
        <v>45904</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18356-2021</t>
        </is>
      </c>
      <c r="B208" s="1" t="n">
        <v>44305</v>
      </c>
      <c r="C208" s="1" t="n">
        <v>45904</v>
      </c>
      <c r="D208" t="inlineStr">
        <is>
          <t>KALMAR LÄN</t>
        </is>
      </c>
      <c r="E208" t="inlineStr">
        <is>
          <t>VIMMERBY</t>
        </is>
      </c>
      <c r="G208" t="n">
        <v>3.4</v>
      </c>
      <c r="H208" t="n">
        <v>0</v>
      </c>
      <c r="I208" t="n">
        <v>0</v>
      </c>
      <c r="J208" t="n">
        <v>0</v>
      </c>
      <c r="K208" t="n">
        <v>0</v>
      </c>
      <c r="L208" t="n">
        <v>0</v>
      </c>
      <c r="M208" t="n">
        <v>0</v>
      </c>
      <c r="N208" t="n">
        <v>0</v>
      </c>
      <c r="O208" t="n">
        <v>0</v>
      </c>
      <c r="P208" t="n">
        <v>0</v>
      </c>
      <c r="Q208" t="n">
        <v>0</v>
      </c>
      <c r="R208" s="2" t="inlineStr"/>
    </row>
    <row r="209" ht="15" customHeight="1">
      <c r="A209" t="inlineStr">
        <is>
          <t>A 11733-2022</t>
        </is>
      </c>
      <c r="B209" s="1" t="n">
        <v>44634</v>
      </c>
      <c r="C209" s="1" t="n">
        <v>45904</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65961-2020</t>
        </is>
      </c>
      <c r="B210" s="1" t="n">
        <v>44175.39748842592</v>
      </c>
      <c r="C210" s="1" t="n">
        <v>45904</v>
      </c>
      <c r="D210" t="inlineStr">
        <is>
          <t>KALMAR LÄN</t>
        </is>
      </c>
      <c r="E210" t="inlineStr">
        <is>
          <t>VIMMERBY</t>
        </is>
      </c>
      <c r="G210" t="n">
        <v>2.6</v>
      </c>
      <c r="H210" t="n">
        <v>0</v>
      </c>
      <c r="I210" t="n">
        <v>0</v>
      </c>
      <c r="J210" t="n">
        <v>0</v>
      </c>
      <c r="K210" t="n">
        <v>0</v>
      </c>
      <c r="L210" t="n">
        <v>0</v>
      </c>
      <c r="M210" t="n">
        <v>0</v>
      </c>
      <c r="N210" t="n">
        <v>0</v>
      </c>
      <c r="O210" t="n">
        <v>0</v>
      </c>
      <c r="P210" t="n">
        <v>0</v>
      </c>
      <c r="Q210" t="n">
        <v>0</v>
      </c>
      <c r="R210" s="2" t="inlineStr"/>
    </row>
    <row r="211" ht="15" customHeight="1">
      <c r="A211" t="inlineStr">
        <is>
          <t>A 16983-2023</t>
        </is>
      </c>
      <c r="B211" s="1" t="n">
        <v>45033.76043981482</v>
      </c>
      <c r="C211" s="1" t="n">
        <v>45904</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46144-2023</t>
        </is>
      </c>
      <c r="B212" s="1" t="n">
        <v>45196.57247685185</v>
      </c>
      <c r="C212" s="1" t="n">
        <v>45904</v>
      </c>
      <c r="D212" t="inlineStr">
        <is>
          <t>KALMAR LÄN</t>
        </is>
      </c>
      <c r="E212" t="inlineStr">
        <is>
          <t>VIMMERBY</t>
        </is>
      </c>
      <c r="G212" t="n">
        <v>6.5</v>
      </c>
      <c r="H212" t="n">
        <v>0</v>
      </c>
      <c r="I212" t="n">
        <v>0</v>
      </c>
      <c r="J212" t="n">
        <v>0</v>
      </c>
      <c r="K212" t="n">
        <v>0</v>
      </c>
      <c r="L212" t="n">
        <v>0</v>
      </c>
      <c r="M212" t="n">
        <v>0</v>
      </c>
      <c r="N212" t="n">
        <v>0</v>
      </c>
      <c r="O212" t="n">
        <v>0</v>
      </c>
      <c r="P212" t="n">
        <v>0</v>
      </c>
      <c r="Q212" t="n">
        <v>0</v>
      </c>
      <c r="R212" s="2" t="inlineStr"/>
    </row>
    <row r="213" ht="15" customHeight="1">
      <c r="A213" t="inlineStr">
        <is>
          <t>A 7804-2022</t>
        </is>
      </c>
      <c r="B213" s="1" t="n">
        <v>44608.50458333334</v>
      </c>
      <c r="C213" s="1" t="n">
        <v>45904</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39042-2022</t>
        </is>
      </c>
      <c r="B214" s="1" t="n">
        <v>44817</v>
      </c>
      <c r="C214" s="1" t="n">
        <v>45904</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42918-2021</t>
        </is>
      </c>
      <c r="B215" s="1" t="n">
        <v>44431</v>
      </c>
      <c r="C215" s="1" t="n">
        <v>45904</v>
      </c>
      <c r="D215" t="inlineStr">
        <is>
          <t>KALMAR LÄN</t>
        </is>
      </c>
      <c r="E215" t="inlineStr">
        <is>
          <t>VIMMERBY</t>
        </is>
      </c>
      <c r="G215" t="n">
        <v>1.6</v>
      </c>
      <c r="H215" t="n">
        <v>0</v>
      </c>
      <c r="I215" t="n">
        <v>0</v>
      </c>
      <c r="J215" t="n">
        <v>0</v>
      </c>
      <c r="K215" t="n">
        <v>0</v>
      </c>
      <c r="L215" t="n">
        <v>0</v>
      </c>
      <c r="M215" t="n">
        <v>0</v>
      </c>
      <c r="N215" t="n">
        <v>0</v>
      </c>
      <c r="O215" t="n">
        <v>0</v>
      </c>
      <c r="P215" t="n">
        <v>0</v>
      </c>
      <c r="Q215" t="n">
        <v>0</v>
      </c>
      <c r="R215" s="2" t="inlineStr"/>
    </row>
    <row r="216" ht="15" customHeight="1">
      <c r="A216" t="inlineStr">
        <is>
          <t>A 16288-2021</t>
        </is>
      </c>
      <c r="B216" s="1" t="n">
        <v>44292</v>
      </c>
      <c r="C216" s="1" t="n">
        <v>45904</v>
      </c>
      <c r="D216" t="inlineStr">
        <is>
          <t>KALMAR LÄN</t>
        </is>
      </c>
      <c r="E216" t="inlineStr">
        <is>
          <t>VIMMERBY</t>
        </is>
      </c>
      <c r="F216" t="inlineStr">
        <is>
          <t>Övriga Aktiebolag</t>
        </is>
      </c>
      <c r="G216" t="n">
        <v>27.6</v>
      </c>
      <c r="H216" t="n">
        <v>0</v>
      </c>
      <c r="I216" t="n">
        <v>0</v>
      </c>
      <c r="J216" t="n">
        <v>0</v>
      </c>
      <c r="K216" t="n">
        <v>0</v>
      </c>
      <c r="L216" t="n">
        <v>0</v>
      </c>
      <c r="M216" t="n">
        <v>0</v>
      </c>
      <c r="N216" t="n">
        <v>0</v>
      </c>
      <c r="O216" t="n">
        <v>0</v>
      </c>
      <c r="P216" t="n">
        <v>0</v>
      </c>
      <c r="Q216" t="n">
        <v>0</v>
      </c>
      <c r="R216" s="2" t="inlineStr"/>
    </row>
    <row r="217" ht="15" customHeight="1">
      <c r="A217" t="inlineStr">
        <is>
          <t>A 22643-2023</t>
        </is>
      </c>
      <c r="B217" s="1" t="n">
        <v>45071</v>
      </c>
      <c r="C217" s="1" t="n">
        <v>45904</v>
      </c>
      <c r="D217" t="inlineStr">
        <is>
          <t>KALMAR LÄN</t>
        </is>
      </c>
      <c r="E217" t="inlineStr">
        <is>
          <t>VIMMERBY</t>
        </is>
      </c>
      <c r="G217" t="n">
        <v>3.9</v>
      </c>
      <c r="H217" t="n">
        <v>0</v>
      </c>
      <c r="I217" t="n">
        <v>0</v>
      </c>
      <c r="J217" t="n">
        <v>0</v>
      </c>
      <c r="K217" t="n">
        <v>0</v>
      </c>
      <c r="L217" t="n">
        <v>0</v>
      </c>
      <c r="M217" t="n">
        <v>0</v>
      </c>
      <c r="N217" t="n">
        <v>0</v>
      </c>
      <c r="O217" t="n">
        <v>0</v>
      </c>
      <c r="P217" t="n">
        <v>0</v>
      </c>
      <c r="Q217" t="n">
        <v>0</v>
      </c>
      <c r="R217" s="2" t="inlineStr"/>
    </row>
    <row r="218" ht="15" customHeight="1">
      <c r="A218" t="inlineStr">
        <is>
          <t>A 18669-2025</t>
        </is>
      </c>
      <c r="B218" s="1" t="n">
        <v>45763.59436342592</v>
      </c>
      <c r="C218" s="1" t="n">
        <v>45904</v>
      </c>
      <c r="D218" t="inlineStr">
        <is>
          <t>KALMAR LÄN</t>
        </is>
      </c>
      <c r="E218" t="inlineStr">
        <is>
          <t>VIMMERBY</t>
        </is>
      </c>
      <c r="G218" t="n">
        <v>2.7</v>
      </c>
      <c r="H218" t="n">
        <v>0</v>
      </c>
      <c r="I218" t="n">
        <v>0</v>
      </c>
      <c r="J218" t="n">
        <v>0</v>
      </c>
      <c r="K218" t="n">
        <v>0</v>
      </c>
      <c r="L218" t="n">
        <v>0</v>
      </c>
      <c r="M218" t="n">
        <v>0</v>
      </c>
      <c r="N218" t="n">
        <v>0</v>
      </c>
      <c r="O218" t="n">
        <v>0</v>
      </c>
      <c r="P218" t="n">
        <v>0</v>
      </c>
      <c r="Q218" t="n">
        <v>0</v>
      </c>
      <c r="R218" s="2" t="inlineStr"/>
    </row>
    <row r="219" ht="15" customHeight="1">
      <c r="A219" t="inlineStr">
        <is>
          <t>A 59300-2024</t>
        </is>
      </c>
      <c r="B219" s="1" t="n">
        <v>45637.66542824074</v>
      </c>
      <c r="C219" s="1" t="n">
        <v>45904</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4076-2022</t>
        </is>
      </c>
      <c r="B220" s="1" t="n">
        <v>44588.37998842593</v>
      </c>
      <c r="C220" s="1" t="n">
        <v>45904</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38780-2021</t>
        </is>
      </c>
      <c r="B221" s="1" t="n">
        <v>44410</v>
      </c>
      <c r="C221" s="1" t="n">
        <v>45904</v>
      </c>
      <c r="D221" t="inlineStr">
        <is>
          <t>KALMAR LÄN</t>
        </is>
      </c>
      <c r="E221" t="inlineStr">
        <is>
          <t>VIMMERBY</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4122-2022</t>
        </is>
      </c>
      <c r="B222" s="1" t="n">
        <v>44588</v>
      </c>
      <c r="C222" s="1" t="n">
        <v>45904</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31382-2023</t>
        </is>
      </c>
      <c r="B223" s="1" t="n">
        <v>45114.55136574074</v>
      </c>
      <c r="C223" s="1" t="n">
        <v>45904</v>
      </c>
      <c r="D223" t="inlineStr">
        <is>
          <t>KALMAR LÄN</t>
        </is>
      </c>
      <c r="E223" t="inlineStr">
        <is>
          <t>VIMMERBY</t>
        </is>
      </c>
      <c r="G223" t="n">
        <v>3.7</v>
      </c>
      <c r="H223" t="n">
        <v>0</v>
      </c>
      <c r="I223" t="n">
        <v>0</v>
      </c>
      <c r="J223" t="n">
        <v>0</v>
      </c>
      <c r="K223" t="n">
        <v>0</v>
      </c>
      <c r="L223" t="n">
        <v>0</v>
      </c>
      <c r="M223" t="n">
        <v>0</v>
      </c>
      <c r="N223" t="n">
        <v>0</v>
      </c>
      <c r="O223" t="n">
        <v>0</v>
      </c>
      <c r="P223" t="n">
        <v>0</v>
      </c>
      <c r="Q223" t="n">
        <v>0</v>
      </c>
      <c r="R223" s="2" t="inlineStr"/>
    </row>
    <row r="224" ht="15" customHeight="1">
      <c r="A224" t="inlineStr">
        <is>
          <t>A 19502-2025</t>
        </is>
      </c>
      <c r="B224" s="1" t="n">
        <v>45769</v>
      </c>
      <c r="C224" s="1" t="n">
        <v>45904</v>
      </c>
      <c r="D224" t="inlineStr">
        <is>
          <t>KALMAR LÄN</t>
        </is>
      </c>
      <c r="E224" t="inlineStr">
        <is>
          <t>VIMMERBY</t>
        </is>
      </c>
      <c r="G224" t="n">
        <v>1.9</v>
      </c>
      <c r="H224" t="n">
        <v>0</v>
      </c>
      <c r="I224" t="n">
        <v>0</v>
      </c>
      <c r="J224" t="n">
        <v>0</v>
      </c>
      <c r="K224" t="n">
        <v>0</v>
      </c>
      <c r="L224" t="n">
        <v>0</v>
      </c>
      <c r="M224" t="n">
        <v>0</v>
      </c>
      <c r="N224" t="n">
        <v>0</v>
      </c>
      <c r="O224" t="n">
        <v>0</v>
      </c>
      <c r="P224" t="n">
        <v>0</v>
      </c>
      <c r="Q224" t="n">
        <v>0</v>
      </c>
      <c r="R224" s="2" t="inlineStr"/>
    </row>
    <row r="225" ht="15" customHeight="1">
      <c r="A225" t="inlineStr">
        <is>
          <t>A 56213-2024</t>
        </is>
      </c>
      <c r="B225" s="1" t="n">
        <v>45624.60141203704</v>
      </c>
      <c r="C225" s="1" t="n">
        <v>45904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58374-2024</t>
        </is>
      </c>
      <c r="B226" s="1" t="n">
        <v>45632.72635416667</v>
      </c>
      <c r="C226" s="1" t="n">
        <v>45904</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54409-2024</t>
        </is>
      </c>
      <c r="B227" s="1" t="n">
        <v>45617.47570601852</v>
      </c>
      <c r="C227" s="1" t="n">
        <v>45904</v>
      </c>
      <c r="D227" t="inlineStr">
        <is>
          <t>KALMAR LÄN</t>
        </is>
      </c>
      <c r="E227" t="inlineStr">
        <is>
          <t>VIMMERBY</t>
        </is>
      </c>
      <c r="G227" t="n">
        <v>4.3</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45904</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29020-2024</t>
        </is>
      </c>
      <c r="B229" s="1" t="n">
        <v>45481.58048611111</v>
      </c>
      <c r="C229" s="1" t="n">
        <v>45904</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30406-2023</t>
        </is>
      </c>
      <c r="B230" s="1" t="n">
        <v>45111.48787037037</v>
      </c>
      <c r="C230" s="1" t="n">
        <v>45904</v>
      </c>
      <c r="D230" t="inlineStr">
        <is>
          <t>KALMAR LÄN</t>
        </is>
      </c>
      <c r="E230" t="inlineStr">
        <is>
          <t>VIMMERBY</t>
        </is>
      </c>
      <c r="G230" t="n">
        <v>2.4</v>
      </c>
      <c r="H230" t="n">
        <v>0</v>
      </c>
      <c r="I230" t="n">
        <v>0</v>
      </c>
      <c r="J230" t="n">
        <v>0</v>
      </c>
      <c r="K230" t="n">
        <v>0</v>
      </c>
      <c r="L230" t="n">
        <v>0</v>
      </c>
      <c r="M230" t="n">
        <v>0</v>
      </c>
      <c r="N230" t="n">
        <v>0</v>
      </c>
      <c r="O230" t="n">
        <v>0</v>
      </c>
      <c r="P230" t="n">
        <v>0</v>
      </c>
      <c r="Q230" t="n">
        <v>0</v>
      </c>
      <c r="R230" s="2" t="inlineStr"/>
    </row>
    <row r="231" ht="15" customHeight="1">
      <c r="A231" t="inlineStr">
        <is>
          <t>A 13817-2024</t>
        </is>
      </c>
      <c r="B231" s="1" t="n">
        <v>45391.41976851852</v>
      </c>
      <c r="C231" s="1" t="n">
        <v>45904</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59768-2024</t>
        </is>
      </c>
      <c r="B232" s="1" t="n">
        <v>45639.56185185185</v>
      </c>
      <c r="C232" s="1" t="n">
        <v>45904</v>
      </c>
      <c r="D232" t="inlineStr">
        <is>
          <t>KALMAR LÄN</t>
        </is>
      </c>
      <c r="E232" t="inlineStr">
        <is>
          <t>VIMMERBY</t>
        </is>
      </c>
      <c r="G232" t="n">
        <v>5.9</v>
      </c>
      <c r="H232" t="n">
        <v>0</v>
      </c>
      <c r="I232" t="n">
        <v>0</v>
      </c>
      <c r="J232" t="n">
        <v>0</v>
      </c>
      <c r="K232" t="n">
        <v>0</v>
      </c>
      <c r="L232" t="n">
        <v>0</v>
      </c>
      <c r="M232" t="n">
        <v>0</v>
      </c>
      <c r="N232" t="n">
        <v>0</v>
      </c>
      <c r="O232" t="n">
        <v>0</v>
      </c>
      <c r="P232" t="n">
        <v>0</v>
      </c>
      <c r="Q232" t="n">
        <v>0</v>
      </c>
      <c r="R232" s="2" t="inlineStr"/>
    </row>
    <row r="233" ht="15" customHeight="1">
      <c r="A233" t="inlineStr">
        <is>
          <t>A 7643-2022</t>
        </is>
      </c>
      <c r="B233" s="1" t="n">
        <v>44607</v>
      </c>
      <c r="C233" s="1" t="n">
        <v>45904</v>
      </c>
      <c r="D233" t="inlineStr">
        <is>
          <t>KALMAR LÄN</t>
        </is>
      </c>
      <c r="E233" t="inlineStr">
        <is>
          <t>VIMMERBY</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36526-2023</t>
        </is>
      </c>
      <c r="B234" s="1" t="n">
        <v>45153.32778935185</v>
      </c>
      <c r="C234" s="1" t="n">
        <v>45904</v>
      </c>
      <c r="D234" t="inlineStr">
        <is>
          <t>KALMAR LÄN</t>
        </is>
      </c>
      <c r="E234" t="inlineStr">
        <is>
          <t>VIMMERBY</t>
        </is>
      </c>
      <c r="G234" t="n">
        <v>2.7</v>
      </c>
      <c r="H234" t="n">
        <v>0</v>
      </c>
      <c r="I234" t="n">
        <v>0</v>
      </c>
      <c r="J234" t="n">
        <v>0</v>
      </c>
      <c r="K234" t="n">
        <v>0</v>
      </c>
      <c r="L234" t="n">
        <v>0</v>
      </c>
      <c r="M234" t="n">
        <v>0</v>
      </c>
      <c r="N234" t="n">
        <v>0</v>
      </c>
      <c r="O234" t="n">
        <v>0</v>
      </c>
      <c r="P234" t="n">
        <v>0</v>
      </c>
      <c r="Q234" t="n">
        <v>0</v>
      </c>
      <c r="R234" s="2" t="inlineStr"/>
    </row>
    <row r="235" ht="15" customHeight="1">
      <c r="A235" t="inlineStr">
        <is>
          <t>A 11027-2023</t>
        </is>
      </c>
      <c r="B235" s="1" t="n">
        <v>44991.89657407408</v>
      </c>
      <c r="C235" s="1" t="n">
        <v>45904</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30402-2023</t>
        </is>
      </c>
      <c r="B236" s="1" t="n">
        <v>45111.48395833333</v>
      </c>
      <c r="C236" s="1" t="n">
        <v>45904</v>
      </c>
      <c r="D236" t="inlineStr">
        <is>
          <t>KALMAR LÄN</t>
        </is>
      </c>
      <c r="E236" t="inlineStr">
        <is>
          <t>VIMMERBY</t>
        </is>
      </c>
      <c r="G236" t="n">
        <v>0.7</v>
      </c>
      <c r="H236" t="n">
        <v>0</v>
      </c>
      <c r="I236" t="n">
        <v>0</v>
      </c>
      <c r="J236" t="n">
        <v>0</v>
      </c>
      <c r="K236" t="n">
        <v>0</v>
      </c>
      <c r="L236" t="n">
        <v>0</v>
      </c>
      <c r="M236" t="n">
        <v>0</v>
      </c>
      <c r="N236" t="n">
        <v>0</v>
      </c>
      <c r="O236" t="n">
        <v>0</v>
      </c>
      <c r="P236" t="n">
        <v>0</v>
      </c>
      <c r="Q236" t="n">
        <v>0</v>
      </c>
      <c r="R236" s="2" t="inlineStr"/>
    </row>
    <row r="237" ht="15" customHeight="1">
      <c r="A237" t="inlineStr">
        <is>
          <t>A 53483-2022</t>
        </is>
      </c>
      <c r="B237" s="1" t="n">
        <v>44879.55940972222</v>
      </c>
      <c r="C237" s="1" t="n">
        <v>45904</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18899-2025</t>
        </is>
      </c>
      <c r="B238" s="1" t="n">
        <v>45764.44931712963</v>
      </c>
      <c r="C238" s="1" t="n">
        <v>45904</v>
      </c>
      <c r="D238" t="inlineStr">
        <is>
          <t>KALMAR LÄN</t>
        </is>
      </c>
      <c r="E238" t="inlineStr">
        <is>
          <t>VIMMERBY</t>
        </is>
      </c>
      <c r="F238" t="inlineStr">
        <is>
          <t>Kommuner</t>
        </is>
      </c>
      <c r="G238" t="n">
        <v>4</v>
      </c>
      <c r="H238" t="n">
        <v>0</v>
      </c>
      <c r="I238" t="n">
        <v>0</v>
      </c>
      <c r="J238" t="n">
        <v>0</v>
      </c>
      <c r="K238" t="n">
        <v>0</v>
      </c>
      <c r="L238" t="n">
        <v>0</v>
      </c>
      <c r="M238" t="n">
        <v>0</v>
      </c>
      <c r="N238" t="n">
        <v>0</v>
      </c>
      <c r="O238" t="n">
        <v>0</v>
      </c>
      <c r="P238" t="n">
        <v>0</v>
      </c>
      <c r="Q238" t="n">
        <v>0</v>
      </c>
      <c r="R238" s="2" t="inlineStr"/>
    </row>
    <row r="239" ht="15" customHeight="1">
      <c r="A239" t="inlineStr">
        <is>
          <t>A 20054-2023</t>
        </is>
      </c>
      <c r="B239" s="1" t="n">
        <v>45054.6750462963</v>
      </c>
      <c r="C239" s="1" t="n">
        <v>45904</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58962-2022</t>
        </is>
      </c>
      <c r="B240" s="1" t="n">
        <v>44903</v>
      </c>
      <c r="C240" s="1" t="n">
        <v>45904</v>
      </c>
      <c r="D240" t="inlineStr">
        <is>
          <t>KALMAR LÄN</t>
        </is>
      </c>
      <c r="E240" t="inlineStr">
        <is>
          <t>VIMMERBY</t>
        </is>
      </c>
      <c r="G240" t="n">
        <v>1.1</v>
      </c>
      <c r="H240" t="n">
        <v>0</v>
      </c>
      <c r="I240" t="n">
        <v>0</v>
      </c>
      <c r="J240" t="n">
        <v>0</v>
      </c>
      <c r="K240" t="n">
        <v>0</v>
      </c>
      <c r="L240" t="n">
        <v>0</v>
      </c>
      <c r="M240" t="n">
        <v>0</v>
      </c>
      <c r="N240" t="n">
        <v>0</v>
      </c>
      <c r="O240" t="n">
        <v>0</v>
      </c>
      <c r="P240" t="n">
        <v>0</v>
      </c>
      <c r="Q240" t="n">
        <v>0</v>
      </c>
      <c r="R240" s="2" t="inlineStr"/>
    </row>
    <row r="241" ht="15" customHeight="1">
      <c r="A241" t="inlineStr">
        <is>
          <t>A 10837-2023</t>
        </is>
      </c>
      <c r="B241" s="1" t="n">
        <v>44991.30547453704</v>
      </c>
      <c r="C241" s="1" t="n">
        <v>45904</v>
      </c>
      <c r="D241" t="inlineStr">
        <is>
          <t>KALMAR LÄN</t>
        </is>
      </c>
      <c r="E241" t="inlineStr">
        <is>
          <t>VIMMERBY</t>
        </is>
      </c>
      <c r="G241" t="n">
        <v>7.3</v>
      </c>
      <c r="H241" t="n">
        <v>0</v>
      </c>
      <c r="I241" t="n">
        <v>0</v>
      </c>
      <c r="J241" t="n">
        <v>0</v>
      </c>
      <c r="K241" t="n">
        <v>0</v>
      </c>
      <c r="L241" t="n">
        <v>0</v>
      </c>
      <c r="M241" t="n">
        <v>0</v>
      </c>
      <c r="N241" t="n">
        <v>0</v>
      </c>
      <c r="O241" t="n">
        <v>0</v>
      </c>
      <c r="P241" t="n">
        <v>0</v>
      </c>
      <c r="Q241" t="n">
        <v>0</v>
      </c>
      <c r="R241" s="2" t="inlineStr"/>
    </row>
    <row r="242" ht="15" customHeight="1">
      <c r="A242" t="inlineStr">
        <is>
          <t>A 10838-2023</t>
        </is>
      </c>
      <c r="B242" s="1" t="n">
        <v>44991</v>
      </c>
      <c r="C242" s="1" t="n">
        <v>45904</v>
      </c>
      <c r="D242" t="inlineStr">
        <is>
          <t>KALMAR LÄN</t>
        </is>
      </c>
      <c r="E242" t="inlineStr">
        <is>
          <t>VIMMERBY</t>
        </is>
      </c>
      <c r="G242" t="n">
        <v>5.1</v>
      </c>
      <c r="H242" t="n">
        <v>0</v>
      </c>
      <c r="I242" t="n">
        <v>0</v>
      </c>
      <c r="J242" t="n">
        <v>0</v>
      </c>
      <c r="K242" t="n">
        <v>0</v>
      </c>
      <c r="L242" t="n">
        <v>0</v>
      </c>
      <c r="M242" t="n">
        <v>0</v>
      </c>
      <c r="N242" t="n">
        <v>0</v>
      </c>
      <c r="O242" t="n">
        <v>0</v>
      </c>
      <c r="P242" t="n">
        <v>0</v>
      </c>
      <c r="Q242" t="n">
        <v>0</v>
      </c>
      <c r="R242" s="2" t="inlineStr"/>
    </row>
    <row r="243" ht="15" customHeight="1">
      <c r="A243" t="inlineStr">
        <is>
          <t>A 58728-2024</t>
        </is>
      </c>
      <c r="B243" s="1" t="n">
        <v>45635.66695601852</v>
      </c>
      <c r="C243" s="1" t="n">
        <v>45904</v>
      </c>
      <c r="D243" t="inlineStr">
        <is>
          <t>KALMAR LÄN</t>
        </is>
      </c>
      <c r="E243" t="inlineStr">
        <is>
          <t>VIMMERBY</t>
        </is>
      </c>
      <c r="G243" t="n">
        <v>0.4</v>
      </c>
      <c r="H243" t="n">
        <v>0</v>
      </c>
      <c r="I243" t="n">
        <v>0</v>
      </c>
      <c r="J243" t="n">
        <v>0</v>
      </c>
      <c r="K243" t="n">
        <v>0</v>
      </c>
      <c r="L243" t="n">
        <v>0</v>
      </c>
      <c r="M243" t="n">
        <v>0</v>
      </c>
      <c r="N243" t="n">
        <v>0</v>
      </c>
      <c r="O243" t="n">
        <v>0</v>
      </c>
      <c r="P243" t="n">
        <v>0</v>
      </c>
      <c r="Q243" t="n">
        <v>0</v>
      </c>
      <c r="R243" s="2" t="inlineStr"/>
    </row>
    <row r="244" ht="15" customHeight="1">
      <c r="A244" t="inlineStr">
        <is>
          <t>A 11609-2023</t>
        </is>
      </c>
      <c r="B244" s="1" t="n">
        <v>44994.40635416667</v>
      </c>
      <c r="C244" s="1" t="n">
        <v>45904</v>
      </c>
      <c r="D244" t="inlineStr">
        <is>
          <t>KALMAR LÄN</t>
        </is>
      </c>
      <c r="E244" t="inlineStr">
        <is>
          <t>VIMMERBY</t>
        </is>
      </c>
      <c r="G244" t="n">
        <v>4.9</v>
      </c>
      <c r="H244" t="n">
        <v>0</v>
      </c>
      <c r="I244" t="n">
        <v>0</v>
      </c>
      <c r="J244" t="n">
        <v>0</v>
      </c>
      <c r="K244" t="n">
        <v>0</v>
      </c>
      <c r="L244" t="n">
        <v>0</v>
      </c>
      <c r="M244" t="n">
        <v>0</v>
      </c>
      <c r="N244" t="n">
        <v>0</v>
      </c>
      <c r="O244" t="n">
        <v>0</v>
      </c>
      <c r="P244" t="n">
        <v>0</v>
      </c>
      <c r="Q244" t="n">
        <v>0</v>
      </c>
      <c r="R244" s="2" t="inlineStr"/>
    </row>
    <row r="245" ht="15" customHeight="1">
      <c r="A245" t="inlineStr">
        <is>
          <t>A 49474-2023</t>
        </is>
      </c>
      <c r="B245" s="1" t="n">
        <v>45211.541875</v>
      </c>
      <c r="C245" s="1" t="n">
        <v>45904</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57682-2022</t>
        </is>
      </c>
      <c r="B246" s="1" t="n">
        <v>44890</v>
      </c>
      <c r="C246" s="1" t="n">
        <v>45904</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14220-2021</t>
        </is>
      </c>
      <c r="B247" s="1" t="n">
        <v>44278.54855324074</v>
      </c>
      <c r="C247" s="1" t="n">
        <v>45904</v>
      </c>
      <c r="D247" t="inlineStr">
        <is>
          <t>KALMAR LÄN</t>
        </is>
      </c>
      <c r="E247" t="inlineStr">
        <is>
          <t>VIMMERBY</t>
        </is>
      </c>
      <c r="G247" t="n">
        <v>0.3</v>
      </c>
      <c r="H247" t="n">
        <v>0</v>
      </c>
      <c r="I247" t="n">
        <v>0</v>
      </c>
      <c r="J247" t="n">
        <v>0</v>
      </c>
      <c r="K247" t="n">
        <v>0</v>
      </c>
      <c r="L247" t="n">
        <v>0</v>
      </c>
      <c r="M247" t="n">
        <v>0</v>
      </c>
      <c r="N247" t="n">
        <v>0</v>
      </c>
      <c r="O247" t="n">
        <v>0</v>
      </c>
      <c r="P247" t="n">
        <v>0</v>
      </c>
      <c r="Q247" t="n">
        <v>0</v>
      </c>
      <c r="R247" s="2" t="inlineStr"/>
    </row>
    <row r="248" ht="15" customHeight="1">
      <c r="A248" t="inlineStr">
        <is>
          <t>A 63950-2023</t>
        </is>
      </c>
      <c r="B248" s="1" t="n">
        <v>45278</v>
      </c>
      <c r="C248" s="1" t="n">
        <v>45904</v>
      </c>
      <c r="D248" t="inlineStr">
        <is>
          <t>KALMAR LÄN</t>
        </is>
      </c>
      <c r="E248" t="inlineStr">
        <is>
          <t>VIMMERBY</t>
        </is>
      </c>
      <c r="F248" t="inlineStr">
        <is>
          <t>Kyrkan</t>
        </is>
      </c>
      <c r="G248" t="n">
        <v>2.7</v>
      </c>
      <c r="H248" t="n">
        <v>0</v>
      </c>
      <c r="I248" t="n">
        <v>0</v>
      </c>
      <c r="J248" t="n">
        <v>0</v>
      </c>
      <c r="K248" t="n">
        <v>0</v>
      </c>
      <c r="L248" t="n">
        <v>0</v>
      </c>
      <c r="M248" t="n">
        <v>0</v>
      </c>
      <c r="N248" t="n">
        <v>0</v>
      </c>
      <c r="O248" t="n">
        <v>0</v>
      </c>
      <c r="P248" t="n">
        <v>0</v>
      </c>
      <c r="Q248" t="n">
        <v>0</v>
      </c>
      <c r="R248" s="2" t="inlineStr"/>
    </row>
    <row r="249" ht="15" customHeight="1">
      <c r="A249" t="inlineStr">
        <is>
          <t>A 13290-2025</t>
        </is>
      </c>
      <c r="B249" s="1" t="n">
        <v>45735.56751157407</v>
      </c>
      <c r="C249" s="1" t="n">
        <v>45904</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19162-2023</t>
        </is>
      </c>
      <c r="B250" s="1" t="n">
        <v>45048.59699074074</v>
      </c>
      <c r="C250" s="1" t="n">
        <v>45904</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16516-2023</t>
        </is>
      </c>
      <c r="B251" s="1" t="n">
        <v>45029</v>
      </c>
      <c r="C251" s="1" t="n">
        <v>45904</v>
      </c>
      <c r="D251" t="inlineStr">
        <is>
          <t>KALMAR LÄN</t>
        </is>
      </c>
      <c r="E251" t="inlineStr">
        <is>
          <t>VIMMERBY</t>
        </is>
      </c>
      <c r="G251" t="n">
        <v>4.3</v>
      </c>
      <c r="H251" t="n">
        <v>0</v>
      </c>
      <c r="I251" t="n">
        <v>0</v>
      </c>
      <c r="J251" t="n">
        <v>0</v>
      </c>
      <c r="K251" t="n">
        <v>0</v>
      </c>
      <c r="L251" t="n">
        <v>0</v>
      </c>
      <c r="M251" t="n">
        <v>0</v>
      </c>
      <c r="N251" t="n">
        <v>0</v>
      </c>
      <c r="O251" t="n">
        <v>0</v>
      </c>
      <c r="P251" t="n">
        <v>0</v>
      </c>
      <c r="Q251" t="n">
        <v>0</v>
      </c>
      <c r="R251" s="2" t="inlineStr"/>
    </row>
    <row r="252" ht="15" customHeight="1">
      <c r="A252" t="inlineStr">
        <is>
          <t>A 47842-2024</t>
        </is>
      </c>
      <c r="B252" s="1" t="n">
        <v>45588.65545138889</v>
      </c>
      <c r="C252" s="1" t="n">
        <v>45904</v>
      </c>
      <c r="D252" t="inlineStr">
        <is>
          <t>KALMAR LÄN</t>
        </is>
      </c>
      <c r="E252" t="inlineStr">
        <is>
          <t>VIMMERBY</t>
        </is>
      </c>
      <c r="G252" t="n">
        <v>2.4</v>
      </c>
      <c r="H252" t="n">
        <v>0</v>
      </c>
      <c r="I252" t="n">
        <v>0</v>
      </c>
      <c r="J252" t="n">
        <v>0</v>
      </c>
      <c r="K252" t="n">
        <v>0</v>
      </c>
      <c r="L252" t="n">
        <v>0</v>
      </c>
      <c r="M252" t="n">
        <v>0</v>
      </c>
      <c r="N252" t="n">
        <v>0</v>
      </c>
      <c r="O252" t="n">
        <v>0</v>
      </c>
      <c r="P252" t="n">
        <v>0</v>
      </c>
      <c r="Q252" t="n">
        <v>0</v>
      </c>
      <c r="R252" s="2" t="inlineStr"/>
    </row>
    <row r="253" ht="15" customHeight="1">
      <c r="A253" t="inlineStr">
        <is>
          <t>A 9475-2023</t>
        </is>
      </c>
      <c r="B253" s="1" t="n">
        <v>44981.58834490741</v>
      </c>
      <c r="C253" s="1" t="n">
        <v>45904</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6408-2025</t>
        </is>
      </c>
      <c r="B254" s="1" t="n">
        <v>45699.45671296296</v>
      </c>
      <c r="C254" s="1" t="n">
        <v>45904</v>
      </c>
      <c r="D254" t="inlineStr">
        <is>
          <t>KALMAR LÄN</t>
        </is>
      </c>
      <c r="E254" t="inlineStr">
        <is>
          <t>VIMMERBY</t>
        </is>
      </c>
      <c r="G254" t="n">
        <v>1</v>
      </c>
      <c r="H254" t="n">
        <v>0</v>
      </c>
      <c r="I254" t="n">
        <v>0</v>
      </c>
      <c r="J254" t="n">
        <v>0</v>
      </c>
      <c r="K254" t="n">
        <v>0</v>
      </c>
      <c r="L254" t="n">
        <v>0</v>
      </c>
      <c r="M254" t="n">
        <v>0</v>
      </c>
      <c r="N254" t="n">
        <v>0</v>
      </c>
      <c r="O254" t="n">
        <v>0</v>
      </c>
      <c r="P254" t="n">
        <v>0</v>
      </c>
      <c r="Q254" t="n">
        <v>0</v>
      </c>
      <c r="R254" s="2" t="inlineStr"/>
    </row>
    <row r="255" ht="15" customHeight="1">
      <c r="A255" t="inlineStr">
        <is>
          <t>A 25109-2023</t>
        </is>
      </c>
      <c r="B255" s="1" t="n">
        <v>45086</v>
      </c>
      <c r="C255" s="1" t="n">
        <v>45904</v>
      </c>
      <c r="D255" t="inlineStr">
        <is>
          <t>KALMAR LÄN</t>
        </is>
      </c>
      <c r="E255" t="inlineStr">
        <is>
          <t>VIMMERBY</t>
        </is>
      </c>
      <c r="G255" t="n">
        <v>1.5</v>
      </c>
      <c r="H255" t="n">
        <v>0</v>
      </c>
      <c r="I255" t="n">
        <v>0</v>
      </c>
      <c r="J255" t="n">
        <v>0</v>
      </c>
      <c r="K255" t="n">
        <v>0</v>
      </c>
      <c r="L255" t="n">
        <v>0</v>
      </c>
      <c r="M255" t="n">
        <v>0</v>
      </c>
      <c r="N255" t="n">
        <v>0</v>
      </c>
      <c r="O255" t="n">
        <v>0</v>
      </c>
      <c r="P255" t="n">
        <v>0</v>
      </c>
      <c r="Q255" t="n">
        <v>0</v>
      </c>
      <c r="R255" s="2" t="inlineStr"/>
    </row>
    <row r="256" ht="15" customHeight="1">
      <c r="A256" t="inlineStr">
        <is>
          <t>A 33380-2023</t>
        </is>
      </c>
      <c r="B256" s="1" t="n">
        <v>45128</v>
      </c>
      <c r="C256" s="1" t="n">
        <v>45904</v>
      </c>
      <c r="D256" t="inlineStr">
        <is>
          <t>KALMAR LÄN</t>
        </is>
      </c>
      <c r="E256" t="inlineStr">
        <is>
          <t>VIMMERBY</t>
        </is>
      </c>
      <c r="G256" t="n">
        <v>5.2</v>
      </c>
      <c r="H256" t="n">
        <v>0</v>
      </c>
      <c r="I256" t="n">
        <v>0</v>
      </c>
      <c r="J256" t="n">
        <v>0</v>
      </c>
      <c r="K256" t="n">
        <v>0</v>
      </c>
      <c r="L256" t="n">
        <v>0</v>
      </c>
      <c r="M256" t="n">
        <v>0</v>
      </c>
      <c r="N256" t="n">
        <v>0</v>
      </c>
      <c r="O256" t="n">
        <v>0</v>
      </c>
      <c r="P256" t="n">
        <v>0</v>
      </c>
      <c r="Q256" t="n">
        <v>0</v>
      </c>
      <c r="R256" s="2" t="inlineStr"/>
    </row>
    <row r="257" ht="15" customHeight="1">
      <c r="A257" t="inlineStr">
        <is>
          <t>A 11946-2025</t>
        </is>
      </c>
      <c r="B257" s="1" t="n">
        <v>45728.54832175926</v>
      </c>
      <c r="C257" s="1" t="n">
        <v>45904</v>
      </c>
      <c r="D257" t="inlineStr">
        <is>
          <t>KALMAR LÄN</t>
        </is>
      </c>
      <c r="E257" t="inlineStr">
        <is>
          <t>VIMMERBY</t>
        </is>
      </c>
      <c r="G257" t="n">
        <v>0.4</v>
      </c>
      <c r="H257" t="n">
        <v>0</v>
      </c>
      <c r="I257" t="n">
        <v>0</v>
      </c>
      <c r="J257" t="n">
        <v>0</v>
      </c>
      <c r="K257" t="n">
        <v>0</v>
      </c>
      <c r="L257" t="n">
        <v>0</v>
      </c>
      <c r="M257" t="n">
        <v>0</v>
      </c>
      <c r="N257" t="n">
        <v>0</v>
      </c>
      <c r="O257" t="n">
        <v>0</v>
      </c>
      <c r="P257" t="n">
        <v>0</v>
      </c>
      <c r="Q257" t="n">
        <v>0</v>
      </c>
      <c r="R257" s="2" t="inlineStr"/>
    </row>
    <row r="258" ht="15" customHeight="1">
      <c r="A258" t="inlineStr">
        <is>
          <t>A 19537-2022</t>
        </is>
      </c>
      <c r="B258" s="1" t="n">
        <v>44693.62822916666</v>
      </c>
      <c r="C258" s="1" t="n">
        <v>45904</v>
      </c>
      <c r="D258" t="inlineStr">
        <is>
          <t>KALMAR LÄN</t>
        </is>
      </c>
      <c r="E258" t="inlineStr">
        <is>
          <t>VIMMERBY</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32639-2023</t>
        </is>
      </c>
      <c r="B259" s="1" t="n">
        <v>45121.5965162037</v>
      </c>
      <c r="C259" s="1" t="n">
        <v>45904</v>
      </c>
      <c r="D259" t="inlineStr">
        <is>
          <t>KALMAR LÄN</t>
        </is>
      </c>
      <c r="E259" t="inlineStr">
        <is>
          <t>VIMMERBY</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32642-2023</t>
        </is>
      </c>
      <c r="B260" s="1" t="n">
        <v>45121.59954861111</v>
      </c>
      <c r="C260" s="1" t="n">
        <v>45904</v>
      </c>
      <c r="D260" t="inlineStr">
        <is>
          <t>KALMAR LÄN</t>
        </is>
      </c>
      <c r="E260" t="inlineStr">
        <is>
          <t>VIMMERBY</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32651-2023</t>
        </is>
      </c>
      <c r="B261" s="1" t="n">
        <v>45121.6096875</v>
      </c>
      <c r="C261" s="1" t="n">
        <v>45904</v>
      </c>
      <c r="D261" t="inlineStr">
        <is>
          <t>KALMAR LÄN</t>
        </is>
      </c>
      <c r="E261" t="inlineStr">
        <is>
          <t>VIMMERBY</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11928-2022</t>
        </is>
      </c>
      <c r="B262" s="1" t="n">
        <v>44635</v>
      </c>
      <c r="C262" s="1" t="n">
        <v>45904</v>
      </c>
      <c r="D262" t="inlineStr">
        <is>
          <t>KALMAR LÄN</t>
        </is>
      </c>
      <c r="E262" t="inlineStr">
        <is>
          <t>VIMMERBY</t>
        </is>
      </c>
      <c r="G262" t="n">
        <v>2.8</v>
      </c>
      <c r="H262" t="n">
        <v>0</v>
      </c>
      <c r="I262" t="n">
        <v>0</v>
      </c>
      <c r="J262" t="n">
        <v>0</v>
      </c>
      <c r="K262" t="n">
        <v>0</v>
      </c>
      <c r="L262" t="n">
        <v>0</v>
      </c>
      <c r="M262" t="n">
        <v>0</v>
      </c>
      <c r="N262" t="n">
        <v>0</v>
      </c>
      <c r="O262" t="n">
        <v>0</v>
      </c>
      <c r="P262" t="n">
        <v>0</v>
      </c>
      <c r="Q262" t="n">
        <v>0</v>
      </c>
      <c r="R262" s="2" t="inlineStr"/>
    </row>
    <row r="263" ht="15" customHeight="1">
      <c r="A263" t="inlineStr">
        <is>
          <t>A 60951-2023</t>
        </is>
      </c>
      <c r="B263" s="1" t="n">
        <v>45261.44914351852</v>
      </c>
      <c r="C263" s="1" t="n">
        <v>45904</v>
      </c>
      <c r="D263" t="inlineStr">
        <is>
          <t>KALMAR LÄN</t>
        </is>
      </c>
      <c r="E263" t="inlineStr">
        <is>
          <t>VIMMERBY</t>
        </is>
      </c>
      <c r="G263" t="n">
        <v>4.3</v>
      </c>
      <c r="H263" t="n">
        <v>0</v>
      </c>
      <c r="I263" t="n">
        <v>0</v>
      </c>
      <c r="J263" t="n">
        <v>0</v>
      </c>
      <c r="K263" t="n">
        <v>0</v>
      </c>
      <c r="L263" t="n">
        <v>0</v>
      </c>
      <c r="M263" t="n">
        <v>0</v>
      </c>
      <c r="N263" t="n">
        <v>0</v>
      </c>
      <c r="O263" t="n">
        <v>0</v>
      </c>
      <c r="P263" t="n">
        <v>0</v>
      </c>
      <c r="Q263" t="n">
        <v>0</v>
      </c>
      <c r="R263" s="2" t="inlineStr"/>
    </row>
    <row r="264" ht="15" customHeight="1">
      <c r="A264" t="inlineStr">
        <is>
          <t>A 60292-2022</t>
        </is>
      </c>
      <c r="B264" s="1" t="n">
        <v>44910.54231481482</v>
      </c>
      <c r="C264" s="1" t="n">
        <v>45904</v>
      </c>
      <c r="D264" t="inlineStr">
        <is>
          <t>KALMAR LÄN</t>
        </is>
      </c>
      <c r="E264" t="inlineStr">
        <is>
          <t>VIMMERBY</t>
        </is>
      </c>
      <c r="G264" t="n">
        <v>4.4</v>
      </c>
      <c r="H264" t="n">
        <v>0</v>
      </c>
      <c r="I264" t="n">
        <v>0</v>
      </c>
      <c r="J264" t="n">
        <v>0</v>
      </c>
      <c r="K264" t="n">
        <v>0</v>
      </c>
      <c r="L264" t="n">
        <v>0</v>
      </c>
      <c r="M264" t="n">
        <v>0</v>
      </c>
      <c r="N264" t="n">
        <v>0</v>
      </c>
      <c r="O264" t="n">
        <v>0</v>
      </c>
      <c r="P264" t="n">
        <v>0</v>
      </c>
      <c r="Q264" t="n">
        <v>0</v>
      </c>
      <c r="R264" s="2" t="inlineStr"/>
    </row>
    <row r="265" ht="15" customHeight="1">
      <c r="A265" t="inlineStr">
        <is>
          <t>A 22014-2025</t>
        </is>
      </c>
      <c r="B265" s="1" t="n">
        <v>45784.74996527778</v>
      </c>
      <c r="C265" s="1" t="n">
        <v>45904</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7485-2024</t>
        </is>
      </c>
      <c r="B266" s="1" t="n">
        <v>45346.67184027778</v>
      </c>
      <c r="C266" s="1" t="n">
        <v>45904</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12590-2025</t>
        </is>
      </c>
      <c r="B267" s="1" t="n">
        <v>45732.79925925926</v>
      </c>
      <c r="C267" s="1" t="n">
        <v>45904</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35710-2023</t>
        </is>
      </c>
      <c r="B268" s="1" t="n">
        <v>45147.67096064815</v>
      </c>
      <c r="C268" s="1" t="n">
        <v>45904</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52823-2024</t>
        </is>
      </c>
      <c r="B269" s="1" t="n">
        <v>45610.59094907407</v>
      </c>
      <c r="C269" s="1" t="n">
        <v>45904</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7068-2024</t>
        </is>
      </c>
      <c r="B270" s="1" t="n">
        <v>45343.68038194445</v>
      </c>
      <c r="C270" s="1" t="n">
        <v>45904</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11147-2023</t>
        </is>
      </c>
      <c r="B271" s="1" t="n">
        <v>44992</v>
      </c>
      <c r="C271" s="1" t="n">
        <v>45904</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46234-2024</t>
        </is>
      </c>
      <c r="B272" s="1" t="n">
        <v>45581.57958333333</v>
      </c>
      <c r="C272" s="1" t="n">
        <v>45904</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22398-2025</t>
        </is>
      </c>
      <c r="B273" s="1" t="n">
        <v>45786.52931712963</v>
      </c>
      <c r="C273" s="1" t="n">
        <v>45904</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22399-2025</t>
        </is>
      </c>
      <c r="B274" s="1" t="n">
        <v>45786.52996527778</v>
      </c>
      <c r="C274" s="1" t="n">
        <v>45904</v>
      </c>
      <c r="D274" t="inlineStr">
        <is>
          <t>KALMAR LÄN</t>
        </is>
      </c>
      <c r="E274" t="inlineStr">
        <is>
          <t>VIMMERBY</t>
        </is>
      </c>
      <c r="G274" t="n">
        <v>2.1</v>
      </c>
      <c r="H274" t="n">
        <v>0</v>
      </c>
      <c r="I274" t="n">
        <v>0</v>
      </c>
      <c r="J274" t="n">
        <v>0</v>
      </c>
      <c r="K274" t="n">
        <v>0</v>
      </c>
      <c r="L274" t="n">
        <v>0</v>
      </c>
      <c r="M274" t="n">
        <v>0</v>
      </c>
      <c r="N274" t="n">
        <v>0</v>
      </c>
      <c r="O274" t="n">
        <v>0</v>
      </c>
      <c r="P274" t="n">
        <v>0</v>
      </c>
      <c r="Q274" t="n">
        <v>0</v>
      </c>
      <c r="R274" s="2" t="inlineStr"/>
    </row>
    <row r="275" ht="15" customHeight="1">
      <c r="A275" t="inlineStr">
        <is>
          <t>A 19833-2023</t>
        </is>
      </c>
      <c r="B275" s="1" t="n">
        <v>45052</v>
      </c>
      <c r="C275" s="1" t="n">
        <v>45904</v>
      </c>
      <c r="D275" t="inlineStr">
        <is>
          <t>KALMAR LÄN</t>
        </is>
      </c>
      <c r="E275" t="inlineStr">
        <is>
          <t>VIMMERBY</t>
        </is>
      </c>
      <c r="G275" t="n">
        <v>6.7</v>
      </c>
      <c r="H275" t="n">
        <v>0</v>
      </c>
      <c r="I275" t="n">
        <v>0</v>
      </c>
      <c r="J275" t="n">
        <v>0</v>
      </c>
      <c r="K275" t="n">
        <v>0</v>
      </c>
      <c r="L275" t="n">
        <v>0</v>
      </c>
      <c r="M275" t="n">
        <v>0</v>
      </c>
      <c r="N275" t="n">
        <v>0</v>
      </c>
      <c r="O275" t="n">
        <v>0</v>
      </c>
      <c r="P275" t="n">
        <v>0</v>
      </c>
      <c r="Q275" t="n">
        <v>0</v>
      </c>
      <c r="R275" s="2" t="inlineStr"/>
    </row>
    <row r="276" ht="15" customHeight="1">
      <c r="A276" t="inlineStr">
        <is>
          <t>A 22397-2025</t>
        </is>
      </c>
      <c r="B276" s="1" t="n">
        <v>45786.52878472222</v>
      </c>
      <c r="C276" s="1" t="n">
        <v>45904</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37187-2024</t>
        </is>
      </c>
      <c r="B277" s="1" t="n">
        <v>45539.65212962963</v>
      </c>
      <c r="C277" s="1" t="n">
        <v>45904</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1021-2024</t>
        </is>
      </c>
      <c r="B278" s="1" t="n">
        <v>45301.67736111111</v>
      </c>
      <c r="C278" s="1" t="n">
        <v>45904</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25582-2024</t>
        </is>
      </c>
      <c r="B279" s="1" t="n">
        <v>45463</v>
      </c>
      <c r="C279" s="1" t="n">
        <v>45904</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72701-2021</t>
        </is>
      </c>
      <c r="B280" s="1" t="n">
        <v>44546</v>
      </c>
      <c r="C280" s="1" t="n">
        <v>45904</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14548-2024</t>
        </is>
      </c>
      <c r="B281" s="1" t="n">
        <v>45394.66887731481</v>
      </c>
      <c r="C281" s="1" t="n">
        <v>45904</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19111-2025</t>
        </is>
      </c>
      <c r="B282" s="1" t="n">
        <v>45768.65611111111</v>
      </c>
      <c r="C282" s="1" t="n">
        <v>45904</v>
      </c>
      <c r="D282" t="inlineStr">
        <is>
          <t>KALMAR LÄN</t>
        </is>
      </c>
      <c r="E282" t="inlineStr">
        <is>
          <t>VIMMERBY</t>
        </is>
      </c>
      <c r="G282" t="n">
        <v>6.2</v>
      </c>
      <c r="H282" t="n">
        <v>0</v>
      </c>
      <c r="I282" t="n">
        <v>0</v>
      </c>
      <c r="J282" t="n">
        <v>0</v>
      </c>
      <c r="K282" t="n">
        <v>0</v>
      </c>
      <c r="L282" t="n">
        <v>0</v>
      </c>
      <c r="M282" t="n">
        <v>0</v>
      </c>
      <c r="N282" t="n">
        <v>0</v>
      </c>
      <c r="O282" t="n">
        <v>0</v>
      </c>
      <c r="P282" t="n">
        <v>0</v>
      </c>
      <c r="Q282" t="n">
        <v>0</v>
      </c>
      <c r="R282" s="2" t="inlineStr"/>
    </row>
    <row r="283" ht="15" customHeight="1">
      <c r="A283" t="inlineStr">
        <is>
          <t>A 33374-2021</t>
        </is>
      </c>
      <c r="B283" s="1" t="n">
        <v>44377</v>
      </c>
      <c r="C283" s="1" t="n">
        <v>45904</v>
      </c>
      <c r="D283" t="inlineStr">
        <is>
          <t>KALMAR LÄN</t>
        </is>
      </c>
      <c r="E283" t="inlineStr">
        <is>
          <t>VIMMERBY</t>
        </is>
      </c>
      <c r="G283" t="n">
        <v>3.3</v>
      </c>
      <c r="H283" t="n">
        <v>0</v>
      </c>
      <c r="I283" t="n">
        <v>0</v>
      </c>
      <c r="J283" t="n">
        <v>0</v>
      </c>
      <c r="K283" t="n">
        <v>0</v>
      </c>
      <c r="L283" t="n">
        <v>0</v>
      </c>
      <c r="M283" t="n">
        <v>0</v>
      </c>
      <c r="N283" t="n">
        <v>0</v>
      </c>
      <c r="O283" t="n">
        <v>0</v>
      </c>
      <c r="P283" t="n">
        <v>0</v>
      </c>
      <c r="Q283" t="n">
        <v>0</v>
      </c>
      <c r="R283" s="2" t="inlineStr"/>
    </row>
    <row r="284" ht="15" customHeight="1">
      <c r="A284" t="inlineStr">
        <is>
          <t>A 10807-2024</t>
        </is>
      </c>
      <c r="B284" s="1" t="n">
        <v>45369.62780092593</v>
      </c>
      <c r="C284" s="1" t="n">
        <v>45904</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33359-2021</t>
        </is>
      </c>
      <c r="B285" s="1" t="n">
        <v>44377.49684027778</v>
      </c>
      <c r="C285" s="1" t="n">
        <v>45904</v>
      </c>
      <c r="D285" t="inlineStr">
        <is>
          <t>KALMAR LÄN</t>
        </is>
      </c>
      <c r="E285" t="inlineStr">
        <is>
          <t>VIMMERBY</t>
        </is>
      </c>
      <c r="F285" t="inlineStr">
        <is>
          <t>Kommuner</t>
        </is>
      </c>
      <c r="G285" t="n">
        <v>8</v>
      </c>
      <c r="H285" t="n">
        <v>0</v>
      </c>
      <c r="I285" t="n">
        <v>0</v>
      </c>
      <c r="J285" t="n">
        <v>0</v>
      </c>
      <c r="K285" t="n">
        <v>0</v>
      </c>
      <c r="L285" t="n">
        <v>0</v>
      </c>
      <c r="M285" t="n">
        <v>0</v>
      </c>
      <c r="N285" t="n">
        <v>0</v>
      </c>
      <c r="O285" t="n">
        <v>0</v>
      </c>
      <c r="P285" t="n">
        <v>0</v>
      </c>
      <c r="Q285" t="n">
        <v>0</v>
      </c>
      <c r="R285" s="2" t="inlineStr"/>
    </row>
    <row r="286" ht="15" customHeight="1">
      <c r="A286" t="inlineStr">
        <is>
          <t>A 57578-2024</t>
        </is>
      </c>
      <c r="B286" s="1" t="n">
        <v>45630.47564814815</v>
      </c>
      <c r="C286" s="1" t="n">
        <v>45904</v>
      </c>
      <c r="D286" t="inlineStr">
        <is>
          <t>KALMAR LÄN</t>
        </is>
      </c>
      <c r="E286" t="inlineStr">
        <is>
          <t>VIMMERBY</t>
        </is>
      </c>
      <c r="G286" t="n">
        <v>2.6</v>
      </c>
      <c r="H286" t="n">
        <v>0</v>
      </c>
      <c r="I286" t="n">
        <v>0</v>
      </c>
      <c r="J286" t="n">
        <v>0</v>
      </c>
      <c r="K286" t="n">
        <v>0</v>
      </c>
      <c r="L286" t="n">
        <v>0</v>
      </c>
      <c r="M286" t="n">
        <v>0</v>
      </c>
      <c r="N286" t="n">
        <v>0</v>
      </c>
      <c r="O286" t="n">
        <v>0</v>
      </c>
      <c r="P286" t="n">
        <v>0</v>
      </c>
      <c r="Q286" t="n">
        <v>0</v>
      </c>
      <c r="R286" s="2" t="inlineStr"/>
    </row>
    <row r="287" ht="15" customHeight="1">
      <c r="A287" t="inlineStr">
        <is>
          <t>A 34588-2024</t>
        </is>
      </c>
      <c r="B287" s="1" t="n">
        <v>45526.3865625</v>
      </c>
      <c r="C287" s="1" t="n">
        <v>45904</v>
      </c>
      <c r="D287" t="inlineStr">
        <is>
          <t>KALMAR LÄN</t>
        </is>
      </c>
      <c r="E287" t="inlineStr">
        <is>
          <t>VIMMERBY</t>
        </is>
      </c>
      <c r="F287" t="inlineStr">
        <is>
          <t>Övriga Aktiebolag</t>
        </is>
      </c>
      <c r="G287" t="n">
        <v>3.3</v>
      </c>
      <c r="H287" t="n">
        <v>0</v>
      </c>
      <c r="I287" t="n">
        <v>0</v>
      </c>
      <c r="J287" t="n">
        <v>0</v>
      </c>
      <c r="K287" t="n">
        <v>0</v>
      </c>
      <c r="L287" t="n">
        <v>0</v>
      </c>
      <c r="M287" t="n">
        <v>0</v>
      </c>
      <c r="N287" t="n">
        <v>0</v>
      </c>
      <c r="O287" t="n">
        <v>0</v>
      </c>
      <c r="P287" t="n">
        <v>0</v>
      </c>
      <c r="Q287" t="n">
        <v>0</v>
      </c>
      <c r="R287" s="2" t="inlineStr"/>
    </row>
    <row r="288" ht="15" customHeight="1">
      <c r="A288" t="inlineStr">
        <is>
          <t>A 17084-2025</t>
        </is>
      </c>
      <c r="B288" s="1" t="n">
        <v>45755.64450231481</v>
      </c>
      <c r="C288" s="1" t="n">
        <v>45904</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33161-2024</t>
        </is>
      </c>
      <c r="B289" s="1" t="n">
        <v>45518.40657407408</v>
      </c>
      <c r="C289" s="1" t="n">
        <v>45904</v>
      </c>
      <c r="D289" t="inlineStr">
        <is>
          <t>KALMAR LÄN</t>
        </is>
      </c>
      <c r="E289" t="inlineStr">
        <is>
          <t>VIMMERBY</t>
        </is>
      </c>
      <c r="G289" t="n">
        <v>4.7</v>
      </c>
      <c r="H289" t="n">
        <v>0</v>
      </c>
      <c r="I289" t="n">
        <v>0</v>
      </c>
      <c r="J289" t="n">
        <v>0</v>
      </c>
      <c r="K289" t="n">
        <v>0</v>
      </c>
      <c r="L289" t="n">
        <v>0</v>
      </c>
      <c r="M289" t="n">
        <v>0</v>
      </c>
      <c r="N289" t="n">
        <v>0</v>
      </c>
      <c r="O289" t="n">
        <v>0</v>
      </c>
      <c r="P289" t="n">
        <v>0</v>
      </c>
      <c r="Q289" t="n">
        <v>0</v>
      </c>
      <c r="R289" s="2" t="inlineStr"/>
    </row>
    <row r="290" ht="15" customHeight="1">
      <c r="A290" t="inlineStr">
        <is>
          <t>A 14359-2025</t>
        </is>
      </c>
      <c r="B290" s="1" t="n">
        <v>45741.37270833334</v>
      </c>
      <c r="C290" s="1" t="n">
        <v>45904</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6307-2025</t>
        </is>
      </c>
      <c r="B291" s="1" t="n">
        <v>45698.69016203703</v>
      </c>
      <c r="C291" s="1" t="n">
        <v>45904</v>
      </c>
      <c r="D291" t="inlineStr">
        <is>
          <t>KALMAR LÄN</t>
        </is>
      </c>
      <c r="E291" t="inlineStr">
        <is>
          <t>VIMMERBY</t>
        </is>
      </c>
      <c r="G291" t="n">
        <v>3</v>
      </c>
      <c r="H291" t="n">
        <v>0</v>
      </c>
      <c r="I291" t="n">
        <v>0</v>
      </c>
      <c r="J291" t="n">
        <v>0</v>
      </c>
      <c r="K291" t="n">
        <v>0</v>
      </c>
      <c r="L291" t="n">
        <v>0</v>
      </c>
      <c r="M291" t="n">
        <v>0</v>
      </c>
      <c r="N291" t="n">
        <v>0</v>
      </c>
      <c r="O291" t="n">
        <v>0</v>
      </c>
      <c r="P291" t="n">
        <v>0</v>
      </c>
      <c r="Q291" t="n">
        <v>0</v>
      </c>
      <c r="R291" s="2" t="inlineStr"/>
    </row>
    <row r="292" ht="15" customHeight="1">
      <c r="A292" t="inlineStr">
        <is>
          <t>A 11442-2025</t>
        </is>
      </c>
      <c r="B292" s="1" t="n">
        <v>45726.62721064815</v>
      </c>
      <c r="C292" s="1" t="n">
        <v>45904</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585-2024</t>
        </is>
      </c>
      <c r="B293" s="1" t="n">
        <v>45299.62576388889</v>
      </c>
      <c r="C293" s="1" t="n">
        <v>45904</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56020-2024</t>
        </is>
      </c>
      <c r="B294" s="1" t="n">
        <v>45623.9525462963</v>
      </c>
      <c r="C294" s="1" t="n">
        <v>45904</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23252-2024</t>
        </is>
      </c>
      <c r="B295" s="1" t="n">
        <v>45453.36067129629</v>
      </c>
      <c r="C295" s="1" t="n">
        <v>45904</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7075-2021</t>
        </is>
      </c>
      <c r="B296" s="1" t="n">
        <v>44237</v>
      </c>
      <c r="C296" s="1" t="n">
        <v>45904</v>
      </c>
      <c r="D296" t="inlineStr">
        <is>
          <t>KALMAR LÄN</t>
        </is>
      </c>
      <c r="E296" t="inlineStr">
        <is>
          <t>VIMMERBY</t>
        </is>
      </c>
      <c r="G296" t="n">
        <v>3.6</v>
      </c>
      <c r="H296" t="n">
        <v>0</v>
      </c>
      <c r="I296" t="n">
        <v>0</v>
      </c>
      <c r="J296" t="n">
        <v>0</v>
      </c>
      <c r="K296" t="n">
        <v>0</v>
      </c>
      <c r="L296" t="n">
        <v>0</v>
      </c>
      <c r="M296" t="n">
        <v>0</v>
      </c>
      <c r="N296" t="n">
        <v>0</v>
      </c>
      <c r="O296" t="n">
        <v>0</v>
      </c>
      <c r="P296" t="n">
        <v>0</v>
      </c>
      <c r="Q296" t="n">
        <v>0</v>
      </c>
      <c r="R296" s="2" t="inlineStr"/>
    </row>
    <row r="297" ht="15" customHeight="1">
      <c r="A297" t="inlineStr">
        <is>
          <t>A 15550-2023</t>
        </is>
      </c>
      <c r="B297" s="1" t="n">
        <v>45020</v>
      </c>
      <c r="C297" s="1" t="n">
        <v>45904</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55605-2024</t>
        </is>
      </c>
      <c r="B298" s="1" t="n">
        <v>45622</v>
      </c>
      <c r="C298" s="1" t="n">
        <v>45904</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44464-2024</t>
        </is>
      </c>
      <c r="B299" s="1" t="n">
        <v>45574.35809027778</v>
      </c>
      <c r="C299" s="1" t="n">
        <v>45904</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11219-2023</t>
        </is>
      </c>
      <c r="B300" s="1" t="n">
        <v>44992.62498842592</v>
      </c>
      <c r="C300" s="1" t="n">
        <v>45904</v>
      </c>
      <c r="D300" t="inlineStr">
        <is>
          <t>KALMAR LÄN</t>
        </is>
      </c>
      <c r="E300" t="inlineStr">
        <is>
          <t>VIMMERBY</t>
        </is>
      </c>
      <c r="G300" t="n">
        <v>2.5</v>
      </c>
      <c r="H300" t="n">
        <v>0</v>
      </c>
      <c r="I300" t="n">
        <v>0</v>
      </c>
      <c r="J300" t="n">
        <v>0</v>
      </c>
      <c r="K300" t="n">
        <v>0</v>
      </c>
      <c r="L300" t="n">
        <v>0</v>
      </c>
      <c r="M300" t="n">
        <v>0</v>
      </c>
      <c r="N300" t="n">
        <v>0</v>
      </c>
      <c r="O300" t="n">
        <v>0</v>
      </c>
      <c r="P300" t="n">
        <v>0</v>
      </c>
      <c r="Q300" t="n">
        <v>0</v>
      </c>
      <c r="R300" s="2" t="inlineStr"/>
    </row>
    <row r="301" ht="15" customHeight="1">
      <c r="A301" t="inlineStr">
        <is>
          <t>A 18411-2021</t>
        </is>
      </c>
      <c r="B301" s="1" t="n">
        <v>44302</v>
      </c>
      <c r="C301" s="1" t="n">
        <v>45904</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47855-2024</t>
        </is>
      </c>
      <c r="B302" s="1" t="n">
        <v>45588.66457175926</v>
      </c>
      <c r="C302" s="1" t="n">
        <v>45904</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36049-2024</t>
        </is>
      </c>
      <c r="B303" s="1" t="n">
        <v>45533.61996527778</v>
      </c>
      <c r="C303" s="1" t="n">
        <v>45904</v>
      </c>
      <c r="D303" t="inlineStr">
        <is>
          <t>KALMAR LÄN</t>
        </is>
      </c>
      <c r="E303" t="inlineStr">
        <is>
          <t>VIMMERBY</t>
        </is>
      </c>
      <c r="F303" t="inlineStr">
        <is>
          <t>Kommuner</t>
        </is>
      </c>
      <c r="G303" t="n">
        <v>2.6</v>
      </c>
      <c r="H303" t="n">
        <v>0</v>
      </c>
      <c r="I303" t="n">
        <v>0</v>
      </c>
      <c r="J303" t="n">
        <v>0</v>
      </c>
      <c r="K303" t="n">
        <v>0</v>
      </c>
      <c r="L303" t="n">
        <v>0</v>
      </c>
      <c r="M303" t="n">
        <v>0</v>
      </c>
      <c r="N303" t="n">
        <v>0</v>
      </c>
      <c r="O303" t="n">
        <v>0</v>
      </c>
      <c r="P303" t="n">
        <v>0</v>
      </c>
      <c r="Q303" t="n">
        <v>0</v>
      </c>
      <c r="R303" s="2" t="inlineStr"/>
    </row>
    <row r="304" ht="15" customHeight="1">
      <c r="A304" t="inlineStr">
        <is>
          <t>A 4297-2022</t>
        </is>
      </c>
      <c r="B304" s="1" t="n">
        <v>44588</v>
      </c>
      <c r="C304" s="1" t="n">
        <v>45904</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172-2022</t>
        </is>
      </c>
      <c r="B305" s="1" t="n">
        <v>44564.62598379629</v>
      </c>
      <c r="C305" s="1" t="n">
        <v>45904</v>
      </c>
      <c r="D305" t="inlineStr">
        <is>
          <t>KALMAR LÄN</t>
        </is>
      </c>
      <c r="E305" t="inlineStr">
        <is>
          <t>VIMMERBY</t>
        </is>
      </c>
      <c r="G305" t="n">
        <v>2.1</v>
      </c>
      <c r="H305" t="n">
        <v>0</v>
      </c>
      <c r="I305" t="n">
        <v>0</v>
      </c>
      <c r="J305" t="n">
        <v>0</v>
      </c>
      <c r="K305" t="n">
        <v>0</v>
      </c>
      <c r="L305" t="n">
        <v>0</v>
      </c>
      <c r="M305" t="n">
        <v>0</v>
      </c>
      <c r="N305" t="n">
        <v>0</v>
      </c>
      <c r="O305" t="n">
        <v>0</v>
      </c>
      <c r="P305" t="n">
        <v>0</v>
      </c>
      <c r="Q305" t="n">
        <v>0</v>
      </c>
      <c r="R305" s="2" t="inlineStr"/>
    </row>
    <row r="306" ht="15" customHeight="1">
      <c r="A306" t="inlineStr">
        <is>
          <t>A 39584-2024</t>
        </is>
      </c>
      <c r="B306" s="1" t="n">
        <v>45552.36759259259</v>
      </c>
      <c r="C306" s="1" t="n">
        <v>45904</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46399-2024</t>
        </is>
      </c>
      <c r="B307" s="1" t="n">
        <v>45582.41200231481</v>
      </c>
      <c r="C307" s="1" t="n">
        <v>45904</v>
      </c>
      <c r="D307" t="inlineStr">
        <is>
          <t>KALMAR LÄN</t>
        </is>
      </c>
      <c r="E307" t="inlineStr">
        <is>
          <t>VIMMERBY</t>
        </is>
      </c>
      <c r="G307" t="n">
        <v>4.6</v>
      </c>
      <c r="H307" t="n">
        <v>0</v>
      </c>
      <c r="I307" t="n">
        <v>0</v>
      </c>
      <c r="J307" t="n">
        <v>0</v>
      </c>
      <c r="K307" t="n">
        <v>0</v>
      </c>
      <c r="L307" t="n">
        <v>0</v>
      </c>
      <c r="M307" t="n">
        <v>0</v>
      </c>
      <c r="N307" t="n">
        <v>0</v>
      </c>
      <c r="O307" t="n">
        <v>0</v>
      </c>
      <c r="P307" t="n">
        <v>0</v>
      </c>
      <c r="Q307" t="n">
        <v>0</v>
      </c>
      <c r="R307" s="2" t="inlineStr"/>
    </row>
    <row r="308" ht="15" customHeight="1">
      <c r="A308" t="inlineStr">
        <is>
          <t>A 51881-2024</t>
        </is>
      </c>
      <c r="B308" s="1" t="n">
        <v>45607.56773148148</v>
      </c>
      <c r="C308" s="1" t="n">
        <v>45904</v>
      </c>
      <c r="D308" t="inlineStr">
        <is>
          <t>KALMAR LÄN</t>
        </is>
      </c>
      <c r="E308" t="inlineStr">
        <is>
          <t>VIMMERBY</t>
        </is>
      </c>
      <c r="G308" t="n">
        <v>3.4</v>
      </c>
      <c r="H308" t="n">
        <v>0</v>
      </c>
      <c r="I308" t="n">
        <v>0</v>
      </c>
      <c r="J308" t="n">
        <v>0</v>
      </c>
      <c r="K308" t="n">
        <v>0</v>
      </c>
      <c r="L308" t="n">
        <v>0</v>
      </c>
      <c r="M308" t="n">
        <v>0</v>
      </c>
      <c r="N308" t="n">
        <v>0</v>
      </c>
      <c r="O308" t="n">
        <v>0</v>
      </c>
      <c r="P308" t="n">
        <v>0</v>
      </c>
      <c r="Q308" t="n">
        <v>0</v>
      </c>
      <c r="R308" s="2" t="inlineStr"/>
    </row>
    <row r="309" ht="15" customHeight="1">
      <c r="A309" t="inlineStr">
        <is>
          <t>A 2596-2025</t>
        </is>
      </c>
      <c r="B309" s="1" t="n">
        <v>45674.71810185185</v>
      </c>
      <c r="C309" s="1" t="n">
        <v>45904</v>
      </c>
      <c r="D309" t="inlineStr">
        <is>
          <t>KALMAR LÄN</t>
        </is>
      </c>
      <c r="E309" t="inlineStr">
        <is>
          <t>VIMMERBY</t>
        </is>
      </c>
      <c r="G309" t="n">
        <v>9</v>
      </c>
      <c r="H309" t="n">
        <v>0</v>
      </c>
      <c r="I309" t="n">
        <v>0</v>
      </c>
      <c r="J309" t="n">
        <v>0</v>
      </c>
      <c r="K309" t="n">
        <v>0</v>
      </c>
      <c r="L309" t="n">
        <v>0</v>
      </c>
      <c r="M309" t="n">
        <v>0</v>
      </c>
      <c r="N309" t="n">
        <v>0</v>
      </c>
      <c r="O309" t="n">
        <v>0</v>
      </c>
      <c r="P309" t="n">
        <v>0</v>
      </c>
      <c r="Q309" t="n">
        <v>0</v>
      </c>
      <c r="R309" s="2" t="inlineStr"/>
    </row>
    <row r="310" ht="15" customHeight="1">
      <c r="A310" t="inlineStr">
        <is>
          <t>A 16734-2023</t>
        </is>
      </c>
      <c r="B310" s="1" t="n">
        <v>45030.71012731481</v>
      </c>
      <c r="C310" s="1" t="n">
        <v>45904</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23394-2025</t>
        </is>
      </c>
      <c r="B311" s="1" t="n">
        <v>45791.89865740741</v>
      </c>
      <c r="C311" s="1" t="n">
        <v>45904</v>
      </c>
      <c r="D311" t="inlineStr">
        <is>
          <t>KALMAR LÄN</t>
        </is>
      </c>
      <c r="E311" t="inlineStr">
        <is>
          <t>VIMMERBY</t>
        </is>
      </c>
      <c r="G311" t="n">
        <v>3.1</v>
      </c>
      <c r="H311" t="n">
        <v>0</v>
      </c>
      <c r="I311" t="n">
        <v>0</v>
      </c>
      <c r="J311" t="n">
        <v>0</v>
      </c>
      <c r="K311" t="n">
        <v>0</v>
      </c>
      <c r="L311" t="n">
        <v>0</v>
      </c>
      <c r="M311" t="n">
        <v>0</v>
      </c>
      <c r="N311" t="n">
        <v>0</v>
      </c>
      <c r="O311" t="n">
        <v>0</v>
      </c>
      <c r="P311" t="n">
        <v>0</v>
      </c>
      <c r="Q311" t="n">
        <v>0</v>
      </c>
      <c r="R311" s="2" t="inlineStr"/>
    </row>
    <row r="312" ht="15" customHeight="1">
      <c r="A312" t="inlineStr">
        <is>
          <t>A 20129-2024</t>
        </is>
      </c>
      <c r="B312" s="1" t="n">
        <v>45434.55831018519</v>
      </c>
      <c r="C312" s="1" t="n">
        <v>45904</v>
      </c>
      <c r="D312" t="inlineStr">
        <is>
          <t>KALMAR LÄN</t>
        </is>
      </c>
      <c r="E312" t="inlineStr">
        <is>
          <t>VIMMERBY</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20137-2024</t>
        </is>
      </c>
      <c r="B313" s="1" t="n">
        <v>45434.56398148148</v>
      </c>
      <c r="C313" s="1" t="n">
        <v>45904</v>
      </c>
      <c r="D313" t="inlineStr">
        <is>
          <t>KALMAR LÄN</t>
        </is>
      </c>
      <c r="E313" t="inlineStr">
        <is>
          <t>VIMMERBY</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7456-2024</t>
        </is>
      </c>
      <c r="B314" s="1" t="n">
        <v>45345.83557870371</v>
      </c>
      <c r="C314" s="1" t="n">
        <v>45904</v>
      </c>
      <c r="D314" t="inlineStr">
        <is>
          <t>KALMAR LÄN</t>
        </is>
      </c>
      <c r="E314" t="inlineStr">
        <is>
          <t>VIMMERBY</t>
        </is>
      </c>
      <c r="G314" t="n">
        <v>4.1</v>
      </c>
      <c r="H314" t="n">
        <v>0</v>
      </c>
      <c r="I314" t="n">
        <v>0</v>
      </c>
      <c r="J314" t="n">
        <v>0</v>
      </c>
      <c r="K314" t="n">
        <v>0</v>
      </c>
      <c r="L314" t="n">
        <v>0</v>
      </c>
      <c r="M314" t="n">
        <v>0</v>
      </c>
      <c r="N314" t="n">
        <v>0</v>
      </c>
      <c r="O314" t="n">
        <v>0</v>
      </c>
      <c r="P314" t="n">
        <v>0</v>
      </c>
      <c r="Q314" t="n">
        <v>0</v>
      </c>
      <c r="R314" s="2" t="inlineStr"/>
    </row>
    <row r="315" ht="15" customHeight="1">
      <c r="A315" t="inlineStr">
        <is>
          <t>A 13532-2025</t>
        </is>
      </c>
      <c r="B315" s="1" t="n">
        <v>45736.50743055555</v>
      </c>
      <c r="C315" s="1" t="n">
        <v>45904</v>
      </c>
      <c r="D315" t="inlineStr">
        <is>
          <t>KALMAR LÄN</t>
        </is>
      </c>
      <c r="E315" t="inlineStr">
        <is>
          <t>VIMMERBY</t>
        </is>
      </c>
      <c r="G315" t="n">
        <v>3.6</v>
      </c>
      <c r="H315" t="n">
        <v>0</v>
      </c>
      <c r="I315" t="n">
        <v>0</v>
      </c>
      <c r="J315" t="n">
        <v>0</v>
      </c>
      <c r="K315" t="n">
        <v>0</v>
      </c>
      <c r="L315" t="n">
        <v>0</v>
      </c>
      <c r="M315" t="n">
        <v>0</v>
      </c>
      <c r="N315" t="n">
        <v>0</v>
      </c>
      <c r="O315" t="n">
        <v>0</v>
      </c>
      <c r="P315" t="n">
        <v>0</v>
      </c>
      <c r="Q315" t="n">
        <v>0</v>
      </c>
      <c r="R315" s="2" t="inlineStr"/>
    </row>
    <row r="316" ht="15" customHeight="1">
      <c r="A316" t="inlineStr">
        <is>
          <t>A 43038-2022</t>
        </is>
      </c>
      <c r="B316" s="1" t="n">
        <v>44833.60123842592</v>
      </c>
      <c r="C316" s="1" t="n">
        <v>45904</v>
      </c>
      <c r="D316" t="inlineStr">
        <is>
          <t>KALMAR LÄN</t>
        </is>
      </c>
      <c r="E316" t="inlineStr">
        <is>
          <t>VIMMERBY</t>
        </is>
      </c>
      <c r="G316" t="n">
        <v>4.2</v>
      </c>
      <c r="H316" t="n">
        <v>0</v>
      </c>
      <c r="I316" t="n">
        <v>0</v>
      </c>
      <c r="J316" t="n">
        <v>0</v>
      </c>
      <c r="K316" t="n">
        <v>0</v>
      </c>
      <c r="L316" t="n">
        <v>0</v>
      </c>
      <c r="M316" t="n">
        <v>0</v>
      </c>
      <c r="N316" t="n">
        <v>0</v>
      </c>
      <c r="O316" t="n">
        <v>0</v>
      </c>
      <c r="P316" t="n">
        <v>0</v>
      </c>
      <c r="Q316" t="n">
        <v>0</v>
      </c>
      <c r="R316" s="2" t="inlineStr"/>
    </row>
    <row r="317" ht="15" customHeight="1">
      <c r="A317" t="inlineStr">
        <is>
          <t>A 52324-2023</t>
        </is>
      </c>
      <c r="B317" s="1" t="n">
        <v>45224.64659722222</v>
      </c>
      <c r="C317" s="1" t="n">
        <v>45904</v>
      </c>
      <c r="D317" t="inlineStr">
        <is>
          <t>KALMAR LÄN</t>
        </is>
      </c>
      <c r="E317" t="inlineStr">
        <is>
          <t>VIMMERBY</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12596-2021</t>
        </is>
      </c>
      <c r="B318" s="1" t="n">
        <v>44270.39765046296</v>
      </c>
      <c r="C318" s="1" t="n">
        <v>45904</v>
      </c>
      <c r="D318" t="inlineStr">
        <is>
          <t>KALMAR LÄN</t>
        </is>
      </c>
      <c r="E318" t="inlineStr">
        <is>
          <t>VIMMERBY</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17988-2025</t>
        </is>
      </c>
      <c r="B319" s="1" t="n">
        <v>45761.39600694444</v>
      </c>
      <c r="C319" s="1" t="n">
        <v>45904</v>
      </c>
      <c r="D319" t="inlineStr">
        <is>
          <t>KALMAR LÄN</t>
        </is>
      </c>
      <c r="E319" t="inlineStr">
        <is>
          <t>VIMMERBY</t>
        </is>
      </c>
      <c r="G319" t="n">
        <v>2.8</v>
      </c>
      <c r="H319" t="n">
        <v>0</v>
      </c>
      <c r="I319" t="n">
        <v>0</v>
      </c>
      <c r="J319" t="n">
        <v>0</v>
      </c>
      <c r="K319" t="n">
        <v>0</v>
      </c>
      <c r="L319" t="n">
        <v>0</v>
      </c>
      <c r="M319" t="n">
        <v>0</v>
      </c>
      <c r="N319" t="n">
        <v>0</v>
      </c>
      <c r="O319" t="n">
        <v>0</v>
      </c>
      <c r="P319" t="n">
        <v>0</v>
      </c>
      <c r="Q319" t="n">
        <v>0</v>
      </c>
      <c r="R319" s="2" t="inlineStr"/>
    </row>
    <row r="320" ht="15" customHeight="1">
      <c r="A320" t="inlineStr">
        <is>
          <t>A 23341-2022</t>
        </is>
      </c>
      <c r="B320" s="1" t="n">
        <v>44720.53898148148</v>
      </c>
      <c r="C320" s="1" t="n">
        <v>45904</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57799-2022</t>
        </is>
      </c>
      <c r="B321" s="1" t="n">
        <v>44897</v>
      </c>
      <c r="C321" s="1" t="n">
        <v>45904</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37028-2024</t>
        </is>
      </c>
      <c r="B322" s="1" t="n">
        <v>45539.38744212963</v>
      </c>
      <c r="C322" s="1" t="n">
        <v>45904</v>
      </c>
      <c r="D322" t="inlineStr">
        <is>
          <t>KALMAR LÄN</t>
        </is>
      </c>
      <c r="E322" t="inlineStr">
        <is>
          <t>VIMMERBY</t>
        </is>
      </c>
      <c r="G322" t="n">
        <v>5.2</v>
      </c>
      <c r="H322" t="n">
        <v>0</v>
      </c>
      <c r="I322" t="n">
        <v>0</v>
      </c>
      <c r="J322" t="n">
        <v>0</v>
      </c>
      <c r="K322" t="n">
        <v>0</v>
      </c>
      <c r="L322" t="n">
        <v>0</v>
      </c>
      <c r="M322" t="n">
        <v>0</v>
      </c>
      <c r="N322" t="n">
        <v>0</v>
      </c>
      <c r="O322" t="n">
        <v>0</v>
      </c>
      <c r="P322" t="n">
        <v>0</v>
      </c>
      <c r="Q322" t="n">
        <v>0</v>
      </c>
      <c r="R322" s="2" t="inlineStr"/>
    </row>
    <row r="323" ht="15" customHeight="1">
      <c r="A323" t="inlineStr">
        <is>
          <t>A 30921-2024</t>
        </is>
      </c>
      <c r="B323" s="1" t="n">
        <v>45498</v>
      </c>
      <c r="C323" s="1" t="n">
        <v>45904</v>
      </c>
      <c r="D323" t="inlineStr">
        <is>
          <t>KALMAR LÄN</t>
        </is>
      </c>
      <c r="E323" t="inlineStr">
        <is>
          <t>VIMMERBY</t>
        </is>
      </c>
      <c r="G323" t="n">
        <v>1.6</v>
      </c>
      <c r="H323" t="n">
        <v>0</v>
      </c>
      <c r="I323" t="n">
        <v>0</v>
      </c>
      <c r="J323" t="n">
        <v>0</v>
      </c>
      <c r="K323" t="n">
        <v>0</v>
      </c>
      <c r="L323" t="n">
        <v>0</v>
      </c>
      <c r="M323" t="n">
        <v>0</v>
      </c>
      <c r="N323" t="n">
        <v>0</v>
      </c>
      <c r="O323" t="n">
        <v>0</v>
      </c>
      <c r="P323" t="n">
        <v>0</v>
      </c>
      <c r="Q323" t="n">
        <v>0</v>
      </c>
      <c r="R323" s="2" t="inlineStr"/>
    </row>
    <row r="324" ht="15" customHeight="1">
      <c r="A324" t="inlineStr">
        <is>
          <t>A 23984-2025</t>
        </is>
      </c>
      <c r="B324" s="1" t="n">
        <v>45796</v>
      </c>
      <c r="C324" s="1" t="n">
        <v>45904</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6668-2023</t>
        </is>
      </c>
      <c r="B325" s="1" t="n">
        <v>44966</v>
      </c>
      <c r="C325" s="1" t="n">
        <v>45904</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29168-2024</t>
        </is>
      </c>
      <c r="B326" s="1" t="n">
        <v>45482.49870370371</v>
      </c>
      <c r="C326" s="1" t="n">
        <v>45904</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8086-2021</t>
        </is>
      </c>
      <c r="B327" s="1" t="n">
        <v>44243</v>
      </c>
      <c r="C327" s="1" t="n">
        <v>45904</v>
      </c>
      <c r="D327" t="inlineStr">
        <is>
          <t>KALMAR LÄN</t>
        </is>
      </c>
      <c r="E327" t="inlineStr">
        <is>
          <t>VIMMERBY</t>
        </is>
      </c>
      <c r="G327" t="n">
        <v>4.1</v>
      </c>
      <c r="H327" t="n">
        <v>0</v>
      </c>
      <c r="I327" t="n">
        <v>0</v>
      </c>
      <c r="J327" t="n">
        <v>0</v>
      </c>
      <c r="K327" t="n">
        <v>0</v>
      </c>
      <c r="L327" t="n">
        <v>0</v>
      </c>
      <c r="M327" t="n">
        <v>0</v>
      </c>
      <c r="N327" t="n">
        <v>0</v>
      </c>
      <c r="O327" t="n">
        <v>0</v>
      </c>
      <c r="P327" t="n">
        <v>0</v>
      </c>
      <c r="Q327" t="n">
        <v>0</v>
      </c>
      <c r="R327" s="2" t="inlineStr"/>
    </row>
    <row r="328" ht="15" customHeight="1">
      <c r="A328" t="inlineStr">
        <is>
          <t>A 55236-2023</t>
        </is>
      </c>
      <c r="B328" s="1" t="n">
        <v>45237.63225694445</v>
      </c>
      <c r="C328" s="1" t="n">
        <v>45904</v>
      </c>
      <c r="D328" t="inlineStr">
        <is>
          <t>KALMAR LÄN</t>
        </is>
      </c>
      <c r="E328" t="inlineStr">
        <is>
          <t>VIMMERBY</t>
        </is>
      </c>
      <c r="G328" t="n">
        <v>1.1</v>
      </c>
      <c r="H328" t="n">
        <v>0</v>
      </c>
      <c r="I328" t="n">
        <v>0</v>
      </c>
      <c r="J328" t="n">
        <v>0</v>
      </c>
      <c r="K328" t="n">
        <v>0</v>
      </c>
      <c r="L328" t="n">
        <v>0</v>
      </c>
      <c r="M328" t="n">
        <v>0</v>
      </c>
      <c r="N328" t="n">
        <v>0</v>
      </c>
      <c r="O328" t="n">
        <v>0</v>
      </c>
      <c r="P328" t="n">
        <v>0</v>
      </c>
      <c r="Q328" t="n">
        <v>0</v>
      </c>
      <c r="R328" s="2" t="inlineStr"/>
    </row>
    <row r="329" ht="15" customHeight="1">
      <c r="A329" t="inlineStr">
        <is>
          <t>A 55245-2023</t>
        </is>
      </c>
      <c r="B329" s="1" t="n">
        <v>45237.64408564815</v>
      </c>
      <c r="C329" s="1" t="n">
        <v>45904</v>
      </c>
      <c r="D329" t="inlineStr">
        <is>
          <t>KALMAR LÄN</t>
        </is>
      </c>
      <c r="E329" t="inlineStr">
        <is>
          <t>VIMMERBY</t>
        </is>
      </c>
      <c r="G329" t="n">
        <v>1.3</v>
      </c>
      <c r="H329" t="n">
        <v>0</v>
      </c>
      <c r="I329" t="n">
        <v>0</v>
      </c>
      <c r="J329" t="n">
        <v>0</v>
      </c>
      <c r="K329" t="n">
        <v>0</v>
      </c>
      <c r="L329" t="n">
        <v>0</v>
      </c>
      <c r="M329" t="n">
        <v>0</v>
      </c>
      <c r="N329" t="n">
        <v>0</v>
      </c>
      <c r="O329" t="n">
        <v>0</v>
      </c>
      <c r="P329" t="n">
        <v>0</v>
      </c>
      <c r="Q329" t="n">
        <v>0</v>
      </c>
      <c r="R329" s="2" t="inlineStr"/>
    </row>
    <row r="330" ht="15" customHeight="1">
      <c r="A330" t="inlineStr">
        <is>
          <t>A 36055-2024</t>
        </is>
      </c>
      <c r="B330" s="1" t="n">
        <v>45533.63056712963</v>
      </c>
      <c r="C330" s="1" t="n">
        <v>45904</v>
      </c>
      <c r="D330" t="inlineStr">
        <is>
          <t>KALMAR LÄN</t>
        </is>
      </c>
      <c r="E330" t="inlineStr">
        <is>
          <t>VIMMERBY</t>
        </is>
      </c>
      <c r="F330" t="inlineStr">
        <is>
          <t>Kommuner</t>
        </is>
      </c>
      <c r="G330" t="n">
        <v>1.9</v>
      </c>
      <c r="H330" t="n">
        <v>0</v>
      </c>
      <c r="I330" t="n">
        <v>0</v>
      </c>
      <c r="J330" t="n">
        <v>0</v>
      </c>
      <c r="K330" t="n">
        <v>0</v>
      </c>
      <c r="L330" t="n">
        <v>0</v>
      </c>
      <c r="M330" t="n">
        <v>0</v>
      </c>
      <c r="N330" t="n">
        <v>0</v>
      </c>
      <c r="O330" t="n">
        <v>0</v>
      </c>
      <c r="P330" t="n">
        <v>0</v>
      </c>
      <c r="Q330" t="n">
        <v>0</v>
      </c>
      <c r="R330" s="2" t="inlineStr"/>
    </row>
    <row r="331" ht="15" customHeight="1">
      <c r="A331" t="inlineStr">
        <is>
          <t>A 14137-2023</t>
        </is>
      </c>
      <c r="B331" s="1" t="n">
        <v>45009.4671875</v>
      </c>
      <c r="C331" s="1" t="n">
        <v>45904</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11152-2023</t>
        </is>
      </c>
      <c r="B332" s="1" t="n">
        <v>44992</v>
      </c>
      <c r="C332" s="1" t="n">
        <v>45904</v>
      </c>
      <c r="D332" t="inlineStr">
        <is>
          <t>KALMAR LÄN</t>
        </is>
      </c>
      <c r="E332" t="inlineStr">
        <is>
          <t>VIMMERBY</t>
        </is>
      </c>
      <c r="G332" t="n">
        <v>10.6</v>
      </c>
      <c r="H332" t="n">
        <v>0</v>
      </c>
      <c r="I332" t="n">
        <v>0</v>
      </c>
      <c r="J332" t="n">
        <v>0</v>
      </c>
      <c r="K332" t="n">
        <v>0</v>
      </c>
      <c r="L332" t="n">
        <v>0</v>
      </c>
      <c r="M332" t="n">
        <v>0</v>
      </c>
      <c r="N332" t="n">
        <v>0</v>
      </c>
      <c r="O332" t="n">
        <v>0</v>
      </c>
      <c r="P332" t="n">
        <v>0</v>
      </c>
      <c r="Q332" t="n">
        <v>0</v>
      </c>
      <c r="R332" s="2" t="inlineStr"/>
    </row>
    <row r="333" ht="15" customHeight="1">
      <c r="A333" t="inlineStr">
        <is>
          <t>A 35082-2024</t>
        </is>
      </c>
      <c r="B333" s="1" t="n">
        <v>45527.68784722222</v>
      </c>
      <c r="C333" s="1" t="n">
        <v>45904</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27443-2023</t>
        </is>
      </c>
      <c r="B334" s="1" t="n">
        <v>45097.40524305555</v>
      </c>
      <c r="C334" s="1" t="n">
        <v>45904</v>
      </c>
      <c r="D334" t="inlineStr">
        <is>
          <t>KALMAR LÄN</t>
        </is>
      </c>
      <c r="E334" t="inlineStr">
        <is>
          <t>VIMMERBY</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845-2023</t>
        </is>
      </c>
      <c r="B335" s="1" t="n">
        <v>44931</v>
      </c>
      <c r="C335" s="1" t="n">
        <v>45904</v>
      </c>
      <c r="D335" t="inlineStr">
        <is>
          <t>KALMAR LÄN</t>
        </is>
      </c>
      <c r="E335" t="inlineStr">
        <is>
          <t>VIMMERBY</t>
        </is>
      </c>
      <c r="F335" t="inlineStr">
        <is>
          <t>Övriga Aktiebolag</t>
        </is>
      </c>
      <c r="G335" t="n">
        <v>19</v>
      </c>
      <c r="H335" t="n">
        <v>0</v>
      </c>
      <c r="I335" t="n">
        <v>0</v>
      </c>
      <c r="J335" t="n">
        <v>0</v>
      </c>
      <c r="K335" t="n">
        <v>0</v>
      </c>
      <c r="L335" t="n">
        <v>0</v>
      </c>
      <c r="M335" t="n">
        <v>0</v>
      </c>
      <c r="N335" t="n">
        <v>0</v>
      </c>
      <c r="O335" t="n">
        <v>0</v>
      </c>
      <c r="P335" t="n">
        <v>0</v>
      </c>
      <c r="Q335" t="n">
        <v>0</v>
      </c>
      <c r="R335" s="2" t="inlineStr"/>
    </row>
    <row r="336" ht="15" customHeight="1">
      <c r="A336" t="inlineStr">
        <is>
          <t>A 12499-2023</t>
        </is>
      </c>
      <c r="B336" s="1" t="n">
        <v>44999.86172453704</v>
      </c>
      <c r="C336" s="1" t="n">
        <v>45904</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12500-2023</t>
        </is>
      </c>
      <c r="B337" s="1" t="n">
        <v>44999.8625</v>
      </c>
      <c r="C337" s="1" t="n">
        <v>45904</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35846-2023</t>
        </is>
      </c>
      <c r="B338" s="1" t="n">
        <v>45148</v>
      </c>
      <c r="C338" s="1" t="n">
        <v>45904</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49039-2021</t>
        </is>
      </c>
      <c r="B339" s="1" t="n">
        <v>44453.56578703703</v>
      </c>
      <c r="C339" s="1" t="n">
        <v>45904</v>
      </c>
      <c r="D339" t="inlineStr">
        <is>
          <t>KALMAR LÄN</t>
        </is>
      </c>
      <c r="E339" t="inlineStr">
        <is>
          <t>VIMMERBY</t>
        </is>
      </c>
      <c r="G339" t="n">
        <v>0.6</v>
      </c>
      <c r="H339" t="n">
        <v>0</v>
      </c>
      <c r="I339" t="n">
        <v>0</v>
      </c>
      <c r="J339" t="n">
        <v>0</v>
      </c>
      <c r="K339" t="n">
        <v>0</v>
      </c>
      <c r="L339" t="n">
        <v>0</v>
      </c>
      <c r="M339" t="n">
        <v>0</v>
      </c>
      <c r="N339" t="n">
        <v>0</v>
      </c>
      <c r="O339" t="n">
        <v>0</v>
      </c>
      <c r="P339" t="n">
        <v>0</v>
      </c>
      <c r="Q339" t="n">
        <v>0</v>
      </c>
      <c r="R339" s="2" t="inlineStr"/>
    </row>
    <row r="340" ht="15" customHeight="1">
      <c r="A340" t="inlineStr">
        <is>
          <t>A 51278-2024</t>
        </is>
      </c>
      <c r="B340" s="1" t="n">
        <v>45603.74959490741</v>
      </c>
      <c r="C340" s="1" t="n">
        <v>45904</v>
      </c>
      <c r="D340" t="inlineStr">
        <is>
          <t>KALMAR LÄN</t>
        </is>
      </c>
      <c r="E340" t="inlineStr">
        <is>
          <t>VIMMERBY</t>
        </is>
      </c>
      <c r="G340" t="n">
        <v>3.4</v>
      </c>
      <c r="H340" t="n">
        <v>0</v>
      </c>
      <c r="I340" t="n">
        <v>0</v>
      </c>
      <c r="J340" t="n">
        <v>0</v>
      </c>
      <c r="K340" t="n">
        <v>0</v>
      </c>
      <c r="L340" t="n">
        <v>0</v>
      </c>
      <c r="M340" t="n">
        <v>0</v>
      </c>
      <c r="N340" t="n">
        <v>0</v>
      </c>
      <c r="O340" t="n">
        <v>0</v>
      </c>
      <c r="P340" t="n">
        <v>0</v>
      </c>
      <c r="Q340" t="n">
        <v>0</v>
      </c>
      <c r="R340" s="2" t="inlineStr"/>
    </row>
    <row r="341" ht="15" customHeight="1">
      <c r="A341" t="inlineStr">
        <is>
          <t>A 9456-2025</t>
        </is>
      </c>
      <c r="B341" s="1" t="n">
        <v>45715.44159722222</v>
      </c>
      <c r="C341" s="1" t="n">
        <v>45904</v>
      </c>
      <c r="D341" t="inlineStr">
        <is>
          <t>KALMAR LÄN</t>
        </is>
      </c>
      <c r="E341" t="inlineStr">
        <is>
          <t>VIMMERBY</t>
        </is>
      </c>
      <c r="G341" t="n">
        <v>1.5</v>
      </c>
      <c r="H341" t="n">
        <v>0</v>
      </c>
      <c r="I341" t="n">
        <v>0</v>
      </c>
      <c r="J341" t="n">
        <v>0</v>
      </c>
      <c r="K341" t="n">
        <v>0</v>
      </c>
      <c r="L341" t="n">
        <v>0</v>
      </c>
      <c r="M341" t="n">
        <v>0</v>
      </c>
      <c r="N341" t="n">
        <v>0</v>
      </c>
      <c r="O341" t="n">
        <v>0</v>
      </c>
      <c r="P341" t="n">
        <v>0</v>
      </c>
      <c r="Q341" t="n">
        <v>0</v>
      </c>
      <c r="R341" s="2" t="inlineStr"/>
    </row>
    <row r="342" ht="15" customHeight="1">
      <c r="A342" t="inlineStr">
        <is>
          <t>A 11111-2023</t>
        </is>
      </c>
      <c r="B342" s="1" t="n">
        <v>44992.4255787037</v>
      </c>
      <c r="C342" s="1" t="n">
        <v>45904</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6321-2023</t>
        </is>
      </c>
      <c r="B343" s="1" t="n">
        <v>44965.4815162037</v>
      </c>
      <c r="C343" s="1" t="n">
        <v>45904</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4624-2024</t>
        </is>
      </c>
      <c r="B344" s="1" t="n">
        <v>45328.38755787037</v>
      </c>
      <c r="C344" s="1" t="n">
        <v>45904</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40730-2024</t>
        </is>
      </c>
      <c r="B345" s="1" t="n">
        <v>45558.44914351852</v>
      </c>
      <c r="C345" s="1" t="n">
        <v>45904</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2157-2024</t>
        </is>
      </c>
      <c r="B346" s="1" t="n">
        <v>45309.59487268519</v>
      </c>
      <c r="C346" s="1" t="n">
        <v>45904</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44582-2024</t>
        </is>
      </c>
      <c r="B347" s="1" t="n">
        <v>45574.49298611111</v>
      </c>
      <c r="C347" s="1" t="n">
        <v>45904</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46224-2024</t>
        </is>
      </c>
      <c r="B348" s="1" t="n">
        <v>45581.57016203704</v>
      </c>
      <c r="C348" s="1" t="n">
        <v>45904</v>
      </c>
      <c r="D348" t="inlineStr">
        <is>
          <t>KALMAR LÄN</t>
        </is>
      </c>
      <c r="E348" t="inlineStr">
        <is>
          <t>VIMMERBY</t>
        </is>
      </c>
      <c r="G348" t="n">
        <v>3.1</v>
      </c>
      <c r="H348" t="n">
        <v>0</v>
      </c>
      <c r="I348" t="n">
        <v>0</v>
      </c>
      <c r="J348" t="n">
        <v>0</v>
      </c>
      <c r="K348" t="n">
        <v>0</v>
      </c>
      <c r="L348" t="n">
        <v>0</v>
      </c>
      <c r="M348" t="n">
        <v>0</v>
      </c>
      <c r="N348" t="n">
        <v>0</v>
      </c>
      <c r="O348" t="n">
        <v>0</v>
      </c>
      <c r="P348" t="n">
        <v>0</v>
      </c>
      <c r="Q348" t="n">
        <v>0</v>
      </c>
      <c r="R348" s="2" t="inlineStr"/>
    </row>
    <row r="349" ht="15" customHeight="1">
      <c r="A349" t="inlineStr">
        <is>
          <t>A 46238-2024</t>
        </is>
      </c>
      <c r="B349" s="1" t="n">
        <v>45581.58418981481</v>
      </c>
      <c r="C349" s="1" t="n">
        <v>45904</v>
      </c>
      <c r="D349" t="inlineStr">
        <is>
          <t>KALMAR LÄN</t>
        </is>
      </c>
      <c r="E349" t="inlineStr">
        <is>
          <t>VIMMERBY</t>
        </is>
      </c>
      <c r="G349" t="n">
        <v>2.1</v>
      </c>
      <c r="H349" t="n">
        <v>0</v>
      </c>
      <c r="I349" t="n">
        <v>0</v>
      </c>
      <c r="J349" t="n">
        <v>0</v>
      </c>
      <c r="K349" t="n">
        <v>0</v>
      </c>
      <c r="L349" t="n">
        <v>0</v>
      </c>
      <c r="M349" t="n">
        <v>0</v>
      </c>
      <c r="N349" t="n">
        <v>0</v>
      </c>
      <c r="O349" t="n">
        <v>0</v>
      </c>
      <c r="P349" t="n">
        <v>0</v>
      </c>
      <c r="Q349" t="n">
        <v>0</v>
      </c>
      <c r="R349" s="2" t="inlineStr"/>
    </row>
    <row r="350" ht="15" customHeight="1">
      <c r="A350" t="inlineStr">
        <is>
          <t>A 49461-2022</t>
        </is>
      </c>
      <c r="B350" s="1" t="n">
        <v>44861</v>
      </c>
      <c r="C350" s="1" t="n">
        <v>45904</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694-2024</t>
        </is>
      </c>
      <c r="B351" s="1" t="n">
        <v>45300.3794212963</v>
      </c>
      <c r="C351" s="1" t="n">
        <v>45904</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30633-2024</t>
        </is>
      </c>
      <c r="B352" s="1" t="n">
        <v>45495</v>
      </c>
      <c r="C352" s="1" t="n">
        <v>45904</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54838-2024</t>
        </is>
      </c>
      <c r="B353" s="1" t="n">
        <v>45618.56787037037</v>
      </c>
      <c r="C353" s="1" t="n">
        <v>45904</v>
      </c>
      <c r="D353" t="inlineStr">
        <is>
          <t>KALMAR LÄN</t>
        </is>
      </c>
      <c r="E353" t="inlineStr">
        <is>
          <t>VIMMERBY</t>
        </is>
      </c>
      <c r="G353" t="n">
        <v>3.3</v>
      </c>
      <c r="H353" t="n">
        <v>0</v>
      </c>
      <c r="I353" t="n">
        <v>0</v>
      </c>
      <c r="J353" t="n">
        <v>0</v>
      </c>
      <c r="K353" t="n">
        <v>0</v>
      </c>
      <c r="L353" t="n">
        <v>0</v>
      </c>
      <c r="M353" t="n">
        <v>0</v>
      </c>
      <c r="N353" t="n">
        <v>0</v>
      </c>
      <c r="O353" t="n">
        <v>0</v>
      </c>
      <c r="P353" t="n">
        <v>0</v>
      </c>
      <c r="Q353" t="n">
        <v>0</v>
      </c>
      <c r="R353" s="2" t="inlineStr"/>
    </row>
    <row r="354" ht="15" customHeight="1">
      <c r="A354" t="inlineStr">
        <is>
          <t>A 15494-2024</t>
        </is>
      </c>
      <c r="B354" s="1" t="n">
        <v>45401.53033564815</v>
      </c>
      <c r="C354" s="1" t="n">
        <v>45904</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6405-2025</t>
        </is>
      </c>
      <c r="B355" s="1" t="n">
        <v>45699.45392361111</v>
      </c>
      <c r="C355" s="1" t="n">
        <v>45904</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59598-2023</t>
        </is>
      </c>
      <c r="B356" s="1" t="n">
        <v>45254.62489583333</v>
      </c>
      <c r="C356" s="1" t="n">
        <v>45904</v>
      </c>
      <c r="D356" t="inlineStr">
        <is>
          <t>KALMAR LÄN</t>
        </is>
      </c>
      <c r="E356" t="inlineStr">
        <is>
          <t>VIMMERBY</t>
        </is>
      </c>
      <c r="F356" t="inlineStr">
        <is>
          <t>Övriga Aktiebolag</t>
        </is>
      </c>
      <c r="G356" t="n">
        <v>4</v>
      </c>
      <c r="H356" t="n">
        <v>0</v>
      </c>
      <c r="I356" t="n">
        <v>0</v>
      </c>
      <c r="J356" t="n">
        <v>0</v>
      </c>
      <c r="K356" t="n">
        <v>0</v>
      </c>
      <c r="L356" t="n">
        <v>0</v>
      </c>
      <c r="M356" t="n">
        <v>0</v>
      </c>
      <c r="N356" t="n">
        <v>0</v>
      </c>
      <c r="O356" t="n">
        <v>0</v>
      </c>
      <c r="P356" t="n">
        <v>0</v>
      </c>
      <c r="Q356" t="n">
        <v>0</v>
      </c>
      <c r="R356" s="2" t="inlineStr"/>
    </row>
    <row r="357" ht="15" customHeight="1">
      <c r="A357" t="inlineStr">
        <is>
          <t>A 7944-2024</t>
        </is>
      </c>
      <c r="B357" s="1" t="n">
        <v>45350.53306712963</v>
      </c>
      <c r="C357" s="1" t="n">
        <v>45904</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21496-2023</t>
        </is>
      </c>
      <c r="B358" s="1" t="n">
        <v>45063.49936342592</v>
      </c>
      <c r="C358" s="1" t="n">
        <v>45904</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54917-2020</t>
        </is>
      </c>
      <c r="B359" s="1" t="n">
        <v>44127</v>
      </c>
      <c r="C359" s="1" t="n">
        <v>45904</v>
      </c>
      <c r="D359" t="inlineStr">
        <is>
          <t>KALMAR LÄN</t>
        </is>
      </c>
      <c r="E359" t="inlineStr">
        <is>
          <t>VIMMERBY</t>
        </is>
      </c>
      <c r="G359" t="n">
        <v>9.5</v>
      </c>
      <c r="H359" t="n">
        <v>0</v>
      </c>
      <c r="I359" t="n">
        <v>0</v>
      </c>
      <c r="J359" t="n">
        <v>0</v>
      </c>
      <c r="K359" t="n">
        <v>0</v>
      </c>
      <c r="L359" t="n">
        <v>0</v>
      </c>
      <c r="M359" t="n">
        <v>0</v>
      </c>
      <c r="N359" t="n">
        <v>0</v>
      </c>
      <c r="O359" t="n">
        <v>0</v>
      </c>
      <c r="P359" t="n">
        <v>0</v>
      </c>
      <c r="Q359" t="n">
        <v>0</v>
      </c>
      <c r="R359" s="2" t="inlineStr"/>
    </row>
    <row r="360" ht="15" customHeight="1">
      <c r="A360" t="inlineStr">
        <is>
          <t>A 60437-2023</t>
        </is>
      </c>
      <c r="B360" s="1" t="n">
        <v>45259.51916666667</v>
      </c>
      <c r="C360" s="1" t="n">
        <v>45904</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60438-2023</t>
        </is>
      </c>
      <c r="B361" s="1" t="n">
        <v>45259.52020833334</v>
      </c>
      <c r="C361" s="1" t="n">
        <v>45904</v>
      </c>
      <c r="D361" t="inlineStr">
        <is>
          <t>KALMAR LÄN</t>
        </is>
      </c>
      <c r="E361" t="inlineStr">
        <is>
          <t>VIMMERBY</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58724-2024</t>
        </is>
      </c>
      <c r="B362" s="1" t="n">
        <v>45635.66409722222</v>
      </c>
      <c r="C362" s="1" t="n">
        <v>45904</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42165-2024</t>
        </is>
      </c>
      <c r="B363" s="1" t="n">
        <v>45562.46342592593</v>
      </c>
      <c r="C363" s="1" t="n">
        <v>45904</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25792-2025</t>
        </is>
      </c>
      <c r="B364" s="1" t="n">
        <v>45804.39141203704</v>
      </c>
      <c r="C364" s="1" t="n">
        <v>45904</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26006-2025</t>
        </is>
      </c>
      <c r="B365" s="1" t="n">
        <v>45804.67065972222</v>
      </c>
      <c r="C365" s="1" t="n">
        <v>45904</v>
      </c>
      <c r="D365" t="inlineStr">
        <is>
          <t>KALMAR LÄN</t>
        </is>
      </c>
      <c r="E365" t="inlineStr">
        <is>
          <t>VIMMERBY</t>
        </is>
      </c>
      <c r="G365" t="n">
        <v>2.7</v>
      </c>
      <c r="H365" t="n">
        <v>0</v>
      </c>
      <c r="I365" t="n">
        <v>0</v>
      </c>
      <c r="J365" t="n">
        <v>0</v>
      </c>
      <c r="K365" t="n">
        <v>0</v>
      </c>
      <c r="L365" t="n">
        <v>0</v>
      </c>
      <c r="M365" t="n">
        <v>0</v>
      </c>
      <c r="N365" t="n">
        <v>0</v>
      </c>
      <c r="O365" t="n">
        <v>0</v>
      </c>
      <c r="P365" t="n">
        <v>0</v>
      </c>
      <c r="Q365" t="n">
        <v>0</v>
      </c>
      <c r="R365" s="2" t="inlineStr"/>
    </row>
    <row r="366" ht="15" customHeight="1">
      <c r="A366" t="inlineStr">
        <is>
          <t>A 26039-2025</t>
        </is>
      </c>
      <c r="B366" s="1" t="n">
        <v>45804.6953587963</v>
      </c>
      <c r="C366" s="1" t="n">
        <v>45904</v>
      </c>
      <c r="D366" t="inlineStr">
        <is>
          <t>KALMAR LÄN</t>
        </is>
      </c>
      <c r="E366" t="inlineStr">
        <is>
          <t>VIMMERBY</t>
        </is>
      </c>
      <c r="F366" t="inlineStr">
        <is>
          <t>Sveaskog</t>
        </is>
      </c>
      <c r="G366" t="n">
        <v>5.2</v>
      </c>
      <c r="H366" t="n">
        <v>0</v>
      </c>
      <c r="I366" t="n">
        <v>0</v>
      </c>
      <c r="J366" t="n">
        <v>0</v>
      </c>
      <c r="K366" t="n">
        <v>0</v>
      </c>
      <c r="L366" t="n">
        <v>0</v>
      </c>
      <c r="M366" t="n">
        <v>0</v>
      </c>
      <c r="N366" t="n">
        <v>0</v>
      </c>
      <c r="O366" t="n">
        <v>0</v>
      </c>
      <c r="P366" t="n">
        <v>0</v>
      </c>
      <c r="Q366" t="n">
        <v>0</v>
      </c>
      <c r="R366" s="2" t="inlineStr"/>
    </row>
    <row r="367" ht="15" customHeight="1">
      <c r="A367" t="inlineStr">
        <is>
          <t>A 29783-2024</t>
        </is>
      </c>
      <c r="B367" s="1" t="n">
        <v>45485.45778935185</v>
      </c>
      <c r="C367" s="1" t="n">
        <v>45904</v>
      </c>
      <c r="D367" t="inlineStr">
        <is>
          <t>KALMAR LÄN</t>
        </is>
      </c>
      <c r="E367" t="inlineStr">
        <is>
          <t>VIMMERBY</t>
        </is>
      </c>
      <c r="G367" t="n">
        <v>3.1</v>
      </c>
      <c r="H367" t="n">
        <v>0</v>
      </c>
      <c r="I367" t="n">
        <v>0</v>
      </c>
      <c r="J367" t="n">
        <v>0</v>
      </c>
      <c r="K367" t="n">
        <v>0</v>
      </c>
      <c r="L367" t="n">
        <v>0</v>
      </c>
      <c r="M367" t="n">
        <v>0</v>
      </c>
      <c r="N367" t="n">
        <v>0</v>
      </c>
      <c r="O367" t="n">
        <v>0</v>
      </c>
      <c r="P367" t="n">
        <v>0</v>
      </c>
      <c r="Q367" t="n">
        <v>0</v>
      </c>
      <c r="R367" s="2" t="inlineStr"/>
    </row>
    <row r="368" ht="15" customHeight="1">
      <c r="A368" t="inlineStr">
        <is>
          <t>A 15976-2025</t>
        </is>
      </c>
      <c r="B368" s="1" t="n">
        <v>45749.56196759259</v>
      </c>
      <c r="C368" s="1" t="n">
        <v>45904</v>
      </c>
      <c r="D368" t="inlineStr">
        <is>
          <t>KALMAR LÄN</t>
        </is>
      </c>
      <c r="E368" t="inlineStr">
        <is>
          <t>VIMMERBY</t>
        </is>
      </c>
      <c r="F368" t="inlineStr">
        <is>
          <t>Kommuner</t>
        </is>
      </c>
      <c r="G368" t="n">
        <v>2.5</v>
      </c>
      <c r="H368" t="n">
        <v>0</v>
      </c>
      <c r="I368" t="n">
        <v>0</v>
      </c>
      <c r="J368" t="n">
        <v>0</v>
      </c>
      <c r="K368" t="n">
        <v>0</v>
      </c>
      <c r="L368" t="n">
        <v>0</v>
      </c>
      <c r="M368" t="n">
        <v>0</v>
      </c>
      <c r="N368" t="n">
        <v>0</v>
      </c>
      <c r="O368" t="n">
        <v>0</v>
      </c>
      <c r="P368" t="n">
        <v>0</v>
      </c>
      <c r="Q368" t="n">
        <v>0</v>
      </c>
      <c r="R368" s="2" t="inlineStr"/>
    </row>
    <row r="369" ht="15" customHeight="1">
      <c r="A369" t="inlineStr">
        <is>
          <t>A 26046-2025</t>
        </is>
      </c>
      <c r="B369" s="1" t="n">
        <v>45804.708125</v>
      </c>
      <c r="C369" s="1" t="n">
        <v>45904</v>
      </c>
      <c r="D369" t="inlineStr">
        <is>
          <t>KALMAR LÄN</t>
        </is>
      </c>
      <c r="E369" t="inlineStr">
        <is>
          <t>VIMMERBY</t>
        </is>
      </c>
      <c r="F369" t="inlineStr">
        <is>
          <t>Sveaskog</t>
        </is>
      </c>
      <c r="G369" t="n">
        <v>5.1</v>
      </c>
      <c r="H369" t="n">
        <v>0</v>
      </c>
      <c r="I369" t="n">
        <v>0</v>
      </c>
      <c r="J369" t="n">
        <v>0</v>
      </c>
      <c r="K369" t="n">
        <v>0</v>
      </c>
      <c r="L369" t="n">
        <v>0</v>
      </c>
      <c r="M369" t="n">
        <v>0</v>
      </c>
      <c r="N369" t="n">
        <v>0</v>
      </c>
      <c r="O369" t="n">
        <v>0</v>
      </c>
      <c r="P369" t="n">
        <v>0</v>
      </c>
      <c r="Q369" t="n">
        <v>0</v>
      </c>
      <c r="R369" s="2" t="inlineStr"/>
    </row>
    <row r="370" ht="15" customHeight="1">
      <c r="A370" t="inlineStr">
        <is>
          <t>A 25244-2023</t>
        </is>
      </c>
      <c r="B370" s="1" t="n">
        <v>45086</v>
      </c>
      <c r="C370" s="1" t="n">
        <v>45904</v>
      </c>
      <c r="D370" t="inlineStr">
        <is>
          <t>KALMAR LÄN</t>
        </is>
      </c>
      <c r="E370" t="inlineStr">
        <is>
          <t>VIMMERBY</t>
        </is>
      </c>
      <c r="G370" t="n">
        <v>4.7</v>
      </c>
      <c r="H370" t="n">
        <v>0</v>
      </c>
      <c r="I370" t="n">
        <v>0</v>
      </c>
      <c r="J370" t="n">
        <v>0</v>
      </c>
      <c r="K370" t="n">
        <v>0</v>
      </c>
      <c r="L370" t="n">
        <v>0</v>
      </c>
      <c r="M370" t="n">
        <v>0</v>
      </c>
      <c r="N370" t="n">
        <v>0</v>
      </c>
      <c r="O370" t="n">
        <v>0</v>
      </c>
      <c r="P370" t="n">
        <v>0</v>
      </c>
      <c r="Q370" t="n">
        <v>0</v>
      </c>
      <c r="R370" s="2" t="inlineStr"/>
    </row>
    <row r="371" ht="15" customHeight="1">
      <c r="A371" t="inlineStr">
        <is>
          <t>A 35198-2023</t>
        </is>
      </c>
      <c r="B371" s="1" t="n">
        <v>45145</v>
      </c>
      <c r="C371" s="1" t="n">
        <v>45904</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26124-2025</t>
        </is>
      </c>
      <c r="B372" s="1" t="n">
        <v>45805.39247685186</v>
      </c>
      <c r="C372" s="1" t="n">
        <v>45904</v>
      </c>
      <c r="D372" t="inlineStr">
        <is>
          <t>KALMAR LÄN</t>
        </is>
      </c>
      <c r="E372" t="inlineStr">
        <is>
          <t>VIMMERBY</t>
        </is>
      </c>
      <c r="G372" t="n">
        <v>6.6</v>
      </c>
      <c r="H372" t="n">
        <v>0</v>
      </c>
      <c r="I372" t="n">
        <v>0</v>
      </c>
      <c r="J372" t="n">
        <v>0</v>
      </c>
      <c r="K372" t="n">
        <v>0</v>
      </c>
      <c r="L372" t="n">
        <v>0</v>
      </c>
      <c r="M372" t="n">
        <v>0</v>
      </c>
      <c r="N372" t="n">
        <v>0</v>
      </c>
      <c r="O372" t="n">
        <v>0</v>
      </c>
      <c r="P372" t="n">
        <v>0</v>
      </c>
      <c r="Q372" t="n">
        <v>0</v>
      </c>
      <c r="R372" s="2" t="inlineStr"/>
    </row>
    <row r="373" ht="15" customHeight="1">
      <c r="A373" t="inlineStr">
        <is>
          <t>A 66022-2021</t>
        </is>
      </c>
      <c r="B373" s="1" t="n">
        <v>44517</v>
      </c>
      <c r="C373" s="1" t="n">
        <v>45904</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43853-2023</t>
        </is>
      </c>
      <c r="B374" s="1" t="n">
        <v>45187.60813657408</v>
      </c>
      <c r="C374" s="1" t="n">
        <v>45904</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35895-2024</t>
        </is>
      </c>
      <c r="B375" s="1" t="n">
        <v>45533.38870370371</v>
      </c>
      <c r="C375" s="1" t="n">
        <v>45904</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11073-2023</t>
        </is>
      </c>
      <c r="B376" s="1" t="n">
        <v>44992</v>
      </c>
      <c r="C376" s="1" t="n">
        <v>45904</v>
      </c>
      <c r="D376" t="inlineStr">
        <is>
          <t>KALMAR LÄN</t>
        </is>
      </c>
      <c r="E376" t="inlineStr">
        <is>
          <t>VIMMERBY</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26207-2025</t>
        </is>
      </c>
      <c r="B377" s="1" t="n">
        <v>45805.52983796296</v>
      </c>
      <c r="C377" s="1" t="n">
        <v>45904</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25830-2025</t>
        </is>
      </c>
      <c r="B378" s="1" t="n">
        <v>45804.44519675926</v>
      </c>
      <c r="C378" s="1" t="n">
        <v>45904</v>
      </c>
      <c r="D378" t="inlineStr">
        <is>
          <t>KALMAR LÄN</t>
        </is>
      </c>
      <c r="E378" t="inlineStr">
        <is>
          <t>VIMMERBY</t>
        </is>
      </c>
      <c r="G378" t="n">
        <v>4.9</v>
      </c>
      <c r="H378" t="n">
        <v>0</v>
      </c>
      <c r="I378" t="n">
        <v>0</v>
      </c>
      <c r="J378" t="n">
        <v>0</v>
      </c>
      <c r="K378" t="n">
        <v>0</v>
      </c>
      <c r="L378" t="n">
        <v>0</v>
      </c>
      <c r="M378" t="n">
        <v>0</v>
      </c>
      <c r="N378" t="n">
        <v>0</v>
      </c>
      <c r="O378" t="n">
        <v>0</v>
      </c>
      <c r="P378" t="n">
        <v>0</v>
      </c>
      <c r="Q378" t="n">
        <v>0</v>
      </c>
      <c r="R378" s="2" t="inlineStr"/>
    </row>
    <row r="379" ht="15" customHeight="1">
      <c r="A379" t="inlineStr">
        <is>
          <t>A 26254-2025</t>
        </is>
      </c>
      <c r="B379" s="1" t="n">
        <v>45805</v>
      </c>
      <c r="C379" s="1" t="n">
        <v>45904</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17-2025</t>
        </is>
      </c>
      <c r="B380" s="1" t="n">
        <v>45658.78774305555</v>
      </c>
      <c r="C380" s="1" t="n">
        <v>45904</v>
      </c>
      <c r="D380" t="inlineStr">
        <is>
          <t>KALMAR LÄN</t>
        </is>
      </c>
      <c r="E380" t="inlineStr">
        <is>
          <t>VIMMERBY</t>
        </is>
      </c>
      <c r="G380" t="n">
        <v>4.4</v>
      </c>
      <c r="H380" t="n">
        <v>0</v>
      </c>
      <c r="I380" t="n">
        <v>0</v>
      </c>
      <c r="J380" t="n">
        <v>0</v>
      </c>
      <c r="K380" t="n">
        <v>0</v>
      </c>
      <c r="L380" t="n">
        <v>0</v>
      </c>
      <c r="M380" t="n">
        <v>0</v>
      </c>
      <c r="N380" t="n">
        <v>0</v>
      </c>
      <c r="O380" t="n">
        <v>0</v>
      </c>
      <c r="P380" t="n">
        <v>0</v>
      </c>
      <c r="Q380" t="n">
        <v>0</v>
      </c>
      <c r="R380" s="2" t="inlineStr"/>
    </row>
    <row r="381" ht="15" customHeight="1">
      <c r="A381" t="inlineStr">
        <is>
          <t>A 32655-2023</t>
        </is>
      </c>
      <c r="B381" s="1" t="n">
        <v>45121.61318287037</v>
      </c>
      <c r="C381" s="1" t="n">
        <v>45904</v>
      </c>
      <c r="D381" t="inlineStr">
        <is>
          <t>KALMAR LÄN</t>
        </is>
      </c>
      <c r="E381" t="inlineStr">
        <is>
          <t>VIMMERBY</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9511-2023</t>
        </is>
      </c>
      <c r="B382" s="1" t="n">
        <v>44981.64725694444</v>
      </c>
      <c r="C382" s="1" t="n">
        <v>45904</v>
      </c>
      <c r="D382" t="inlineStr">
        <is>
          <t>KALMAR LÄN</t>
        </is>
      </c>
      <c r="E382" t="inlineStr">
        <is>
          <t>VIMMERBY</t>
        </is>
      </c>
      <c r="G382" t="n">
        <v>3.5</v>
      </c>
      <c r="H382" t="n">
        <v>0</v>
      </c>
      <c r="I382" t="n">
        <v>0</v>
      </c>
      <c r="J382" t="n">
        <v>0</v>
      </c>
      <c r="K382" t="n">
        <v>0</v>
      </c>
      <c r="L382" t="n">
        <v>0</v>
      </c>
      <c r="M382" t="n">
        <v>0</v>
      </c>
      <c r="N382" t="n">
        <v>0</v>
      </c>
      <c r="O382" t="n">
        <v>0</v>
      </c>
      <c r="P382" t="n">
        <v>0</v>
      </c>
      <c r="Q382" t="n">
        <v>0</v>
      </c>
      <c r="R382" s="2" t="inlineStr"/>
    </row>
    <row r="383" ht="15" customHeight="1">
      <c r="A383" t="inlineStr">
        <is>
          <t>A 38757-2023</t>
        </is>
      </c>
      <c r="B383" s="1" t="n">
        <v>45163.41376157408</v>
      </c>
      <c r="C383" s="1" t="n">
        <v>45904</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63541-2023</t>
        </is>
      </c>
      <c r="B384" s="1" t="n">
        <v>45275.32266203704</v>
      </c>
      <c r="C384" s="1" t="n">
        <v>45904</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29973-2023</t>
        </is>
      </c>
      <c r="B385" s="1" t="n">
        <v>45108.703125</v>
      </c>
      <c r="C385" s="1" t="n">
        <v>45904</v>
      </c>
      <c r="D385" t="inlineStr">
        <is>
          <t>KALMAR LÄN</t>
        </is>
      </c>
      <c r="E385" t="inlineStr">
        <is>
          <t>VIMMERBY</t>
        </is>
      </c>
      <c r="G385" t="n">
        <v>4</v>
      </c>
      <c r="H385" t="n">
        <v>0</v>
      </c>
      <c r="I385" t="n">
        <v>0</v>
      </c>
      <c r="J385" t="n">
        <v>0</v>
      </c>
      <c r="K385" t="n">
        <v>0</v>
      </c>
      <c r="L385" t="n">
        <v>0</v>
      </c>
      <c r="M385" t="n">
        <v>0</v>
      </c>
      <c r="N385" t="n">
        <v>0</v>
      </c>
      <c r="O385" t="n">
        <v>0</v>
      </c>
      <c r="P385" t="n">
        <v>0</v>
      </c>
      <c r="Q385" t="n">
        <v>0</v>
      </c>
      <c r="R385" s="2" t="inlineStr"/>
    </row>
    <row r="386" ht="15" customHeight="1">
      <c r="A386" t="inlineStr">
        <is>
          <t>A 64143-2021</t>
        </is>
      </c>
      <c r="B386" s="1" t="n">
        <v>44510.52157407408</v>
      </c>
      <c r="C386" s="1" t="n">
        <v>45904</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73938-2021</t>
        </is>
      </c>
      <c r="B387" s="1" t="n">
        <v>44553</v>
      </c>
      <c r="C387" s="1" t="n">
        <v>45904</v>
      </c>
      <c r="D387" t="inlineStr">
        <is>
          <t>KALMAR LÄN</t>
        </is>
      </c>
      <c r="E387" t="inlineStr">
        <is>
          <t>VIMMERBY</t>
        </is>
      </c>
      <c r="G387" t="n">
        <v>3.2</v>
      </c>
      <c r="H387" t="n">
        <v>0</v>
      </c>
      <c r="I387" t="n">
        <v>0</v>
      </c>
      <c r="J387" t="n">
        <v>0</v>
      </c>
      <c r="K387" t="n">
        <v>0</v>
      </c>
      <c r="L387" t="n">
        <v>0</v>
      </c>
      <c r="M387" t="n">
        <v>0</v>
      </c>
      <c r="N387" t="n">
        <v>0</v>
      </c>
      <c r="O387" t="n">
        <v>0</v>
      </c>
      <c r="P387" t="n">
        <v>0</v>
      </c>
      <c r="Q387" t="n">
        <v>0</v>
      </c>
      <c r="R387" s="2" t="inlineStr"/>
    </row>
    <row r="388" ht="15" customHeight="1">
      <c r="A388" t="inlineStr">
        <is>
          <t>A 28034-2022</t>
        </is>
      </c>
      <c r="B388" s="1" t="n">
        <v>44746.38834490741</v>
      </c>
      <c r="C388" s="1" t="n">
        <v>45904</v>
      </c>
      <c r="D388" t="inlineStr">
        <is>
          <t>KALMAR LÄN</t>
        </is>
      </c>
      <c r="E388" t="inlineStr">
        <is>
          <t>VIMMERBY</t>
        </is>
      </c>
      <c r="G388" t="n">
        <v>2</v>
      </c>
      <c r="H388" t="n">
        <v>0</v>
      </c>
      <c r="I388" t="n">
        <v>0</v>
      </c>
      <c r="J388" t="n">
        <v>0</v>
      </c>
      <c r="K388" t="n">
        <v>0</v>
      </c>
      <c r="L388" t="n">
        <v>0</v>
      </c>
      <c r="M388" t="n">
        <v>0</v>
      </c>
      <c r="N388" t="n">
        <v>0</v>
      </c>
      <c r="O388" t="n">
        <v>0</v>
      </c>
      <c r="P388" t="n">
        <v>0</v>
      </c>
      <c r="Q388" t="n">
        <v>0</v>
      </c>
      <c r="R388" s="2" t="inlineStr"/>
    </row>
    <row r="389" ht="15" customHeight="1">
      <c r="A389" t="inlineStr">
        <is>
          <t>A 5938-2022</t>
        </is>
      </c>
      <c r="B389" s="1" t="n">
        <v>44598</v>
      </c>
      <c r="C389" s="1" t="n">
        <v>45904</v>
      </c>
      <c r="D389" t="inlineStr">
        <is>
          <t>KALMAR LÄN</t>
        </is>
      </c>
      <c r="E389" t="inlineStr">
        <is>
          <t>VIMMERBY</t>
        </is>
      </c>
      <c r="G389" t="n">
        <v>2.4</v>
      </c>
      <c r="H389" t="n">
        <v>0</v>
      </c>
      <c r="I389" t="n">
        <v>0</v>
      </c>
      <c r="J389" t="n">
        <v>0</v>
      </c>
      <c r="K389" t="n">
        <v>0</v>
      </c>
      <c r="L389" t="n">
        <v>0</v>
      </c>
      <c r="M389" t="n">
        <v>0</v>
      </c>
      <c r="N389" t="n">
        <v>0</v>
      </c>
      <c r="O389" t="n">
        <v>0</v>
      </c>
      <c r="P389" t="n">
        <v>0</v>
      </c>
      <c r="Q389" t="n">
        <v>0</v>
      </c>
      <c r="R389" s="2" t="inlineStr"/>
    </row>
    <row r="390" ht="15" customHeight="1">
      <c r="A390" t="inlineStr">
        <is>
          <t>A 24283-2023</t>
        </is>
      </c>
      <c r="B390" s="1" t="n">
        <v>45079.87827546296</v>
      </c>
      <c r="C390" s="1" t="n">
        <v>45904</v>
      </c>
      <c r="D390" t="inlineStr">
        <is>
          <t>KALMAR LÄN</t>
        </is>
      </c>
      <c r="E390" t="inlineStr">
        <is>
          <t>VIMMERBY</t>
        </is>
      </c>
      <c r="G390" t="n">
        <v>2</v>
      </c>
      <c r="H390" t="n">
        <v>0</v>
      </c>
      <c r="I390" t="n">
        <v>0</v>
      </c>
      <c r="J390" t="n">
        <v>0</v>
      </c>
      <c r="K390" t="n">
        <v>0</v>
      </c>
      <c r="L390" t="n">
        <v>0</v>
      </c>
      <c r="M390" t="n">
        <v>0</v>
      </c>
      <c r="N390" t="n">
        <v>0</v>
      </c>
      <c r="O390" t="n">
        <v>0</v>
      </c>
      <c r="P390" t="n">
        <v>0</v>
      </c>
      <c r="Q390" t="n">
        <v>0</v>
      </c>
      <c r="R390" s="2" t="inlineStr"/>
    </row>
    <row r="391" ht="15" customHeight="1">
      <c r="A391" t="inlineStr">
        <is>
          <t>A 40076-2021</t>
        </is>
      </c>
      <c r="B391" s="1" t="n">
        <v>44418</v>
      </c>
      <c r="C391" s="1" t="n">
        <v>45904</v>
      </c>
      <c r="D391" t="inlineStr">
        <is>
          <t>KALMAR LÄN</t>
        </is>
      </c>
      <c r="E391" t="inlineStr">
        <is>
          <t>VIMMERBY</t>
        </is>
      </c>
      <c r="G391" t="n">
        <v>2</v>
      </c>
      <c r="H391" t="n">
        <v>0</v>
      </c>
      <c r="I391" t="n">
        <v>0</v>
      </c>
      <c r="J391" t="n">
        <v>0</v>
      </c>
      <c r="K391" t="n">
        <v>0</v>
      </c>
      <c r="L391" t="n">
        <v>0</v>
      </c>
      <c r="M391" t="n">
        <v>0</v>
      </c>
      <c r="N391" t="n">
        <v>0</v>
      </c>
      <c r="O391" t="n">
        <v>0</v>
      </c>
      <c r="P391" t="n">
        <v>0</v>
      </c>
      <c r="Q391" t="n">
        <v>0</v>
      </c>
      <c r="R391" s="2" t="inlineStr"/>
    </row>
    <row r="392" ht="15" customHeight="1">
      <c r="A392" t="inlineStr">
        <is>
          <t>A 50648-2023</t>
        </is>
      </c>
      <c r="B392" s="1" t="n">
        <v>45217.47834490741</v>
      </c>
      <c r="C392" s="1" t="n">
        <v>45904</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2462-2022</t>
        </is>
      </c>
      <c r="B393" s="1" t="n">
        <v>44579.62225694444</v>
      </c>
      <c r="C393" s="1" t="n">
        <v>45904</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529-2022</t>
        </is>
      </c>
      <c r="B394" s="1" t="n">
        <v>44566</v>
      </c>
      <c r="C394" s="1" t="n">
        <v>45904</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58318-2021</t>
        </is>
      </c>
      <c r="B395" s="1" t="n">
        <v>44488.35878472222</v>
      </c>
      <c r="C395" s="1" t="n">
        <v>45904</v>
      </c>
      <c r="D395" t="inlineStr">
        <is>
          <t>KALMAR LÄN</t>
        </is>
      </c>
      <c r="E395" t="inlineStr">
        <is>
          <t>VIMMERBY</t>
        </is>
      </c>
      <c r="G395" t="n">
        <v>4</v>
      </c>
      <c r="H395" t="n">
        <v>0</v>
      </c>
      <c r="I395" t="n">
        <v>0</v>
      </c>
      <c r="J395" t="n">
        <v>0</v>
      </c>
      <c r="K395" t="n">
        <v>0</v>
      </c>
      <c r="L395" t="n">
        <v>0</v>
      </c>
      <c r="M395" t="n">
        <v>0</v>
      </c>
      <c r="N395" t="n">
        <v>0</v>
      </c>
      <c r="O395" t="n">
        <v>0</v>
      </c>
      <c r="P395" t="n">
        <v>0</v>
      </c>
      <c r="Q395" t="n">
        <v>0</v>
      </c>
      <c r="R395" s="2" t="inlineStr"/>
    </row>
    <row r="396" ht="15" customHeight="1">
      <c r="A396" t="inlineStr">
        <is>
          <t>A 89-2023</t>
        </is>
      </c>
      <c r="B396" s="1" t="n">
        <v>44918</v>
      </c>
      <c r="C396" s="1" t="n">
        <v>45904</v>
      </c>
      <c r="D396" t="inlineStr">
        <is>
          <t>KALMAR LÄN</t>
        </is>
      </c>
      <c r="E396" t="inlineStr">
        <is>
          <t>VIMMERBY</t>
        </is>
      </c>
      <c r="G396" t="n">
        <v>16.1</v>
      </c>
      <c r="H396" t="n">
        <v>0</v>
      </c>
      <c r="I396" t="n">
        <v>0</v>
      </c>
      <c r="J396" t="n">
        <v>0</v>
      </c>
      <c r="K396" t="n">
        <v>0</v>
      </c>
      <c r="L396" t="n">
        <v>0</v>
      </c>
      <c r="M396" t="n">
        <v>0</v>
      </c>
      <c r="N396" t="n">
        <v>0</v>
      </c>
      <c r="O396" t="n">
        <v>0</v>
      </c>
      <c r="P396" t="n">
        <v>0</v>
      </c>
      <c r="Q396" t="n">
        <v>0</v>
      </c>
      <c r="R396" s="2" t="inlineStr"/>
    </row>
    <row r="397" ht="15" customHeight="1">
      <c r="A397" t="inlineStr">
        <is>
          <t>A 23088-2024</t>
        </is>
      </c>
      <c r="B397" s="1" t="n">
        <v>45450.51092592593</v>
      </c>
      <c r="C397" s="1" t="n">
        <v>45904</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60228-2021</t>
        </is>
      </c>
      <c r="B398" s="1" t="n">
        <v>44495</v>
      </c>
      <c r="C398" s="1" t="n">
        <v>45904</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25979-2023</t>
        </is>
      </c>
      <c r="B399" s="1" t="n">
        <v>45090.89653935185</v>
      </c>
      <c r="C399" s="1" t="n">
        <v>45904</v>
      </c>
      <c r="D399" t="inlineStr">
        <is>
          <t>KALMAR LÄN</t>
        </is>
      </c>
      <c r="E399" t="inlineStr">
        <is>
          <t>VIMMERBY</t>
        </is>
      </c>
      <c r="G399" t="n">
        <v>2</v>
      </c>
      <c r="H399" t="n">
        <v>0</v>
      </c>
      <c r="I399" t="n">
        <v>0</v>
      </c>
      <c r="J399" t="n">
        <v>0</v>
      </c>
      <c r="K399" t="n">
        <v>0</v>
      </c>
      <c r="L399" t="n">
        <v>0</v>
      </c>
      <c r="M399" t="n">
        <v>0</v>
      </c>
      <c r="N399" t="n">
        <v>0</v>
      </c>
      <c r="O399" t="n">
        <v>0</v>
      </c>
      <c r="P399" t="n">
        <v>0</v>
      </c>
      <c r="Q399" t="n">
        <v>0</v>
      </c>
      <c r="R399" s="2" t="inlineStr"/>
    </row>
    <row r="400" ht="15" customHeight="1">
      <c r="A400" t="inlineStr">
        <is>
          <t>A 25980-2023</t>
        </is>
      </c>
      <c r="B400" s="1" t="n">
        <v>45090.89880787037</v>
      </c>
      <c r="C400" s="1" t="n">
        <v>45904</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12510-2022</t>
        </is>
      </c>
      <c r="B401" s="1" t="n">
        <v>44638.55256944444</v>
      </c>
      <c r="C401" s="1" t="n">
        <v>45904</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6358-2022</t>
        </is>
      </c>
      <c r="B402" s="1" t="n">
        <v>44600</v>
      </c>
      <c r="C402" s="1" t="n">
        <v>45904</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38851-2023</t>
        </is>
      </c>
      <c r="B403" s="1" t="n">
        <v>45163</v>
      </c>
      <c r="C403" s="1" t="n">
        <v>45904</v>
      </c>
      <c r="D403" t="inlineStr">
        <is>
          <t>KALMAR LÄN</t>
        </is>
      </c>
      <c r="E403" t="inlineStr">
        <is>
          <t>VIMMERBY</t>
        </is>
      </c>
      <c r="G403" t="n">
        <v>4.3</v>
      </c>
      <c r="H403" t="n">
        <v>0</v>
      </c>
      <c r="I403" t="n">
        <v>0</v>
      </c>
      <c r="J403" t="n">
        <v>0</v>
      </c>
      <c r="K403" t="n">
        <v>0</v>
      </c>
      <c r="L403" t="n">
        <v>0</v>
      </c>
      <c r="M403" t="n">
        <v>0</v>
      </c>
      <c r="N403" t="n">
        <v>0</v>
      </c>
      <c r="O403" t="n">
        <v>0</v>
      </c>
      <c r="P403" t="n">
        <v>0</v>
      </c>
      <c r="Q403" t="n">
        <v>0</v>
      </c>
      <c r="R403" s="2" t="inlineStr"/>
    </row>
    <row r="404" ht="15" customHeight="1">
      <c r="A404" t="inlineStr">
        <is>
          <t>A 10759-2023</t>
        </is>
      </c>
      <c r="B404" s="1" t="n">
        <v>44988</v>
      </c>
      <c r="C404" s="1" t="n">
        <v>45904</v>
      </c>
      <c r="D404" t="inlineStr">
        <is>
          <t>KALMAR LÄN</t>
        </is>
      </c>
      <c r="E404" t="inlineStr">
        <is>
          <t>VIMMERBY</t>
        </is>
      </c>
      <c r="G404" t="n">
        <v>0.4</v>
      </c>
      <c r="H404" t="n">
        <v>0</v>
      </c>
      <c r="I404" t="n">
        <v>0</v>
      </c>
      <c r="J404" t="n">
        <v>0</v>
      </c>
      <c r="K404" t="n">
        <v>0</v>
      </c>
      <c r="L404" t="n">
        <v>0</v>
      </c>
      <c r="M404" t="n">
        <v>0</v>
      </c>
      <c r="N404" t="n">
        <v>0</v>
      </c>
      <c r="O404" t="n">
        <v>0</v>
      </c>
      <c r="P404" t="n">
        <v>0</v>
      </c>
      <c r="Q404" t="n">
        <v>0</v>
      </c>
      <c r="R404" s="2" t="inlineStr"/>
    </row>
    <row r="405" ht="15" customHeight="1">
      <c r="A405" t="inlineStr">
        <is>
          <t>A 63583-2023</t>
        </is>
      </c>
      <c r="B405" s="1" t="n">
        <v>45275.41833333333</v>
      </c>
      <c r="C405" s="1" t="n">
        <v>45904</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40079-2023</t>
        </is>
      </c>
      <c r="B406" s="1" t="n">
        <v>45168.89298611111</v>
      </c>
      <c r="C406" s="1" t="n">
        <v>45904</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43774-2023</t>
        </is>
      </c>
      <c r="B407" s="1" t="n">
        <v>45187</v>
      </c>
      <c r="C407" s="1" t="n">
        <v>45904</v>
      </c>
      <c r="D407" t="inlineStr">
        <is>
          <t>KALMAR LÄN</t>
        </is>
      </c>
      <c r="E407" t="inlineStr">
        <is>
          <t>VIMMERBY</t>
        </is>
      </c>
      <c r="G407" t="n">
        <v>3.4</v>
      </c>
      <c r="H407" t="n">
        <v>0</v>
      </c>
      <c r="I407" t="n">
        <v>0</v>
      </c>
      <c r="J407" t="n">
        <v>0</v>
      </c>
      <c r="K407" t="n">
        <v>0</v>
      </c>
      <c r="L407" t="n">
        <v>0</v>
      </c>
      <c r="M407" t="n">
        <v>0</v>
      </c>
      <c r="N407" t="n">
        <v>0</v>
      </c>
      <c r="O407" t="n">
        <v>0</v>
      </c>
      <c r="P407" t="n">
        <v>0</v>
      </c>
      <c r="Q407" t="n">
        <v>0</v>
      </c>
      <c r="R407" s="2" t="inlineStr"/>
    </row>
    <row r="408" ht="15" customHeight="1">
      <c r="A408" t="inlineStr">
        <is>
          <t>A 29616-2022</t>
        </is>
      </c>
      <c r="B408" s="1" t="n">
        <v>44754</v>
      </c>
      <c r="C408" s="1" t="n">
        <v>45904</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39578-2024</t>
        </is>
      </c>
      <c r="B409" s="1" t="n">
        <v>45552.36484953704</v>
      </c>
      <c r="C409" s="1" t="n">
        <v>45904</v>
      </c>
      <c r="D409" t="inlineStr">
        <is>
          <t>KALMAR LÄN</t>
        </is>
      </c>
      <c r="E409" t="inlineStr">
        <is>
          <t>VIMMERBY</t>
        </is>
      </c>
      <c r="G409" t="n">
        <v>1.5</v>
      </c>
      <c r="H409" t="n">
        <v>0</v>
      </c>
      <c r="I409" t="n">
        <v>0</v>
      </c>
      <c r="J409" t="n">
        <v>0</v>
      </c>
      <c r="K409" t="n">
        <v>0</v>
      </c>
      <c r="L409" t="n">
        <v>0</v>
      </c>
      <c r="M409" t="n">
        <v>0</v>
      </c>
      <c r="N409" t="n">
        <v>0</v>
      </c>
      <c r="O409" t="n">
        <v>0</v>
      </c>
      <c r="P409" t="n">
        <v>0</v>
      </c>
      <c r="Q409" t="n">
        <v>0</v>
      </c>
      <c r="R409" s="2" t="inlineStr"/>
    </row>
    <row r="410" ht="15" customHeight="1">
      <c r="A410" t="inlineStr">
        <is>
          <t>A 24707-2024</t>
        </is>
      </c>
      <c r="B410" s="1" t="n">
        <v>45460.62172453704</v>
      </c>
      <c r="C410" s="1" t="n">
        <v>45904</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48373-2021</t>
        </is>
      </c>
      <c r="B411" s="1" t="n">
        <v>44451</v>
      </c>
      <c r="C411" s="1" t="n">
        <v>45904</v>
      </c>
      <c r="D411" t="inlineStr">
        <is>
          <t>KALMAR LÄN</t>
        </is>
      </c>
      <c r="E411" t="inlineStr">
        <is>
          <t>VIMMERBY</t>
        </is>
      </c>
      <c r="G411" t="n">
        <v>2.2</v>
      </c>
      <c r="H411" t="n">
        <v>0</v>
      </c>
      <c r="I411" t="n">
        <v>0</v>
      </c>
      <c r="J411" t="n">
        <v>0</v>
      </c>
      <c r="K411" t="n">
        <v>0</v>
      </c>
      <c r="L411" t="n">
        <v>0</v>
      </c>
      <c r="M411" t="n">
        <v>0</v>
      </c>
      <c r="N411" t="n">
        <v>0</v>
      </c>
      <c r="O411" t="n">
        <v>0</v>
      </c>
      <c r="P411" t="n">
        <v>0</v>
      </c>
      <c r="Q411" t="n">
        <v>0</v>
      </c>
      <c r="R411" s="2" t="inlineStr"/>
    </row>
    <row r="412" ht="15" customHeight="1">
      <c r="A412" t="inlineStr">
        <is>
          <t>A 31056-2022</t>
        </is>
      </c>
      <c r="B412" s="1" t="n">
        <v>44769.45805555556</v>
      </c>
      <c r="C412" s="1" t="n">
        <v>45904</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33383-2023</t>
        </is>
      </c>
      <c r="B413" s="1" t="n">
        <v>45128.58414351852</v>
      </c>
      <c r="C413" s="1" t="n">
        <v>45904</v>
      </c>
      <c r="D413" t="inlineStr">
        <is>
          <t>KALMAR LÄN</t>
        </is>
      </c>
      <c r="E413" t="inlineStr">
        <is>
          <t>VIMMERBY</t>
        </is>
      </c>
      <c r="G413" t="n">
        <v>2.3</v>
      </c>
      <c r="H413" t="n">
        <v>0</v>
      </c>
      <c r="I413" t="n">
        <v>0</v>
      </c>
      <c r="J413" t="n">
        <v>0</v>
      </c>
      <c r="K413" t="n">
        <v>0</v>
      </c>
      <c r="L413" t="n">
        <v>0</v>
      </c>
      <c r="M413" t="n">
        <v>0</v>
      </c>
      <c r="N413" t="n">
        <v>0</v>
      </c>
      <c r="O413" t="n">
        <v>0</v>
      </c>
      <c r="P413" t="n">
        <v>0</v>
      </c>
      <c r="Q413" t="n">
        <v>0</v>
      </c>
      <c r="R413" s="2" t="inlineStr"/>
    </row>
    <row r="414" ht="15" customHeight="1">
      <c r="A414" t="inlineStr">
        <is>
          <t>A 40828-2023</t>
        </is>
      </c>
      <c r="B414" s="1" t="n">
        <v>45171.96248842592</v>
      </c>
      <c r="C414" s="1" t="n">
        <v>45904</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61861-2024</t>
        </is>
      </c>
      <c r="B415" s="1" t="n">
        <v>45650.37370370371</v>
      </c>
      <c r="C415" s="1" t="n">
        <v>45904</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8650-2022</t>
        </is>
      </c>
      <c r="B416" s="1" t="n">
        <v>44613</v>
      </c>
      <c r="C416" s="1" t="n">
        <v>45904</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33340-2023</t>
        </is>
      </c>
      <c r="B417" s="1" t="n">
        <v>45128.37305555555</v>
      </c>
      <c r="C417" s="1" t="n">
        <v>45904</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44423-2023</t>
        </is>
      </c>
      <c r="B418" s="1" t="n">
        <v>45189</v>
      </c>
      <c r="C418" s="1" t="n">
        <v>45904</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57256-2023</t>
        </is>
      </c>
      <c r="B419" s="1" t="n">
        <v>45245.5735300926</v>
      </c>
      <c r="C419" s="1" t="n">
        <v>45904</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17482-2024</t>
        </is>
      </c>
      <c r="B420" s="1" t="n">
        <v>45415.47848379629</v>
      </c>
      <c r="C420" s="1" t="n">
        <v>45904</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37323-2024</t>
        </is>
      </c>
      <c r="B421" s="1" t="n">
        <v>45540.50098379629</v>
      </c>
      <c r="C421" s="1" t="n">
        <v>45904</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55123-2024</t>
        </is>
      </c>
      <c r="B422" s="1" t="n">
        <v>45621.46103009259</v>
      </c>
      <c r="C422" s="1" t="n">
        <v>45904</v>
      </c>
      <c r="D422" t="inlineStr">
        <is>
          <t>KALMAR LÄN</t>
        </is>
      </c>
      <c r="E422" t="inlineStr">
        <is>
          <t>VIMMERBY</t>
        </is>
      </c>
      <c r="G422" t="n">
        <v>3.1</v>
      </c>
      <c r="H422" t="n">
        <v>0</v>
      </c>
      <c r="I422" t="n">
        <v>0</v>
      </c>
      <c r="J422" t="n">
        <v>0</v>
      </c>
      <c r="K422" t="n">
        <v>0</v>
      </c>
      <c r="L422" t="n">
        <v>0</v>
      </c>
      <c r="M422" t="n">
        <v>0</v>
      </c>
      <c r="N422" t="n">
        <v>0</v>
      </c>
      <c r="O422" t="n">
        <v>0</v>
      </c>
      <c r="P422" t="n">
        <v>0</v>
      </c>
      <c r="Q422" t="n">
        <v>0</v>
      </c>
      <c r="R422" s="2" t="inlineStr"/>
    </row>
    <row r="423" ht="15" customHeight="1">
      <c r="A423" t="inlineStr">
        <is>
          <t>A 49313-2022</t>
        </is>
      </c>
      <c r="B423" s="1" t="n">
        <v>44861.52505787037</v>
      </c>
      <c r="C423" s="1" t="n">
        <v>45904</v>
      </c>
      <c r="D423" t="inlineStr">
        <is>
          <t>KALMAR LÄN</t>
        </is>
      </c>
      <c r="E423" t="inlineStr">
        <is>
          <t>VIMMERBY</t>
        </is>
      </c>
      <c r="G423" t="n">
        <v>1.9</v>
      </c>
      <c r="H423" t="n">
        <v>0</v>
      </c>
      <c r="I423" t="n">
        <v>0</v>
      </c>
      <c r="J423" t="n">
        <v>0</v>
      </c>
      <c r="K423" t="n">
        <v>0</v>
      </c>
      <c r="L423" t="n">
        <v>0</v>
      </c>
      <c r="M423" t="n">
        <v>0</v>
      </c>
      <c r="N423" t="n">
        <v>0</v>
      </c>
      <c r="O423" t="n">
        <v>0</v>
      </c>
      <c r="P423" t="n">
        <v>0</v>
      </c>
      <c r="Q423" t="n">
        <v>0</v>
      </c>
      <c r="R423" s="2" t="inlineStr"/>
    </row>
    <row r="424" ht="15" customHeight="1">
      <c r="A424" t="inlineStr">
        <is>
          <t>A 1987-2024</t>
        </is>
      </c>
      <c r="B424" s="1" t="n">
        <v>45308.61152777778</v>
      </c>
      <c r="C424" s="1" t="n">
        <v>45904</v>
      </c>
      <c r="D424" t="inlineStr">
        <is>
          <t>KALMAR LÄN</t>
        </is>
      </c>
      <c r="E424" t="inlineStr">
        <is>
          <t>VIMMERBY</t>
        </is>
      </c>
      <c r="G424" t="n">
        <v>3</v>
      </c>
      <c r="H424" t="n">
        <v>0</v>
      </c>
      <c r="I424" t="n">
        <v>0</v>
      </c>
      <c r="J424" t="n">
        <v>0</v>
      </c>
      <c r="K424" t="n">
        <v>0</v>
      </c>
      <c r="L424" t="n">
        <v>0</v>
      </c>
      <c r="M424" t="n">
        <v>0</v>
      </c>
      <c r="N424" t="n">
        <v>0</v>
      </c>
      <c r="O424" t="n">
        <v>0</v>
      </c>
      <c r="P424" t="n">
        <v>0</v>
      </c>
      <c r="Q424" t="n">
        <v>0</v>
      </c>
      <c r="R424" s="2" t="inlineStr"/>
    </row>
    <row r="425" ht="15" customHeight="1">
      <c r="A425" t="inlineStr">
        <is>
          <t>A 18501-2024</t>
        </is>
      </c>
      <c r="B425" s="1" t="n">
        <v>45425.57538194444</v>
      </c>
      <c r="C425" s="1" t="n">
        <v>45904</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27718-2025</t>
        </is>
      </c>
      <c r="B426" s="1" t="n">
        <v>45814.38221064815</v>
      </c>
      <c r="C426" s="1" t="n">
        <v>45904</v>
      </c>
      <c r="D426" t="inlineStr">
        <is>
          <t>KALMAR LÄN</t>
        </is>
      </c>
      <c r="E426" t="inlineStr">
        <is>
          <t>VIMMERBY</t>
        </is>
      </c>
      <c r="G426" t="n">
        <v>0.9</v>
      </c>
      <c r="H426" t="n">
        <v>0</v>
      </c>
      <c r="I426" t="n">
        <v>0</v>
      </c>
      <c r="J426" t="n">
        <v>0</v>
      </c>
      <c r="K426" t="n">
        <v>0</v>
      </c>
      <c r="L426" t="n">
        <v>0</v>
      </c>
      <c r="M426" t="n">
        <v>0</v>
      </c>
      <c r="N426" t="n">
        <v>0</v>
      </c>
      <c r="O426" t="n">
        <v>0</v>
      </c>
      <c r="P426" t="n">
        <v>0</v>
      </c>
      <c r="Q426" t="n">
        <v>0</v>
      </c>
      <c r="R426" s="2" t="inlineStr"/>
    </row>
    <row r="427" ht="15" customHeight="1">
      <c r="A427" t="inlineStr">
        <is>
          <t>A 27719-2025</t>
        </is>
      </c>
      <c r="B427" s="1" t="n">
        <v>45814.3865625</v>
      </c>
      <c r="C427" s="1" t="n">
        <v>45904</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28286-2025</t>
        </is>
      </c>
      <c r="B428" s="1" t="n">
        <v>45818.58993055556</v>
      </c>
      <c r="C428" s="1" t="n">
        <v>45904</v>
      </c>
      <c r="D428" t="inlineStr">
        <is>
          <t>KALMAR LÄN</t>
        </is>
      </c>
      <c r="E428" t="inlineStr">
        <is>
          <t>VIMMERBY</t>
        </is>
      </c>
      <c r="F428" t="inlineStr">
        <is>
          <t>Sveaskog</t>
        </is>
      </c>
      <c r="G428" t="n">
        <v>8</v>
      </c>
      <c r="H428" t="n">
        <v>0</v>
      </c>
      <c r="I428" t="n">
        <v>0</v>
      </c>
      <c r="J428" t="n">
        <v>0</v>
      </c>
      <c r="K428" t="n">
        <v>0</v>
      </c>
      <c r="L428" t="n">
        <v>0</v>
      </c>
      <c r="M428" t="n">
        <v>0</v>
      </c>
      <c r="N428" t="n">
        <v>0</v>
      </c>
      <c r="O428" t="n">
        <v>0</v>
      </c>
      <c r="P428" t="n">
        <v>0</v>
      </c>
      <c r="Q428" t="n">
        <v>0</v>
      </c>
      <c r="R428" s="2" t="inlineStr"/>
    </row>
    <row r="429" ht="15" customHeight="1">
      <c r="A429" t="inlineStr">
        <is>
          <t>A 28282-2025</t>
        </is>
      </c>
      <c r="B429" s="1" t="n">
        <v>45818.58769675926</v>
      </c>
      <c r="C429" s="1" t="n">
        <v>45904</v>
      </c>
      <c r="D429" t="inlineStr">
        <is>
          <t>KALMAR LÄN</t>
        </is>
      </c>
      <c r="E429" t="inlineStr">
        <is>
          <t>VIMMERBY</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28294-2025</t>
        </is>
      </c>
      <c r="B430" s="1" t="n">
        <v>45818.595625</v>
      </c>
      <c r="C430" s="1" t="n">
        <v>45904</v>
      </c>
      <c r="D430" t="inlineStr">
        <is>
          <t>KALMAR LÄN</t>
        </is>
      </c>
      <c r="E430" t="inlineStr">
        <is>
          <t>VIMMERBY</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28290-2025</t>
        </is>
      </c>
      <c r="B431" s="1" t="n">
        <v>45818.59261574074</v>
      </c>
      <c r="C431" s="1" t="n">
        <v>45904</v>
      </c>
      <c r="D431" t="inlineStr">
        <is>
          <t>KALMAR LÄN</t>
        </is>
      </c>
      <c r="E431" t="inlineStr">
        <is>
          <t>VIMMERBY</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27758-2024</t>
        </is>
      </c>
      <c r="B432" s="1" t="n">
        <v>45475.48303240741</v>
      </c>
      <c r="C432" s="1" t="n">
        <v>45904</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13307-2025</t>
        </is>
      </c>
      <c r="B433" s="1" t="n">
        <v>45735.58024305556</v>
      </c>
      <c r="C433" s="1" t="n">
        <v>45904</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21507-2023</t>
        </is>
      </c>
      <c r="B434" s="1" t="n">
        <v>45063.508125</v>
      </c>
      <c r="C434" s="1" t="n">
        <v>45904</v>
      </c>
      <c r="D434" t="inlineStr">
        <is>
          <t>KALMAR LÄN</t>
        </is>
      </c>
      <c r="E434" t="inlineStr">
        <is>
          <t>VIMMERBY</t>
        </is>
      </c>
      <c r="G434" t="n">
        <v>2.8</v>
      </c>
      <c r="H434" t="n">
        <v>0</v>
      </c>
      <c r="I434" t="n">
        <v>0</v>
      </c>
      <c r="J434" t="n">
        <v>0</v>
      </c>
      <c r="K434" t="n">
        <v>0</v>
      </c>
      <c r="L434" t="n">
        <v>0</v>
      </c>
      <c r="M434" t="n">
        <v>0</v>
      </c>
      <c r="N434" t="n">
        <v>0</v>
      </c>
      <c r="O434" t="n">
        <v>0</v>
      </c>
      <c r="P434" t="n">
        <v>0</v>
      </c>
      <c r="Q434" t="n">
        <v>0</v>
      </c>
      <c r="R434" s="2" t="inlineStr"/>
    </row>
    <row r="435" ht="15" customHeight="1">
      <c r="A435" t="inlineStr">
        <is>
          <t>A 57189-2022</t>
        </is>
      </c>
      <c r="B435" s="1" t="n">
        <v>44895.62296296296</v>
      </c>
      <c r="C435" s="1" t="n">
        <v>45904</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28280-2025</t>
        </is>
      </c>
      <c r="B436" s="1" t="n">
        <v>45818.5862037037</v>
      </c>
      <c r="C436" s="1" t="n">
        <v>45904</v>
      </c>
      <c r="D436" t="inlineStr">
        <is>
          <t>KALMAR LÄN</t>
        </is>
      </c>
      <c r="E436" t="inlineStr">
        <is>
          <t>VIMMERBY</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48673-2021</t>
        </is>
      </c>
      <c r="B437" s="1" t="n">
        <v>44452</v>
      </c>
      <c r="C437" s="1" t="n">
        <v>45904</v>
      </c>
      <c r="D437" t="inlineStr">
        <is>
          <t>KALMAR LÄN</t>
        </is>
      </c>
      <c r="E437" t="inlineStr">
        <is>
          <t>VIMMERBY</t>
        </is>
      </c>
      <c r="G437" t="n">
        <v>1.3</v>
      </c>
      <c r="H437" t="n">
        <v>0</v>
      </c>
      <c r="I437" t="n">
        <v>0</v>
      </c>
      <c r="J437" t="n">
        <v>0</v>
      </c>
      <c r="K437" t="n">
        <v>0</v>
      </c>
      <c r="L437" t="n">
        <v>0</v>
      </c>
      <c r="M437" t="n">
        <v>0</v>
      </c>
      <c r="N437" t="n">
        <v>0</v>
      </c>
      <c r="O437" t="n">
        <v>0</v>
      </c>
      <c r="P437" t="n">
        <v>0</v>
      </c>
      <c r="Q437" t="n">
        <v>0</v>
      </c>
      <c r="R437" s="2" t="inlineStr"/>
    </row>
    <row r="438" ht="15" customHeight="1">
      <c r="A438" t="inlineStr">
        <is>
          <t>A 14248-2023</t>
        </is>
      </c>
      <c r="B438" s="1" t="n">
        <v>45009</v>
      </c>
      <c r="C438" s="1" t="n">
        <v>45904</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12480-2024</t>
        </is>
      </c>
      <c r="B439" s="1" t="n">
        <v>45379</v>
      </c>
      <c r="C439" s="1" t="n">
        <v>45904</v>
      </c>
      <c r="D439" t="inlineStr">
        <is>
          <t>KALMAR LÄN</t>
        </is>
      </c>
      <c r="E439" t="inlineStr">
        <is>
          <t>VIMMERBY</t>
        </is>
      </c>
      <c r="G439" t="n">
        <v>2.8</v>
      </c>
      <c r="H439" t="n">
        <v>0</v>
      </c>
      <c r="I439" t="n">
        <v>0</v>
      </c>
      <c r="J439" t="n">
        <v>0</v>
      </c>
      <c r="K439" t="n">
        <v>0</v>
      </c>
      <c r="L439" t="n">
        <v>0</v>
      </c>
      <c r="M439" t="n">
        <v>0</v>
      </c>
      <c r="N439" t="n">
        <v>0</v>
      </c>
      <c r="O439" t="n">
        <v>0</v>
      </c>
      <c r="P439" t="n">
        <v>0</v>
      </c>
      <c r="Q439" t="n">
        <v>0</v>
      </c>
      <c r="R439" s="2" t="inlineStr"/>
    </row>
    <row r="440" ht="15" customHeight="1">
      <c r="A440" t="inlineStr">
        <is>
          <t>A 55716-2023</t>
        </is>
      </c>
      <c r="B440" s="1" t="n">
        <v>45232</v>
      </c>
      <c r="C440" s="1" t="n">
        <v>45904</v>
      </c>
      <c r="D440" t="inlineStr">
        <is>
          <t>KALMAR LÄN</t>
        </is>
      </c>
      <c r="E440" t="inlineStr">
        <is>
          <t>VIMMERBY</t>
        </is>
      </c>
      <c r="G440" t="n">
        <v>2.3</v>
      </c>
      <c r="H440" t="n">
        <v>0</v>
      </c>
      <c r="I440" t="n">
        <v>0</v>
      </c>
      <c r="J440" t="n">
        <v>0</v>
      </c>
      <c r="K440" t="n">
        <v>0</v>
      </c>
      <c r="L440" t="n">
        <v>0</v>
      </c>
      <c r="M440" t="n">
        <v>0</v>
      </c>
      <c r="N440" t="n">
        <v>0</v>
      </c>
      <c r="O440" t="n">
        <v>0</v>
      </c>
      <c r="P440" t="n">
        <v>0</v>
      </c>
      <c r="Q440" t="n">
        <v>0</v>
      </c>
      <c r="R440" s="2" t="inlineStr"/>
    </row>
    <row r="441" ht="15" customHeight="1">
      <c r="A441" t="inlineStr">
        <is>
          <t>A 28620-2025</t>
        </is>
      </c>
      <c r="B441" s="1" t="n">
        <v>45819.61060185185</v>
      </c>
      <c r="C441" s="1" t="n">
        <v>45904</v>
      </c>
      <c r="D441" t="inlineStr">
        <is>
          <t>KALMAR LÄN</t>
        </is>
      </c>
      <c r="E441" t="inlineStr">
        <is>
          <t>VIMMERBY</t>
        </is>
      </c>
      <c r="G441" t="n">
        <v>5.6</v>
      </c>
      <c r="H441" t="n">
        <v>0</v>
      </c>
      <c r="I441" t="n">
        <v>0</v>
      </c>
      <c r="J441" t="n">
        <v>0</v>
      </c>
      <c r="K441" t="n">
        <v>0</v>
      </c>
      <c r="L441" t="n">
        <v>0</v>
      </c>
      <c r="M441" t="n">
        <v>0</v>
      </c>
      <c r="N441" t="n">
        <v>0</v>
      </c>
      <c r="O441" t="n">
        <v>0</v>
      </c>
      <c r="P441" t="n">
        <v>0</v>
      </c>
      <c r="Q441" t="n">
        <v>0</v>
      </c>
      <c r="R441" s="2" t="inlineStr"/>
    </row>
    <row r="442" ht="15" customHeight="1">
      <c r="A442" t="inlineStr">
        <is>
          <t>A 10211-2025</t>
        </is>
      </c>
      <c r="B442" s="1" t="n">
        <v>45719.84378472222</v>
      </c>
      <c r="C442" s="1" t="n">
        <v>45904</v>
      </c>
      <c r="D442" t="inlineStr">
        <is>
          <t>KALMAR LÄN</t>
        </is>
      </c>
      <c r="E442" t="inlineStr">
        <is>
          <t>VIMMERBY</t>
        </is>
      </c>
      <c r="G442" t="n">
        <v>1.7</v>
      </c>
      <c r="H442" t="n">
        <v>0</v>
      </c>
      <c r="I442" t="n">
        <v>0</v>
      </c>
      <c r="J442" t="n">
        <v>0</v>
      </c>
      <c r="K442" t="n">
        <v>0</v>
      </c>
      <c r="L442" t="n">
        <v>0</v>
      </c>
      <c r="M442" t="n">
        <v>0</v>
      </c>
      <c r="N442" t="n">
        <v>0</v>
      </c>
      <c r="O442" t="n">
        <v>0</v>
      </c>
      <c r="P442" t="n">
        <v>0</v>
      </c>
      <c r="Q442" t="n">
        <v>0</v>
      </c>
      <c r="R442" s="2" t="inlineStr"/>
    </row>
    <row r="443" ht="15" customHeight="1">
      <c r="A443" t="inlineStr">
        <is>
          <t>A 18329-2023</t>
        </is>
      </c>
      <c r="B443" s="1" t="n">
        <v>45041.63380787037</v>
      </c>
      <c r="C443" s="1" t="n">
        <v>45904</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28712-2025</t>
        </is>
      </c>
      <c r="B444" s="1" t="n">
        <v>45820.33708333333</v>
      </c>
      <c r="C444" s="1" t="n">
        <v>45904</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28714-2025</t>
        </is>
      </c>
      <c r="B445" s="1" t="n">
        <v>45820.34128472222</v>
      </c>
      <c r="C445" s="1" t="n">
        <v>45904</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40095-2022</t>
        </is>
      </c>
      <c r="B446" s="1" t="n">
        <v>44820</v>
      </c>
      <c r="C446" s="1" t="n">
        <v>45904</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28713-2025</t>
        </is>
      </c>
      <c r="B447" s="1" t="n">
        <v>45820.33930555556</v>
      </c>
      <c r="C447" s="1" t="n">
        <v>45904</v>
      </c>
      <c r="D447" t="inlineStr">
        <is>
          <t>KALMAR LÄN</t>
        </is>
      </c>
      <c r="E447" t="inlineStr">
        <is>
          <t>VIMMERBY</t>
        </is>
      </c>
      <c r="G447" t="n">
        <v>2.3</v>
      </c>
      <c r="H447" t="n">
        <v>0</v>
      </c>
      <c r="I447" t="n">
        <v>0</v>
      </c>
      <c r="J447" t="n">
        <v>0</v>
      </c>
      <c r="K447" t="n">
        <v>0</v>
      </c>
      <c r="L447" t="n">
        <v>0</v>
      </c>
      <c r="M447" t="n">
        <v>0</v>
      </c>
      <c r="N447" t="n">
        <v>0</v>
      </c>
      <c r="O447" t="n">
        <v>0</v>
      </c>
      <c r="P447" t="n">
        <v>0</v>
      </c>
      <c r="Q447" t="n">
        <v>0</v>
      </c>
      <c r="R447" s="2" t="inlineStr"/>
    </row>
    <row r="448" ht="15" customHeight="1">
      <c r="A448" t="inlineStr">
        <is>
          <t>A 29726-2025</t>
        </is>
      </c>
      <c r="B448" s="1" t="n">
        <v>45825.57805555555</v>
      </c>
      <c r="C448" s="1" t="n">
        <v>45904</v>
      </c>
      <c r="D448" t="inlineStr">
        <is>
          <t>KALMAR LÄN</t>
        </is>
      </c>
      <c r="E448" t="inlineStr">
        <is>
          <t>VIMMERBY</t>
        </is>
      </c>
      <c r="G448" t="n">
        <v>2</v>
      </c>
      <c r="H448" t="n">
        <v>0</v>
      </c>
      <c r="I448" t="n">
        <v>0</v>
      </c>
      <c r="J448" t="n">
        <v>0</v>
      </c>
      <c r="K448" t="n">
        <v>0</v>
      </c>
      <c r="L448" t="n">
        <v>0</v>
      </c>
      <c r="M448" t="n">
        <v>0</v>
      </c>
      <c r="N448" t="n">
        <v>0</v>
      </c>
      <c r="O448" t="n">
        <v>0</v>
      </c>
      <c r="P448" t="n">
        <v>0</v>
      </c>
      <c r="Q448" t="n">
        <v>0</v>
      </c>
      <c r="R448" s="2" t="inlineStr"/>
    </row>
    <row r="449" ht="15" customHeight="1">
      <c r="A449" t="inlineStr">
        <is>
          <t>A 50085-2023</t>
        </is>
      </c>
      <c r="B449" s="1" t="n">
        <v>45215.5959375</v>
      </c>
      <c r="C449" s="1" t="n">
        <v>45904</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50087-2023</t>
        </is>
      </c>
      <c r="B450" s="1" t="n">
        <v>45215.59743055556</v>
      </c>
      <c r="C450" s="1" t="n">
        <v>45904</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8167-2024</t>
        </is>
      </c>
      <c r="B451" s="1" t="n">
        <v>45351.6062962963</v>
      </c>
      <c r="C451" s="1" t="n">
        <v>45904</v>
      </c>
      <c r="D451" t="inlineStr">
        <is>
          <t>KALMAR LÄN</t>
        </is>
      </c>
      <c r="E451" t="inlineStr">
        <is>
          <t>VIMMERBY</t>
        </is>
      </c>
      <c r="G451" t="n">
        <v>3.8</v>
      </c>
      <c r="H451" t="n">
        <v>0</v>
      </c>
      <c r="I451" t="n">
        <v>0</v>
      </c>
      <c r="J451" t="n">
        <v>0</v>
      </c>
      <c r="K451" t="n">
        <v>0</v>
      </c>
      <c r="L451" t="n">
        <v>0</v>
      </c>
      <c r="M451" t="n">
        <v>0</v>
      </c>
      <c r="N451" t="n">
        <v>0</v>
      </c>
      <c r="O451" t="n">
        <v>0</v>
      </c>
      <c r="P451" t="n">
        <v>0</v>
      </c>
      <c r="Q451" t="n">
        <v>0</v>
      </c>
      <c r="R451" s="2" t="inlineStr"/>
    </row>
    <row r="452" ht="15" customHeight="1">
      <c r="A452" t="inlineStr">
        <is>
          <t>A 13015-2023</t>
        </is>
      </c>
      <c r="B452" s="1" t="n">
        <v>45002</v>
      </c>
      <c r="C452" s="1" t="n">
        <v>45904</v>
      </c>
      <c r="D452" t="inlineStr">
        <is>
          <t>KALMAR LÄN</t>
        </is>
      </c>
      <c r="E452" t="inlineStr">
        <is>
          <t>VIMMERBY</t>
        </is>
      </c>
      <c r="G452" t="n">
        <v>3.2</v>
      </c>
      <c r="H452" t="n">
        <v>0</v>
      </c>
      <c r="I452" t="n">
        <v>0</v>
      </c>
      <c r="J452" t="n">
        <v>0</v>
      </c>
      <c r="K452" t="n">
        <v>0</v>
      </c>
      <c r="L452" t="n">
        <v>0</v>
      </c>
      <c r="M452" t="n">
        <v>0</v>
      </c>
      <c r="N452" t="n">
        <v>0</v>
      </c>
      <c r="O452" t="n">
        <v>0</v>
      </c>
      <c r="P452" t="n">
        <v>0</v>
      </c>
      <c r="Q452" t="n">
        <v>0</v>
      </c>
      <c r="R452" s="2" t="inlineStr"/>
    </row>
    <row r="453" ht="15" customHeight="1">
      <c r="A453" t="inlineStr">
        <is>
          <t>A 36282-2025</t>
        </is>
      </c>
      <c r="B453" s="1" t="n">
        <v>45867.64663194444</v>
      </c>
      <c r="C453" s="1" t="n">
        <v>45904</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36299-2025</t>
        </is>
      </c>
      <c r="B454" s="1" t="n">
        <v>45867.69346064814</v>
      </c>
      <c r="C454" s="1" t="n">
        <v>45904</v>
      </c>
      <c r="D454" t="inlineStr">
        <is>
          <t>KALMAR LÄN</t>
        </is>
      </c>
      <c r="E454" t="inlineStr">
        <is>
          <t>VIMMERBY</t>
        </is>
      </c>
      <c r="G454" t="n">
        <v>7.6</v>
      </c>
      <c r="H454" t="n">
        <v>0</v>
      </c>
      <c r="I454" t="n">
        <v>0</v>
      </c>
      <c r="J454" t="n">
        <v>0</v>
      </c>
      <c r="K454" t="n">
        <v>0</v>
      </c>
      <c r="L454" t="n">
        <v>0</v>
      </c>
      <c r="M454" t="n">
        <v>0</v>
      </c>
      <c r="N454" t="n">
        <v>0</v>
      </c>
      <c r="O454" t="n">
        <v>0</v>
      </c>
      <c r="P454" t="n">
        <v>0</v>
      </c>
      <c r="Q454" t="n">
        <v>0</v>
      </c>
      <c r="R454" s="2" t="inlineStr"/>
    </row>
    <row r="455" ht="15" customHeight="1">
      <c r="A455" t="inlineStr">
        <is>
          <t>A 36221-2025</t>
        </is>
      </c>
      <c r="B455" s="1" t="n">
        <v>45867.50792824074</v>
      </c>
      <c r="C455" s="1" t="n">
        <v>45904</v>
      </c>
      <c r="D455" t="inlineStr">
        <is>
          <t>KALMAR LÄN</t>
        </is>
      </c>
      <c r="E455" t="inlineStr">
        <is>
          <t>VIMMERBY</t>
        </is>
      </c>
      <c r="G455" t="n">
        <v>2.5</v>
      </c>
      <c r="H455" t="n">
        <v>0</v>
      </c>
      <c r="I455" t="n">
        <v>0</v>
      </c>
      <c r="J455" t="n">
        <v>0</v>
      </c>
      <c r="K455" t="n">
        <v>0</v>
      </c>
      <c r="L455" t="n">
        <v>0</v>
      </c>
      <c r="M455" t="n">
        <v>0</v>
      </c>
      <c r="N455" t="n">
        <v>0</v>
      </c>
      <c r="O455" t="n">
        <v>0</v>
      </c>
      <c r="P455" t="n">
        <v>0</v>
      </c>
      <c r="Q455" t="n">
        <v>0</v>
      </c>
      <c r="R455" s="2" t="inlineStr"/>
    </row>
    <row r="456" ht="15" customHeight="1">
      <c r="A456" t="inlineStr">
        <is>
          <t>A 36273-2025</t>
        </is>
      </c>
      <c r="B456" s="1" t="n">
        <v>45867.63094907408</v>
      </c>
      <c r="C456" s="1" t="n">
        <v>45904</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29737-2025</t>
        </is>
      </c>
      <c r="B457" s="1" t="n">
        <v>45825.58672453704</v>
      </c>
      <c r="C457" s="1" t="n">
        <v>45904</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36246-2025</t>
        </is>
      </c>
      <c r="B458" s="1" t="n">
        <v>45867.56320601852</v>
      </c>
      <c r="C458" s="1" t="n">
        <v>45904</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36297-2025</t>
        </is>
      </c>
      <c r="B459" s="1" t="n">
        <v>45867.68625</v>
      </c>
      <c r="C459" s="1" t="n">
        <v>45904</v>
      </c>
      <c r="D459" t="inlineStr">
        <is>
          <t>KALMAR LÄN</t>
        </is>
      </c>
      <c r="E459" t="inlineStr">
        <is>
          <t>VIMMERBY</t>
        </is>
      </c>
      <c r="G459" t="n">
        <v>4.9</v>
      </c>
      <c r="H459" t="n">
        <v>0</v>
      </c>
      <c r="I459" t="n">
        <v>0</v>
      </c>
      <c r="J459" t="n">
        <v>0</v>
      </c>
      <c r="K459" t="n">
        <v>0</v>
      </c>
      <c r="L459" t="n">
        <v>0</v>
      </c>
      <c r="M459" t="n">
        <v>0</v>
      </c>
      <c r="N459" t="n">
        <v>0</v>
      </c>
      <c r="O459" t="n">
        <v>0</v>
      </c>
      <c r="P459" t="n">
        <v>0</v>
      </c>
      <c r="Q459" t="n">
        <v>0</v>
      </c>
      <c r="R459" s="2" t="inlineStr"/>
    </row>
    <row r="460" ht="15" customHeight="1">
      <c r="A460" t="inlineStr">
        <is>
          <t>A 29727-2025</t>
        </is>
      </c>
      <c r="B460" s="1" t="n">
        <v>45825.5796875</v>
      </c>
      <c r="C460" s="1" t="n">
        <v>45904</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29186-2024</t>
        </is>
      </c>
      <c r="B461" s="1" t="n">
        <v>45482.54844907407</v>
      </c>
      <c r="C461" s="1" t="n">
        <v>45904</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36226-2025</t>
        </is>
      </c>
      <c r="B462" s="1" t="n">
        <v>45867.51630787037</v>
      </c>
      <c r="C462" s="1" t="n">
        <v>45904</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29724-2025</t>
        </is>
      </c>
      <c r="B463" s="1" t="n">
        <v>45825.57680555555</v>
      </c>
      <c r="C463" s="1" t="n">
        <v>45904</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50993-2022</t>
        </is>
      </c>
      <c r="B464" s="1" t="n">
        <v>44867</v>
      </c>
      <c r="C464" s="1" t="n">
        <v>45904</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2604-2025</t>
        </is>
      </c>
      <c r="B465" s="1" t="n">
        <v>45674.74094907408</v>
      </c>
      <c r="C465" s="1" t="n">
        <v>45904</v>
      </c>
      <c r="D465" t="inlineStr">
        <is>
          <t>KALMAR LÄN</t>
        </is>
      </c>
      <c r="E465" t="inlineStr">
        <is>
          <t>VIMMERBY</t>
        </is>
      </c>
      <c r="G465" t="n">
        <v>7.6</v>
      </c>
      <c r="H465" t="n">
        <v>0</v>
      </c>
      <c r="I465" t="n">
        <v>0</v>
      </c>
      <c r="J465" t="n">
        <v>0</v>
      </c>
      <c r="K465" t="n">
        <v>0</v>
      </c>
      <c r="L465" t="n">
        <v>0</v>
      </c>
      <c r="M465" t="n">
        <v>0</v>
      </c>
      <c r="N465" t="n">
        <v>0</v>
      </c>
      <c r="O465" t="n">
        <v>0</v>
      </c>
      <c r="P465" t="n">
        <v>0</v>
      </c>
      <c r="Q465" t="n">
        <v>0</v>
      </c>
      <c r="R465" s="2" t="inlineStr"/>
    </row>
    <row r="466" ht="15" customHeight="1">
      <c r="A466" t="inlineStr">
        <is>
          <t>A 54787-2023</t>
        </is>
      </c>
      <c r="B466" s="1" t="n">
        <v>45236</v>
      </c>
      <c r="C466" s="1" t="n">
        <v>45904</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32614-2023</t>
        </is>
      </c>
      <c r="B467" s="1" t="n">
        <v>45121</v>
      </c>
      <c r="C467" s="1" t="n">
        <v>45904</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6850-2023</t>
        </is>
      </c>
      <c r="B468" s="1" t="n">
        <v>44967.44255787037</v>
      </c>
      <c r="C468" s="1" t="n">
        <v>45904</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58750-2022</t>
        </is>
      </c>
      <c r="B469" s="1" t="n">
        <v>44903.33363425926</v>
      </c>
      <c r="C469" s="1" t="n">
        <v>45904</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30293-2025</t>
        </is>
      </c>
      <c r="B470" s="1" t="n">
        <v>45827</v>
      </c>
      <c r="C470" s="1" t="n">
        <v>45904</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30290-2025</t>
        </is>
      </c>
      <c r="B471" s="1" t="n">
        <v>45827</v>
      </c>
      <c r="C471" s="1" t="n">
        <v>45904</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36538-2025</t>
        </is>
      </c>
      <c r="B472" s="1" t="n">
        <v>45869.62276620371</v>
      </c>
      <c r="C472" s="1" t="n">
        <v>45904</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41158-2023</t>
        </is>
      </c>
      <c r="B473" s="1" t="n">
        <v>45174.31395833333</v>
      </c>
      <c r="C473" s="1" t="n">
        <v>45904</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2510-2023</t>
        </is>
      </c>
      <c r="B474" s="1" t="n">
        <v>44943.57309027778</v>
      </c>
      <c r="C474" s="1" t="n">
        <v>45904</v>
      </c>
      <c r="D474" t="inlineStr">
        <is>
          <t>KALMAR LÄN</t>
        </is>
      </c>
      <c r="E474" t="inlineStr">
        <is>
          <t>VIMMERBY</t>
        </is>
      </c>
      <c r="G474" t="n">
        <v>8.6</v>
      </c>
      <c r="H474" t="n">
        <v>0</v>
      </c>
      <c r="I474" t="n">
        <v>0</v>
      </c>
      <c r="J474" t="n">
        <v>0</v>
      </c>
      <c r="K474" t="n">
        <v>0</v>
      </c>
      <c r="L474" t="n">
        <v>0</v>
      </c>
      <c r="M474" t="n">
        <v>0</v>
      </c>
      <c r="N474" t="n">
        <v>0</v>
      </c>
      <c r="O474" t="n">
        <v>0</v>
      </c>
      <c r="P474" t="n">
        <v>0</v>
      </c>
      <c r="Q474" t="n">
        <v>0</v>
      </c>
      <c r="R474" s="2" t="inlineStr"/>
    </row>
    <row r="475" ht="15" customHeight="1">
      <c r="A475" t="inlineStr">
        <is>
          <t>A 36600-2025</t>
        </is>
      </c>
      <c r="B475" s="1" t="n">
        <v>45870.51958333333</v>
      </c>
      <c r="C475" s="1" t="n">
        <v>45904</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36598-2025</t>
        </is>
      </c>
      <c r="B476" s="1" t="n">
        <v>45870.51708333333</v>
      </c>
      <c r="C476" s="1" t="n">
        <v>45904</v>
      </c>
      <c r="D476" t="inlineStr">
        <is>
          <t>KALMAR LÄN</t>
        </is>
      </c>
      <c r="E476" t="inlineStr">
        <is>
          <t>VIMMERBY</t>
        </is>
      </c>
      <c r="G476" t="n">
        <v>3.7</v>
      </c>
      <c r="H476" t="n">
        <v>0</v>
      </c>
      <c r="I476" t="n">
        <v>0</v>
      </c>
      <c r="J476" t="n">
        <v>0</v>
      </c>
      <c r="K476" t="n">
        <v>0</v>
      </c>
      <c r="L476" t="n">
        <v>0</v>
      </c>
      <c r="M476" t="n">
        <v>0</v>
      </c>
      <c r="N476" t="n">
        <v>0</v>
      </c>
      <c r="O476" t="n">
        <v>0</v>
      </c>
      <c r="P476" t="n">
        <v>0</v>
      </c>
      <c r="Q476" t="n">
        <v>0</v>
      </c>
      <c r="R476" s="2" t="inlineStr"/>
    </row>
    <row r="477" ht="15" customHeight="1">
      <c r="A477" t="inlineStr">
        <is>
          <t>A 36601-2025</t>
        </is>
      </c>
      <c r="B477" s="1" t="n">
        <v>45870.52005787037</v>
      </c>
      <c r="C477" s="1" t="n">
        <v>45904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36603-2025</t>
        </is>
      </c>
      <c r="B478" s="1" t="n">
        <v>45870.52142361111</v>
      </c>
      <c r="C478" s="1" t="n">
        <v>45904</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30850-2025</t>
        </is>
      </c>
      <c r="B479" s="1" t="n">
        <v>45831</v>
      </c>
      <c r="C479" s="1" t="n">
        <v>45904</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37192-2024</t>
        </is>
      </c>
      <c r="B480" s="1" t="n">
        <v>45539.66027777778</v>
      </c>
      <c r="C480" s="1" t="n">
        <v>45904</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3269-2024</t>
        </is>
      </c>
      <c r="B481" s="1" t="n">
        <v>45317.40372685185</v>
      </c>
      <c r="C481" s="1" t="n">
        <v>45904</v>
      </c>
      <c r="D481" t="inlineStr">
        <is>
          <t>KALMAR LÄN</t>
        </is>
      </c>
      <c r="E481" t="inlineStr">
        <is>
          <t>VIMMERBY</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48120-2022</t>
        </is>
      </c>
      <c r="B482" s="1" t="n">
        <v>44857.65989583333</v>
      </c>
      <c r="C482" s="1" t="n">
        <v>45904</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42429-2024</t>
        </is>
      </c>
      <c r="B483" s="1" t="n">
        <v>45565.40657407408</v>
      </c>
      <c r="C483" s="1" t="n">
        <v>45904</v>
      </c>
      <c r="D483" t="inlineStr">
        <is>
          <t>KALMAR LÄN</t>
        </is>
      </c>
      <c r="E483" t="inlineStr">
        <is>
          <t>VIMMERBY</t>
        </is>
      </c>
      <c r="G483" t="n">
        <v>1</v>
      </c>
      <c r="H483" t="n">
        <v>0</v>
      </c>
      <c r="I483" t="n">
        <v>0</v>
      </c>
      <c r="J483" t="n">
        <v>0</v>
      </c>
      <c r="K483" t="n">
        <v>0</v>
      </c>
      <c r="L483" t="n">
        <v>0</v>
      </c>
      <c r="M483" t="n">
        <v>0</v>
      </c>
      <c r="N483" t="n">
        <v>0</v>
      </c>
      <c r="O483" t="n">
        <v>0</v>
      </c>
      <c r="P483" t="n">
        <v>0</v>
      </c>
      <c r="Q483" t="n">
        <v>0</v>
      </c>
      <c r="R483" s="2" t="inlineStr"/>
    </row>
    <row r="484" ht="15" customHeight="1">
      <c r="A484" t="inlineStr">
        <is>
          <t>A 36602-2025</t>
        </is>
      </c>
      <c r="B484" s="1" t="n">
        <v>45870.52111111111</v>
      </c>
      <c r="C484" s="1" t="n">
        <v>45904</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6368-2023</t>
        </is>
      </c>
      <c r="B485" s="1" t="n">
        <v>44965</v>
      </c>
      <c r="C485" s="1" t="n">
        <v>45904</v>
      </c>
      <c r="D485" t="inlineStr">
        <is>
          <t>KALMAR LÄN</t>
        </is>
      </c>
      <c r="E485" t="inlineStr">
        <is>
          <t>VIMMERBY</t>
        </is>
      </c>
      <c r="G485" t="n">
        <v>1.3</v>
      </c>
      <c r="H485" t="n">
        <v>0</v>
      </c>
      <c r="I485" t="n">
        <v>0</v>
      </c>
      <c r="J485" t="n">
        <v>0</v>
      </c>
      <c r="K485" t="n">
        <v>0</v>
      </c>
      <c r="L485" t="n">
        <v>0</v>
      </c>
      <c r="M485" t="n">
        <v>0</v>
      </c>
      <c r="N485" t="n">
        <v>0</v>
      </c>
      <c r="O485" t="n">
        <v>0</v>
      </c>
      <c r="P485" t="n">
        <v>0</v>
      </c>
      <c r="Q485" t="n">
        <v>0</v>
      </c>
      <c r="R485" s="2" t="inlineStr"/>
    </row>
    <row r="486" ht="15" customHeight="1">
      <c r="A486" t="inlineStr">
        <is>
          <t>A 9416-2024</t>
        </is>
      </c>
      <c r="B486" s="1" t="n">
        <v>45359.44837962963</v>
      </c>
      <c r="C486" s="1" t="n">
        <v>45904</v>
      </c>
      <c r="D486" t="inlineStr">
        <is>
          <t>KALMAR LÄN</t>
        </is>
      </c>
      <c r="E486" t="inlineStr">
        <is>
          <t>VIMMERBY</t>
        </is>
      </c>
      <c r="G486" t="n">
        <v>3.2</v>
      </c>
      <c r="H486" t="n">
        <v>0</v>
      </c>
      <c r="I486" t="n">
        <v>0</v>
      </c>
      <c r="J486" t="n">
        <v>0</v>
      </c>
      <c r="K486" t="n">
        <v>0</v>
      </c>
      <c r="L486" t="n">
        <v>0</v>
      </c>
      <c r="M486" t="n">
        <v>0</v>
      </c>
      <c r="N486" t="n">
        <v>0</v>
      </c>
      <c r="O486" t="n">
        <v>0</v>
      </c>
      <c r="P486" t="n">
        <v>0</v>
      </c>
      <c r="Q486" t="n">
        <v>0</v>
      </c>
      <c r="R486" s="2" t="inlineStr"/>
    </row>
    <row r="487" ht="15" customHeight="1">
      <c r="A487" t="inlineStr">
        <is>
          <t>A 37079-2025</t>
        </is>
      </c>
      <c r="B487" s="1" t="n">
        <v>45875.42716435185</v>
      </c>
      <c r="C487" s="1" t="n">
        <v>45904</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29180-2024</t>
        </is>
      </c>
      <c r="B488" s="1" t="n">
        <v>45482.54108796296</v>
      </c>
      <c r="C488" s="1" t="n">
        <v>45904</v>
      </c>
      <c r="D488" t="inlineStr">
        <is>
          <t>KALMAR LÄN</t>
        </is>
      </c>
      <c r="E488" t="inlineStr">
        <is>
          <t>VIMMERBY</t>
        </is>
      </c>
      <c r="G488" t="n">
        <v>3.8</v>
      </c>
      <c r="H488" t="n">
        <v>0</v>
      </c>
      <c r="I488" t="n">
        <v>0</v>
      </c>
      <c r="J488" t="n">
        <v>0</v>
      </c>
      <c r="K488" t="n">
        <v>0</v>
      </c>
      <c r="L488" t="n">
        <v>0</v>
      </c>
      <c r="M488" t="n">
        <v>0</v>
      </c>
      <c r="N488" t="n">
        <v>0</v>
      </c>
      <c r="O488" t="n">
        <v>0</v>
      </c>
      <c r="P488" t="n">
        <v>0</v>
      </c>
      <c r="Q488" t="n">
        <v>0</v>
      </c>
      <c r="R488" s="2" t="inlineStr"/>
    </row>
    <row r="489" ht="15" customHeight="1">
      <c r="A489" t="inlineStr">
        <is>
          <t>A 36934-2025</t>
        </is>
      </c>
      <c r="B489" s="1" t="n">
        <v>45874.57109953704</v>
      </c>
      <c r="C489" s="1" t="n">
        <v>45904</v>
      </c>
      <c r="D489" t="inlineStr">
        <is>
          <t>KALMAR LÄN</t>
        </is>
      </c>
      <c r="E489" t="inlineStr">
        <is>
          <t>VIMMERBY</t>
        </is>
      </c>
      <c r="G489" t="n">
        <v>4.2</v>
      </c>
      <c r="H489" t="n">
        <v>0</v>
      </c>
      <c r="I489" t="n">
        <v>0</v>
      </c>
      <c r="J489" t="n">
        <v>0</v>
      </c>
      <c r="K489" t="n">
        <v>0</v>
      </c>
      <c r="L489" t="n">
        <v>0</v>
      </c>
      <c r="M489" t="n">
        <v>0</v>
      </c>
      <c r="N489" t="n">
        <v>0</v>
      </c>
      <c r="O489" t="n">
        <v>0</v>
      </c>
      <c r="P489" t="n">
        <v>0</v>
      </c>
      <c r="Q489" t="n">
        <v>0</v>
      </c>
      <c r="R489" s="2" t="inlineStr"/>
    </row>
    <row r="490" ht="15" customHeight="1">
      <c r="A490" t="inlineStr">
        <is>
          <t>A 2797-2023</t>
        </is>
      </c>
      <c r="B490" s="1" t="n">
        <v>44944.71386574074</v>
      </c>
      <c r="C490" s="1" t="n">
        <v>45904</v>
      </c>
      <c r="D490" t="inlineStr">
        <is>
          <t>KALMAR LÄN</t>
        </is>
      </c>
      <c r="E490" t="inlineStr">
        <is>
          <t>VIMMERBY</t>
        </is>
      </c>
      <c r="G490" t="n">
        <v>3.4</v>
      </c>
      <c r="H490" t="n">
        <v>0</v>
      </c>
      <c r="I490" t="n">
        <v>0</v>
      </c>
      <c r="J490" t="n">
        <v>0</v>
      </c>
      <c r="K490" t="n">
        <v>0</v>
      </c>
      <c r="L490" t="n">
        <v>0</v>
      </c>
      <c r="M490" t="n">
        <v>0</v>
      </c>
      <c r="N490" t="n">
        <v>0</v>
      </c>
      <c r="O490" t="n">
        <v>0</v>
      </c>
      <c r="P490" t="n">
        <v>0</v>
      </c>
      <c r="Q490" t="n">
        <v>0</v>
      </c>
      <c r="R490" s="2" t="inlineStr"/>
    </row>
    <row r="491" ht="15" customHeight="1">
      <c r="A491" t="inlineStr">
        <is>
          <t>A 2799-2023</t>
        </is>
      </c>
      <c r="B491" s="1" t="n">
        <v>44944.72100694444</v>
      </c>
      <c r="C491" s="1" t="n">
        <v>45904</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37102-2025</t>
        </is>
      </c>
      <c r="B492" s="1" t="n">
        <v>45875.47454861111</v>
      </c>
      <c r="C492" s="1" t="n">
        <v>45904</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25987-2024</t>
        </is>
      </c>
      <c r="B493" s="1" t="n">
        <v>45467.74417824074</v>
      </c>
      <c r="C493" s="1" t="n">
        <v>45904</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31552-2025</t>
        </is>
      </c>
      <c r="B494" s="1" t="n">
        <v>45833.64563657407</v>
      </c>
      <c r="C494" s="1" t="n">
        <v>45904</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31555-2025</t>
        </is>
      </c>
      <c r="B495" s="1" t="n">
        <v>45833.64814814815</v>
      </c>
      <c r="C495" s="1" t="n">
        <v>45904</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45846-2023</t>
        </is>
      </c>
      <c r="B496" s="1" t="n">
        <v>45195.58452546296</v>
      </c>
      <c r="C496" s="1" t="n">
        <v>45904</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22194-2024</t>
        </is>
      </c>
      <c r="B497" s="1" t="n">
        <v>45446.36482638889</v>
      </c>
      <c r="C497" s="1" t="n">
        <v>45904</v>
      </c>
      <c r="D497" t="inlineStr">
        <is>
          <t>KALMAR LÄN</t>
        </is>
      </c>
      <c r="E497" t="inlineStr">
        <is>
          <t>VIMMERBY</t>
        </is>
      </c>
      <c r="F497" t="inlineStr">
        <is>
          <t>Sveaskog</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30971-2025</t>
        </is>
      </c>
      <c r="B498" s="1" t="n">
        <v>45832.46146990741</v>
      </c>
      <c r="C498" s="1" t="n">
        <v>45904</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16020-2023</t>
        </is>
      </c>
      <c r="B499" s="1" t="n">
        <v>45026.82216435186</v>
      </c>
      <c r="C499" s="1" t="n">
        <v>45904</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19865-2021</t>
        </is>
      </c>
      <c r="B500" s="1" t="n">
        <v>44312</v>
      </c>
      <c r="C500" s="1" t="n">
        <v>45904</v>
      </c>
      <c r="D500" t="inlineStr">
        <is>
          <t>KALMAR LÄN</t>
        </is>
      </c>
      <c r="E500" t="inlineStr">
        <is>
          <t>VIMMERBY</t>
        </is>
      </c>
      <c r="G500" t="n">
        <v>8.6</v>
      </c>
      <c r="H500" t="n">
        <v>0</v>
      </c>
      <c r="I500" t="n">
        <v>0</v>
      </c>
      <c r="J500" t="n">
        <v>0</v>
      </c>
      <c r="K500" t="n">
        <v>0</v>
      </c>
      <c r="L500" t="n">
        <v>0</v>
      </c>
      <c r="M500" t="n">
        <v>0</v>
      </c>
      <c r="N500" t="n">
        <v>0</v>
      </c>
      <c r="O500" t="n">
        <v>0</v>
      </c>
      <c r="P500" t="n">
        <v>0</v>
      </c>
      <c r="Q500" t="n">
        <v>0</v>
      </c>
      <c r="R500" s="2" t="inlineStr"/>
    </row>
    <row r="501" ht="15" customHeight="1">
      <c r="A501" t="inlineStr">
        <is>
          <t>A 31551-2025</t>
        </is>
      </c>
      <c r="B501" s="1" t="n">
        <v>45833.64237268519</v>
      </c>
      <c r="C501" s="1" t="n">
        <v>45904</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37088-2025</t>
        </is>
      </c>
      <c r="B502" s="1" t="n">
        <v>45875.45716435185</v>
      </c>
      <c r="C502" s="1" t="n">
        <v>45904</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12630-2023</t>
        </is>
      </c>
      <c r="B503" s="1" t="n">
        <v>45000.47998842593</v>
      </c>
      <c r="C503" s="1" t="n">
        <v>45904</v>
      </c>
      <c r="D503" t="inlineStr">
        <is>
          <t>KALMAR LÄN</t>
        </is>
      </c>
      <c r="E503" t="inlineStr">
        <is>
          <t>VIMMERBY</t>
        </is>
      </c>
      <c r="G503" t="n">
        <v>2.1</v>
      </c>
      <c r="H503" t="n">
        <v>0</v>
      </c>
      <c r="I503" t="n">
        <v>0</v>
      </c>
      <c r="J503" t="n">
        <v>0</v>
      </c>
      <c r="K503" t="n">
        <v>0</v>
      </c>
      <c r="L503" t="n">
        <v>0</v>
      </c>
      <c r="M503" t="n">
        <v>0</v>
      </c>
      <c r="N503" t="n">
        <v>0</v>
      </c>
      <c r="O503" t="n">
        <v>0</v>
      </c>
      <c r="P503" t="n">
        <v>0</v>
      </c>
      <c r="Q503" t="n">
        <v>0</v>
      </c>
      <c r="R503" s="2" t="inlineStr"/>
    </row>
    <row r="504" ht="15" customHeight="1">
      <c r="A504" t="inlineStr">
        <is>
          <t>A 30882-2025</t>
        </is>
      </c>
      <c r="B504" s="1" t="n">
        <v>45832.34540509259</v>
      </c>
      <c r="C504" s="1" t="n">
        <v>45904</v>
      </c>
      <c r="D504" t="inlineStr">
        <is>
          <t>KALMAR LÄN</t>
        </is>
      </c>
      <c r="E504" t="inlineStr">
        <is>
          <t>VIMMERBY</t>
        </is>
      </c>
      <c r="G504" t="n">
        <v>0.7</v>
      </c>
      <c r="H504" t="n">
        <v>0</v>
      </c>
      <c r="I504" t="n">
        <v>0</v>
      </c>
      <c r="J504" t="n">
        <v>0</v>
      </c>
      <c r="K504" t="n">
        <v>0</v>
      </c>
      <c r="L504" t="n">
        <v>0</v>
      </c>
      <c r="M504" t="n">
        <v>0</v>
      </c>
      <c r="N504" t="n">
        <v>0</v>
      </c>
      <c r="O504" t="n">
        <v>0</v>
      </c>
      <c r="P504" t="n">
        <v>0</v>
      </c>
      <c r="Q504" t="n">
        <v>0</v>
      </c>
      <c r="R504" s="2" t="inlineStr"/>
    </row>
    <row r="505" ht="15" customHeight="1">
      <c r="A505" t="inlineStr">
        <is>
          <t>A 61820-2023</t>
        </is>
      </c>
      <c r="B505" s="1" t="n">
        <v>45266.32614583334</v>
      </c>
      <c r="C505" s="1" t="n">
        <v>45904</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21109-2024</t>
        </is>
      </c>
      <c r="B506" s="1" t="n">
        <v>45440.28329861111</v>
      </c>
      <c r="C506" s="1" t="n">
        <v>45904</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31872-2025</t>
        </is>
      </c>
      <c r="B507" s="1" t="n">
        <v>45834.65040509259</v>
      </c>
      <c r="C507" s="1" t="n">
        <v>45904</v>
      </c>
      <c r="D507" t="inlineStr">
        <is>
          <t>KALMAR LÄN</t>
        </is>
      </c>
      <c r="E507" t="inlineStr">
        <is>
          <t>VIMMERBY</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30634-2024</t>
        </is>
      </c>
      <c r="B508" s="1" t="n">
        <v>45495</v>
      </c>
      <c r="C508" s="1" t="n">
        <v>45904</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40260-2024</t>
        </is>
      </c>
      <c r="B509" s="1" t="n">
        <v>45554.63225694445</v>
      </c>
      <c r="C509" s="1" t="n">
        <v>45904</v>
      </c>
      <c r="D509" t="inlineStr">
        <is>
          <t>KALMAR LÄN</t>
        </is>
      </c>
      <c r="E509" t="inlineStr">
        <is>
          <t>VIMMERBY</t>
        </is>
      </c>
      <c r="G509" t="n">
        <v>1.2</v>
      </c>
      <c r="H509" t="n">
        <v>0</v>
      </c>
      <c r="I509" t="n">
        <v>0</v>
      </c>
      <c r="J509" t="n">
        <v>0</v>
      </c>
      <c r="K509" t="n">
        <v>0</v>
      </c>
      <c r="L509" t="n">
        <v>0</v>
      </c>
      <c r="M509" t="n">
        <v>0</v>
      </c>
      <c r="N509" t="n">
        <v>0</v>
      </c>
      <c r="O509" t="n">
        <v>0</v>
      </c>
      <c r="P509" t="n">
        <v>0</v>
      </c>
      <c r="Q509" t="n">
        <v>0</v>
      </c>
      <c r="R509" s="2" t="inlineStr"/>
    </row>
    <row r="510" ht="15" customHeight="1">
      <c r="A510" t="inlineStr">
        <is>
          <t>A 8559-2025</t>
        </is>
      </c>
      <c r="B510" s="1" t="n">
        <v>45709.62280092593</v>
      </c>
      <c r="C510" s="1" t="n">
        <v>45904</v>
      </c>
      <c r="D510" t="inlineStr">
        <is>
          <t>KALMAR LÄN</t>
        </is>
      </c>
      <c r="E510" t="inlineStr">
        <is>
          <t>VIMMERBY</t>
        </is>
      </c>
      <c r="G510" t="n">
        <v>8.9</v>
      </c>
      <c r="H510" t="n">
        <v>0</v>
      </c>
      <c r="I510" t="n">
        <v>0</v>
      </c>
      <c r="J510" t="n">
        <v>0</v>
      </c>
      <c r="K510" t="n">
        <v>0</v>
      </c>
      <c r="L510" t="n">
        <v>0</v>
      </c>
      <c r="M510" t="n">
        <v>0</v>
      </c>
      <c r="N510" t="n">
        <v>0</v>
      </c>
      <c r="O510" t="n">
        <v>0</v>
      </c>
      <c r="P510" t="n">
        <v>0</v>
      </c>
      <c r="Q510" t="n">
        <v>0</v>
      </c>
      <c r="R510" s="2" t="inlineStr"/>
    </row>
    <row r="511" ht="15" customHeight="1">
      <c r="A511" t="inlineStr">
        <is>
          <t>A 32064-2025</t>
        </is>
      </c>
      <c r="B511" s="1" t="n">
        <v>45835.44709490741</v>
      </c>
      <c r="C511" s="1" t="n">
        <v>45904</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32109-2025</t>
        </is>
      </c>
      <c r="B512" s="1" t="n">
        <v>45835.48267361111</v>
      </c>
      <c r="C512" s="1" t="n">
        <v>45904</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32113-2025</t>
        </is>
      </c>
      <c r="B513" s="1" t="n">
        <v>45835.48445601852</v>
      </c>
      <c r="C513" s="1" t="n">
        <v>45904</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32116-2025</t>
        </is>
      </c>
      <c r="B514" s="1" t="n">
        <v>45835.48862268519</v>
      </c>
      <c r="C514" s="1" t="n">
        <v>45904</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59943-2023</t>
        </is>
      </c>
      <c r="B515" s="1" t="n">
        <v>45257.67958333333</v>
      </c>
      <c r="C515" s="1" t="n">
        <v>45904</v>
      </c>
      <c r="D515" t="inlineStr">
        <is>
          <t>KALMAR LÄN</t>
        </is>
      </c>
      <c r="E515" t="inlineStr">
        <is>
          <t>VIMMERBY</t>
        </is>
      </c>
      <c r="G515" t="n">
        <v>6.4</v>
      </c>
      <c r="H515" t="n">
        <v>0</v>
      </c>
      <c r="I515" t="n">
        <v>0</v>
      </c>
      <c r="J515" t="n">
        <v>0</v>
      </c>
      <c r="K515" t="n">
        <v>0</v>
      </c>
      <c r="L515" t="n">
        <v>0</v>
      </c>
      <c r="M515" t="n">
        <v>0</v>
      </c>
      <c r="N515" t="n">
        <v>0</v>
      </c>
      <c r="O515" t="n">
        <v>0</v>
      </c>
      <c r="P515" t="n">
        <v>0</v>
      </c>
      <c r="Q515" t="n">
        <v>0</v>
      </c>
      <c r="R515" s="2" t="inlineStr"/>
    </row>
    <row r="516" ht="15" customHeight="1">
      <c r="A516" t="inlineStr">
        <is>
          <t>A 5527-2022</t>
        </is>
      </c>
      <c r="B516" s="1" t="n">
        <v>44595.583125</v>
      </c>
      <c r="C516" s="1" t="n">
        <v>45904</v>
      </c>
      <c r="D516" t="inlineStr">
        <is>
          <t>KALMAR LÄN</t>
        </is>
      </c>
      <c r="E516" t="inlineStr">
        <is>
          <t>VIMMERBY</t>
        </is>
      </c>
      <c r="G516" t="n">
        <v>3.6</v>
      </c>
      <c r="H516" t="n">
        <v>0</v>
      </c>
      <c r="I516" t="n">
        <v>0</v>
      </c>
      <c r="J516" t="n">
        <v>0</v>
      </c>
      <c r="K516" t="n">
        <v>0</v>
      </c>
      <c r="L516" t="n">
        <v>0</v>
      </c>
      <c r="M516" t="n">
        <v>0</v>
      </c>
      <c r="N516" t="n">
        <v>0</v>
      </c>
      <c r="O516" t="n">
        <v>0</v>
      </c>
      <c r="P516" t="n">
        <v>0</v>
      </c>
      <c r="Q516" t="n">
        <v>0</v>
      </c>
      <c r="R516" s="2" t="inlineStr"/>
    </row>
    <row r="517" ht="15" customHeight="1">
      <c r="A517" t="inlineStr">
        <is>
          <t>A 31870-2025</t>
        </is>
      </c>
      <c r="B517" s="1" t="n">
        <v>45834.64667824074</v>
      </c>
      <c r="C517" s="1" t="n">
        <v>45904</v>
      </c>
      <c r="D517" t="inlineStr">
        <is>
          <t>KALMAR LÄN</t>
        </is>
      </c>
      <c r="E517" t="inlineStr">
        <is>
          <t>VIMMERBY</t>
        </is>
      </c>
      <c r="F517" t="inlineStr">
        <is>
          <t>Sveaskog</t>
        </is>
      </c>
      <c r="G517" t="n">
        <v>3.5</v>
      </c>
      <c r="H517" t="n">
        <v>0</v>
      </c>
      <c r="I517" t="n">
        <v>0</v>
      </c>
      <c r="J517" t="n">
        <v>0</v>
      </c>
      <c r="K517" t="n">
        <v>0</v>
      </c>
      <c r="L517" t="n">
        <v>0</v>
      </c>
      <c r="M517" t="n">
        <v>0</v>
      </c>
      <c r="N517" t="n">
        <v>0</v>
      </c>
      <c r="O517" t="n">
        <v>0</v>
      </c>
      <c r="P517" t="n">
        <v>0</v>
      </c>
      <c r="Q517" t="n">
        <v>0</v>
      </c>
      <c r="R517" s="2" t="inlineStr"/>
    </row>
    <row r="518" ht="15" customHeight="1">
      <c r="A518" t="inlineStr">
        <is>
          <t>A 12325-2023</t>
        </is>
      </c>
      <c r="B518" s="1" t="n">
        <v>44999.35858796296</v>
      </c>
      <c r="C518" s="1" t="n">
        <v>45904</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45560-2021</t>
        </is>
      </c>
      <c r="B519" s="1" t="n">
        <v>44440</v>
      </c>
      <c r="C519" s="1" t="n">
        <v>45904</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1016-2024</t>
        </is>
      </c>
      <c r="B520" s="1" t="n">
        <v>45301</v>
      </c>
      <c r="C520" s="1" t="n">
        <v>45904</v>
      </c>
      <c r="D520" t="inlineStr">
        <is>
          <t>KALMAR LÄN</t>
        </is>
      </c>
      <c r="E520" t="inlineStr">
        <is>
          <t>VIMMERBY</t>
        </is>
      </c>
      <c r="G520" t="n">
        <v>1</v>
      </c>
      <c r="H520" t="n">
        <v>0</v>
      </c>
      <c r="I520" t="n">
        <v>0</v>
      </c>
      <c r="J520" t="n">
        <v>0</v>
      </c>
      <c r="K520" t="n">
        <v>0</v>
      </c>
      <c r="L520" t="n">
        <v>0</v>
      </c>
      <c r="M520" t="n">
        <v>0</v>
      </c>
      <c r="N520" t="n">
        <v>0</v>
      </c>
      <c r="O520" t="n">
        <v>0</v>
      </c>
      <c r="P520" t="n">
        <v>0</v>
      </c>
      <c r="Q520" t="n">
        <v>0</v>
      </c>
      <c r="R520" s="2" t="inlineStr"/>
    </row>
    <row r="521" ht="15" customHeight="1">
      <c r="A521" t="inlineStr">
        <is>
          <t>A 32065-2025</t>
        </is>
      </c>
      <c r="B521" s="1" t="n">
        <v>45835.44732638889</v>
      </c>
      <c r="C521" s="1" t="n">
        <v>45904</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31987-2025</t>
        </is>
      </c>
      <c r="B522" s="1" t="n">
        <v>45835.36229166666</v>
      </c>
      <c r="C522" s="1" t="n">
        <v>45904</v>
      </c>
      <c r="D522" t="inlineStr">
        <is>
          <t>KALMAR LÄN</t>
        </is>
      </c>
      <c r="E522" t="inlineStr">
        <is>
          <t>VIMMERBY</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32077-2025</t>
        </is>
      </c>
      <c r="B523" s="1" t="n">
        <v>45835.45099537037</v>
      </c>
      <c r="C523" s="1" t="n">
        <v>45904</v>
      </c>
      <c r="D523" t="inlineStr">
        <is>
          <t>KALMAR LÄN</t>
        </is>
      </c>
      <c r="E523" t="inlineStr">
        <is>
          <t>VIMMERBY</t>
        </is>
      </c>
      <c r="G523" t="n">
        <v>1.8</v>
      </c>
      <c r="H523" t="n">
        <v>0</v>
      </c>
      <c r="I523" t="n">
        <v>0</v>
      </c>
      <c r="J523" t="n">
        <v>0</v>
      </c>
      <c r="K523" t="n">
        <v>0</v>
      </c>
      <c r="L523" t="n">
        <v>0</v>
      </c>
      <c r="M523" t="n">
        <v>0</v>
      </c>
      <c r="N523" t="n">
        <v>0</v>
      </c>
      <c r="O523" t="n">
        <v>0</v>
      </c>
      <c r="P523" t="n">
        <v>0</v>
      </c>
      <c r="Q523" t="n">
        <v>0</v>
      </c>
      <c r="R523" s="2" t="inlineStr"/>
    </row>
    <row r="524" ht="15" customHeight="1">
      <c r="A524" t="inlineStr">
        <is>
          <t>A 40256-2024</t>
        </is>
      </c>
      <c r="B524" s="1" t="n">
        <v>45554.62944444444</v>
      </c>
      <c r="C524" s="1" t="n">
        <v>45904</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32120-2025</t>
        </is>
      </c>
      <c r="B525" s="1" t="n">
        <v>45835.4924537037</v>
      </c>
      <c r="C525" s="1" t="n">
        <v>45904</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43998-2020</t>
        </is>
      </c>
      <c r="B526" s="1" t="n">
        <v>44083</v>
      </c>
      <c r="C526" s="1" t="n">
        <v>45904</v>
      </c>
      <c r="D526" t="inlineStr">
        <is>
          <t>KALMAR LÄN</t>
        </is>
      </c>
      <c r="E526" t="inlineStr">
        <is>
          <t>VIMMERBY</t>
        </is>
      </c>
      <c r="G526" t="n">
        <v>0.7</v>
      </c>
      <c r="H526" t="n">
        <v>0</v>
      </c>
      <c r="I526" t="n">
        <v>0</v>
      </c>
      <c r="J526" t="n">
        <v>0</v>
      </c>
      <c r="K526" t="n">
        <v>0</v>
      </c>
      <c r="L526" t="n">
        <v>0</v>
      </c>
      <c r="M526" t="n">
        <v>0</v>
      </c>
      <c r="N526" t="n">
        <v>0</v>
      </c>
      <c r="O526" t="n">
        <v>0</v>
      </c>
      <c r="P526" t="n">
        <v>0</v>
      </c>
      <c r="Q526" t="n">
        <v>0</v>
      </c>
      <c r="R526" s="2" t="inlineStr"/>
    </row>
    <row r="527" ht="15" customHeight="1">
      <c r="A527" t="inlineStr">
        <is>
          <t>A 31876-2025</t>
        </is>
      </c>
      <c r="B527" s="1" t="n">
        <v>45834.65197916667</v>
      </c>
      <c r="C527" s="1" t="n">
        <v>45904</v>
      </c>
      <c r="D527" t="inlineStr">
        <is>
          <t>KALMAR LÄN</t>
        </is>
      </c>
      <c r="E527" t="inlineStr">
        <is>
          <t>VIMMERBY</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33681-2022</t>
        </is>
      </c>
      <c r="B528" s="1" t="n">
        <v>44789</v>
      </c>
      <c r="C528" s="1" t="n">
        <v>45904</v>
      </c>
      <c r="D528" t="inlineStr">
        <is>
          <t>KALMAR LÄN</t>
        </is>
      </c>
      <c r="E528" t="inlineStr">
        <is>
          <t>VIMMERBY</t>
        </is>
      </c>
      <c r="G528" t="n">
        <v>3.2</v>
      </c>
      <c r="H528" t="n">
        <v>0</v>
      </c>
      <c r="I528" t="n">
        <v>0</v>
      </c>
      <c r="J528" t="n">
        <v>0</v>
      </c>
      <c r="K528" t="n">
        <v>0</v>
      </c>
      <c r="L528" t="n">
        <v>0</v>
      </c>
      <c r="M528" t="n">
        <v>0</v>
      </c>
      <c r="N528" t="n">
        <v>0</v>
      </c>
      <c r="O528" t="n">
        <v>0</v>
      </c>
      <c r="P528" t="n">
        <v>0</v>
      </c>
      <c r="Q528" t="n">
        <v>0</v>
      </c>
      <c r="R528" s="2" t="inlineStr"/>
    </row>
    <row r="529" ht="15" customHeight="1">
      <c r="A529" t="inlineStr">
        <is>
          <t>A 58104-2024</t>
        </is>
      </c>
      <c r="B529" s="1" t="n">
        <v>45632.37459490741</v>
      </c>
      <c r="C529" s="1" t="n">
        <v>45904</v>
      </c>
      <c r="D529" t="inlineStr">
        <is>
          <t>KALMAR LÄN</t>
        </is>
      </c>
      <c r="E529" t="inlineStr">
        <is>
          <t>VIMMERBY</t>
        </is>
      </c>
      <c r="G529" t="n">
        <v>5</v>
      </c>
      <c r="H529" t="n">
        <v>0</v>
      </c>
      <c r="I529" t="n">
        <v>0</v>
      </c>
      <c r="J529" t="n">
        <v>0</v>
      </c>
      <c r="K529" t="n">
        <v>0</v>
      </c>
      <c r="L529" t="n">
        <v>0</v>
      </c>
      <c r="M529" t="n">
        <v>0</v>
      </c>
      <c r="N529" t="n">
        <v>0</v>
      </c>
      <c r="O529" t="n">
        <v>0</v>
      </c>
      <c r="P529" t="n">
        <v>0</v>
      </c>
      <c r="Q529" t="n">
        <v>0</v>
      </c>
      <c r="R529" s="2" t="inlineStr"/>
    </row>
    <row r="530" ht="15" customHeight="1">
      <c r="A530" t="inlineStr">
        <is>
          <t>A 36259-2022</t>
        </is>
      </c>
      <c r="B530" s="1" t="n">
        <v>44803.59118055556</v>
      </c>
      <c r="C530" s="1" t="n">
        <v>45904</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43034-2024</t>
        </is>
      </c>
      <c r="B531" s="1" t="n">
        <v>45567.42011574074</v>
      </c>
      <c r="C531" s="1" t="n">
        <v>45904</v>
      </c>
      <c r="D531" t="inlineStr">
        <is>
          <t>KALMAR LÄN</t>
        </is>
      </c>
      <c r="E531" t="inlineStr">
        <is>
          <t>VIMMERBY</t>
        </is>
      </c>
      <c r="G531" t="n">
        <v>1.8</v>
      </c>
      <c r="H531" t="n">
        <v>0</v>
      </c>
      <c r="I531" t="n">
        <v>0</v>
      </c>
      <c r="J531" t="n">
        <v>0</v>
      </c>
      <c r="K531" t="n">
        <v>0</v>
      </c>
      <c r="L531" t="n">
        <v>0</v>
      </c>
      <c r="M531" t="n">
        <v>0</v>
      </c>
      <c r="N531" t="n">
        <v>0</v>
      </c>
      <c r="O531" t="n">
        <v>0</v>
      </c>
      <c r="P531" t="n">
        <v>0</v>
      </c>
      <c r="Q531" t="n">
        <v>0</v>
      </c>
      <c r="R531" s="2" t="inlineStr"/>
    </row>
    <row r="532" ht="15" customHeight="1">
      <c r="A532" t="inlineStr">
        <is>
          <t>A 3902-2022</t>
        </is>
      </c>
      <c r="B532" s="1" t="n">
        <v>44587.48847222222</v>
      </c>
      <c r="C532" s="1" t="n">
        <v>45904</v>
      </c>
      <c r="D532" t="inlineStr">
        <is>
          <t>KALMAR LÄN</t>
        </is>
      </c>
      <c r="E532" t="inlineStr">
        <is>
          <t>VIMMERBY</t>
        </is>
      </c>
      <c r="G532" t="n">
        <v>2.6</v>
      </c>
      <c r="H532" t="n">
        <v>0</v>
      </c>
      <c r="I532" t="n">
        <v>0</v>
      </c>
      <c r="J532" t="n">
        <v>0</v>
      </c>
      <c r="K532" t="n">
        <v>0</v>
      </c>
      <c r="L532" t="n">
        <v>0</v>
      </c>
      <c r="M532" t="n">
        <v>0</v>
      </c>
      <c r="N532" t="n">
        <v>0</v>
      </c>
      <c r="O532" t="n">
        <v>0</v>
      </c>
      <c r="P532" t="n">
        <v>0</v>
      </c>
      <c r="Q532" t="n">
        <v>0</v>
      </c>
      <c r="R532" s="2" t="inlineStr"/>
    </row>
    <row r="533" ht="15" customHeight="1">
      <c r="A533" t="inlineStr">
        <is>
          <t>A 30070-2023</t>
        </is>
      </c>
      <c r="B533" s="1" t="n">
        <v>45110.4275</v>
      </c>
      <c r="C533" s="1" t="n">
        <v>45904</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5074-2023</t>
        </is>
      </c>
      <c r="B534" s="1" t="n">
        <v>44958.61047453704</v>
      </c>
      <c r="C534" s="1" t="n">
        <v>45904</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51187-2023</t>
        </is>
      </c>
      <c r="B535" s="1" t="n">
        <v>45219.40528935185</v>
      </c>
      <c r="C535" s="1" t="n">
        <v>45904</v>
      </c>
      <c r="D535" t="inlineStr">
        <is>
          <t>KALMAR LÄN</t>
        </is>
      </c>
      <c r="E535" t="inlineStr">
        <is>
          <t>VIMMERBY</t>
        </is>
      </c>
      <c r="G535" t="n">
        <v>0.6</v>
      </c>
      <c r="H535" t="n">
        <v>0</v>
      </c>
      <c r="I535" t="n">
        <v>0</v>
      </c>
      <c r="J535" t="n">
        <v>0</v>
      </c>
      <c r="K535" t="n">
        <v>0</v>
      </c>
      <c r="L535" t="n">
        <v>0</v>
      </c>
      <c r="M535" t="n">
        <v>0</v>
      </c>
      <c r="N535" t="n">
        <v>0</v>
      </c>
      <c r="O535" t="n">
        <v>0</v>
      </c>
      <c r="P535" t="n">
        <v>0</v>
      </c>
      <c r="Q535" t="n">
        <v>0</v>
      </c>
      <c r="R535" s="2" t="inlineStr"/>
    </row>
    <row r="536" ht="15" customHeight="1">
      <c r="A536" t="inlineStr">
        <is>
          <t>A 37667-2025</t>
        </is>
      </c>
      <c r="B536" s="1" t="n">
        <v>45880.51413194444</v>
      </c>
      <c r="C536" s="1" t="n">
        <v>45904</v>
      </c>
      <c r="D536" t="inlineStr">
        <is>
          <t>KALMAR LÄN</t>
        </is>
      </c>
      <c r="E536" t="inlineStr">
        <is>
          <t>VIMMERBY</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31209-2024</t>
        </is>
      </c>
      <c r="B537" s="1" t="n">
        <v>45503.5658912037</v>
      </c>
      <c r="C537" s="1" t="n">
        <v>45904</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37866-2025</t>
        </is>
      </c>
      <c r="B538" s="1" t="n">
        <v>45881</v>
      </c>
      <c r="C538" s="1" t="n">
        <v>45904</v>
      </c>
      <c r="D538" t="inlineStr">
        <is>
          <t>KALMAR LÄN</t>
        </is>
      </c>
      <c r="E538" t="inlineStr">
        <is>
          <t>VIMMERBY</t>
        </is>
      </c>
      <c r="G538" t="n">
        <v>3.4</v>
      </c>
      <c r="H538" t="n">
        <v>0</v>
      </c>
      <c r="I538" t="n">
        <v>0</v>
      </c>
      <c r="J538" t="n">
        <v>0</v>
      </c>
      <c r="K538" t="n">
        <v>0</v>
      </c>
      <c r="L538" t="n">
        <v>0</v>
      </c>
      <c r="M538" t="n">
        <v>0</v>
      </c>
      <c r="N538" t="n">
        <v>0</v>
      </c>
      <c r="O538" t="n">
        <v>0</v>
      </c>
      <c r="P538" t="n">
        <v>0</v>
      </c>
      <c r="Q538" t="n">
        <v>0</v>
      </c>
      <c r="R538" s="2" t="inlineStr"/>
    </row>
    <row r="539" ht="15" customHeight="1">
      <c r="A539" t="inlineStr">
        <is>
          <t>A 37668-2025</t>
        </is>
      </c>
      <c r="B539" s="1" t="n">
        <v>45880.51550925926</v>
      </c>
      <c r="C539" s="1" t="n">
        <v>45904</v>
      </c>
      <c r="D539" t="inlineStr">
        <is>
          <t>KALMAR LÄN</t>
        </is>
      </c>
      <c r="E539" t="inlineStr">
        <is>
          <t>VIMMERBY</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15715-2022</t>
        </is>
      </c>
      <c r="B540" s="1" t="n">
        <v>44663</v>
      </c>
      <c r="C540" s="1" t="n">
        <v>45904</v>
      </c>
      <c r="D540" t="inlineStr">
        <is>
          <t>KALMAR LÄN</t>
        </is>
      </c>
      <c r="E540" t="inlineStr">
        <is>
          <t>VIMMERBY</t>
        </is>
      </c>
      <c r="G540" t="n">
        <v>2.3</v>
      </c>
      <c r="H540" t="n">
        <v>0</v>
      </c>
      <c r="I540" t="n">
        <v>0</v>
      </c>
      <c r="J540" t="n">
        <v>0</v>
      </c>
      <c r="K540" t="n">
        <v>0</v>
      </c>
      <c r="L540" t="n">
        <v>0</v>
      </c>
      <c r="M540" t="n">
        <v>0</v>
      </c>
      <c r="N540" t="n">
        <v>0</v>
      </c>
      <c r="O540" t="n">
        <v>0</v>
      </c>
      <c r="P540" t="n">
        <v>0</v>
      </c>
      <c r="Q540" t="n">
        <v>0</v>
      </c>
      <c r="R540" s="2" t="inlineStr"/>
    </row>
    <row r="541" ht="15" customHeight="1">
      <c r="A541" t="inlineStr">
        <is>
          <t>A 37939-2025</t>
        </is>
      </c>
      <c r="B541" s="1" t="n">
        <v>45881.59877314815</v>
      </c>
      <c r="C541" s="1" t="n">
        <v>45904</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4527-2023</t>
        </is>
      </c>
      <c r="B542" s="1" t="n">
        <v>44956</v>
      </c>
      <c r="C542" s="1" t="n">
        <v>45904</v>
      </c>
      <c r="D542" t="inlineStr">
        <is>
          <t>KALMAR LÄN</t>
        </is>
      </c>
      <c r="E542" t="inlineStr">
        <is>
          <t>VIMMERBY</t>
        </is>
      </c>
      <c r="F542" t="inlineStr">
        <is>
          <t>Kommuner</t>
        </is>
      </c>
      <c r="G542" t="n">
        <v>8.5</v>
      </c>
      <c r="H542" t="n">
        <v>0</v>
      </c>
      <c r="I542" t="n">
        <v>0</v>
      </c>
      <c r="J542" t="n">
        <v>0</v>
      </c>
      <c r="K542" t="n">
        <v>0</v>
      </c>
      <c r="L542" t="n">
        <v>0</v>
      </c>
      <c r="M542" t="n">
        <v>0</v>
      </c>
      <c r="N542" t="n">
        <v>0</v>
      </c>
      <c r="O542" t="n">
        <v>0</v>
      </c>
      <c r="P542" t="n">
        <v>0</v>
      </c>
      <c r="Q542" t="n">
        <v>0</v>
      </c>
      <c r="R542" s="2" t="inlineStr"/>
    </row>
    <row r="543" ht="15" customHeight="1">
      <c r="A543" t="inlineStr">
        <is>
          <t>A 32382-2025</t>
        </is>
      </c>
      <c r="B543" s="1" t="n">
        <v>45837.77916666667</v>
      </c>
      <c r="C543" s="1" t="n">
        <v>45904</v>
      </c>
      <c r="D543" t="inlineStr">
        <is>
          <t>KALMAR LÄN</t>
        </is>
      </c>
      <c r="E543" t="inlineStr">
        <is>
          <t>VIMMERBY</t>
        </is>
      </c>
      <c r="G543" t="n">
        <v>4.6</v>
      </c>
      <c r="H543" t="n">
        <v>0</v>
      </c>
      <c r="I543" t="n">
        <v>0</v>
      </c>
      <c r="J543" t="n">
        <v>0</v>
      </c>
      <c r="K543" t="n">
        <v>0</v>
      </c>
      <c r="L543" t="n">
        <v>0</v>
      </c>
      <c r="M543" t="n">
        <v>0</v>
      </c>
      <c r="N543" t="n">
        <v>0</v>
      </c>
      <c r="O543" t="n">
        <v>0</v>
      </c>
      <c r="P543" t="n">
        <v>0</v>
      </c>
      <c r="Q543" t="n">
        <v>0</v>
      </c>
      <c r="R543" s="2" t="inlineStr"/>
    </row>
    <row r="544" ht="15" customHeight="1">
      <c r="A544" t="inlineStr">
        <is>
          <t>A 43093-2024</t>
        </is>
      </c>
      <c r="B544" s="1" t="n">
        <v>45567</v>
      </c>
      <c r="C544" s="1" t="n">
        <v>45904</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12586-2021</t>
        </is>
      </c>
      <c r="B545" s="1" t="n">
        <v>44270.38002314815</v>
      </c>
      <c r="C545" s="1" t="n">
        <v>45904</v>
      </c>
      <c r="D545" t="inlineStr">
        <is>
          <t>KALMAR LÄN</t>
        </is>
      </c>
      <c r="E545" t="inlineStr">
        <is>
          <t>VIMMERBY</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56022-2024</t>
        </is>
      </c>
      <c r="B546" s="1" t="n">
        <v>45623.95947916667</v>
      </c>
      <c r="C546" s="1" t="n">
        <v>45904</v>
      </c>
      <c r="D546" t="inlineStr">
        <is>
          <t>KALMAR LÄN</t>
        </is>
      </c>
      <c r="E546" t="inlineStr">
        <is>
          <t>VIMMERBY</t>
        </is>
      </c>
      <c r="G546" t="n">
        <v>0.3</v>
      </c>
      <c r="H546" t="n">
        <v>0</v>
      </c>
      <c r="I546" t="n">
        <v>0</v>
      </c>
      <c r="J546" t="n">
        <v>0</v>
      </c>
      <c r="K546" t="n">
        <v>0</v>
      </c>
      <c r="L546" t="n">
        <v>0</v>
      </c>
      <c r="M546" t="n">
        <v>0</v>
      </c>
      <c r="N546" t="n">
        <v>0</v>
      </c>
      <c r="O546" t="n">
        <v>0</v>
      </c>
      <c r="P546" t="n">
        <v>0</v>
      </c>
      <c r="Q546" t="n">
        <v>0</v>
      </c>
      <c r="R546" s="2" t="inlineStr"/>
    </row>
    <row r="547" ht="15" customHeight="1">
      <c r="A547" t="inlineStr">
        <is>
          <t>A 5864-2022</t>
        </is>
      </c>
      <c r="B547" s="1" t="n">
        <v>44596</v>
      </c>
      <c r="C547" s="1" t="n">
        <v>45904</v>
      </c>
      <c r="D547" t="inlineStr">
        <is>
          <t>KALMAR LÄN</t>
        </is>
      </c>
      <c r="E547" t="inlineStr">
        <is>
          <t>VIMMERBY</t>
        </is>
      </c>
      <c r="G547" t="n">
        <v>0.7</v>
      </c>
      <c r="H547" t="n">
        <v>0</v>
      </c>
      <c r="I547" t="n">
        <v>0</v>
      </c>
      <c r="J547" t="n">
        <v>0</v>
      </c>
      <c r="K547" t="n">
        <v>0</v>
      </c>
      <c r="L547" t="n">
        <v>0</v>
      </c>
      <c r="M547" t="n">
        <v>0</v>
      </c>
      <c r="N547" t="n">
        <v>0</v>
      </c>
      <c r="O547" t="n">
        <v>0</v>
      </c>
      <c r="P547" t="n">
        <v>0</v>
      </c>
      <c r="Q547" t="n">
        <v>0</v>
      </c>
      <c r="R547" s="2" t="inlineStr"/>
    </row>
    <row r="548" ht="15" customHeight="1">
      <c r="A548" t="inlineStr">
        <is>
          <t>A 18330-2023</t>
        </is>
      </c>
      <c r="B548" s="1" t="n">
        <v>45041</v>
      </c>
      <c r="C548" s="1" t="n">
        <v>45904</v>
      </c>
      <c r="D548" t="inlineStr">
        <is>
          <t>KALMAR LÄN</t>
        </is>
      </c>
      <c r="E548" t="inlineStr">
        <is>
          <t>VIMMERBY</t>
        </is>
      </c>
      <c r="G548" t="n">
        <v>1.7</v>
      </c>
      <c r="H548" t="n">
        <v>0</v>
      </c>
      <c r="I548" t="n">
        <v>0</v>
      </c>
      <c r="J548" t="n">
        <v>0</v>
      </c>
      <c r="K548" t="n">
        <v>0</v>
      </c>
      <c r="L548" t="n">
        <v>0</v>
      </c>
      <c r="M548" t="n">
        <v>0</v>
      </c>
      <c r="N548" t="n">
        <v>0</v>
      </c>
      <c r="O548" t="n">
        <v>0</v>
      </c>
      <c r="P548" t="n">
        <v>0</v>
      </c>
      <c r="Q548" t="n">
        <v>0</v>
      </c>
      <c r="R548" s="2" t="inlineStr"/>
    </row>
    <row r="549" ht="15" customHeight="1">
      <c r="A549" t="inlineStr">
        <is>
          <t>A 32380-2025</t>
        </is>
      </c>
      <c r="B549" s="1" t="n">
        <v>45837.77701388889</v>
      </c>
      <c r="C549" s="1" t="n">
        <v>45904</v>
      </c>
      <c r="D549" t="inlineStr">
        <is>
          <t>KALMAR LÄN</t>
        </is>
      </c>
      <c r="E549" t="inlineStr">
        <is>
          <t>VIMMERBY</t>
        </is>
      </c>
      <c r="G549" t="n">
        <v>3.1</v>
      </c>
      <c r="H549" t="n">
        <v>0</v>
      </c>
      <c r="I549" t="n">
        <v>0</v>
      </c>
      <c r="J549" t="n">
        <v>0</v>
      </c>
      <c r="K549" t="n">
        <v>0</v>
      </c>
      <c r="L549" t="n">
        <v>0</v>
      </c>
      <c r="M549" t="n">
        <v>0</v>
      </c>
      <c r="N549" t="n">
        <v>0</v>
      </c>
      <c r="O549" t="n">
        <v>0</v>
      </c>
      <c r="P549" t="n">
        <v>0</v>
      </c>
      <c r="Q549" t="n">
        <v>0</v>
      </c>
      <c r="R549" s="2" t="inlineStr"/>
    </row>
    <row r="550" ht="15" customHeight="1">
      <c r="A550" t="inlineStr">
        <is>
          <t>A 37578-2025</t>
        </is>
      </c>
      <c r="B550" s="1" t="n">
        <v>45880.38380787037</v>
      </c>
      <c r="C550" s="1" t="n">
        <v>45904</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33186-2025</t>
        </is>
      </c>
      <c r="B551" s="1" t="n">
        <v>45840.59474537037</v>
      </c>
      <c r="C551" s="1" t="n">
        <v>45904</v>
      </c>
      <c r="D551" t="inlineStr">
        <is>
          <t>KALMAR LÄN</t>
        </is>
      </c>
      <c r="E551" t="inlineStr">
        <is>
          <t>VIMMERBY</t>
        </is>
      </c>
      <c r="G551" t="n">
        <v>2.6</v>
      </c>
      <c r="H551" t="n">
        <v>0</v>
      </c>
      <c r="I551" t="n">
        <v>0</v>
      </c>
      <c r="J551" t="n">
        <v>0</v>
      </c>
      <c r="K551" t="n">
        <v>0</v>
      </c>
      <c r="L551" t="n">
        <v>0</v>
      </c>
      <c r="M551" t="n">
        <v>0</v>
      </c>
      <c r="N551" t="n">
        <v>0</v>
      </c>
      <c r="O551" t="n">
        <v>0</v>
      </c>
      <c r="P551" t="n">
        <v>0</v>
      </c>
      <c r="Q551" t="n">
        <v>0</v>
      </c>
      <c r="R551" s="2" t="inlineStr"/>
    </row>
    <row r="552" ht="15" customHeight="1">
      <c r="A552" t="inlineStr">
        <is>
          <t>A 33188-2025</t>
        </is>
      </c>
      <c r="B552" s="1" t="n">
        <v>45840.59853009259</v>
      </c>
      <c r="C552" s="1" t="n">
        <v>45904</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33695-2025</t>
        </is>
      </c>
      <c r="B553" s="1" t="n">
        <v>45841.70569444444</v>
      </c>
      <c r="C553" s="1" t="n">
        <v>45904</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33698-2025</t>
        </is>
      </c>
      <c r="B554" s="1" t="n">
        <v>45841.70868055556</v>
      </c>
      <c r="C554" s="1" t="n">
        <v>45904</v>
      </c>
      <c r="D554" t="inlineStr">
        <is>
          <t>KALMAR LÄN</t>
        </is>
      </c>
      <c r="E554" t="inlineStr">
        <is>
          <t>VIMMERBY</t>
        </is>
      </c>
      <c r="G554" t="n">
        <v>3.7</v>
      </c>
      <c r="H554" t="n">
        <v>0</v>
      </c>
      <c r="I554" t="n">
        <v>0</v>
      </c>
      <c r="J554" t="n">
        <v>0</v>
      </c>
      <c r="K554" t="n">
        <v>0</v>
      </c>
      <c r="L554" t="n">
        <v>0</v>
      </c>
      <c r="M554" t="n">
        <v>0</v>
      </c>
      <c r="N554" t="n">
        <v>0</v>
      </c>
      <c r="O554" t="n">
        <v>0</v>
      </c>
      <c r="P554" t="n">
        <v>0</v>
      </c>
      <c r="Q554" t="n">
        <v>0</v>
      </c>
      <c r="R554" s="2" t="inlineStr"/>
    </row>
    <row r="555" ht="15" customHeight="1">
      <c r="A555" t="inlineStr">
        <is>
          <t>A 30912-2023</t>
        </is>
      </c>
      <c r="B555" s="1" t="n">
        <v>45113.41633101852</v>
      </c>
      <c r="C555" s="1" t="n">
        <v>45904</v>
      </c>
      <c r="D555" t="inlineStr">
        <is>
          <t>KALMAR LÄN</t>
        </is>
      </c>
      <c r="E555" t="inlineStr">
        <is>
          <t>VIMMERBY</t>
        </is>
      </c>
      <c r="G555" t="n">
        <v>5</v>
      </c>
      <c r="H555" t="n">
        <v>0</v>
      </c>
      <c r="I555" t="n">
        <v>0</v>
      </c>
      <c r="J555" t="n">
        <v>0</v>
      </c>
      <c r="K555" t="n">
        <v>0</v>
      </c>
      <c r="L555" t="n">
        <v>0</v>
      </c>
      <c r="M555" t="n">
        <v>0</v>
      </c>
      <c r="N555" t="n">
        <v>0</v>
      </c>
      <c r="O555" t="n">
        <v>0</v>
      </c>
      <c r="P555" t="n">
        <v>0</v>
      </c>
      <c r="Q555" t="n">
        <v>0</v>
      </c>
      <c r="R555" s="2" t="inlineStr"/>
    </row>
    <row r="556" ht="15" customHeight="1">
      <c r="A556" t="inlineStr">
        <is>
          <t>A 20126-2024</t>
        </is>
      </c>
      <c r="B556" s="1" t="n">
        <v>45434.55471064815</v>
      </c>
      <c r="C556" s="1" t="n">
        <v>45904</v>
      </c>
      <c r="D556" t="inlineStr">
        <is>
          <t>KALMAR LÄN</t>
        </is>
      </c>
      <c r="E556" t="inlineStr">
        <is>
          <t>VIMMERBY</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20136-2024</t>
        </is>
      </c>
      <c r="B557" s="1" t="n">
        <v>45434.56291666667</v>
      </c>
      <c r="C557" s="1" t="n">
        <v>45904</v>
      </c>
      <c r="D557" t="inlineStr">
        <is>
          <t>KALMAR LÄN</t>
        </is>
      </c>
      <c r="E557" t="inlineStr">
        <is>
          <t>VIMMERBY</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1146-2025</t>
        </is>
      </c>
      <c r="B558" s="1" t="n">
        <v>45666</v>
      </c>
      <c r="C558" s="1" t="n">
        <v>45904</v>
      </c>
      <c r="D558" t="inlineStr">
        <is>
          <t>KALMAR LÄN</t>
        </is>
      </c>
      <c r="E558" t="inlineStr">
        <is>
          <t>VIMMERBY</t>
        </is>
      </c>
      <c r="G558" t="n">
        <v>4</v>
      </c>
      <c r="H558" t="n">
        <v>0</v>
      </c>
      <c r="I558" t="n">
        <v>0</v>
      </c>
      <c r="J558" t="n">
        <v>0</v>
      </c>
      <c r="K558" t="n">
        <v>0</v>
      </c>
      <c r="L558" t="n">
        <v>0</v>
      </c>
      <c r="M558" t="n">
        <v>0</v>
      </c>
      <c r="N558" t="n">
        <v>0</v>
      </c>
      <c r="O558" t="n">
        <v>0</v>
      </c>
      <c r="P558" t="n">
        <v>0</v>
      </c>
      <c r="Q558" t="n">
        <v>0</v>
      </c>
      <c r="R558" s="2" t="inlineStr"/>
    </row>
    <row r="559" ht="15" customHeight="1">
      <c r="A559" t="inlineStr">
        <is>
          <t>A 30977-2025</t>
        </is>
      </c>
      <c r="B559" s="1" t="n">
        <v>45832.46649305556</v>
      </c>
      <c r="C559" s="1" t="n">
        <v>45904</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46921-2023</t>
        </is>
      </c>
      <c r="B560" s="1" t="n">
        <v>45201.39996527778</v>
      </c>
      <c r="C560" s="1" t="n">
        <v>45904</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33696-2025</t>
        </is>
      </c>
      <c r="B561" s="1" t="n">
        <v>45841.7072337963</v>
      </c>
      <c r="C561" s="1" t="n">
        <v>45904</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25236-2023</t>
        </is>
      </c>
      <c r="B562" s="1" t="n">
        <v>45086.63334490741</v>
      </c>
      <c r="C562" s="1" t="n">
        <v>45904</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62023-2022</t>
        </is>
      </c>
      <c r="B563" s="1" t="n">
        <v>44918.50106481482</v>
      </c>
      <c r="C563" s="1" t="n">
        <v>45904</v>
      </c>
      <c r="D563" t="inlineStr">
        <is>
          <t>KALMAR LÄN</t>
        </is>
      </c>
      <c r="E563" t="inlineStr">
        <is>
          <t>VIMMERBY</t>
        </is>
      </c>
      <c r="G563" t="n">
        <v>0.3</v>
      </c>
      <c r="H563" t="n">
        <v>0</v>
      </c>
      <c r="I563" t="n">
        <v>0</v>
      </c>
      <c r="J563" t="n">
        <v>0</v>
      </c>
      <c r="K563" t="n">
        <v>0</v>
      </c>
      <c r="L563" t="n">
        <v>0</v>
      </c>
      <c r="M563" t="n">
        <v>0</v>
      </c>
      <c r="N563" t="n">
        <v>0</v>
      </c>
      <c r="O563" t="n">
        <v>0</v>
      </c>
      <c r="P563" t="n">
        <v>0</v>
      </c>
      <c r="Q563" t="n">
        <v>0</v>
      </c>
      <c r="R563" s="2" t="inlineStr"/>
    </row>
    <row r="564" ht="15" customHeight="1">
      <c r="A564" t="inlineStr">
        <is>
          <t>A 26956-2025</t>
        </is>
      </c>
      <c r="B564" s="1" t="n">
        <v>45811.45460648148</v>
      </c>
      <c r="C564" s="1" t="n">
        <v>45904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6082-2022</t>
        </is>
      </c>
      <c r="B565" s="1" t="n">
        <v>44599</v>
      </c>
      <c r="C565" s="1" t="n">
        <v>45904</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38602-2025</t>
        </is>
      </c>
      <c r="B566" s="1" t="n">
        <v>45884.50331018519</v>
      </c>
      <c r="C566" s="1" t="n">
        <v>45904</v>
      </c>
      <c r="D566" t="inlineStr">
        <is>
          <t>KALMAR LÄN</t>
        </is>
      </c>
      <c r="E566" t="inlineStr">
        <is>
          <t>VIMMERBY</t>
        </is>
      </c>
      <c r="F566" t="inlineStr">
        <is>
          <t>Sveaskog</t>
        </is>
      </c>
      <c r="G566" t="n">
        <v>4.9</v>
      </c>
      <c r="H566" t="n">
        <v>0</v>
      </c>
      <c r="I566" t="n">
        <v>0</v>
      </c>
      <c r="J566" t="n">
        <v>0</v>
      </c>
      <c r="K566" t="n">
        <v>0</v>
      </c>
      <c r="L566" t="n">
        <v>0</v>
      </c>
      <c r="M566" t="n">
        <v>0</v>
      </c>
      <c r="N566" t="n">
        <v>0</v>
      </c>
      <c r="O566" t="n">
        <v>0</v>
      </c>
      <c r="P566" t="n">
        <v>0</v>
      </c>
      <c r="Q566" t="n">
        <v>0</v>
      </c>
      <c r="R566" s="2" t="inlineStr"/>
    </row>
    <row r="567" ht="15" customHeight="1">
      <c r="A567" t="inlineStr">
        <is>
          <t>A 34060-2025</t>
        </is>
      </c>
      <c r="B567" s="1" t="n">
        <v>45845.42015046296</v>
      </c>
      <c r="C567" s="1" t="n">
        <v>45904</v>
      </c>
      <c r="D567" t="inlineStr">
        <is>
          <t>KALMAR LÄN</t>
        </is>
      </c>
      <c r="E567" t="inlineStr">
        <is>
          <t>VIMMERBY</t>
        </is>
      </c>
      <c r="G567" t="n">
        <v>5.7</v>
      </c>
      <c r="H567" t="n">
        <v>0</v>
      </c>
      <c r="I567" t="n">
        <v>0</v>
      </c>
      <c r="J567" t="n">
        <v>0</v>
      </c>
      <c r="K567" t="n">
        <v>0</v>
      </c>
      <c r="L567" t="n">
        <v>0</v>
      </c>
      <c r="M567" t="n">
        <v>0</v>
      </c>
      <c r="N567" t="n">
        <v>0</v>
      </c>
      <c r="O567" t="n">
        <v>0</v>
      </c>
      <c r="P567" t="n">
        <v>0</v>
      </c>
      <c r="Q567" t="n">
        <v>0</v>
      </c>
      <c r="R567" s="2" t="inlineStr"/>
    </row>
    <row r="568" ht="15" customHeight="1">
      <c r="A568" t="inlineStr">
        <is>
          <t>A 16119-2023</t>
        </is>
      </c>
      <c r="B568" s="1" t="n">
        <v>45027.59450231482</v>
      </c>
      <c r="C568" s="1" t="n">
        <v>45904</v>
      </c>
      <c r="D568" t="inlineStr">
        <is>
          <t>KALMAR LÄN</t>
        </is>
      </c>
      <c r="E568" t="inlineStr">
        <is>
          <t>VIMMERBY</t>
        </is>
      </c>
      <c r="F568" t="inlineStr">
        <is>
          <t>Kommuner</t>
        </is>
      </c>
      <c r="G568" t="n">
        <v>4.4</v>
      </c>
      <c r="H568" t="n">
        <v>0</v>
      </c>
      <c r="I568" t="n">
        <v>0</v>
      </c>
      <c r="J568" t="n">
        <v>0</v>
      </c>
      <c r="K568" t="n">
        <v>0</v>
      </c>
      <c r="L568" t="n">
        <v>0</v>
      </c>
      <c r="M568" t="n">
        <v>0</v>
      </c>
      <c r="N568" t="n">
        <v>0</v>
      </c>
      <c r="O568" t="n">
        <v>0</v>
      </c>
      <c r="P568" t="n">
        <v>0</v>
      </c>
      <c r="Q568" t="n">
        <v>0</v>
      </c>
      <c r="R568" s="2" t="inlineStr"/>
    </row>
    <row r="569" ht="15" customHeight="1">
      <c r="A569" t="inlineStr">
        <is>
          <t>A 2801-2023</t>
        </is>
      </c>
      <c r="B569" s="1" t="n">
        <v>44944.73487268519</v>
      </c>
      <c r="C569" s="1" t="n">
        <v>45904</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5146-2024</t>
        </is>
      </c>
      <c r="B570" s="1" t="n">
        <v>45330</v>
      </c>
      <c r="C570" s="1" t="n">
        <v>45904</v>
      </c>
      <c r="D570" t="inlineStr">
        <is>
          <t>KALMAR LÄN</t>
        </is>
      </c>
      <c r="E570" t="inlineStr">
        <is>
          <t>VIMMERBY</t>
        </is>
      </c>
      <c r="G570" t="n">
        <v>5.3</v>
      </c>
      <c r="H570" t="n">
        <v>0</v>
      </c>
      <c r="I570" t="n">
        <v>0</v>
      </c>
      <c r="J570" t="n">
        <v>0</v>
      </c>
      <c r="K570" t="n">
        <v>0</v>
      </c>
      <c r="L570" t="n">
        <v>0</v>
      </c>
      <c r="M570" t="n">
        <v>0</v>
      </c>
      <c r="N570" t="n">
        <v>0</v>
      </c>
      <c r="O570" t="n">
        <v>0</v>
      </c>
      <c r="P570" t="n">
        <v>0</v>
      </c>
      <c r="Q570" t="n">
        <v>0</v>
      </c>
      <c r="R570" s="2" t="inlineStr"/>
    </row>
    <row r="571" ht="15" customHeight="1">
      <c r="A571" t="inlineStr">
        <is>
          <t>A 5148-2024</t>
        </is>
      </c>
      <c r="B571" s="1" t="n">
        <v>45330</v>
      </c>
      <c r="C571" s="1" t="n">
        <v>45904</v>
      </c>
      <c r="D571" t="inlineStr">
        <is>
          <t>KALMAR LÄN</t>
        </is>
      </c>
      <c r="E571" t="inlineStr">
        <is>
          <t>VIMMERBY</t>
        </is>
      </c>
      <c r="G571" t="n">
        <v>5.6</v>
      </c>
      <c r="H571" t="n">
        <v>0</v>
      </c>
      <c r="I571" t="n">
        <v>0</v>
      </c>
      <c r="J571" t="n">
        <v>0</v>
      </c>
      <c r="K571" t="n">
        <v>0</v>
      </c>
      <c r="L571" t="n">
        <v>0</v>
      </c>
      <c r="M571" t="n">
        <v>0</v>
      </c>
      <c r="N571" t="n">
        <v>0</v>
      </c>
      <c r="O571" t="n">
        <v>0</v>
      </c>
      <c r="P571" t="n">
        <v>0</v>
      </c>
      <c r="Q571" t="n">
        <v>0</v>
      </c>
      <c r="R571" s="2" t="inlineStr"/>
    </row>
    <row r="572" ht="15" customHeight="1">
      <c r="A572" t="inlineStr">
        <is>
          <t>A 52327-2023</t>
        </is>
      </c>
      <c r="B572" s="1" t="n">
        <v>45224.6515162037</v>
      </c>
      <c r="C572" s="1" t="n">
        <v>45904</v>
      </c>
      <c r="D572" t="inlineStr">
        <is>
          <t>KALMAR LÄN</t>
        </is>
      </c>
      <c r="E572" t="inlineStr">
        <is>
          <t>VIMMERBY</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34071-2025</t>
        </is>
      </c>
      <c r="B573" s="1" t="n">
        <v>45845.43803240741</v>
      </c>
      <c r="C573" s="1" t="n">
        <v>45904</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34106-2025</t>
        </is>
      </c>
      <c r="B574" s="1" t="n">
        <v>45845.49414351852</v>
      </c>
      <c r="C574" s="1" t="n">
        <v>45904</v>
      </c>
      <c r="D574" t="inlineStr">
        <is>
          <t>KALMAR LÄN</t>
        </is>
      </c>
      <c r="E574" t="inlineStr">
        <is>
          <t>VIMMERBY</t>
        </is>
      </c>
      <c r="G574" t="n">
        <v>6</v>
      </c>
      <c r="H574" t="n">
        <v>0</v>
      </c>
      <c r="I574" t="n">
        <v>0</v>
      </c>
      <c r="J574" t="n">
        <v>0</v>
      </c>
      <c r="K574" t="n">
        <v>0</v>
      </c>
      <c r="L574" t="n">
        <v>0</v>
      </c>
      <c r="M574" t="n">
        <v>0</v>
      </c>
      <c r="N574" t="n">
        <v>0</v>
      </c>
      <c r="O574" t="n">
        <v>0</v>
      </c>
      <c r="P574" t="n">
        <v>0</v>
      </c>
      <c r="Q574" t="n">
        <v>0</v>
      </c>
      <c r="R574" s="2" t="inlineStr"/>
    </row>
    <row r="575" ht="15" customHeight="1">
      <c r="A575" t="inlineStr">
        <is>
          <t>A 28702-2025</t>
        </is>
      </c>
      <c r="B575" s="1" t="n">
        <v>45820.03976851852</v>
      </c>
      <c r="C575" s="1" t="n">
        <v>45904</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12075-2024</t>
        </is>
      </c>
      <c r="B576" s="1" t="n">
        <v>45377</v>
      </c>
      <c r="C576" s="1" t="n">
        <v>45904</v>
      </c>
      <c r="D576" t="inlineStr">
        <is>
          <t>KALMAR LÄN</t>
        </is>
      </c>
      <c r="E576" t="inlineStr">
        <is>
          <t>VIMMERBY</t>
        </is>
      </c>
      <c r="G576" t="n">
        <v>3.7</v>
      </c>
      <c r="H576" t="n">
        <v>0</v>
      </c>
      <c r="I576" t="n">
        <v>0</v>
      </c>
      <c r="J576" t="n">
        <v>0</v>
      </c>
      <c r="K576" t="n">
        <v>0</v>
      </c>
      <c r="L576" t="n">
        <v>0</v>
      </c>
      <c r="M576" t="n">
        <v>0</v>
      </c>
      <c r="N576" t="n">
        <v>0</v>
      </c>
      <c r="O576" t="n">
        <v>0</v>
      </c>
      <c r="P576" t="n">
        <v>0</v>
      </c>
      <c r="Q576" t="n">
        <v>0</v>
      </c>
      <c r="R576" s="2" t="inlineStr"/>
    </row>
    <row r="577" ht="15" customHeight="1">
      <c r="A577" t="inlineStr">
        <is>
          <t>A 29348-2023</t>
        </is>
      </c>
      <c r="B577" s="1" t="n">
        <v>45106.25025462963</v>
      </c>
      <c r="C577" s="1" t="n">
        <v>45904</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38604-2025</t>
        </is>
      </c>
      <c r="B578" s="1" t="n">
        <v>45884.50613425926</v>
      </c>
      <c r="C578" s="1" t="n">
        <v>45904</v>
      </c>
      <c r="D578" t="inlineStr">
        <is>
          <t>KALMAR LÄN</t>
        </is>
      </c>
      <c r="E578" t="inlineStr">
        <is>
          <t>VIMMERBY</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38964-2025</t>
        </is>
      </c>
      <c r="B579" s="1" t="n">
        <v>45887.68759259259</v>
      </c>
      <c r="C579" s="1" t="n">
        <v>45904</v>
      </c>
      <c r="D579" t="inlineStr">
        <is>
          <t>KALMAR LÄN</t>
        </is>
      </c>
      <c r="E579" t="inlineStr">
        <is>
          <t>VIMMERBY</t>
        </is>
      </c>
      <c r="G579" t="n">
        <v>7.5</v>
      </c>
      <c r="H579" t="n">
        <v>0</v>
      </c>
      <c r="I579" t="n">
        <v>0</v>
      </c>
      <c r="J579" t="n">
        <v>0</v>
      </c>
      <c r="K579" t="n">
        <v>0</v>
      </c>
      <c r="L579" t="n">
        <v>0</v>
      </c>
      <c r="M579" t="n">
        <v>0</v>
      </c>
      <c r="N579" t="n">
        <v>0</v>
      </c>
      <c r="O579" t="n">
        <v>0</v>
      </c>
      <c r="P579" t="n">
        <v>0</v>
      </c>
      <c r="Q579" t="n">
        <v>0</v>
      </c>
      <c r="R579" s="2" t="inlineStr"/>
    </row>
    <row r="580" ht="15" customHeight="1">
      <c r="A580" t="inlineStr">
        <is>
          <t>A 31340-2023</t>
        </is>
      </c>
      <c r="B580" s="1" t="n">
        <v>45114.47895833333</v>
      </c>
      <c r="C580" s="1" t="n">
        <v>45904</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58278-2023</t>
        </is>
      </c>
      <c r="B581" s="1" t="n">
        <v>45250.5278587963</v>
      </c>
      <c r="C581" s="1" t="n">
        <v>45904</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22266-2023</t>
        </is>
      </c>
      <c r="B582" s="1" t="n">
        <v>45070</v>
      </c>
      <c r="C582" s="1" t="n">
        <v>45904</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52588-2023</t>
        </is>
      </c>
      <c r="B583" s="1" t="n">
        <v>45225.60192129629</v>
      </c>
      <c r="C583" s="1" t="n">
        <v>45904</v>
      </c>
      <c r="D583" t="inlineStr">
        <is>
          <t>KALMAR LÄN</t>
        </is>
      </c>
      <c r="E583" t="inlineStr">
        <is>
          <t>VIMMERBY</t>
        </is>
      </c>
      <c r="G583" t="n">
        <v>2.9</v>
      </c>
      <c r="H583" t="n">
        <v>0</v>
      </c>
      <c r="I583" t="n">
        <v>0</v>
      </c>
      <c r="J583" t="n">
        <v>0</v>
      </c>
      <c r="K583" t="n">
        <v>0</v>
      </c>
      <c r="L583" t="n">
        <v>0</v>
      </c>
      <c r="M583" t="n">
        <v>0</v>
      </c>
      <c r="N583" t="n">
        <v>0</v>
      </c>
      <c r="O583" t="n">
        <v>0</v>
      </c>
      <c r="P583" t="n">
        <v>0</v>
      </c>
      <c r="Q583" t="n">
        <v>0</v>
      </c>
      <c r="R583" s="2" t="inlineStr"/>
    </row>
    <row r="584" ht="15" customHeight="1">
      <c r="A584" t="inlineStr">
        <is>
          <t>A 7758-2024</t>
        </is>
      </c>
      <c r="B584" s="1" t="n">
        <v>45349.54434027777</v>
      </c>
      <c r="C584" s="1" t="n">
        <v>45904</v>
      </c>
      <c r="D584" t="inlineStr">
        <is>
          <t>KALMAR LÄN</t>
        </is>
      </c>
      <c r="E584" t="inlineStr">
        <is>
          <t>VIMMERBY</t>
        </is>
      </c>
      <c r="G584" t="n">
        <v>3.5</v>
      </c>
      <c r="H584" t="n">
        <v>0</v>
      </c>
      <c r="I584" t="n">
        <v>0</v>
      </c>
      <c r="J584" t="n">
        <v>0</v>
      </c>
      <c r="K584" t="n">
        <v>0</v>
      </c>
      <c r="L584" t="n">
        <v>0</v>
      </c>
      <c r="M584" t="n">
        <v>0</v>
      </c>
      <c r="N584" t="n">
        <v>0</v>
      </c>
      <c r="O584" t="n">
        <v>0</v>
      </c>
      <c r="P584" t="n">
        <v>0</v>
      </c>
      <c r="Q584" t="n">
        <v>0</v>
      </c>
      <c r="R584" s="2" t="inlineStr"/>
    </row>
    <row r="585" ht="15" customHeight="1">
      <c r="A585" t="inlineStr">
        <is>
          <t>A 6802-2025</t>
        </is>
      </c>
      <c r="B585" s="1" t="n">
        <v>45700.68289351852</v>
      </c>
      <c r="C585" s="1" t="n">
        <v>45904</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71793-2021</t>
        </is>
      </c>
      <c r="B586" s="1" t="n">
        <v>44539</v>
      </c>
      <c r="C586" s="1" t="n">
        <v>45904</v>
      </c>
      <c r="D586" t="inlineStr">
        <is>
          <t>KALMAR LÄN</t>
        </is>
      </c>
      <c r="E586" t="inlineStr">
        <is>
          <t>VIMMERBY</t>
        </is>
      </c>
      <c r="G586" t="n">
        <v>2.7</v>
      </c>
      <c r="H586" t="n">
        <v>0</v>
      </c>
      <c r="I586" t="n">
        <v>0</v>
      </c>
      <c r="J586" t="n">
        <v>0</v>
      </c>
      <c r="K586" t="n">
        <v>0</v>
      </c>
      <c r="L586" t="n">
        <v>0</v>
      </c>
      <c r="M586" t="n">
        <v>0</v>
      </c>
      <c r="N586" t="n">
        <v>0</v>
      </c>
      <c r="O586" t="n">
        <v>0</v>
      </c>
      <c r="P586" t="n">
        <v>0</v>
      </c>
      <c r="Q586" t="n">
        <v>0</v>
      </c>
      <c r="R586" s="2" t="inlineStr"/>
    </row>
    <row r="587" ht="15" customHeight="1">
      <c r="A587" t="inlineStr">
        <is>
          <t>A 5701-2024</t>
        </is>
      </c>
      <c r="B587" s="1" t="n">
        <v>45334.78826388889</v>
      </c>
      <c r="C587" s="1" t="n">
        <v>45904</v>
      </c>
      <c r="D587" t="inlineStr">
        <is>
          <t>KALMAR LÄN</t>
        </is>
      </c>
      <c r="E587" t="inlineStr">
        <is>
          <t>VIMMERBY</t>
        </is>
      </c>
      <c r="G587" t="n">
        <v>2.3</v>
      </c>
      <c r="H587" t="n">
        <v>0</v>
      </c>
      <c r="I587" t="n">
        <v>0</v>
      </c>
      <c r="J587" t="n">
        <v>0</v>
      </c>
      <c r="K587" t="n">
        <v>0</v>
      </c>
      <c r="L587" t="n">
        <v>0</v>
      </c>
      <c r="M587" t="n">
        <v>0</v>
      </c>
      <c r="N587" t="n">
        <v>0</v>
      </c>
      <c r="O587" t="n">
        <v>0</v>
      </c>
      <c r="P587" t="n">
        <v>0</v>
      </c>
      <c r="Q587" t="n">
        <v>0</v>
      </c>
      <c r="R587" s="2" t="inlineStr"/>
    </row>
    <row r="588" ht="15" customHeight="1">
      <c r="A588" t="inlineStr">
        <is>
          <t>A 34628-2025</t>
        </is>
      </c>
      <c r="B588" s="1" t="n">
        <v>45847.91280092593</v>
      </c>
      <c r="C588" s="1" t="n">
        <v>45904</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31405-2023</t>
        </is>
      </c>
      <c r="B589" s="1" t="n">
        <v>45114.58148148148</v>
      </c>
      <c r="C589" s="1" t="n">
        <v>45904</v>
      </c>
      <c r="D589" t="inlineStr">
        <is>
          <t>KALMAR LÄN</t>
        </is>
      </c>
      <c r="E589" t="inlineStr">
        <is>
          <t>VIMMERBY</t>
        </is>
      </c>
      <c r="G589" t="n">
        <v>2.6</v>
      </c>
      <c r="H589" t="n">
        <v>0</v>
      </c>
      <c r="I589" t="n">
        <v>0</v>
      </c>
      <c r="J589" t="n">
        <v>0</v>
      </c>
      <c r="K589" t="n">
        <v>0</v>
      </c>
      <c r="L589" t="n">
        <v>0</v>
      </c>
      <c r="M589" t="n">
        <v>0</v>
      </c>
      <c r="N589" t="n">
        <v>0</v>
      </c>
      <c r="O589" t="n">
        <v>0</v>
      </c>
      <c r="P589" t="n">
        <v>0</v>
      </c>
      <c r="Q589" t="n">
        <v>0</v>
      </c>
      <c r="R589" s="2" t="inlineStr"/>
    </row>
    <row r="590" ht="15" customHeight="1">
      <c r="A590" t="inlineStr">
        <is>
          <t>A 6355-2022</t>
        </is>
      </c>
      <c r="B590" s="1" t="n">
        <v>44600</v>
      </c>
      <c r="C590" s="1" t="n">
        <v>45904</v>
      </c>
      <c r="D590" t="inlineStr">
        <is>
          <t>KALMAR LÄN</t>
        </is>
      </c>
      <c r="E590" t="inlineStr">
        <is>
          <t>VIMMERBY</t>
        </is>
      </c>
      <c r="G590" t="n">
        <v>4.9</v>
      </c>
      <c r="H590" t="n">
        <v>0</v>
      </c>
      <c r="I590" t="n">
        <v>0</v>
      </c>
      <c r="J590" t="n">
        <v>0</v>
      </c>
      <c r="K590" t="n">
        <v>0</v>
      </c>
      <c r="L590" t="n">
        <v>0</v>
      </c>
      <c r="M590" t="n">
        <v>0</v>
      </c>
      <c r="N590" t="n">
        <v>0</v>
      </c>
      <c r="O590" t="n">
        <v>0</v>
      </c>
      <c r="P590" t="n">
        <v>0</v>
      </c>
      <c r="Q590" t="n">
        <v>0</v>
      </c>
      <c r="R590" s="2" t="inlineStr"/>
    </row>
    <row r="591" ht="15" customHeight="1">
      <c r="A591" t="inlineStr">
        <is>
          <t>A 39803-2025</t>
        </is>
      </c>
      <c r="B591" s="1" t="n">
        <v>45891.50525462963</v>
      </c>
      <c r="C591" s="1" t="n">
        <v>45904</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39807-2025</t>
        </is>
      </c>
      <c r="B592" s="1" t="n">
        <v>45891.50986111111</v>
      </c>
      <c r="C592" s="1" t="n">
        <v>45904</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46225-2024</t>
        </is>
      </c>
      <c r="B593" s="1" t="n">
        <v>45581.57333333333</v>
      </c>
      <c r="C593" s="1" t="n">
        <v>45904</v>
      </c>
      <c r="D593" t="inlineStr">
        <is>
          <t>KALMAR LÄN</t>
        </is>
      </c>
      <c r="E593" t="inlineStr">
        <is>
          <t>VIMMERBY</t>
        </is>
      </c>
      <c r="G593" t="n">
        <v>1.3</v>
      </c>
      <c r="H593" t="n">
        <v>0</v>
      </c>
      <c r="I593" t="n">
        <v>0</v>
      </c>
      <c r="J593" t="n">
        <v>0</v>
      </c>
      <c r="K593" t="n">
        <v>0</v>
      </c>
      <c r="L593" t="n">
        <v>0</v>
      </c>
      <c r="M593" t="n">
        <v>0</v>
      </c>
      <c r="N593" t="n">
        <v>0</v>
      </c>
      <c r="O593" t="n">
        <v>0</v>
      </c>
      <c r="P593" t="n">
        <v>0</v>
      </c>
      <c r="Q593" t="n">
        <v>0</v>
      </c>
      <c r="R593" s="2" t="inlineStr"/>
    </row>
    <row r="594" ht="15" customHeight="1">
      <c r="A594" t="inlineStr">
        <is>
          <t>A 527-2024</t>
        </is>
      </c>
      <c r="B594" s="1" t="n">
        <v>45299.47513888889</v>
      </c>
      <c r="C594" s="1" t="n">
        <v>45904</v>
      </c>
      <c r="D594" t="inlineStr">
        <is>
          <t>KALMAR LÄN</t>
        </is>
      </c>
      <c r="E594" t="inlineStr">
        <is>
          <t>VIMMERBY</t>
        </is>
      </c>
      <c r="G594" t="n">
        <v>2.2</v>
      </c>
      <c r="H594" t="n">
        <v>0</v>
      </c>
      <c r="I594" t="n">
        <v>0</v>
      </c>
      <c r="J594" t="n">
        <v>0</v>
      </c>
      <c r="K594" t="n">
        <v>0</v>
      </c>
      <c r="L594" t="n">
        <v>0</v>
      </c>
      <c r="M594" t="n">
        <v>0</v>
      </c>
      <c r="N594" t="n">
        <v>0</v>
      </c>
      <c r="O594" t="n">
        <v>0</v>
      </c>
      <c r="P594" t="n">
        <v>0</v>
      </c>
      <c r="Q594" t="n">
        <v>0</v>
      </c>
      <c r="R594" s="2" t="inlineStr"/>
    </row>
    <row r="595" ht="15" customHeight="1">
      <c r="A595" t="inlineStr">
        <is>
          <t>A 60230-2022</t>
        </is>
      </c>
      <c r="B595" s="1" t="n">
        <v>44910</v>
      </c>
      <c r="C595" s="1" t="n">
        <v>45904</v>
      </c>
      <c r="D595" t="inlineStr">
        <is>
          <t>KALMAR LÄN</t>
        </is>
      </c>
      <c r="E595" t="inlineStr">
        <is>
          <t>VIMMERBY</t>
        </is>
      </c>
      <c r="G595" t="n">
        <v>11.3</v>
      </c>
      <c r="H595" t="n">
        <v>0</v>
      </c>
      <c r="I595" t="n">
        <v>0</v>
      </c>
      <c r="J595" t="n">
        <v>0</v>
      </c>
      <c r="K595" t="n">
        <v>0</v>
      </c>
      <c r="L595" t="n">
        <v>0</v>
      </c>
      <c r="M595" t="n">
        <v>0</v>
      </c>
      <c r="N595" t="n">
        <v>0</v>
      </c>
      <c r="O595" t="n">
        <v>0</v>
      </c>
      <c r="P595" t="n">
        <v>0</v>
      </c>
      <c r="Q595" t="n">
        <v>0</v>
      </c>
      <c r="R595" s="2" t="inlineStr"/>
    </row>
    <row r="596" ht="15" customHeight="1">
      <c r="A596" t="inlineStr">
        <is>
          <t>A 9418-2024</t>
        </is>
      </c>
      <c r="B596" s="1" t="n">
        <v>45359.45038194444</v>
      </c>
      <c r="C596" s="1" t="n">
        <v>45904</v>
      </c>
      <c r="D596" t="inlineStr">
        <is>
          <t>KALMAR LÄN</t>
        </is>
      </c>
      <c r="E596" t="inlineStr">
        <is>
          <t>VIMMERBY</t>
        </is>
      </c>
      <c r="G596" t="n">
        <v>1.9</v>
      </c>
      <c r="H596" t="n">
        <v>0</v>
      </c>
      <c r="I596" t="n">
        <v>0</v>
      </c>
      <c r="J596" t="n">
        <v>0</v>
      </c>
      <c r="K596" t="n">
        <v>0</v>
      </c>
      <c r="L596" t="n">
        <v>0</v>
      </c>
      <c r="M596" t="n">
        <v>0</v>
      </c>
      <c r="N596" t="n">
        <v>0</v>
      </c>
      <c r="O596" t="n">
        <v>0</v>
      </c>
      <c r="P596" t="n">
        <v>0</v>
      </c>
      <c r="Q596" t="n">
        <v>0</v>
      </c>
      <c r="R596" s="2" t="inlineStr"/>
    </row>
    <row r="597" ht="15" customHeight="1">
      <c r="A597" t="inlineStr">
        <is>
          <t>A 5925-2022</t>
        </is>
      </c>
      <c r="B597" s="1" t="n">
        <v>44598.7384837963</v>
      </c>
      <c r="C597" s="1" t="n">
        <v>45904</v>
      </c>
      <c r="D597" t="inlineStr">
        <is>
          <t>KALMAR LÄN</t>
        </is>
      </c>
      <c r="E597" t="inlineStr">
        <is>
          <t>VIMMERBY</t>
        </is>
      </c>
      <c r="G597" t="n">
        <v>2.1</v>
      </c>
      <c r="H597" t="n">
        <v>0</v>
      </c>
      <c r="I597" t="n">
        <v>0</v>
      </c>
      <c r="J597" t="n">
        <v>0</v>
      </c>
      <c r="K597" t="n">
        <v>0</v>
      </c>
      <c r="L597" t="n">
        <v>0</v>
      </c>
      <c r="M597" t="n">
        <v>0</v>
      </c>
      <c r="N597" t="n">
        <v>0</v>
      </c>
      <c r="O597" t="n">
        <v>0</v>
      </c>
      <c r="P597" t="n">
        <v>0</v>
      </c>
      <c r="Q597" t="n">
        <v>0</v>
      </c>
      <c r="R597" s="2" t="inlineStr"/>
    </row>
    <row r="598" ht="15" customHeight="1">
      <c r="A598" t="inlineStr">
        <is>
          <t>A 39736-2025</t>
        </is>
      </c>
      <c r="B598" s="1" t="n">
        <v>45891</v>
      </c>
      <c r="C598" s="1" t="n">
        <v>45904</v>
      </c>
      <c r="D598" t="inlineStr">
        <is>
          <t>KALMAR LÄN</t>
        </is>
      </c>
      <c r="E598" t="inlineStr">
        <is>
          <t>VIMMERBY</t>
        </is>
      </c>
      <c r="G598" t="n">
        <v>12.8</v>
      </c>
      <c r="H598" t="n">
        <v>0</v>
      </c>
      <c r="I598" t="n">
        <v>0</v>
      </c>
      <c r="J598" t="n">
        <v>0</v>
      </c>
      <c r="K598" t="n">
        <v>0</v>
      </c>
      <c r="L598" t="n">
        <v>0</v>
      </c>
      <c r="M598" t="n">
        <v>0</v>
      </c>
      <c r="N598" t="n">
        <v>0</v>
      </c>
      <c r="O598" t="n">
        <v>0</v>
      </c>
      <c r="P598" t="n">
        <v>0</v>
      </c>
      <c r="Q598" t="n">
        <v>0</v>
      </c>
      <c r="R598" s="2" t="inlineStr"/>
    </row>
    <row r="599" ht="15" customHeight="1">
      <c r="A599" t="inlineStr">
        <is>
          <t>A 57091-2022</t>
        </is>
      </c>
      <c r="B599" s="1" t="n">
        <v>44895.46524305556</v>
      </c>
      <c r="C599" s="1" t="n">
        <v>45904</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3816-2022</t>
        </is>
      </c>
      <c r="B600" s="1" t="n">
        <v>44587</v>
      </c>
      <c r="C600" s="1" t="n">
        <v>45904</v>
      </c>
      <c r="D600" t="inlineStr">
        <is>
          <t>KALMAR LÄN</t>
        </is>
      </c>
      <c r="E600" t="inlineStr">
        <is>
          <t>VIMMERBY</t>
        </is>
      </c>
      <c r="G600" t="n">
        <v>1.2</v>
      </c>
      <c r="H600" t="n">
        <v>0</v>
      </c>
      <c r="I600" t="n">
        <v>0</v>
      </c>
      <c r="J600" t="n">
        <v>0</v>
      </c>
      <c r="K600" t="n">
        <v>0</v>
      </c>
      <c r="L600" t="n">
        <v>0</v>
      </c>
      <c r="M600" t="n">
        <v>0</v>
      </c>
      <c r="N600" t="n">
        <v>0</v>
      </c>
      <c r="O600" t="n">
        <v>0</v>
      </c>
      <c r="P600" t="n">
        <v>0</v>
      </c>
      <c r="Q600" t="n">
        <v>0</v>
      </c>
      <c r="R600" s="2" t="inlineStr"/>
    </row>
    <row r="601" ht="15" customHeight="1">
      <c r="A601" t="inlineStr">
        <is>
          <t>A 39801-2025</t>
        </is>
      </c>
      <c r="B601" s="1" t="n">
        <v>45891.50216435185</v>
      </c>
      <c r="C601" s="1" t="n">
        <v>45904</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46522-2022</t>
        </is>
      </c>
      <c r="B602" s="1" t="n">
        <v>44848.59133101852</v>
      </c>
      <c r="C602" s="1" t="n">
        <v>45904</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43606-2024</t>
        </is>
      </c>
      <c r="B603" s="1" t="n">
        <v>45569.45017361111</v>
      </c>
      <c r="C603" s="1" t="n">
        <v>45904</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43617-2024</t>
        </is>
      </c>
      <c r="B604" s="1" t="n">
        <v>45569.47494212963</v>
      </c>
      <c r="C604" s="1" t="n">
        <v>45904</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47859-2024</t>
        </is>
      </c>
      <c r="B605" s="1" t="n">
        <v>45588.67070601852</v>
      </c>
      <c r="C605" s="1" t="n">
        <v>45904</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41066-2024</t>
        </is>
      </c>
      <c r="B606" s="1" t="n">
        <v>45559.38876157408</v>
      </c>
      <c r="C606" s="1" t="n">
        <v>45904</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52279-2023</t>
        </is>
      </c>
      <c r="B607" s="1" t="n">
        <v>45224</v>
      </c>
      <c r="C607" s="1" t="n">
        <v>45904</v>
      </c>
      <c r="D607" t="inlineStr">
        <is>
          <t>KALMAR LÄN</t>
        </is>
      </c>
      <c r="E607" t="inlineStr">
        <is>
          <t>VIMMERBY</t>
        </is>
      </c>
      <c r="G607" t="n">
        <v>1.8</v>
      </c>
      <c r="H607" t="n">
        <v>0</v>
      </c>
      <c r="I607" t="n">
        <v>0</v>
      </c>
      <c r="J607" t="n">
        <v>0</v>
      </c>
      <c r="K607" t="n">
        <v>0</v>
      </c>
      <c r="L607" t="n">
        <v>0</v>
      </c>
      <c r="M607" t="n">
        <v>0</v>
      </c>
      <c r="N607" t="n">
        <v>0</v>
      </c>
      <c r="O607" t="n">
        <v>0</v>
      </c>
      <c r="P607" t="n">
        <v>0</v>
      </c>
      <c r="Q607" t="n">
        <v>0</v>
      </c>
      <c r="R607" s="2" t="inlineStr"/>
    </row>
    <row r="608" ht="15" customHeight="1">
      <c r="A608" t="inlineStr">
        <is>
          <t>A 8540-2024</t>
        </is>
      </c>
      <c r="B608" s="1" t="n">
        <v>45355.54138888889</v>
      </c>
      <c r="C608" s="1" t="n">
        <v>45904</v>
      </c>
      <c r="D608" t="inlineStr">
        <is>
          <t>KALMAR LÄN</t>
        </is>
      </c>
      <c r="E608" t="inlineStr">
        <is>
          <t>VIMMERBY</t>
        </is>
      </c>
      <c r="G608" t="n">
        <v>1.9</v>
      </c>
      <c r="H608" t="n">
        <v>0</v>
      </c>
      <c r="I608" t="n">
        <v>0</v>
      </c>
      <c r="J608" t="n">
        <v>0</v>
      </c>
      <c r="K608" t="n">
        <v>0</v>
      </c>
      <c r="L608" t="n">
        <v>0</v>
      </c>
      <c r="M608" t="n">
        <v>0</v>
      </c>
      <c r="N608" t="n">
        <v>0</v>
      </c>
      <c r="O608" t="n">
        <v>0</v>
      </c>
      <c r="P608" t="n">
        <v>0</v>
      </c>
      <c r="Q608" t="n">
        <v>0</v>
      </c>
      <c r="R608" s="2" t="inlineStr"/>
    </row>
    <row r="609" ht="15" customHeight="1">
      <c r="A609" t="inlineStr">
        <is>
          <t>A 17486-2024</t>
        </is>
      </c>
      <c r="B609" s="1" t="n">
        <v>45415.48979166667</v>
      </c>
      <c r="C609" s="1" t="n">
        <v>45904</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3331-2023</t>
        </is>
      </c>
      <c r="B610" s="1" t="n">
        <v>44949</v>
      </c>
      <c r="C610" s="1" t="n">
        <v>45904</v>
      </c>
      <c r="D610" t="inlineStr">
        <is>
          <t>KALMAR LÄN</t>
        </is>
      </c>
      <c r="E610" t="inlineStr">
        <is>
          <t>VIMMERBY</t>
        </is>
      </c>
      <c r="G610" t="n">
        <v>6.2</v>
      </c>
      <c r="H610" t="n">
        <v>0</v>
      </c>
      <c r="I610" t="n">
        <v>0</v>
      </c>
      <c r="J610" t="n">
        <v>0</v>
      </c>
      <c r="K610" t="n">
        <v>0</v>
      </c>
      <c r="L610" t="n">
        <v>0</v>
      </c>
      <c r="M610" t="n">
        <v>0</v>
      </c>
      <c r="N610" t="n">
        <v>0</v>
      </c>
      <c r="O610" t="n">
        <v>0</v>
      </c>
      <c r="P610" t="n">
        <v>0</v>
      </c>
      <c r="Q610" t="n">
        <v>0</v>
      </c>
      <c r="R610" s="2" t="inlineStr"/>
    </row>
    <row r="611" ht="15" customHeight="1">
      <c r="A611" t="inlineStr">
        <is>
          <t>A 598-2025</t>
        </is>
      </c>
      <c r="B611" s="1" t="n">
        <v>45660</v>
      </c>
      <c r="C611" s="1" t="n">
        <v>45904</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39889-2025</t>
        </is>
      </c>
      <c r="B612" s="1" t="n">
        <v>45891</v>
      </c>
      <c r="C612" s="1" t="n">
        <v>45904</v>
      </c>
      <c r="D612" t="inlineStr">
        <is>
          <t>KALMAR LÄN</t>
        </is>
      </c>
      <c r="E612" t="inlineStr">
        <is>
          <t>VIMMERBY</t>
        </is>
      </c>
      <c r="G612" t="n">
        <v>4.5</v>
      </c>
      <c r="H612" t="n">
        <v>0</v>
      </c>
      <c r="I612" t="n">
        <v>0</v>
      </c>
      <c r="J612" t="n">
        <v>0</v>
      </c>
      <c r="K612" t="n">
        <v>0</v>
      </c>
      <c r="L612" t="n">
        <v>0</v>
      </c>
      <c r="M612" t="n">
        <v>0</v>
      </c>
      <c r="N612" t="n">
        <v>0</v>
      </c>
      <c r="O612" t="n">
        <v>0</v>
      </c>
      <c r="P612" t="n">
        <v>0</v>
      </c>
      <c r="Q612" t="n">
        <v>0</v>
      </c>
      <c r="R612" s="2" t="inlineStr"/>
    </row>
    <row r="613" ht="15" customHeight="1">
      <c r="A613" t="inlineStr">
        <is>
          <t>A 71631-2021</t>
        </is>
      </c>
      <c r="B613" s="1" t="n">
        <v>44542.90072916666</v>
      </c>
      <c r="C613" s="1" t="n">
        <v>45904</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25799-2023</t>
        </is>
      </c>
      <c r="B614" s="1" t="n">
        <v>45090</v>
      </c>
      <c r="C614" s="1" t="n">
        <v>45904</v>
      </c>
      <c r="D614" t="inlineStr">
        <is>
          <t>KALMAR LÄN</t>
        </is>
      </c>
      <c r="E614" t="inlineStr">
        <is>
          <t>VIMMERBY</t>
        </is>
      </c>
      <c r="G614" t="n">
        <v>7.7</v>
      </c>
      <c r="H614" t="n">
        <v>0</v>
      </c>
      <c r="I614" t="n">
        <v>0</v>
      </c>
      <c r="J614" t="n">
        <v>0</v>
      </c>
      <c r="K614" t="n">
        <v>0</v>
      </c>
      <c r="L614" t="n">
        <v>0</v>
      </c>
      <c r="M614" t="n">
        <v>0</v>
      </c>
      <c r="N614" t="n">
        <v>0</v>
      </c>
      <c r="O614" t="n">
        <v>0</v>
      </c>
      <c r="P614" t="n">
        <v>0</v>
      </c>
      <c r="Q614" t="n">
        <v>0</v>
      </c>
      <c r="R614" s="2" t="inlineStr"/>
    </row>
    <row r="615" ht="15" customHeight="1">
      <c r="A615" t="inlineStr">
        <is>
          <t>A 53083-2021</t>
        </is>
      </c>
      <c r="B615" s="1" t="n">
        <v>44467.83386574074</v>
      </c>
      <c r="C615" s="1" t="n">
        <v>45904</v>
      </c>
      <c r="D615" t="inlineStr">
        <is>
          <t>KALMAR LÄN</t>
        </is>
      </c>
      <c r="E615" t="inlineStr">
        <is>
          <t>VIMMERBY</t>
        </is>
      </c>
      <c r="G615" t="n">
        <v>6.8</v>
      </c>
      <c r="H615" t="n">
        <v>0</v>
      </c>
      <c r="I615" t="n">
        <v>0</v>
      </c>
      <c r="J615" t="n">
        <v>0</v>
      </c>
      <c r="K615" t="n">
        <v>0</v>
      </c>
      <c r="L615" t="n">
        <v>0</v>
      </c>
      <c r="M615" t="n">
        <v>0</v>
      </c>
      <c r="N615" t="n">
        <v>0</v>
      </c>
      <c r="O615" t="n">
        <v>0</v>
      </c>
      <c r="P615" t="n">
        <v>0</v>
      </c>
      <c r="Q615" t="n">
        <v>0</v>
      </c>
      <c r="R615" s="2" t="inlineStr"/>
    </row>
    <row r="616" ht="15" customHeight="1">
      <c r="A616" t="inlineStr">
        <is>
          <t>A 40925-2025</t>
        </is>
      </c>
      <c r="B616" s="1" t="n">
        <v>45897.64208333333</v>
      </c>
      <c r="C616" s="1" t="n">
        <v>45904</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24655-2021</t>
        </is>
      </c>
      <c r="B617" s="1" t="n">
        <v>44340</v>
      </c>
      <c r="C617" s="1" t="n">
        <v>45904</v>
      </c>
      <c r="D617" t="inlineStr">
        <is>
          <t>KALMAR LÄN</t>
        </is>
      </c>
      <c r="E617" t="inlineStr">
        <is>
          <t>VIMMERBY</t>
        </is>
      </c>
      <c r="G617" t="n">
        <v>14.9</v>
      </c>
      <c r="H617" t="n">
        <v>0</v>
      </c>
      <c r="I617" t="n">
        <v>0</v>
      </c>
      <c r="J617" t="n">
        <v>0</v>
      </c>
      <c r="K617" t="n">
        <v>0</v>
      </c>
      <c r="L617" t="n">
        <v>0</v>
      </c>
      <c r="M617" t="n">
        <v>0</v>
      </c>
      <c r="N617" t="n">
        <v>0</v>
      </c>
      <c r="O617" t="n">
        <v>0</v>
      </c>
      <c r="P617" t="n">
        <v>0</v>
      </c>
      <c r="Q617" t="n">
        <v>0</v>
      </c>
      <c r="R617" s="2" t="inlineStr"/>
    </row>
    <row r="618" ht="15" customHeight="1">
      <c r="A618" t="inlineStr">
        <is>
          <t>A 40973-2025</t>
        </is>
      </c>
      <c r="B618" s="1" t="n">
        <v>45897.89737268518</v>
      </c>
      <c r="C618" s="1" t="n">
        <v>45904</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35270-2025</t>
        </is>
      </c>
      <c r="B619" s="1" t="n">
        <v>45853.87112268519</v>
      </c>
      <c r="C619" s="1" t="n">
        <v>45904</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35271-2025</t>
        </is>
      </c>
      <c r="B620" s="1" t="n">
        <v>45853.87599537037</v>
      </c>
      <c r="C620" s="1" t="n">
        <v>45904</v>
      </c>
      <c r="D620" t="inlineStr">
        <is>
          <t>KALMAR LÄN</t>
        </is>
      </c>
      <c r="E620" t="inlineStr">
        <is>
          <t>VIMMERBY</t>
        </is>
      </c>
      <c r="G620" t="n">
        <v>0.4</v>
      </c>
      <c r="H620" t="n">
        <v>0</v>
      </c>
      <c r="I620" t="n">
        <v>0</v>
      </c>
      <c r="J620" t="n">
        <v>0</v>
      </c>
      <c r="K620" t="n">
        <v>0</v>
      </c>
      <c r="L620" t="n">
        <v>0</v>
      </c>
      <c r="M620" t="n">
        <v>0</v>
      </c>
      <c r="N620" t="n">
        <v>0</v>
      </c>
      <c r="O620" t="n">
        <v>0</v>
      </c>
      <c r="P620" t="n">
        <v>0</v>
      </c>
      <c r="Q620" t="n">
        <v>0</v>
      </c>
      <c r="R620" s="2" t="inlineStr"/>
    </row>
    <row r="621" ht="15" customHeight="1">
      <c r="A621" t="inlineStr">
        <is>
          <t>A 35272-2025</t>
        </is>
      </c>
      <c r="B621" s="1" t="n">
        <v>45853.88070601852</v>
      </c>
      <c r="C621" s="1" t="n">
        <v>45904</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16015-2025</t>
        </is>
      </c>
      <c r="B622" s="1" t="n">
        <v>45749.60487268519</v>
      </c>
      <c r="C622" s="1" t="n">
        <v>45904</v>
      </c>
      <c r="D622" t="inlineStr">
        <is>
          <t>KALMAR LÄN</t>
        </is>
      </c>
      <c r="E622" t="inlineStr">
        <is>
          <t>VIMMERBY</t>
        </is>
      </c>
      <c r="F622" t="inlineStr">
        <is>
          <t>Kyrkan</t>
        </is>
      </c>
      <c r="G622" t="n">
        <v>2.7</v>
      </c>
      <c r="H622" t="n">
        <v>0</v>
      </c>
      <c r="I622" t="n">
        <v>0</v>
      </c>
      <c r="J622" t="n">
        <v>0</v>
      </c>
      <c r="K622" t="n">
        <v>0</v>
      </c>
      <c r="L622" t="n">
        <v>0</v>
      </c>
      <c r="M622" t="n">
        <v>0</v>
      </c>
      <c r="N622" t="n">
        <v>0</v>
      </c>
      <c r="O622" t="n">
        <v>0</v>
      </c>
      <c r="P622" t="n">
        <v>0</v>
      </c>
      <c r="Q622" t="n">
        <v>0</v>
      </c>
      <c r="R622" s="2" t="inlineStr"/>
    </row>
    <row r="623" ht="15" customHeight="1">
      <c r="A623" t="inlineStr">
        <is>
          <t>A 40971-2025</t>
        </is>
      </c>
      <c r="B623" s="1" t="n">
        <v>45897.88836805556</v>
      </c>
      <c r="C623" s="1" t="n">
        <v>45904</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9694-2023</t>
        </is>
      </c>
      <c r="B624" s="1" t="n">
        <v>44984.45895833334</v>
      </c>
      <c r="C624" s="1" t="n">
        <v>45904</v>
      </c>
      <c r="D624" t="inlineStr">
        <is>
          <t>KALMAR LÄN</t>
        </is>
      </c>
      <c r="E624" t="inlineStr">
        <is>
          <t>VIMMERBY</t>
        </is>
      </c>
      <c r="G624" t="n">
        <v>2.1</v>
      </c>
      <c r="H624" t="n">
        <v>0</v>
      </c>
      <c r="I624" t="n">
        <v>0</v>
      </c>
      <c r="J624" t="n">
        <v>0</v>
      </c>
      <c r="K624" t="n">
        <v>0</v>
      </c>
      <c r="L624" t="n">
        <v>0</v>
      </c>
      <c r="M624" t="n">
        <v>0</v>
      </c>
      <c r="N624" t="n">
        <v>0</v>
      </c>
      <c r="O624" t="n">
        <v>0</v>
      </c>
      <c r="P624" t="n">
        <v>0</v>
      </c>
      <c r="Q624" t="n">
        <v>0</v>
      </c>
      <c r="R624" s="2" t="inlineStr"/>
    </row>
    <row r="625" ht="15" customHeight="1">
      <c r="A625" t="inlineStr">
        <is>
          <t>A 33838-2022</t>
        </is>
      </c>
      <c r="B625" s="1" t="n">
        <v>44790.49040509259</v>
      </c>
      <c r="C625" s="1" t="n">
        <v>45904</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32835-2022</t>
        </is>
      </c>
      <c r="B626" s="1" t="n">
        <v>44784.42528935185</v>
      </c>
      <c r="C626" s="1" t="n">
        <v>45904</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22198-2024</t>
        </is>
      </c>
      <c r="B627" s="1" t="n">
        <v>45446.36865740741</v>
      </c>
      <c r="C627" s="1" t="n">
        <v>45904</v>
      </c>
      <c r="D627" t="inlineStr">
        <is>
          <t>KALMAR LÄN</t>
        </is>
      </c>
      <c r="E627" t="inlineStr">
        <is>
          <t>VIMMERBY</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40970-2025</t>
        </is>
      </c>
      <c r="B628" s="1" t="n">
        <v>45897.88706018519</v>
      </c>
      <c r="C628" s="1" t="n">
        <v>45904</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57311-2023</t>
        </is>
      </c>
      <c r="B629" s="1" t="n">
        <v>45245.63574074074</v>
      </c>
      <c r="C629" s="1" t="n">
        <v>45904</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1081-2023</t>
        </is>
      </c>
      <c r="B630" s="1" t="n">
        <v>44935</v>
      </c>
      <c r="C630" s="1" t="n">
        <v>45904</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47063-2022</t>
        </is>
      </c>
      <c r="B631" s="1" t="n">
        <v>44852</v>
      </c>
      <c r="C631" s="1" t="n">
        <v>45904</v>
      </c>
      <c r="D631" t="inlineStr">
        <is>
          <t>KALMAR LÄN</t>
        </is>
      </c>
      <c r="E631" t="inlineStr">
        <is>
          <t>VIMMERBY</t>
        </is>
      </c>
      <c r="G631" t="n">
        <v>2.5</v>
      </c>
      <c r="H631" t="n">
        <v>0</v>
      </c>
      <c r="I631" t="n">
        <v>0</v>
      </c>
      <c r="J631" t="n">
        <v>0</v>
      </c>
      <c r="K631" t="n">
        <v>0</v>
      </c>
      <c r="L631" t="n">
        <v>0</v>
      </c>
      <c r="M631" t="n">
        <v>0</v>
      </c>
      <c r="N631" t="n">
        <v>0</v>
      </c>
      <c r="O631" t="n">
        <v>0</v>
      </c>
      <c r="P631" t="n">
        <v>0</v>
      </c>
      <c r="Q631" t="n">
        <v>0</v>
      </c>
      <c r="R631" s="2" t="inlineStr"/>
    </row>
    <row r="632" ht="15" customHeight="1">
      <c r="A632" t="inlineStr">
        <is>
          <t>A 28403-2023</t>
        </is>
      </c>
      <c r="B632" s="1" t="n">
        <v>45100.85270833333</v>
      </c>
      <c r="C632" s="1" t="n">
        <v>45904</v>
      </c>
      <c r="D632" t="inlineStr">
        <is>
          <t>KALMAR LÄN</t>
        </is>
      </c>
      <c r="E632" t="inlineStr">
        <is>
          <t>VIMMERBY</t>
        </is>
      </c>
      <c r="G632" t="n">
        <v>1.8</v>
      </c>
      <c r="H632" t="n">
        <v>0</v>
      </c>
      <c r="I632" t="n">
        <v>0</v>
      </c>
      <c r="J632" t="n">
        <v>0</v>
      </c>
      <c r="K632" t="n">
        <v>0</v>
      </c>
      <c r="L632" t="n">
        <v>0</v>
      </c>
      <c r="M632" t="n">
        <v>0</v>
      </c>
      <c r="N632" t="n">
        <v>0</v>
      </c>
      <c r="O632" t="n">
        <v>0</v>
      </c>
      <c r="P632" t="n">
        <v>0</v>
      </c>
      <c r="Q632" t="n">
        <v>0</v>
      </c>
      <c r="R632" s="2" t="inlineStr"/>
    </row>
    <row r="633" ht="15" customHeight="1">
      <c r="A633" t="inlineStr">
        <is>
          <t>A 12588-2025</t>
        </is>
      </c>
      <c r="B633" s="1" t="n">
        <v>45732.76936342593</v>
      </c>
      <c r="C633" s="1" t="n">
        <v>45904</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33103-2024</t>
        </is>
      </c>
      <c r="B634" s="1" t="n">
        <v>45517.8162037037</v>
      </c>
      <c r="C634" s="1" t="n">
        <v>45904</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40921-2025</t>
        </is>
      </c>
      <c r="B635" s="1" t="n">
        <v>45897.63520833333</v>
      </c>
      <c r="C635" s="1" t="n">
        <v>45904</v>
      </c>
      <c r="D635" t="inlineStr">
        <is>
          <t>KALMAR LÄN</t>
        </is>
      </c>
      <c r="E635" t="inlineStr">
        <is>
          <t>VIMMERBY</t>
        </is>
      </c>
      <c r="G635" t="n">
        <v>4.2</v>
      </c>
      <c r="H635" t="n">
        <v>0</v>
      </c>
      <c r="I635" t="n">
        <v>0</v>
      </c>
      <c r="J635" t="n">
        <v>0</v>
      </c>
      <c r="K635" t="n">
        <v>0</v>
      </c>
      <c r="L635" t="n">
        <v>0</v>
      </c>
      <c r="M635" t="n">
        <v>0</v>
      </c>
      <c r="N635" t="n">
        <v>0</v>
      </c>
      <c r="O635" t="n">
        <v>0</v>
      </c>
      <c r="P635" t="n">
        <v>0</v>
      </c>
      <c r="Q635" t="n">
        <v>0</v>
      </c>
      <c r="R635" s="2" t="inlineStr"/>
    </row>
    <row r="636" ht="15" customHeight="1">
      <c r="A636" t="inlineStr">
        <is>
          <t>A 7932-2025</t>
        </is>
      </c>
      <c r="B636" s="1" t="n">
        <v>45707.3793287037</v>
      </c>
      <c r="C636" s="1" t="n">
        <v>45904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16953-2025</t>
        </is>
      </c>
      <c r="B637" s="1" t="n">
        <v>45755.44333333334</v>
      </c>
      <c r="C637" s="1" t="n">
        <v>45904</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35596-2025</t>
        </is>
      </c>
      <c r="B638" s="1" t="n">
        <v>45858.60641203704</v>
      </c>
      <c r="C638" s="1" t="n">
        <v>45904</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41589-2025</t>
        </is>
      </c>
      <c r="B639" s="1" t="n">
        <v>45901.63219907408</v>
      </c>
      <c r="C639" s="1" t="n">
        <v>45904</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41591-2025</t>
        </is>
      </c>
      <c r="B640" s="1" t="n">
        <v>45901.6327662037</v>
      </c>
      <c r="C640" s="1" t="n">
        <v>45904</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2260-2022</t>
        </is>
      </c>
      <c r="B641" s="1" t="n">
        <v>44578.62943287037</v>
      </c>
      <c r="C641" s="1" t="n">
        <v>45904</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11661-2023</t>
        </is>
      </c>
      <c r="B642" s="1" t="n">
        <v>44994.46908564815</v>
      </c>
      <c r="C642" s="1" t="n">
        <v>45904</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58046-2022</t>
        </is>
      </c>
      <c r="B643" s="1" t="n">
        <v>44900.57393518519</v>
      </c>
      <c r="C643" s="1" t="n">
        <v>45904</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35597-2025</t>
        </is>
      </c>
      <c r="B644" s="1" t="n">
        <v>45858.66019675926</v>
      </c>
      <c r="C644" s="1" t="n">
        <v>45904</v>
      </c>
      <c r="D644" t="inlineStr">
        <is>
          <t>KALMAR LÄN</t>
        </is>
      </c>
      <c r="E644" t="inlineStr">
        <is>
          <t>VIMMERBY</t>
        </is>
      </c>
      <c r="G644" t="n">
        <v>6.4</v>
      </c>
      <c r="H644" t="n">
        <v>0</v>
      </c>
      <c r="I644" t="n">
        <v>0</v>
      </c>
      <c r="J644" t="n">
        <v>0</v>
      </c>
      <c r="K644" t="n">
        <v>0</v>
      </c>
      <c r="L644" t="n">
        <v>0</v>
      </c>
      <c r="M644" t="n">
        <v>0</v>
      </c>
      <c r="N644" t="n">
        <v>0</v>
      </c>
      <c r="O644" t="n">
        <v>0</v>
      </c>
      <c r="P644" t="n">
        <v>0</v>
      </c>
      <c r="Q644" t="n">
        <v>0</v>
      </c>
      <c r="R644" s="2" t="inlineStr"/>
    </row>
    <row r="645" ht="15" customHeight="1">
      <c r="A645" t="inlineStr">
        <is>
          <t>A 45528-2021</t>
        </is>
      </c>
      <c r="B645" s="1" t="n">
        <v>44440.60415509259</v>
      </c>
      <c r="C645" s="1" t="n">
        <v>45904</v>
      </c>
      <c r="D645" t="inlineStr">
        <is>
          <t>KALMAR LÄN</t>
        </is>
      </c>
      <c r="E645" t="inlineStr">
        <is>
          <t>VIMMERBY</t>
        </is>
      </c>
      <c r="G645" t="n">
        <v>2.2</v>
      </c>
      <c r="H645" t="n">
        <v>0</v>
      </c>
      <c r="I645" t="n">
        <v>0</v>
      </c>
      <c r="J645" t="n">
        <v>0</v>
      </c>
      <c r="K645" t="n">
        <v>0</v>
      </c>
      <c r="L645" t="n">
        <v>0</v>
      </c>
      <c r="M645" t="n">
        <v>0</v>
      </c>
      <c r="N645" t="n">
        <v>0</v>
      </c>
      <c r="O645" t="n">
        <v>0</v>
      </c>
      <c r="P645" t="n">
        <v>0</v>
      </c>
      <c r="Q645" t="n">
        <v>0</v>
      </c>
      <c r="R645" s="2" t="inlineStr"/>
    </row>
    <row r="646" ht="15" customHeight="1">
      <c r="A646" t="inlineStr">
        <is>
          <t>A 46979-2023</t>
        </is>
      </c>
      <c r="B646" s="1" t="n">
        <v>45201</v>
      </c>
      <c r="C646" s="1" t="n">
        <v>45904</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6574-2023</t>
        </is>
      </c>
      <c r="B647" s="1" t="n">
        <v>44966</v>
      </c>
      <c r="C647" s="1" t="n">
        <v>45904</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41224-2025</t>
        </is>
      </c>
      <c r="B648" s="1" t="n">
        <v>45898.58861111111</v>
      </c>
      <c r="C648" s="1" t="n">
        <v>45904</v>
      </c>
      <c r="D648" t="inlineStr">
        <is>
          <t>KALMAR LÄN</t>
        </is>
      </c>
      <c r="E648" t="inlineStr">
        <is>
          <t>VIMMERBY</t>
        </is>
      </c>
      <c r="G648" t="n">
        <v>4.4</v>
      </c>
      <c r="H648" t="n">
        <v>0</v>
      </c>
      <c r="I648" t="n">
        <v>0</v>
      </c>
      <c r="J648" t="n">
        <v>0</v>
      </c>
      <c r="K648" t="n">
        <v>0</v>
      </c>
      <c r="L648" t="n">
        <v>0</v>
      </c>
      <c r="M648" t="n">
        <v>0</v>
      </c>
      <c r="N648" t="n">
        <v>0</v>
      </c>
      <c r="O648" t="n">
        <v>0</v>
      </c>
      <c r="P648" t="n">
        <v>0</v>
      </c>
      <c r="Q648" t="n">
        <v>0</v>
      </c>
      <c r="R648" s="2" t="inlineStr"/>
    </row>
    <row r="649" ht="15" customHeight="1">
      <c r="A649" t="inlineStr">
        <is>
          <t>A 4058-2024</t>
        </is>
      </c>
      <c r="B649" s="1" t="n">
        <v>45323.53744212963</v>
      </c>
      <c r="C649" s="1" t="n">
        <v>45904</v>
      </c>
      <c r="D649" t="inlineStr">
        <is>
          <t>KALMAR LÄN</t>
        </is>
      </c>
      <c r="E649" t="inlineStr">
        <is>
          <t>VIMMERBY</t>
        </is>
      </c>
      <c r="G649" t="n">
        <v>6.5</v>
      </c>
      <c r="H649" t="n">
        <v>0</v>
      </c>
      <c r="I649" t="n">
        <v>0</v>
      </c>
      <c r="J649" t="n">
        <v>0</v>
      </c>
      <c r="K649" t="n">
        <v>0</v>
      </c>
      <c r="L649" t="n">
        <v>0</v>
      </c>
      <c r="M649" t="n">
        <v>0</v>
      </c>
      <c r="N649" t="n">
        <v>0</v>
      </c>
      <c r="O649" t="n">
        <v>0</v>
      </c>
      <c r="P649" t="n">
        <v>0</v>
      </c>
      <c r="Q649" t="n">
        <v>0</v>
      </c>
      <c r="R649" s="2" t="inlineStr"/>
    </row>
    <row r="650" ht="15" customHeight="1">
      <c r="A650" t="inlineStr">
        <is>
          <t>A 41735-2025</t>
        </is>
      </c>
      <c r="B650" s="1" t="n">
        <v>45902.47164351852</v>
      </c>
      <c r="C650" s="1" t="n">
        <v>45904</v>
      </c>
      <c r="D650" t="inlineStr">
        <is>
          <t>KALMAR LÄN</t>
        </is>
      </c>
      <c r="E650" t="inlineStr">
        <is>
          <t>VIMMERBY</t>
        </is>
      </c>
      <c r="G650" t="n">
        <v>3</v>
      </c>
      <c r="H650" t="n">
        <v>0</v>
      </c>
      <c r="I650" t="n">
        <v>0</v>
      </c>
      <c r="J650" t="n">
        <v>0</v>
      </c>
      <c r="K650" t="n">
        <v>0</v>
      </c>
      <c r="L650" t="n">
        <v>0</v>
      </c>
      <c r="M650" t="n">
        <v>0</v>
      </c>
      <c r="N650" t="n">
        <v>0</v>
      </c>
      <c r="O650" t="n">
        <v>0</v>
      </c>
      <c r="P650" t="n">
        <v>0</v>
      </c>
      <c r="Q650" t="n">
        <v>0</v>
      </c>
      <c r="R650" s="2" t="inlineStr"/>
    </row>
    <row r="651" ht="15" customHeight="1">
      <c r="A651" t="inlineStr">
        <is>
          <t>A 41896-2025</t>
        </is>
      </c>
      <c r="B651" s="1" t="n">
        <v>45903.38800925926</v>
      </c>
      <c r="C651" s="1" t="n">
        <v>45904</v>
      </c>
      <c r="D651" t="inlineStr">
        <is>
          <t>KALMAR LÄN</t>
        </is>
      </c>
      <c r="E651" t="inlineStr">
        <is>
          <t>VIMMERBY</t>
        </is>
      </c>
      <c r="G651" t="n">
        <v>2.9</v>
      </c>
      <c r="H651" t="n">
        <v>0</v>
      </c>
      <c r="I651" t="n">
        <v>0</v>
      </c>
      <c r="J651" t="n">
        <v>0</v>
      </c>
      <c r="K651" t="n">
        <v>0</v>
      </c>
      <c r="L651" t="n">
        <v>0</v>
      </c>
      <c r="M651" t="n">
        <v>0</v>
      </c>
      <c r="N651" t="n">
        <v>0</v>
      </c>
      <c r="O651" t="n">
        <v>0</v>
      </c>
      <c r="P651" t="n">
        <v>0</v>
      </c>
      <c r="Q651" t="n">
        <v>0</v>
      </c>
      <c r="R651" s="2" t="inlineStr"/>
    </row>
    <row r="652" ht="15" customHeight="1">
      <c r="A652" t="inlineStr">
        <is>
          <t>A 2121-2022</t>
        </is>
      </c>
      <c r="B652" s="1" t="n">
        <v>44578.32717592592</v>
      </c>
      <c r="C652" s="1" t="n">
        <v>45904</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1978-2024</t>
        </is>
      </c>
      <c r="B653" s="1" t="n">
        <v>45308.59001157407</v>
      </c>
      <c r="C653" s="1" t="n">
        <v>45904</v>
      </c>
      <c r="D653" t="inlineStr">
        <is>
          <t>KALMAR LÄN</t>
        </is>
      </c>
      <c r="E653" t="inlineStr">
        <is>
          <t>VIMMERBY</t>
        </is>
      </c>
      <c r="G653" t="n">
        <v>0.9</v>
      </c>
      <c r="H653" t="n">
        <v>0</v>
      </c>
      <c r="I653" t="n">
        <v>0</v>
      </c>
      <c r="J653" t="n">
        <v>0</v>
      </c>
      <c r="K653" t="n">
        <v>0</v>
      </c>
      <c r="L653" t="n">
        <v>0</v>
      </c>
      <c r="M653" t="n">
        <v>0</v>
      </c>
      <c r="N653" t="n">
        <v>0</v>
      </c>
      <c r="O653" t="n">
        <v>0</v>
      </c>
      <c r="P653" t="n">
        <v>0</v>
      </c>
      <c r="Q653" t="n">
        <v>0</v>
      </c>
      <c r="R653" s="2" t="inlineStr"/>
    </row>
    <row r="654" ht="15" customHeight="1">
      <c r="A654" t="inlineStr">
        <is>
          <t>A 34386-2024</t>
        </is>
      </c>
      <c r="B654" s="1" t="n">
        <v>45525.41762731481</v>
      </c>
      <c r="C654" s="1" t="n">
        <v>45904</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30318-2023</t>
        </is>
      </c>
      <c r="B655" s="1" t="n">
        <v>45111.30824074074</v>
      </c>
      <c r="C655" s="1" t="n">
        <v>45904</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6069-2023</t>
        </is>
      </c>
      <c r="B656" s="1" t="n">
        <v>44964.5115162037</v>
      </c>
      <c r="C656" s="1" t="n">
        <v>45904</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25234-2023</t>
        </is>
      </c>
      <c r="B657" s="1" t="n">
        <v>45086.63194444445</v>
      </c>
      <c r="C657" s="1" t="n">
        <v>45904</v>
      </c>
      <c r="D657" t="inlineStr">
        <is>
          <t>KALMAR LÄN</t>
        </is>
      </c>
      <c r="E657" t="inlineStr">
        <is>
          <t>VIMMERBY</t>
        </is>
      </c>
      <c r="G657" t="n">
        <v>2.1</v>
      </c>
      <c r="H657" t="n">
        <v>0</v>
      </c>
      <c r="I657" t="n">
        <v>0</v>
      </c>
      <c r="J657" t="n">
        <v>0</v>
      </c>
      <c r="K657" t="n">
        <v>0</v>
      </c>
      <c r="L657" t="n">
        <v>0</v>
      </c>
      <c r="M657" t="n">
        <v>0</v>
      </c>
      <c r="N657" t="n">
        <v>0</v>
      </c>
      <c r="O657" t="n">
        <v>0</v>
      </c>
      <c r="P657" t="n">
        <v>0</v>
      </c>
      <c r="Q657" t="n">
        <v>0</v>
      </c>
      <c r="R657" s="2" t="inlineStr"/>
    </row>
    <row r="658" ht="15" customHeight="1">
      <c r="A658" t="inlineStr">
        <is>
          <t>A 46078-2023</t>
        </is>
      </c>
      <c r="B658" s="1" t="n">
        <v>45196</v>
      </c>
      <c r="C658" s="1" t="n">
        <v>45904</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32633-2023</t>
        </is>
      </c>
      <c r="B659" s="1" t="n">
        <v>45121.58699074074</v>
      </c>
      <c r="C659" s="1" t="n">
        <v>45904</v>
      </c>
      <c r="D659" t="inlineStr">
        <is>
          <t>KALMAR LÄN</t>
        </is>
      </c>
      <c r="E659" t="inlineStr">
        <is>
          <t>VIMMERBY</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49461-2023</t>
        </is>
      </c>
      <c r="B660" s="1" t="n">
        <v>45211.52642361111</v>
      </c>
      <c r="C660" s="1" t="n">
        <v>45904</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23095-2023</t>
        </is>
      </c>
      <c r="B661" s="1" t="n">
        <v>45075.43059027778</v>
      </c>
      <c r="C661" s="1" t="n">
        <v>45904</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11429-2022</t>
        </is>
      </c>
      <c r="B662" s="1" t="n">
        <v>44630</v>
      </c>
      <c r="C662" s="1" t="n">
        <v>45904</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3609-2024</t>
        </is>
      </c>
      <c r="B663" s="1" t="n">
        <v>45320.89128472222</v>
      </c>
      <c r="C663" s="1" t="n">
        <v>45904</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11141-2024</t>
        </is>
      </c>
      <c r="B664" s="1" t="n">
        <v>45371.45865740741</v>
      </c>
      <c r="C664" s="1" t="n">
        <v>45904</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28395-2023</t>
        </is>
      </c>
      <c r="B665" s="1" t="n">
        <v>45100.4062962963</v>
      </c>
      <c r="C665" s="1" t="n">
        <v>45904</v>
      </c>
      <c r="D665" t="inlineStr">
        <is>
          <t>KALMAR LÄN</t>
        </is>
      </c>
      <c r="E665" t="inlineStr">
        <is>
          <t>VIMMERBY</t>
        </is>
      </c>
      <c r="G665" t="n">
        <v>1.4</v>
      </c>
      <c r="H665" t="n">
        <v>0</v>
      </c>
      <c r="I665" t="n">
        <v>0</v>
      </c>
      <c r="J665" t="n">
        <v>0</v>
      </c>
      <c r="K665" t="n">
        <v>0</v>
      </c>
      <c r="L665" t="n">
        <v>0</v>
      </c>
      <c r="M665" t="n">
        <v>0</v>
      </c>
      <c r="N665" t="n">
        <v>0</v>
      </c>
      <c r="O665" t="n">
        <v>0</v>
      </c>
      <c r="P665" t="n">
        <v>0</v>
      </c>
      <c r="Q665" t="n">
        <v>0</v>
      </c>
      <c r="R665" s="2" t="inlineStr"/>
    </row>
    <row r="666" ht="15" customHeight="1">
      <c r="A666" t="inlineStr">
        <is>
          <t>A 10424-2023</t>
        </is>
      </c>
      <c r="B666" s="1" t="n">
        <v>44987.54104166666</v>
      </c>
      <c r="C666" s="1" t="n">
        <v>45904</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34597-2022</t>
        </is>
      </c>
      <c r="B667" s="1" t="n">
        <v>44795</v>
      </c>
      <c r="C667" s="1" t="n">
        <v>45904</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49382-2023</t>
        </is>
      </c>
      <c r="B668" s="1" t="n">
        <v>45208</v>
      </c>
      <c r="C668" s="1" t="n">
        <v>45904</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12810-2023</t>
        </is>
      </c>
      <c r="B669" s="1" t="n">
        <v>45001.43854166667</v>
      </c>
      <c r="C669" s="1" t="n">
        <v>45904</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3425-2022</t>
        </is>
      </c>
      <c r="B670" s="1" t="n">
        <v>44585.51060185185</v>
      </c>
      <c r="C670" s="1" t="n">
        <v>45904</v>
      </c>
      <c r="D670" t="inlineStr">
        <is>
          <t>KALMAR LÄN</t>
        </is>
      </c>
      <c r="E670" t="inlineStr">
        <is>
          <t>VIMMERBY</t>
        </is>
      </c>
      <c r="G670" t="n">
        <v>1.3</v>
      </c>
      <c r="H670" t="n">
        <v>0</v>
      </c>
      <c r="I670" t="n">
        <v>0</v>
      </c>
      <c r="J670" t="n">
        <v>0</v>
      </c>
      <c r="K670" t="n">
        <v>0</v>
      </c>
      <c r="L670" t="n">
        <v>0</v>
      </c>
      <c r="M670" t="n">
        <v>0</v>
      </c>
      <c r="N670" t="n">
        <v>0</v>
      </c>
      <c r="O670" t="n">
        <v>0</v>
      </c>
      <c r="P670" t="n">
        <v>0</v>
      </c>
      <c r="Q670" t="n">
        <v>0</v>
      </c>
      <c r="R670" s="2" t="inlineStr"/>
    </row>
    <row r="671" ht="15" customHeight="1">
      <c r="A671" t="inlineStr">
        <is>
          <t>A 60675-2023</t>
        </is>
      </c>
      <c r="B671" s="1" t="n">
        <v>45260.4716550926</v>
      </c>
      <c r="C671" s="1" t="n">
        <v>45904</v>
      </c>
      <c r="D671" t="inlineStr">
        <is>
          <t>KALMAR LÄN</t>
        </is>
      </c>
      <c r="E671" t="inlineStr">
        <is>
          <t>VIMMERBY</t>
        </is>
      </c>
      <c r="G671" t="n">
        <v>1.2</v>
      </c>
      <c r="H671" t="n">
        <v>0</v>
      </c>
      <c r="I671" t="n">
        <v>0</v>
      </c>
      <c r="J671" t="n">
        <v>0</v>
      </c>
      <c r="K671" t="n">
        <v>0</v>
      </c>
      <c r="L671" t="n">
        <v>0</v>
      </c>
      <c r="M671" t="n">
        <v>0</v>
      </c>
      <c r="N671" t="n">
        <v>0</v>
      </c>
      <c r="O671" t="n">
        <v>0</v>
      </c>
      <c r="P671" t="n">
        <v>0</v>
      </c>
      <c r="Q671" t="n">
        <v>0</v>
      </c>
      <c r="R671" s="2" t="inlineStr"/>
    </row>
    <row r="672" ht="15" customHeight="1">
      <c r="A672" t="inlineStr">
        <is>
          <t>A 64428-2023</t>
        </is>
      </c>
      <c r="B672" s="1" t="n">
        <v>45280.66769675926</v>
      </c>
      <c r="C672" s="1" t="n">
        <v>45904</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30588-2023</t>
        </is>
      </c>
      <c r="B673" s="1" t="n">
        <v>45112.33599537037</v>
      </c>
      <c r="C673" s="1" t="n">
        <v>45904</v>
      </c>
      <c r="D673" t="inlineStr">
        <is>
          <t>KALMAR LÄN</t>
        </is>
      </c>
      <c r="E673" t="inlineStr">
        <is>
          <t>VIMMERBY</t>
        </is>
      </c>
      <c r="G673" t="n">
        <v>2.7</v>
      </c>
      <c r="H673" t="n">
        <v>0</v>
      </c>
      <c r="I673" t="n">
        <v>0</v>
      </c>
      <c r="J673" t="n">
        <v>0</v>
      </c>
      <c r="K673" t="n">
        <v>0</v>
      </c>
      <c r="L673" t="n">
        <v>0</v>
      </c>
      <c r="M673" t="n">
        <v>0</v>
      </c>
      <c r="N673" t="n">
        <v>0</v>
      </c>
      <c r="O673" t="n">
        <v>0</v>
      </c>
      <c r="P673" t="n">
        <v>0</v>
      </c>
      <c r="Q673" t="n">
        <v>0</v>
      </c>
      <c r="R673" s="2" t="inlineStr"/>
    </row>
    <row r="674" ht="15" customHeight="1">
      <c r="A674" t="inlineStr">
        <is>
          <t>A 30503-2023</t>
        </is>
      </c>
      <c r="B674" s="1" t="n">
        <v>45111</v>
      </c>
      <c r="C674" s="1" t="n">
        <v>45904</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2536-2023</t>
        </is>
      </c>
      <c r="B675" s="1" t="n">
        <v>44943.62954861111</v>
      </c>
      <c r="C675" s="1" t="n">
        <v>45904</v>
      </c>
      <c r="D675" t="inlineStr">
        <is>
          <t>KALMAR LÄN</t>
        </is>
      </c>
      <c r="E675" t="inlineStr">
        <is>
          <t>VIMMERBY</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11111-2024</t>
        </is>
      </c>
      <c r="B676" s="1" t="n">
        <v>45371.36359953704</v>
      </c>
      <c r="C676" s="1" t="n">
        <v>45904</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47263-2023</t>
        </is>
      </c>
      <c r="B677" s="1" t="n">
        <v>45202.4209837963</v>
      </c>
      <c r="C677" s="1" t="n">
        <v>45904</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58100-2024</t>
        </is>
      </c>
      <c r="B678" s="1" t="n">
        <v>45632.36706018518</v>
      </c>
      <c r="C678" s="1" t="n">
        <v>45904</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58159-2024</t>
        </is>
      </c>
      <c r="B679" s="1" t="n">
        <v>45632.44886574074</v>
      </c>
      <c r="C679" s="1" t="n">
        <v>45904</v>
      </c>
      <c r="D679" t="inlineStr">
        <is>
          <t>KALMAR LÄN</t>
        </is>
      </c>
      <c r="E679" t="inlineStr">
        <is>
          <t>VIMMERBY</t>
        </is>
      </c>
      <c r="G679" t="n">
        <v>7.5</v>
      </c>
      <c r="H679" t="n">
        <v>0</v>
      </c>
      <c r="I679" t="n">
        <v>0</v>
      </c>
      <c r="J679" t="n">
        <v>0</v>
      </c>
      <c r="K679" t="n">
        <v>0</v>
      </c>
      <c r="L679" t="n">
        <v>0</v>
      </c>
      <c r="M679" t="n">
        <v>0</v>
      </c>
      <c r="N679" t="n">
        <v>0</v>
      </c>
      <c r="O679" t="n">
        <v>0</v>
      </c>
      <c r="P679" t="n">
        <v>0</v>
      </c>
      <c r="Q679" t="n">
        <v>0</v>
      </c>
      <c r="R679" s="2" t="inlineStr"/>
    </row>
    <row r="680" ht="15" customHeight="1">
      <c r="A680" t="inlineStr">
        <is>
          <t>A 1687-2023</t>
        </is>
      </c>
      <c r="B680" s="1" t="n">
        <v>44938</v>
      </c>
      <c r="C680" s="1" t="n">
        <v>45904</v>
      </c>
      <c r="D680" t="inlineStr">
        <is>
          <t>KALMAR LÄN</t>
        </is>
      </c>
      <c r="E680" t="inlineStr">
        <is>
          <t>VIMMERBY</t>
        </is>
      </c>
      <c r="F680" t="inlineStr">
        <is>
          <t>Kommuner</t>
        </is>
      </c>
      <c r="G680" t="n">
        <v>2.5</v>
      </c>
      <c r="H680" t="n">
        <v>0</v>
      </c>
      <c r="I680" t="n">
        <v>0</v>
      </c>
      <c r="J680" t="n">
        <v>0</v>
      </c>
      <c r="K680" t="n">
        <v>0</v>
      </c>
      <c r="L680" t="n">
        <v>0</v>
      </c>
      <c r="M680" t="n">
        <v>0</v>
      </c>
      <c r="N680" t="n">
        <v>0</v>
      </c>
      <c r="O680" t="n">
        <v>0</v>
      </c>
      <c r="P680" t="n">
        <v>0</v>
      </c>
      <c r="Q680" t="n">
        <v>0</v>
      </c>
      <c r="R680" s="2" t="inlineStr"/>
    </row>
    <row r="681" ht="15" customHeight="1">
      <c r="A681" t="inlineStr">
        <is>
          <t>A 57114-2023</t>
        </is>
      </c>
      <c r="B681" s="1" t="n">
        <v>45245.36174768519</v>
      </c>
      <c r="C681" s="1" t="n">
        <v>45904</v>
      </c>
      <c r="D681" t="inlineStr">
        <is>
          <t>KALMAR LÄN</t>
        </is>
      </c>
      <c r="E681" t="inlineStr">
        <is>
          <t>VIMMERBY</t>
        </is>
      </c>
      <c r="G681" t="n">
        <v>1.5</v>
      </c>
      <c r="H681" t="n">
        <v>0</v>
      </c>
      <c r="I681" t="n">
        <v>0</v>
      </c>
      <c r="J681" t="n">
        <v>0</v>
      </c>
      <c r="K681" t="n">
        <v>0</v>
      </c>
      <c r="L681" t="n">
        <v>0</v>
      </c>
      <c r="M681" t="n">
        <v>0</v>
      </c>
      <c r="N681" t="n">
        <v>0</v>
      </c>
      <c r="O681" t="n">
        <v>0</v>
      </c>
      <c r="P681" t="n">
        <v>0</v>
      </c>
      <c r="Q681" t="n">
        <v>0</v>
      </c>
      <c r="R681" s="2" t="inlineStr"/>
    </row>
    <row r="682" ht="15" customHeight="1">
      <c r="A682" t="inlineStr">
        <is>
          <t>A 3423-2022</t>
        </is>
      </c>
      <c r="B682" s="1" t="n">
        <v>44585.50431712963</v>
      </c>
      <c r="C682" s="1" t="n">
        <v>45904</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3494-2023</t>
        </is>
      </c>
      <c r="B683" s="1" t="n">
        <v>44949</v>
      </c>
      <c r="C683" s="1" t="n">
        <v>45904</v>
      </c>
      <c r="D683" t="inlineStr">
        <is>
          <t>KALMAR LÄN</t>
        </is>
      </c>
      <c r="E683" t="inlineStr">
        <is>
          <t>VIMMERBY</t>
        </is>
      </c>
      <c r="F683" t="inlineStr">
        <is>
          <t>Kyrkan</t>
        </is>
      </c>
      <c r="G683" t="n">
        <v>0.8</v>
      </c>
      <c r="H683" t="n">
        <v>0</v>
      </c>
      <c r="I683" t="n">
        <v>0</v>
      </c>
      <c r="J683" t="n">
        <v>0</v>
      </c>
      <c r="K683" t="n">
        <v>0</v>
      </c>
      <c r="L683" t="n">
        <v>0</v>
      </c>
      <c r="M683" t="n">
        <v>0</v>
      </c>
      <c r="N683" t="n">
        <v>0</v>
      </c>
      <c r="O683" t="n">
        <v>0</v>
      </c>
      <c r="P683" t="n">
        <v>0</v>
      </c>
      <c r="Q683" t="n">
        <v>0</v>
      </c>
      <c r="R683" s="2" t="inlineStr"/>
    </row>
    <row r="684" ht="15" customHeight="1">
      <c r="A684" t="inlineStr">
        <is>
          <t>A 40665-2023</t>
        </is>
      </c>
      <c r="B684" s="1" t="n">
        <v>45170</v>
      </c>
      <c r="C684" s="1" t="n">
        <v>45904</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15449-2023</t>
        </is>
      </c>
      <c r="B685" s="1" t="n">
        <v>45020</v>
      </c>
      <c r="C685" s="1" t="n">
        <v>45904</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43242-2024</t>
        </is>
      </c>
      <c r="B686" s="1" t="n">
        <v>45568.30189814815</v>
      </c>
      <c r="C686" s="1" t="n">
        <v>45904</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43266-2024</t>
        </is>
      </c>
      <c r="B687" s="1" t="n">
        <v>45568.36879629629</v>
      </c>
      <c r="C687" s="1" t="n">
        <v>45904</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61878-2020</t>
        </is>
      </c>
      <c r="B688" s="1" t="n">
        <v>44159</v>
      </c>
      <c r="C688" s="1" t="n">
        <v>45904</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50860-2022</t>
        </is>
      </c>
      <c r="B689" s="1" t="n">
        <v>44867</v>
      </c>
      <c r="C689" s="1" t="n">
        <v>45904</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56853-2022</t>
        </is>
      </c>
      <c r="B690" s="1" t="n">
        <v>44894.49538194444</v>
      </c>
      <c r="C690" s="1" t="n">
        <v>45904</v>
      </c>
      <c r="D690" t="inlineStr">
        <is>
          <t>KALMAR LÄN</t>
        </is>
      </c>
      <c r="E690" t="inlineStr">
        <is>
          <t>VIMMERBY</t>
        </is>
      </c>
      <c r="G690" t="n">
        <v>4.3</v>
      </c>
      <c r="H690" t="n">
        <v>0</v>
      </c>
      <c r="I690" t="n">
        <v>0</v>
      </c>
      <c r="J690" t="n">
        <v>0</v>
      </c>
      <c r="K690" t="n">
        <v>0</v>
      </c>
      <c r="L690" t="n">
        <v>0</v>
      </c>
      <c r="M690" t="n">
        <v>0</v>
      </c>
      <c r="N690" t="n">
        <v>0</v>
      </c>
      <c r="O690" t="n">
        <v>0</v>
      </c>
      <c r="P690" t="n">
        <v>0</v>
      </c>
      <c r="Q690" t="n">
        <v>0</v>
      </c>
      <c r="R690" s="2" t="inlineStr"/>
    </row>
    <row r="691" ht="15" customHeight="1">
      <c r="A691" t="inlineStr">
        <is>
          <t>A 25370-2022</t>
        </is>
      </c>
      <c r="B691" s="1" t="n">
        <v>44732.3659837963</v>
      </c>
      <c r="C691" s="1" t="n">
        <v>45904</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65049-2020</t>
        </is>
      </c>
      <c r="B692" s="1" t="n">
        <v>44172</v>
      </c>
      <c r="C692" s="1" t="n">
        <v>45904</v>
      </c>
      <c r="D692" t="inlineStr">
        <is>
          <t>KALMAR LÄN</t>
        </is>
      </c>
      <c r="E692" t="inlineStr">
        <is>
          <t>VIMMERBY</t>
        </is>
      </c>
      <c r="G692" t="n">
        <v>2.3</v>
      </c>
      <c r="H692" t="n">
        <v>0</v>
      </c>
      <c r="I692" t="n">
        <v>0</v>
      </c>
      <c r="J692" t="n">
        <v>0</v>
      </c>
      <c r="K692" t="n">
        <v>0</v>
      </c>
      <c r="L692" t="n">
        <v>0</v>
      </c>
      <c r="M692" t="n">
        <v>0</v>
      </c>
      <c r="N692" t="n">
        <v>0</v>
      </c>
      <c r="O692" t="n">
        <v>0</v>
      </c>
      <c r="P692" t="n">
        <v>0</v>
      </c>
      <c r="Q692" t="n">
        <v>0</v>
      </c>
      <c r="R692" s="2" t="inlineStr"/>
    </row>
    <row r="693" ht="15" customHeight="1">
      <c r="A693" t="inlineStr">
        <is>
          <t>A 58577-2024</t>
        </is>
      </c>
      <c r="B693" s="1" t="n">
        <v>45635.4874537037</v>
      </c>
      <c r="C693" s="1" t="n">
        <v>45904</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33815-2022</t>
        </is>
      </c>
      <c r="B694" s="1" t="n">
        <v>44790.45876157407</v>
      </c>
      <c r="C694" s="1" t="n">
        <v>45904</v>
      </c>
      <c r="D694" t="inlineStr">
        <is>
          <t>KALMAR LÄN</t>
        </is>
      </c>
      <c r="E694" t="inlineStr">
        <is>
          <t>VIMMERBY</t>
        </is>
      </c>
      <c r="G694" t="n">
        <v>0.9</v>
      </c>
      <c r="H694" t="n">
        <v>0</v>
      </c>
      <c r="I694" t="n">
        <v>0</v>
      </c>
      <c r="J694" t="n">
        <v>0</v>
      </c>
      <c r="K694" t="n">
        <v>0</v>
      </c>
      <c r="L694" t="n">
        <v>0</v>
      </c>
      <c r="M694" t="n">
        <v>0</v>
      </c>
      <c r="N694" t="n">
        <v>0</v>
      </c>
      <c r="O694" t="n">
        <v>0</v>
      </c>
      <c r="P694" t="n">
        <v>0</v>
      </c>
      <c r="Q694" t="n">
        <v>0</v>
      </c>
      <c r="R694" s="2" t="inlineStr"/>
    </row>
    <row r="695" ht="15" customHeight="1">
      <c r="A695" t="inlineStr">
        <is>
          <t>A 33842-2022</t>
        </is>
      </c>
      <c r="B695" s="1" t="n">
        <v>44790.49523148148</v>
      </c>
      <c r="C695" s="1" t="n">
        <v>45904</v>
      </c>
      <c r="D695" t="inlineStr">
        <is>
          <t>KALMAR LÄN</t>
        </is>
      </c>
      <c r="E695" t="inlineStr">
        <is>
          <t>VIMMERBY</t>
        </is>
      </c>
      <c r="G695" t="n">
        <v>1.6</v>
      </c>
      <c r="H695" t="n">
        <v>0</v>
      </c>
      <c r="I695" t="n">
        <v>0</v>
      </c>
      <c r="J695" t="n">
        <v>0</v>
      </c>
      <c r="K695" t="n">
        <v>0</v>
      </c>
      <c r="L695" t="n">
        <v>0</v>
      </c>
      <c r="M695" t="n">
        <v>0</v>
      </c>
      <c r="N695" t="n">
        <v>0</v>
      </c>
      <c r="O695" t="n">
        <v>0</v>
      </c>
      <c r="P695" t="n">
        <v>0</v>
      </c>
      <c r="Q695" t="n">
        <v>0</v>
      </c>
      <c r="R695" s="2" t="inlineStr"/>
    </row>
    <row r="696" ht="15" customHeight="1">
      <c r="A696" t="inlineStr">
        <is>
          <t>A 29440-2024</t>
        </is>
      </c>
      <c r="B696" s="1" t="n">
        <v>45483.82479166667</v>
      </c>
      <c r="C696" s="1" t="n">
        <v>45904</v>
      </c>
      <c r="D696" t="inlineStr">
        <is>
          <t>KALMAR LÄN</t>
        </is>
      </c>
      <c r="E696" t="inlineStr">
        <is>
          <t>VIMMERBY</t>
        </is>
      </c>
      <c r="G696" t="n">
        <v>4.5</v>
      </c>
      <c r="H696" t="n">
        <v>0</v>
      </c>
      <c r="I696" t="n">
        <v>0</v>
      </c>
      <c r="J696" t="n">
        <v>0</v>
      </c>
      <c r="K696" t="n">
        <v>0</v>
      </c>
      <c r="L696" t="n">
        <v>0</v>
      </c>
      <c r="M696" t="n">
        <v>0</v>
      </c>
      <c r="N696" t="n">
        <v>0</v>
      </c>
      <c r="O696" t="n">
        <v>0</v>
      </c>
      <c r="P696" t="n">
        <v>0</v>
      </c>
      <c r="Q696" t="n">
        <v>0</v>
      </c>
      <c r="R696" s="2" t="inlineStr"/>
    </row>
    <row r="697" ht="15" customHeight="1">
      <c r="A697" t="inlineStr">
        <is>
          <t>A 49408-2023</t>
        </is>
      </c>
      <c r="B697" s="1" t="n">
        <v>45211.43555555555</v>
      </c>
      <c r="C697" s="1" t="n">
        <v>45904</v>
      </c>
      <c r="D697" t="inlineStr">
        <is>
          <t>KALMAR LÄN</t>
        </is>
      </c>
      <c r="E697" t="inlineStr">
        <is>
          <t>VIMMERBY</t>
        </is>
      </c>
      <c r="G697" t="n">
        <v>13.1</v>
      </c>
      <c r="H697" t="n">
        <v>0</v>
      </c>
      <c r="I697" t="n">
        <v>0</v>
      </c>
      <c r="J697" t="n">
        <v>0</v>
      </c>
      <c r="K697" t="n">
        <v>0</v>
      </c>
      <c r="L697" t="n">
        <v>0</v>
      </c>
      <c r="M697" t="n">
        <v>0</v>
      </c>
      <c r="N697" t="n">
        <v>0</v>
      </c>
      <c r="O697" t="n">
        <v>0</v>
      </c>
      <c r="P697" t="n">
        <v>0</v>
      </c>
      <c r="Q697" t="n">
        <v>0</v>
      </c>
      <c r="R697" s="2" t="inlineStr"/>
    </row>
    <row r="698" ht="15" customHeight="1">
      <c r="A698" t="inlineStr">
        <is>
          <t>A 56536-2022</t>
        </is>
      </c>
      <c r="B698" s="1" t="n">
        <v>44893</v>
      </c>
      <c r="C698" s="1" t="n">
        <v>45904</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9129-2025</t>
        </is>
      </c>
      <c r="B699" s="1" t="n">
        <v>45713.92412037037</v>
      </c>
      <c r="C699" s="1" t="n">
        <v>45904</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22197-2024</t>
        </is>
      </c>
      <c r="B700" s="1" t="n">
        <v>45446.36774305555</v>
      </c>
      <c r="C700" s="1" t="n">
        <v>45904</v>
      </c>
      <c r="D700" t="inlineStr">
        <is>
          <t>KALMAR LÄN</t>
        </is>
      </c>
      <c r="E700" t="inlineStr">
        <is>
          <t>VIMMERBY</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53752-2024</t>
        </is>
      </c>
      <c r="B701" s="1" t="n">
        <v>45615.48927083334</v>
      </c>
      <c r="C701" s="1" t="n">
        <v>45904</v>
      </c>
      <c r="D701" t="inlineStr">
        <is>
          <t>KALMAR LÄN</t>
        </is>
      </c>
      <c r="E701" t="inlineStr">
        <is>
          <t>VIMMERBY</t>
        </is>
      </c>
      <c r="G701" t="n">
        <v>2.4</v>
      </c>
      <c r="H701" t="n">
        <v>0</v>
      </c>
      <c r="I701" t="n">
        <v>0</v>
      </c>
      <c r="J701" t="n">
        <v>0</v>
      </c>
      <c r="K701" t="n">
        <v>0</v>
      </c>
      <c r="L701" t="n">
        <v>0</v>
      </c>
      <c r="M701" t="n">
        <v>0</v>
      </c>
      <c r="N701" t="n">
        <v>0</v>
      </c>
      <c r="O701" t="n">
        <v>0</v>
      </c>
      <c r="P701" t="n">
        <v>0</v>
      </c>
      <c r="Q701" t="n">
        <v>0</v>
      </c>
      <c r="R701" s="2" t="inlineStr"/>
    </row>
    <row r="702" ht="15" customHeight="1">
      <c r="A702" t="inlineStr">
        <is>
          <t>A 41199-2023</t>
        </is>
      </c>
      <c r="B702" s="1" t="n">
        <v>45174.40454861111</v>
      </c>
      <c r="C702" s="1" t="n">
        <v>45904</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12121-2025</t>
        </is>
      </c>
      <c r="B703" s="1" t="n">
        <v>45729.36868055556</v>
      </c>
      <c r="C703" s="1" t="n">
        <v>45904</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8945-2025</t>
        </is>
      </c>
      <c r="B704" s="1" t="n">
        <v>45713.45311342592</v>
      </c>
      <c r="C704" s="1" t="n">
        <v>45904</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9710-2023</t>
        </is>
      </c>
      <c r="B705" s="1" t="n">
        <v>44984</v>
      </c>
      <c r="C705" s="1" t="n">
        <v>45904</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9720-2023</t>
        </is>
      </c>
      <c r="B706" s="1" t="n">
        <v>44984</v>
      </c>
      <c r="C706" s="1" t="n">
        <v>45904</v>
      </c>
      <c r="D706" t="inlineStr">
        <is>
          <t>KALMAR LÄN</t>
        </is>
      </c>
      <c r="E706" t="inlineStr">
        <is>
          <t>VIMMERBY</t>
        </is>
      </c>
      <c r="G706" t="n">
        <v>4.4</v>
      </c>
      <c r="H706" t="n">
        <v>0</v>
      </c>
      <c r="I706" t="n">
        <v>0</v>
      </c>
      <c r="J706" t="n">
        <v>0</v>
      </c>
      <c r="K706" t="n">
        <v>0</v>
      </c>
      <c r="L706" t="n">
        <v>0</v>
      </c>
      <c r="M706" t="n">
        <v>0</v>
      </c>
      <c r="N706" t="n">
        <v>0</v>
      </c>
      <c r="O706" t="n">
        <v>0</v>
      </c>
      <c r="P706" t="n">
        <v>0</v>
      </c>
      <c r="Q706" t="n">
        <v>0</v>
      </c>
      <c r="R706" s="2" t="inlineStr"/>
    </row>
    <row r="707" ht="15" customHeight="1">
      <c r="A707" t="inlineStr">
        <is>
          <t>A 15493-2023</t>
        </is>
      </c>
      <c r="B707" s="1" t="n">
        <v>45018</v>
      </c>
      <c r="C707" s="1" t="n">
        <v>45904</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11619-2023</t>
        </is>
      </c>
      <c r="B708" s="1" t="n">
        <v>44994.42113425926</v>
      </c>
      <c r="C708" s="1" t="n">
        <v>45904</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41896-2023</t>
        </is>
      </c>
      <c r="B709" s="1" t="n">
        <v>45176.72427083334</v>
      </c>
      <c r="C709" s="1" t="n">
        <v>45904</v>
      </c>
      <c r="D709" t="inlineStr">
        <is>
          <t>KALMAR LÄN</t>
        </is>
      </c>
      <c r="E709" t="inlineStr">
        <is>
          <t>VIMMERBY</t>
        </is>
      </c>
      <c r="G709" t="n">
        <v>1.3</v>
      </c>
      <c r="H709" t="n">
        <v>0</v>
      </c>
      <c r="I709" t="n">
        <v>0</v>
      </c>
      <c r="J709" t="n">
        <v>0</v>
      </c>
      <c r="K709" t="n">
        <v>0</v>
      </c>
      <c r="L709" t="n">
        <v>0</v>
      </c>
      <c r="M709" t="n">
        <v>0</v>
      </c>
      <c r="N709" t="n">
        <v>0</v>
      </c>
      <c r="O709" t="n">
        <v>0</v>
      </c>
      <c r="P709" t="n">
        <v>0</v>
      </c>
      <c r="Q709" t="n">
        <v>0</v>
      </c>
      <c r="R709" s="2" t="inlineStr"/>
    </row>
    <row r="710" ht="15" customHeight="1">
      <c r="A710" t="inlineStr">
        <is>
          <t>A 29093-2023</t>
        </is>
      </c>
      <c r="B710" s="1" t="n">
        <v>45105</v>
      </c>
      <c r="C710" s="1" t="n">
        <v>45904</v>
      </c>
      <c r="D710" t="inlineStr">
        <is>
          <t>KALMAR LÄN</t>
        </is>
      </c>
      <c r="E710" t="inlineStr">
        <is>
          <t>VIMMERBY</t>
        </is>
      </c>
      <c r="G710" t="n">
        <v>2.9</v>
      </c>
      <c r="H710" t="n">
        <v>0</v>
      </c>
      <c r="I710" t="n">
        <v>0</v>
      </c>
      <c r="J710" t="n">
        <v>0</v>
      </c>
      <c r="K710" t="n">
        <v>0</v>
      </c>
      <c r="L710" t="n">
        <v>0</v>
      </c>
      <c r="M710" t="n">
        <v>0</v>
      </c>
      <c r="N710" t="n">
        <v>0</v>
      </c>
      <c r="O710" t="n">
        <v>0</v>
      </c>
      <c r="P710" t="n">
        <v>0</v>
      </c>
      <c r="Q710" t="n">
        <v>0</v>
      </c>
      <c r="R710" s="2" t="inlineStr"/>
    </row>
    <row r="711" ht="15" customHeight="1">
      <c r="A711" t="inlineStr">
        <is>
          <t>A 33352-2022</t>
        </is>
      </c>
      <c r="B711" s="1" t="n">
        <v>44788</v>
      </c>
      <c r="C711" s="1" t="n">
        <v>45904</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17926-2025</t>
        </is>
      </c>
      <c r="B712" s="1" t="n">
        <v>45759.38987268518</v>
      </c>
      <c r="C712" s="1" t="n">
        <v>45904</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10674-2021</t>
        </is>
      </c>
      <c r="B713" s="1" t="n">
        <v>44258</v>
      </c>
      <c r="C713" s="1" t="n">
        <v>45904</v>
      </c>
      <c r="D713" t="inlineStr">
        <is>
          <t>KALMAR LÄN</t>
        </is>
      </c>
      <c r="E713" t="inlineStr">
        <is>
          <t>VIMMERBY</t>
        </is>
      </c>
      <c r="G713" t="n">
        <v>8.4</v>
      </c>
      <c r="H713" t="n">
        <v>0</v>
      </c>
      <c r="I713" t="n">
        <v>0</v>
      </c>
      <c r="J713" t="n">
        <v>0</v>
      </c>
      <c r="K713" t="n">
        <v>0</v>
      </c>
      <c r="L713" t="n">
        <v>0</v>
      </c>
      <c r="M713" t="n">
        <v>0</v>
      </c>
      <c r="N713" t="n">
        <v>0</v>
      </c>
      <c r="O713" t="n">
        <v>0</v>
      </c>
      <c r="P713" t="n">
        <v>0</v>
      </c>
      <c r="Q713" t="n">
        <v>0</v>
      </c>
      <c r="R713" s="2" t="inlineStr"/>
    </row>
    <row r="714" ht="15" customHeight="1">
      <c r="A714" t="inlineStr">
        <is>
          <t>A 21028-2023</t>
        </is>
      </c>
      <c r="B714" s="1" t="n">
        <v>45061</v>
      </c>
      <c r="C714" s="1" t="n">
        <v>45904</v>
      </c>
      <c r="D714" t="inlineStr">
        <is>
          <t>KALMAR LÄN</t>
        </is>
      </c>
      <c r="E714" t="inlineStr">
        <is>
          <t>VIMMERBY</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22264-2023</t>
        </is>
      </c>
      <c r="B715" s="1" t="n">
        <v>45070.3665625</v>
      </c>
      <c r="C715" s="1" t="n">
        <v>45904</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16676-2023</t>
        </is>
      </c>
      <c r="B716" s="1" t="n">
        <v>45028</v>
      </c>
      <c r="C716" s="1" t="n">
        <v>45904</v>
      </c>
      <c r="D716" t="inlineStr">
        <is>
          <t>KALMAR LÄN</t>
        </is>
      </c>
      <c r="E716" t="inlineStr">
        <is>
          <t>VIMMERBY</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6220-2025</t>
        </is>
      </c>
      <c r="B717" s="1" t="n">
        <v>45698.53725694444</v>
      </c>
      <c r="C717" s="1" t="n">
        <v>45904</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19445-2021</t>
        </is>
      </c>
      <c r="B718" s="1" t="n">
        <v>44310</v>
      </c>
      <c r="C718" s="1" t="n">
        <v>45904</v>
      </c>
      <c r="D718" t="inlineStr">
        <is>
          <t>KALMAR LÄN</t>
        </is>
      </c>
      <c r="E718" t="inlineStr">
        <is>
          <t>VIMMERBY</t>
        </is>
      </c>
      <c r="G718" t="n">
        <v>6.8</v>
      </c>
      <c r="H718" t="n">
        <v>0</v>
      </c>
      <c r="I718" t="n">
        <v>0</v>
      </c>
      <c r="J718" t="n">
        <v>0</v>
      </c>
      <c r="K718" t="n">
        <v>0</v>
      </c>
      <c r="L718" t="n">
        <v>0</v>
      </c>
      <c r="M718" t="n">
        <v>0</v>
      </c>
      <c r="N718" t="n">
        <v>0</v>
      </c>
      <c r="O718" t="n">
        <v>0</v>
      </c>
      <c r="P718" t="n">
        <v>0</v>
      </c>
      <c r="Q718" t="n">
        <v>0</v>
      </c>
      <c r="R718" s="2" t="inlineStr"/>
    </row>
    <row r="719" ht="15" customHeight="1">
      <c r="A719" t="inlineStr">
        <is>
          <t>A 24096-2024</t>
        </is>
      </c>
      <c r="B719" s="1" t="n">
        <v>45456.59289351852</v>
      </c>
      <c r="C719" s="1" t="n">
        <v>45904</v>
      </c>
      <c r="D719" t="inlineStr">
        <is>
          <t>KALMAR LÄN</t>
        </is>
      </c>
      <c r="E719" t="inlineStr">
        <is>
          <t>VIMMERBY</t>
        </is>
      </c>
      <c r="G719" t="n">
        <v>2.3</v>
      </c>
      <c r="H719" t="n">
        <v>0</v>
      </c>
      <c r="I719" t="n">
        <v>0</v>
      </c>
      <c r="J719" t="n">
        <v>0</v>
      </c>
      <c r="K719" t="n">
        <v>0</v>
      </c>
      <c r="L719" t="n">
        <v>0</v>
      </c>
      <c r="M719" t="n">
        <v>0</v>
      </c>
      <c r="N719" t="n">
        <v>0</v>
      </c>
      <c r="O719" t="n">
        <v>0</v>
      </c>
      <c r="P719" t="n">
        <v>0</v>
      </c>
      <c r="Q719" t="n">
        <v>0</v>
      </c>
      <c r="R719" s="2" t="inlineStr"/>
    </row>
    <row r="720" ht="15" customHeight="1">
      <c r="A720" t="inlineStr">
        <is>
          <t>A 27122-2023</t>
        </is>
      </c>
      <c r="B720" s="1" t="n">
        <v>45096.45247685185</v>
      </c>
      <c r="C720" s="1" t="n">
        <v>45904</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29013-2024</t>
        </is>
      </c>
      <c r="B721" s="1" t="n">
        <v>45481.55984953704</v>
      </c>
      <c r="C721" s="1" t="n">
        <v>45904</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6066-2023</t>
        </is>
      </c>
      <c r="B722" s="1" t="n">
        <v>44964.50894675926</v>
      </c>
      <c r="C722" s="1" t="n">
        <v>45904</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59955-2023</t>
        </is>
      </c>
      <c r="B723" s="1" t="n">
        <v>45257.70313657408</v>
      </c>
      <c r="C723" s="1" t="n">
        <v>45904</v>
      </c>
      <c r="D723" t="inlineStr">
        <is>
          <t>KALMAR LÄN</t>
        </is>
      </c>
      <c r="E723" t="inlineStr">
        <is>
          <t>VIMMERBY</t>
        </is>
      </c>
      <c r="G723" t="n">
        <v>13.8</v>
      </c>
      <c r="H723" t="n">
        <v>0</v>
      </c>
      <c r="I723" t="n">
        <v>0</v>
      </c>
      <c r="J723" t="n">
        <v>0</v>
      </c>
      <c r="K723" t="n">
        <v>0</v>
      </c>
      <c r="L723" t="n">
        <v>0</v>
      </c>
      <c r="M723" t="n">
        <v>0</v>
      </c>
      <c r="N723" t="n">
        <v>0</v>
      </c>
      <c r="O723" t="n">
        <v>0</v>
      </c>
      <c r="P723" t="n">
        <v>0</v>
      </c>
      <c r="Q723" t="n">
        <v>0</v>
      </c>
      <c r="R723" s="2" t="inlineStr"/>
    </row>
    <row r="724" ht="15" customHeight="1">
      <c r="A724" t="inlineStr">
        <is>
          <t>A 13813-2024</t>
        </is>
      </c>
      <c r="B724" s="1" t="n">
        <v>45391.41310185185</v>
      </c>
      <c r="C724" s="1" t="n">
        <v>45904</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38969-2023</t>
        </is>
      </c>
      <c r="B725" s="1" t="n">
        <v>45163.63621527778</v>
      </c>
      <c r="C725" s="1" t="n">
        <v>45904</v>
      </c>
      <c r="D725" t="inlineStr">
        <is>
          <t>KALMAR LÄN</t>
        </is>
      </c>
      <c r="E725" t="inlineStr">
        <is>
          <t>VIMMERBY</t>
        </is>
      </c>
      <c r="F725" t="inlineStr">
        <is>
          <t>Sveaskog</t>
        </is>
      </c>
      <c r="G725" t="n">
        <v>2.4</v>
      </c>
      <c r="H725" t="n">
        <v>0</v>
      </c>
      <c r="I725" t="n">
        <v>0</v>
      </c>
      <c r="J725" t="n">
        <v>0</v>
      </c>
      <c r="K725" t="n">
        <v>0</v>
      </c>
      <c r="L725" t="n">
        <v>0</v>
      </c>
      <c r="M725" t="n">
        <v>0</v>
      </c>
      <c r="N725" t="n">
        <v>0</v>
      </c>
      <c r="O725" t="n">
        <v>0</v>
      </c>
      <c r="P725" t="n">
        <v>0</v>
      </c>
      <c r="Q725" t="n">
        <v>0</v>
      </c>
      <c r="R725" s="2" t="inlineStr"/>
    </row>
    <row r="726" ht="15" customHeight="1">
      <c r="A726" t="inlineStr">
        <is>
          <t>A 36040-2024</t>
        </is>
      </c>
      <c r="B726" s="1" t="n">
        <v>45533.60232638889</v>
      </c>
      <c r="C726" s="1" t="n">
        <v>45904</v>
      </c>
      <c r="D726" t="inlineStr">
        <is>
          <t>KALMAR LÄN</t>
        </is>
      </c>
      <c r="E726" t="inlineStr">
        <is>
          <t>VIMMERBY</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36043-2024</t>
        </is>
      </c>
      <c r="B727" s="1" t="n">
        <v>45533.60770833334</v>
      </c>
      <c r="C727" s="1" t="n">
        <v>45904</v>
      </c>
      <c r="D727" t="inlineStr">
        <is>
          <t>KALMAR LÄN</t>
        </is>
      </c>
      <c r="E727" t="inlineStr">
        <is>
          <t>VIMMERBY</t>
        </is>
      </c>
      <c r="F727" t="inlineStr">
        <is>
          <t>Kommuner</t>
        </is>
      </c>
      <c r="G727" t="n">
        <v>1.5</v>
      </c>
      <c r="H727" t="n">
        <v>0</v>
      </c>
      <c r="I727" t="n">
        <v>0</v>
      </c>
      <c r="J727" t="n">
        <v>0</v>
      </c>
      <c r="K727" t="n">
        <v>0</v>
      </c>
      <c r="L727" t="n">
        <v>0</v>
      </c>
      <c r="M727" t="n">
        <v>0</v>
      </c>
      <c r="N727" t="n">
        <v>0</v>
      </c>
      <c r="O727" t="n">
        <v>0</v>
      </c>
      <c r="P727" t="n">
        <v>0</v>
      </c>
      <c r="Q727" t="n">
        <v>0</v>
      </c>
      <c r="R727" s="2" t="inlineStr"/>
    </row>
    <row r="728" ht="15" customHeight="1">
      <c r="A728" t="inlineStr">
        <is>
          <t>A 12890-2023</t>
        </is>
      </c>
      <c r="B728" s="1" t="n">
        <v>45001.59209490741</v>
      </c>
      <c r="C728" s="1" t="n">
        <v>45904</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43594-2024</t>
        </is>
      </c>
      <c r="B729" s="1" t="n">
        <v>45569.44295138889</v>
      </c>
      <c r="C729" s="1" t="n">
        <v>45904</v>
      </c>
      <c r="D729" t="inlineStr">
        <is>
          <t>KALMAR LÄN</t>
        </is>
      </c>
      <c r="E729" t="inlineStr">
        <is>
          <t>VIMMERBY</t>
        </is>
      </c>
      <c r="G729" t="n">
        <v>3.9</v>
      </c>
      <c r="H729" t="n">
        <v>0</v>
      </c>
      <c r="I729" t="n">
        <v>0</v>
      </c>
      <c r="J729" t="n">
        <v>0</v>
      </c>
      <c r="K729" t="n">
        <v>0</v>
      </c>
      <c r="L729" t="n">
        <v>0</v>
      </c>
      <c r="M729" t="n">
        <v>0</v>
      </c>
      <c r="N729" t="n">
        <v>0</v>
      </c>
      <c r="O729" t="n">
        <v>0</v>
      </c>
      <c r="P729" t="n">
        <v>0</v>
      </c>
      <c r="Q729" t="n">
        <v>0</v>
      </c>
      <c r="R729" s="2" t="inlineStr"/>
    </row>
    <row r="730" ht="15" customHeight="1">
      <c r="A730" t="inlineStr">
        <is>
          <t>A 26937-2023</t>
        </is>
      </c>
      <c r="B730" s="1" t="n">
        <v>45093.62777777778</v>
      </c>
      <c r="C730" s="1" t="n">
        <v>45904</v>
      </c>
      <c r="D730" t="inlineStr">
        <is>
          <t>KALMAR LÄN</t>
        </is>
      </c>
      <c r="E730" t="inlineStr">
        <is>
          <t>VIMMERBY</t>
        </is>
      </c>
      <c r="F730" t="inlineStr">
        <is>
          <t>Sveaskog</t>
        </is>
      </c>
      <c r="G730" t="n">
        <v>14.5</v>
      </c>
      <c r="H730" t="n">
        <v>0</v>
      </c>
      <c r="I730" t="n">
        <v>0</v>
      </c>
      <c r="J730" t="n">
        <v>0</v>
      </c>
      <c r="K730" t="n">
        <v>0</v>
      </c>
      <c r="L730" t="n">
        <v>0</v>
      </c>
      <c r="M730" t="n">
        <v>0</v>
      </c>
      <c r="N730" t="n">
        <v>0</v>
      </c>
      <c r="O730" t="n">
        <v>0</v>
      </c>
      <c r="P730" t="n">
        <v>0</v>
      </c>
      <c r="Q730" t="n">
        <v>0</v>
      </c>
      <c r="R730" s="2" t="inlineStr"/>
    </row>
    <row r="731" ht="15" customHeight="1">
      <c r="A731" t="inlineStr">
        <is>
          <t>A 57486-2024</t>
        </is>
      </c>
      <c r="B731" s="1" t="n">
        <v>45630.35827546296</v>
      </c>
      <c r="C731" s="1" t="n">
        <v>45904</v>
      </c>
      <c r="D731" t="inlineStr">
        <is>
          <t>KALMAR LÄN</t>
        </is>
      </c>
      <c r="E731" t="inlineStr">
        <is>
          <t>VIMMERBY</t>
        </is>
      </c>
      <c r="G731" t="n">
        <v>0.4</v>
      </c>
      <c r="H731" t="n">
        <v>0</v>
      </c>
      <c r="I731" t="n">
        <v>0</v>
      </c>
      <c r="J731" t="n">
        <v>0</v>
      </c>
      <c r="K731" t="n">
        <v>0</v>
      </c>
      <c r="L731" t="n">
        <v>0</v>
      </c>
      <c r="M731" t="n">
        <v>0</v>
      </c>
      <c r="N731" t="n">
        <v>0</v>
      </c>
      <c r="O731" t="n">
        <v>0</v>
      </c>
      <c r="P731" t="n">
        <v>0</v>
      </c>
      <c r="Q731" t="n">
        <v>0</v>
      </c>
      <c r="R731" s="2" t="inlineStr"/>
    </row>
    <row r="732" ht="15" customHeight="1">
      <c r="A732" t="inlineStr">
        <is>
          <t>A 43186-2021</t>
        </is>
      </c>
      <c r="B732" s="1" t="n">
        <v>44431.84840277778</v>
      </c>
      <c r="C732" s="1" t="n">
        <v>45904</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1799-2025</t>
        </is>
      </c>
      <c r="B733" s="1" t="n">
        <v>45671.46746527778</v>
      </c>
      <c r="C733" s="1" t="n">
        <v>45904</v>
      </c>
      <c r="D733" t="inlineStr">
        <is>
          <t>KALMAR LÄN</t>
        </is>
      </c>
      <c r="E733" t="inlineStr">
        <is>
          <t>VIMMERBY</t>
        </is>
      </c>
      <c r="G733" t="n">
        <v>3.3</v>
      </c>
      <c r="H733" t="n">
        <v>0</v>
      </c>
      <c r="I733" t="n">
        <v>0</v>
      </c>
      <c r="J733" t="n">
        <v>0</v>
      </c>
      <c r="K733" t="n">
        <v>0</v>
      </c>
      <c r="L733" t="n">
        <v>0</v>
      </c>
      <c r="M733" t="n">
        <v>0</v>
      </c>
      <c r="N733" t="n">
        <v>0</v>
      </c>
      <c r="O733" t="n">
        <v>0</v>
      </c>
      <c r="P733" t="n">
        <v>0</v>
      </c>
      <c r="Q733" t="n">
        <v>0</v>
      </c>
      <c r="R733" s="2" t="inlineStr"/>
    </row>
    <row r="734" ht="15" customHeight="1">
      <c r="A734" t="inlineStr">
        <is>
          <t>A 53482-2022</t>
        </is>
      </c>
      <c r="B734" s="1" t="n">
        <v>44879</v>
      </c>
      <c r="C734" s="1" t="n">
        <v>45904</v>
      </c>
      <c r="D734" t="inlineStr">
        <is>
          <t>KALMAR LÄN</t>
        </is>
      </c>
      <c r="E734" t="inlineStr">
        <is>
          <t>VIMMERBY</t>
        </is>
      </c>
      <c r="G734" t="n">
        <v>10.1</v>
      </c>
      <c r="H734" t="n">
        <v>0</v>
      </c>
      <c r="I734" t="n">
        <v>0</v>
      </c>
      <c r="J734" t="n">
        <v>0</v>
      </c>
      <c r="K734" t="n">
        <v>0</v>
      </c>
      <c r="L734" t="n">
        <v>0</v>
      </c>
      <c r="M734" t="n">
        <v>0</v>
      </c>
      <c r="N734" t="n">
        <v>0</v>
      </c>
      <c r="O734" t="n">
        <v>0</v>
      </c>
      <c r="P734" t="n">
        <v>0</v>
      </c>
      <c r="Q734" t="n">
        <v>0</v>
      </c>
      <c r="R734" s="2" t="inlineStr"/>
    </row>
    <row r="735" ht="15" customHeight="1">
      <c r="A735" t="inlineStr">
        <is>
          <t>A 30063-2023</t>
        </is>
      </c>
      <c r="B735" s="1" t="n">
        <v>45110.4184375</v>
      </c>
      <c r="C735" s="1" t="n">
        <v>45904</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27761-2024</t>
        </is>
      </c>
      <c r="B736" s="1" t="n">
        <v>45475.49018518518</v>
      </c>
      <c r="C736" s="1" t="n">
        <v>45904</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43068-2023</t>
        </is>
      </c>
      <c r="B737" s="1" t="n">
        <v>45182.78834490741</v>
      </c>
      <c r="C737" s="1" t="n">
        <v>45904</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64203-2021</t>
        </is>
      </c>
      <c r="B738" s="1" t="n">
        <v>44510.60921296296</v>
      </c>
      <c r="C738" s="1" t="n">
        <v>45904</v>
      </c>
      <c r="D738" t="inlineStr">
        <is>
          <t>KALMAR LÄN</t>
        </is>
      </c>
      <c r="E738" t="inlineStr">
        <is>
          <t>VIMMERBY</t>
        </is>
      </c>
      <c r="F738" t="inlineStr">
        <is>
          <t>Övriga Aktiebolag</t>
        </is>
      </c>
      <c r="G738" t="n">
        <v>5.4</v>
      </c>
      <c r="H738" t="n">
        <v>0</v>
      </c>
      <c r="I738" t="n">
        <v>0</v>
      </c>
      <c r="J738" t="n">
        <v>0</v>
      </c>
      <c r="K738" t="n">
        <v>0</v>
      </c>
      <c r="L738" t="n">
        <v>0</v>
      </c>
      <c r="M738" t="n">
        <v>0</v>
      </c>
      <c r="N738" t="n">
        <v>0</v>
      </c>
      <c r="O738" t="n">
        <v>0</v>
      </c>
      <c r="P738" t="n">
        <v>0</v>
      </c>
      <c r="Q738" t="n">
        <v>0</v>
      </c>
      <c r="R738" s="2" t="inlineStr"/>
    </row>
    <row r="739" ht="15" customHeight="1">
      <c r="A739" t="inlineStr">
        <is>
          <t>A 5720-2023</t>
        </is>
      </c>
      <c r="B739" s="1" t="n">
        <v>44961</v>
      </c>
      <c r="C739" s="1" t="n">
        <v>45904</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9643-2023</t>
        </is>
      </c>
      <c r="B740" s="1" t="n">
        <v>44984</v>
      </c>
      <c r="C740" s="1" t="n">
        <v>45904</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25728-2023</t>
        </is>
      </c>
      <c r="B741" s="1" t="n">
        <v>45090.38012731481</v>
      </c>
      <c r="C741" s="1" t="n">
        <v>45904</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18020-2025</t>
        </is>
      </c>
      <c r="B742" s="1" t="n">
        <v>45761.4437962963</v>
      </c>
      <c r="C742" s="1" t="n">
        <v>45904</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33424-2023</t>
        </is>
      </c>
      <c r="B743" s="1" t="n">
        <v>45128.9325</v>
      </c>
      <c r="C743" s="1" t="n">
        <v>45904</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33425-2023</t>
        </is>
      </c>
      <c r="B744" s="1" t="n">
        <v>45128.93540509259</v>
      </c>
      <c r="C744" s="1" t="n">
        <v>45904</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12327-2023</t>
        </is>
      </c>
      <c r="B745" s="1" t="n">
        <v>44999.36081018519</v>
      </c>
      <c r="C745" s="1" t="n">
        <v>45904</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43092-2024</t>
        </is>
      </c>
      <c r="B746" s="1" t="n">
        <v>45567</v>
      </c>
      <c r="C746" s="1" t="n">
        <v>45904</v>
      </c>
      <c r="D746" t="inlineStr">
        <is>
          <t>KALMAR LÄN</t>
        </is>
      </c>
      <c r="E746" t="inlineStr">
        <is>
          <t>VIMMERBY</t>
        </is>
      </c>
      <c r="G746" t="n">
        <v>2.7</v>
      </c>
      <c r="H746" t="n">
        <v>0</v>
      </c>
      <c r="I746" t="n">
        <v>0</v>
      </c>
      <c r="J746" t="n">
        <v>0</v>
      </c>
      <c r="K746" t="n">
        <v>0</v>
      </c>
      <c r="L746" t="n">
        <v>0</v>
      </c>
      <c r="M746" t="n">
        <v>0</v>
      </c>
      <c r="N746" t="n">
        <v>0</v>
      </c>
      <c r="O746" t="n">
        <v>0</v>
      </c>
      <c r="P746" t="n">
        <v>0</v>
      </c>
      <c r="Q746" t="n">
        <v>0</v>
      </c>
      <c r="R746" s="2" t="inlineStr"/>
    </row>
    <row r="747" ht="15" customHeight="1">
      <c r="A747" t="inlineStr">
        <is>
          <t>A 52435-2021</t>
        </is>
      </c>
      <c r="B747" s="1" t="n">
        <v>44466.34962962963</v>
      </c>
      <c r="C747" s="1" t="n">
        <v>45904</v>
      </c>
      <c r="D747" t="inlineStr">
        <is>
          <t>KALMAR LÄN</t>
        </is>
      </c>
      <c r="E747" t="inlineStr">
        <is>
          <t>VIMMERBY</t>
        </is>
      </c>
      <c r="G747" t="n">
        <v>2.8</v>
      </c>
      <c r="H747" t="n">
        <v>0</v>
      </c>
      <c r="I747" t="n">
        <v>0</v>
      </c>
      <c r="J747" t="n">
        <v>0</v>
      </c>
      <c r="K747" t="n">
        <v>0</v>
      </c>
      <c r="L747" t="n">
        <v>0</v>
      </c>
      <c r="M747" t="n">
        <v>0</v>
      </c>
      <c r="N747" t="n">
        <v>0</v>
      </c>
      <c r="O747" t="n">
        <v>0</v>
      </c>
      <c r="P747" t="n">
        <v>0</v>
      </c>
      <c r="Q747" t="n">
        <v>0</v>
      </c>
      <c r="R747" s="2" t="inlineStr"/>
    </row>
    <row r="748" ht="15" customHeight="1">
      <c r="A748" t="inlineStr">
        <is>
          <t>A 41311-2023</t>
        </is>
      </c>
      <c r="B748" s="1" t="n">
        <v>45174</v>
      </c>
      <c r="C748" s="1" t="n">
        <v>45904</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26318-2023</t>
        </is>
      </c>
      <c r="B749" s="1" t="n">
        <v>45091.67936342592</v>
      </c>
      <c r="C749" s="1" t="n">
        <v>45904</v>
      </c>
      <c r="D749" t="inlineStr">
        <is>
          <t>KALMAR LÄN</t>
        </is>
      </c>
      <c r="E749" t="inlineStr">
        <is>
          <t>VIMMERBY</t>
        </is>
      </c>
      <c r="G749" t="n">
        <v>3.8</v>
      </c>
      <c r="H749" t="n">
        <v>0</v>
      </c>
      <c r="I749" t="n">
        <v>0</v>
      </c>
      <c r="J749" t="n">
        <v>0</v>
      </c>
      <c r="K749" t="n">
        <v>0</v>
      </c>
      <c r="L749" t="n">
        <v>0</v>
      </c>
      <c r="M749" t="n">
        <v>0</v>
      </c>
      <c r="N749" t="n">
        <v>0</v>
      </c>
      <c r="O749" t="n">
        <v>0</v>
      </c>
      <c r="P749" t="n">
        <v>0</v>
      </c>
      <c r="Q749" t="n">
        <v>0</v>
      </c>
      <c r="R749" s="2" t="inlineStr"/>
    </row>
    <row r="750" ht="15" customHeight="1">
      <c r="A750" t="inlineStr">
        <is>
          <t>A 35127-2024</t>
        </is>
      </c>
      <c r="B750" s="1" t="n">
        <v>45530.33202546297</v>
      </c>
      <c r="C750" s="1" t="n">
        <v>45904</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44910.41346064815</v>
      </c>
      <c r="C751" s="1" t="n">
        <v>45904</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29441-2024</t>
        </is>
      </c>
      <c r="B752" s="1" t="n">
        <v>45483.82834490741</v>
      </c>
      <c r="C752" s="1" t="n">
        <v>45904</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61355-2024</t>
        </is>
      </c>
      <c r="B753" s="1" t="n">
        <v>45646.38200231481</v>
      </c>
      <c r="C753" s="1" t="n">
        <v>45904</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6216-2025</t>
        </is>
      </c>
      <c r="B754" s="1" t="n">
        <v>45698.52806712963</v>
      </c>
      <c r="C754" s="1" t="n">
        <v>45904</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62779-2023</t>
        </is>
      </c>
      <c r="B755" s="1" t="n">
        <v>45271.66576388889</v>
      </c>
      <c r="C755" s="1" t="n">
        <v>45904</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52294-2023</t>
        </is>
      </c>
      <c r="B756" s="1" t="n">
        <v>45224.60075231481</v>
      </c>
      <c r="C756" s="1" t="n">
        <v>45904</v>
      </c>
      <c r="D756" t="inlineStr">
        <is>
          <t>KALMAR LÄN</t>
        </is>
      </c>
      <c r="E756" t="inlineStr">
        <is>
          <t>VIMMERBY</t>
        </is>
      </c>
      <c r="F756" t="inlineStr">
        <is>
          <t>Sveaskog</t>
        </is>
      </c>
      <c r="G756" t="n">
        <v>2.5</v>
      </c>
      <c r="H756" t="n">
        <v>0</v>
      </c>
      <c r="I756" t="n">
        <v>0</v>
      </c>
      <c r="J756" t="n">
        <v>0</v>
      </c>
      <c r="K756" t="n">
        <v>0</v>
      </c>
      <c r="L756" t="n">
        <v>0</v>
      </c>
      <c r="M756" t="n">
        <v>0</v>
      </c>
      <c r="N756" t="n">
        <v>0</v>
      </c>
      <c r="O756" t="n">
        <v>0</v>
      </c>
      <c r="P756" t="n">
        <v>0</v>
      </c>
      <c r="Q756" t="n">
        <v>0</v>
      </c>
      <c r="R756" s="2" t="inlineStr"/>
    </row>
    <row r="757" ht="15" customHeight="1">
      <c r="A757" t="inlineStr">
        <is>
          <t>A 31013-2023</t>
        </is>
      </c>
      <c r="B757" s="1" t="n">
        <v>45113.56574074074</v>
      </c>
      <c r="C757" s="1" t="n">
        <v>45904</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36802-2021</t>
        </is>
      </c>
      <c r="B758" s="1" t="n">
        <v>44392</v>
      </c>
      <c r="C758" s="1" t="n">
        <v>45904</v>
      </c>
      <c r="D758" t="inlineStr">
        <is>
          <t>KALMAR LÄN</t>
        </is>
      </c>
      <c r="E758" t="inlineStr">
        <is>
          <t>VIMMERBY</t>
        </is>
      </c>
      <c r="F758" t="inlineStr">
        <is>
          <t>Sveaskog</t>
        </is>
      </c>
      <c r="G758" t="n">
        <v>4.6</v>
      </c>
      <c r="H758" t="n">
        <v>0</v>
      </c>
      <c r="I758" t="n">
        <v>0</v>
      </c>
      <c r="J758" t="n">
        <v>0</v>
      </c>
      <c r="K758" t="n">
        <v>0</v>
      </c>
      <c r="L758" t="n">
        <v>0</v>
      </c>
      <c r="M758" t="n">
        <v>0</v>
      </c>
      <c r="N758" t="n">
        <v>0</v>
      </c>
      <c r="O758" t="n">
        <v>0</v>
      </c>
      <c r="P758" t="n">
        <v>0</v>
      </c>
      <c r="Q758" t="n">
        <v>0</v>
      </c>
      <c r="R758" s="2" t="inlineStr"/>
    </row>
    <row r="759" ht="15" customHeight="1">
      <c r="A759" t="inlineStr">
        <is>
          <t>A 72067-2021</t>
        </is>
      </c>
      <c r="B759" s="1" t="n">
        <v>44540</v>
      </c>
      <c r="C759" s="1" t="n">
        <v>45904</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61538-2022</t>
        </is>
      </c>
      <c r="B760" s="1" t="n">
        <v>44916.55414351852</v>
      </c>
      <c r="C760" s="1" t="n">
        <v>45904</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36155-2023</t>
        </is>
      </c>
      <c r="B761" s="1" t="n">
        <v>45149.60917824074</v>
      </c>
      <c r="C761" s="1" t="n">
        <v>45904</v>
      </c>
      <c r="D761" t="inlineStr">
        <is>
          <t>KALMAR LÄN</t>
        </is>
      </c>
      <c r="E761" t="inlineStr">
        <is>
          <t>VIMMERBY</t>
        </is>
      </c>
      <c r="G761" t="n">
        <v>5</v>
      </c>
      <c r="H761" t="n">
        <v>0</v>
      </c>
      <c r="I761" t="n">
        <v>0</v>
      </c>
      <c r="J761" t="n">
        <v>0</v>
      </c>
      <c r="K761" t="n">
        <v>0</v>
      </c>
      <c r="L761" t="n">
        <v>0</v>
      </c>
      <c r="M761" t="n">
        <v>0</v>
      </c>
      <c r="N761" t="n">
        <v>0</v>
      </c>
      <c r="O761" t="n">
        <v>0</v>
      </c>
      <c r="P761" t="n">
        <v>0</v>
      </c>
      <c r="Q761" t="n">
        <v>0</v>
      </c>
      <c r="R761" s="2" t="inlineStr"/>
    </row>
    <row r="762" ht="15" customHeight="1">
      <c r="A762" t="inlineStr">
        <is>
          <t>A 38198-2024</t>
        </is>
      </c>
      <c r="B762" s="1" t="n">
        <v>45545.49508101852</v>
      </c>
      <c r="C762" s="1" t="n">
        <v>45904</v>
      </c>
      <c r="D762" t="inlineStr">
        <is>
          <t>KALMAR LÄN</t>
        </is>
      </c>
      <c r="E762" t="inlineStr">
        <is>
          <t>VIMMERBY</t>
        </is>
      </c>
      <c r="G762" t="n">
        <v>7.9</v>
      </c>
      <c r="H762" t="n">
        <v>0</v>
      </c>
      <c r="I762" t="n">
        <v>0</v>
      </c>
      <c r="J762" t="n">
        <v>0</v>
      </c>
      <c r="K762" t="n">
        <v>0</v>
      </c>
      <c r="L762" t="n">
        <v>0</v>
      </c>
      <c r="M762" t="n">
        <v>0</v>
      </c>
      <c r="N762" t="n">
        <v>0</v>
      </c>
      <c r="O762" t="n">
        <v>0</v>
      </c>
      <c r="P762" t="n">
        <v>0</v>
      </c>
      <c r="Q762" t="n">
        <v>0</v>
      </c>
      <c r="R762" s="2" t="inlineStr"/>
    </row>
    <row r="763" ht="15" customHeight="1">
      <c r="A763" t="inlineStr">
        <is>
          <t>A 29173-2024</t>
        </is>
      </c>
      <c r="B763" s="1" t="n">
        <v>45482.52887731481</v>
      </c>
      <c r="C763" s="1" t="n">
        <v>45904</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9623-2024</t>
        </is>
      </c>
      <c r="B764" s="1" t="n">
        <v>45361.87975694444</v>
      </c>
      <c r="C764" s="1" t="n">
        <v>45904</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58967-2022</t>
        </is>
      </c>
      <c r="B765" s="1" t="n">
        <v>44896</v>
      </c>
      <c r="C765" s="1" t="n">
        <v>45904</v>
      </c>
      <c r="D765" t="inlineStr">
        <is>
          <t>KALMAR LÄN</t>
        </is>
      </c>
      <c r="E765" t="inlineStr">
        <is>
          <t>VIMMERBY</t>
        </is>
      </c>
      <c r="G765" t="n">
        <v>5</v>
      </c>
      <c r="H765" t="n">
        <v>0</v>
      </c>
      <c r="I765" t="n">
        <v>0</v>
      </c>
      <c r="J765" t="n">
        <v>0</v>
      </c>
      <c r="K765" t="n">
        <v>0</v>
      </c>
      <c r="L765" t="n">
        <v>0</v>
      </c>
      <c r="M765" t="n">
        <v>0</v>
      </c>
      <c r="N765" t="n">
        <v>0</v>
      </c>
      <c r="O765" t="n">
        <v>0</v>
      </c>
      <c r="P765" t="n">
        <v>0</v>
      </c>
      <c r="Q765" t="n">
        <v>0</v>
      </c>
      <c r="R765" s="2" t="inlineStr"/>
    </row>
    <row r="766" ht="15" customHeight="1">
      <c r="A766" t="inlineStr">
        <is>
          <t>A 53542-2022</t>
        </is>
      </c>
      <c r="B766" s="1" t="n">
        <v>44879.62173611111</v>
      </c>
      <c r="C766" s="1" t="n">
        <v>45904</v>
      </c>
      <c r="D766" t="inlineStr">
        <is>
          <t>KALMAR LÄN</t>
        </is>
      </c>
      <c r="E766" t="inlineStr">
        <is>
          <t>VIMMERBY</t>
        </is>
      </c>
      <c r="G766" t="n">
        <v>2.6</v>
      </c>
      <c r="H766" t="n">
        <v>0</v>
      </c>
      <c r="I766" t="n">
        <v>0</v>
      </c>
      <c r="J766" t="n">
        <v>0</v>
      </c>
      <c r="K766" t="n">
        <v>0</v>
      </c>
      <c r="L766" t="n">
        <v>0</v>
      </c>
      <c r="M766" t="n">
        <v>0</v>
      </c>
      <c r="N766" t="n">
        <v>0</v>
      </c>
      <c r="O766" t="n">
        <v>0</v>
      </c>
      <c r="P766" t="n">
        <v>0</v>
      </c>
      <c r="Q766" t="n">
        <v>0</v>
      </c>
      <c r="R766" s="2" t="inlineStr"/>
    </row>
    <row r="767" ht="15" customHeight="1">
      <c r="A767" t="inlineStr">
        <is>
          <t>A 6399-2025</t>
        </is>
      </c>
      <c r="B767" s="1" t="n">
        <v>45699.44291666667</v>
      </c>
      <c r="C767" s="1" t="n">
        <v>45904</v>
      </c>
      <c r="D767" t="inlineStr">
        <is>
          <t>KALMAR LÄN</t>
        </is>
      </c>
      <c r="E767" t="inlineStr">
        <is>
          <t>VIMMERBY</t>
        </is>
      </c>
      <c r="G767" t="n">
        <v>3.1</v>
      </c>
      <c r="H767" t="n">
        <v>0</v>
      </c>
      <c r="I767" t="n">
        <v>0</v>
      </c>
      <c r="J767" t="n">
        <v>0</v>
      </c>
      <c r="K767" t="n">
        <v>0</v>
      </c>
      <c r="L767" t="n">
        <v>0</v>
      </c>
      <c r="M767" t="n">
        <v>0</v>
      </c>
      <c r="N767" t="n">
        <v>0</v>
      </c>
      <c r="O767" t="n">
        <v>0</v>
      </c>
      <c r="P767" t="n">
        <v>0</v>
      </c>
      <c r="Q767" t="n">
        <v>0</v>
      </c>
      <c r="R767" s="2" t="inlineStr"/>
    </row>
    <row r="768" ht="15" customHeight="1">
      <c r="A768" t="inlineStr">
        <is>
          <t>A 31355-2023</t>
        </is>
      </c>
      <c r="B768" s="1" t="n">
        <v>45114.49505787037</v>
      </c>
      <c r="C768" s="1" t="n">
        <v>45904</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66295-2020</t>
        </is>
      </c>
      <c r="B769" s="1" t="n">
        <v>44176</v>
      </c>
      <c r="C769" s="1" t="n">
        <v>45904</v>
      </c>
      <c r="D769" t="inlineStr">
        <is>
          <t>KALMAR LÄN</t>
        </is>
      </c>
      <c r="E769" t="inlineStr">
        <is>
          <t>VIMMERBY</t>
        </is>
      </c>
      <c r="G769" t="n">
        <v>4.1</v>
      </c>
      <c r="H769" t="n">
        <v>0</v>
      </c>
      <c r="I769" t="n">
        <v>0</v>
      </c>
      <c r="J769" t="n">
        <v>0</v>
      </c>
      <c r="K769" t="n">
        <v>0</v>
      </c>
      <c r="L769" t="n">
        <v>0</v>
      </c>
      <c r="M769" t="n">
        <v>0</v>
      </c>
      <c r="N769" t="n">
        <v>0</v>
      </c>
      <c r="O769" t="n">
        <v>0</v>
      </c>
      <c r="P769" t="n">
        <v>0</v>
      </c>
      <c r="Q769" t="n">
        <v>0</v>
      </c>
      <c r="R769" s="2" t="inlineStr"/>
    </row>
    <row r="770" ht="15" customHeight="1">
      <c r="A770" t="inlineStr">
        <is>
          <t>A 30400-2023</t>
        </is>
      </c>
      <c r="B770" s="1" t="n">
        <v>45111.48225694444</v>
      </c>
      <c r="C770" s="1" t="n">
        <v>45904</v>
      </c>
      <c r="D770" t="inlineStr">
        <is>
          <t>KALMAR LÄN</t>
        </is>
      </c>
      <c r="E770" t="inlineStr">
        <is>
          <t>VIMMERBY</t>
        </is>
      </c>
      <c r="G770" t="n">
        <v>2.7</v>
      </c>
      <c r="H770" t="n">
        <v>0</v>
      </c>
      <c r="I770" t="n">
        <v>0</v>
      </c>
      <c r="J770" t="n">
        <v>0</v>
      </c>
      <c r="K770" t="n">
        <v>0</v>
      </c>
      <c r="L770" t="n">
        <v>0</v>
      </c>
      <c r="M770" t="n">
        <v>0</v>
      </c>
      <c r="N770" t="n">
        <v>0</v>
      </c>
      <c r="O770" t="n">
        <v>0</v>
      </c>
      <c r="P770" t="n">
        <v>0</v>
      </c>
      <c r="Q770" t="n">
        <v>0</v>
      </c>
      <c r="R770" s="2" t="inlineStr"/>
    </row>
    <row r="771" ht="15" customHeight="1">
      <c r="A771" t="inlineStr">
        <is>
          <t>A 30404-2023</t>
        </is>
      </c>
      <c r="B771" s="1" t="n">
        <v>45111.48636574074</v>
      </c>
      <c r="C771" s="1" t="n">
        <v>45904</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27705-2023</t>
        </is>
      </c>
      <c r="B772" s="1" t="n">
        <v>45098.30535879629</v>
      </c>
      <c r="C772" s="1" t="n">
        <v>45904</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7627-2025</t>
        </is>
      </c>
      <c r="B773" s="1" t="n">
        <v>45705.73300925926</v>
      </c>
      <c r="C773" s="1" t="n">
        <v>45904</v>
      </c>
      <c r="D773" t="inlineStr">
        <is>
          <t>KALMAR LÄN</t>
        </is>
      </c>
      <c r="E773" t="inlineStr">
        <is>
          <t>VIMMERBY</t>
        </is>
      </c>
      <c r="G773" t="n">
        <v>2.1</v>
      </c>
      <c r="H773" t="n">
        <v>0</v>
      </c>
      <c r="I773" t="n">
        <v>0</v>
      </c>
      <c r="J773" t="n">
        <v>0</v>
      </c>
      <c r="K773" t="n">
        <v>0</v>
      </c>
      <c r="L773" t="n">
        <v>0</v>
      </c>
      <c r="M773" t="n">
        <v>0</v>
      </c>
      <c r="N773" t="n">
        <v>0</v>
      </c>
      <c r="O773" t="n">
        <v>0</v>
      </c>
      <c r="P773" t="n">
        <v>0</v>
      </c>
      <c r="Q773" t="n">
        <v>0</v>
      </c>
      <c r="R773" s="2" t="inlineStr"/>
    </row>
    <row r="774" ht="15" customHeight="1">
      <c r="A774" t="inlineStr">
        <is>
          <t>A 6807-2025</t>
        </is>
      </c>
      <c r="B774" s="1" t="n">
        <v>45700.68672453704</v>
      </c>
      <c r="C774" s="1" t="n">
        <v>45904</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7047-2022</t>
        </is>
      </c>
      <c r="B775" s="1" t="n">
        <v>44603</v>
      </c>
      <c r="C775" s="1" t="n">
        <v>45904</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1206-2025</t>
        </is>
      </c>
      <c r="B776" s="1" t="n">
        <v>45667.39670138889</v>
      </c>
      <c r="C776" s="1" t="n">
        <v>45904</v>
      </c>
      <c r="D776" t="inlineStr">
        <is>
          <t>KALMAR LÄN</t>
        </is>
      </c>
      <c r="E776" t="inlineStr">
        <is>
          <t>VIMMERBY</t>
        </is>
      </c>
      <c r="G776" t="n">
        <v>3.5</v>
      </c>
      <c r="H776" t="n">
        <v>0</v>
      </c>
      <c r="I776" t="n">
        <v>0</v>
      </c>
      <c r="J776" t="n">
        <v>0</v>
      </c>
      <c r="K776" t="n">
        <v>0</v>
      </c>
      <c r="L776" t="n">
        <v>0</v>
      </c>
      <c r="M776" t="n">
        <v>0</v>
      </c>
      <c r="N776" t="n">
        <v>0</v>
      </c>
      <c r="O776" t="n">
        <v>0</v>
      </c>
      <c r="P776" t="n">
        <v>0</v>
      </c>
      <c r="Q776" t="n">
        <v>0</v>
      </c>
      <c r="R776" s="2" t="inlineStr"/>
    </row>
    <row r="777" ht="15" customHeight="1">
      <c r="A777" t="inlineStr">
        <is>
          <t>A 35711-2023</t>
        </is>
      </c>
      <c r="B777" s="1" t="n">
        <v>45147.67172453704</v>
      </c>
      <c r="C777" s="1" t="n">
        <v>45904</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36843-2023</t>
        </is>
      </c>
      <c r="B778" s="1" t="n">
        <v>45154.49831018518</v>
      </c>
      <c r="C778" s="1" t="n">
        <v>45904</v>
      </c>
      <c r="D778" t="inlineStr">
        <is>
          <t>KALMAR LÄN</t>
        </is>
      </c>
      <c r="E778" t="inlineStr">
        <is>
          <t>VIMMERBY</t>
        </is>
      </c>
      <c r="G778" t="n">
        <v>2</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44959.66407407408</v>
      </c>
      <c r="C779" s="1" t="n">
        <v>45904</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10785-2025</t>
        </is>
      </c>
      <c r="B780" s="1" t="n">
        <v>45722.48634259259</v>
      </c>
      <c r="C780" s="1" t="n">
        <v>45904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29017-2024</t>
        </is>
      </c>
      <c r="B781" s="1" t="n">
        <v>45481.56722222222</v>
      </c>
      <c r="C781" s="1" t="n">
        <v>45904</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40823-2023</t>
        </is>
      </c>
      <c r="B782" s="1" t="n">
        <v>45171.77335648148</v>
      </c>
      <c r="C782" s="1" t="n">
        <v>45904</v>
      </c>
      <c r="D782" t="inlineStr">
        <is>
          <t>KALMAR LÄN</t>
        </is>
      </c>
      <c r="E782" t="inlineStr">
        <is>
          <t>VIMMERBY</t>
        </is>
      </c>
      <c r="G782" t="n">
        <v>2.7</v>
      </c>
      <c r="H782" t="n">
        <v>0</v>
      </c>
      <c r="I782" t="n">
        <v>0</v>
      </c>
      <c r="J782" t="n">
        <v>0</v>
      </c>
      <c r="K782" t="n">
        <v>0</v>
      </c>
      <c r="L782" t="n">
        <v>0</v>
      </c>
      <c r="M782" t="n">
        <v>0</v>
      </c>
      <c r="N782" t="n">
        <v>0</v>
      </c>
      <c r="O782" t="n">
        <v>0</v>
      </c>
      <c r="P782" t="n">
        <v>0</v>
      </c>
      <c r="Q782" t="n">
        <v>0</v>
      </c>
      <c r="R782" s="2" t="inlineStr"/>
    </row>
    <row r="783" ht="15" customHeight="1">
      <c r="A783" t="inlineStr">
        <is>
          <t>A 23263-2024</t>
        </is>
      </c>
      <c r="B783" s="1" t="n">
        <v>45453.36854166666</v>
      </c>
      <c r="C783" s="1" t="n">
        <v>45904</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11074-2023</t>
        </is>
      </c>
      <c r="B784" s="1" t="n">
        <v>44992.34151620371</v>
      </c>
      <c r="C784" s="1" t="n">
        <v>45904</v>
      </c>
      <c r="D784" t="inlineStr">
        <is>
          <t>KALMAR LÄN</t>
        </is>
      </c>
      <c r="E784" t="inlineStr">
        <is>
          <t>VIMMERBY</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6218-2025</t>
        </is>
      </c>
      <c r="B785" s="1" t="n">
        <v>45698.53336805556</v>
      </c>
      <c r="C785" s="1" t="n">
        <v>45904</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61939-2021</t>
        </is>
      </c>
      <c r="B786" s="1" t="n">
        <v>44502</v>
      </c>
      <c r="C786" s="1" t="n">
        <v>45904</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12215-2024</t>
        </is>
      </c>
      <c r="B787" s="1" t="n">
        <v>45378.32185185186</v>
      </c>
      <c r="C787" s="1" t="n">
        <v>45904</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11303-2025</t>
        </is>
      </c>
      <c r="B788" s="1" t="n">
        <v>45726.44471064815</v>
      </c>
      <c r="C788" s="1" t="n">
        <v>45904</v>
      </c>
      <c r="D788" t="inlineStr">
        <is>
          <t>KALMAR LÄN</t>
        </is>
      </c>
      <c r="E788" t="inlineStr">
        <is>
          <t>VIMMERBY</t>
        </is>
      </c>
      <c r="G788" t="n">
        <v>2.1</v>
      </c>
      <c r="H788" t="n">
        <v>0</v>
      </c>
      <c r="I788" t="n">
        <v>0</v>
      </c>
      <c r="J788" t="n">
        <v>0</v>
      </c>
      <c r="K788" t="n">
        <v>0</v>
      </c>
      <c r="L788" t="n">
        <v>0</v>
      </c>
      <c r="M788" t="n">
        <v>0</v>
      </c>
      <c r="N788" t="n">
        <v>0</v>
      </c>
      <c r="O788" t="n">
        <v>0</v>
      </c>
      <c r="P788" t="n">
        <v>0</v>
      </c>
      <c r="Q788" t="n">
        <v>0</v>
      </c>
      <c r="R788" s="2" t="inlineStr"/>
    </row>
    <row r="789" ht="15" customHeight="1">
      <c r="A789" t="inlineStr">
        <is>
          <t>A 30920-2023</t>
        </is>
      </c>
      <c r="B789" s="1" t="n">
        <v>45113.43921296296</v>
      </c>
      <c r="C789" s="1" t="n">
        <v>45904</v>
      </c>
      <c r="D789" t="inlineStr">
        <is>
          <t>KALMAR LÄN</t>
        </is>
      </c>
      <c r="E789" t="inlineStr">
        <is>
          <t>VIMMERBY</t>
        </is>
      </c>
      <c r="G789" t="n">
        <v>3.1</v>
      </c>
      <c r="H789" t="n">
        <v>0</v>
      </c>
      <c r="I789" t="n">
        <v>0</v>
      </c>
      <c r="J789" t="n">
        <v>0</v>
      </c>
      <c r="K789" t="n">
        <v>0</v>
      </c>
      <c r="L789" t="n">
        <v>0</v>
      </c>
      <c r="M789" t="n">
        <v>0</v>
      </c>
      <c r="N789" t="n">
        <v>0</v>
      </c>
      <c r="O789" t="n">
        <v>0</v>
      </c>
      <c r="P789" t="n">
        <v>0</v>
      </c>
      <c r="Q789" t="n">
        <v>0</v>
      </c>
      <c r="R789" s="2" t="inlineStr"/>
    </row>
    <row r="790" ht="15" customHeight="1">
      <c r="A790" t="inlineStr">
        <is>
          <t>A 12033-2024</t>
        </is>
      </c>
      <c r="B790" s="1" t="n">
        <v>45377.40043981482</v>
      </c>
      <c r="C790" s="1" t="n">
        <v>45904</v>
      </c>
      <c r="D790" t="inlineStr">
        <is>
          <t>KALMAR LÄN</t>
        </is>
      </c>
      <c r="E790" t="inlineStr">
        <is>
          <t>VIMMERBY</t>
        </is>
      </c>
      <c r="G790" t="n">
        <v>1.6</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44967.45122685185</v>
      </c>
      <c r="C791" s="1" t="n">
        <v>45904</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51408-2023</t>
        </is>
      </c>
      <c r="B792" s="1" t="n">
        <v>45219.69356481481</v>
      </c>
      <c r="C792" s="1" t="n">
        <v>45904</v>
      </c>
      <c r="D792" t="inlineStr">
        <is>
          <t>KALMAR LÄN</t>
        </is>
      </c>
      <c r="E792" t="inlineStr">
        <is>
          <t>VIMMERBY</t>
        </is>
      </c>
      <c r="G792" t="n">
        <v>0.7</v>
      </c>
      <c r="H792" t="n">
        <v>0</v>
      </c>
      <c r="I792" t="n">
        <v>0</v>
      </c>
      <c r="J792" t="n">
        <v>0</v>
      </c>
      <c r="K792" t="n">
        <v>0</v>
      </c>
      <c r="L792" t="n">
        <v>0</v>
      </c>
      <c r="M792" t="n">
        <v>0</v>
      </c>
      <c r="N792" t="n">
        <v>0</v>
      </c>
      <c r="O792" t="n">
        <v>0</v>
      </c>
      <c r="P792" t="n">
        <v>0</v>
      </c>
      <c r="Q792" t="n">
        <v>0</v>
      </c>
      <c r="R792" s="2" t="inlineStr"/>
    </row>
    <row r="793" ht="15" customHeight="1">
      <c r="A793" t="inlineStr">
        <is>
          <t>A 49488-2023</t>
        </is>
      </c>
      <c r="B793" s="1" t="n">
        <v>45211.55472222222</v>
      </c>
      <c r="C793" s="1" t="n">
        <v>45904</v>
      </c>
      <c r="D793" t="inlineStr">
        <is>
          <t>KALMAR LÄN</t>
        </is>
      </c>
      <c r="E793" t="inlineStr">
        <is>
          <t>VIMMERBY</t>
        </is>
      </c>
      <c r="F793" t="inlineStr">
        <is>
          <t>Sveaskog</t>
        </is>
      </c>
      <c r="G793" t="n">
        <v>6.2</v>
      </c>
      <c r="H793" t="n">
        <v>0</v>
      </c>
      <c r="I793" t="n">
        <v>0</v>
      </c>
      <c r="J793" t="n">
        <v>0</v>
      </c>
      <c r="K793" t="n">
        <v>0</v>
      </c>
      <c r="L793" t="n">
        <v>0</v>
      </c>
      <c r="M793" t="n">
        <v>0</v>
      </c>
      <c r="N793" t="n">
        <v>0</v>
      </c>
      <c r="O793" t="n">
        <v>0</v>
      </c>
      <c r="P793" t="n">
        <v>0</v>
      </c>
      <c r="Q793" t="n">
        <v>0</v>
      </c>
      <c r="R793" s="2" t="inlineStr"/>
    </row>
    <row r="794" ht="15" customHeight="1">
      <c r="A794" t="inlineStr">
        <is>
          <t>A 5792-2023</t>
        </is>
      </c>
      <c r="B794" s="1" t="n">
        <v>44963.44769675926</v>
      </c>
      <c r="C794" s="1" t="n">
        <v>45904</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10303-2025</t>
        </is>
      </c>
      <c r="B795" s="1" t="n">
        <v>45720.44217592593</v>
      </c>
      <c r="C795" s="1" t="n">
        <v>45904</v>
      </c>
      <c r="D795" t="inlineStr">
        <is>
          <t>KALMAR LÄN</t>
        </is>
      </c>
      <c r="E795" t="inlineStr">
        <is>
          <t>VIMMERBY</t>
        </is>
      </c>
      <c r="G795" t="n">
        <v>0.9</v>
      </c>
      <c r="H795" t="n">
        <v>0</v>
      </c>
      <c r="I795" t="n">
        <v>0</v>
      </c>
      <c r="J795" t="n">
        <v>0</v>
      </c>
      <c r="K795" t="n">
        <v>0</v>
      </c>
      <c r="L795" t="n">
        <v>0</v>
      </c>
      <c r="M795" t="n">
        <v>0</v>
      </c>
      <c r="N795" t="n">
        <v>0</v>
      </c>
      <c r="O795" t="n">
        <v>0</v>
      </c>
      <c r="P795" t="n">
        <v>0</v>
      </c>
      <c r="Q795" t="n">
        <v>0</v>
      </c>
      <c r="R795" s="2" t="inlineStr"/>
    </row>
    <row r="796" ht="15" customHeight="1">
      <c r="A796" t="inlineStr">
        <is>
          <t>A 60110-2022</t>
        </is>
      </c>
      <c r="B796" s="1" t="n">
        <v>44909</v>
      </c>
      <c r="C796" s="1" t="n">
        <v>45904</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8410-2023</t>
        </is>
      </c>
      <c r="B797" s="1" t="n">
        <v>44977</v>
      </c>
      <c r="C797" s="1" t="n">
        <v>45904</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30920-2024</t>
        </is>
      </c>
      <c r="B798" s="1" t="n">
        <v>45498.673125</v>
      </c>
      <c r="C798" s="1" t="n">
        <v>45904</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15394-2025</t>
        </is>
      </c>
      <c r="B799" s="1" t="n">
        <v>45747.43196759259</v>
      </c>
      <c r="C799" s="1" t="n">
        <v>45904</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15388-2025</t>
        </is>
      </c>
      <c r="B800" s="1" t="n">
        <v>45747.42633101852</v>
      </c>
      <c r="C800" s="1" t="n">
        <v>45904</v>
      </c>
      <c r="D800" t="inlineStr">
        <is>
          <t>KALMAR LÄN</t>
        </is>
      </c>
      <c r="E800" t="inlineStr">
        <is>
          <t>VIMMERBY</t>
        </is>
      </c>
      <c r="G800" t="n">
        <v>1.3</v>
      </c>
      <c r="H800" t="n">
        <v>0</v>
      </c>
      <c r="I800" t="n">
        <v>0</v>
      </c>
      <c r="J800" t="n">
        <v>0</v>
      </c>
      <c r="K800" t="n">
        <v>0</v>
      </c>
      <c r="L800" t="n">
        <v>0</v>
      </c>
      <c r="M800" t="n">
        <v>0</v>
      </c>
      <c r="N800" t="n">
        <v>0</v>
      </c>
      <c r="O800" t="n">
        <v>0</v>
      </c>
      <c r="P800" t="n">
        <v>0</v>
      </c>
      <c r="Q800" t="n">
        <v>0</v>
      </c>
      <c r="R800" s="2" t="inlineStr"/>
    </row>
    <row r="801" ht="15" customHeight="1">
      <c r="A801" t="inlineStr">
        <is>
          <t>A 15391-2025</t>
        </is>
      </c>
      <c r="B801" s="1" t="n">
        <v>45747.42958333333</v>
      </c>
      <c r="C801" s="1" t="n">
        <v>45904</v>
      </c>
      <c r="D801" t="inlineStr">
        <is>
          <t>KALMAR LÄN</t>
        </is>
      </c>
      <c r="E801" t="inlineStr">
        <is>
          <t>VIMMERBY</t>
        </is>
      </c>
      <c r="G801" t="n">
        <v>1.1</v>
      </c>
      <c r="H801" t="n">
        <v>0</v>
      </c>
      <c r="I801" t="n">
        <v>0</v>
      </c>
      <c r="J801" t="n">
        <v>0</v>
      </c>
      <c r="K801" t="n">
        <v>0</v>
      </c>
      <c r="L801" t="n">
        <v>0</v>
      </c>
      <c r="M801" t="n">
        <v>0</v>
      </c>
      <c r="N801" t="n">
        <v>0</v>
      </c>
      <c r="O801" t="n">
        <v>0</v>
      </c>
      <c r="P801" t="n">
        <v>0</v>
      </c>
      <c r="Q801" t="n">
        <v>0</v>
      </c>
      <c r="R801" s="2" t="inlineStr"/>
    </row>
    <row r="802" ht="15" customHeight="1">
      <c r="A802" t="inlineStr">
        <is>
          <t>A 6474-2025</t>
        </is>
      </c>
      <c r="B802" s="1" t="n">
        <v>45699.60055555555</v>
      </c>
      <c r="C802" s="1" t="n">
        <v>45904</v>
      </c>
      <c r="D802" t="inlineStr">
        <is>
          <t>KALMAR LÄN</t>
        </is>
      </c>
      <c r="E802" t="inlineStr">
        <is>
          <t>VIMMERBY</t>
        </is>
      </c>
      <c r="G802" t="n">
        <v>1.6</v>
      </c>
      <c r="H802" t="n">
        <v>0</v>
      </c>
      <c r="I802" t="n">
        <v>0</v>
      </c>
      <c r="J802" t="n">
        <v>0</v>
      </c>
      <c r="K802" t="n">
        <v>0</v>
      </c>
      <c r="L802" t="n">
        <v>0</v>
      </c>
      <c r="M802" t="n">
        <v>0</v>
      </c>
      <c r="N802" t="n">
        <v>0</v>
      </c>
      <c r="O802" t="n">
        <v>0</v>
      </c>
      <c r="P802" t="n">
        <v>0</v>
      </c>
      <c r="Q802" t="n">
        <v>0</v>
      </c>
      <c r="R802" s="2" t="inlineStr"/>
    </row>
    <row r="803" ht="15" customHeight="1">
      <c r="A803" t="inlineStr">
        <is>
          <t>A 32919-2022</t>
        </is>
      </c>
      <c r="B803" s="1" t="n">
        <v>44784.62724537037</v>
      </c>
      <c r="C803" s="1" t="n">
        <v>45904</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40929-2022</t>
        </is>
      </c>
      <c r="B804" s="1" t="n">
        <v>44825.4336574074</v>
      </c>
      <c r="C804" s="1" t="n">
        <v>45904</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50091-2023</t>
        </is>
      </c>
      <c r="B805" s="1" t="n">
        <v>45215.60199074074</v>
      </c>
      <c r="C805" s="1" t="n">
        <v>45904</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36008-2024</t>
        </is>
      </c>
      <c r="B806" s="1" t="n">
        <v>45533.55362268518</v>
      </c>
      <c r="C806" s="1" t="n">
        <v>45904</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16622-2025</t>
        </is>
      </c>
      <c r="B807" s="1" t="n">
        <v>45754.33641203704</v>
      </c>
      <c r="C807" s="1" t="n">
        <v>45904</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17511-2024</t>
        </is>
      </c>
      <c r="B808" s="1" t="n">
        <v>45415.57682870371</v>
      </c>
      <c r="C808" s="1" t="n">
        <v>45904</v>
      </c>
      <c r="D808" t="inlineStr">
        <is>
          <t>KALMAR LÄN</t>
        </is>
      </c>
      <c r="E808" t="inlineStr">
        <is>
          <t>VIMMERBY</t>
        </is>
      </c>
      <c r="G808" t="n">
        <v>5.3</v>
      </c>
      <c r="H808" t="n">
        <v>0</v>
      </c>
      <c r="I808" t="n">
        <v>0</v>
      </c>
      <c r="J808" t="n">
        <v>0</v>
      </c>
      <c r="K808" t="n">
        <v>0</v>
      </c>
      <c r="L808" t="n">
        <v>0</v>
      </c>
      <c r="M808" t="n">
        <v>0</v>
      </c>
      <c r="N808" t="n">
        <v>0</v>
      </c>
      <c r="O808" t="n">
        <v>0</v>
      </c>
      <c r="P808" t="n">
        <v>0</v>
      </c>
      <c r="Q808" t="n">
        <v>0</v>
      </c>
      <c r="R808" s="2" t="inlineStr"/>
    </row>
    <row r="809" ht="15" customHeight="1">
      <c r="A809" t="inlineStr">
        <is>
          <t>A 43705-2023</t>
        </is>
      </c>
      <c r="B809" s="1" t="n">
        <v>45187.42854166667</v>
      </c>
      <c r="C809" s="1" t="n">
        <v>45904</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55300-2021</t>
        </is>
      </c>
      <c r="B810" s="1" t="n">
        <v>44475</v>
      </c>
      <c r="C810" s="1" t="n">
        <v>45904</v>
      </c>
      <c r="D810" t="inlineStr">
        <is>
          <t>KALMAR LÄN</t>
        </is>
      </c>
      <c r="E810" t="inlineStr">
        <is>
          <t>VIMMERBY</t>
        </is>
      </c>
      <c r="G810" t="n">
        <v>3.4</v>
      </c>
      <c r="H810" t="n">
        <v>0</v>
      </c>
      <c r="I810" t="n">
        <v>0</v>
      </c>
      <c r="J810" t="n">
        <v>0</v>
      </c>
      <c r="K810" t="n">
        <v>0</v>
      </c>
      <c r="L810" t="n">
        <v>0</v>
      </c>
      <c r="M810" t="n">
        <v>0</v>
      </c>
      <c r="N810" t="n">
        <v>0</v>
      </c>
      <c r="O810" t="n">
        <v>0</v>
      </c>
      <c r="P810" t="n">
        <v>0</v>
      </c>
      <c r="Q810" t="n">
        <v>0</v>
      </c>
      <c r="R810" s="2" t="inlineStr"/>
    </row>
    <row r="811" ht="15" customHeight="1">
      <c r="A811" t="inlineStr">
        <is>
          <t>A 56659-2023</t>
        </is>
      </c>
      <c r="B811" s="1" t="n">
        <v>45243.84869212963</v>
      </c>
      <c r="C811" s="1" t="n">
        <v>45904</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13015-2022</t>
        </is>
      </c>
      <c r="B812" s="1" t="n">
        <v>44643</v>
      </c>
      <c r="C812" s="1" t="n">
        <v>45904</v>
      </c>
      <c r="D812" t="inlineStr">
        <is>
          <t>KALMAR LÄN</t>
        </is>
      </c>
      <c r="E812" t="inlineStr">
        <is>
          <t>VIMMERBY</t>
        </is>
      </c>
      <c r="G812" t="n">
        <v>2.4</v>
      </c>
      <c r="H812" t="n">
        <v>0</v>
      </c>
      <c r="I812" t="n">
        <v>0</v>
      </c>
      <c r="J812" t="n">
        <v>0</v>
      </c>
      <c r="K812" t="n">
        <v>0</v>
      </c>
      <c r="L812" t="n">
        <v>0</v>
      </c>
      <c r="M812" t="n">
        <v>0</v>
      </c>
      <c r="N812" t="n">
        <v>0</v>
      </c>
      <c r="O812" t="n">
        <v>0</v>
      </c>
      <c r="P812" t="n">
        <v>0</v>
      </c>
      <c r="Q812" t="n">
        <v>0</v>
      </c>
      <c r="R812" s="2" t="inlineStr"/>
    </row>
    <row r="813" ht="15" customHeight="1">
      <c r="A813" t="inlineStr">
        <is>
          <t>A 44179-2022</t>
        </is>
      </c>
      <c r="B813" s="1" t="n">
        <v>44839.4528125</v>
      </c>
      <c r="C813" s="1" t="n">
        <v>45904</v>
      </c>
      <c r="D813" t="inlineStr">
        <is>
          <t>KALMAR LÄN</t>
        </is>
      </c>
      <c r="E813" t="inlineStr">
        <is>
          <t>VIMMERBY</t>
        </is>
      </c>
      <c r="G813" t="n">
        <v>2.8</v>
      </c>
      <c r="H813" t="n">
        <v>0</v>
      </c>
      <c r="I813" t="n">
        <v>0</v>
      </c>
      <c r="J813" t="n">
        <v>0</v>
      </c>
      <c r="K813" t="n">
        <v>0</v>
      </c>
      <c r="L813" t="n">
        <v>0</v>
      </c>
      <c r="M813" t="n">
        <v>0</v>
      </c>
      <c r="N813" t="n">
        <v>0</v>
      </c>
      <c r="O813" t="n">
        <v>0</v>
      </c>
      <c r="P813" t="n">
        <v>0</v>
      </c>
      <c r="Q813" t="n">
        <v>0</v>
      </c>
      <c r="R813" s="2" t="inlineStr"/>
    </row>
    <row r="814" ht="15" customHeight="1">
      <c r="A814" t="inlineStr">
        <is>
          <t>A 52755-2022</t>
        </is>
      </c>
      <c r="B814" s="1" t="n">
        <v>44875.27736111111</v>
      </c>
      <c r="C814" s="1" t="n">
        <v>45904</v>
      </c>
      <c r="D814" t="inlineStr">
        <is>
          <t>KALMAR LÄN</t>
        </is>
      </c>
      <c r="E814" t="inlineStr">
        <is>
          <t>VIMMERBY</t>
        </is>
      </c>
      <c r="G814" t="n">
        <v>1.1</v>
      </c>
      <c r="H814" t="n">
        <v>0</v>
      </c>
      <c r="I814" t="n">
        <v>0</v>
      </c>
      <c r="J814" t="n">
        <v>0</v>
      </c>
      <c r="K814" t="n">
        <v>0</v>
      </c>
      <c r="L814" t="n">
        <v>0</v>
      </c>
      <c r="M814" t="n">
        <v>0</v>
      </c>
      <c r="N814" t="n">
        <v>0</v>
      </c>
      <c r="O814" t="n">
        <v>0</v>
      </c>
      <c r="P814" t="n">
        <v>0</v>
      </c>
      <c r="Q814" t="n">
        <v>0</v>
      </c>
      <c r="R814" s="2" t="inlineStr"/>
    </row>
    <row r="815" ht="15" customHeight="1">
      <c r="A815" t="inlineStr">
        <is>
          <t>A 35998-2024</t>
        </is>
      </c>
      <c r="B815" s="1" t="n">
        <v>45533.54429398148</v>
      </c>
      <c r="C815" s="1" t="n">
        <v>45904</v>
      </c>
      <c r="D815" t="inlineStr">
        <is>
          <t>KALMAR LÄN</t>
        </is>
      </c>
      <c r="E815" t="inlineStr">
        <is>
          <t>VIMMERBY</t>
        </is>
      </c>
      <c r="G815" t="n">
        <v>8.6</v>
      </c>
      <c r="H815" t="n">
        <v>0</v>
      </c>
      <c r="I815" t="n">
        <v>0</v>
      </c>
      <c r="J815" t="n">
        <v>0</v>
      </c>
      <c r="K815" t="n">
        <v>0</v>
      </c>
      <c r="L815" t="n">
        <v>0</v>
      </c>
      <c r="M815" t="n">
        <v>0</v>
      </c>
      <c r="N815" t="n">
        <v>0</v>
      </c>
      <c r="O815" t="n">
        <v>0</v>
      </c>
      <c r="P815" t="n">
        <v>0</v>
      </c>
      <c r="Q815" t="n">
        <v>0</v>
      </c>
      <c r="R815" s="2" t="inlineStr"/>
    </row>
    <row r="816" ht="15" customHeight="1">
      <c r="A816" t="inlineStr">
        <is>
          <t>A 7797-2023</t>
        </is>
      </c>
      <c r="B816" s="1" t="n">
        <v>44973.43075231482</v>
      </c>
      <c r="C816" s="1" t="n">
        <v>45904</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17968-2025</t>
        </is>
      </c>
      <c r="B817" s="1" t="n">
        <v>45761.35990740741</v>
      </c>
      <c r="C817" s="1" t="n">
        <v>45904</v>
      </c>
      <c r="D817" t="inlineStr">
        <is>
          <t>KALMAR LÄN</t>
        </is>
      </c>
      <c r="E817" t="inlineStr">
        <is>
          <t>VIMMERBY</t>
        </is>
      </c>
      <c r="G817" t="n">
        <v>3.3</v>
      </c>
      <c r="H817" t="n">
        <v>0</v>
      </c>
      <c r="I817" t="n">
        <v>0</v>
      </c>
      <c r="J817" t="n">
        <v>0</v>
      </c>
      <c r="K817" t="n">
        <v>0</v>
      </c>
      <c r="L817" t="n">
        <v>0</v>
      </c>
      <c r="M817" t="n">
        <v>0</v>
      </c>
      <c r="N817" t="n">
        <v>0</v>
      </c>
      <c r="O817" t="n">
        <v>0</v>
      </c>
      <c r="P817" t="n">
        <v>0</v>
      </c>
      <c r="Q817" t="n">
        <v>0</v>
      </c>
      <c r="R817" s="2" t="inlineStr"/>
    </row>
    <row r="818" ht="15" customHeight="1">
      <c r="A818" t="inlineStr">
        <is>
          <t>A 6028-2023</t>
        </is>
      </c>
      <c r="B818" s="1" t="n">
        <v>44964.44356481481</v>
      </c>
      <c r="C818" s="1" t="n">
        <v>45904</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55436-2023</t>
        </is>
      </c>
      <c r="B819" s="1" t="n">
        <v>45238.4328587963</v>
      </c>
      <c r="C819" s="1" t="n">
        <v>45904</v>
      </c>
      <c r="D819" t="inlineStr">
        <is>
          <t>KALMAR LÄN</t>
        </is>
      </c>
      <c r="E819" t="inlineStr">
        <is>
          <t>VIMMERBY</t>
        </is>
      </c>
      <c r="G819" t="n">
        <v>5.6</v>
      </c>
      <c r="H819" t="n">
        <v>0</v>
      </c>
      <c r="I819" t="n">
        <v>0</v>
      </c>
      <c r="J819" t="n">
        <v>0</v>
      </c>
      <c r="K819" t="n">
        <v>0</v>
      </c>
      <c r="L819" t="n">
        <v>0</v>
      </c>
      <c r="M819" t="n">
        <v>0</v>
      </c>
      <c r="N819" t="n">
        <v>0</v>
      </c>
      <c r="O819" t="n">
        <v>0</v>
      </c>
      <c r="P819" t="n">
        <v>0</v>
      </c>
      <c r="Q819" t="n">
        <v>0</v>
      </c>
      <c r="R819" s="2" t="inlineStr"/>
    </row>
    <row r="820" ht="15" customHeight="1">
      <c r="A820" t="inlineStr">
        <is>
          <t>A 29351-2023</t>
        </is>
      </c>
      <c r="B820" s="1" t="n">
        <v>45106.2610300926</v>
      </c>
      <c r="C820" s="1" t="n">
        <v>45904</v>
      </c>
      <c r="D820" t="inlineStr">
        <is>
          <t>KALMAR LÄN</t>
        </is>
      </c>
      <c r="E820" t="inlineStr">
        <is>
          <t>VIMMERBY</t>
        </is>
      </c>
      <c r="G820" t="n">
        <v>0.4</v>
      </c>
      <c r="H820" t="n">
        <v>0</v>
      </c>
      <c r="I820" t="n">
        <v>0</v>
      </c>
      <c r="J820" t="n">
        <v>0</v>
      </c>
      <c r="K820" t="n">
        <v>0</v>
      </c>
      <c r="L820" t="n">
        <v>0</v>
      </c>
      <c r="M820" t="n">
        <v>0</v>
      </c>
      <c r="N820" t="n">
        <v>0</v>
      </c>
      <c r="O820" t="n">
        <v>0</v>
      </c>
      <c r="P820" t="n">
        <v>0</v>
      </c>
      <c r="Q820" t="n">
        <v>0</v>
      </c>
      <c r="R820" s="2" t="inlineStr"/>
    </row>
    <row r="821" ht="15" customHeight="1">
      <c r="A821" t="inlineStr">
        <is>
          <t>A 7630-2025</t>
        </is>
      </c>
      <c r="B821" s="1" t="n">
        <v>45705.74418981482</v>
      </c>
      <c r="C821" s="1" t="n">
        <v>45904</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1024-2024</t>
        </is>
      </c>
      <c r="B822" s="1" t="n">
        <v>45301.68237268519</v>
      </c>
      <c r="C822" s="1" t="n">
        <v>45904</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10787-2025</t>
        </is>
      </c>
      <c r="B823" s="1" t="n">
        <v>45722.48915509259</v>
      </c>
      <c r="C823" s="1" t="n">
        <v>45904</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56582-2022</t>
        </is>
      </c>
      <c r="B824" s="1" t="n">
        <v>44893</v>
      </c>
      <c r="C824" s="1" t="n">
        <v>45904</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20-2025</t>
        </is>
      </c>
      <c r="B825" s="1" t="n">
        <v>45658.80232638889</v>
      </c>
      <c r="C825" s="1" t="n">
        <v>45904</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23-2025</t>
        </is>
      </c>
      <c r="B826" s="1" t="n">
        <v>45658.80827546296</v>
      </c>
      <c r="C826" s="1" t="n">
        <v>45904</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43962-2024</t>
        </is>
      </c>
      <c r="B827" s="1" t="n">
        <v>45572.48293981481</v>
      </c>
      <c r="C827" s="1" t="n">
        <v>45904</v>
      </c>
      <c r="D827" t="inlineStr">
        <is>
          <t>KALMAR LÄN</t>
        </is>
      </c>
      <c r="E827" t="inlineStr">
        <is>
          <t>VIMMERBY</t>
        </is>
      </c>
      <c r="G827" t="n">
        <v>0.6</v>
      </c>
      <c r="H827" t="n">
        <v>0</v>
      </c>
      <c r="I827" t="n">
        <v>0</v>
      </c>
      <c r="J827" t="n">
        <v>0</v>
      </c>
      <c r="K827" t="n">
        <v>0</v>
      </c>
      <c r="L827" t="n">
        <v>0</v>
      </c>
      <c r="M827" t="n">
        <v>0</v>
      </c>
      <c r="N827" t="n">
        <v>0</v>
      </c>
      <c r="O827" t="n">
        <v>0</v>
      </c>
      <c r="P827" t="n">
        <v>0</v>
      </c>
      <c r="Q827" t="n">
        <v>0</v>
      </c>
      <c r="R827" s="2" t="inlineStr"/>
    </row>
    <row r="828" ht="15" customHeight="1">
      <c r="A828" t="inlineStr">
        <is>
          <t>A 29350-2023</t>
        </is>
      </c>
      <c r="B828" s="1" t="n">
        <v>45106</v>
      </c>
      <c r="C828" s="1" t="n">
        <v>45904</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35713-2023</t>
        </is>
      </c>
      <c r="B829" s="1" t="n">
        <v>45147</v>
      </c>
      <c r="C829" s="1" t="n">
        <v>45904</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14855-2025</t>
        </is>
      </c>
      <c r="B830" s="1" t="n">
        <v>45743.41148148148</v>
      </c>
      <c r="C830" s="1" t="n">
        <v>45904</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43601-2024</t>
        </is>
      </c>
      <c r="B831" s="1" t="n">
        <v>45569.44684027778</v>
      </c>
      <c r="C831" s="1" t="n">
        <v>45904</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35913-2023</t>
        </is>
      </c>
      <c r="B832" s="1" t="n">
        <v>45148</v>
      </c>
      <c r="C832" s="1" t="n">
        <v>45904</v>
      </c>
      <c r="D832" t="inlineStr">
        <is>
          <t>KALMAR LÄN</t>
        </is>
      </c>
      <c r="E832" t="inlineStr">
        <is>
          <t>VIMMERBY</t>
        </is>
      </c>
      <c r="G832" t="n">
        <v>6.9</v>
      </c>
      <c r="H832" t="n">
        <v>0</v>
      </c>
      <c r="I832" t="n">
        <v>0</v>
      </c>
      <c r="J832" t="n">
        <v>0</v>
      </c>
      <c r="K832" t="n">
        <v>0</v>
      </c>
      <c r="L832" t="n">
        <v>0</v>
      </c>
      <c r="M832" t="n">
        <v>0</v>
      </c>
      <c r="N832" t="n">
        <v>0</v>
      </c>
      <c r="O832" t="n">
        <v>0</v>
      </c>
      <c r="P832" t="n">
        <v>0</v>
      </c>
      <c r="Q832" t="n">
        <v>0</v>
      </c>
      <c r="R832" s="2" t="inlineStr"/>
    </row>
    <row r="833" ht="15" customHeight="1">
      <c r="A833" t="inlineStr">
        <is>
          <t>A 9624-2024</t>
        </is>
      </c>
      <c r="B833" s="1" t="n">
        <v>45361.90282407407</v>
      </c>
      <c r="C833" s="1" t="n">
        <v>45904</v>
      </c>
      <c r="D833" t="inlineStr">
        <is>
          <t>KALMAR LÄN</t>
        </is>
      </c>
      <c r="E833" t="inlineStr">
        <is>
          <t>VIMMERBY</t>
        </is>
      </c>
      <c r="G833" t="n">
        <v>3.8</v>
      </c>
      <c r="H833" t="n">
        <v>0</v>
      </c>
      <c r="I833" t="n">
        <v>0</v>
      </c>
      <c r="J833" t="n">
        <v>0</v>
      </c>
      <c r="K833" t="n">
        <v>0</v>
      </c>
      <c r="L833" t="n">
        <v>0</v>
      </c>
      <c r="M833" t="n">
        <v>0</v>
      </c>
      <c r="N833" t="n">
        <v>0</v>
      </c>
      <c r="O833" t="n">
        <v>0</v>
      </c>
      <c r="P833" t="n">
        <v>0</v>
      </c>
      <c r="Q833" t="n">
        <v>0</v>
      </c>
      <c r="R833" s="2" t="inlineStr"/>
    </row>
    <row r="834" ht="15" customHeight="1">
      <c r="A834" t="inlineStr">
        <is>
          <t>A 3938-2023</t>
        </is>
      </c>
      <c r="B834" s="1" t="n">
        <v>44952.35775462963</v>
      </c>
      <c r="C834" s="1" t="n">
        <v>45904</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39053-2024</t>
        </is>
      </c>
      <c r="B835" s="1" t="n">
        <v>45548</v>
      </c>
      <c r="C835" s="1" t="n">
        <v>45904</v>
      </c>
      <c r="D835" t="inlineStr">
        <is>
          <t>KALMAR LÄN</t>
        </is>
      </c>
      <c r="E835" t="inlineStr">
        <is>
          <t>VIMMERBY</t>
        </is>
      </c>
      <c r="G835" t="n">
        <v>5</v>
      </c>
      <c r="H835" t="n">
        <v>0</v>
      </c>
      <c r="I835" t="n">
        <v>0</v>
      </c>
      <c r="J835" t="n">
        <v>0</v>
      </c>
      <c r="K835" t="n">
        <v>0</v>
      </c>
      <c r="L835" t="n">
        <v>0</v>
      </c>
      <c r="M835" t="n">
        <v>0</v>
      </c>
      <c r="N835" t="n">
        <v>0</v>
      </c>
      <c r="O835" t="n">
        <v>0</v>
      </c>
      <c r="P835" t="n">
        <v>0</v>
      </c>
      <c r="Q835" t="n">
        <v>0</v>
      </c>
      <c r="R835" s="2" t="inlineStr"/>
    </row>
    <row r="836" ht="15" customHeight="1">
      <c r="A836" t="inlineStr">
        <is>
          <t>A 40147-2023</t>
        </is>
      </c>
      <c r="B836" s="1" t="n">
        <v>45169</v>
      </c>
      <c r="C836" s="1" t="n">
        <v>45904</v>
      </c>
      <c r="D836" t="inlineStr">
        <is>
          <t>KALMAR LÄN</t>
        </is>
      </c>
      <c r="E836" t="inlineStr">
        <is>
          <t>VIMMERBY</t>
        </is>
      </c>
      <c r="G836" t="n">
        <v>1.7</v>
      </c>
      <c r="H836" t="n">
        <v>0</v>
      </c>
      <c r="I836" t="n">
        <v>0</v>
      </c>
      <c r="J836" t="n">
        <v>0</v>
      </c>
      <c r="K836" t="n">
        <v>0</v>
      </c>
      <c r="L836" t="n">
        <v>0</v>
      </c>
      <c r="M836" t="n">
        <v>0</v>
      </c>
      <c r="N836" t="n">
        <v>0</v>
      </c>
      <c r="O836" t="n">
        <v>0</v>
      </c>
      <c r="P836" t="n">
        <v>0</v>
      </c>
      <c r="Q836" t="n">
        <v>0</v>
      </c>
      <c r="R836" s="2" t="inlineStr"/>
    </row>
    <row r="837" ht="15" customHeight="1">
      <c r="A837" t="inlineStr">
        <is>
          <t>A 14451-2024</t>
        </is>
      </c>
      <c r="B837" s="1" t="n">
        <v>45394.50028935185</v>
      </c>
      <c r="C837" s="1" t="n">
        <v>45904</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50995-2022</t>
        </is>
      </c>
      <c r="B838" s="1" t="n">
        <v>44867</v>
      </c>
      <c r="C838" s="1" t="n">
        <v>45904</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50764-2020</t>
        </is>
      </c>
      <c r="B839" s="1" t="n">
        <v>44111</v>
      </c>
      <c r="C839" s="1" t="n">
        <v>45904</v>
      </c>
      <c r="D839" t="inlineStr">
        <is>
          <t>KALMAR LÄN</t>
        </is>
      </c>
      <c r="E839" t="inlineStr">
        <is>
          <t>VIMMERBY</t>
        </is>
      </c>
      <c r="G839" t="n">
        <v>2.3</v>
      </c>
      <c r="H839" t="n">
        <v>0</v>
      </c>
      <c r="I839" t="n">
        <v>0</v>
      </c>
      <c r="J839" t="n">
        <v>0</v>
      </c>
      <c r="K839" t="n">
        <v>0</v>
      </c>
      <c r="L839" t="n">
        <v>0</v>
      </c>
      <c r="M839" t="n">
        <v>0</v>
      </c>
      <c r="N839" t="n">
        <v>0</v>
      </c>
      <c r="O839" t="n">
        <v>0</v>
      </c>
      <c r="P839" t="n">
        <v>0</v>
      </c>
      <c r="Q839" t="n">
        <v>0</v>
      </c>
      <c r="R839" s="2" t="inlineStr"/>
    </row>
    <row r="840" ht="15" customHeight="1">
      <c r="A840" t="inlineStr">
        <is>
          <t>A 27993-2022</t>
        </is>
      </c>
      <c r="B840" s="1" t="n">
        <v>44745.84396990741</v>
      </c>
      <c r="C840" s="1" t="n">
        <v>45904</v>
      </c>
      <c r="D840" t="inlineStr">
        <is>
          <t>KALMAR LÄN</t>
        </is>
      </c>
      <c r="E840" t="inlineStr">
        <is>
          <t>VIMMERBY</t>
        </is>
      </c>
      <c r="G840" t="n">
        <v>2.8</v>
      </c>
      <c r="H840" t="n">
        <v>0</v>
      </c>
      <c r="I840" t="n">
        <v>0</v>
      </c>
      <c r="J840" t="n">
        <v>0</v>
      </c>
      <c r="K840" t="n">
        <v>0</v>
      </c>
      <c r="L840" t="n">
        <v>0</v>
      </c>
      <c r="M840" t="n">
        <v>0</v>
      </c>
      <c r="N840" t="n">
        <v>0</v>
      </c>
      <c r="O840" t="n">
        <v>0</v>
      </c>
      <c r="P840" t="n">
        <v>0</v>
      </c>
      <c r="Q840" t="n">
        <v>0</v>
      </c>
      <c r="R840" s="2" t="inlineStr"/>
    </row>
    <row r="841" ht="15" customHeight="1">
      <c r="A841" t="inlineStr">
        <is>
          <t>A 57555-2024</t>
        </is>
      </c>
      <c r="B841" s="1" t="n">
        <v>45630.45069444444</v>
      </c>
      <c r="C841" s="1" t="n">
        <v>45904</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36014-2024</t>
        </is>
      </c>
      <c r="B842" s="1" t="n">
        <v>45533.56108796296</v>
      </c>
      <c r="C842" s="1" t="n">
        <v>45904</v>
      </c>
      <c r="D842" t="inlineStr">
        <is>
          <t>KALMAR LÄN</t>
        </is>
      </c>
      <c r="E842" t="inlineStr">
        <is>
          <t>VIMMERBY</t>
        </is>
      </c>
      <c r="G842" t="n">
        <v>2.3</v>
      </c>
      <c r="H842" t="n">
        <v>0</v>
      </c>
      <c r="I842" t="n">
        <v>0</v>
      </c>
      <c r="J842" t="n">
        <v>0</v>
      </c>
      <c r="K842" t="n">
        <v>0</v>
      </c>
      <c r="L842" t="n">
        <v>0</v>
      </c>
      <c r="M842" t="n">
        <v>0</v>
      </c>
      <c r="N842" t="n">
        <v>0</v>
      </c>
      <c r="O842" t="n">
        <v>0</v>
      </c>
      <c r="P842" t="n">
        <v>0</v>
      </c>
      <c r="Q842" t="n">
        <v>0</v>
      </c>
      <c r="R842" s="2" t="inlineStr"/>
    </row>
    <row r="843" ht="15" customHeight="1">
      <c r="A843" t="inlineStr">
        <is>
          <t>A 36030-2024</t>
        </is>
      </c>
      <c r="B843" s="1" t="n">
        <v>45533.58302083334</v>
      </c>
      <c r="C843" s="1" t="n">
        <v>45904</v>
      </c>
      <c r="D843" t="inlineStr">
        <is>
          <t>KALMAR LÄN</t>
        </is>
      </c>
      <c r="E843" t="inlineStr">
        <is>
          <t>VIMMERBY</t>
        </is>
      </c>
      <c r="F843" t="inlineStr">
        <is>
          <t>Kommuner</t>
        </is>
      </c>
      <c r="G843" t="n">
        <v>4</v>
      </c>
      <c r="H843" t="n">
        <v>0</v>
      </c>
      <c r="I843" t="n">
        <v>0</v>
      </c>
      <c r="J843" t="n">
        <v>0</v>
      </c>
      <c r="K843" t="n">
        <v>0</v>
      </c>
      <c r="L843" t="n">
        <v>0</v>
      </c>
      <c r="M843" t="n">
        <v>0</v>
      </c>
      <c r="N843" t="n">
        <v>0</v>
      </c>
      <c r="O843" t="n">
        <v>0</v>
      </c>
      <c r="P843" t="n">
        <v>0</v>
      </c>
      <c r="Q843" t="n">
        <v>0</v>
      </c>
      <c r="R843" s="2" t="inlineStr"/>
    </row>
    <row r="844" ht="15" customHeight="1">
      <c r="A844" t="inlineStr">
        <is>
          <t>A 32865-2023</t>
        </is>
      </c>
      <c r="B844" s="1" t="n">
        <v>45124</v>
      </c>
      <c r="C844" s="1" t="n">
        <v>45904</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34205-2023</t>
        </is>
      </c>
      <c r="B845" s="1" t="n">
        <v>45138</v>
      </c>
      <c r="C845" s="1" t="n">
        <v>45904</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3268-2024</t>
        </is>
      </c>
      <c r="B846" s="1" t="n">
        <v>45317</v>
      </c>
      <c r="C846" s="1" t="n">
        <v>45904</v>
      </c>
      <c r="D846" t="inlineStr">
        <is>
          <t>KALMAR LÄN</t>
        </is>
      </c>
      <c r="E846" t="inlineStr">
        <is>
          <t>VIMMERBY</t>
        </is>
      </c>
      <c r="F846" t="inlineStr">
        <is>
          <t>Övriga Aktiebolag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12819-2024</t>
        </is>
      </c>
      <c r="B847" s="1" t="n">
        <v>45384.66917824074</v>
      </c>
      <c r="C847" s="1" t="n">
        <v>45904</v>
      </c>
      <c r="D847" t="inlineStr">
        <is>
          <t>KALMAR LÄN</t>
        </is>
      </c>
      <c r="E847" t="inlineStr">
        <is>
          <t>VIMMERBY</t>
        </is>
      </c>
      <c r="G847" t="n">
        <v>5.1</v>
      </c>
      <c r="H847" t="n">
        <v>0</v>
      </c>
      <c r="I847" t="n">
        <v>0</v>
      </c>
      <c r="J847" t="n">
        <v>0</v>
      </c>
      <c r="K847" t="n">
        <v>0</v>
      </c>
      <c r="L847" t="n">
        <v>0</v>
      </c>
      <c r="M847" t="n">
        <v>0</v>
      </c>
      <c r="N847" t="n">
        <v>0</v>
      </c>
      <c r="O847" t="n">
        <v>0</v>
      </c>
      <c r="P847" t="n">
        <v>0</v>
      </c>
      <c r="Q847" t="n">
        <v>0</v>
      </c>
      <c r="R847" s="2" t="inlineStr"/>
    </row>
    <row r="848" ht="15" customHeight="1">
      <c r="A848" t="inlineStr">
        <is>
          <t>A 13076-2025</t>
        </is>
      </c>
      <c r="B848" s="1" t="n">
        <v>45734.62017361111</v>
      </c>
      <c r="C848" s="1" t="n">
        <v>45904</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6214-2025</t>
        </is>
      </c>
      <c r="B849" s="1" t="n">
        <v>45698.51711805556</v>
      </c>
      <c r="C849" s="1" t="n">
        <v>45904</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32569-2024</t>
        </is>
      </c>
      <c r="B850" s="1" t="n">
        <v>45513.55840277778</v>
      </c>
      <c r="C850" s="1" t="n">
        <v>45904</v>
      </c>
      <c r="D850" t="inlineStr">
        <is>
          <t>KALMAR LÄN</t>
        </is>
      </c>
      <c r="E850" t="inlineStr">
        <is>
          <t>VIMMERBY</t>
        </is>
      </c>
      <c r="G850" t="n">
        <v>3.7</v>
      </c>
      <c r="H850" t="n">
        <v>0</v>
      </c>
      <c r="I850" t="n">
        <v>0</v>
      </c>
      <c r="J850" t="n">
        <v>0</v>
      </c>
      <c r="K850" t="n">
        <v>0</v>
      </c>
      <c r="L850" t="n">
        <v>0</v>
      </c>
      <c r="M850" t="n">
        <v>0</v>
      </c>
      <c r="N850" t="n">
        <v>0</v>
      </c>
      <c r="O850" t="n">
        <v>0</v>
      </c>
      <c r="P850" t="n">
        <v>0</v>
      </c>
      <c r="Q850" t="n">
        <v>0</v>
      </c>
      <c r="R850" s="2" t="inlineStr"/>
    </row>
    <row r="851">
      <c r="A851" t="inlineStr">
        <is>
          <t>A 32575-2024</t>
        </is>
      </c>
      <c r="B851" s="1" t="n">
        <v>45513.56527777778</v>
      </c>
      <c r="C851" s="1" t="n">
        <v>45904</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2025-09-04T17:40:18Z</dcterms:created>
  <dcterms:modified xmlns:dcterms="http://purl.org/dc/terms/" xmlns:xsi="http://www.w3.org/2001/XMLSchema-instance" xsi:type="dcterms:W3CDTF">2025-09-04T17:40:19Z</dcterms:modified>
</cp:coreProperties>
</file>