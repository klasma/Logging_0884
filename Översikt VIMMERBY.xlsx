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46000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46000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46000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46000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46000</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46000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46000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46000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46000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46000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46000</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46000</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32645-2023</t>
        </is>
      </c>
      <c r="B15" s="1" t="n">
        <v>45121.60543981481</v>
      </c>
      <c r="C15" s="1" t="n">
        <v>46000</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8411-2021</t>
        </is>
      </c>
      <c r="B16" s="1" t="n">
        <v>44245</v>
      </c>
      <c r="C16" s="1" t="n">
        <v>46000</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46000</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46000</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46000</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46000</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46000</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46000</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46000</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46000</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2518-2023</t>
        </is>
      </c>
      <c r="B25" s="1" t="n">
        <v>44943</v>
      </c>
      <c r="C25" s="1" t="n">
        <v>46000</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46000</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46000</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46000</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46000</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46000</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46000</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46000</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32396-2021</t>
        </is>
      </c>
      <c r="B33" s="1" t="n">
        <v>44371</v>
      </c>
      <c r="C33" s="1" t="n">
        <v>46000</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9067-2025</t>
        </is>
      </c>
      <c r="B34" s="1" t="n">
        <v>45713</v>
      </c>
      <c r="C34" s="1" t="n">
        <v>46000</v>
      </c>
      <c r="D34" t="inlineStr">
        <is>
          <t>KALMAR LÄN</t>
        </is>
      </c>
      <c r="E34" t="inlineStr">
        <is>
          <t>VIMMERBY</t>
        </is>
      </c>
      <c r="G34" t="n">
        <v>3.9</v>
      </c>
      <c r="H34" t="n">
        <v>0</v>
      </c>
      <c r="I34" t="n">
        <v>1</v>
      </c>
      <c r="J34" t="n">
        <v>0</v>
      </c>
      <c r="K34" t="n">
        <v>0</v>
      </c>
      <c r="L34" t="n">
        <v>0</v>
      </c>
      <c r="M34" t="n">
        <v>0</v>
      </c>
      <c r="N34" t="n">
        <v>0</v>
      </c>
      <c r="O34" t="n">
        <v>0</v>
      </c>
      <c r="P34" t="n">
        <v>0</v>
      </c>
      <c r="Q34" t="n">
        <v>1</v>
      </c>
      <c r="R34" s="2" t="inlineStr">
        <is>
          <t>Ögonpyrola</t>
        </is>
      </c>
      <c r="S34">
        <f>HYPERLINK("https://klasma.github.io/Logging_0884/artfynd/A 9067-2025 artfynd.xlsx", "A 9067-2025")</f>
        <v/>
      </c>
      <c r="T34">
        <f>HYPERLINK("https://klasma.github.io/Logging_0884/kartor/A 9067-2025 karta.png", "A 9067-2025")</f>
        <v/>
      </c>
      <c r="V34">
        <f>HYPERLINK("https://klasma.github.io/Logging_0884/klagomål/A 9067-2025 FSC-klagomål.docx", "A 9067-2025")</f>
        <v/>
      </c>
      <c r="W34">
        <f>HYPERLINK("https://klasma.github.io/Logging_0884/klagomålsmail/A 9067-2025 FSC-klagomål mail.docx", "A 9067-2025")</f>
        <v/>
      </c>
      <c r="X34">
        <f>HYPERLINK("https://klasma.github.io/Logging_0884/tillsyn/A 9067-2025 tillsynsbegäran.docx", "A 9067-2025")</f>
        <v/>
      </c>
      <c r="Y34">
        <f>HYPERLINK("https://klasma.github.io/Logging_0884/tillsynsmail/A 9067-2025 tillsynsbegäran mail.docx", "A 9067-2025")</f>
        <v/>
      </c>
    </row>
    <row r="35" ht="15" customHeight="1">
      <c r="A35" t="inlineStr">
        <is>
          <t>A 6841-2021</t>
        </is>
      </c>
      <c r="B35" s="1" t="n">
        <v>44236</v>
      </c>
      <c r="C35" s="1" t="n">
        <v>46000</v>
      </c>
      <c r="D35" t="inlineStr">
        <is>
          <t>KALMAR LÄN</t>
        </is>
      </c>
      <c r="E35" t="inlineStr">
        <is>
          <t>VIMMERBY</t>
        </is>
      </c>
      <c r="G35" t="n">
        <v>25</v>
      </c>
      <c r="H35" t="n">
        <v>0</v>
      </c>
      <c r="I35" t="n">
        <v>0</v>
      </c>
      <c r="J35" t="n">
        <v>1</v>
      </c>
      <c r="K35" t="n">
        <v>0</v>
      </c>
      <c r="L35" t="n">
        <v>0</v>
      </c>
      <c r="M35" t="n">
        <v>0</v>
      </c>
      <c r="N35" t="n">
        <v>0</v>
      </c>
      <c r="O35" t="n">
        <v>1</v>
      </c>
      <c r="P35" t="n">
        <v>0</v>
      </c>
      <c r="Q35" t="n">
        <v>1</v>
      </c>
      <c r="R35" s="2" t="inlineStr">
        <is>
          <t>Bredbrämad bastardsvärmare</t>
        </is>
      </c>
      <c r="S35">
        <f>HYPERLINK("https://klasma.github.io/Logging_0884/artfynd/A 6841-2021 artfynd.xlsx", "A 6841-2021")</f>
        <v/>
      </c>
      <c r="T35">
        <f>HYPERLINK("https://klasma.github.io/Logging_0884/kartor/A 6841-2021 karta.png", "A 6841-2021")</f>
        <v/>
      </c>
      <c r="V35">
        <f>HYPERLINK("https://klasma.github.io/Logging_0884/klagomål/A 6841-2021 FSC-klagomål.docx", "A 6841-2021")</f>
        <v/>
      </c>
      <c r="W35">
        <f>HYPERLINK("https://klasma.github.io/Logging_0884/klagomålsmail/A 6841-2021 FSC-klagomål mail.docx", "A 6841-2021")</f>
        <v/>
      </c>
      <c r="X35">
        <f>HYPERLINK("https://klasma.github.io/Logging_0884/tillsyn/A 6841-2021 tillsynsbegäran.docx", "A 6841-2021")</f>
        <v/>
      </c>
      <c r="Y35">
        <f>HYPERLINK("https://klasma.github.io/Logging_0884/tillsynsmail/A 6841-2021 tillsynsbegäran mail.docx", "A 6841-2021")</f>
        <v/>
      </c>
    </row>
    <row r="36" ht="15" customHeight="1">
      <c r="A36" t="inlineStr">
        <is>
          <t>A 28852-2023</t>
        </is>
      </c>
      <c r="B36" s="1" t="n">
        <v>45104</v>
      </c>
      <c r="C36" s="1" t="n">
        <v>46000</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61860-2024</t>
        </is>
      </c>
      <c r="B37" s="1" t="n">
        <v>45649</v>
      </c>
      <c r="C37" s="1" t="n">
        <v>46000</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1201-2025</t>
        </is>
      </c>
      <c r="B38" s="1" t="n">
        <v>45667</v>
      </c>
      <c r="C38" s="1" t="n">
        <v>46000</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1201-2025 artfynd.xlsx", "A 1201-2025")</f>
        <v/>
      </c>
      <c r="T38">
        <f>HYPERLINK("https://klasma.github.io/Logging_0884/kartor/A 1201-2025 karta.png", "A 1201-2025")</f>
        <v/>
      </c>
      <c r="U38">
        <f>HYPERLINK("https://klasma.github.io/Logging_0884/knärot/A 1201-2025 karta knärot.png", "A 1201-2025")</f>
        <v/>
      </c>
      <c r="V38">
        <f>HYPERLINK("https://klasma.github.io/Logging_0884/klagomål/A 1201-2025 FSC-klagomål.docx", "A 1201-2025")</f>
        <v/>
      </c>
      <c r="W38">
        <f>HYPERLINK("https://klasma.github.io/Logging_0884/klagomålsmail/A 1201-2025 FSC-klagomål mail.docx", "A 1201-2025")</f>
        <v/>
      </c>
      <c r="X38">
        <f>HYPERLINK("https://klasma.github.io/Logging_0884/tillsyn/A 1201-2025 tillsynsbegäran.docx", "A 1201-2025")</f>
        <v/>
      </c>
      <c r="Y38">
        <f>HYPERLINK("https://klasma.github.io/Logging_0884/tillsynsmail/A 1201-2025 tillsynsbegäran mail.docx", "A 1201-2025")</f>
        <v/>
      </c>
    </row>
    <row r="39" ht="15" customHeight="1">
      <c r="A39" t="inlineStr">
        <is>
          <t>A 52301-2023</t>
        </is>
      </c>
      <c r="B39" s="1" t="n">
        <v>45224</v>
      </c>
      <c r="C39" s="1" t="n">
        <v>46000</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29183-2025</t>
        </is>
      </c>
      <c r="B40" s="1" t="n">
        <v>45821</v>
      </c>
      <c r="C40" s="1" t="n">
        <v>46000</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53400-2025</t>
        </is>
      </c>
      <c r="B41" s="1" t="n">
        <v>45959.56684027778</v>
      </c>
      <c r="C41" s="1" t="n">
        <v>46000</v>
      </c>
      <c r="D41" t="inlineStr">
        <is>
          <t>KALMAR LÄN</t>
        </is>
      </c>
      <c r="E41" t="inlineStr">
        <is>
          <t>VIMMERBY</t>
        </is>
      </c>
      <c r="G41" t="n">
        <v>9.199999999999999</v>
      </c>
      <c r="H41" t="n">
        <v>1</v>
      </c>
      <c r="I41" t="n">
        <v>0</v>
      </c>
      <c r="J41" t="n">
        <v>0</v>
      </c>
      <c r="K41" t="n">
        <v>1</v>
      </c>
      <c r="L41" t="n">
        <v>0</v>
      </c>
      <c r="M41" t="n">
        <v>0</v>
      </c>
      <c r="N41" t="n">
        <v>0</v>
      </c>
      <c r="O41" t="n">
        <v>1</v>
      </c>
      <c r="P41" t="n">
        <v>1</v>
      </c>
      <c r="Q41" t="n">
        <v>1</v>
      </c>
      <c r="R41" s="2" t="inlineStr">
        <is>
          <t>Knärot</t>
        </is>
      </c>
      <c r="S41">
        <f>HYPERLINK("https://klasma.github.io/Logging_0884/artfynd/A 53400-2025 artfynd.xlsx", "A 53400-2025")</f>
        <v/>
      </c>
      <c r="T41">
        <f>HYPERLINK("https://klasma.github.io/Logging_0884/kartor/A 53400-2025 karta.png", "A 53400-2025")</f>
        <v/>
      </c>
      <c r="U41">
        <f>HYPERLINK("https://klasma.github.io/Logging_0884/knärot/A 53400-2025 karta knärot.png", "A 53400-2025")</f>
        <v/>
      </c>
      <c r="V41">
        <f>HYPERLINK("https://klasma.github.io/Logging_0884/klagomål/A 53400-2025 FSC-klagomål.docx", "A 53400-2025")</f>
        <v/>
      </c>
      <c r="W41">
        <f>HYPERLINK("https://klasma.github.io/Logging_0884/klagomålsmail/A 53400-2025 FSC-klagomål mail.docx", "A 53400-2025")</f>
        <v/>
      </c>
      <c r="X41">
        <f>HYPERLINK("https://klasma.github.io/Logging_0884/tillsyn/A 53400-2025 tillsynsbegäran.docx", "A 53400-2025")</f>
        <v/>
      </c>
      <c r="Y41">
        <f>HYPERLINK("https://klasma.github.io/Logging_0884/tillsynsmail/A 53400-2025 tillsynsbegäran mail.docx", "A 53400-2025")</f>
        <v/>
      </c>
    </row>
    <row r="42" ht="15" customHeight="1">
      <c r="A42" t="inlineStr">
        <is>
          <t>A 53404-2025</t>
        </is>
      </c>
      <c r="B42" s="1" t="n">
        <v>45959.57126157408</v>
      </c>
      <c r="C42" s="1" t="n">
        <v>46000</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40083-2023</t>
        </is>
      </c>
      <c r="B43" s="1" t="n">
        <v>45168</v>
      </c>
      <c r="C43" s="1" t="n">
        <v>46000</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46000</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57062-2025</t>
        </is>
      </c>
      <c r="B45" s="1" t="n">
        <v>45979.37598379629</v>
      </c>
      <c r="C45" s="1" t="n">
        <v>46000</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23602-2023</t>
        </is>
      </c>
      <c r="B46" s="1" t="n">
        <v>45077</v>
      </c>
      <c r="C46" s="1" t="n">
        <v>46000</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32985-2023</t>
        </is>
      </c>
      <c r="B47" s="1" t="n">
        <v>45125</v>
      </c>
      <c r="C47" s="1" t="n">
        <v>46000</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15122-2024</t>
        </is>
      </c>
      <c r="B48" s="1" t="n">
        <v>45399.71412037037</v>
      </c>
      <c r="C48" s="1" t="n">
        <v>46000</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37930-2021</t>
        </is>
      </c>
      <c r="B49" s="1" t="n">
        <v>44403</v>
      </c>
      <c r="C49" s="1" t="n">
        <v>46000</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46000</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44515-2024</t>
        </is>
      </c>
      <c r="B51" s="1" t="n">
        <v>45574.42767361111</v>
      </c>
      <c r="C51" s="1" t="n">
        <v>46000</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15092-2021</t>
        </is>
      </c>
      <c r="B52" s="1" t="n">
        <v>44281.79269675926</v>
      </c>
      <c r="C52" s="1" t="n">
        <v>46000</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46000</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46000</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46000</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1929-2021</t>
        </is>
      </c>
      <c r="B56" s="1" t="n">
        <v>44210</v>
      </c>
      <c r="C56" s="1" t="n">
        <v>46000</v>
      </c>
      <c r="D56" t="inlineStr">
        <is>
          <t>KALMAR LÄN</t>
        </is>
      </c>
      <c r="E56" t="inlineStr">
        <is>
          <t>VIMMERBY</t>
        </is>
      </c>
      <c r="G56" t="n">
        <v>1.6</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46000</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46000</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46000</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46000</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46000</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46000</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46000</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46000</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46000</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46000</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46000</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46000</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46000</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46000</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46000</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46000</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46000</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46000</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46000</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46000</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46000</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46000</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46000</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46000</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46000</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46000</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46000</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46000</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46000</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46000</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59791-2021</t>
        </is>
      </c>
      <c r="B87" s="1" t="n">
        <v>44494</v>
      </c>
      <c r="C87" s="1" t="n">
        <v>46000</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46000</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46000</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46000</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46000</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46000</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46000</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46000</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46000</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46000</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46000</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46000</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46000</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46000</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46000</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46000</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46000</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46000</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46000</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46000</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46000</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46000</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46000</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46000</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46000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46000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46000</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46000</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46000</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46000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46000</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46000</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46000</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46000</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32386-2021</t>
        </is>
      </c>
      <c r="B121" s="1" t="n">
        <v>44371.62743055556</v>
      </c>
      <c r="C121" s="1" t="n">
        <v>46000</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46000</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46000</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46000</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46000</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46000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46000</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46000</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46000</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24738-2021</t>
        </is>
      </c>
      <c r="B130" s="1" t="n">
        <v>44340.58002314815</v>
      </c>
      <c r="C130" s="1" t="n">
        <v>46000</v>
      </c>
      <c r="D130" t="inlineStr">
        <is>
          <t>KALMAR LÄN</t>
        </is>
      </c>
      <c r="E130" t="inlineStr">
        <is>
          <t>VIMMERBY</t>
        </is>
      </c>
      <c r="G130" t="n">
        <v>3.5</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46000</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56385-2021</t>
        </is>
      </c>
      <c r="B132" s="1" t="n">
        <v>44480</v>
      </c>
      <c r="C132" s="1" t="n">
        <v>46000</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46000</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46000</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46000</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46000</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46000</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46000</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46000</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46000</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46000</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46000</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46000</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46000</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46000</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46000</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46000</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46000</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46000</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46000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46000</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46000</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46000</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18356-2021</t>
        </is>
      </c>
      <c r="B154" s="1" t="n">
        <v>44305</v>
      </c>
      <c r="C154" s="1" t="n">
        <v>46000</v>
      </c>
      <c r="D154" t="inlineStr">
        <is>
          <t>KALMAR LÄN</t>
        </is>
      </c>
      <c r="E154" t="inlineStr">
        <is>
          <t>VIMMERBY</t>
        </is>
      </c>
      <c r="G154" t="n">
        <v>3.4</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46000</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46000</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46000</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46000</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46000</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46000</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46000</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46000</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46000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46000</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46000</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46000</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46000</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46000</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46000</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46000</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46000</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46000</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46000</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46000</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46000</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46000</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46000</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46000</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46000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46000</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46000</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46000</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46000</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15191-2021</t>
        </is>
      </c>
      <c r="B184" s="1" t="n">
        <v>44284.42348379629</v>
      </c>
      <c r="C184" s="1" t="n">
        <v>46000</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46000</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46000</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68744-2020</t>
        </is>
      </c>
      <c r="B187" s="1" t="n">
        <v>44186</v>
      </c>
      <c r="C187" s="1" t="n">
        <v>46000</v>
      </c>
      <c r="D187" t="inlineStr">
        <is>
          <t>KALMAR LÄN</t>
        </is>
      </c>
      <c r="E187" t="inlineStr">
        <is>
          <t>VIMMERBY</t>
        </is>
      </c>
      <c r="G187" t="n">
        <v>2.5</v>
      </c>
      <c r="H187" t="n">
        <v>0</v>
      </c>
      <c r="I187" t="n">
        <v>0</v>
      </c>
      <c r="J187" t="n">
        <v>0</v>
      </c>
      <c r="K187" t="n">
        <v>0</v>
      </c>
      <c r="L187" t="n">
        <v>0</v>
      </c>
      <c r="M187" t="n">
        <v>0</v>
      </c>
      <c r="N187" t="n">
        <v>0</v>
      </c>
      <c r="O187" t="n">
        <v>0</v>
      </c>
      <c r="P187" t="n">
        <v>0</v>
      </c>
      <c r="Q187" t="n">
        <v>0</v>
      </c>
      <c r="R187" s="2" t="inlineStr"/>
    </row>
    <row r="188" ht="15" customHeight="1">
      <c r="A188" t="inlineStr">
        <is>
          <t>A 13457-2021</t>
        </is>
      </c>
      <c r="B188" s="1" t="n">
        <v>44273</v>
      </c>
      <c r="C188" s="1" t="n">
        <v>46000</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46000</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46000</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46000</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46000</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46000</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46000</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46000</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46000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46000</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16288-2021</t>
        </is>
      </c>
      <c r="B198" s="1" t="n">
        <v>44292</v>
      </c>
      <c r="C198" s="1" t="n">
        <v>46000</v>
      </c>
      <c r="D198" t="inlineStr">
        <is>
          <t>KALMAR LÄN</t>
        </is>
      </c>
      <c r="E198" t="inlineStr">
        <is>
          <t>VIMMERBY</t>
        </is>
      </c>
      <c r="F198" t="inlineStr">
        <is>
          <t>Övriga Aktiebolag</t>
        </is>
      </c>
      <c r="G198" t="n">
        <v>27.6</v>
      </c>
      <c r="H198" t="n">
        <v>0</v>
      </c>
      <c r="I198" t="n">
        <v>0</v>
      </c>
      <c r="J198" t="n">
        <v>0</v>
      </c>
      <c r="K198" t="n">
        <v>0</v>
      </c>
      <c r="L198" t="n">
        <v>0</v>
      </c>
      <c r="M198" t="n">
        <v>0</v>
      </c>
      <c r="N198" t="n">
        <v>0</v>
      </c>
      <c r="O198" t="n">
        <v>0</v>
      </c>
      <c r="P198" t="n">
        <v>0</v>
      </c>
      <c r="Q198" t="n">
        <v>0</v>
      </c>
      <c r="R198" s="2" t="inlineStr"/>
    </row>
    <row r="199" ht="15" customHeight="1">
      <c r="A199" t="inlineStr">
        <is>
          <t>A 4076-2022</t>
        </is>
      </c>
      <c r="B199" s="1" t="n">
        <v>44588.37998842593</v>
      </c>
      <c r="C199" s="1" t="n">
        <v>46000</v>
      </c>
      <c r="D199" t="inlineStr">
        <is>
          <t>KALMAR LÄN</t>
        </is>
      </c>
      <c r="E199" t="inlineStr">
        <is>
          <t>VIMMERBY</t>
        </is>
      </c>
      <c r="G199" t="n">
        <v>3</v>
      </c>
      <c r="H199" t="n">
        <v>0</v>
      </c>
      <c r="I199" t="n">
        <v>0</v>
      </c>
      <c r="J199" t="n">
        <v>0</v>
      </c>
      <c r="K199" t="n">
        <v>0</v>
      </c>
      <c r="L199" t="n">
        <v>0</v>
      </c>
      <c r="M199" t="n">
        <v>0</v>
      </c>
      <c r="N199" t="n">
        <v>0</v>
      </c>
      <c r="O199" t="n">
        <v>0</v>
      </c>
      <c r="P199" t="n">
        <v>0</v>
      </c>
      <c r="Q199" t="n">
        <v>0</v>
      </c>
      <c r="R199" s="2" t="inlineStr"/>
    </row>
    <row r="200" ht="15" customHeight="1">
      <c r="A200" t="inlineStr">
        <is>
          <t>A 4122-2022</t>
        </is>
      </c>
      <c r="B200" s="1" t="n">
        <v>44588</v>
      </c>
      <c r="C200" s="1" t="n">
        <v>46000</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65961-2020</t>
        </is>
      </c>
      <c r="B201" s="1" t="n">
        <v>44175.39748842592</v>
      </c>
      <c r="C201" s="1" t="n">
        <v>46000</v>
      </c>
      <c r="D201" t="inlineStr">
        <is>
          <t>KALMAR LÄN</t>
        </is>
      </c>
      <c r="E201" t="inlineStr">
        <is>
          <t>VIMMERBY</t>
        </is>
      </c>
      <c r="G201" t="n">
        <v>2.6</v>
      </c>
      <c r="H201" t="n">
        <v>0</v>
      </c>
      <c r="I201" t="n">
        <v>0</v>
      </c>
      <c r="J201" t="n">
        <v>0</v>
      </c>
      <c r="K201" t="n">
        <v>0</v>
      </c>
      <c r="L201" t="n">
        <v>0</v>
      </c>
      <c r="M201" t="n">
        <v>0</v>
      </c>
      <c r="N201" t="n">
        <v>0</v>
      </c>
      <c r="O201" t="n">
        <v>0</v>
      </c>
      <c r="P201" t="n">
        <v>0</v>
      </c>
      <c r="Q201" t="n">
        <v>0</v>
      </c>
      <c r="R201" s="2" t="inlineStr"/>
    </row>
    <row r="202" ht="15" customHeight="1">
      <c r="A202" t="inlineStr">
        <is>
          <t>A 58374-2024</t>
        </is>
      </c>
      <c r="B202" s="1" t="n">
        <v>45632.72635416667</v>
      </c>
      <c r="C202" s="1" t="n">
        <v>46000</v>
      </c>
      <c r="D202" t="inlineStr">
        <is>
          <t>KALMAR LÄN</t>
        </is>
      </c>
      <c r="E202" t="inlineStr">
        <is>
          <t>VIMMERBY</t>
        </is>
      </c>
      <c r="G202" t="n">
        <v>0.8</v>
      </c>
      <c r="H202" t="n">
        <v>0</v>
      </c>
      <c r="I202" t="n">
        <v>0</v>
      </c>
      <c r="J202" t="n">
        <v>0</v>
      </c>
      <c r="K202" t="n">
        <v>0</v>
      </c>
      <c r="L202" t="n">
        <v>0</v>
      </c>
      <c r="M202" t="n">
        <v>0</v>
      </c>
      <c r="N202" t="n">
        <v>0</v>
      </c>
      <c r="O202" t="n">
        <v>0</v>
      </c>
      <c r="P202" t="n">
        <v>0</v>
      </c>
      <c r="Q202" t="n">
        <v>0</v>
      </c>
      <c r="R202" s="2" t="inlineStr"/>
    </row>
    <row r="203" ht="15" customHeight="1">
      <c r="A203" t="inlineStr">
        <is>
          <t>A 16983-2023</t>
        </is>
      </c>
      <c r="B203" s="1" t="n">
        <v>45033.76043981482</v>
      </c>
      <c r="C203" s="1" t="n">
        <v>46000</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30402-2023</t>
        </is>
      </c>
      <c r="B204" s="1" t="n">
        <v>45111.48395833333</v>
      </c>
      <c r="C204" s="1" t="n">
        <v>46000</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46144-2023</t>
        </is>
      </c>
      <c r="B205" s="1" t="n">
        <v>45196.57247685185</v>
      </c>
      <c r="C205" s="1" t="n">
        <v>46000</v>
      </c>
      <c r="D205" t="inlineStr">
        <is>
          <t>KALMAR LÄN</t>
        </is>
      </c>
      <c r="E205" t="inlineStr">
        <is>
          <t>VIMMERBY</t>
        </is>
      </c>
      <c r="G205" t="n">
        <v>6.5</v>
      </c>
      <c r="H205" t="n">
        <v>0</v>
      </c>
      <c r="I205" t="n">
        <v>0</v>
      </c>
      <c r="J205" t="n">
        <v>0</v>
      </c>
      <c r="K205" t="n">
        <v>0</v>
      </c>
      <c r="L205" t="n">
        <v>0</v>
      </c>
      <c r="M205" t="n">
        <v>0</v>
      </c>
      <c r="N205" t="n">
        <v>0</v>
      </c>
      <c r="O205" t="n">
        <v>0</v>
      </c>
      <c r="P205" t="n">
        <v>0</v>
      </c>
      <c r="Q205" t="n">
        <v>0</v>
      </c>
      <c r="R205" s="2" t="inlineStr"/>
    </row>
    <row r="206" ht="15" customHeight="1">
      <c r="A206" t="inlineStr">
        <is>
          <t>A 56213-2024</t>
        </is>
      </c>
      <c r="B206" s="1" t="n">
        <v>45624.60141203704</v>
      </c>
      <c r="C206" s="1" t="n">
        <v>46000</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54409-2024</t>
        </is>
      </c>
      <c r="B207" s="1" t="n">
        <v>45617.47570601852</v>
      </c>
      <c r="C207" s="1" t="n">
        <v>46000</v>
      </c>
      <c r="D207" t="inlineStr">
        <is>
          <t>KALMAR LÄN</t>
        </is>
      </c>
      <c r="E207" t="inlineStr">
        <is>
          <t>VIMMERBY</t>
        </is>
      </c>
      <c r="G207" t="n">
        <v>4.3</v>
      </c>
      <c r="H207" t="n">
        <v>0</v>
      </c>
      <c r="I207" t="n">
        <v>0</v>
      </c>
      <c r="J207" t="n">
        <v>0</v>
      </c>
      <c r="K207" t="n">
        <v>0</v>
      </c>
      <c r="L207" t="n">
        <v>0</v>
      </c>
      <c r="M207" t="n">
        <v>0</v>
      </c>
      <c r="N207" t="n">
        <v>0</v>
      </c>
      <c r="O207" t="n">
        <v>0</v>
      </c>
      <c r="P207" t="n">
        <v>0</v>
      </c>
      <c r="Q207" t="n">
        <v>0</v>
      </c>
      <c r="R207" s="2" t="inlineStr"/>
    </row>
    <row r="208" ht="15" customHeight="1">
      <c r="A208" t="inlineStr">
        <is>
          <t>A 7643-2022</t>
        </is>
      </c>
      <c r="B208" s="1" t="n">
        <v>44607</v>
      </c>
      <c r="C208" s="1" t="n">
        <v>46000</v>
      </c>
      <c r="D208" t="inlineStr">
        <is>
          <t>KALMAR LÄN</t>
        </is>
      </c>
      <c r="E208" t="inlineStr">
        <is>
          <t>VIMMERBY</t>
        </is>
      </c>
      <c r="G208" t="n">
        <v>8.699999999999999</v>
      </c>
      <c r="H208" t="n">
        <v>0</v>
      </c>
      <c r="I208" t="n">
        <v>0</v>
      </c>
      <c r="J208" t="n">
        <v>0</v>
      </c>
      <c r="K208" t="n">
        <v>0</v>
      </c>
      <c r="L208" t="n">
        <v>0</v>
      </c>
      <c r="M208" t="n">
        <v>0</v>
      </c>
      <c r="N208" t="n">
        <v>0</v>
      </c>
      <c r="O208" t="n">
        <v>0</v>
      </c>
      <c r="P208" t="n">
        <v>0</v>
      </c>
      <c r="Q208" t="n">
        <v>0</v>
      </c>
      <c r="R208" s="2" t="inlineStr"/>
    </row>
    <row r="209" ht="15" customHeight="1">
      <c r="A209" t="inlineStr">
        <is>
          <t>A 16825-2024</t>
        </is>
      </c>
      <c r="B209" s="1" t="n">
        <v>45411.47335648148</v>
      </c>
      <c r="C209" s="1" t="n">
        <v>46000</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11027-2023</t>
        </is>
      </c>
      <c r="B210" s="1" t="n">
        <v>44991.89657407408</v>
      </c>
      <c r="C210" s="1" t="n">
        <v>46000</v>
      </c>
      <c r="D210" t="inlineStr">
        <is>
          <t>KALMAR LÄN</t>
        </is>
      </c>
      <c r="E210" t="inlineStr">
        <is>
          <t>VIMMERBY</t>
        </is>
      </c>
      <c r="G210" t="n">
        <v>0.8</v>
      </c>
      <c r="H210" t="n">
        <v>0</v>
      </c>
      <c r="I210" t="n">
        <v>0</v>
      </c>
      <c r="J210" t="n">
        <v>0</v>
      </c>
      <c r="K210" t="n">
        <v>0</v>
      </c>
      <c r="L210" t="n">
        <v>0</v>
      </c>
      <c r="M210" t="n">
        <v>0</v>
      </c>
      <c r="N210" t="n">
        <v>0</v>
      </c>
      <c r="O210" t="n">
        <v>0</v>
      </c>
      <c r="P210" t="n">
        <v>0</v>
      </c>
      <c r="Q210" t="n">
        <v>0</v>
      </c>
      <c r="R210" s="2" t="inlineStr"/>
    </row>
    <row r="211" ht="15" customHeight="1">
      <c r="A211" t="inlineStr">
        <is>
          <t>A 31382-2023</t>
        </is>
      </c>
      <c r="B211" s="1" t="n">
        <v>45114.55136574074</v>
      </c>
      <c r="C211" s="1" t="n">
        <v>46000</v>
      </c>
      <c r="D211" t="inlineStr">
        <is>
          <t>KALMAR LÄN</t>
        </is>
      </c>
      <c r="E211" t="inlineStr">
        <is>
          <t>VIMMERBY</t>
        </is>
      </c>
      <c r="G211" t="n">
        <v>3.7</v>
      </c>
      <c r="H211" t="n">
        <v>0</v>
      </c>
      <c r="I211" t="n">
        <v>0</v>
      </c>
      <c r="J211" t="n">
        <v>0</v>
      </c>
      <c r="K211" t="n">
        <v>0</v>
      </c>
      <c r="L211" t="n">
        <v>0</v>
      </c>
      <c r="M211" t="n">
        <v>0</v>
      </c>
      <c r="N211" t="n">
        <v>0</v>
      </c>
      <c r="O211" t="n">
        <v>0</v>
      </c>
      <c r="P211" t="n">
        <v>0</v>
      </c>
      <c r="Q211" t="n">
        <v>0</v>
      </c>
      <c r="R211" s="2" t="inlineStr"/>
    </row>
    <row r="212" ht="15" customHeight="1">
      <c r="A212" t="inlineStr">
        <is>
          <t>A 58962-2022</t>
        </is>
      </c>
      <c r="B212" s="1" t="n">
        <v>44903</v>
      </c>
      <c r="C212" s="1" t="n">
        <v>46000</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53483-2022</t>
        </is>
      </c>
      <c r="B213" s="1" t="n">
        <v>44879.55940972222</v>
      </c>
      <c r="C213" s="1" t="n">
        <v>46000</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18899-2025</t>
        </is>
      </c>
      <c r="B214" s="1" t="n">
        <v>45764.44931712963</v>
      </c>
      <c r="C214" s="1" t="n">
        <v>46000</v>
      </c>
      <c r="D214" t="inlineStr">
        <is>
          <t>KALMAR LÄN</t>
        </is>
      </c>
      <c r="E214" t="inlineStr">
        <is>
          <t>VIMMERBY</t>
        </is>
      </c>
      <c r="F214" t="inlineStr">
        <is>
          <t>Kommuner</t>
        </is>
      </c>
      <c r="G214" t="n">
        <v>4</v>
      </c>
      <c r="H214" t="n">
        <v>0</v>
      </c>
      <c r="I214" t="n">
        <v>0</v>
      </c>
      <c r="J214" t="n">
        <v>0</v>
      </c>
      <c r="K214" t="n">
        <v>0</v>
      </c>
      <c r="L214" t="n">
        <v>0</v>
      </c>
      <c r="M214" t="n">
        <v>0</v>
      </c>
      <c r="N214" t="n">
        <v>0</v>
      </c>
      <c r="O214" t="n">
        <v>0</v>
      </c>
      <c r="P214" t="n">
        <v>0</v>
      </c>
      <c r="Q214" t="n">
        <v>0</v>
      </c>
      <c r="R214" s="2" t="inlineStr"/>
    </row>
    <row r="215" ht="15" customHeight="1">
      <c r="A215" t="inlineStr">
        <is>
          <t>A 20054-2023</t>
        </is>
      </c>
      <c r="B215" s="1" t="n">
        <v>45054.6750462963</v>
      </c>
      <c r="C215" s="1" t="n">
        <v>46000</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10837-2023</t>
        </is>
      </c>
      <c r="B216" s="1" t="n">
        <v>44991.30547453704</v>
      </c>
      <c r="C216" s="1" t="n">
        <v>46000</v>
      </c>
      <c r="D216" t="inlineStr">
        <is>
          <t>KALMAR LÄN</t>
        </is>
      </c>
      <c r="E216" t="inlineStr">
        <is>
          <t>VIMMERBY</t>
        </is>
      </c>
      <c r="G216" t="n">
        <v>7.3</v>
      </c>
      <c r="H216" t="n">
        <v>0</v>
      </c>
      <c r="I216" t="n">
        <v>0</v>
      </c>
      <c r="J216" t="n">
        <v>0</v>
      </c>
      <c r="K216" t="n">
        <v>0</v>
      </c>
      <c r="L216" t="n">
        <v>0</v>
      </c>
      <c r="M216" t="n">
        <v>0</v>
      </c>
      <c r="N216" t="n">
        <v>0</v>
      </c>
      <c r="O216" t="n">
        <v>0</v>
      </c>
      <c r="P216" t="n">
        <v>0</v>
      </c>
      <c r="Q216" t="n">
        <v>0</v>
      </c>
      <c r="R216" s="2" t="inlineStr"/>
    </row>
    <row r="217" ht="15" customHeight="1">
      <c r="A217" t="inlineStr">
        <is>
          <t>A 10838-2023</t>
        </is>
      </c>
      <c r="B217" s="1" t="n">
        <v>44991</v>
      </c>
      <c r="C217" s="1" t="n">
        <v>46000</v>
      </c>
      <c r="D217" t="inlineStr">
        <is>
          <t>KALMAR LÄN</t>
        </is>
      </c>
      <c r="E217" t="inlineStr">
        <is>
          <t>VIMMERBY</t>
        </is>
      </c>
      <c r="G217" t="n">
        <v>5.1</v>
      </c>
      <c r="H217" t="n">
        <v>0</v>
      </c>
      <c r="I217" t="n">
        <v>0</v>
      </c>
      <c r="J217" t="n">
        <v>0</v>
      </c>
      <c r="K217" t="n">
        <v>0</v>
      </c>
      <c r="L217" t="n">
        <v>0</v>
      </c>
      <c r="M217" t="n">
        <v>0</v>
      </c>
      <c r="N217" t="n">
        <v>0</v>
      </c>
      <c r="O217" t="n">
        <v>0</v>
      </c>
      <c r="P217" t="n">
        <v>0</v>
      </c>
      <c r="Q217" t="n">
        <v>0</v>
      </c>
      <c r="R217" s="2" t="inlineStr"/>
    </row>
    <row r="218" ht="15" customHeight="1">
      <c r="A218" t="inlineStr">
        <is>
          <t>A 13290-2025</t>
        </is>
      </c>
      <c r="B218" s="1" t="n">
        <v>45735.56751157407</v>
      </c>
      <c r="C218" s="1" t="n">
        <v>46000</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60951-2023</t>
        </is>
      </c>
      <c r="B219" s="1" t="n">
        <v>45261.44914351852</v>
      </c>
      <c r="C219" s="1" t="n">
        <v>46000</v>
      </c>
      <c r="D219" t="inlineStr">
        <is>
          <t>KALMAR LÄN</t>
        </is>
      </c>
      <c r="E219" t="inlineStr">
        <is>
          <t>VIMMERBY</t>
        </is>
      </c>
      <c r="G219" t="n">
        <v>4.3</v>
      </c>
      <c r="H219" t="n">
        <v>0</v>
      </c>
      <c r="I219" t="n">
        <v>0</v>
      </c>
      <c r="J219" t="n">
        <v>0</v>
      </c>
      <c r="K219" t="n">
        <v>0</v>
      </c>
      <c r="L219" t="n">
        <v>0</v>
      </c>
      <c r="M219" t="n">
        <v>0</v>
      </c>
      <c r="N219" t="n">
        <v>0</v>
      </c>
      <c r="O219" t="n">
        <v>0</v>
      </c>
      <c r="P219" t="n">
        <v>0</v>
      </c>
      <c r="Q219" t="n">
        <v>0</v>
      </c>
      <c r="R219" s="2" t="inlineStr"/>
    </row>
    <row r="220" ht="15" customHeight="1">
      <c r="A220" t="inlineStr">
        <is>
          <t>A 60292-2022</t>
        </is>
      </c>
      <c r="B220" s="1" t="n">
        <v>44910.54231481482</v>
      </c>
      <c r="C220" s="1" t="n">
        <v>46000</v>
      </c>
      <c r="D220" t="inlineStr">
        <is>
          <t>KALMAR LÄN</t>
        </is>
      </c>
      <c r="E220" t="inlineStr">
        <is>
          <t>VIMMERBY</t>
        </is>
      </c>
      <c r="G220" t="n">
        <v>4.4</v>
      </c>
      <c r="H220" t="n">
        <v>0</v>
      </c>
      <c r="I220" t="n">
        <v>0</v>
      </c>
      <c r="J220" t="n">
        <v>0</v>
      </c>
      <c r="K220" t="n">
        <v>0</v>
      </c>
      <c r="L220" t="n">
        <v>0</v>
      </c>
      <c r="M220" t="n">
        <v>0</v>
      </c>
      <c r="N220" t="n">
        <v>0</v>
      </c>
      <c r="O220" t="n">
        <v>0</v>
      </c>
      <c r="P220" t="n">
        <v>0</v>
      </c>
      <c r="Q220" t="n">
        <v>0</v>
      </c>
      <c r="R220" s="2" t="inlineStr"/>
    </row>
    <row r="221" ht="15" customHeight="1">
      <c r="A221" t="inlineStr">
        <is>
          <t>A 19162-2023</t>
        </is>
      </c>
      <c r="B221" s="1" t="n">
        <v>45048.59699074074</v>
      </c>
      <c r="C221" s="1" t="n">
        <v>46000</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11946-2025</t>
        </is>
      </c>
      <c r="B222" s="1" t="n">
        <v>45728.54832175926</v>
      </c>
      <c r="C222" s="1" t="n">
        <v>46000</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19537-2022</t>
        </is>
      </c>
      <c r="B223" s="1" t="n">
        <v>44693.62822916666</v>
      </c>
      <c r="C223" s="1" t="n">
        <v>46000</v>
      </c>
      <c r="D223" t="inlineStr">
        <is>
          <t>KALMAR LÄN</t>
        </is>
      </c>
      <c r="E223" t="inlineStr">
        <is>
          <t>VIMMERBY</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9475-2023</t>
        </is>
      </c>
      <c r="B224" s="1" t="n">
        <v>44981.58834490741</v>
      </c>
      <c r="C224" s="1" t="n">
        <v>46000</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7485-2024</t>
        </is>
      </c>
      <c r="B225" s="1" t="n">
        <v>45346.67184027778</v>
      </c>
      <c r="C225" s="1" t="n">
        <v>46000</v>
      </c>
      <c r="D225" t="inlineStr">
        <is>
          <t>KALMAR LÄN</t>
        </is>
      </c>
      <c r="E225" t="inlineStr">
        <is>
          <t>VIMMERBY</t>
        </is>
      </c>
      <c r="G225" t="n">
        <v>1.9</v>
      </c>
      <c r="H225" t="n">
        <v>0</v>
      </c>
      <c r="I225" t="n">
        <v>0</v>
      </c>
      <c r="J225" t="n">
        <v>0</v>
      </c>
      <c r="K225" t="n">
        <v>0</v>
      </c>
      <c r="L225" t="n">
        <v>0</v>
      </c>
      <c r="M225" t="n">
        <v>0</v>
      </c>
      <c r="N225" t="n">
        <v>0</v>
      </c>
      <c r="O225" t="n">
        <v>0</v>
      </c>
      <c r="P225" t="n">
        <v>0</v>
      </c>
      <c r="Q225" t="n">
        <v>0</v>
      </c>
      <c r="R225" s="2" t="inlineStr"/>
    </row>
    <row r="226" ht="15" customHeight="1">
      <c r="A226" t="inlineStr">
        <is>
          <t>A 12590-2025</t>
        </is>
      </c>
      <c r="B226" s="1" t="n">
        <v>45732.79925925926</v>
      </c>
      <c r="C226" s="1" t="n">
        <v>46000</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35710-2023</t>
        </is>
      </c>
      <c r="B227" s="1" t="n">
        <v>45147.67096064815</v>
      </c>
      <c r="C227" s="1" t="n">
        <v>46000</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52823-2024</t>
        </is>
      </c>
      <c r="B228" s="1" t="n">
        <v>45610.59094907407</v>
      </c>
      <c r="C228" s="1" t="n">
        <v>46000</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11147-2023</t>
        </is>
      </c>
      <c r="B229" s="1" t="n">
        <v>44992</v>
      </c>
      <c r="C229" s="1" t="n">
        <v>46000</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19833-2023</t>
        </is>
      </c>
      <c r="B230" s="1" t="n">
        <v>45052</v>
      </c>
      <c r="C230" s="1" t="n">
        <v>46000</v>
      </c>
      <c r="D230" t="inlineStr">
        <is>
          <t>KALMAR LÄN</t>
        </is>
      </c>
      <c r="E230" t="inlineStr">
        <is>
          <t>VIMMERBY</t>
        </is>
      </c>
      <c r="G230" t="n">
        <v>6.7</v>
      </c>
      <c r="H230" t="n">
        <v>0</v>
      </c>
      <c r="I230" t="n">
        <v>0</v>
      </c>
      <c r="J230" t="n">
        <v>0</v>
      </c>
      <c r="K230" t="n">
        <v>0</v>
      </c>
      <c r="L230" t="n">
        <v>0</v>
      </c>
      <c r="M230" t="n">
        <v>0</v>
      </c>
      <c r="N230" t="n">
        <v>0</v>
      </c>
      <c r="O230" t="n">
        <v>0</v>
      </c>
      <c r="P230" t="n">
        <v>0</v>
      </c>
      <c r="Q230" t="n">
        <v>0</v>
      </c>
      <c r="R230" s="2" t="inlineStr"/>
    </row>
    <row r="231" ht="15" customHeight="1">
      <c r="A231" t="inlineStr">
        <is>
          <t>A 14548-2024</t>
        </is>
      </c>
      <c r="B231" s="1" t="n">
        <v>45394.66887731481</v>
      </c>
      <c r="C231" s="1" t="n">
        <v>46000</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11609-2023</t>
        </is>
      </c>
      <c r="B232" s="1" t="n">
        <v>44994.40635416667</v>
      </c>
      <c r="C232" s="1" t="n">
        <v>46000</v>
      </c>
      <c r="D232" t="inlineStr">
        <is>
          <t>KALMAR LÄN</t>
        </is>
      </c>
      <c r="E232" t="inlineStr">
        <is>
          <t>VIMMERBY</t>
        </is>
      </c>
      <c r="G232" t="n">
        <v>4.9</v>
      </c>
      <c r="H232" t="n">
        <v>0</v>
      </c>
      <c r="I232" t="n">
        <v>0</v>
      </c>
      <c r="J232" t="n">
        <v>0</v>
      </c>
      <c r="K232" t="n">
        <v>0</v>
      </c>
      <c r="L232" t="n">
        <v>0</v>
      </c>
      <c r="M232" t="n">
        <v>0</v>
      </c>
      <c r="N232" t="n">
        <v>0</v>
      </c>
      <c r="O232" t="n">
        <v>0</v>
      </c>
      <c r="P232" t="n">
        <v>0</v>
      </c>
      <c r="Q232" t="n">
        <v>0</v>
      </c>
      <c r="R232" s="2" t="inlineStr"/>
    </row>
    <row r="233" ht="15" customHeight="1">
      <c r="A233" t="inlineStr">
        <is>
          <t>A 585-2024</t>
        </is>
      </c>
      <c r="B233" s="1" t="n">
        <v>45299.62576388889</v>
      </c>
      <c r="C233" s="1" t="n">
        <v>46000</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22399-2025</t>
        </is>
      </c>
      <c r="B234" s="1" t="n">
        <v>45786.52996527778</v>
      </c>
      <c r="C234" s="1" t="n">
        <v>46000</v>
      </c>
      <c r="D234" t="inlineStr">
        <is>
          <t>KALMAR LÄN</t>
        </is>
      </c>
      <c r="E234" t="inlineStr">
        <is>
          <t>VIMMERBY</t>
        </is>
      </c>
      <c r="G234" t="n">
        <v>2.1</v>
      </c>
      <c r="H234" t="n">
        <v>0</v>
      </c>
      <c r="I234" t="n">
        <v>0</v>
      </c>
      <c r="J234" t="n">
        <v>0</v>
      </c>
      <c r="K234" t="n">
        <v>0</v>
      </c>
      <c r="L234" t="n">
        <v>0</v>
      </c>
      <c r="M234" t="n">
        <v>0</v>
      </c>
      <c r="N234" t="n">
        <v>0</v>
      </c>
      <c r="O234" t="n">
        <v>0</v>
      </c>
      <c r="P234" t="n">
        <v>0</v>
      </c>
      <c r="Q234" t="n">
        <v>0</v>
      </c>
      <c r="R234" s="2" t="inlineStr"/>
    </row>
    <row r="235" ht="15" customHeight="1">
      <c r="A235" t="inlineStr">
        <is>
          <t>A 22397-2025</t>
        </is>
      </c>
      <c r="B235" s="1" t="n">
        <v>45786.52878472222</v>
      </c>
      <c r="C235" s="1" t="n">
        <v>46000</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56020-2024</t>
        </is>
      </c>
      <c r="B236" s="1" t="n">
        <v>45623.9525462963</v>
      </c>
      <c r="C236" s="1" t="n">
        <v>46000</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25582-2024</t>
        </is>
      </c>
      <c r="B237" s="1" t="n">
        <v>45463</v>
      </c>
      <c r="C237" s="1" t="n">
        <v>46000</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23252-2024</t>
        </is>
      </c>
      <c r="B238" s="1" t="n">
        <v>45453.36067129629</v>
      </c>
      <c r="C238" s="1" t="n">
        <v>46000</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15550-2023</t>
        </is>
      </c>
      <c r="B239" s="1" t="n">
        <v>45020</v>
      </c>
      <c r="C239" s="1" t="n">
        <v>46000</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11219-2023</t>
        </is>
      </c>
      <c r="B240" s="1" t="n">
        <v>44992.62498842592</v>
      </c>
      <c r="C240" s="1" t="n">
        <v>46000</v>
      </c>
      <c r="D240" t="inlineStr">
        <is>
          <t>KALMAR LÄN</t>
        </is>
      </c>
      <c r="E240" t="inlineStr">
        <is>
          <t>VIMMERBY</t>
        </is>
      </c>
      <c r="G240" t="n">
        <v>2.5</v>
      </c>
      <c r="H240" t="n">
        <v>0</v>
      </c>
      <c r="I240" t="n">
        <v>0</v>
      </c>
      <c r="J240" t="n">
        <v>0</v>
      </c>
      <c r="K240" t="n">
        <v>0</v>
      </c>
      <c r="L240" t="n">
        <v>0</v>
      </c>
      <c r="M240" t="n">
        <v>0</v>
      </c>
      <c r="N240" t="n">
        <v>0</v>
      </c>
      <c r="O240" t="n">
        <v>0</v>
      </c>
      <c r="P240" t="n">
        <v>0</v>
      </c>
      <c r="Q240" t="n">
        <v>0</v>
      </c>
      <c r="R240" s="2" t="inlineStr"/>
    </row>
    <row r="241" ht="15" customHeight="1">
      <c r="A241" t="inlineStr">
        <is>
          <t>A 18411-2021</t>
        </is>
      </c>
      <c r="B241" s="1" t="n">
        <v>44302</v>
      </c>
      <c r="C241" s="1" t="n">
        <v>46000</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47855-2024</t>
        </is>
      </c>
      <c r="B242" s="1" t="n">
        <v>45588.66457175926</v>
      </c>
      <c r="C242" s="1" t="n">
        <v>46000</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57578-2024</t>
        </is>
      </c>
      <c r="B243" s="1" t="n">
        <v>45630.47564814815</v>
      </c>
      <c r="C243" s="1" t="n">
        <v>46000</v>
      </c>
      <c r="D243" t="inlineStr">
        <is>
          <t>KALMAR LÄN</t>
        </is>
      </c>
      <c r="E243" t="inlineStr">
        <is>
          <t>VIMMERBY</t>
        </is>
      </c>
      <c r="G243" t="n">
        <v>2.6</v>
      </c>
      <c r="H243" t="n">
        <v>0</v>
      </c>
      <c r="I243" t="n">
        <v>0</v>
      </c>
      <c r="J243" t="n">
        <v>0</v>
      </c>
      <c r="K243" t="n">
        <v>0</v>
      </c>
      <c r="L243" t="n">
        <v>0</v>
      </c>
      <c r="M243" t="n">
        <v>0</v>
      </c>
      <c r="N243" t="n">
        <v>0</v>
      </c>
      <c r="O243" t="n">
        <v>0</v>
      </c>
      <c r="P243" t="n">
        <v>0</v>
      </c>
      <c r="Q243" t="n">
        <v>0</v>
      </c>
      <c r="R243" s="2" t="inlineStr"/>
    </row>
    <row r="244" ht="15" customHeight="1">
      <c r="A244" t="inlineStr">
        <is>
          <t>A 172-2022</t>
        </is>
      </c>
      <c r="B244" s="1" t="n">
        <v>44564.62598379629</v>
      </c>
      <c r="C244" s="1" t="n">
        <v>46000</v>
      </c>
      <c r="D244" t="inlineStr">
        <is>
          <t>KALMAR LÄN</t>
        </is>
      </c>
      <c r="E244" t="inlineStr">
        <is>
          <t>VIMMERBY</t>
        </is>
      </c>
      <c r="G244" t="n">
        <v>2.1</v>
      </c>
      <c r="H244" t="n">
        <v>0</v>
      </c>
      <c r="I244" t="n">
        <v>0</v>
      </c>
      <c r="J244" t="n">
        <v>0</v>
      </c>
      <c r="K244" t="n">
        <v>0</v>
      </c>
      <c r="L244" t="n">
        <v>0</v>
      </c>
      <c r="M244" t="n">
        <v>0</v>
      </c>
      <c r="N244" t="n">
        <v>0</v>
      </c>
      <c r="O244" t="n">
        <v>0</v>
      </c>
      <c r="P244" t="n">
        <v>0</v>
      </c>
      <c r="Q244" t="n">
        <v>0</v>
      </c>
      <c r="R244" s="2" t="inlineStr"/>
    </row>
    <row r="245" ht="15" customHeight="1">
      <c r="A245" t="inlineStr">
        <is>
          <t>A 39584-2024</t>
        </is>
      </c>
      <c r="B245" s="1" t="n">
        <v>45552.36759259259</v>
      </c>
      <c r="C245" s="1" t="n">
        <v>46000</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51881-2024</t>
        </is>
      </c>
      <c r="B246" s="1" t="n">
        <v>45607.56773148148</v>
      </c>
      <c r="C246" s="1" t="n">
        <v>46000</v>
      </c>
      <c r="D246" t="inlineStr">
        <is>
          <t>KALMAR LÄN</t>
        </is>
      </c>
      <c r="E246" t="inlineStr">
        <is>
          <t>VIMMERBY</t>
        </is>
      </c>
      <c r="G246" t="n">
        <v>3.4</v>
      </c>
      <c r="H246" t="n">
        <v>0</v>
      </c>
      <c r="I246" t="n">
        <v>0</v>
      </c>
      <c r="J246" t="n">
        <v>0</v>
      </c>
      <c r="K246" t="n">
        <v>0</v>
      </c>
      <c r="L246" t="n">
        <v>0</v>
      </c>
      <c r="M246" t="n">
        <v>0</v>
      </c>
      <c r="N246" t="n">
        <v>0</v>
      </c>
      <c r="O246" t="n">
        <v>0</v>
      </c>
      <c r="P246" t="n">
        <v>0</v>
      </c>
      <c r="Q246" t="n">
        <v>0</v>
      </c>
      <c r="R246" s="2" t="inlineStr"/>
    </row>
    <row r="247" ht="15" customHeight="1">
      <c r="A247" t="inlineStr">
        <is>
          <t>A 2596-2025</t>
        </is>
      </c>
      <c r="B247" s="1" t="n">
        <v>45674.71810185185</v>
      </c>
      <c r="C247" s="1" t="n">
        <v>46000</v>
      </c>
      <c r="D247" t="inlineStr">
        <is>
          <t>KALMAR LÄN</t>
        </is>
      </c>
      <c r="E247" t="inlineStr">
        <is>
          <t>VIMMERBY</t>
        </is>
      </c>
      <c r="G247" t="n">
        <v>9</v>
      </c>
      <c r="H247" t="n">
        <v>0</v>
      </c>
      <c r="I247" t="n">
        <v>0</v>
      </c>
      <c r="J247" t="n">
        <v>0</v>
      </c>
      <c r="K247" t="n">
        <v>0</v>
      </c>
      <c r="L247" t="n">
        <v>0</v>
      </c>
      <c r="M247" t="n">
        <v>0</v>
      </c>
      <c r="N247" t="n">
        <v>0</v>
      </c>
      <c r="O247" t="n">
        <v>0</v>
      </c>
      <c r="P247" t="n">
        <v>0</v>
      </c>
      <c r="Q247" t="n">
        <v>0</v>
      </c>
      <c r="R247" s="2" t="inlineStr"/>
    </row>
    <row r="248" ht="15" customHeight="1">
      <c r="A248" t="inlineStr">
        <is>
          <t>A 6307-2025</t>
        </is>
      </c>
      <c r="B248" s="1" t="n">
        <v>45698.69016203703</v>
      </c>
      <c r="C248" s="1" t="n">
        <v>46000</v>
      </c>
      <c r="D248" t="inlineStr">
        <is>
          <t>KALMAR LÄN</t>
        </is>
      </c>
      <c r="E248" t="inlineStr">
        <is>
          <t>VIMMERBY</t>
        </is>
      </c>
      <c r="G248" t="n">
        <v>3</v>
      </c>
      <c r="H248" t="n">
        <v>0</v>
      </c>
      <c r="I248" t="n">
        <v>0</v>
      </c>
      <c r="J248" t="n">
        <v>0</v>
      </c>
      <c r="K248" t="n">
        <v>0</v>
      </c>
      <c r="L248" t="n">
        <v>0</v>
      </c>
      <c r="M248" t="n">
        <v>0</v>
      </c>
      <c r="N248" t="n">
        <v>0</v>
      </c>
      <c r="O248" t="n">
        <v>0</v>
      </c>
      <c r="P248" t="n">
        <v>0</v>
      </c>
      <c r="Q248" t="n">
        <v>0</v>
      </c>
      <c r="R248" s="2" t="inlineStr"/>
    </row>
    <row r="249" ht="15" customHeight="1">
      <c r="A249" t="inlineStr">
        <is>
          <t>A 11442-2025</t>
        </is>
      </c>
      <c r="B249" s="1" t="n">
        <v>45726.62721064815</v>
      </c>
      <c r="C249" s="1" t="n">
        <v>46000</v>
      </c>
      <c r="D249" t="inlineStr">
        <is>
          <t>KALMAR LÄN</t>
        </is>
      </c>
      <c r="E249" t="inlineStr">
        <is>
          <t>VIMMERBY</t>
        </is>
      </c>
      <c r="G249" t="n">
        <v>2.6</v>
      </c>
      <c r="H249" t="n">
        <v>0</v>
      </c>
      <c r="I249" t="n">
        <v>0</v>
      </c>
      <c r="J249" t="n">
        <v>0</v>
      </c>
      <c r="K249" t="n">
        <v>0</v>
      </c>
      <c r="L249" t="n">
        <v>0</v>
      </c>
      <c r="M249" t="n">
        <v>0</v>
      </c>
      <c r="N249" t="n">
        <v>0</v>
      </c>
      <c r="O249" t="n">
        <v>0</v>
      </c>
      <c r="P249" t="n">
        <v>0</v>
      </c>
      <c r="Q249" t="n">
        <v>0</v>
      </c>
      <c r="R249" s="2" t="inlineStr"/>
    </row>
    <row r="250" ht="15" customHeight="1">
      <c r="A250" t="inlineStr">
        <is>
          <t>A 16734-2023</t>
        </is>
      </c>
      <c r="B250" s="1" t="n">
        <v>45030.71012731481</v>
      </c>
      <c r="C250" s="1" t="n">
        <v>46000</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38604-2025</t>
        </is>
      </c>
      <c r="B251" s="1" t="n">
        <v>45884.50613425926</v>
      </c>
      <c r="C251" s="1" t="n">
        <v>46000</v>
      </c>
      <c r="D251" t="inlineStr">
        <is>
          <t>KALMAR LÄN</t>
        </is>
      </c>
      <c r="E251" t="inlineStr">
        <is>
          <t>VIMMERBY</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20129-2024</t>
        </is>
      </c>
      <c r="B252" s="1" t="n">
        <v>45434.55831018519</v>
      </c>
      <c r="C252" s="1" t="n">
        <v>46000</v>
      </c>
      <c r="D252" t="inlineStr">
        <is>
          <t>KALMAR LÄN</t>
        </is>
      </c>
      <c r="E252" t="inlineStr">
        <is>
          <t>VIMMERBY</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20137-2024</t>
        </is>
      </c>
      <c r="B253" s="1" t="n">
        <v>45434.56398148148</v>
      </c>
      <c r="C253" s="1" t="n">
        <v>46000</v>
      </c>
      <c r="D253" t="inlineStr">
        <is>
          <t>KALMAR LÄN</t>
        </is>
      </c>
      <c r="E253" t="inlineStr">
        <is>
          <t>VIMMERBY</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7456-2024</t>
        </is>
      </c>
      <c r="B254" s="1" t="n">
        <v>45345.83557870371</v>
      </c>
      <c r="C254" s="1" t="n">
        <v>46000</v>
      </c>
      <c r="D254" t="inlineStr">
        <is>
          <t>KALMAR LÄN</t>
        </is>
      </c>
      <c r="E254" t="inlineStr">
        <is>
          <t>VIMMERBY</t>
        </is>
      </c>
      <c r="G254" t="n">
        <v>4.1</v>
      </c>
      <c r="H254" t="n">
        <v>0</v>
      </c>
      <c r="I254" t="n">
        <v>0</v>
      </c>
      <c r="J254" t="n">
        <v>0</v>
      </c>
      <c r="K254" t="n">
        <v>0</v>
      </c>
      <c r="L254" t="n">
        <v>0</v>
      </c>
      <c r="M254" t="n">
        <v>0</v>
      </c>
      <c r="N254" t="n">
        <v>0</v>
      </c>
      <c r="O254" t="n">
        <v>0</v>
      </c>
      <c r="P254" t="n">
        <v>0</v>
      </c>
      <c r="Q254" t="n">
        <v>0</v>
      </c>
      <c r="R254" s="2" t="inlineStr"/>
    </row>
    <row r="255" ht="15" customHeight="1">
      <c r="A255" t="inlineStr">
        <is>
          <t>A 52324-2023</t>
        </is>
      </c>
      <c r="B255" s="1" t="n">
        <v>45224.64659722222</v>
      </c>
      <c r="C255" s="1" t="n">
        <v>46000</v>
      </c>
      <c r="D255" t="inlineStr">
        <is>
          <t>KALMAR LÄN</t>
        </is>
      </c>
      <c r="E255" t="inlineStr">
        <is>
          <t>VIMMERBY</t>
        </is>
      </c>
      <c r="F255" t="inlineStr">
        <is>
          <t>Sveaskog</t>
        </is>
      </c>
      <c r="G255" t="n">
        <v>2.9</v>
      </c>
      <c r="H255" t="n">
        <v>0</v>
      </c>
      <c r="I255" t="n">
        <v>0</v>
      </c>
      <c r="J255" t="n">
        <v>0</v>
      </c>
      <c r="K255" t="n">
        <v>0</v>
      </c>
      <c r="L255" t="n">
        <v>0</v>
      </c>
      <c r="M255" t="n">
        <v>0</v>
      </c>
      <c r="N255" t="n">
        <v>0</v>
      </c>
      <c r="O255" t="n">
        <v>0</v>
      </c>
      <c r="P255" t="n">
        <v>0</v>
      </c>
      <c r="Q255" t="n">
        <v>0</v>
      </c>
      <c r="R255" s="2" t="inlineStr"/>
    </row>
    <row r="256" ht="15" customHeight="1">
      <c r="A256" t="inlineStr">
        <is>
          <t>A 23394-2025</t>
        </is>
      </c>
      <c r="B256" s="1" t="n">
        <v>45791.89865740741</v>
      </c>
      <c r="C256" s="1" t="n">
        <v>46000</v>
      </c>
      <c r="D256" t="inlineStr">
        <is>
          <t>KALMAR LÄN</t>
        </is>
      </c>
      <c r="E256" t="inlineStr">
        <is>
          <t>VIMMERBY</t>
        </is>
      </c>
      <c r="G256" t="n">
        <v>3.1</v>
      </c>
      <c r="H256" t="n">
        <v>0</v>
      </c>
      <c r="I256" t="n">
        <v>0</v>
      </c>
      <c r="J256" t="n">
        <v>0</v>
      </c>
      <c r="K256" t="n">
        <v>0</v>
      </c>
      <c r="L256" t="n">
        <v>0</v>
      </c>
      <c r="M256" t="n">
        <v>0</v>
      </c>
      <c r="N256" t="n">
        <v>0</v>
      </c>
      <c r="O256" t="n">
        <v>0</v>
      </c>
      <c r="P256" t="n">
        <v>0</v>
      </c>
      <c r="Q256" t="n">
        <v>0</v>
      </c>
      <c r="R256" s="2" t="inlineStr"/>
    </row>
    <row r="257" ht="15" customHeight="1">
      <c r="A257" t="inlineStr">
        <is>
          <t>A 17988-2025</t>
        </is>
      </c>
      <c r="B257" s="1" t="n">
        <v>45761.39600694444</v>
      </c>
      <c r="C257" s="1" t="n">
        <v>46000</v>
      </c>
      <c r="D257" t="inlineStr">
        <is>
          <t>KALMAR LÄN</t>
        </is>
      </c>
      <c r="E257" t="inlineStr">
        <is>
          <t>VIMMERBY</t>
        </is>
      </c>
      <c r="G257" t="n">
        <v>2.8</v>
      </c>
      <c r="H257" t="n">
        <v>0</v>
      </c>
      <c r="I257" t="n">
        <v>0</v>
      </c>
      <c r="J257" t="n">
        <v>0</v>
      </c>
      <c r="K257" t="n">
        <v>0</v>
      </c>
      <c r="L257" t="n">
        <v>0</v>
      </c>
      <c r="M257" t="n">
        <v>0</v>
      </c>
      <c r="N257" t="n">
        <v>0</v>
      </c>
      <c r="O257" t="n">
        <v>0</v>
      </c>
      <c r="P257" t="n">
        <v>0</v>
      </c>
      <c r="Q257" t="n">
        <v>0</v>
      </c>
      <c r="R257" s="2" t="inlineStr"/>
    </row>
    <row r="258" ht="15" customHeight="1">
      <c r="A258" t="inlineStr">
        <is>
          <t>A 23341-2022</t>
        </is>
      </c>
      <c r="B258" s="1" t="n">
        <v>44720.53898148148</v>
      </c>
      <c r="C258" s="1" t="n">
        <v>46000</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37028-2024</t>
        </is>
      </c>
      <c r="B259" s="1" t="n">
        <v>45539.38744212963</v>
      </c>
      <c r="C259" s="1" t="n">
        <v>46000</v>
      </c>
      <c r="D259" t="inlineStr">
        <is>
          <t>KALMAR LÄN</t>
        </is>
      </c>
      <c r="E259" t="inlineStr">
        <is>
          <t>VIMMERBY</t>
        </is>
      </c>
      <c r="G259" t="n">
        <v>5.2</v>
      </c>
      <c r="H259" t="n">
        <v>0</v>
      </c>
      <c r="I259" t="n">
        <v>0</v>
      </c>
      <c r="J259" t="n">
        <v>0</v>
      </c>
      <c r="K259" t="n">
        <v>0</v>
      </c>
      <c r="L259" t="n">
        <v>0</v>
      </c>
      <c r="M259" t="n">
        <v>0</v>
      </c>
      <c r="N259" t="n">
        <v>0</v>
      </c>
      <c r="O259" t="n">
        <v>0</v>
      </c>
      <c r="P259" t="n">
        <v>0</v>
      </c>
      <c r="Q259" t="n">
        <v>0</v>
      </c>
      <c r="R259" s="2" t="inlineStr"/>
    </row>
    <row r="260" ht="15" customHeight="1">
      <c r="A260" t="inlineStr">
        <is>
          <t>A 29726-2025</t>
        </is>
      </c>
      <c r="B260" s="1" t="n">
        <v>45825.57805555555</v>
      </c>
      <c r="C260" s="1" t="n">
        <v>46000</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6668-2023</t>
        </is>
      </c>
      <c r="B261" s="1" t="n">
        <v>44966</v>
      </c>
      <c r="C261" s="1" t="n">
        <v>46000</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23984-2025</t>
        </is>
      </c>
      <c r="B262" s="1" t="n">
        <v>45796</v>
      </c>
      <c r="C262" s="1" t="n">
        <v>46000</v>
      </c>
      <c r="D262" t="inlineStr">
        <is>
          <t>KALMAR LÄN</t>
        </is>
      </c>
      <c r="E262" t="inlineStr">
        <is>
          <t>VIMMERBY</t>
        </is>
      </c>
      <c r="G262" t="n">
        <v>1.4</v>
      </c>
      <c r="H262" t="n">
        <v>0</v>
      </c>
      <c r="I262" t="n">
        <v>0</v>
      </c>
      <c r="J262" t="n">
        <v>0</v>
      </c>
      <c r="K262" t="n">
        <v>0</v>
      </c>
      <c r="L262" t="n">
        <v>0</v>
      </c>
      <c r="M262" t="n">
        <v>0</v>
      </c>
      <c r="N262" t="n">
        <v>0</v>
      </c>
      <c r="O262" t="n">
        <v>0</v>
      </c>
      <c r="P262" t="n">
        <v>0</v>
      </c>
      <c r="Q262" t="n">
        <v>0</v>
      </c>
      <c r="R262" s="2" t="inlineStr"/>
    </row>
    <row r="263" ht="15" customHeight="1">
      <c r="A263" t="inlineStr">
        <is>
          <t>A 29168-2024</t>
        </is>
      </c>
      <c r="B263" s="1" t="n">
        <v>45482.49870370371</v>
      </c>
      <c r="C263" s="1" t="n">
        <v>46000</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8086-2021</t>
        </is>
      </c>
      <c r="B264" s="1" t="n">
        <v>44243</v>
      </c>
      <c r="C264" s="1" t="n">
        <v>46000</v>
      </c>
      <c r="D264" t="inlineStr">
        <is>
          <t>KALMAR LÄN</t>
        </is>
      </c>
      <c r="E264" t="inlineStr">
        <is>
          <t>VIMMERBY</t>
        </is>
      </c>
      <c r="G264" t="n">
        <v>4.1</v>
      </c>
      <c r="H264" t="n">
        <v>0</v>
      </c>
      <c r="I264" t="n">
        <v>0</v>
      </c>
      <c r="J264" t="n">
        <v>0</v>
      </c>
      <c r="K264" t="n">
        <v>0</v>
      </c>
      <c r="L264" t="n">
        <v>0</v>
      </c>
      <c r="M264" t="n">
        <v>0</v>
      </c>
      <c r="N264" t="n">
        <v>0</v>
      </c>
      <c r="O264" t="n">
        <v>0</v>
      </c>
      <c r="P264" t="n">
        <v>0</v>
      </c>
      <c r="Q264" t="n">
        <v>0</v>
      </c>
      <c r="R264" s="2" t="inlineStr"/>
    </row>
    <row r="265" ht="15" customHeight="1">
      <c r="A265" t="inlineStr">
        <is>
          <t>A 55236-2023</t>
        </is>
      </c>
      <c r="B265" s="1" t="n">
        <v>45237.63225694445</v>
      </c>
      <c r="C265" s="1" t="n">
        <v>46000</v>
      </c>
      <c r="D265" t="inlineStr">
        <is>
          <t>KALMAR LÄN</t>
        </is>
      </c>
      <c r="E265" t="inlineStr">
        <is>
          <t>VIMMERBY</t>
        </is>
      </c>
      <c r="G265" t="n">
        <v>1.1</v>
      </c>
      <c r="H265" t="n">
        <v>0</v>
      </c>
      <c r="I265" t="n">
        <v>0</v>
      </c>
      <c r="J265" t="n">
        <v>0</v>
      </c>
      <c r="K265" t="n">
        <v>0</v>
      </c>
      <c r="L265" t="n">
        <v>0</v>
      </c>
      <c r="M265" t="n">
        <v>0</v>
      </c>
      <c r="N265" t="n">
        <v>0</v>
      </c>
      <c r="O265" t="n">
        <v>0</v>
      </c>
      <c r="P265" t="n">
        <v>0</v>
      </c>
      <c r="Q265" t="n">
        <v>0</v>
      </c>
      <c r="R265" s="2" t="inlineStr"/>
    </row>
    <row r="266" ht="15" customHeight="1">
      <c r="A266" t="inlineStr">
        <is>
          <t>A 55245-2023</t>
        </is>
      </c>
      <c r="B266" s="1" t="n">
        <v>45237.64408564815</v>
      </c>
      <c r="C266" s="1" t="n">
        <v>46000</v>
      </c>
      <c r="D266" t="inlineStr">
        <is>
          <t>KALMAR LÄN</t>
        </is>
      </c>
      <c r="E266" t="inlineStr">
        <is>
          <t>VIMMERBY</t>
        </is>
      </c>
      <c r="G266" t="n">
        <v>1.3</v>
      </c>
      <c r="H266" t="n">
        <v>0</v>
      </c>
      <c r="I266" t="n">
        <v>0</v>
      </c>
      <c r="J266" t="n">
        <v>0</v>
      </c>
      <c r="K266" t="n">
        <v>0</v>
      </c>
      <c r="L266" t="n">
        <v>0</v>
      </c>
      <c r="M266" t="n">
        <v>0</v>
      </c>
      <c r="N266" t="n">
        <v>0</v>
      </c>
      <c r="O266" t="n">
        <v>0</v>
      </c>
      <c r="P266" t="n">
        <v>0</v>
      </c>
      <c r="Q266" t="n">
        <v>0</v>
      </c>
      <c r="R266" s="2" t="inlineStr"/>
    </row>
    <row r="267" ht="15" customHeight="1">
      <c r="A267" t="inlineStr">
        <is>
          <t>A 36055-2024</t>
        </is>
      </c>
      <c r="B267" s="1" t="n">
        <v>45533.63056712963</v>
      </c>
      <c r="C267" s="1" t="n">
        <v>46000</v>
      </c>
      <c r="D267" t="inlineStr">
        <is>
          <t>KALMAR LÄN</t>
        </is>
      </c>
      <c r="E267" t="inlineStr">
        <is>
          <t>VIMMERBY</t>
        </is>
      </c>
      <c r="F267" t="inlineStr">
        <is>
          <t>Kommuner</t>
        </is>
      </c>
      <c r="G267" t="n">
        <v>1.9</v>
      </c>
      <c r="H267" t="n">
        <v>0</v>
      </c>
      <c r="I267" t="n">
        <v>0</v>
      </c>
      <c r="J267" t="n">
        <v>0</v>
      </c>
      <c r="K267" t="n">
        <v>0</v>
      </c>
      <c r="L267" t="n">
        <v>0</v>
      </c>
      <c r="M267" t="n">
        <v>0</v>
      </c>
      <c r="N267" t="n">
        <v>0</v>
      </c>
      <c r="O267" t="n">
        <v>0</v>
      </c>
      <c r="P267" t="n">
        <v>0</v>
      </c>
      <c r="Q267" t="n">
        <v>0</v>
      </c>
      <c r="R267" s="2" t="inlineStr"/>
    </row>
    <row r="268" ht="15" customHeight="1">
      <c r="A268" t="inlineStr">
        <is>
          <t>A 39801-2025</t>
        </is>
      </c>
      <c r="B268" s="1" t="n">
        <v>45891.50216435185</v>
      </c>
      <c r="C268" s="1" t="n">
        <v>46000</v>
      </c>
      <c r="D268" t="inlineStr">
        <is>
          <t>KALMAR LÄN</t>
        </is>
      </c>
      <c r="E268" t="inlineStr">
        <is>
          <t>VIMMERBY</t>
        </is>
      </c>
      <c r="G268" t="n">
        <v>2</v>
      </c>
      <c r="H268" t="n">
        <v>0</v>
      </c>
      <c r="I268" t="n">
        <v>0</v>
      </c>
      <c r="J268" t="n">
        <v>0</v>
      </c>
      <c r="K268" t="n">
        <v>0</v>
      </c>
      <c r="L268" t="n">
        <v>0</v>
      </c>
      <c r="M268" t="n">
        <v>0</v>
      </c>
      <c r="N268" t="n">
        <v>0</v>
      </c>
      <c r="O268" t="n">
        <v>0</v>
      </c>
      <c r="P268" t="n">
        <v>0</v>
      </c>
      <c r="Q268" t="n">
        <v>0</v>
      </c>
      <c r="R268" s="2" t="inlineStr"/>
    </row>
    <row r="269" ht="15" customHeight="1">
      <c r="A269" t="inlineStr">
        <is>
          <t>A 39807-2025</t>
        </is>
      </c>
      <c r="B269" s="1" t="n">
        <v>45891.50986111111</v>
      </c>
      <c r="C269" s="1" t="n">
        <v>46000</v>
      </c>
      <c r="D269" t="inlineStr">
        <is>
          <t>KALMAR LÄN</t>
        </is>
      </c>
      <c r="E269" t="inlineStr">
        <is>
          <t>VIMMERBY</t>
        </is>
      </c>
      <c r="G269" t="n">
        <v>0.5</v>
      </c>
      <c r="H269" t="n">
        <v>0</v>
      </c>
      <c r="I269" t="n">
        <v>0</v>
      </c>
      <c r="J269" t="n">
        <v>0</v>
      </c>
      <c r="K269" t="n">
        <v>0</v>
      </c>
      <c r="L269" t="n">
        <v>0</v>
      </c>
      <c r="M269" t="n">
        <v>0</v>
      </c>
      <c r="N269" t="n">
        <v>0</v>
      </c>
      <c r="O269" t="n">
        <v>0</v>
      </c>
      <c r="P269" t="n">
        <v>0</v>
      </c>
      <c r="Q269" t="n">
        <v>0</v>
      </c>
      <c r="R269" s="2" t="inlineStr"/>
    </row>
    <row r="270" ht="15" customHeight="1">
      <c r="A270" t="inlineStr">
        <is>
          <t>A 39736-2025</t>
        </is>
      </c>
      <c r="B270" s="1" t="n">
        <v>45891</v>
      </c>
      <c r="C270" s="1" t="n">
        <v>46000</v>
      </c>
      <c r="D270" t="inlineStr">
        <is>
          <t>KALMAR LÄN</t>
        </is>
      </c>
      <c r="E270" t="inlineStr">
        <is>
          <t>VIMMERBY</t>
        </is>
      </c>
      <c r="G270" t="n">
        <v>12.8</v>
      </c>
      <c r="H270" t="n">
        <v>0</v>
      </c>
      <c r="I270" t="n">
        <v>0</v>
      </c>
      <c r="J270" t="n">
        <v>0</v>
      </c>
      <c r="K270" t="n">
        <v>0</v>
      </c>
      <c r="L270" t="n">
        <v>0</v>
      </c>
      <c r="M270" t="n">
        <v>0</v>
      </c>
      <c r="N270" t="n">
        <v>0</v>
      </c>
      <c r="O270" t="n">
        <v>0</v>
      </c>
      <c r="P270" t="n">
        <v>0</v>
      </c>
      <c r="Q270" t="n">
        <v>0</v>
      </c>
      <c r="R270" s="2" t="inlineStr"/>
    </row>
    <row r="271" ht="15" customHeight="1">
      <c r="A271" t="inlineStr">
        <is>
          <t>A 27443-2023</t>
        </is>
      </c>
      <c r="B271" s="1" t="n">
        <v>45097.40524305555</v>
      </c>
      <c r="C271" s="1" t="n">
        <v>46000</v>
      </c>
      <c r="D271" t="inlineStr">
        <is>
          <t>KALMAR LÄN</t>
        </is>
      </c>
      <c r="E271" t="inlineStr">
        <is>
          <t>VIMMERBY</t>
        </is>
      </c>
      <c r="F271" t="inlineStr">
        <is>
          <t>Övriga Aktiebolag</t>
        </is>
      </c>
      <c r="G271" t="n">
        <v>2.3</v>
      </c>
      <c r="H271" t="n">
        <v>0</v>
      </c>
      <c r="I271" t="n">
        <v>0</v>
      </c>
      <c r="J271" t="n">
        <v>0</v>
      </c>
      <c r="K271" t="n">
        <v>0</v>
      </c>
      <c r="L271" t="n">
        <v>0</v>
      </c>
      <c r="M271" t="n">
        <v>0</v>
      </c>
      <c r="N271" t="n">
        <v>0</v>
      </c>
      <c r="O271" t="n">
        <v>0</v>
      </c>
      <c r="P271" t="n">
        <v>0</v>
      </c>
      <c r="Q271" t="n">
        <v>0</v>
      </c>
      <c r="R271" s="2" t="inlineStr"/>
    </row>
    <row r="272" ht="15" customHeight="1">
      <c r="A272" t="inlineStr">
        <is>
          <t>A 845-2023</t>
        </is>
      </c>
      <c r="B272" s="1" t="n">
        <v>44931</v>
      </c>
      <c r="C272" s="1" t="n">
        <v>46000</v>
      </c>
      <c r="D272" t="inlineStr">
        <is>
          <t>KALMAR LÄN</t>
        </is>
      </c>
      <c r="E272" t="inlineStr">
        <is>
          <t>VIMMERBY</t>
        </is>
      </c>
      <c r="F272" t="inlineStr">
        <is>
          <t>Övriga Aktiebolag</t>
        </is>
      </c>
      <c r="G272" t="n">
        <v>19</v>
      </c>
      <c r="H272" t="n">
        <v>0</v>
      </c>
      <c r="I272" t="n">
        <v>0</v>
      </c>
      <c r="J272" t="n">
        <v>0</v>
      </c>
      <c r="K272" t="n">
        <v>0</v>
      </c>
      <c r="L272" t="n">
        <v>0</v>
      </c>
      <c r="M272" t="n">
        <v>0</v>
      </c>
      <c r="N272" t="n">
        <v>0</v>
      </c>
      <c r="O272" t="n">
        <v>0</v>
      </c>
      <c r="P272" t="n">
        <v>0</v>
      </c>
      <c r="Q272" t="n">
        <v>0</v>
      </c>
      <c r="R272" s="2" t="inlineStr"/>
    </row>
    <row r="273" ht="15" customHeight="1">
      <c r="A273" t="inlineStr">
        <is>
          <t>A 39803-2025</t>
        </is>
      </c>
      <c r="B273" s="1" t="n">
        <v>45891.50525462963</v>
      </c>
      <c r="C273" s="1" t="n">
        <v>46000</v>
      </c>
      <c r="D273" t="inlineStr">
        <is>
          <t>KALMAR LÄN</t>
        </is>
      </c>
      <c r="E273" t="inlineStr">
        <is>
          <t>VIMMERBY</t>
        </is>
      </c>
      <c r="G273" t="n">
        <v>0.5</v>
      </c>
      <c r="H273" t="n">
        <v>0</v>
      </c>
      <c r="I273" t="n">
        <v>0</v>
      </c>
      <c r="J273" t="n">
        <v>0</v>
      </c>
      <c r="K273" t="n">
        <v>0</v>
      </c>
      <c r="L273" t="n">
        <v>0</v>
      </c>
      <c r="M273" t="n">
        <v>0</v>
      </c>
      <c r="N273" t="n">
        <v>0</v>
      </c>
      <c r="O273" t="n">
        <v>0</v>
      </c>
      <c r="P273" t="n">
        <v>0</v>
      </c>
      <c r="Q273" t="n">
        <v>0</v>
      </c>
      <c r="R273" s="2" t="inlineStr"/>
    </row>
    <row r="274" ht="15" customHeight="1">
      <c r="A274" t="inlineStr">
        <is>
          <t>A 39889-2025</t>
        </is>
      </c>
      <c r="B274" s="1" t="n">
        <v>45891</v>
      </c>
      <c r="C274" s="1" t="n">
        <v>46000</v>
      </c>
      <c r="D274" t="inlineStr">
        <is>
          <t>KALMAR LÄN</t>
        </is>
      </c>
      <c r="E274" t="inlineStr">
        <is>
          <t>VIMMERBY</t>
        </is>
      </c>
      <c r="G274" t="n">
        <v>4.5</v>
      </c>
      <c r="H274" t="n">
        <v>0</v>
      </c>
      <c r="I274" t="n">
        <v>0</v>
      </c>
      <c r="J274" t="n">
        <v>0</v>
      </c>
      <c r="K274" t="n">
        <v>0</v>
      </c>
      <c r="L274" t="n">
        <v>0</v>
      </c>
      <c r="M274" t="n">
        <v>0</v>
      </c>
      <c r="N274" t="n">
        <v>0</v>
      </c>
      <c r="O274" t="n">
        <v>0</v>
      </c>
      <c r="P274" t="n">
        <v>0</v>
      </c>
      <c r="Q274" t="n">
        <v>0</v>
      </c>
      <c r="R274" s="2" t="inlineStr"/>
    </row>
    <row r="275" ht="15" customHeight="1">
      <c r="A275" t="inlineStr">
        <is>
          <t>A 35082-2024</t>
        </is>
      </c>
      <c r="B275" s="1" t="n">
        <v>45527.68784722222</v>
      </c>
      <c r="C275" s="1" t="n">
        <v>46000</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51278-2024</t>
        </is>
      </c>
      <c r="B276" s="1" t="n">
        <v>45603.74959490741</v>
      </c>
      <c r="C276" s="1" t="n">
        <v>46000</v>
      </c>
      <c r="D276" t="inlineStr">
        <is>
          <t>KALMAR LÄN</t>
        </is>
      </c>
      <c r="E276" t="inlineStr">
        <is>
          <t>VIMMERBY</t>
        </is>
      </c>
      <c r="G276" t="n">
        <v>3.4</v>
      </c>
      <c r="H276" t="n">
        <v>0</v>
      </c>
      <c r="I276" t="n">
        <v>0</v>
      </c>
      <c r="J276" t="n">
        <v>0</v>
      </c>
      <c r="K276" t="n">
        <v>0</v>
      </c>
      <c r="L276" t="n">
        <v>0</v>
      </c>
      <c r="M276" t="n">
        <v>0</v>
      </c>
      <c r="N276" t="n">
        <v>0</v>
      </c>
      <c r="O276" t="n">
        <v>0</v>
      </c>
      <c r="P276" t="n">
        <v>0</v>
      </c>
      <c r="Q276" t="n">
        <v>0</v>
      </c>
      <c r="R276" s="2" t="inlineStr"/>
    </row>
    <row r="277" ht="15" customHeight="1">
      <c r="A277" t="inlineStr">
        <is>
          <t>A 9456-2025</t>
        </is>
      </c>
      <c r="B277" s="1" t="n">
        <v>45715.44159722222</v>
      </c>
      <c r="C277" s="1" t="n">
        <v>46000</v>
      </c>
      <c r="D277" t="inlineStr">
        <is>
          <t>KALMAR LÄN</t>
        </is>
      </c>
      <c r="E277" t="inlineStr">
        <is>
          <t>VIMMERBY</t>
        </is>
      </c>
      <c r="G277" t="n">
        <v>1.5</v>
      </c>
      <c r="H277" t="n">
        <v>0</v>
      </c>
      <c r="I277" t="n">
        <v>0</v>
      </c>
      <c r="J277" t="n">
        <v>0</v>
      </c>
      <c r="K277" t="n">
        <v>0</v>
      </c>
      <c r="L277" t="n">
        <v>0</v>
      </c>
      <c r="M277" t="n">
        <v>0</v>
      </c>
      <c r="N277" t="n">
        <v>0</v>
      </c>
      <c r="O277" t="n">
        <v>0</v>
      </c>
      <c r="P277" t="n">
        <v>0</v>
      </c>
      <c r="Q277" t="n">
        <v>0</v>
      </c>
      <c r="R277" s="2" t="inlineStr"/>
    </row>
    <row r="278" ht="15" customHeight="1">
      <c r="A278" t="inlineStr">
        <is>
          <t>A 6321-2023</t>
        </is>
      </c>
      <c r="B278" s="1" t="n">
        <v>44965.4815162037</v>
      </c>
      <c r="C278" s="1" t="n">
        <v>46000</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4624-2024</t>
        </is>
      </c>
      <c r="B279" s="1" t="n">
        <v>45328.38755787037</v>
      </c>
      <c r="C279" s="1" t="n">
        <v>46000</v>
      </c>
      <c r="D279" t="inlineStr">
        <is>
          <t>KALMAR LÄN</t>
        </is>
      </c>
      <c r="E279" t="inlineStr">
        <is>
          <t>VIMMERBY</t>
        </is>
      </c>
      <c r="G279" t="n">
        <v>1.7</v>
      </c>
      <c r="H279" t="n">
        <v>0</v>
      </c>
      <c r="I279" t="n">
        <v>0</v>
      </c>
      <c r="J279" t="n">
        <v>0</v>
      </c>
      <c r="K279" t="n">
        <v>0</v>
      </c>
      <c r="L279" t="n">
        <v>0</v>
      </c>
      <c r="M279" t="n">
        <v>0</v>
      </c>
      <c r="N279" t="n">
        <v>0</v>
      </c>
      <c r="O279" t="n">
        <v>0</v>
      </c>
      <c r="P279" t="n">
        <v>0</v>
      </c>
      <c r="Q279" t="n">
        <v>0</v>
      </c>
      <c r="R279" s="2" t="inlineStr"/>
    </row>
    <row r="280" ht="15" customHeight="1">
      <c r="A280" t="inlineStr">
        <is>
          <t>A 11111-2023</t>
        </is>
      </c>
      <c r="B280" s="1" t="n">
        <v>44992.4255787037</v>
      </c>
      <c r="C280" s="1" t="n">
        <v>46000</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40730-2024</t>
        </is>
      </c>
      <c r="B281" s="1" t="n">
        <v>45558.44914351852</v>
      </c>
      <c r="C281" s="1" t="n">
        <v>46000</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40925-2025</t>
        </is>
      </c>
      <c r="B282" s="1" t="n">
        <v>45897.64208333333</v>
      </c>
      <c r="C282" s="1" t="n">
        <v>46000</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2157-2024</t>
        </is>
      </c>
      <c r="B283" s="1" t="n">
        <v>45309.59487268519</v>
      </c>
      <c r="C283" s="1" t="n">
        <v>46000</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40921-2025</t>
        </is>
      </c>
      <c r="B284" s="1" t="n">
        <v>45897.63520833333</v>
      </c>
      <c r="C284" s="1" t="n">
        <v>46000</v>
      </c>
      <c r="D284" t="inlineStr">
        <is>
          <t>KALMAR LÄN</t>
        </is>
      </c>
      <c r="E284" t="inlineStr">
        <is>
          <t>VIMMERBY</t>
        </is>
      </c>
      <c r="G284" t="n">
        <v>4.2</v>
      </c>
      <c r="H284" t="n">
        <v>0</v>
      </c>
      <c r="I284" t="n">
        <v>0</v>
      </c>
      <c r="J284" t="n">
        <v>0</v>
      </c>
      <c r="K284" t="n">
        <v>0</v>
      </c>
      <c r="L284" t="n">
        <v>0</v>
      </c>
      <c r="M284" t="n">
        <v>0</v>
      </c>
      <c r="N284" t="n">
        <v>0</v>
      </c>
      <c r="O284" t="n">
        <v>0</v>
      </c>
      <c r="P284" t="n">
        <v>0</v>
      </c>
      <c r="Q284" t="n">
        <v>0</v>
      </c>
      <c r="R284" s="2" t="inlineStr"/>
    </row>
    <row r="285" ht="15" customHeight="1">
      <c r="A285" t="inlineStr">
        <is>
          <t>A 44582-2024</t>
        </is>
      </c>
      <c r="B285" s="1" t="n">
        <v>45574.49298611111</v>
      </c>
      <c r="C285" s="1" t="n">
        <v>46000</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49461-2022</t>
        </is>
      </c>
      <c r="B286" s="1" t="n">
        <v>44861</v>
      </c>
      <c r="C286" s="1" t="n">
        <v>46000</v>
      </c>
      <c r="D286" t="inlineStr">
        <is>
          <t>KALMAR LÄN</t>
        </is>
      </c>
      <c r="E286" t="inlineStr">
        <is>
          <t>VIMMERBY</t>
        </is>
      </c>
      <c r="G286" t="n">
        <v>3.2</v>
      </c>
      <c r="H286" t="n">
        <v>0</v>
      </c>
      <c r="I286" t="n">
        <v>0</v>
      </c>
      <c r="J286" t="n">
        <v>0</v>
      </c>
      <c r="K286" t="n">
        <v>0</v>
      </c>
      <c r="L286" t="n">
        <v>0</v>
      </c>
      <c r="M286" t="n">
        <v>0</v>
      </c>
      <c r="N286" t="n">
        <v>0</v>
      </c>
      <c r="O286" t="n">
        <v>0</v>
      </c>
      <c r="P286" t="n">
        <v>0</v>
      </c>
      <c r="Q286" t="n">
        <v>0</v>
      </c>
      <c r="R286" s="2" t="inlineStr"/>
    </row>
    <row r="287" ht="15" customHeight="1">
      <c r="A287" t="inlineStr">
        <is>
          <t>A 694-2024</t>
        </is>
      </c>
      <c r="B287" s="1" t="n">
        <v>45300.3794212963</v>
      </c>
      <c r="C287" s="1" t="n">
        <v>46000</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15494-2024</t>
        </is>
      </c>
      <c r="B288" s="1" t="n">
        <v>45401.53033564815</v>
      </c>
      <c r="C288" s="1" t="n">
        <v>46000</v>
      </c>
      <c r="D288" t="inlineStr">
        <is>
          <t>KALMAR LÄN</t>
        </is>
      </c>
      <c r="E288" t="inlineStr">
        <is>
          <t>VIMMERBY</t>
        </is>
      </c>
      <c r="G288" t="n">
        <v>3.2</v>
      </c>
      <c r="H288" t="n">
        <v>0</v>
      </c>
      <c r="I288" t="n">
        <v>0</v>
      </c>
      <c r="J288" t="n">
        <v>0</v>
      </c>
      <c r="K288" t="n">
        <v>0</v>
      </c>
      <c r="L288" t="n">
        <v>0</v>
      </c>
      <c r="M288" t="n">
        <v>0</v>
      </c>
      <c r="N288" t="n">
        <v>0</v>
      </c>
      <c r="O288" t="n">
        <v>0</v>
      </c>
      <c r="P288" t="n">
        <v>0</v>
      </c>
      <c r="Q288" t="n">
        <v>0</v>
      </c>
      <c r="R288" s="2" t="inlineStr"/>
    </row>
    <row r="289" ht="15" customHeight="1">
      <c r="A289" t="inlineStr">
        <is>
          <t>A 59598-2023</t>
        </is>
      </c>
      <c r="B289" s="1" t="n">
        <v>45254.62489583333</v>
      </c>
      <c r="C289" s="1" t="n">
        <v>46000</v>
      </c>
      <c r="D289" t="inlineStr">
        <is>
          <t>KALMAR LÄN</t>
        </is>
      </c>
      <c r="E289" t="inlineStr">
        <is>
          <t>VIMMERBY</t>
        </is>
      </c>
      <c r="F289" t="inlineStr">
        <is>
          <t>Övriga Aktiebolag</t>
        </is>
      </c>
      <c r="G289" t="n">
        <v>4</v>
      </c>
      <c r="H289" t="n">
        <v>0</v>
      </c>
      <c r="I289" t="n">
        <v>0</v>
      </c>
      <c r="J289" t="n">
        <v>0</v>
      </c>
      <c r="K289" t="n">
        <v>0</v>
      </c>
      <c r="L289" t="n">
        <v>0</v>
      </c>
      <c r="M289" t="n">
        <v>0</v>
      </c>
      <c r="N289" t="n">
        <v>0</v>
      </c>
      <c r="O289" t="n">
        <v>0</v>
      </c>
      <c r="P289" t="n">
        <v>0</v>
      </c>
      <c r="Q289" t="n">
        <v>0</v>
      </c>
      <c r="R289" s="2" t="inlineStr"/>
    </row>
    <row r="290" ht="15" customHeight="1">
      <c r="A290" t="inlineStr">
        <is>
          <t>A 7944-2024</t>
        </is>
      </c>
      <c r="B290" s="1" t="n">
        <v>45350.53306712963</v>
      </c>
      <c r="C290" s="1" t="n">
        <v>46000</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41224-2025</t>
        </is>
      </c>
      <c r="B291" s="1" t="n">
        <v>45898.58861111111</v>
      </c>
      <c r="C291" s="1" t="n">
        <v>46000</v>
      </c>
      <c r="D291" t="inlineStr">
        <is>
          <t>KALMAR LÄN</t>
        </is>
      </c>
      <c r="E291" t="inlineStr">
        <is>
          <t>VIMMERBY</t>
        </is>
      </c>
      <c r="G291" t="n">
        <v>4.4</v>
      </c>
      <c r="H291" t="n">
        <v>0</v>
      </c>
      <c r="I291" t="n">
        <v>0</v>
      </c>
      <c r="J291" t="n">
        <v>0</v>
      </c>
      <c r="K291" t="n">
        <v>0</v>
      </c>
      <c r="L291" t="n">
        <v>0</v>
      </c>
      <c r="M291" t="n">
        <v>0</v>
      </c>
      <c r="N291" t="n">
        <v>0</v>
      </c>
      <c r="O291" t="n">
        <v>0</v>
      </c>
      <c r="P291" t="n">
        <v>0</v>
      </c>
      <c r="Q291" t="n">
        <v>0</v>
      </c>
      <c r="R291" s="2" t="inlineStr"/>
    </row>
    <row r="292" ht="15" customHeight="1">
      <c r="A292" t="inlineStr">
        <is>
          <t>A 21496-2023</t>
        </is>
      </c>
      <c r="B292" s="1" t="n">
        <v>45063.49936342592</v>
      </c>
      <c r="C292" s="1" t="n">
        <v>46000</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41591-2025</t>
        </is>
      </c>
      <c r="B293" s="1" t="n">
        <v>45901.6327662037</v>
      </c>
      <c r="C293" s="1" t="n">
        <v>46000</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40971-2025</t>
        </is>
      </c>
      <c r="B294" s="1" t="n">
        <v>45897.88836805556</v>
      </c>
      <c r="C294" s="1" t="n">
        <v>46000</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41589-2025</t>
        </is>
      </c>
      <c r="B295" s="1" t="n">
        <v>45901.63219907408</v>
      </c>
      <c r="C295" s="1" t="n">
        <v>46000</v>
      </c>
      <c r="D295" t="inlineStr">
        <is>
          <t>KALMAR LÄN</t>
        </is>
      </c>
      <c r="E295" t="inlineStr">
        <is>
          <t>VIMMERBY</t>
        </is>
      </c>
      <c r="G295" t="n">
        <v>1.7</v>
      </c>
      <c r="H295" t="n">
        <v>0</v>
      </c>
      <c r="I295" t="n">
        <v>0</v>
      </c>
      <c r="J295" t="n">
        <v>0</v>
      </c>
      <c r="K295" t="n">
        <v>0</v>
      </c>
      <c r="L295" t="n">
        <v>0</v>
      </c>
      <c r="M295" t="n">
        <v>0</v>
      </c>
      <c r="N295" t="n">
        <v>0</v>
      </c>
      <c r="O295" t="n">
        <v>0</v>
      </c>
      <c r="P295" t="n">
        <v>0</v>
      </c>
      <c r="Q295" t="n">
        <v>0</v>
      </c>
      <c r="R295" s="2" t="inlineStr"/>
    </row>
    <row r="296" ht="15" customHeight="1">
      <c r="A296" t="inlineStr">
        <is>
          <t>A 40970-2025</t>
        </is>
      </c>
      <c r="B296" s="1" t="n">
        <v>45897.88706018519</v>
      </c>
      <c r="C296" s="1" t="n">
        <v>46000</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40973-2025</t>
        </is>
      </c>
      <c r="B297" s="1" t="n">
        <v>45897.89737268518</v>
      </c>
      <c r="C297" s="1" t="n">
        <v>46000</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58724-2024</t>
        </is>
      </c>
      <c r="B298" s="1" t="n">
        <v>45635.66409722222</v>
      </c>
      <c r="C298" s="1" t="n">
        <v>46000</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25792-2025</t>
        </is>
      </c>
      <c r="B299" s="1" t="n">
        <v>45804.39141203704</v>
      </c>
      <c r="C299" s="1" t="n">
        <v>46000</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26039-2025</t>
        </is>
      </c>
      <c r="B300" s="1" t="n">
        <v>45804.6953587963</v>
      </c>
      <c r="C300" s="1" t="n">
        <v>46000</v>
      </c>
      <c r="D300" t="inlineStr">
        <is>
          <t>KALMAR LÄN</t>
        </is>
      </c>
      <c r="E300" t="inlineStr">
        <is>
          <t>VIMMERBY</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34090-2025</t>
        </is>
      </c>
      <c r="B301" s="1" t="n">
        <v>45845</v>
      </c>
      <c r="C301" s="1" t="n">
        <v>46000</v>
      </c>
      <c r="D301" t="inlineStr">
        <is>
          <t>KALMAR LÄN</t>
        </is>
      </c>
      <c r="E301" t="inlineStr">
        <is>
          <t>VIMMERBY</t>
        </is>
      </c>
      <c r="G301" t="n">
        <v>2.8</v>
      </c>
      <c r="H301" t="n">
        <v>0</v>
      </c>
      <c r="I301" t="n">
        <v>0</v>
      </c>
      <c r="J301" t="n">
        <v>0</v>
      </c>
      <c r="K301" t="n">
        <v>0</v>
      </c>
      <c r="L301" t="n">
        <v>0</v>
      </c>
      <c r="M301" t="n">
        <v>0</v>
      </c>
      <c r="N301" t="n">
        <v>0</v>
      </c>
      <c r="O301" t="n">
        <v>0</v>
      </c>
      <c r="P301" t="n">
        <v>0</v>
      </c>
      <c r="Q301" t="n">
        <v>0</v>
      </c>
      <c r="R301" s="2" t="inlineStr"/>
    </row>
    <row r="302" ht="15" customHeight="1">
      <c r="A302" t="inlineStr">
        <is>
          <t>A 29783-2024</t>
        </is>
      </c>
      <c r="B302" s="1" t="n">
        <v>45485.45778935185</v>
      </c>
      <c r="C302" s="1" t="n">
        <v>46000</v>
      </c>
      <c r="D302" t="inlineStr">
        <is>
          <t>KALMAR LÄN</t>
        </is>
      </c>
      <c r="E302" t="inlineStr">
        <is>
          <t>VIMMERBY</t>
        </is>
      </c>
      <c r="G302" t="n">
        <v>3.1</v>
      </c>
      <c r="H302" t="n">
        <v>0</v>
      </c>
      <c r="I302" t="n">
        <v>0</v>
      </c>
      <c r="J302" t="n">
        <v>0</v>
      </c>
      <c r="K302" t="n">
        <v>0</v>
      </c>
      <c r="L302" t="n">
        <v>0</v>
      </c>
      <c r="M302" t="n">
        <v>0</v>
      </c>
      <c r="N302" t="n">
        <v>0</v>
      </c>
      <c r="O302" t="n">
        <v>0</v>
      </c>
      <c r="P302" t="n">
        <v>0</v>
      </c>
      <c r="Q302" t="n">
        <v>0</v>
      </c>
      <c r="R302" s="2" t="inlineStr"/>
    </row>
    <row r="303" ht="15" customHeight="1">
      <c r="A303" t="inlineStr">
        <is>
          <t>A 26046-2025</t>
        </is>
      </c>
      <c r="B303" s="1" t="n">
        <v>45804.708125</v>
      </c>
      <c r="C303" s="1" t="n">
        <v>46000</v>
      </c>
      <c r="D303" t="inlineStr">
        <is>
          <t>KALMAR LÄN</t>
        </is>
      </c>
      <c r="E303" t="inlineStr">
        <is>
          <t>VIMMERBY</t>
        </is>
      </c>
      <c r="F303" t="inlineStr">
        <is>
          <t>Sveaskog</t>
        </is>
      </c>
      <c r="G303" t="n">
        <v>5.1</v>
      </c>
      <c r="H303" t="n">
        <v>0</v>
      </c>
      <c r="I303" t="n">
        <v>0</v>
      </c>
      <c r="J303" t="n">
        <v>0</v>
      </c>
      <c r="K303" t="n">
        <v>0</v>
      </c>
      <c r="L303" t="n">
        <v>0</v>
      </c>
      <c r="M303" t="n">
        <v>0</v>
      </c>
      <c r="N303" t="n">
        <v>0</v>
      </c>
      <c r="O303" t="n">
        <v>0</v>
      </c>
      <c r="P303" t="n">
        <v>0</v>
      </c>
      <c r="Q303" t="n">
        <v>0</v>
      </c>
      <c r="R303" s="2" t="inlineStr"/>
    </row>
    <row r="304" ht="15" customHeight="1">
      <c r="A304" t="inlineStr">
        <is>
          <t>A 26124-2025</t>
        </is>
      </c>
      <c r="B304" s="1" t="n">
        <v>45805.39247685186</v>
      </c>
      <c r="C304" s="1" t="n">
        <v>46000</v>
      </c>
      <c r="D304" t="inlineStr">
        <is>
          <t>KALMAR LÄN</t>
        </is>
      </c>
      <c r="E304" t="inlineStr">
        <is>
          <t>VIMMERBY</t>
        </is>
      </c>
      <c r="G304" t="n">
        <v>6.6</v>
      </c>
      <c r="H304" t="n">
        <v>0</v>
      </c>
      <c r="I304" t="n">
        <v>0</v>
      </c>
      <c r="J304" t="n">
        <v>0</v>
      </c>
      <c r="K304" t="n">
        <v>0</v>
      </c>
      <c r="L304" t="n">
        <v>0</v>
      </c>
      <c r="M304" t="n">
        <v>0</v>
      </c>
      <c r="N304" t="n">
        <v>0</v>
      </c>
      <c r="O304" t="n">
        <v>0</v>
      </c>
      <c r="P304" t="n">
        <v>0</v>
      </c>
      <c r="Q304" t="n">
        <v>0</v>
      </c>
      <c r="R304" s="2" t="inlineStr"/>
    </row>
    <row r="305" ht="15" customHeight="1">
      <c r="A305" t="inlineStr">
        <is>
          <t>A 26207-2025</t>
        </is>
      </c>
      <c r="B305" s="1" t="n">
        <v>45805.52983796296</v>
      </c>
      <c r="C305" s="1" t="n">
        <v>46000</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25830-2025</t>
        </is>
      </c>
      <c r="B306" s="1" t="n">
        <v>45804.44519675926</v>
      </c>
      <c r="C306" s="1" t="n">
        <v>46000</v>
      </c>
      <c r="D306" t="inlineStr">
        <is>
          <t>KALMAR LÄN</t>
        </is>
      </c>
      <c r="E306" t="inlineStr">
        <is>
          <t>VIMMERBY</t>
        </is>
      </c>
      <c r="G306" t="n">
        <v>4.9</v>
      </c>
      <c r="H306" t="n">
        <v>0</v>
      </c>
      <c r="I306" t="n">
        <v>0</v>
      </c>
      <c r="J306" t="n">
        <v>0</v>
      </c>
      <c r="K306" t="n">
        <v>0</v>
      </c>
      <c r="L306" t="n">
        <v>0</v>
      </c>
      <c r="M306" t="n">
        <v>0</v>
      </c>
      <c r="N306" t="n">
        <v>0</v>
      </c>
      <c r="O306" t="n">
        <v>0</v>
      </c>
      <c r="P306" t="n">
        <v>0</v>
      </c>
      <c r="Q306" t="n">
        <v>0</v>
      </c>
      <c r="R306" s="2" t="inlineStr"/>
    </row>
    <row r="307" ht="15" customHeight="1">
      <c r="A307" t="inlineStr">
        <is>
          <t>A 35198-2023</t>
        </is>
      </c>
      <c r="B307" s="1" t="n">
        <v>45145</v>
      </c>
      <c r="C307" s="1" t="n">
        <v>46000</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26254-2025</t>
        </is>
      </c>
      <c r="B308" s="1" t="n">
        <v>45805</v>
      </c>
      <c r="C308" s="1" t="n">
        <v>46000</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43853-2023</t>
        </is>
      </c>
      <c r="B309" s="1" t="n">
        <v>45187.60813657408</v>
      </c>
      <c r="C309" s="1" t="n">
        <v>46000</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41735-2025</t>
        </is>
      </c>
      <c r="B310" s="1" t="n">
        <v>45902.47164351852</v>
      </c>
      <c r="C310" s="1" t="n">
        <v>46000</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9511-2023</t>
        </is>
      </c>
      <c r="B311" s="1" t="n">
        <v>44981.64725694444</v>
      </c>
      <c r="C311" s="1" t="n">
        <v>46000</v>
      </c>
      <c r="D311" t="inlineStr">
        <is>
          <t>KALMAR LÄN</t>
        </is>
      </c>
      <c r="E311" t="inlineStr">
        <is>
          <t>VIMMERBY</t>
        </is>
      </c>
      <c r="G311" t="n">
        <v>3.5</v>
      </c>
      <c r="H311" t="n">
        <v>0</v>
      </c>
      <c r="I311" t="n">
        <v>0</v>
      </c>
      <c r="J311" t="n">
        <v>0</v>
      </c>
      <c r="K311" t="n">
        <v>0</v>
      </c>
      <c r="L311" t="n">
        <v>0</v>
      </c>
      <c r="M311" t="n">
        <v>0</v>
      </c>
      <c r="N311" t="n">
        <v>0</v>
      </c>
      <c r="O311" t="n">
        <v>0</v>
      </c>
      <c r="P311" t="n">
        <v>0</v>
      </c>
      <c r="Q311" t="n">
        <v>0</v>
      </c>
      <c r="R311" s="2" t="inlineStr"/>
    </row>
    <row r="312" ht="15" customHeight="1">
      <c r="A312" t="inlineStr">
        <is>
          <t>A 38757-2023</t>
        </is>
      </c>
      <c r="B312" s="1" t="n">
        <v>45163.41376157408</v>
      </c>
      <c r="C312" s="1" t="n">
        <v>46000</v>
      </c>
      <c r="D312" t="inlineStr">
        <is>
          <t>KALMAR LÄN</t>
        </is>
      </c>
      <c r="E312" t="inlineStr">
        <is>
          <t>VIMMERBY</t>
        </is>
      </c>
      <c r="G312" t="n">
        <v>2.5</v>
      </c>
      <c r="H312" t="n">
        <v>0</v>
      </c>
      <c r="I312" t="n">
        <v>0</v>
      </c>
      <c r="J312" t="n">
        <v>0</v>
      </c>
      <c r="K312" t="n">
        <v>0</v>
      </c>
      <c r="L312" t="n">
        <v>0</v>
      </c>
      <c r="M312" t="n">
        <v>0</v>
      </c>
      <c r="N312" t="n">
        <v>0</v>
      </c>
      <c r="O312" t="n">
        <v>0</v>
      </c>
      <c r="P312" t="n">
        <v>0</v>
      </c>
      <c r="Q312" t="n">
        <v>0</v>
      </c>
      <c r="R312" s="2" t="inlineStr"/>
    </row>
    <row r="313" ht="15" customHeight="1">
      <c r="A313" t="inlineStr">
        <is>
          <t>A 29973-2023</t>
        </is>
      </c>
      <c r="B313" s="1" t="n">
        <v>45108.703125</v>
      </c>
      <c r="C313" s="1" t="n">
        <v>46000</v>
      </c>
      <c r="D313" t="inlineStr">
        <is>
          <t>KALMAR LÄN</t>
        </is>
      </c>
      <c r="E313" t="inlineStr">
        <is>
          <t>VIMMERBY</t>
        </is>
      </c>
      <c r="G313" t="n">
        <v>4</v>
      </c>
      <c r="H313" t="n">
        <v>0</v>
      </c>
      <c r="I313" t="n">
        <v>0</v>
      </c>
      <c r="J313" t="n">
        <v>0</v>
      </c>
      <c r="K313" t="n">
        <v>0</v>
      </c>
      <c r="L313" t="n">
        <v>0</v>
      </c>
      <c r="M313" t="n">
        <v>0</v>
      </c>
      <c r="N313" t="n">
        <v>0</v>
      </c>
      <c r="O313" t="n">
        <v>0</v>
      </c>
      <c r="P313" t="n">
        <v>0</v>
      </c>
      <c r="Q313" t="n">
        <v>0</v>
      </c>
      <c r="R313" s="2" t="inlineStr"/>
    </row>
    <row r="314" ht="15" customHeight="1">
      <c r="A314" t="inlineStr">
        <is>
          <t>A 64143-2021</t>
        </is>
      </c>
      <c r="B314" s="1" t="n">
        <v>44510.52157407408</v>
      </c>
      <c r="C314" s="1" t="n">
        <v>46000</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73938-2021</t>
        </is>
      </c>
      <c r="B315" s="1" t="n">
        <v>44553</v>
      </c>
      <c r="C315" s="1" t="n">
        <v>46000</v>
      </c>
      <c r="D315" t="inlineStr">
        <is>
          <t>KALMAR LÄN</t>
        </is>
      </c>
      <c r="E315" t="inlineStr">
        <is>
          <t>VIMMERBY</t>
        </is>
      </c>
      <c r="G315" t="n">
        <v>3.2</v>
      </c>
      <c r="H315" t="n">
        <v>0</v>
      </c>
      <c r="I315" t="n">
        <v>0</v>
      </c>
      <c r="J315" t="n">
        <v>0</v>
      </c>
      <c r="K315" t="n">
        <v>0</v>
      </c>
      <c r="L315" t="n">
        <v>0</v>
      </c>
      <c r="M315" t="n">
        <v>0</v>
      </c>
      <c r="N315" t="n">
        <v>0</v>
      </c>
      <c r="O315" t="n">
        <v>0</v>
      </c>
      <c r="P315" t="n">
        <v>0</v>
      </c>
      <c r="Q315" t="n">
        <v>0</v>
      </c>
      <c r="R315" s="2" t="inlineStr"/>
    </row>
    <row r="316" ht="15" customHeight="1">
      <c r="A316" t="inlineStr">
        <is>
          <t>A 42828-2025</t>
        </is>
      </c>
      <c r="B316" s="1" t="n">
        <v>45908.57716435185</v>
      </c>
      <c r="C316" s="1" t="n">
        <v>46000</v>
      </c>
      <c r="D316" t="inlineStr">
        <is>
          <t>KALMAR LÄN</t>
        </is>
      </c>
      <c r="E316" t="inlineStr">
        <is>
          <t>VIMMERBY</t>
        </is>
      </c>
      <c r="G316" t="n">
        <v>5.2</v>
      </c>
      <c r="H316" t="n">
        <v>0</v>
      </c>
      <c r="I316" t="n">
        <v>0</v>
      </c>
      <c r="J316" t="n">
        <v>0</v>
      </c>
      <c r="K316" t="n">
        <v>0</v>
      </c>
      <c r="L316" t="n">
        <v>0</v>
      </c>
      <c r="M316" t="n">
        <v>0</v>
      </c>
      <c r="N316" t="n">
        <v>0</v>
      </c>
      <c r="O316" t="n">
        <v>0</v>
      </c>
      <c r="P316" t="n">
        <v>0</v>
      </c>
      <c r="Q316" t="n">
        <v>0</v>
      </c>
      <c r="R316" s="2" t="inlineStr"/>
    </row>
    <row r="317" ht="15" customHeight="1">
      <c r="A317" t="inlineStr">
        <is>
          <t>A 40076-2021</t>
        </is>
      </c>
      <c r="B317" s="1" t="n">
        <v>44418</v>
      </c>
      <c r="C317" s="1" t="n">
        <v>46000</v>
      </c>
      <c r="D317" t="inlineStr">
        <is>
          <t>KALMAR LÄN</t>
        </is>
      </c>
      <c r="E317" t="inlineStr">
        <is>
          <t>VIMMERBY</t>
        </is>
      </c>
      <c r="G317" t="n">
        <v>2</v>
      </c>
      <c r="H317" t="n">
        <v>0</v>
      </c>
      <c r="I317" t="n">
        <v>0</v>
      </c>
      <c r="J317" t="n">
        <v>0</v>
      </c>
      <c r="K317" t="n">
        <v>0</v>
      </c>
      <c r="L317" t="n">
        <v>0</v>
      </c>
      <c r="M317" t="n">
        <v>0</v>
      </c>
      <c r="N317" t="n">
        <v>0</v>
      </c>
      <c r="O317" t="n">
        <v>0</v>
      </c>
      <c r="P317" t="n">
        <v>0</v>
      </c>
      <c r="Q317" t="n">
        <v>0</v>
      </c>
      <c r="R317" s="2" t="inlineStr"/>
    </row>
    <row r="318" ht="15" customHeight="1">
      <c r="A318" t="inlineStr">
        <is>
          <t>A 42794-2025</t>
        </is>
      </c>
      <c r="B318" s="1" t="n">
        <v>45908</v>
      </c>
      <c r="C318" s="1" t="n">
        <v>46000</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42820-2025</t>
        </is>
      </c>
      <c r="B319" s="1" t="n">
        <v>45908</v>
      </c>
      <c r="C319" s="1" t="n">
        <v>46000</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50648-2023</t>
        </is>
      </c>
      <c r="B320" s="1" t="n">
        <v>45217.47834490741</v>
      </c>
      <c r="C320" s="1" t="n">
        <v>46000</v>
      </c>
      <c r="D320" t="inlineStr">
        <is>
          <t>KALMAR LÄN</t>
        </is>
      </c>
      <c r="E320" t="inlineStr">
        <is>
          <t>VIMMERBY</t>
        </is>
      </c>
      <c r="G320" t="n">
        <v>1.6</v>
      </c>
      <c r="H320" t="n">
        <v>0</v>
      </c>
      <c r="I320" t="n">
        <v>0</v>
      </c>
      <c r="J320" t="n">
        <v>0</v>
      </c>
      <c r="K320" t="n">
        <v>0</v>
      </c>
      <c r="L320" t="n">
        <v>0</v>
      </c>
      <c r="M320" t="n">
        <v>0</v>
      </c>
      <c r="N320" t="n">
        <v>0</v>
      </c>
      <c r="O320" t="n">
        <v>0</v>
      </c>
      <c r="P320" t="n">
        <v>0</v>
      </c>
      <c r="Q320" t="n">
        <v>0</v>
      </c>
      <c r="R320" s="2" t="inlineStr"/>
    </row>
    <row r="321" ht="15" customHeight="1">
      <c r="A321" t="inlineStr">
        <is>
          <t>A 529-2022</t>
        </is>
      </c>
      <c r="B321" s="1" t="n">
        <v>44566</v>
      </c>
      <c r="C321" s="1" t="n">
        <v>46000</v>
      </c>
      <c r="D321" t="inlineStr">
        <is>
          <t>KALMAR LÄN</t>
        </is>
      </c>
      <c r="E321" t="inlineStr">
        <is>
          <t>VIMMERBY</t>
        </is>
      </c>
      <c r="G321" t="n">
        <v>1.5</v>
      </c>
      <c r="H321" t="n">
        <v>0</v>
      </c>
      <c r="I321" t="n">
        <v>0</v>
      </c>
      <c r="J321" t="n">
        <v>0</v>
      </c>
      <c r="K321" t="n">
        <v>0</v>
      </c>
      <c r="L321" t="n">
        <v>0</v>
      </c>
      <c r="M321" t="n">
        <v>0</v>
      </c>
      <c r="N321" t="n">
        <v>0</v>
      </c>
      <c r="O321" t="n">
        <v>0</v>
      </c>
      <c r="P321" t="n">
        <v>0</v>
      </c>
      <c r="Q321" t="n">
        <v>0</v>
      </c>
      <c r="R321" s="2" t="inlineStr"/>
    </row>
    <row r="322" ht="15" customHeight="1">
      <c r="A322" t="inlineStr">
        <is>
          <t>A 58318-2021</t>
        </is>
      </c>
      <c r="B322" s="1" t="n">
        <v>44488.35878472222</v>
      </c>
      <c r="C322" s="1" t="n">
        <v>46000</v>
      </c>
      <c r="D322" t="inlineStr">
        <is>
          <t>KALMAR LÄN</t>
        </is>
      </c>
      <c r="E322" t="inlineStr">
        <is>
          <t>VIMMERBY</t>
        </is>
      </c>
      <c r="G322" t="n">
        <v>4</v>
      </c>
      <c r="H322" t="n">
        <v>0</v>
      </c>
      <c r="I322" t="n">
        <v>0</v>
      </c>
      <c r="J322" t="n">
        <v>0</v>
      </c>
      <c r="K322" t="n">
        <v>0</v>
      </c>
      <c r="L322" t="n">
        <v>0</v>
      </c>
      <c r="M322" t="n">
        <v>0</v>
      </c>
      <c r="N322" t="n">
        <v>0</v>
      </c>
      <c r="O322" t="n">
        <v>0</v>
      </c>
      <c r="P322" t="n">
        <v>0</v>
      </c>
      <c r="Q322" t="n">
        <v>0</v>
      </c>
      <c r="R322" s="2" t="inlineStr"/>
    </row>
    <row r="323" ht="15" customHeight="1">
      <c r="A323" t="inlineStr">
        <is>
          <t>A 89-2023</t>
        </is>
      </c>
      <c r="B323" s="1" t="n">
        <v>44918</v>
      </c>
      <c r="C323" s="1" t="n">
        <v>46000</v>
      </c>
      <c r="D323" t="inlineStr">
        <is>
          <t>KALMAR LÄN</t>
        </is>
      </c>
      <c r="E323" t="inlineStr">
        <is>
          <t>VIMMERBY</t>
        </is>
      </c>
      <c r="G323" t="n">
        <v>16.1</v>
      </c>
      <c r="H323" t="n">
        <v>0</v>
      </c>
      <c r="I323" t="n">
        <v>0</v>
      </c>
      <c r="J323" t="n">
        <v>0</v>
      </c>
      <c r="K323" t="n">
        <v>0</v>
      </c>
      <c r="L323" t="n">
        <v>0</v>
      </c>
      <c r="M323" t="n">
        <v>0</v>
      </c>
      <c r="N323" t="n">
        <v>0</v>
      </c>
      <c r="O323" t="n">
        <v>0</v>
      </c>
      <c r="P323" t="n">
        <v>0</v>
      </c>
      <c r="Q323" t="n">
        <v>0</v>
      </c>
      <c r="R323" s="2" t="inlineStr"/>
    </row>
    <row r="324" ht="15" customHeight="1">
      <c r="A324" t="inlineStr">
        <is>
          <t>A 23088-2024</t>
        </is>
      </c>
      <c r="B324" s="1" t="n">
        <v>45450.51092592593</v>
      </c>
      <c r="C324" s="1" t="n">
        <v>46000</v>
      </c>
      <c r="D324" t="inlineStr">
        <is>
          <t>KALMAR LÄN</t>
        </is>
      </c>
      <c r="E324" t="inlineStr">
        <is>
          <t>VIMMERBY</t>
        </is>
      </c>
      <c r="G324" t="n">
        <v>1.9</v>
      </c>
      <c r="H324" t="n">
        <v>0</v>
      </c>
      <c r="I324" t="n">
        <v>0</v>
      </c>
      <c r="J324" t="n">
        <v>0</v>
      </c>
      <c r="K324" t="n">
        <v>0</v>
      </c>
      <c r="L324" t="n">
        <v>0</v>
      </c>
      <c r="M324" t="n">
        <v>0</v>
      </c>
      <c r="N324" t="n">
        <v>0</v>
      </c>
      <c r="O324" t="n">
        <v>0</v>
      </c>
      <c r="P324" t="n">
        <v>0</v>
      </c>
      <c r="Q324" t="n">
        <v>0</v>
      </c>
      <c r="R324" s="2" t="inlineStr"/>
    </row>
    <row r="325" ht="15" customHeight="1">
      <c r="A325" t="inlineStr">
        <is>
          <t>A 38851-2023</t>
        </is>
      </c>
      <c r="B325" s="1" t="n">
        <v>45163</v>
      </c>
      <c r="C325" s="1" t="n">
        <v>46000</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10759-2023</t>
        </is>
      </c>
      <c r="B326" s="1" t="n">
        <v>44988</v>
      </c>
      <c r="C326" s="1" t="n">
        <v>46000</v>
      </c>
      <c r="D326" t="inlineStr">
        <is>
          <t>KALMAR LÄN</t>
        </is>
      </c>
      <c r="E326" t="inlineStr">
        <is>
          <t>VIMMERBY</t>
        </is>
      </c>
      <c r="G326" t="n">
        <v>0.4</v>
      </c>
      <c r="H326" t="n">
        <v>0</v>
      </c>
      <c r="I326" t="n">
        <v>0</v>
      </c>
      <c r="J326" t="n">
        <v>0</v>
      </c>
      <c r="K326" t="n">
        <v>0</v>
      </c>
      <c r="L326" t="n">
        <v>0</v>
      </c>
      <c r="M326" t="n">
        <v>0</v>
      </c>
      <c r="N326" t="n">
        <v>0</v>
      </c>
      <c r="O326" t="n">
        <v>0</v>
      </c>
      <c r="P326" t="n">
        <v>0</v>
      </c>
      <c r="Q326" t="n">
        <v>0</v>
      </c>
      <c r="R326" s="2" t="inlineStr"/>
    </row>
    <row r="327" ht="15" customHeight="1">
      <c r="A327" t="inlineStr">
        <is>
          <t>A 63583-2023</t>
        </is>
      </c>
      <c r="B327" s="1" t="n">
        <v>45275.41833333333</v>
      </c>
      <c r="C327" s="1" t="n">
        <v>46000</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34060-2025</t>
        </is>
      </c>
      <c r="B328" s="1" t="n">
        <v>45845.42015046296</v>
      </c>
      <c r="C328" s="1" t="n">
        <v>46000</v>
      </c>
      <c r="D328" t="inlineStr">
        <is>
          <t>KALMAR LÄN</t>
        </is>
      </c>
      <c r="E328" t="inlineStr">
        <is>
          <t>VIMMERBY</t>
        </is>
      </c>
      <c r="G328" t="n">
        <v>5.7</v>
      </c>
      <c r="H328" t="n">
        <v>0</v>
      </c>
      <c r="I328" t="n">
        <v>0</v>
      </c>
      <c r="J328" t="n">
        <v>0</v>
      </c>
      <c r="K328" t="n">
        <v>0</v>
      </c>
      <c r="L328" t="n">
        <v>0</v>
      </c>
      <c r="M328" t="n">
        <v>0</v>
      </c>
      <c r="N328" t="n">
        <v>0</v>
      </c>
      <c r="O328" t="n">
        <v>0</v>
      </c>
      <c r="P328" t="n">
        <v>0</v>
      </c>
      <c r="Q328" t="n">
        <v>0</v>
      </c>
      <c r="R328" s="2" t="inlineStr"/>
    </row>
    <row r="329" ht="15" customHeight="1">
      <c r="A329" t="inlineStr">
        <is>
          <t>A 40079-2023</t>
        </is>
      </c>
      <c r="B329" s="1" t="n">
        <v>45168.89298611111</v>
      </c>
      <c r="C329" s="1" t="n">
        <v>46000</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43774-2023</t>
        </is>
      </c>
      <c r="B330" s="1" t="n">
        <v>45187</v>
      </c>
      <c r="C330" s="1" t="n">
        <v>46000</v>
      </c>
      <c r="D330" t="inlineStr">
        <is>
          <t>KALMAR LÄN</t>
        </is>
      </c>
      <c r="E330" t="inlineStr">
        <is>
          <t>VIMMERBY</t>
        </is>
      </c>
      <c r="G330" t="n">
        <v>3.4</v>
      </c>
      <c r="H330" t="n">
        <v>0</v>
      </c>
      <c r="I330" t="n">
        <v>0</v>
      </c>
      <c r="J330" t="n">
        <v>0</v>
      </c>
      <c r="K330" t="n">
        <v>0</v>
      </c>
      <c r="L330" t="n">
        <v>0</v>
      </c>
      <c r="M330" t="n">
        <v>0</v>
      </c>
      <c r="N330" t="n">
        <v>0</v>
      </c>
      <c r="O330" t="n">
        <v>0</v>
      </c>
      <c r="P330" t="n">
        <v>0</v>
      </c>
      <c r="Q330" t="n">
        <v>0</v>
      </c>
      <c r="R330" s="2" t="inlineStr"/>
    </row>
    <row r="331" ht="15" customHeight="1">
      <c r="A331" t="inlineStr">
        <is>
          <t>A 29616-2022</t>
        </is>
      </c>
      <c r="B331" s="1" t="n">
        <v>44754</v>
      </c>
      <c r="C331" s="1" t="n">
        <v>46000</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43465-2025</t>
        </is>
      </c>
      <c r="B332" s="1" t="n">
        <v>45911.47138888889</v>
      </c>
      <c r="C332" s="1" t="n">
        <v>46000</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43617-2025</t>
        </is>
      </c>
      <c r="B333" s="1" t="n">
        <v>45911.67798611111</v>
      </c>
      <c r="C333" s="1" t="n">
        <v>46000</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39578-2024</t>
        </is>
      </c>
      <c r="B334" s="1" t="n">
        <v>45552.36484953704</v>
      </c>
      <c r="C334" s="1" t="n">
        <v>46000</v>
      </c>
      <c r="D334" t="inlineStr">
        <is>
          <t>KALMAR LÄN</t>
        </is>
      </c>
      <c r="E334" t="inlineStr">
        <is>
          <t>VIMMERBY</t>
        </is>
      </c>
      <c r="G334" t="n">
        <v>1.5</v>
      </c>
      <c r="H334" t="n">
        <v>0</v>
      </c>
      <c r="I334" t="n">
        <v>0</v>
      </c>
      <c r="J334" t="n">
        <v>0</v>
      </c>
      <c r="K334" t="n">
        <v>0</v>
      </c>
      <c r="L334" t="n">
        <v>0</v>
      </c>
      <c r="M334" t="n">
        <v>0</v>
      </c>
      <c r="N334" t="n">
        <v>0</v>
      </c>
      <c r="O334" t="n">
        <v>0</v>
      </c>
      <c r="P334" t="n">
        <v>0</v>
      </c>
      <c r="Q334" t="n">
        <v>0</v>
      </c>
      <c r="R334" s="2" t="inlineStr"/>
    </row>
    <row r="335" ht="15" customHeight="1">
      <c r="A335" t="inlineStr">
        <is>
          <t>A 24707-2024</t>
        </is>
      </c>
      <c r="B335" s="1" t="n">
        <v>45460.62172453704</v>
      </c>
      <c r="C335" s="1" t="n">
        <v>46000</v>
      </c>
      <c r="D335" t="inlineStr">
        <is>
          <t>KALMAR LÄN</t>
        </is>
      </c>
      <c r="E335" t="inlineStr">
        <is>
          <t>VIMMERBY</t>
        </is>
      </c>
      <c r="G335" t="n">
        <v>1.7</v>
      </c>
      <c r="H335" t="n">
        <v>0</v>
      </c>
      <c r="I335" t="n">
        <v>0</v>
      </c>
      <c r="J335" t="n">
        <v>0</v>
      </c>
      <c r="K335" t="n">
        <v>0</v>
      </c>
      <c r="L335" t="n">
        <v>0</v>
      </c>
      <c r="M335" t="n">
        <v>0</v>
      </c>
      <c r="N335" t="n">
        <v>0</v>
      </c>
      <c r="O335" t="n">
        <v>0</v>
      </c>
      <c r="P335" t="n">
        <v>0</v>
      </c>
      <c r="Q335" t="n">
        <v>0</v>
      </c>
      <c r="R335" s="2" t="inlineStr"/>
    </row>
    <row r="336" ht="15" customHeight="1">
      <c r="A336" t="inlineStr">
        <is>
          <t>A 28286-2025</t>
        </is>
      </c>
      <c r="B336" s="1" t="n">
        <v>45818.58993055556</v>
      </c>
      <c r="C336" s="1" t="n">
        <v>46000</v>
      </c>
      <c r="D336" t="inlineStr">
        <is>
          <t>KALMAR LÄN</t>
        </is>
      </c>
      <c r="E336" t="inlineStr">
        <is>
          <t>VIMMERBY</t>
        </is>
      </c>
      <c r="F336" t="inlineStr">
        <is>
          <t>Sveaskog</t>
        </is>
      </c>
      <c r="G336" t="n">
        <v>8</v>
      </c>
      <c r="H336" t="n">
        <v>0</v>
      </c>
      <c r="I336" t="n">
        <v>0</v>
      </c>
      <c r="J336" t="n">
        <v>0</v>
      </c>
      <c r="K336" t="n">
        <v>0</v>
      </c>
      <c r="L336" t="n">
        <v>0</v>
      </c>
      <c r="M336" t="n">
        <v>0</v>
      </c>
      <c r="N336" t="n">
        <v>0</v>
      </c>
      <c r="O336" t="n">
        <v>0</v>
      </c>
      <c r="P336" t="n">
        <v>0</v>
      </c>
      <c r="Q336" t="n">
        <v>0</v>
      </c>
      <c r="R336" s="2" t="inlineStr"/>
    </row>
    <row r="337" ht="15" customHeight="1">
      <c r="A337" t="inlineStr">
        <is>
          <t>A 28282-2025</t>
        </is>
      </c>
      <c r="B337" s="1" t="n">
        <v>45818.58769675926</v>
      </c>
      <c r="C337" s="1" t="n">
        <v>46000</v>
      </c>
      <c r="D337" t="inlineStr">
        <is>
          <t>KALMAR LÄN</t>
        </is>
      </c>
      <c r="E337" t="inlineStr">
        <is>
          <t>VIMMERBY</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28294-2025</t>
        </is>
      </c>
      <c r="B338" s="1" t="n">
        <v>45818.595625</v>
      </c>
      <c r="C338" s="1" t="n">
        <v>46000</v>
      </c>
      <c r="D338" t="inlineStr">
        <is>
          <t>KALMAR LÄN</t>
        </is>
      </c>
      <c r="E338" t="inlineStr">
        <is>
          <t>VIMMERBY</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28290-2025</t>
        </is>
      </c>
      <c r="B339" s="1" t="n">
        <v>45818.59261574074</v>
      </c>
      <c r="C339" s="1" t="n">
        <v>46000</v>
      </c>
      <c r="D339" t="inlineStr">
        <is>
          <t>KALMAR LÄN</t>
        </is>
      </c>
      <c r="E339" t="inlineStr">
        <is>
          <t>VIMMERBY</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31056-2022</t>
        </is>
      </c>
      <c r="B340" s="1" t="n">
        <v>44769.45805555556</v>
      </c>
      <c r="C340" s="1" t="n">
        <v>46000</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33383-2023</t>
        </is>
      </c>
      <c r="B341" s="1" t="n">
        <v>45128.58414351852</v>
      </c>
      <c r="C341" s="1" t="n">
        <v>46000</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44095-2025</t>
        </is>
      </c>
      <c r="B342" s="1" t="n">
        <v>45915.56430555556</v>
      </c>
      <c r="C342" s="1" t="n">
        <v>46000</v>
      </c>
      <c r="D342" t="inlineStr">
        <is>
          <t>KALMAR LÄN</t>
        </is>
      </c>
      <c r="E342" t="inlineStr">
        <is>
          <t>VIMMERBY</t>
        </is>
      </c>
      <c r="G342" t="n">
        <v>2.4</v>
      </c>
      <c r="H342" t="n">
        <v>0</v>
      </c>
      <c r="I342" t="n">
        <v>0</v>
      </c>
      <c r="J342" t="n">
        <v>0</v>
      </c>
      <c r="K342" t="n">
        <v>0</v>
      </c>
      <c r="L342" t="n">
        <v>0</v>
      </c>
      <c r="M342" t="n">
        <v>0</v>
      </c>
      <c r="N342" t="n">
        <v>0</v>
      </c>
      <c r="O342" t="n">
        <v>0</v>
      </c>
      <c r="P342" t="n">
        <v>0</v>
      </c>
      <c r="Q342" t="n">
        <v>0</v>
      </c>
      <c r="R342" s="2" t="inlineStr"/>
    </row>
    <row r="343" ht="15" customHeight="1">
      <c r="A343" t="inlineStr">
        <is>
          <t>A 28280-2025</t>
        </is>
      </c>
      <c r="B343" s="1" t="n">
        <v>45818.5862037037</v>
      </c>
      <c r="C343" s="1" t="n">
        <v>46000</v>
      </c>
      <c r="D343" t="inlineStr">
        <is>
          <t>KALMAR LÄN</t>
        </is>
      </c>
      <c r="E343" t="inlineStr">
        <is>
          <t>VIMMERBY</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40828-2023</t>
        </is>
      </c>
      <c r="B344" s="1" t="n">
        <v>45171.96248842592</v>
      </c>
      <c r="C344" s="1" t="n">
        <v>46000</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61861-2024</t>
        </is>
      </c>
      <c r="B345" s="1" t="n">
        <v>45650.37370370371</v>
      </c>
      <c r="C345" s="1" t="n">
        <v>46000</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28620-2025</t>
        </is>
      </c>
      <c r="B346" s="1" t="n">
        <v>45819.61060185185</v>
      </c>
      <c r="C346" s="1" t="n">
        <v>46000</v>
      </c>
      <c r="D346" t="inlineStr">
        <is>
          <t>KALMAR LÄN</t>
        </is>
      </c>
      <c r="E346" t="inlineStr">
        <is>
          <t>VIMMERBY</t>
        </is>
      </c>
      <c r="G346" t="n">
        <v>5.6</v>
      </c>
      <c r="H346" t="n">
        <v>0</v>
      </c>
      <c r="I346" t="n">
        <v>0</v>
      </c>
      <c r="J346" t="n">
        <v>0</v>
      </c>
      <c r="K346" t="n">
        <v>0</v>
      </c>
      <c r="L346" t="n">
        <v>0</v>
      </c>
      <c r="M346" t="n">
        <v>0</v>
      </c>
      <c r="N346" t="n">
        <v>0</v>
      </c>
      <c r="O346" t="n">
        <v>0</v>
      </c>
      <c r="P346" t="n">
        <v>0</v>
      </c>
      <c r="Q346" t="n">
        <v>0</v>
      </c>
      <c r="R346" s="2" t="inlineStr"/>
    </row>
    <row r="347" ht="15" customHeight="1">
      <c r="A347" t="inlineStr">
        <is>
          <t>A 44091-2025</t>
        </is>
      </c>
      <c r="B347" s="1" t="n">
        <v>45915.55950231481</v>
      </c>
      <c r="C347" s="1" t="n">
        <v>46000</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8650-2022</t>
        </is>
      </c>
      <c r="B348" s="1" t="n">
        <v>44613</v>
      </c>
      <c r="C348" s="1" t="n">
        <v>46000</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33340-2023</t>
        </is>
      </c>
      <c r="B349" s="1" t="n">
        <v>45128.37305555555</v>
      </c>
      <c r="C349" s="1" t="n">
        <v>46000</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44423-2023</t>
        </is>
      </c>
      <c r="B350" s="1" t="n">
        <v>45189</v>
      </c>
      <c r="C350" s="1" t="n">
        <v>46000</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28712-2025</t>
        </is>
      </c>
      <c r="B351" s="1" t="n">
        <v>45820.33708333333</v>
      </c>
      <c r="C351" s="1" t="n">
        <v>46000</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28714-2025</t>
        </is>
      </c>
      <c r="B352" s="1" t="n">
        <v>45820.34128472222</v>
      </c>
      <c r="C352" s="1" t="n">
        <v>46000</v>
      </c>
      <c r="D352" t="inlineStr">
        <is>
          <t>KALMAR LÄN</t>
        </is>
      </c>
      <c r="E352" t="inlineStr">
        <is>
          <t>VIMMERBY</t>
        </is>
      </c>
      <c r="G352" t="n">
        <v>1.8</v>
      </c>
      <c r="H352" t="n">
        <v>0</v>
      </c>
      <c r="I352" t="n">
        <v>0</v>
      </c>
      <c r="J352" t="n">
        <v>0</v>
      </c>
      <c r="K352" t="n">
        <v>0</v>
      </c>
      <c r="L352" t="n">
        <v>0</v>
      </c>
      <c r="M352" t="n">
        <v>0</v>
      </c>
      <c r="N352" t="n">
        <v>0</v>
      </c>
      <c r="O352" t="n">
        <v>0</v>
      </c>
      <c r="P352" t="n">
        <v>0</v>
      </c>
      <c r="Q352" t="n">
        <v>0</v>
      </c>
      <c r="R352" s="2" t="inlineStr"/>
    </row>
    <row r="353" ht="15" customHeight="1">
      <c r="A353" t="inlineStr">
        <is>
          <t>A 37323-2024</t>
        </is>
      </c>
      <c r="B353" s="1" t="n">
        <v>45540.50098379629</v>
      </c>
      <c r="C353" s="1" t="n">
        <v>46000</v>
      </c>
      <c r="D353" t="inlineStr">
        <is>
          <t>KALMAR LÄN</t>
        </is>
      </c>
      <c r="E353" t="inlineStr">
        <is>
          <t>VIMMERBY</t>
        </is>
      </c>
      <c r="G353" t="n">
        <v>1.2</v>
      </c>
      <c r="H353" t="n">
        <v>0</v>
      </c>
      <c r="I353" t="n">
        <v>0</v>
      </c>
      <c r="J353" t="n">
        <v>0</v>
      </c>
      <c r="K353" t="n">
        <v>0</v>
      </c>
      <c r="L353" t="n">
        <v>0</v>
      </c>
      <c r="M353" t="n">
        <v>0</v>
      </c>
      <c r="N353" t="n">
        <v>0</v>
      </c>
      <c r="O353" t="n">
        <v>0</v>
      </c>
      <c r="P353" t="n">
        <v>0</v>
      </c>
      <c r="Q353" t="n">
        <v>0</v>
      </c>
      <c r="R353" s="2" t="inlineStr"/>
    </row>
    <row r="354" ht="15" customHeight="1">
      <c r="A354" t="inlineStr">
        <is>
          <t>A 53393-2025</t>
        </is>
      </c>
      <c r="B354" s="1" t="n">
        <v>45959.55284722222</v>
      </c>
      <c r="C354" s="1" t="n">
        <v>46000</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53398-2025</t>
        </is>
      </c>
      <c r="B355" s="1" t="n">
        <v>45959.56247685185</v>
      </c>
      <c r="C355" s="1" t="n">
        <v>46000</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28713-2025</t>
        </is>
      </c>
      <c r="B356" s="1" t="n">
        <v>45820.33930555556</v>
      </c>
      <c r="C356" s="1" t="n">
        <v>46000</v>
      </c>
      <c r="D356" t="inlineStr">
        <is>
          <t>KALMAR LÄN</t>
        </is>
      </c>
      <c r="E356" t="inlineStr">
        <is>
          <t>VIMMERBY</t>
        </is>
      </c>
      <c r="G356" t="n">
        <v>2.3</v>
      </c>
      <c r="H356" t="n">
        <v>0</v>
      </c>
      <c r="I356" t="n">
        <v>0</v>
      </c>
      <c r="J356" t="n">
        <v>0</v>
      </c>
      <c r="K356" t="n">
        <v>0</v>
      </c>
      <c r="L356" t="n">
        <v>0</v>
      </c>
      <c r="M356" t="n">
        <v>0</v>
      </c>
      <c r="N356" t="n">
        <v>0</v>
      </c>
      <c r="O356" t="n">
        <v>0</v>
      </c>
      <c r="P356" t="n">
        <v>0</v>
      </c>
      <c r="Q356" t="n">
        <v>0</v>
      </c>
      <c r="R356" s="2" t="inlineStr"/>
    </row>
    <row r="357" ht="15" customHeight="1">
      <c r="A357" t="inlineStr">
        <is>
          <t>A 44517-2025</t>
        </is>
      </c>
      <c r="B357" s="1" t="n">
        <v>45916.7103587963</v>
      </c>
      <c r="C357" s="1" t="n">
        <v>46000</v>
      </c>
      <c r="D357" t="inlineStr">
        <is>
          <t>KALMAR LÄN</t>
        </is>
      </c>
      <c r="E357" t="inlineStr">
        <is>
          <t>VIMMERBY</t>
        </is>
      </c>
      <c r="G357" t="n">
        <v>0.9</v>
      </c>
      <c r="H357" t="n">
        <v>0</v>
      </c>
      <c r="I357" t="n">
        <v>0</v>
      </c>
      <c r="J357" t="n">
        <v>0</v>
      </c>
      <c r="K357" t="n">
        <v>0</v>
      </c>
      <c r="L357" t="n">
        <v>0</v>
      </c>
      <c r="M357" t="n">
        <v>0</v>
      </c>
      <c r="N357" t="n">
        <v>0</v>
      </c>
      <c r="O357" t="n">
        <v>0</v>
      </c>
      <c r="P357" t="n">
        <v>0</v>
      </c>
      <c r="Q357" t="n">
        <v>0</v>
      </c>
      <c r="R357" s="2" t="inlineStr"/>
    </row>
    <row r="358" ht="15" customHeight="1">
      <c r="A358" t="inlineStr">
        <is>
          <t>A 44742-2025</t>
        </is>
      </c>
      <c r="B358" s="1" t="n">
        <v>45917.67054398148</v>
      </c>
      <c r="C358" s="1" t="n">
        <v>46000</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44329-2025</t>
        </is>
      </c>
      <c r="B359" s="1" t="n">
        <v>45916.41019675926</v>
      </c>
      <c r="C359" s="1" t="n">
        <v>46000</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41896-2025</t>
        </is>
      </c>
      <c r="B360" s="1" t="n">
        <v>45903.38800925926</v>
      </c>
      <c r="C360" s="1" t="n">
        <v>46000</v>
      </c>
      <c r="D360" t="inlineStr">
        <is>
          <t>KALMAR LÄN</t>
        </is>
      </c>
      <c r="E360" t="inlineStr">
        <is>
          <t>VIMMERBY</t>
        </is>
      </c>
      <c r="G360" t="n">
        <v>2.9</v>
      </c>
      <c r="H360" t="n">
        <v>0</v>
      </c>
      <c r="I360" t="n">
        <v>0</v>
      </c>
      <c r="J360" t="n">
        <v>0</v>
      </c>
      <c r="K360" t="n">
        <v>0</v>
      </c>
      <c r="L360" t="n">
        <v>0</v>
      </c>
      <c r="M360" t="n">
        <v>0</v>
      </c>
      <c r="N360" t="n">
        <v>0</v>
      </c>
      <c r="O360" t="n">
        <v>0</v>
      </c>
      <c r="P360" t="n">
        <v>0</v>
      </c>
      <c r="Q360" t="n">
        <v>0</v>
      </c>
      <c r="R360" s="2" t="inlineStr"/>
    </row>
    <row r="361" ht="15" customHeight="1">
      <c r="A361" t="inlineStr">
        <is>
          <t>A 29737-2025</t>
        </is>
      </c>
      <c r="B361" s="1" t="n">
        <v>45825.58672453704</v>
      </c>
      <c r="C361" s="1" t="n">
        <v>46000</v>
      </c>
      <c r="D361" t="inlineStr">
        <is>
          <t>KALMAR LÄN</t>
        </is>
      </c>
      <c r="E361" t="inlineStr">
        <is>
          <t>VIMMERBY</t>
        </is>
      </c>
      <c r="G361" t="n">
        <v>1.2</v>
      </c>
      <c r="H361" t="n">
        <v>0</v>
      </c>
      <c r="I361" t="n">
        <v>0</v>
      </c>
      <c r="J361" t="n">
        <v>0</v>
      </c>
      <c r="K361" t="n">
        <v>0</v>
      </c>
      <c r="L361" t="n">
        <v>0</v>
      </c>
      <c r="M361" t="n">
        <v>0</v>
      </c>
      <c r="N361" t="n">
        <v>0</v>
      </c>
      <c r="O361" t="n">
        <v>0</v>
      </c>
      <c r="P361" t="n">
        <v>0</v>
      </c>
      <c r="Q361" t="n">
        <v>0</v>
      </c>
      <c r="R361" s="2" t="inlineStr"/>
    </row>
    <row r="362" ht="15" customHeight="1">
      <c r="A362" t="inlineStr">
        <is>
          <t>A 29727-2025</t>
        </is>
      </c>
      <c r="B362" s="1" t="n">
        <v>45825.5796875</v>
      </c>
      <c r="C362" s="1" t="n">
        <v>46000</v>
      </c>
      <c r="D362" t="inlineStr">
        <is>
          <t>KALMAR LÄN</t>
        </is>
      </c>
      <c r="E362" t="inlineStr">
        <is>
          <t>VIMMERBY</t>
        </is>
      </c>
      <c r="G362" t="n">
        <v>1.3</v>
      </c>
      <c r="H362" t="n">
        <v>0</v>
      </c>
      <c r="I362" t="n">
        <v>0</v>
      </c>
      <c r="J362" t="n">
        <v>0</v>
      </c>
      <c r="K362" t="n">
        <v>0</v>
      </c>
      <c r="L362" t="n">
        <v>0</v>
      </c>
      <c r="M362" t="n">
        <v>0</v>
      </c>
      <c r="N362" t="n">
        <v>0</v>
      </c>
      <c r="O362" t="n">
        <v>0</v>
      </c>
      <c r="P362" t="n">
        <v>0</v>
      </c>
      <c r="Q362" t="n">
        <v>0</v>
      </c>
      <c r="R362" s="2" t="inlineStr"/>
    </row>
    <row r="363" ht="15" customHeight="1">
      <c r="A363" t="inlineStr">
        <is>
          <t>A 53413-2025</t>
        </is>
      </c>
      <c r="B363" s="1" t="n">
        <v>45959.5787037037</v>
      </c>
      <c r="C363" s="1" t="n">
        <v>46000</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18501-2024</t>
        </is>
      </c>
      <c r="B364" s="1" t="n">
        <v>45425.57538194444</v>
      </c>
      <c r="C364" s="1" t="n">
        <v>46000</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53397-2025</t>
        </is>
      </c>
      <c r="B365" s="1" t="n">
        <v>45959.55918981481</v>
      </c>
      <c r="C365" s="1" t="n">
        <v>46000</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53220-2025</t>
        </is>
      </c>
      <c r="B366" s="1" t="n">
        <v>45958.60146990741</v>
      </c>
      <c r="C366" s="1" t="n">
        <v>46000</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53396-2025</t>
        </is>
      </c>
      <c r="B367" s="1" t="n">
        <v>45959.55577546296</v>
      </c>
      <c r="C367" s="1" t="n">
        <v>46000</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53416-2025</t>
        </is>
      </c>
      <c r="B368" s="1" t="n">
        <v>45959.58387731481</v>
      </c>
      <c r="C368" s="1" t="n">
        <v>46000</v>
      </c>
      <c r="D368" t="inlineStr">
        <is>
          <t>KALMAR LÄN</t>
        </is>
      </c>
      <c r="E368" t="inlineStr">
        <is>
          <t>VIMMERBY</t>
        </is>
      </c>
      <c r="G368" t="n">
        <v>4.4</v>
      </c>
      <c r="H368" t="n">
        <v>0</v>
      </c>
      <c r="I368" t="n">
        <v>0</v>
      </c>
      <c r="J368" t="n">
        <v>0</v>
      </c>
      <c r="K368" t="n">
        <v>0</v>
      </c>
      <c r="L368" t="n">
        <v>0</v>
      </c>
      <c r="M368" t="n">
        <v>0</v>
      </c>
      <c r="N368" t="n">
        <v>0</v>
      </c>
      <c r="O368" t="n">
        <v>0</v>
      </c>
      <c r="P368" t="n">
        <v>0</v>
      </c>
      <c r="Q368" t="n">
        <v>0</v>
      </c>
      <c r="R368" s="2" t="inlineStr"/>
    </row>
    <row r="369" ht="15" customHeight="1">
      <c r="A369" t="inlineStr">
        <is>
          <t>A 27758-2024</t>
        </is>
      </c>
      <c r="B369" s="1" t="n">
        <v>45475.48303240741</v>
      </c>
      <c r="C369" s="1" t="n">
        <v>46000</v>
      </c>
      <c r="D369" t="inlineStr">
        <is>
          <t>KALMAR LÄN</t>
        </is>
      </c>
      <c r="E369" t="inlineStr">
        <is>
          <t>VIMMERBY</t>
        </is>
      </c>
      <c r="G369" t="n">
        <v>2.6</v>
      </c>
      <c r="H369" t="n">
        <v>0</v>
      </c>
      <c r="I369" t="n">
        <v>0</v>
      </c>
      <c r="J369" t="n">
        <v>0</v>
      </c>
      <c r="K369" t="n">
        <v>0</v>
      </c>
      <c r="L369" t="n">
        <v>0</v>
      </c>
      <c r="M369" t="n">
        <v>0</v>
      </c>
      <c r="N369" t="n">
        <v>0</v>
      </c>
      <c r="O369" t="n">
        <v>0</v>
      </c>
      <c r="P369" t="n">
        <v>0</v>
      </c>
      <c r="Q369" t="n">
        <v>0</v>
      </c>
      <c r="R369" s="2" t="inlineStr"/>
    </row>
    <row r="370" ht="15" customHeight="1">
      <c r="A370" t="inlineStr">
        <is>
          <t>A 13307-2025</t>
        </is>
      </c>
      <c r="B370" s="1" t="n">
        <v>45735.58024305556</v>
      </c>
      <c r="C370" s="1" t="n">
        <v>46000</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53923-2025</t>
        </is>
      </c>
      <c r="B371" s="1" t="n">
        <v>45961.4569212963</v>
      </c>
      <c r="C371" s="1" t="n">
        <v>46000</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55716-2023</t>
        </is>
      </c>
      <c r="B372" s="1" t="n">
        <v>45232</v>
      </c>
      <c r="C372" s="1" t="n">
        <v>46000</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30293-2025</t>
        </is>
      </c>
      <c r="B373" s="1" t="n">
        <v>45827</v>
      </c>
      <c r="C373" s="1" t="n">
        <v>46000</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30290-2025</t>
        </is>
      </c>
      <c r="B374" s="1" t="n">
        <v>45827</v>
      </c>
      <c r="C374" s="1" t="n">
        <v>46000</v>
      </c>
      <c r="D374" t="inlineStr">
        <is>
          <t>KALMAR LÄN</t>
        </is>
      </c>
      <c r="E374" t="inlineStr">
        <is>
          <t>VIMMERBY</t>
        </is>
      </c>
      <c r="G374" t="n">
        <v>1</v>
      </c>
      <c r="H374" t="n">
        <v>0</v>
      </c>
      <c r="I374" t="n">
        <v>0</v>
      </c>
      <c r="J374" t="n">
        <v>0</v>
      </c>
      <c r="K374" t="n">
        <v>0</v>
      </c>
      <c r="L374" t="n">
        <v>0</v>
      </c>
      <c r="M374" t="n">
        <v>0</v>
      </c>
      <c r="N374" t="n">
        <v>0</v>
      </c>
      <c r="O374" t="n">
        <v>0</v>
      </c>
      <c r="P374" t="n">
        <v>0</v>
      </c>
      <c r="Q374" t="n">
        <v>0</v>
      </c>
      <c r="R374" s="2" t="inlineStr"/>
    </row>
    <row r="375" ht="15" customHeight="1">
      <c r="A375" t="inlineStr">
        <is>
          <t>A 53927-2025</t>
        </is>
      </c>
      <c r="B375" s="1" t="n">
        <v>45961.46740740741</v>
      </c>
      <c r="C375" s="1" t="n">
        <v>46000</v>
      </c>
      <c r="D375" t="inlineStr">
        <is>
          <t>KALMAR LÄN</t>
        </is>
      </c>
      <c r="E375" t="inlineStr">
        <is>
          <t>VIMMERBY</t>
        </is>
      </c>
      <c r="G375" t="n">
        <v>2.5</v>
      </c>
      <c r="H375" t="n">
        <v>0</v>
      </c>
      <c r="I375" t="n">
        <v>0</v>
      </c>
      <c r="J375" t="n">
        <v>0</v>
      </c>
      <c r="K375" t="n">
        <v>0</v>
      </c>
      <c r="L375" t="n">
        <v>0</v>
      </c>
      <c r="M375" t="n">
        <v>0</v>
      </c>
      <c r="N375" t="n">
        <v>0</v>
      </c>
      <c r="O375" t="n">
        <v>0</v>
      </c>
      <c r="P375" t="n">
        <v>0</v>
      </c>
      <c r="Q375" t="n">
        <v>0</v>
      </c>
      <c r="R375" s="2" t="inlineStr"/>
    </row>
    <row r="376" ht="15" customHeight="1">
      <c r="A376" t="inlineStr">
        <is>
          <t>A 53933-2025</t>
        </is>
      </c>
      <c r="B376" s="1" t="n">
        <v>45961.47650462963</v>
      </c>
      <c r="C376" s="1" t="n">
        <v>46000</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18329-2023</t>
        </is>
      </c>
      <c r="B377" s="1" t="n">
        <v>45041.63380787037</v>
      </c>
      <c r="C377" s="1" t="n">
        <v>46000</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30850-2025</t>
        </is>
      </c>
      <c r="B378" s="1" t="n">
        <v>45831</v>
      </c>
      <c r="C378" s="1" t="n">
        <v>46000</v>
      </c>
      <c r="D378" t="inlineStr">
        <is>
          <t>KALMAR LÄN</t>
        </is>
      </c>
      <c r="E378" t="inlineStr">
        <is>
          <t>VIMMERBY</t>
        </is>
      </c>
      <c r="G378" t="n">
        <v>2.7</v>
      </c>
      <c r="H378" t="n">
        <v>0</v>
      </c>
      <c r="I378" t="n">
        <v>0</v>
      </c>
      <c r="J378" t="n">
        <v>0</v>
      </c>
      <c r="K378" t="n">
        <v>0</v>
      </c>
      <c r="L378" t="n">
        <v>0</v>
      </c>
      <c r="M378" t="n">
        <v>0</v>
      </c>
      <c r="N378" t="n">
        <v>0</v>
      </c>
      <c r="O378" t="n">
        <v>0</v>
      </c>
      <c r="P378" t="n">
        <v>0</v>
      </c>
      <c r="Q378" t="n">
        <v>0</v>
      </c>
      <c r="R378" s="2" t="inlineStr"/>
    </row>
    <row r="379" ht="15" customHeight="1">
      <c r="A379" t="inlineStr">
        <is>
          <t>A 45114-2025</t>
        </is>
      </c>
      <c r="B379" s="1" t="n">
        <v>45919.42387731482</v>
      </c>
      <c r="C379" s="1" t="n">
        <v>46000</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53903-2025</t>
        </is>
      </c>
      <c r="B380" s="1" t="n">
        <v>45961.43738425926</v>
      </c>
      <c r="C380" s="1" t="n">
        <v>46000</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53920-2025</t>
        </is>
      </c>
      <c r="B381" s="1" t="n">
        <v>45961.44951388889</v>
      </c>
      <c r="C381" s="1" t="n">
        <v>46000</v>
      </c>
      <c r="D381" t="inlineStr">
        <is>
          <t>KALMAR LÄN</t>
        </is>
      </c>
      <c r="E381" t="inlineStr">
        <is>
          <t>VIMMERBY</t>
        </is>
      </c>
      <c r="G381" t="n">
        <v>1.4</v>
      </c>
      <c r="H381" t="n">
        <v>0</v>
      </c>
      <c r="I381" t="n">
        <v>0</v>
      </c>
      <c r="J381" t="n">
        <v>0</v>
      </c>
      <c r="K381" t="n">
        <v>0</v>
      </c>
      <c r="L381" t="n">
        <v>0</v>
      </c>
      <c r="M381" t="n">
        <v>0</v>
      </c>
      <c r="N381" t="n">
        <v>0</v>
      </c>
      <c r="O381" t="n">
        <v>0</v>
      </c>
      <c r="P381" t="n">
        <v>0</v>
      </c>
      <c r="Q381" t="n">
        <v>0</v>
      </c>
      <c r="R381" s="2" t="inlineStr"/>
    </row>
    <row r="382" ht="15" customHeight="1">
      <c r="A382" t="inlineStr">
        <is>
          <t>A 13015-2023</t>
        </is>
      </c>
      <c r="B382" s="1" t="n">
        <v>45002</v>
      </c>
      <c r="C382" s="1" t="n">
        <v>46000</v>
      </c>
      <c r="D382" t="inlineStr">
        <is>
          <t>KALMAR LÄN</t>
        </is>
      </c>
      <c r="E382" t="inlineStr">
        <is>
          <t>VIMMERBY</t>
        </is>
      </c>
      <c r="G382" t="n">
        <v>3.2</v>
      </c>
      <c r="H382" t="n">
        <v>0</v>
      </c>
      <c r="I382" t="n">
        <v>0</v>
      </c>
      <c r="J382" t="n">
        <v>0</v>
      </c>
      <c r="K382" t="n">
        <v>0</v>
      </c>
      <c r="L382" t="n">
        <v>0</v>
      </c>
      <c r="M382" t="n">
        <v>0</v>
      </c>
      <c r="N382" t="n">
        <v>0</v>
      </c>
      <c r="O382" t="n">
        <v>0</v>
      </c>
      <c r="P382" t="n">
        <v>0</v>
      </c>
      <c r="Q382" t="n">
        <v>0</v>
      </c>
      <c r="R382" s="2" t="inlineStr"/>
    </row>
    <row r="383" ht="15" customHeight="1">
      <c r="A383" t="inlineStr">
        <is>
          <t>A 31552-2025</t>
        </is>
      </c>
      <c r="B383" s="1" t="n">
        <v>45833.64563657407</v>
      </c>
      <c r="C383" s="1" t="n">
        <v>46000</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31555-2025</t>
        </is>
      </c>
      <c r="B384" s="1" t="n">
        <v>45833.64814814815</v>
      </c>
      <c r="C384" s="1" t="n">
        <v>46000</v>
      </c>
      <c r="D384" t="inlineStr">
        <is>
          <t>KALMAR LÄN</t>
        </is>
      </c>
      <c r="E384" t="inlineStr">
        <is>
          <t>VIMMERBY</t>
        </is>
      </c>
      <c r="G384" t="n">
        <v>1.8</v>
      </c>
      <c r="H384" t="n">
        <v>0</v>
      </c>
      <c r="I384" t="n">
        <v>0</v>
      </c>
      <c r="J384" t="n">
        <v>0</v>
      </c>
      <c r="K384" t="n">
        <v>0</v>
      </c>
      <c r="L384" t="n">
        <v>0</v>
      </c>
      <c r="M384" t="n">
        <v>0</v>
      </c>
      <c r="N384" t="n">
        <v>0</v>
      </c>
      <c r="O384" t="n">
        <v>0</v>
      </c>
      <c r="P384" t="n">
        <v>0</v>
      </c>
      <c r="Q384" t="n">
        <v>0</v>
      </c>
      <c r="R384" s="2" t="inlineStr"/>
    </row>
    <row r="385" ht="15" customHeight="1">
      <c r="A385" t="inlineStr">
        <is>
          <t>A 30971-2025</t>
        </is>
      </c>
      <c r="B385" s="1" t="n">
        <v>45832.46146990741</v>
      </c>
      <c r="C385" s="1" t="n">
        <v>46000</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31551-2025</t>
        </is>
      </c>
      <c r="B386" s="1" t="n">
        <v>45833.64237268519</v>
      </c>
      <c r="C386" s="1" t="n">
        <v>46000</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29186-2024</t>
        </is>
      </c>
      <c r="B387" s="1" t="n">
        <v>45482.54844907407</v>
      </c>
      <c r="C387" s="1" t="n">
        <v>46000</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45319-2025</t>
        </is>
      </c>
      <c r="B388" s="1" t="n">
        <v>45921.95611111111</v>
      </c>
      <c r="C388" s="1" t="n">
        <v>46000</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30882-2025</t>
        </is>
      </c>
      <c r="B389" s="1" t="n">
        <v>45832.34540509259</v>
      </c>
      <c r="C389" s="1" t="n">
        <v>46000</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50993-2022</t>
        </is>
      </c>
      <c r="B390" s="1" t="n">
        <v>44867</v>
      </c>
      <c r="C390" s="1" t="n">
        <v>46000</v>
      </c>
      <c r="D390" t="inlineStr">
        <is>
          <t>KALMAR LÄN</t>
        </is>
      </c>
      <c r="E390" t="inlineStr">
        <is>
          <t>VIMMERBY</t>
        </is>
      </c>
      <c r="G390" t="n">
        <v>1.7</v>
      </c>
      <c r="H390" t="n">
        <v>0</v>
      </c>
      <c r="I390" t="n">
        <v>0</v>
      </c>
      <c r="J390" t="n">
        <v>0</v>
      </c>
      <c r="K390" t="n">
        <v>0</v>
      </c>
      <c r="L390" t="n">
        <v>0</v>
      </c>
      <c r="M390" t="n">
        <v>0</v>
      </c>
      <c r="N390" t="n">
        <v>0</v>
      </c>
      <c r="O390" t="n">
        <v>0</v>
      </c>
      <c r="P390" t="n">
        <v>0</v>
      </c>
      <c r="Q390" t="n">
        <v>0</v>
      </c>
      <c r="R390" s="2" t="inlineStr"/>
    </row>
    <row r="391" ht="15" customHeight="1">
      <c r="A391" t="inlineStr">
        <is>
          <t>A 31872-2025</t>
        </is>
      </c>
      <c r="B391" s="1" t="n">
        <v>45834.65040509259</v>
      </c>
      <c r="C391" s="1" t="n">
        <v>46000</v>
      </c>
      <c r="D391" t="inlineStr">
        <is>
          <t>KALMAR LÄN</t>
        </is>
      </c>
      <c r="E391" t="inlineStr">
        <is>
          <t>VIMMERBY</t>
        </is>
      </c>
      <c r="F391" t="inlineStr">
        <is>
          <t>Sveaskog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54236-2025</t>
        </is>
      </c>
      <c r="B392" s="1" t="n">
        <v>45964.62671296296</v>
      </c>
      <c r="C392" s="1" t="n">
        <v>46000</v>
      </c>
      <c r="D392" t="inlineStr">
        <is>
          <t>KALMAR LÄN</t>
        </is>
      </c>
      <c r="E392" t="inlineStr">
        <is>
          <t>VIMMERBY</t>
        </is>
      </c>
      <c r="G392" t="n">
        <v>1.3</v>
      </c>
      <c r="H392" t="n">
        <v>0</v>
      </c>
      <c r="I392" t="n">
        <v>0</v>
      </c>
      <c r="J392" t="n">
        <v>0</v>
      </c>
      <c r="K392" t="n">
        <v>0</v>
      </c>
      <c r="L392" t="n">
        <v>0</v>
      </c>
      <c r="M392" t="n">
        <v>0</v>
      </c>
      <c r="N392" t="n">
        <v>0</v>
      </c>
      <c r="O392" t="n">
        <v>0</v>
      </c>
      <c r="P392" t="n">
        <v>0</v>
      </c>
      <c r="Q392" t="n">
        <v>0</v>
      </c>
      <c r="R392" s="2" t="inlineStr"/>
    </row>
    <row r="393" ht="15" customHeight="1">
      <c r="A393" t="inlineStr">
        <is>
          <t>A 8559-2025</t>
        </is>
      </c>
      <c r="B393" s="1" t="n">
        <v>45709.62280092593</v>
      </c>
      <c r="C393" s="1" t="n">
        <v>46000</v>
      </c>
      <c r="D393" t="inlineStr">
        <is>
          <t>KALMAR LÄN</t>
        </is>
      </c>
      <c r="E393" t="inlineStr">
        <is>
          <t>VIMMERBY</t>
        </is>
      </c>
      <c r="G393" t="n">
        <v>8.9</v>
      </c>
      <c r="H393" t="n">
        <v>0</v>
      </c>
      <c r="I393" t="n">
        <v>0</v>
      </c>
      <c r="J393" t="n">
        <v>0</v>
      </c>
      <c r="K393" t="n">
        <v>0</v>
      </c>
      <c r="L393" t="n">
        <v>0</v>
      </c>
      <c r="M393" t="n">
        <v>0</v>
      </c>
      <c r="N393" t="n">
        <v>0</v>
      </c>
      <c r="O393" t="n">
        <v>0</v>
      </c>
      <c r="P393" t="n">
        <v>0</v>
      </c>
      <c r="Q393" t="n">
        <v>0</v>
      </c>
      <c r="R393" s="2" t="inlineStr"/>
    </row>
    <row r="394" ht="15" customHeight="1">
      <c r="A394" t="inlineStr">
        <is>
          <t>A 54787-2023</t>
        </is>
      </c>
      <c r="B394" s="1" t="n">
        <v>45236</v>
      </c>
      <c r="C394" s="1" t="n">
        <v>46000</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32064-2025</t>
        </is>
      </c>
      <c r="B395" s="1" t="n">
        <v>45835.44709490741</v>
      </c>
      <c r="C395" s="1" t="n">
        <v>46000</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45320-2025</t>
        </is>
      </c>
      <c r="B396" s="1" t="n">
        <v>45921.96395833333</v>
      </c>
      <c r="C396" s="1" t="n">
        <v>46000</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32614-2023</t>
        </is>
      </c>
      <c r="B397" s="1" t="n">
        <v>45121</v>
      </c>
      <c r="C397" s="1" t="n">
        <v>46000</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32109-2025</t>
        </is>
      </c>
      <c r="B398" s="1" t="n">
        <v>45835.48267361111</v>
      </c>
      <c r="C398" s="1" t="n">
        <v>46000</v>
      </c>
      <c r="D398" t="inlineStr">
        <is>
          <t>KALMAR LÄN</t>
        </is>
      </c>
      <c r="E398" t="inlineStr">
        <is>
          <t>VIMMERBY</t>
        </is>
      </c>
      <c r="G398" t="n">
        <v>2.5</v>
      </c>
      <c r="H398" t="n">
        <v>0</v>
      </c>
      <c r="I398" t="n">
        <v>0</v>
      </c>
      <c r="J398" t="n">
        <v>0</v>
      </c>
      <c r="K398" t="n">
        <v>0</v>
      </c>
      <c r="L398" t="n">
        <v>0</v>
      </c>
      <c r="M398" t="n">
        <v>0</v>
      </c>
      <c r="N398" t="n">
        <v>0</v>
      </c>
      <c r="O398" t="n">
        <v>0</v>
      </c>
      <c r="P398" t="n">
        <v>0</v>
      </c>
      <c r="Q398" t="n">
        <v>0</v>
      </c>
      <c r="R398" s="2" t="inlineStr"/>
    </row>
    <row r="399" ht="15" customHeight="1">
      <c r="A399" t="inlineStr">
        <is>
          <t>A 32113-2025</t>
        </is>
      </c>
      <c r="B399" s="1" t="n">
        <v>45835.48445601852</v>
      </c>
      <c r="C399" s="1" t="n">
        <v>46000</v>
      </c>
      <c r="D399" t="inlineStr">
        <is>
          <t>KALMAR LÄN</t>
        </is>
      </c>
      <c r="E399" t="inlineStr">
        <is>
          <t>VIMMERBY</t>
        </is>
      </c>
      <c r="G399" t="n">
        <v>3.5</v>
      </c>
      <c r="H399" t="n">
        <v>0</v>
      </c>
      <c r="I399" t="n">
        <v>0</v>
      </c>
      <c r="J399" t="n">
        <v>0</v>
      </c>
      <c r="K399" t="n">
        <v>0</v>
      </c>
      <c r="L399" t="n">
        <v>0</v>
      </c>
      <c r="M399" t="n">
        <v>0</v>
      </c>
      <c r="N399" t="n">
        <v>0</v>
      </c>
      <c r="O399" t="n">
        <v>0</v>
      </c>
      <c r="P399" t="n">
        <v>0</v>
      </c>
      <c r="Q399" t="n">
        <v>0</v>
      </c>
      <c r="R399" s="2" t="inlineStr"/>
    </row>
    <row r="400" ht="15" customHeight="1">
      <c r="A400" t="inlineStr">
        <is>
          <t>A 32116-2025</t>
        </is>
      </c>
      <c r="B400" s="1" t="n">
        <v>45835.48862268519</v>
      </c>
      <c r="C400" s="1" t="n">
        <v>46000</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31870-2025</t>
        </is>
      </c>
      <c r="B401" s="1" t="n">
        <v>45834.64667824074</v>
      </c>
      <c r="C401" s="1" t="n">
        <v>46000</v>
      </c>
      <c r="D401" t="inlineStr">
        <is>
          <t>KALMAR LÄN</t>
        </is>
      </c>
      <c r="E401" t="inlineStr">
        <is>
          <t>VIMMERBY</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6850-2023</t>
        </is>
      </c>
      <c r="B402" s="1" t="n">
        <v>44967.44255787037</v>
      </c>
      <c r="C402" s="1" t="n">
        <v>46000</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32065-2025</t>
        </is>
      </c>
      <c r="B403" s="1" t="n">
        <v>45835.44732638889</v>
      </c>
      <c r="C403" s="1" t="n">
        <v>46000</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58750-2022</t>
        </is>
      </c>
      <c r="B404" s="1" t="n">
        <v>44903.33363425926</v>
      </c>
      <c r="C404" s="1" t="n">
        <v>46000</v>
      </c>
      <c r="D404" t="inlineStr">
        <is>
          <t>KALMAR LÄN</t>
        </is>
      </c>
      <c r="E404" t="inlineStr">
        <is>
          <t>VIMMERBY</t>
        </is>
      </c>
      <c r="G404" t="n">
        <v>3.3</v>
      </c>
      <c r="H404" t="n">
        <v>0</v>
      </c>
      <c r="I404" t="n">
        <v>0</v>
      </c>
      <c r="J404" t="n">
        <v>0</v>
      </c>
      <c r="K404" t="n">
        <v>0</v>
      </c>
      <c r="L404" t="n">
        <v>0</v>
      </c>
      <c r="M404" t="n">
        <v>0</v>
      </c>
      <c r="N404" t="n">
        <v>0</v>
      </c>
      <c r="O404" t="n">
        <v>0</v>
      </c>
      <c r="P404" t="n">
        <v>0</v>
      </c>
      <c r="Q404" t="n">
        <v>0</v>
      </c>
      <c r="R404" s="2" t="inlineStr"/>
    </row>
    <row r="405" ht="15" customHeight="1">
      <c r="A405" t="inlineStr">
        <is>
          <t>A 31987-2025</t>
        </is>
      </c>
      <c r="B405" s="1" t="n">
        <v>45835.36229166666</v>
      </c>
      <c r="C405" s="1" t="n">
        <v>46000</v>
      </c>
      <c r="D405" t="inlineStr">
        <is>
          <t>KALMAR LÄN</t>
        </is>
      </c>
      <c r="E405" t="inlineStr">
        <is>
          <t>VIMMERBY</t>
        </is>
      </c>
      <c r="F405" t="inlineStr">
        <is>
          <t>Kyrkan</t>
        </is>
      </c>
      <c r="G405" t="n">
        <v>1.2</v>
      </c>
      <c r="H405" t="n">
        <v>0</v>
      </c>
      <c r="I405" t="n">
        <v>0</v>
      </c>
      <c r="J405" t="n">
        <v>0</v>
      </c>
      <c r="K405" t="n">
        <v>0</v>
      </c>
      <c r="L405" t="n">
        <v>0</v>
      </c>
      <c r="M405" t="n">
        <v>0</v>
      </c>
      <c r="N405" t="n">
        <v>0</v>
      </c>
      <c r="O405" t="n">
        <v>0</v>
      </c>
      <c r="P405" t="n">
        <v>0</v>
      </c>
      <c r="Q405" t="n">
        <v>0</v>
      </c>
      <c r="R405" s="2" t="inlineStr"/>
    </row>
    <row r="406" ht="15" customHeight="1">
      <c r="A406" t="inlineStr">
        <is>
          <t>A 32077-2025</t>
        </is>
      </c>
      <c r="B406" s="1" t="n">
        <v>45835.45099537037</v>
      </c>
      <c r="C406" s="1" t="n">
        <v>46000</v>
      </c>
      <c r="D406" t="inlineStr">
        <is>
          <t>KALMAR LÄN</t>
        </is>
      </c>
      <c r="E406" t="inlineStr">
        <is>
          <t>VIMMERBY</t>
        </is>
      </c>
      <c r="G406" t="n">
        <v>1.8</v>
      </c>
      <c r="H406" t="n">
        <v>0</v>
      </c>
      <c r="I406" t="n">
        <v>0</v>
      </c>
      <c r="J406" t="n">
        <v>0</v>
      </c>
      <c r="K406" t="n">
        <v>0</v>
      </c>
      <c r="L406" t="n">
        <v>0</v>
      </c>
      <c r="M406" t="n">
        <v>0</v>
      </c>
      <c r="N406" t="n">
        <v>0</v>
      </c>
      <c r="O406" t="n">
        <v>0</v>
      </c>
      <c r="P406" t="n">
        <v>0</v>
      </c>
      <c r="Q406" t="n">
        <v>0</v>
      </c>
      <c r="R406" s="2" t="inlineStr"/>
    </row>
    <row r="407" ht="15" customHeight="1">
      <c r="A407" t="inlineStr">
        <is>
          <t>A 41158-2023</t>
        </is>
      </c>
      <c r="B407" s="1" t="n">
        <v>45174.31395833333</v>
      </c>
      <c r="C407" s="1" t="n">
        <v>46000</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32120-2025</t>
        </is>
      </c>
      <c r="B408" s="1" t="n">
        <v>45835.4924537037</v>
      </c>
      <c r="C408" s="1" t="n">
        <v>46000</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31876-2025</t>
        </is>
      </c>
      <c r="B409" s="1" t="n">
        <v>45834.65197916667</v>
      </c>
      <c r="C409" s="1" t="n">
        <v>46000</v>
      </c>
      <c r="D409" t="inlineStr">
        <is>
          <t>KALMAR LÄN</t>
        </is>
      </c>
      <c r="E409" t="inlineStr">
        <is>
          <t>VIMMERBY</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2510-2023</t>
        </is>
      </c>
      <c r="B410" s="1" t="n">
        <v>44943.57309027778</v>
      </c>
      <c r="C410" s="1" t="n">
        <v>46000</v>
      </c>
      <c r="D410" t="inlineStr">
        <is>
          <t>KALMAR LÄN</t>
        </is>
      </c>
      <c r="E410" t="inlineStr">
        <is>
          <t>VIMMERBY</t>
        </is>
      </c>
      <c r="G410" t="n">
        <v>8.6</v>
      </c>
      <c r="H410" t="n">
        <v>0</v>
      </c>
      <c r="I410" t="n">
        <v>0</v>
      </c>
      <c r="J410" t="n">
        <v>0</v>
      </c>
      <c r="K410" t="n">
        <v>0</v>
      </c>
      <c r="L410" t="n">
        <v>0</v>
      </c>
      <c r="M410" t="n">
        <v>0</v>
      </c>
      <c r="N410" t="n">
        <v>0</v>
      </c>
      <c r="O410" t="n">
        <v>0</v>
      </c>
      <c r="P410" t="n">
        <v>0</v>
      </c>
      <c r="Q410" t="n">
        <v>0</v>
      </c>
      <c r="R410" s="2" t="inlineStr"/>
    </row>
    <row r="411" ht="15" customHeight="1">
      <c r="A411" t="inlineStr">
        <is>
          <t>A 54234-2025</t>
        </is>
      </c>
      <c r="B411" s="1" t="n">
        <v>45964.62486111111</v>
      </c>
      <c r="C411" s="1" t="n">
        <v>46000</v>
      </c>
      <c r="D411" t="inlineStr">
        <is>
          <t>KALMAR LÄN</t>
        </is>
      </c>
      <c r="E411" t="inlineStr">
        <is>
          <t>VIMMERBY</t>
        </is>
      </c>
      <c r="G411" t="n">
        <v>4.1</v>
      </c>
      <c r="H411" t="n">
        <v>0</v>
      </c>
      <c r="I411" t="n">
        <v>0</v>
      </c>
      <c r="J411" t="n">
        <v>0</v>
      </c>
      <c r="K411" t="n">
        <v>0</v>
      </c>
      <c r="L411" t="n">
        <v>0</v>
      </c>
      <c r="M411" t="n">
        <v>0</v>
      </c>
      <c r="N411" t="n">
        <v>0</v>
      </c>
      <c r="O411" t="n">
        <v>0</v>
      </c>
      <c r="P411" t="n">
        <v>0</v>
      </c>
      <c r="Q411" t="n">
        <v>0</v>
      </c>
      <c r="R411" s="2" t="inlineStr"/>
    </row>
    <row r="412" ht="15" customHeight="1">
      <c r="A412" t="inlineStr">
        <is>
          <t>A 46118-2025</t>
        </is>
      </c>
      <c r="B412" s="1" t="n">
        <v>45924.57697916667</v>
      </c>
      <c r="C412" s="1" t="n">
        <v>46000</v>
      </c>
      <c r="D412" t="inlineStr">
        <is>
          <t>KALMAR LÄN</t>
        </is>
      </c>
      <c r="E412" t="inlineStr">
        <is>
          <t>VIMMERBY</t>
        </is>
      </c>
      <c r="G412" t="n">
        <v>2.9</v>
      </c>
      <c r="H412" t="n">
        <v>0</v>
      </c>
      <c r="I412" t="n">
        <v>0</v>
      </c>
      <c r="J412" t="n">
        <v>0</v>
      </c>
      <c r="K412" t="n">
        <v>0</v>
      </c>
      <c r="L412" t="n">
        <v>0</v>
      </c>
      <c r="M412" t="n">
        <v>0</v>
      </c>
      <c r="N412" t="n">
        <v>0</v>
      </c>
      <c r="O412" t="n">
        <v>0</v>
      </c>
      <c r="P412" t="n">
        <v>0</v>
      </c>
      <c r="Q412" t="n">
        <v>0</v>
      </c>
      <c r="R412" s="2" t="inlineStr"/>
    </row>
    <row r="413" ht="15" customHeight="1">
      <c r="A413" t="inlineStr">
        <is>
          <t>A 3269-2024</t>
        </is>
      </c>
      <c r="B413" s="1" t="n">
        <v>45317.40372685185</v>
      </c>
      <c r="C413" s="1" t="n">
        <v>46000</v>
      </c>
      <c r="D413" t="inlineStr">
        <is>
          <t>KALMAR LÄN</t>
        </is>
      </c>
      <c r="E413" t="inlineStr">
        <is>
          <t>VIMMERBY</t>
        </is>
      </c>
      <c r="F413" t="inlineStr">
        <is>
          <t>Övriga Aktiebolag</t>
        </is>
      </c>
      <c r="G413" t="n">
        <v>1.7</v>
      </c>
      <c r="H413" t="n">
        <v>0</v>
      </c>
      <c r="I413" t="n">
        <v>0</v>
      </c>
      <c r="J413" t="n">
        <v>0</v>
      </c>
      <c r="K413" t="n">
        <v>0</v>
      </c>
      <c r="L413" t="n">
        <v>0</v>
      </c>
      <c r="M413" t="n">
        <v>0</v>
      </c>
      <c r="N413" t="n">
        <v>0</v>
      </c>
      <c r="O413" t="n">
        <v>0</v>
      </c>
      <c r="P413" t="n">
        <v>0</v>
      </c>
      <c r="Q413" t="n">
        <v>0</v>
      </c>
      <c r="R413" s="2" t="inlineStr"/>
    </row>
    <row r="414" ht="15" customHeight="1">
      <c r="A414" t="inlineStr">
        <is>
          <t>A 48120-2022</t>
        </is>
      </c>
      <c r="B414" s="1" t="n">
        <v>44857.65989583333</v>
      </c>
      <c r="C414" s="1" t="n">
        <v>46000</v>
      </c>
      <c r="D414" t="inlineStr">
        <is>
          <t>KALMAR LÄN</t>
        </is>
      </c>
      <c r="E414" t="inlineStr">
        <is>
          <t>VIMMERBY</t>
        </is>
      </c>
      <c r="G414" t="n">
        <v>1.7</v>
      </c>
      <c r="H414" t="n">
        <v>0</v>
      </c>
      <c r="I414" t="n">
        <v>0</v>
      </c>
      <c r="J414" t="n">
        <v>0</v>
      </c>
      <c r="K414" t="n">
        <v>0</v>
      </c>
      <c r="L414" t="n">
        <v>0</v>
      </c>
      <c r="M414" t="n">
        <v>0</v>
      </c>
      <c r="N414" t="n">
        <v>0</v>
      </c>
      <c r="O414" t="n">
        <v>0</v>
      </c>
      <c r="P414" t="n">
        <v>0</v>
      </c>
      <c r="Q414" t="n">
        <v>0</v>
      </c>
      <c r="R414" s="2" t="inlineStr"/>
    </row>
    <row r="415" ht="15" customHeight="1">
      <c r="A415" t="inlineStr">
        <is>
          <t>A 6368-2023</t>
        </is>
      </c>
      <c r="B415" s="1" t="n">
        <v>44965</v>
      </c>
      <c r="C415" s="1" t="n">
        <v>46000</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46365-2025</t>
        </is>
      </c>
      <c r="B416" s="1" t="n">
        <v>45925.50075231482</v>
      </c>
      <c r="C416" s="1" t="n">
        <v>46000</v>
      </c>
      <c r="D416" t="inlineStr">
        <is>
          <t>KALMAR LÄN</t>
        </is>
      </c>
      <c r="E416" t="inlineStr">
        <is>
          <t>VIMMERBY</t>
        </is>
      </c>
      <c r="G416" t="n">
        <v>5.6</v>
      </c>
      <c r="H416" t="n">
        <v>0</v>
      </c>
      <c r="I416" t="n">
        <v>0</v>
      </c>
      <c r="J416" t="n">
        <v>0</v>
      </c>
      <c r="K416" t="n">
        <v>0</v>
      </c>
      <c r="L416" t="n">
        <v>0</v>
      </c>
      <c r="M416" t="n">
        <v>0</v>
      </c>
      <c r="N416" t="n">
        <v>0</v>
      </c>
      <c r="O416" t="n">
        <v>0</v>
      </c>
      <c r="P416" t="n">
        <v>0</v>
      </c>
      <c r="Q416" t="n">
        <v>0</v>
      </c>
      <c r="R416" s="2" t="inlineStr"/>
    </row>
    <row r="417" ht="15" customHeight="1">
      <c r="A417" t="inlineStr">
        <is>
          <t>A 9416-2024</t>
        </is>
      </c>
      <c r="B417" s="1" t="n">
        <v>45359.44837962963</v>
      </c>
      <c r="C417" s="1" t="n">
        <v>46000</v>
      </c>
      <c r="D417" t="inlineStr">
        <is>
          <t>KALMAR LÄN</t>
        </is>
      </c>
      <c r="E417" t="inlineStr">
        <is>
          <t>VIMMERBY</t>
        </is>
      </c>
      <c r="G417" t="n">
        <v>3.2</v>
      </c>
      <c r="H417" t="n">
        <v>0</v>
      </c>
      <c r="I417" t="n">
        <v>0</v>
      </c>
      <c r="J417" t="n">
        <v>0</v>
      </c>
      <c r="K417" t="n">
        <v>0</v>
      </c>
      <c r="L417" t="n">
        <v>0</v>
      </c>
      <c r="M417" t="n">
        <v>0</v>
      </c>
      <c r="N417" t="n">
        <v>0</v>
      </c>
      <c r="O417" t="n">
        <v>0</v>
      </c>
      <c r="P417" t="n">
        <v>0</v>
      </c>
      <c r="Q417" t="n">
        <v>0</v>
      </c>
      <c r="R417" s="2" t="inlineStr"/>
    </row>
    <row r="418" ht="15" customHeight="1">
      <c r="A418" t="inlineStr">
        <is>
          <t>A 54737-2025</t>
        </is>
      </c>
      <c r="B418" s="1" t="n">
        <v>45966.56826388889</v>
      </c>
      <c r="C418" s="1" t="n">
        <v>46000</v>
      </c>
      <c r="D418" t="inlineStr">
        <is>
          <t>KALMAR LÄN</t>
        </is>
      </c>
      <c r="E418" t="inlineStr">
        <is>
          <t>VIMMERBY</t>
        </is>
      </c>
      <c r="G418" t="n">
        <v>2.1</v>
      </c>
      <c r="H418" t="n">
        <v>0</v>
      </c>
      <c r="I418" t="n">
        <v>0</v>
      </c>
      <c r="J418" t="n">
        <v>0</v>
      </c>
      <c r="K418" t="n">
        <v>0</v>
      </c>
      <c r="L418" t="n">
        <v>0</v>
      </c>
      <c r="M418" t="n">
        <v>0</v>
      </c>
      <c r="N418" t="n">
        <v>0</v>
      </c>
      <c r="O418" t="n">
        <v>0</v>
      </c>
      <c r="P418" t="n">
        <v>0</v>
      </c>
      <c r="Q418" t="n">
        <v>0</v>
      </c>
      <c r="R418" s="2" t="inlineStr"/>
    </row>
    <row r="419" ht="15" customHeight="1">
      <c r="A419" t="inlineStr">
        <is>
          <t>A 2797-2023</t>
        </is>
      </c>
      <c r="B419" s="1" t="n">
        <v>44944.71386574074</v>
      </c>
      <c r="C419" s="1" t="n">
        <v>46000</v>
      </c>
      <c r="D419" t="inlineStr">
        <is>
          <t>KALMAR LÄN</t>
        </is>
      </c>
      <c r="E419" t="inlineStr">
        <is>
          <t>VIMMERBY</t>
        </is>
      </c>
      <c r="G419" t="n">
        <v>3.4</v>
      </c>
      <c r="H419" t="n">
        <v>0</v>
      </c>
      <c r="I419" t="n">
        <v>0</v>
      </c>
      <c r="J419" t="n">
        <v>0</v>
      </c>
      <c r="K419" t="n">
        <v>0</v>
      </c>
      <c r="L419" t="n">
        <v>0</v>
      </c>
      <c r="M419" t="n">
        <v>0</v>
      </c>
      <c r="N419" t="n">
        <v>0</v>
      </c>
      <c r="O419" t="n">
        <v>0</v>
      </c>
      <c r="P419" t="n">
        <v>0</v>
      </c>
      <c r="Q419" t="n">
        <v>0</v>
      </c>
      <c r="R419" s="2" t="inlineStr"/>
    </row>
    <row r="420" ht="15" customHeight="1">
      <c r="A420" t="inlineStr">
        <is>
          <t>A 2799-2023</t>
        </is>
      </c>
      <c r="B420" s="1" t="n">
        <v>44944.72100694444</v>
      </c>
      <c r="C420" s="1" t="n">
        <v>46000</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32380-2025</t>
        </is>
      </c>
      <c r="B421" s="1" t="n">
        <v>45837.77701388889</v>
      </c>
      <c r="C421" s="1" t="n">
        <v>46000</v>
      </c>
      <c r="D421" t="inlineStr">
        <is>
          <t>KALMAR LÄN</t>
        </is>
      </c>
      <c r="E421" t="inlineStr">
        <is>
          <t>VIMMERBY</t>
        </is>
      </c>
      <c r="G421" t="n">
        <v>3.1</v>
      </c>
      <c r="H421" t="n">
        <v>0</v>
      </c>
      <c r="I421" t="n">
        <v>0</v>
      </c>
      <c r="J421" t="n">
        <v>0</v>
      </c>
      <c r="K421" t="n">
        <v>0</v>
      </c>
      <c r="L421" t="n">
        <v>0</v>
      </c>
      <c r="M421" t="n">
        <v>0</v>
      </c>
      <c r="N421" t="n">
        <v>0</v>
      </c>
      <c r="O421" t="n">
        <v>0</v>
      </c>
      <c r="P421" t="n">
        <v>0</v>
      </c>
      <c r="Q421" t="n">
        <v>0</v>
      </c>
      <c r="R421" s="2" t="inlineStr"/>
    </row>
    <row r="422" ht="15" customHeight="1">
      <c r="A422" t="inlineStr">
        <is>
          <t>A 46361-2025</t>
        </is>
      </c>
      <c r="B422" s="1" t="n">
        <v>45925.49670138889</v>
      </c>
      <c r="C422" s="1" t="n">
        <v>46000</v>
      </c>
      <c r="D422" t="inlineStr">
        <is>
          <t>KALMAR LÄN</t>
        </is>
      </c>
      <c r="E422" t="inlineStr">
        <is>
          <t>VIMMERBY</t>
        </is>
      </c>
      <c r="G422" t="n">
        <v>4.2</v>
      </c>
      <c r="H422" t="n">
        <v>0</v>
      </c>
      <c r="I422" t="n">
        <v>0</v>
      </c>
      <c r="J422" t="n">
        <v>0</v>
      </c>
      <c r="K422" t="n">
        <v>0</v>
      </c>
      <c r="L422" t="n">
        <v>0</v>
      </c>
      <c r="M422" t="n">
        <v>0</v>
      </c>
      <c r="N422" t="n">
        <v>0</v>
      </c>
      <c r="O422" t="n">
        <v>0</v>
      </c>
      <c r="P422" t="n">
        <v>0</v>
      </c>
      <c r="Q422" t="n">
        <v>0</v>
      </c>
      <c r="R422" s="2" t="inlineStr"/>
    </row>
    <row r="423" ht="15" customHeight="1">
      <c r="A423" t="inlineStr">
        <is>
          <t>A 25987-2024</t>
        </is>
      </c>
      <c r="B423" s="1" t="n">
        <v>45467.74417824074</v>
      </c>
      <c r="C423" s="1" t="n">
        <v>46000</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33186-2025</t>
        </is>
      </c>
      <c r="B424" s="1" t="n">
        <v>45840.59474537037</v>
      </c>
      <c r="C424" s="1" t="n">
        <v>46000</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33695-2025</t>
        </is>
      </c>
      <c r="B425" s="1" t="n">
        <v>45841.70569444444</v>
      </c>
      <c r="C425" s="1" t="n">
        <v>46000</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33698-2025</t>
        </is>
      </c>
      <c r="B426" s="1" t="n">
        <v>45841.70868055556</v>
      </c>
      <c r="C426" s="1" t="n">
        <v>46000</v>
      </c>
      <c r="D426" t="inlineStr">
        <is>
          <t>KALMAR LÄN</t>
        </is>
      </c>
      <c r="E426" t="inlineStr">
        <is>
          <t>VIMMERBY</t>
        </is>
      </c>
      <c r="G426" t="n">
        <v>3.7</v>
      </c>
      <c r="H426" t="n">
        <v>0</v>
      </c>
      <c r="I426" t="n">
        <v>0</v>
      </c>
      <c r="J426" t="n">
        <v>0</v>
      </c>
      <c r="K426" t="n">
        <v>0</v>
      </c>
      <c r="L426" t="n">
        <v>0</v>
      </c>
      <c r="M426" t="n">
        <v>0</v>
      </c>
      <c r="N426" t="n">
        <v>0</v>
      </c>
      <c r="O426" t="n">
        <v>0</v>
      </c>
      <c r="P426" t="n">
        <v>0</v>
      </c>
      <c r="Q426" t="n">
        <v>0</v>
      </c>
      <c r="R426" s="2" t="inlineStr"/>
    </row>
    <row r="427" ht="15" customHeight="1">
      <c r="A427" t="inlineStr">
        <is>
          <t>A 22194-2024</t>
        </is>
      </c>
      <c r="B427" s="1" t="n">
        <v>45446.36482638889</v>
      </c>
      <c r="C427" s="1" t="n">
        <v>46000</v>
      </c>
      <c r="D427" t="inlineStr">
        <is>
          <t>KALMAR LÄN</t>
        </is>
      </c>
      <c r="E427" t="inlineStr">
        <is>
          <t>VIMMERBY</t>
        </is>
      </c>
      <c r="F427" t="inlineStr">
        <is>
          <t>Sveaskog</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19865-2021</t>
        </is>
      </c>
      <c r="B428" s="1" t="n">
        <v>44312</v>
      </c>
      <c r="C428" s="1" t="n">
        <v>46000</v>
      </c>
      <c r="D428" t="inlineStr">
        <is>
          <t>KALMAR LÄN</t>
        </is>
      </c>
      <c r="E428" t="inlineStr">
        <is>
          <t>VIMMERBY</t>
        </is>
      </c>
      <c r="G428" t="n">
        <v>8.6</v>
      </c>
      <c r="H428" t="n">
        <v>0</v>
      </c>
      <c r="I428" t="n">
        <v>0</v>
      </c>
      <c r="J428" t="n">
        <v>0</v>
      </c>
      <c r="K428" t="n">
        <v>0</v>
      </c>
      <c r="L428" t="n">
        <v>0</v>
      </c>
      <c r="M428" t="n">
        <v>0</v>
      </c>
      <c r="N428" t="n">
        <v>0</v>
      </c>
      <c r="O428" t="n">
        <v>0</v>
      </c>
      <c r="P428" t="n">
        <v>0</v>
      </c>
      <c r="Q428" t="n">
        <v>0</v>
      </c>
      <c r="R428" s="2" t="inlineStr"/>
    </row>
    <row r="429" ht="15" customHeight="1">
      <c r="A429" t="inlineStr">
        <is>
          <t>A 30977-2025</t>
        </is>
      </c>
      <c r="B429" s="1" t="n">
        <v>45832.46649305556</v>
      </c>
      <c r="C429" s="1" t="n">
        <v>46000</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12630-2023</t>
        </is>
      </c>
      <c r="B430" s="1" t="n">
        <v>45000.47998842593</v>
      </c>
      <c r="C430" s="1" t="n">
        <v>46000</v>
      </c>
      <c r="D430" t="inlineStr">
        <is>
          <t>KALMAR LÄN</t>
        </is>
      </c>
      <c r="E430" t="inlineStr">
        <is>
          <t>VIMMERBY</t>
        </is>
      </c>
      <c r="G430" t="n">
        <v>2.1</v>
      </c>
      <c r="H430" t="n">
        <v>0</v>
      </c>
      <c r="I430" t="n">
        <v>0</v>
      </c>
      <c r="J430" t="n">
        <v>0</v>
      </c>
      <c r="K430" t="n">
        <v>0</v>
      </c>
      <c r="L430" t="n">
        <v>0</v>
      </c>
      <c r="M430" t="n">
        <v>0</v>
      </c>
      <c r="N430" t="n">
        <v>0</v>
      </c>
      <c r="O430" t="n">
        <v>0</v>
      </c>
      <c r="P430" t="n">
        <v>0</v>
      </c>
      <c r="Q430" t="n">
        <v>0</v>
      </c>
      <c r="R430" s="2" t="inlineStr"/>
    </row>
    <row r="431" ht="15" customHeight="1">
      <c r="A431" t="inlineStr">
        <is>
          <t>A 33696-2025</t>
        </is>
      </c>
      <c r="B431" s="1" t="n">
        <v>45841.7072337963</v>
      </c>
      <c r="C431" s="1" t="n">
        <v>46000</v>
      </c>
      <c r="D431" t="inlineStr">
        <is>
          <t>KALMAR LÄN</t>
        </is>
      </c>
      <c r="E431" t="inlineStr">
        <is>
          <t>VIMMERBY</t>
        </is>
      </c>
      <c r="G431" t="n">
        <v>1.1</v>
      </c>
      <c r="H431" t="n">
        <v>0</v>
      </c>
      <c r="I431" t="n">
        <v>0</v>
      </c>
      <c r="J431" t="n">
        <v>0</v>
      </c>
      <c r="K431" t="n">
        <v>0</v>
      </c>
      <c r="L431" t="n">
        <v>0</v>
      </c>
      <c r="M431" t="n">
        <v>0</v>
      </c>
      <c r="N431" t="n">
        <v>0</v>
      </c>
      <c r="O431" t="n">
        <v>0</v>
      </c>
      <c r="P431" t="n">
        <v>0</v>
      </c>
      <c r="Q431" t="n">
        <v>0</v>
      </c>
      <c r="R431" s="2" t="inlineStr"/>
    </row>
    <row r="432" ht="15" customHeight="1">
      <c r="A432" t="inlineStr">
        <is>
          <t>A 53788-2025</t>
        </is>
      </c>
      <c r="B432" s="1" t="n">
        <v>45960</v>
      </c>
      <c r="C432" s="1" t="n">
        <v>46000</v>
      </c>
      <c r="D432" t="inlineStr">
        <is>
          <t>KALMAR LÄN</t>
        </is>
      </c>
      <c r="E432" t="inlineStr">
        <is>
          <t>VIMMERBY</t>
        </is>
      </c>
      <c r="F432" t="inlineStr">
        <is>
          <t>Övriga statliga verk och myndigheter</t>
        </is>
      </c>
      <c r="G432" t="n">
        <v>6.3</v>
      </c>
      <c r="H432" t="n">
        <v>0</v>
      </c>
      <c r="I432" t="n">
        <v>0</v>
      </c>
      <c r="J432" t="n">
        <v>0</v>
      </c>
      <c r="K432" t="n">
        <v>0</v>
      </c>
      <c r="L432" t="n">
        <v>0</v>
      </c>
      <c r="M432" t="n">
        <v>0</v>
      </c>
      <c r="N432" t="n">
        <v>0</v>
      </c>
      <c r="O432" t="n">
        <v>0</v>
      </c>
      <c r="P432" t="n">
        <v>0</v>
      </c>
      <c r="Q432" t="n">
        <v>0</v>
      </c>
      <c r="R432" s="2" t="inlineStr"/>
    </row>
    <row r="433" ht="15" customHeight="1">
      <c r="A433" t="inlineStr">
        <is>
          <t>A 21109-2024</t>
        </is>
      </c>
      <c r="B433" s="1" t="n">
        <v>45440.28329861111</v>
      </c>
      <c r="C433" s="1" t="n">
        <v>46000</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30634-2024</t>
        </is>
      </c>
      <c r="B434" s="1" t="n">
        <v>45495</v>
      </c>
      <c r="C434" s="1" t="n">
        <v>46000</v>
      </c>
      <c r="D434" t="inlineStr">
        <is>
          <t>KALMAR LÄN</t>
        </is>
      </c>
      <c r="E434" t="inlineStr">
        <is>
          <t>VIMMERBY</t>
        </is>
      </c>
      <c r="G434" t="n">
        <v>1.2</v>
      </c>
      <c r="H434" t="n">
        <v>0</v>
      </c>
      <c r="I434" t="n">
        <v>0</v>
      </c>
      <c r="J434" t="n">
        <v>0</v>
      </c>
      <c r="K434" t="n">
        <v>0</v>
      </c>
      <c r="L434" t="n">
        <v>0</v>
      </c>
      <c r="M434" t="n">
        <v>0</v>
      </c>
      <c r="N434" t="n">
        <v>0</v>
      </c>
      <c r="O434" t="n">
        <v>0</v>
      </c>
      <c r="P434" t="n">
        <v>0</v>
      </c>
      <c r="Q434" t="n">
        <v>0</v>
      </c>
      <c r="R434" s="2" t="inlineStr"/>
    </row>
    <row r="435" ht="15" customHeight="1">
      <c r="A435" t="inlineStr">
        <is>
          <t>A 40260-2024</t>
        </is>
      </c>
      <c r="B435" s="1" t="n">
        <v>45554.63225694445</v>
      </c>
      <c r="C435" s="1" t="n">
        <v>46000</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54813-2025</t>
        </is>
      </c>
      <c r="B436" s="1" t="n">
        <v>45966.64881944445</v>
      </c>
      <c r="C436" s="1" t="n">
        <v>46000</v>
      </c>
      <c r="D436" t="inlineStr">
        <is>
          <t>KALMAR LÄN</t>
        </is>
      </c>
      <c r="E436" t="inlineStr">
        <is>
          <t>VIMMERBY</t>
        </is>
      </c>
      <c r="G436" t="n">
        <v>1.7</v>
      </c>
      <c r="H436" t="n">
        <v>0</v>
      </c>
      <c r="I436" t="n">
        <v>0</v>
      </c>
      <c r="J436" t="n">
        <v>0</v>
      </c>
      <c r="K436" t="n">
        <v>0</v>
      </c>
      <c r="L436" t="n">
        <v>0</v>
      </c>
      <c r="M436" t="n">
        <v>0</v>
      </c>
      <c r="N436" t="n">
        <v>0</v>
      </c>
      <c r="O436" t="n">
        <v>0</v>
      </c>
      <c r="P436" t="n">
        <v>0</v>
      </c>
      <c r="Q436" t="n">
        <v>0</v>
      </c>
      <c r="R436" s="2" t="inlineStr"/>
    </row>
    <row r="437" ht="15" customHeight="1">
      <c r="A437" t="inlineStr">
        <is>
          <t>A 46887-2025</t>
        </is>
      </c>
      <c r="B437" s="1" t="n">
        <v>45929.3672337963</v>
      </c>
      <c r="C437" s="1" t="n">
        <v>46000</v>
      </c>
      <c r="D437" t="inlineStr">
        <is>
          <t>KALMAR LÄN</t>
        </is>
      </c>
      <c r="E437" t="inlineStr">
        <is>
          <t>VIMMERBY</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45856-2025</t>
        </is>
      </c>
      <c r="B438" s="1" t="n">
        <v>45923</v>
      </c>
      <c r="C438" s="1" t="n">
        <v>46000</v>
      </c>
      <c r="D438" t="inlineStr">
        <is>
          <t>KALMAR LÄN</t>
        </is>
      </c>
      <c r="E438" t="inlineStr">
        <is>
          <t>VIMMERBY</t>
        </is>
      </c>
      <c r="G438" t="n">
        <v>2.1</v>
      </c>
      <c r="H438" t="n">
        <v>0</v>
      </c>
      <c r="I438" t="n">
        <v>0</v>
      </c>
      <c r="J438" t="n">
        <v>0</v>
      </c>
      <c r="K438" t="n">
        <v>0</v>
      </c>
      <c r="L438" t="n">
        <v>0</v>
      </c>
      <c r="M438" t="n">
        <v>0</v>
      </c>
      <c r="N438" t="n">
        <v>0</v>
      </c>
      <c r="O438" t="n">
        <v>0</v>
      </c>
      <c r="P438" t="n">
        <v>0</v>
      </c>
      <c r="Q438" t="n">
        <v>0</v>
      </c>
      <c r="R438" s="2" t="inlineStr"/>
    </row>
    <row r="439" ht="15" customHeight="1">
      <c r="A439" t="inlineStr">
        <is>
          <t>A 26956-2025</t>
        </is>
      </c>
      <c r="B439" s="1" t="n">
        <v>45811.45460648148</v>
      </c>
      <c r="C439" s="1" t="n">
        <v>46000</v>
      </c>
      <c r="D439" t="inlineStr">
        <is>
          <t>KALMAR LÄN</t>
        </is>
      </c>
      <c r="E439" t="inlineStr">
        <is>
          <t>VIMMERBY</t>
        </is>
      </c>
      <c r="G439" t="n">
        <v>1.1</v>
      </c>
      <c r="H439" t="n">
        <v>0</v>
      </c>
      <c r="I439" t="n">
        <v>0</v>
      </c>
      <c r="J439" t="n">
        <v>0</v>
      </c>
      <c r="K439" t="n">
        <v>0</v>
      </c>
      <c r="L439" t="n">
        <v>0</v>
      </c>
      <c r="M439" t="n">
        <v>0</v>
      </c>
      <c r="N439" t="n">
        <v>0</v>
      </c>
      <c r="O439" t="n">
        <v>0</v>
      </c>
      <c r="P439" t="n">
        <v>0</v>
      </c>
      <c r="Q439" t="n">
        <v>0</v>
      </c>
      <c r="R439" s="2" t="inlineStr"/>
    </row>
    <row r="440" ht="15" customHeight="1">
      <c r="A440" t="inlineStr">
        <is>
          <t>A 59943-2023</t>
        </is>
      </c>
      <c r="B440" s="1" t="n">
        <v>45257.67958333333</v>
      </c>
      <c r="C440" s="1" t="n">
        <v>46000</v>
      </c>
      <c r="D440" t="inlineStr">
        <is>
          <t>KALMAR LÄN</t>
        </is>
      </c>
      <c r="E440" t="inlineStr">
        <is>
          <t>VIMMERBY</t>
        </is>
      </c>
      <c r="G440" t="n">
        <v>6.4</v>
      </c>
      <c r="H440" t="n">
        <v>0</v>
      </c>
      <c r="I440" t="n">
        <v>0</v>
      </c>
      <c r="J440" t="n">
        <v>0</v>
      </c>
      <c r="K440" t="n">
        <v>0</v>
      </c>
      <c r="L440" t="n">
        <v>0</v>
      </c>
      <c r="M440" t="n">
        <v>0</v>
      </c>
      <c r="N440" t="n">
        <v>0</v>
      </c>
      <c r="O440" t="n">
        <v>0</v>
      </c>
      <c r="P440" t="n">
        <v>0</v>
      </c>
      <c r="Q440" t="n">
        <v>0</v>
      </c>
      <c r="R440" s="2" t="inlineStr"/>
    </row>
    <row r="441" ht="15" customHeight="1">
      <c r="A441" t="inlineStr">
        <is>
          <t>A 5527-2022</t>
        </is>
      </c>
      <c r="B441" s="1" t="n">
        <v>44595.583125</v>
      </c>
      <c r="C441" s="1" t="n">
        <v>46000</v>
      </c>
      <c r="D441" t="inlineStr">
        <is>
          <t>KALMAR LÄN</t>
        </is>
      </c>
      <c r="E441" t="inlineStr">
        <is>
          <t>VIMMERBY</t>
        </is>
      </c>
      <c r="G441" t="n">
        <v>3.6</v>
      </c>
      <c r="H441" t="n">
        <v>0</v>
      </c>
      <c r="I441" t="n">
        <v>0</v>
      </c>
      <c r="J441" t="n">
        <v>0</v>
      </c>
      <c r="K441" t="n">
        <v>0</v>
      </c>
      <c r="L441" t="n">
        <v>0</v>
      </c>
      <c r="M441" t="n">
        <v>0</v>
      </c>
      <c r="N441" t="n">
        <v>0</v>
      </c>
      <c r="O441" t="n">
        <v>0</v>
      </c>
      <c r="P441" t="n">
        <v>0</v>
      </c>
      <c r="Q441" t="n">
        <v>0</v>
      </c>
      <c r="R441" s="2" t="inlineStr"/>
    </row>
    <row r="442" ht="15" customHeight="1">
      <c r="A442" t="inlineStr">
        <is>
          <t>A 45854-2025</t>
        </is>
      </c>
      <c r="B442" s="1" t="n">
        <v>45923</v>
      </c>
      <c r="C442" s="1" t="n">
        <v>46000</v>
      </c>
      <c r="D442" t="inlineStr">
        <is>
          <t>KALMAR LÄN</t>
        </is>
      </c>
      <c r="E442" t="inlineStr">
        <is>
          <t>VIMMERBY</t>
        </is>
      </c>
      <c r="G442" t="n">
        <v>2.2</v>
      </c>
      <c r="H442" t="n">
        <v>0</v>
      </c>
      <c r="I442" t="n">
        <v>0</v>
      </c>
      <c r="J442" t="n">
        <v>0</v>
      </c>
      <c r="K442" t="n">
        <v>0</v>
      </c>
      <c r="L442" t="n">
        <v>0</v>
      </c>
      <c r="M442" t="n">
        <v>0</v>
      </c>
      <c r="N442" t="n">
        <v>0</v>
      </c>
      <c r="O442" t="n">
        <v>0</v>
      </c>
      <c r="P442" t="n">
        <v>0</v>
      </c>
      <c r="Q442" t="n">
        <v>0</v>
      </c>
      <c r="R442" s="2" t="inlineStr"/>
    </row>
    <row r="443" ht="15" customHeight="1">
      <c r="A443" t="inlineStr">
        <is>
          <t>A 45855-2025</t>
        </is>
      </c>
      <c r="B443" s="1" t="n">
        <v>45923</v>
      </c>
      <c r="C443" s="1" t="n">
        <v>46000</v>
      </c>
      <c r="D443" t="inlineStr">
        <is>
          <t>KALMAR LÄN</t>
        </is>
      </c>
      <c r="E443" t="inlineStr">
        <is>
          <t>VIMMERBY</t>
        </is>
      </c>
      <c r="G443" t="n">
        <v>1.4</v>
      </c>
      <c r="H443" t="n">
        <v>0</v>
      </c>
      <c r="I443" t="n">
        <v>0</v>
      </c>
      <c r="J443" t="n">
        <v>0</v>
      </c>
      <c r="K443" t="n">
        <v>0</v>
      </c>
      <c r="L443" t="n">
        <v>0</v>
      </c>
      <c r="M443" t="n">
        <v>0</v>
      </c>
      <c r="N443" t="n">
        <v>0</v>
      </c>
      <c r="O443" t="n">
        <v>0</v>
      </c>
      <c r="P443" t="n">
        <v>0</v>
      </c>
      <c r="Q443" t="n">
        <v>0</v>
      </c>
      <c r="R443" s="2" t="inlineStr"/>
    </row>
    <row r="444" ht="15" customHeight="1">
      <c r="A444" t="inlineStr">
        <is>
          <t>A 12325-2023</t>
        </is>
      </c>
      <c r="B444" s="1" t="n">
        <v>44999.35858796296</v>
      </c>
      <c r="C444" s="1" t="n">
        <v>46000</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34071-2025</t>
        </is>
      </c>
      <c r="B445" s="1" t="n">
        <v>45845.43803240741</v>
      </c>
      <c r="C445" s="1" t="n">
        <v>46000</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34106-2025</t>
        </is>
      </c>
      <c r="B446" s="1" t="n">
        <v>45845.49414351852</v>
      </c>
      <c r="C446" s="1" t="n">
        <v>46000</v>
      </c>
      <c r="D446" t="inlineStr">
        <is>
          <t>KALMAR LÄN</t>
        </is>
      </c>
      <c r="E446" t="inlineStr">
        <is>
          <t>VIMMERBY</t>
        </is>
      </c>
      <c r="G446" t="n">
        <v>6</v>
      </c>
      <c r="H446" t="n">
        <v>0</v>
      </c>
      <c r="I446" t="n">
        <v>0</v>
      </c>
      <c r="J446" t="n">
        <v>0</v>
      </c>
      <c r="K446" t="n">
        <v>0</v>
      </c>
      <c r="L446" t="n">
        <v>0</v>
      </c>
      <c r="M446" t="n">
        <v>0</v>
      </c>
      <c r="N446" t="n">
        <v>0</v>
      </c>
      <c r="O446" t="n">
        <v>0</v>
      </c>
      <c r="P446" t="n">
        <v>0</v>
      </c>
      <c r="Q446" t="n">
        <v>0</v>
      </c>
      <c r="R446" s="2" t="inlineStr"/>
    </row>
    <row r="447" ht="15" customHeight="1">
      <c r="A447" t="inlineStr">
        <is>
          <t>A 28702-2025</t>
        </is>
      </c>
      <c r="B447" s="1" t="n">
        <v>45820.03976851852</v>
      </c>
      <c r="C447" s="1" t="n">
        <v>46000</v>
      </c>
      <c r="D447" t="inlineStr">
        <is>
          <t>KALMAR LÄN</t>
        </is>
      </c>
      <c r="E447" t="inlineStr">
        <is>
          <t>VIMMERBY</t>
        </is>
      </c>
      <c r="G447" t="n">
        <v>2.1</v>
      </c>
      <c r="H447" t="n">
        <v>0</v>
      </c>
      <c r="I447" t="n">
        <v>0</v>
      </c>
      <c r="J447" t="n">
        <v>0</v>
      </c>
      <c r="K447" t="n">
        <v>0</v>
      </c>
      <c r="L447" t="n">
        <v>0</v>
      </c>
      <c r="M447" t="n">
        <v>0</v>
      </c>
      <c r="N447" t="n">
        <v>0</v>
      </c>
      <c r="O447" t="n">
        <v>0</v>
      </c>
      <c r="P447" t="n">
        <v>0</v>
      </c>
      <c r="Q447" t="n">
        <v>0</v>
      </c>
      <c r="R447" s="2" t="inlineStr"/>
    </row>
    <row r="448" ht="15" customHeight="1">
      <c r="A448" t="inlineStr">
        <is>
          <t>A 1016-2024</t>
        </is>
      </c>
      <c r="B448" s="1" t="n">
        <v>45301</v>
      </c>
      <c r="C448" s="1" t="n">
        <v>46000</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33681-2022</t>
        </is>
      </c>
      <c r="B449" s="1" t="n">
        <v>44789</v>
      </c>
      <c r="C449" s="1" t="n">
        <v>46000</v>
      </c>
      <c r="D449" t="inlineStr">
        <is>
          <t>KALMAR LÄN</t>
        </is>
      </c>
      <c r="E449" t="inlineStr">
        <is>
          <t>VIMMERBY</t>
        </is>
      </c>
      <c r="G449" t="n">
        <v>3.2</v>
      </c>
      <c r="H449" t="n">
        <v>0</v>
      </c>
      <c r="I449" t="n">
        <v>0</v>
      </c>
      <c r="J449" t="n">
        <v>0</v>
      </c>
      <c r="K449" t="n">
        <v>0</v>
      </c>
      <c r="L449" t="n">
        <v>0</v>
      </c>
      <c r="M449" t="n">
        <v>0</v>
      </c>
      <c r="N449" t="n">
        <v>0</v>
      </c>
      <c r="O449" t="n">
        <v>0</v>
      </c>
      <c r="P449" t="n">
        <v>0</v>
      </c>
      <c r="Q449" t="n">
        <v>0</v>
      </c>
      <c r="R449" s="2" t="inlineStr"/>
    </row>
    <row r="450" ht="15" customHeight="1">
      <c r="A450" t="inlineStr">
        <is>
          <t>A 55384-2025</t>
        </is>
      </c>
      <c r="B450" s="1" t="n">
        <v>45971.43178240741</v>
      </c>
      <c r="C450" s="1" t="n">
        <v>46000</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55385-2025</t>
        </is>
      </c>
      <c r="B451" s="1" t="n">
        <v>45971.43350694444</v>
      </c>
      <c r="C451" s="1" t="n">
        <v>46000</v>
      </c>
      <c r="D451" t="inlineStr">
        <is>
          <t>KALMAR LÄN</t>
        </is>
      </c>
      <c r="E451" t="inlineStr">
        <is>
          <t>VIMMERBY</t>
        </is>
      </c>
      <c r="G451" t="n">
        <v>5</v>
      </c>
      <c r="H451" t="n">
        <v>0</v>
      </c>
      <c r="I451" t="n">
        <v>0</v>
      </c>
      <c r="J451" t="n">
        <v>0</v>
      </c>
      <c r="K451" t="n">
        <v>0</v>
      </c>
      <c r="L451" t="n">
        <v>0</v>
      </c>
      <c r="M451" t="n">
        <v>0</v>
      </c>
      <c r="N451" t="n">
        <v>0</v>
      </c>
      <c r="O451" t="n">
        <v>0</v>
      </c>
      <c r="P451" t="n">
        <v>0</v>
      </c>
      <c r="Q451" t="n">
        <v>0</v>
      </c>
      <c r="R451" s="2" t="inlineStr"/>
    </row>
    <row r="452" ht="15" customHeight="1">
      <c r="A452" t="inlineStr">
        <is>
          <t>A 55604-2025</t>
        </is>
      </c>
      <c r="B452" s="1" t="n">
        <v>45971</v>
      </c>
      <c r="C452" s="1" t="n">
        <v>46000</v>
      </c>
      <c r="D452" t="inlineStr">
        <is>
          <t>KALMAR LÄN</t>
        </is>
      </c>
      <c r="E452" t="inlineStr">
        <is>
          <t>VIMMERBY</t>
        </is>
      </c>
      <c r="G452" t="n">
        <v>4.4</v>
      </c>
      <c r="H452" t="n">
        <v>0</v>
      </c>
      <c r="I452" t="n">
        <v>0</v>
      </c>
      <c r="J452" t="n">
        <v>0</v>
      </c>
      <c r="K452" t="n">
        <v>0</v>
      </c>
      <c r="L452" t="n">
        <v>0</v>
      </c>
      <c r="M452" t="n">
        <v>0</v>
      </c>
      <c r="N452" t="n">
        <v>0</v>
      </c>
      <c r="O452" t="n">
        <v>0</v>
      </c>
      <c r="P452" t="n">
        <v>0</v>
      </c>
      <c r="Q452" t="n">
        <v>0</v>
      </c>
      <c r="R452" s="2" t="inlineStr"/>
    </row>
    <row r="453" ht="15" customHeight="1">
      <c r="A453" t="inlineStr">
        <is>
          <t>A 34628-2025</t>
        </is>
      </c>
      <c r="B453" s="1" t="n">
        <v>45847.91280092593</v>
      </c>
      <c r="C453" s="1" t="n">
        <v>46000</v>
      </c>
      <c r="D453" t="inlineStr">
        <is>
          <t>KALMAR LÄN</t>
        </is>
      </c>
      <c r="E453" t="inlineStr">
        <is>
          <t>VIMMERBY</t>
        </is>
      </c>
      <c r="G453" t="n">
        <v>4.2</v>
      </c>
      <c r="H453" t="n">
        <v>0</v>
      </c>
      <c r="I453" t="n">
        <v>0</v>
      </c>
      <c r="J453" t="n">
        <v>0</v>
      </c>
      <c r="K453" t="n">
        <v>0</v>
      </c>
      <c r="L453" t="n">
        <v>0</v>
      </c>
      <c r="M453" t="n">
        <v>0</v>
      </c>
      <c r="N453" t="n">
        <v>0</v>
      </c>
      <c r="O453" t="n">
        <v>0</v>
      </c>
      <c r="P453" t="n">
        <v>0</v>
      </c>
      <c r="Q453" t="n">
        <v>0</v>
      </c>
      <c r="R453" s="2" t="inlineStr"/>
    </row>
    <row r="454" ht="15" customHeight="1">
      <c r="A454" t="inlineStr">
        <is>
          <t>A 55602-2025</t>
        </is>
      </c>
      <c r="B454" s="1" t="n">
        <v>45971</v>
      </c>
      <c r="C454" s="1" t="n">
        <v>46000</v>
      </c>
      <c r="D454" t="inlineStr">
        <is>
          <t>KALMAR LÄN</t>
        </is>
      </c>
      <c r="E454" t="inlineStr">
        <is>
          <t>VIMMERBY</t>
        </is>
      </c>
      <c r="G454" t="n">
        <v>2.7</v>
      </c>
      <c r="H454" t="n">
        <v>0</v>
      </c>
      <c r="I454" t="n">
        <v>0</v>
      </c>
      <c r="J454" t="n">
        <v>0</v>
      </c>
      <c r="K454" t="n">
        <v>0</v>
      </c>
      <c r="L454" t="n">
        <v>0</v>
      </c>
      <c r="M454" t="n">
        <v>0</v>
      </c>
      <c r="N454" t="n">
        <v>0</v>
      </c>
      <c r="O454" t="n">
        <v>0</v>
      </c>
      <c r="P454" t="n">
        <v>0</v>
      </c>
      <c r="Q454" t="n">
        <v>0</v>
      </c>
      <c r="R454" s="2" t="inlineStr"/>
    </row>
    <row r="455" ht="15" customHeight="1">
      <c r="A455" t="inlineStr">
        <is>
          <t>A 5074-2023</t>
        </is>
      </c>
      <c r="B455" s="1" t="n">
        <v>44958.61047453704</v>
      </c>
      <c r="C455" s="1" t="n">
        <v>46000</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47227-2025</t>
        </is>
      </c>
      <c r="B456" s="1" t="n">
        <v>45930.39769675926</v>
      </c>
      <c r="C456" s="1" t="n">
        <v>46000</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51187-2023</t>
        </is>
      </c>
      <c r="B457" s="1" t="n">
        <v>45219.40528935185</v>
      </c>
      <c r="C457" s="1" t="n">
        <v>46000</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15715-2022</t>
        </is>
      </c>
      <c r="B458" s="1" t="n">
        <v>44663</v>
      </c>
      <c r="C458" s="1" t="n">
        <v>46000</v>
      </c>
      <c r="D458" t="inlineStr">
        <is>
          <t>KALMAR LÄN</t>
        </is>
      </c>
      <c r="E458" t="inlineStr">
        <is>
          <t>VIMMERBY</t>
        </is>
      </c>
      <c r="G458" t="n">
        <v>2.3</v>
      </c>
      <c r="H458" t="n">
        <v>0</v>
      </c>
      <c r="I458" t="n">
        <v>0</v>
      </c>
      <c r="J458" t="n">
        <v>0</v>
      </c>
      <c r="K458" t="n">
        <v>0</v>
      </c>
      <c r="L458" t="n">
        <v>0</v>
      </c>
      <c r="M458" t="n">
        <v>0</v>
      </c>
      <c r="N458" t="n">
        <v>0</v>
      </c>
      <c r="O458" t="n">
        <v>0</v>
      </c>
      <c r="P458" t="n">
        <v>0</v>
      </c>
      <c r="Q458" t="n">
        <v>0</v>
      </c>
      <c r="R458" s="2" t="inlineStr"/>
    </row>
    <row r="459" ht="15" customHeight="1">
      <c r="A459" t="inlineStr">
        <is>
          <t>A 43093-2024</t>
        </is>
      </c>
      <c r="B459" s="1" t="n">
        <v>45567</v>
      </c>
      <c r="C459" s="1" t="n">
        <v>46000</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56022-2024</t>
        </is>
      </c>
      <c r="B460" s="1" t="n">
        <v>45623.95947916667</v>
      </c>
      <c r="C460" s="1" t="n">
        <v>46000</v>
      </c>
      <c r="D460" t="inlineStr">
        <is>
          <t>KALMAR LÄN</t>
        </is>
      </c>
      <c r="E460" t="inlineStr">
        <is>
          <t>VIMMERBY</t>
        </is>
      </c>
      <c r="G460" t="n">
        <v>0.3</v>
      </c>
      <c r="H460" t="n">
        <v>0</v>
      </c>
      <c r="I460" t="n">
        <v>0</v>
      </c>
      <c r="J460" t="n">
        <v>0</v>
      </c>
      <c r="K460" t="n">
        <v>0</v>
      </c>
      <c r="L460" t="n">
        <v>0</v>
      </c>
      <c r="M460" t="n">
        <v>0</v>
      </c>
      <c r="N460" t="n">
        <v>0</v>
      </c>
      <c r="O460" t="n">
        <v>0</v>
      </c>
      <c r="P460" t="n">
        <v>0</v>
      </c>
      <c r="Q460" t="n">
        <v>0</v>
      </c>
      <c r="R460" s="2" t="inlineStr"/>
    </row>
    <row r="461" ht="15" customHeight="1">
      <c r="A461" t="inlineStr">
        <is>
          <t>A 18330-2023</t>
        </is>
      </c>
      <c r="B461" s="1" t="n">
        <v>45041</v>
      </c>
      <c r="C461" s="1" t="n">
        <v>46000</v>
      </c>
      <c r="D461" t="inlineStr">
        <is>
          <t>KALMAR LÄN</t>
        </is>
      </c>
      <c r="E461" t="inlineStr">
        <is>
          <t>VIMMERBY</t>
        </is>
      </c>
      <c r="G461" t="n">
        <v>1.7</v>
      </c>
      <c r="H461" t="n">
        <v>0</v>
      </c>
      <c r="I461" t="n">
        <v>0</v>
      </c>
      <c r="J461" t="n">
        <v>0</v>
      </c>
      <c r="K461" t="n">
        <v>0</v>
      </c>
      <c r="L461" t="n">
        <v>0</v>
      </c>
      <c r="M461" t="n">
        <v>0</v>
      </c>
      <c r="N461" t="n">
        <v>0</v>
      </c>
      <c r="O461" t="n">
        <v>0</v>
      </c>
      <c r="P461" t="n">
        <v>0</v>
      </c>
      <c r="Q461" t="n">
        <v>0</v>
      </c>
      <c r="R461" s="2" t="inlineStr"/>
    </row>
    <row r="462" ht="15" customHeight="1">
      <c r="A462" t="inlineStr">
        <is>
          <t>A 35270-2025</t>
        </is>
      </c>
      <c r="B462" s="1" t="n">
        <v>45853.87112268519</v>
      </c>
      <c r="C462" s="1" t="n">
        <v>46000</v>
      </c>
      <c r="D462" t="inlineStr">
        <is>
          <t>KALMAR LÄN</t>
        </is>
      </c>
      <c r="E462" t="inlineStr">
        <is>
          <t>VIMMERBY</t>
        </is>
      </c>
      <c r="G462" t="n">
        <v>2.4</v>
      </c>
      <c r="H462" t="n">
        <v>0</v>
      </c>
      <c r="I462" t="n">
        <v>0</v>
      </c>
      <c r="J462" t="n">
        <v>0</v>
      </c>
      <c r="K462" t="n">
        <v>0</v>
      </c>
      <c r="L462" t="n">
        <v>0</v>
      </c>
      <c r="M462" t="n">
        <v>0</v>
      </c>
      <c r="N462" t="n">
        <v>0</v>
      </c>
      <c r="O462" t="n">
        <v>0</v>
      </c>
      <c r="P462" t="n">
        <v>0</v>
      </c>
      <c r="Q462" t="n">
        <v>0</v>
      </c>
      <c r="R462" s="2" t="inlineStr"/>
    </row>
    <row r="463" ht="15" customHeight="1">
      <c r="A463" t="inlineStr">
        <is>
          <t>A 35271-2025</t>
        </is>
      </c>
      <c r="B463" s="1" t="n">
        <v>45853.87599537037</v>
      </c>
      <c r="C463" s="1" t="n">
        <v>46000</v>
      </c>
      <c r="D463" t="inlineStr">
        <is>
          <t>KALMAR LÄN</t>
        </is>
      </c>
      <c r="E463" t="inlineStr">
        <is>
          <t>VIMMERBY</t>
        </is>
      </c>
      <c r="G463" t="n">
        <v>0.4</v>
      </c>
      <c r="H463" t="n">
        <v>0</v>
      </c>
      <c r="I463" t="n">
        <v>0</v>
      </c>
      <c r="J463" t="n">
        <v>0</v>
      </c>
      <c r="K463" t="n">
        <v>0</v>
      </c>
      <c r="L463" t="n">
        <v>0</v>
      </c>
      <c r="M463" t="n">
        <v>0</v>
      </c>
      <c r="N463" t="n">
        <v>0</v>
      </c>
      <c r="O463" t="n">
        <v>0</v>
      </c>
      <c r="P463" t="n">
        <v>0</v>
      </c>
      <c r="Q463" t="n">
        <v>0</v>
      </c>
      <c r="R463" s="2" t="inlineStr"/>
    </row>
    <row r="464" ht="15" customHeight="1">
      <c r="A464" t="inlineStr">
        <is>
          <t>A 35272-2025</t>
        </is>
      </c>
      <c r="B464" s="1" t="n">
        <v>45853.88070601852</v>
      </c>
      <c r="C464" s="1" t="n">
        <v>46000</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55603-2025</t>
        </is>
      </c>
      <c r="B465" s="1" t="n">
        <v>45971</v>
      </c>
      <c r="C465" s="1" t="n">
        <v>46000</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55605-2025</t>
        </is>
      </c>
      <c r="B466" s="1" t="n">
        <v>45971</v>
      </c>
      <c r="C466" s="1" t="n">
        <v>46000</v>
      </c>
      <c r="D466" t="inlineStr">
        <is>
          <t>KALMAR LÄN</t>
        </is>
      </c>
      <c r="E466" t="inlineStr">
        <is>
          <t>VIMMERBY</t>
        </is>
      </c>
      <c r="G466" t="n">
        <v>1.4</v>
      </c>
      <c r="H466" t="n">
        <v>0</v>
      </c>
      <c r="I466" t="n">
        <v>0</v>
      </c>
      <c r="J466" t="n">
        <v>0</v>
      </c>
      <c r="K466" t="n">
        <v>0</v>
      </c>
      <c r="L466" t="n">
        <v>0</v>
      </c>
      <c r="M466" t="n">
        <v>0</v>
      </c>
      <c r="N466" t="n">
        <v>0</v>
      </c>
      <c r="O466" t="n">
        <v>0</v>
      </c>
      <c r="P466" t="n">
        <v>0</v>
      </c>
      <c r="Q466" t="n">
        <v>0</v>
      </c>
      <c r="R466" s="2" t="inlineStr"/>
    </row>
    <row r="467" ht="15" customHeight="1">
      <c r="A467" t="inlineStr">
        <is>
          <t>A 16953-2025</t>
        </is>
      </c>
      <c r="B467" s="1" t="n">
        <v>45755.44333333334</v>
      </c>
      <c r="C467" s="1" t="n">
        <v>46000</v>
      </c>
      <c r="D467" t="inlineStr">
        <is>
          <t>KALMAR LÄN</t>
        </is>
      </c>
      <c r="E467" t="inlineStr">
        <is>
          <t>VIMMERBY</t>
        </is>
      </c>
      <c r="G467" t="n">
        <v>2</v>
      </c>
      <c r="H467" t="n">
        <v>0</v>
      </c>
      <c r="I467" t="n">
        <v>0</v>
      </c>
      <c r="J467" t="n">
        <v>0</v>
      </c>
      <c r="K467" t="n">
        <v>0</v>
      </c>
      <c r="L467" t="n">
        <v>0</v>
      </c>
      <c r="M467" t="n">
        <v>0</v>
      </c>
      <c r="N467" t="n">
        <v>0</v>
      </c>
      <c r="O467" t="n">
        <v>0</v>
      </c>
      <c r="P467" t="n">
        <v>0</v>
      </c>
      <c r="Q467" t="n">
        <v>0</v>
      </c>
      <c r="R467" s="2" t="inlineStr"/>
    </row>
    <row r="468" ht="15" customHeight="1">
      <c r="A468" t="inlineStr">
        <is>
          <t>A 35596-2025</t>
        </is>
      </c>
      <c r="B468" s="1" t="n">
        <v>45858.60641203704</v>
      </c>
      <c r="C468" s="1" t="n">
        <v>46000</v>
      </c>
      <c r="D468" t="inlineStr">
        <is>
          <t>KALMAR LÄN</t>
        </is>
      </c>
      <c r="E468" t="inlineStr">
        <is>
          <t>VIMMERBY</t>
        </is>
      </c>
      <c r="G468" t="n">
        <v>2.8</v>
      </c>
      <c r="H468" t="n">
        <v>0</v>
      </c>
      <c r="I468" t="n">
        <v>0</v>
      </c>
      <c r="J468" t="n">
        <v>0</v>
      </c>
      <c r="K468" t="n">
        <v>0</v>
      </c>
      <c r="L468" t="n">
        <v>0</v>
      </c>
      <c r="M468" t="n">
        <v>0</v>
      </c>
      <c r="N468" t="n">
        <v>0</v>
      </c>
      <c r="O468" t="n">
        <v>0</v>
      </c>
      <c r="P468" t="n">
        <v>0</v>
      </c>
      <c r="Q468" t="n">
        <v>0</v>
      </c>
      <c r="R468" s="2" t="inlineStr"/>
    </row>
    <row r="469" ht="15" customHeight="1">
      <c r="A469" t="inlineStr">
        <is>
          <t>A 20126-2024</t>
        </is>
      </c>
      <c r="B469" s="1" t="n">
        <v>45434.55471064815</v>
      </c>
      <c r="C469" s="1" t="n">
        <v>46000</v>
      </c>
      <c r="D469" t="inlineStr">
        <is>
          <t>KALMAR LÄN</t>
        </is>
      </c>
      <c r="E469" t="inlineStr">
        <is>
          <t>VIMMERBY</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20136-2024</t>
        </is>
      </c>
      <c r="B470" s="1" t="n">
        <v>45434.56291666667</v>
      </c>
      <c r="C470" s="1" t="n">
        <v>46000</v>
      </c>
      <c r="D470" t="inlineStr">
        <is>
          <t>KALMAR LÄN</t>
        </is>
      </c>
      <c r="E470" t="inlineStr">
        <is>
          <t>VIMMERBY</t>
        </is>
      </c>
      <c r="F470" t="inlineStr">
        <is>
          <t>Sveaskog</t>
        </is>
      </c>
      <c r="G470" t="n">
        <v>8.4</v>
      </c>
      <c r="H470" t="n">
        <v>0</v>
      </c>
      <c r="I470" t="n">
        <v>0</v>
      </c>
      <c r="J470" t="n">
        <v>0</v>
      </c>
      <c r="K470" t="n">
        <v>0</v>
      </c>
      <c r="L470" t="n">
        <v>0</v>
      </c>
      <c r="M470" t="n">
        <v>0</v>
      </c>
      <c r="N470" t="n">
        <v>0</v>
      </c>
      <c r="O470" t="n">
        <v>0</v>
      </c>
      <c r="P470" t="n">
        <v>0</v>
      </c>
      <c r="Q470" t="n">
        <v>0</v>
      </c>
      <c r="R470" s="2" t="inlineStr"/>
    </row>
    <row r="471" ht="15" customHeight="1">
      <c r="A471" t="inlineStr">
        <is>
          <t>A 35597-2025</t>
        </is>
      </c>
      <c r="B471" s="1" t="n">
        <v>45858.66019675926</v>
      </c>
      <c r="C471" s="1" t="n">
        <v>46000</v>
      </c>
      <c r="D471" t="inlineStr">
        <is>
          <t>KALMAR LÄN</t>
        </is>
      </c>
      <c r="E471" t="inlineStr">
        <is>
          <t>VIMMERBY</t>
        </is>
      </c>
      <c r="G471" t="n">
        <v>6.4</v>
      </c>
      <c r="H471" t="n">
        <v>0</v>
      </c>
      <c r="I471" t="n">
        <v>0</v>
      </c>
      <c r="J471" t="n">
        <v>0</v>
      </c>
      <c r="K471" t="n">
        <v>0</v>
      </c>
      <c r="L471" t="n">
        <v>0</v>
      </c>
      <c r="M471" t="n">
        <v>0</v>
      </c>
      <c r="N471" t="n">
        <v>0</v>
      </c>
      <c r="O471" t="n">
        <v>0</v>
      </c>
      <c r="P471" t="n">
        <v>0</v>
      </c>
      <c r="Q471" t="n">
        <v>0</v>
      </c>
      <c r="R471" s="2" t="inlineStr"/>
    </row>
    <row r="472" ht="15" customHeight="1">
      <c r="A472" t="inlineStr">
        <is>
          <t>A 48299-2025</t>
        </is>
      </c>
      <c r="B472" s="1" t="n">
        <v>45933.60982638889</v>
      </c>
      <c r="C472" s="1" t="n">
        <v>46000</v>
      </c>
      <c r="D472" t="inlineStr">
        <is>
          <t>KALMAR LÄN</t>
        </is>
      </c>
      <c r="E472" t="inlineStr">
        <is>
          <t>VIMMERBY</t>
        </is>
      </c>
      <c r="G472" t="n">
        <v>1.8</v>
      </c>
      <c r="H472" t="n">
        <v>0</v>
      </c>
      <c r="I472" t="n">
        <v>0</v>
      </c>
      <c r="J472" t="n">
        <v>0</v>
      </c>
      <c r="K472" t="n">
        <v>0</v>
      </c>
      <c r="L472" t="n">
        <v>0</v>
      </c>
      <c r="M472" t="n">
        <v>0</v>
      </c>
      <c r="N472" t="n">
        <v>0</v>
      </c>
      <c r="O472" t="n">
        <v>0</v>
      </c>
      <c r="P472" t="n">
        <v>0</v>
      </c>
      <c r="Q472" t="n">
        <v>0</v>
      </c>
      <c r="R472" s="2" t="inlineStr"/>
    </row>
    <row r="473" ht="15" customHeight="1">
      <c r="A473" t="inlineStr">
        <is>
          <t>A 46921-2023</t>
        </is>
      </c>
      <c r="B473" s="1" t="n">
        <v>45201.39996527778</v>
      </c>
      <c r="C473" s="1" t="n">
        <v>46000</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25236-2023</t>
        </is>
      </c>
      <c r="B474" s="1" t="n">
        <v>45086.63334490741</v>
      </c>
      <c r="C474" s="1" t="n">
        <v>46000</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47965-2025</t>
        </is>
      </c>
      <c r="B475" s="1" t="n">
        <v>45932.59597222223</v>
      </c>
      <c r="C475" s="1" t="n">
        <v>46000</v>
      </c>
      <c r="D475" t="inlineStr">
        <is>
          <t>KALMAR LÄN</t>
        </is>
      </c>
      <c r="E475" t="inlineStr">
        <is>
          <t>VIMMERBY</t>
        </is>
      </c>
      <c r="G475" t="n">
        <v>2.2</v>
      </c>
      <c r="H475" t="n">
        <v>0</v>
      </c>
      <c r="I475" t="n">
        <v>0</v>
      </c>
      <c r="J475" t="n">
        <v>0</v>
      </c>
      <c r="K475" t="n">
        <v>0</v>
      </c>
      <c r="L475" t="n">
        <v>0</v>
      </c>
      <c r="M475" t="n">
        <v>0</v>
      </c>
      <c r="N475" t="n">
        <v>0</v>
      </c>
      <c r="O475" t="n">
        <v>0</v>
      </c>
      <c r="P475" t="n">
        <v>0</v>
      </c>
      <c r="Q475" t="n">
        <v>0</v>
      </c>
      <c r="R475" s="2" t="inlineStr"/>
    </row>
    <row r="476" ht="15" customHeight="1">
      <c r="A476" t="inlineStr">
        <is>
          <t>A 6082-2022</t>
        </is>
      </c>
      <c r="B476" s="1" t="n">
        <v>44599</v>
      </c>
      <c r="C476" s="1" t="n">
        <v>46000</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36226-2025</t>
        </is>
      </c>
      <c r="B477" s="1" t="n">
        <v>45867.51630787037</v>
      </c>
      <c r="C477" s="1" t="n">
        <v>46000</v>
      </c>
      <c r="D477" t="inlineStr">
        <is>
          <t>KALMAR LÄN</t>
        </is>
      </c>
      <c r="E477" t="inlineStr">
        <is>
          <t>VIMMERBY</t>
        </is>
      </c>
      <c r="G477" t="n">
        <v>3.1</v>
      </c>
      <c r="H477" t="n">
        <v>0</v>
      </c>
      <c r="I477" t="n">
        <v>0</v>
      </c>
      <c r="J477" t="n">
        <v>0</v>
      </c>
      <c r="K477" t="n">
        <v>0</v>
      </c>
      <c r="L477" t="n">
        <v>0</v>
      </c>
      <c r="M477" t="n">
        <v>0</v>
      </c>
      <c r="N477" t="n">
        <v>0</v>
      </c>
      <c r="O477" t="n">
        <v>0</v>
      </c>
      <c r="P477" t="n">
        <v>0</v>
      </c>
      <c r="Q477" t="n">
        <v>0</v>
      </c>
      <c r="R477" s="2" t="inlineStr"/>
    </row>
    <row r="478" ht="15" customHeight="1">
      <c r="A478" t="inlineStr">
        <is>
          <t>A 36273-2025</t>
        </is>
      </c>
      <c r="B478" s="1" t="n">
        <v>45867.63094907408</v>
      </c>
      <c r="C478" s="1" t="n">
        <v>46000</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36282-2025</t>
        </is>
      </c>
      <c r="B479" s="1" t="n">
        <v>45867.64663194444</v>
      </c>
      <c r="C479" s="1" t="n">
        <v>46000</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36246-2025</t>
        </is>
      </c>
      <c r="B480" s="1" t="n">
        <v>45867.56320601852</v>
      </c>
      <c r="C480" s="1" t="n">
        <v>46000</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36297-2025</t>
        </is>
      </c>
      <c r="B481" s="1" t="n">
        <v>45867.68625</v>
      </c>
      <c r="C481" s="1" t="n">
        <v>46000</v>
      </c>
      <c r="D481" t="inlineStr">
        <is>
          <t>KALMAR LÄN</t>
        </is>
      </c>
      <c r="E481" t="inlineStr">
        <is>
          <t>VIMMERBY</t>
        </is>
      </c>
      <c r="G481" t="n">
        <v>4.9</v>
      </c>
      <c r="H481" t="n">
        <v>0</v>
      </c>
      <c r="I481" t="n">
        <v>0</v>
      </c>
      <c r="J481" t="n">
        <v>0</v>
      </c>
      <c r="K481" t="n">
        <v>0</v>
      </c>
      <c r="L481" t="n">
        <v>0</v>
      </c>
      <c r="M481" t="n">
        <v>0</v>
      </c>
      <c r="N481" t="n">
        <v>0</v>
      </c>
      <c r="O481" t="n">
        <v>0</v>
      </c>
      <c r="P481" t="n">
        <v>0</v>
      </c>
      <c r="Q481" t="n">
        <v>0</v>
      </c>
      <c r="R481" s="2" t="inlineStr"/>
    </row>
    <row r="482" ht="15" customHeight="1">
      <c r="A482" t="inlineStr">
        <is>
          <t>A 2801-2023</t>
        </is>
      </c>
      <c r="B482" s="1" t="n">
        <v>44944.73487268519</v>
      </c>
      <c r="C482" s="1" t="n">
        <v>46000</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36221-2025</t>
        </is>
      </c>
      <c r="B483" s="1" t="n">
        <v>45867.50792824074</v>
      </c>
      <c r="C483" s="1" t="n">
        <v>46000</v>
      </c>
      <c r="D483" t="inlineStr">
        <is>
          <t>KALMAR LÄN</t>
        </is>
      </c>
      <c r="E483" t="inlineStr">
        <is>
          <t>VIMMERBY</t>
        </is>
      </c>
      <c r="G483" t="n">
        <v>2.5</v>
      </c>
      <c r="H483" t="n">
        <v>0</v>
      </c>
      <c r="I483" t="n">
        <v>0</v>
      </c>
      <c r="J483" t="n">
        <v>0</v>
      </c>
      <c r="K483" t="n">
        <v>0</v>
      </c>
      <c r="L483" t="n">
        <v>0</v>
      </c>
      <c r="M483" t="n">
        <v>0</v>
      </c>
      <c r="N483" t="n">
        <v>0</v>
      </c>
      <c r="O483" t="n">
        <v>0</v>
      </c>
      <c r="P483" t="n">
        <v>0</v>
      </c>
      <c r="Q483" t="n">
        <v>0</v>
      </c>
      <c r="R483" s="2" t="inlineStr"/>
    </row>
    <row r="484" ht="15" customHeight="1">
      <c r="A484" t="inlineStr">
        <is>
          <t>A 5146-2024</t>
        </is>
      </c>
      <c r="B484" s="1" t="n">
        <v>45330</v>
      </c>
      <c r="C484" s="1" t="n">
        <v>46000</v>
      </c>
      <c r="D484" t="inlineStr">
        <is>
          <t>KALMAR LÄN</t>
        </is>
      </c>
      <c r="E484" t="inlineStr">
        <is>
          <t>VIMMERBY</t>
        </is>
      </c>
      <c r="G484" t="n">
        <v>5.3</v>
      </c>
      <c r="H484" t="n">
        <v>0</v>
      </c>
      <c r="I484" t="n">
        <v>0</v>
      </c>
      <c r="J484" t="n">
        <v>0</v>
      </c>
      <c r="K484" t="n">
        <v>0</v>
      </c>
      <c r="L484" t="n">
        <v>0</v>
      </c>
      <c r="M484" t="n">
        <v>0</v>
      </c>
      <c r="N484" t="n">
        <v>0</v>
      </c>
      <c r="O484" t="n">
        <v>0</v>
      </c>
      <c r="P484" t="n">
        <v>0</v>
      </c>
      <c r="Q484" t="n">
        <v>0</v>
      </c>
      <c r="R484" s="2" t="inlineStr"/>
    </row>
    <row r="485" ht="15" customHeight="1">
      <c r="A485" t="inlineStr">
        <is>
          <t>A 5148-2024</t>
        </is>
      </c>
      <c r="B485" s="1" t="n">
        <v>45330</v>
      </c>
      <c r="C485" s="1" t="n">
        <v>46000</v>
      </c>
      <c r="D485" t="inlineStr">
        <is>
          <t>KALMAR LÄN</t>
        </is>
      </c>
      <c r="E485" t="inlineStr">
        <is>
          <t>VIMMERBY</t>
        </is>
      </c>
      <c r="G485" t="n">
        <v>5.6</v>
      </c>
      <c r="H485" t="n">
        <v>0</v>
      </c>
      <c r="I485" t="n">
        <v>0</v>
      </c>
      <c r="J485" t="n">
        <v>0</v>
      </c>
      <c r="K485" t="n">
        <v>0</v>
      </c>
      <c r="L485" t="n">
        <v>0</v>
      </c>
      <c r="M485" t="n">
        <v>0</v>
      </c>
      <c r="N485" t="n">
        <v>0</v>
      </c>
      <c r="O485" t="n">
        <v>0</v>
      </c>
      <c r="P485" t="n">
        <v>0</v>
      </c>
      <c r="Q485" t="n">
        <v>0</v>
      </c>
      <c r="R485" s="2" t="inlineStr"/>
    </row>
    <row r="486" ht="15" customHeight="1">
      <c r="A486" t="inlineStr">
        <is>
          <t>A 47955-2025</t>
        </is>
      </c>
      <c r="B486" s="1" t="n">
        <v>45932.58896990741</v>
      </c>
      <c r="C486" s="1" t="n">
        <v>46000</v>
      </c>
      <c r="D486" t="inlineStr">
        <is>
          <t>KALMAR LÄN</t>
        </is>
      </c>
      <c r="E486" t="inlineStr">
        <is>
          <t>VIMMERBY</t>
        </is>
      </c>
      <c r="G486" t="n">
        <v>3.4</v>
      </c>
      <c r="H486" t="n">
        <v>0</v>
      </c>
      <c r="I486" t="n">
        <v>0</v>
      </c>
      <c r="J486" t="n">
        <v>0</v>
      </c>
      <c r="K486" t="n">
        <v>0</v>
      </c>
      <c r="L486" t="n">
        <v>0</v>
      </c>
      <c r="M486" t="n">
        <v>0</v>
      </c>
      <c r="N486" t="n">
        <v>0</v>
      </c>
      <c r="O486" t="n">
        <v>0</v>
      </c>
      <c r="P486" t="n">
        <v>0</v>
      </c>
      <c r="Q486" t="n">
        <v>0</v>
      </c>
      <c r="R486" s="2" t="inlineStr"/>
    </row>
    <row r="487" ht="15" customHeight="1">
      <c r="A487" t="inlineStr">
        <is>
          <t>A 19502-2025</t>
        </is>
      </c>
      <c r="B487" s="1" t="n">
        <v>45769</v>
      </c>
      <c r="C487" s="1" t="n">
        <v>46000</v>
      </c>
      <c r="D487" t="inlineStr">
        <is>
          <t>KALMAR LÄN</t>
        </is>
      </c>
      <c r="E487" t="inlineStr">
        <is>
          <t>VIMMERBY</t>
        </is>
      </c>
      <c r="G487" t="n">
        <v>1.9</v>
      </c>
      <c r="H487" t="n">
        <v>0</v>
      </c>
      <c r="I487" t="n">
        <v>0</v>
      </c>
      <c r="J487" t="n">
        <v>0</v>
      </c>
      <c r="K487" t="n">
        <v>0</v>
      </c>
      <c r="L487" t="n">
        <v>0</v>
      </c>
      <c r="M487" t="n">
        <v>0</v>
      </c>
      <c r="N487" t="n">
        <v>0</v>
      </c>
      <c r="O487" t="n">
        <v>0</v>
      </c>
      <c r="P487" t="n">
        <v>0</v>
      </c>
      <c r="Q487" t="n">
        <v>0</v>
      </c>
      <c r="R487" s="2" t="inlineStr"/>
    </row>
    <row r="488" ht="15" customHeight="1">
      <c r="A488" t="inlineStr">
        <is>
          <t>A 36299-2025</t>
        </is>
      </c>
      <c r="B488" s="1" t="n">
        <v>45867.69346064814</v>
      </c>
      <c r="C488" s="1" t="n">
        <v>46000</v>
      </c>
      <c r="D488" t="inlineStr">
        <is>
          <t>KALMAR LÄN</t>
        </is>
      </c>
      <c r="E488" t="inlineStr">
        <is>
          <t>VIMMERBY</t>
        </is>
      </c>
      <c r="G488" t="n">
        <v>7.6</v>
      </c>
      <c r="H488" t="n">
        <v>0</v>
      </c>
      <c r="I488" t="n">
        <v>0</v>
      </c>
      <c r="J488" t="n">
        <v>0</v>
      </c>
      <c r="K488" t="n">
        <v>0</v>
      </c>
      <c r="L488" t="n">
        <v>0</v>
      </c>
      <c r="M488" t="n">
        <v>0</v>
      </c>
      <c r="N488" t="n">
        <v>0</v>
      </c>
      <c r="O488" t="n">
        <v>0</v>
      </c>
      <c r="P488" t="n">
        <v>0</v>
      </c>
      <c r="Q488" t="n">
        <v>0</v>
      </c>
      <c r="R488" s="2" t="inlineStr"/>
    </row>
    <row r="489" ht="15" customHeight="1">
      <c r="A489" t="inlineStr">
        <is>
          <t>A 48723-2025</t>
        </is>
      </c>
      <c r="B489" s="1" t="n">
        <v>45936.65121527778</v>
      </c>
      <c r="C489" s="1" t="n">
        <v>46000</v>
      </c>
      <c r="D489" t="inlineStr">
        <is>
          <t>KALMAR LÄN</t>
        </is>
      </c>
      <c r="E489" t="inlineStr">
        <is>
          <t>VIMMERBY</t>
        </is>
      </c>
      <c r="G489" t="n">
        <v>3</v>
      </c>
      <c r="H489" t="n">
        <v>0</v>
      </c>
      <c r="I489" t="n">
        <v>0</v>
      </c>
      <c r="J489" t="n">
        <v>0</v>
      </c>
      <c r="K489" t="n">
        <v>0</v>
      </c>
      <c r="L489" t="n">
        <v>0</v>
      </c>
      <c r="M489" t="n">
        <v>0</v>
      </c>
      <c r="N489" t="n">
        <v>0</v>
      </c>
      <c r="O489" t="n">
        <v>0</v>
      </c>
      <c r="P489" t="n">
        <v>0</v>
      </c>
      <c r="Q489" t="n">
        <v>0</v>
      </c>
      <c r="R489" s="2" t="inlineStr"/>
    </row>
    <row r="490" ht="15" customHeight="1">
      <c r="A490" t="inlineStr">
        <is>
          <t>A 36538-2025</t>
        </is>
      </c>
      <c r="B490" s="1" t="n">
        <v>45869.62276620371</v>
      </c>
      <c r="C490" s="1" t="n">
        <v>46000</v>
      </c>
      <c r="D490" t="inlineStr">
        <is>
          <t>KALMAR LÄN</t>
        </is>
      </c>
      <c r="E490" t="inlineStr">
        <is>
          <t>VIMMERBY</t>
        </is>
      </c>
      <c r="G490" t="n">
        <v>2.6</v>
      </c>
      <c r="H490" t="n">
        <v>0</v>
      </c>
      <c r="I490" t="n">
        <v>0</v>
      </c>
      <c r="J490" t="n">
        <v>0</v>
      </c>
      <c r="K490" t="n">
        <v>0</v>
      </c>
      <c r="L490" t="n">
        <v>0</v>
      </c>
      <c r="M490" t="n">
        <v>0</v>
      </c>
      <c r="N490" t="n">
        <v>0</v>
      </c>
      <c r="O490" t="n">
        <v>0</v>
      </c>
      <c r="P490" t="n">
        <v>0</v>
      </c>
      <c r="Q490" t="n">
        <v>0</v>
      </c>
      <c r="R490" s="2" t="inlineStr"/>
    </row>
    <row r="491" ht="15" customHeight="1">
      <c r="A491" t="inlineStr">
        <is>
          <t>A 48712-2025</t>
        </is>
      </c>
      <c r="B491" s="1" t="n">
        <v>45936.63373842592</v>
      </c>
      <c r="C491" s="1" t="n">
        <v>46000</v>
      </c>
      <c r="D491" t="inlineStr">
        <is>
          <t>KALMAR LÄN</t>
        </is>
      </c>
      <c r="E491" t="inlineStr">
        <is>
          <t>VIMMERBY</t>
        </is>
      </c>
      <c r="G491" t="n">
        <v>3</v>
      </c>
      <c r="H491" t="n">
        <v>0</v>
      </c>
      <c r="I491" t="n">
        <v>0</v>
      </c>
      <c r="J491" t="n">
        <v>0</v>
      </c>
      <c r="K491" t="n">
        <v>0</v>
      </c>
      <c r="L491" t="n">
        <v>0</v>
      </c>
      <c r="M491" t="n">
        <v>0</v>
      </c>
      <c r="N491" t="n">
        <v>0</v>
      </c>
      <c r="O491" t="n">
        <v>0</v>
      </c>
      <c r="P491" t="n">
        <v>0</v>
      </c>
      <c r="Q491" t="n">
        <v>0</v>
      </c>
      <c r="R491" s="2" t="inlineStr"/>
    </row>
    <row r="492" ht="15" customHeight="1">
      <c r="A492" t="inlineStr">
        <is>
          <t>A 58278-2023</t>
        </is>
      </c>
      <c r="B492" s="1" t="n">
        <v>45250.5278587963</v>
      </c>
      <c r="C492" s="1" t="n">
        <v>46000</v>
      </c>
      <c r="D492" t="inlineStr">
        <is>
          <t>KALMAR LÄN</t>
        </is>
      </c>
      <c r="E492" t="inlineStr">
        <is>
          <t>VIMMERBY</t>
        </is>
      </c>
      <c r="G492" t="n">
        <v>1.8</v>
      </c>
      <c r="H492" t="n">
        <v>0</v>
      </c>
      <c r="I492" t="n">
        <v>0</v>
      </c>
      <c r="J492" t="n">
        <v>0</v>
      </c>
      <c r="K492" t="n">
        <v>0</v>
      </c>
      <c r="L492" t="n">
        <v>0</v>
      </c>
      <c r="M492" t="n">
        <v>0</v>
      </c>
      <c r="N492" t="n">
        <v>0</v>
      </c>
      <c r="O492" t="n">
        <v>0</v>
      </c>
      <c r="P492" t="n">
        <v>0</v>
      </c>
      <c r="Q492" t="n">
        <v>0</v>
      </c>
      <c r="R492" s="2" t="inlineStr"/>
    </row>
    <row r="493" ht="15" customHeight="1">
      <c r="A493" t="inlineStr">
        <is>
          <t>A 22266-2023</t>
        </is>
      </c>
      <c r="B493" s="1" t="n">
        <v>45070</v>
      </c>
      <c r="C493" s="1" t="n">
        <v>46000</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52588-2023</t>
        </is>
      </c>
      <c r="B494" s="1" t="n">
        <v>45225.60192129629</v>
      </c>
      <c r="C494" s="1" t="n">
        <v>46000</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48408-2025</t>
        </is>
      </c>
      <c r="B495" s="1" t="n">
        <v>45934.40527777778</v>
      </c>
      <c r="C495" s="1" t="n">
        <v>46000</v>
      </c>
      <c r="D495" t="inlineStr">
        <is>
          <t>KALMAR LÄN</t>
        </is>
      </c>
      <c r="E495" t="inlineStr">
        <is>
          <t>VIMMERBY</t>
        </is>
      </c>
      <c r="G495" t="n">
        <v>2.4</v>
      </c>
      <c r="H495" t="n">
        <v>0</v>
      </c>
      <c r="I495" t="n">
        <v>0</v>
      </c>
      <c r="J495" t="n">
        <v>0</v>
      </c>
      <c r="K495" t="n">
        <v>0</v>
      </c>
      <c r="L495" t="n">
        <v>0</v>
      </c>
      <c r="M495" t="n">
        <v>0</v>
      </c>
      <c r="N495" t="n">
        <v>0</v>
      </c>
      <c r="O495" t="n">
        <v>0</v>
      </c>
      <c r="P495" t="n">
        <v>0</v>
      </c>
      <c r="Q495" t="n">
        <v>0</v>
      </c>
      <c r="R495" s="2" t="inlineStr"/>
    </row>
    <row r="496" ht="15" customHeight="1">
      <c r="A496" t="inlineStr">
        <is>
          <t>A 36598-2025</t>
        </is>
      </c>
      <c r="B496" s="1" t="n">
        <v>45870.51708333333</v>
      </c>
      <c r="C496" s="1" t="n">
        <v>46000</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36602-2025</t>
        </is>
      </c>
      <c r="B497" s="1" t="n">
        <v>45870.52111111111</v>
      </c>
      <c r="C497" s="1" t="n">
        <v>46000</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6802-2025</t>
        </is>
      </c>
      <c r="B498" s="1" t="n">
        <v>45700.68289351852</v>
      </c>
      <c r="C498" s="1" t="n">
        <v>46000</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71793-2021</t>
        </is>
      </c>
      <c r="B499" s="1" t="n">
        <v>44539</v>
      </c>
      <c r="C499" s="1" t="n">
        <v>46000</v>
      </c>
      <c r="D499" t="inlineStr">
        <is>
          <t>KALMAR LÄN</t>
        </is>
      </c>
      <c r="E499" t="inlineStr">
        <is>
          <t>VIMMERBY</t>
        </is>
      </c>
      <c r="G499" t="n">
        <v>2.7</v>
      </c>
      <c r="H499" t="n">
        <v>0</v>
      </c>
      <c r="I499" t="n">
        <v>0</v>
      </c>
      <c r="J499" t="n">
        <v>0</v>
      </c>
      <c r="K499" t="n">
        <v>0</v>
      </c>
      <c r="L499" t="n">
        <v>0</v>
      </c>
      <c r="M499" t="n">
        <v>0</v>
      </c>
      <c r="N499" t="n">
        <v>0</v>
      </c>
      <c r="O499" t="n">
        <v>0</v>
      </c>
      <c r="P499" t="n">
        <v>0</v>
      </c>
      <c r="Q499" t="n">
        <v>0</v>
      </c>
      <c r="R499" s="2" t="inlineStr"/>
    </row>
    <row r="500" ht="15" customHeight="1">
      <c r="A500" t="inlineStr">
        <is>
          <t>A 53789-2025</t>
        </is>
      </c>
      <c r="B500" s="1" t="n">
        <v>45960</v>
      </c>
      <c r="C500" s="1" t="n">
        <v>46000</v>
      </c>
      <c r="D500" t="inlineStr">
        <is>
          <t>KALMAR LÄN</t>
        </is>
      </c>
      <c r="E500" t="inlineStr">
        <is>
          <t>VIMMERBY</t>
        </is>
      </c>
      <c r="F500" t="inlineStr">
        <is>
          <t>Övriga statliga verk och myndigheter</t>
        </is>
      </c>
      <c r="G500" t="n">
        <v>1.6</v>
      </c>
      <c r="H500" t="n">
        <v>0</v>
      </c>
      <c r="I500" t="n">
        <v>0</v>
      </c>
      <c r="J500" t="n">
        <v>0</v>
      </c>
      <c r="K500" t="n">
        <v>0</v>
      </c>
      <c r="L500" t="n">
        <v>0</v>
      </c>
      <c r="M500" t="n">
        <v>0</v>
      </c>
      <c r="N500" t="n">
        <v>0</v>
      </c>
      <c r="O500" t="n">
        <v>0</v>
      </c>
      <c r="P500" t="n">
        <v>0</v>
      </c>
      <c r="Q500" t="n">
        <v>0</v>
      </c>
      <c r="R500" s="2" t="inlineStr"/>
    </row>
    <row r="501" ht="15" customHeight="1">
      <c r="A501" t="inlineStr">
        <is>
          <t>A 527-2024</t>
        </is>
      </c>
      <c r="B501" s="1" t="n">
        <v>45299.47513888889</v>
      </c>
      <c r="C501" s="1" t="n">
        <v>46000</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48409-2025</t>
        </is>
      </c>
      <c r="B502" s="1" t="n">
        <v>45934.41387731482</v>
      </c>
      <c r="C502" s="1" t="n">
        <v>46000</v>
      </c>
      <c r="D502" t="inlineStr">
        <is>
          <t>KALMAR LÄN</t>
        </is>
      </c>
      <c r="E502" t="inlineStr">
        <is>
          <t>VIMMERBY</t>
        </is>
      </c>
      <c r="G502" t="n">
        <v>1.2</v>
      </c>
      <c r="H502" t="n">
        <v>0</v>
      </c>
      <c r="I502" t="n">
        <v>0</v>
      </c>
      <c r="J502" t="n">
        <v>0</v>
      </c>
      <c r="K502" t="n">
        <v>0</v>
      </c>
      <c r="L502" t="n">
        <v>0</v>
      </c>
      <c r="M502" t="n">
        <v>0</v>
      </c>
      <c r="N502" t="n">
        <v>0</v>
      </c>
      <c r="O502" t="n">
        <v>0</v>
      </c>
      <c r="P502" t="n">
        <v>0</v>
      </c>
      <c r="Q502" t="n">
        <v>0</v>
      </c>
      <c r="R502" s="2" t="inlineStr"/>
    </row>
    <row r="503" ht="15" customHeight="1">
      <c r="A503" t="inlineStr">
        <is>
          <t>A 48600-2025</t>
        </is>
      </c>
      <c r="B503" s="1" t="n">
        <v>45935</v>
      </c>
      <c r="C503" s="1" t="n">
        <v>46000</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60230-2022</t>
        </is>
      </c>
      <c r="B504" s="1" t="n">
        <v>44910</v>
      </c>
      <c r="C504" s="1" t="n">
        <v>46000</v>
      </c>
      <c r="D504" t="inlineStr">
        <is>
          <t>KALMAR LÄN</t>
        </is>
      </c>
      <c r="E504" t="inlineStr">
        <is>
          <t>VIMMERBY</t>
        </is>
      </c>
      <c r="G504" t="n">
        <v>11.3</v>
      </c>
      <c r="H504" t="n">
        <v>0</v>
      </c>
      <c r="I504" t="n">
        <v>0</v>
      </c>
      <c r="J504" t="n">
        <v>0</v>
      </c>
      <c r="K504" t="n">
        <v>0</v>
      </c>
      <c r="L504" t="n">
        <v>0</v>
      </c>
      <c r="M504" t="n">
        <v>0</v>
      </c>
      <c r="N504" t="n">
        <v>0</v>
      </c>
      <c r="O504" t="n">
        <v>0</v>
      </c>
      <c r="P504" t="n">
        <v>0</v>
      </c>
      <c r="Q504" t="n">
        <v>0</v>
      </c>
      <c r="R504" s="2" t="inlineStr"/>
    </row>
    <row r="505" ht="15" customHeight="1">
      <c r="A505" t="inlineStr">
        <is>
          <t>A 36603-2025</t>
        </is>
      </c>
      <c r="B505" s="1" t="n">
        <v>45870.52142361111</v>
      </c>
      <c r="C505" s="1" t="n">
        <v>46000</v>
      </c>
      <c r="D505" t="inlineStr">
        <is>
          <t>KALMAR LÄN</t>
        </is>
      </c>
      <c r="E505" t="inlineStr">
        <is>
          <t>VIMMERBY</t>
        </is>
      </c>
      <c r="G505" t="n">
        <v>1.6</v>
      </c>
      <c r="H505" t="n">
        <v>0</v>
      </c>
      <c r="I505" t="n">
        <v>0</v>
      </c>
      <c r="J505" t="n">
        <v>0</v>
      </c>
      <c r="K505" t="n">
        <v>0</v>
      </c>
      <c r="L505" t="n">
        <v>0</v>
      </c>
      <c r="M505" t="n">
        <v>0</v>
      </c>
      <c r="N505" t="n">
        <v>0</v>
      </c>
      <c r="O505" t="n">
        <v>0</v>
      </c>
      <c r="P505" t="n">
        <v>0</v>
      </c>
      <c r="Q505" t="n">
        <v>0</v>
      </c>
      <c r="R505" s="2" t="inlineStr"/>
    </row>
    <row r="506" ht="15" customHeight="1">
      <c r="A506" t="inlineStr">
        <is>
          <t>A 36600-2025</t>
        </is>
      </c>
      <c r="B506" s="1" t="n">
        <v>45870.51958333333</v>
      </c>
      <c r="C506" s="1" t="n">
        <v>46000</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36601-2025</t>
        </is>
      </c>
      <c r="B507" s="1" t="n">
        <v>45870.52005787037</v>
      </c>
      <c r="C507" s="1" t="n">
        <v>46000</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5925-2022</t>
        </is>
      </c>
      <c r="B508" s="1" t="n">
        <v>44598.7384837963</v>
      </c>
      <c r="C508" s="1" t="n">
        <v>46000</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46522-2022</t>
        </is>
      </c>
      <c r="B509" s="1" t="n">
        <v>44848.59133101852</v>
      </c>
      <c r="C509" s="1" t="n">
        <v>46000</v>
      </c>
      <c r="D509" t="inlineStr">
        <is>
          <t>KALMAR LÄN</t>
        </is>
      </c>
      <c r="E509" t="inlineStr">
        <is>
          <t>VIMMERBY</t>
        </is>
      </c>
      <c r="G509" t="n">
        <v>1.4</v>
      </c>
      <c r="H509" t="n">
        <v>0</v>
      </c>
      <c r="I509" t="n">
        <v>0</v>
      </c>
      <c r="J509" t="n">
        <v>0</v>
      </c>
      <c r="K509" t="n">
        <v>0</v>
      </c>
      <c r="L509" t="n">
        <v>0</v>
      </c>
      <c r="M509" t="n">
        <v>0</v>
      </c>
      <c r="N509" t="n">
        <v>0</v>
      </c>
      <c r="O509" t="n">
        <v>0</v>
      </c>
      <c r="P509" t="n">
        <v>0</v>
      </c>
      <c r="Q509" t="n">
        <v>0</v>
      </c>
      <c r="R509" s="2" t="inlineStr"/>
    </row>
    <row r="510" ht="15" customHeight="1">
      <c r="A510" t="inlineStr">
        <is>
          <t>A 37088-2025</t>
        </is>
      </c>
      <c r="B510" s="1" t="n">
        <v>45875.45716435185</v>
      </c>
      <c r="C510" s="1" t="n">
        <v>46000</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37102-2025</t>
        </is>
      </c>
      <c r="B511" s="1" t="n">
        <v>45875.47454861111</v>
      </c>
      <c r="C511" s="1" t="n">
        <v>46000</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41066-2024</t>
        </is>
      </c>
      <c r="B512" s="1" t="n">
        <v>45559.38876157408</v>
      </c>
      <c r="C512" s="1" t="n">
        <v>46000</v>
      </c>
      <c r="D512" t="inlineStr">
        <is>
          <t>KALMAR LÄN</t>
        </is>
      </c>
      <c r="E512" t="inlineStr">
        <is>
          <t>VIMMERBY</t>
        </is>
      </c>
      <c r="G512" t="n">
        <v>2.4</v>
      </c>
      <c r="H512" t="n">
        <v>0</v>
      </c>
      <c r="I512" t="n">
        <v>0</v>
      </c>
      <c r="J512" t="n">
        <v>0</v>
      </c>
      <c r="K512" t="n">
        <v>0</v>
      </c>
      <c r="L512" t="n">
        <v>0</v>
      </c>
      <c r="M512" t="n">
        <v>0</v>
      </c>
      <c r="N512" t="n">
        <v>0</v>
      </c>
      <c r="O512" t="n">
        <v>0</v>
      </c>
      <c r="P512" t="n">
        <v>0</v>
      </c>
      <c r="Q512" t="n">
        <v>0</v>
      </c>
      <c r="R512" s="2" t="inlineStr"/>
    </row>
    <row r="513" ht="15" customHeight="1">
      <c r="A513" t="inlineStr">
        <is>
          <t>A 37079-2025</t>
        </is>
      </c>
      <c r="B513" s="1" t="n">
        <v>45875.42716435185</v>
      </c>
      <c r="C513" s="1" t="n">
        <v>46000</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52279-2023</t>
        </is>
      </c>
      <c r="B514" s="1" t="n">
        <v>45224</v>
      </c>
      <c r="C514" s="1" t="n">
        <v>46000</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36934-2025</t>
        </is>
      </c>
      <c r="B515" s="1" t="n">
        <v>45874.57109953704</v>
      </c>
      <c r="C515" s="1" t="n">
        <v>46000</v>
      </c>
      <c r="D515" t="inlineStr">
        <is>
          <t>KALMAR LÄN</t>
        </is>
      </c>
      <c r="E515" t="inlineStr">
        <is>
          <t>VIMMERBY</t>
        </is>
      </c>
      <c r="G515" t="n">
        <v>4.2</v>
      </c>
      <c r="H515" t="n">
        <v>0</v>
      </c>
      <c r="I515" t="n">
        <v>0</v>
      </c>
      <c r="J515" t="n">
        <v>0</v>
      </c>
      <c r="K515" t="n">
        <v>0</v>
      </c>
      <c r="L515" t="n">
        <v>0</v>
      </c>
      <c r="M515" t="n">
        <v>0</v>
      </c>
      <c r="N515" t="n">
        <v>0</v>
      </c>
      <c r="O515" t="n">
        <v>0</v>
      </c>
      <c r="P515" t="n">
        <v>0</v>
      </c>
      <c r="Q515" t="n">
        <v>0</v>
      </c>
      <c r="R515" s="2" t="inlineStr"/>
    </row>
    <row r="516" ht="15" customHeight="1">
      <c r="A516" t="inlineStr">
        <is>
          <t>A 17486-2024</t>
        </is>
      </c>
      <c r="B516" s="1" t="n">
        <v>45415.48979166667</v>
      </c>
      <c r="C516" s="1" t="n">
        <v>46000</v>
      </c>
      <c r="D516" t="inlineStr">
        <is>
          <t>KALMAR LÄN</t>
        </is>
      </c>
      <c r="E516" t="inlineStr">
        <is>
          <t>VIMMERBY</t>
        </is>
      </c>
      <c r="G516" t="n">
        <v>2.6</v>
      </c>
      <c r="H516" t="n">
        <v>0</v>
      </c>
      <c r="I516" t="n">
        <v>0</v>
      </c>
      <c r="J516" t="n">
        <v>0</v>
      </c>
      <c r="K516" t="n">
        <v>0</v>
      </c>
      <c r="L516" t="n">
        <v>0</v>
      </c>
      <c r="M516" t="n">
        <v>0</v>
      </c>
      <c r="N516" t="n">
        <v>0</v>
      </c>
      <c r="O516" t="n">
        <v>0</v>
      </c>
      <c r="P516" t="n">
        <v>0</v>
      </c>
      <c r="Q516" t="n">
        <v>0</v>
      </c>
      <c r="R516" s="2" t="inlineStr"/>
    </row>
    <row r="517" ht="15" customHeight="1">
      <c r="A517" t="inlineStr">
        <is>
          <t>A 71631-2021</t>
        </is>
      </c>
      <c r="B517" s="1" t="n">
        <v>44542.90072916666</v>
      </c>
      <c r="C517" s="1" t="n">
        <v>46000</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37578-2025</t>
        </is>
      </c>
      <c r="B518" s="1" t="n">
        <v>45880.38380787037</v>
      </c>
      <c r="C518" s="1" t="n">
        <v>46000</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16015-2025</t>
        </is>
      </c>
      <c r="B519" s="1" t="n">
        <v>45749.60487268519</v>
      </c>
      <c r="C519" s="1" t="n">
        <v>46000</v>
      </c>
      <c r="D519" t="inlineStr">
        <is>
          <t>KALMAR LÄN</t>
        </is>
      </c>
      <c r="E519" t="inlineStr">
        <is>
          <t>VIMMERBY</t>
        </is>
      </c>
      <c r="F519" t="inlineStr">
        <is>
          <t>Kyrkan</t>
        </is>
      </c>
      <c r="G519" t="n">
        <v>2.7</v>
      </c>
      <c r="H519" t="n">
        <v>0</v>
      </c>
      <c r="I519" t="n">
        <v>0</v>
      </c>
      <c r="J519" t="n">
        <v>0</v>
      </c>
      <c r="K519" t="n">
        <v>0</v>
      </c>
      <c r="L519" t="n">
        <v>0</v>
      </c>
      <c r="M519" t="n">
        <v>0</v>
      </c>
      <c r="N519" t="n">
        <v>0</v>
      </c>
      <c r="O519" t="n">
        <v>0</v>
      </c>
      <c r="P519" t="n">
        <v>0</v>
      </c>
      <c r="Q519" t="n">
        <v>0</v>
      </c>
      <c r="R519" s="2" t="inlineStr"/>
    </row>
    <row r="520" ht="15" customHeight="1">
      <c r="A520" t="inlineStr">
        <is>
          <t>A 9694-2023</t>
        </is>
      </c>
      <c r="B520" s="1" t="n">
        <v>44984.45895833334</v>
      </c>
      <c r="C520" s="1" t="n">
        <v>46000</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22198-2024</t>
        </is>
      </c>
      <c r="B521" s="1" t="n">
        <v>45446.36865740741</v>
      </c>
      <c r="C521" s="1" t="n">
        <v>46000</v>
      </c>
      <c r="D521" t="inlineStr">
        <is>
          <t>KALMAR LÄN</t>
        </is>
      </c>
      <c r="E521" t="inlineStr">
        <is>
          <t>VIMMERBY</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37668-2025</t>
        </is>
      </c>
      <c r="B522" s="1" t="n">
        <v>45880.51550925926</v>
      </c>
      <c r="C522" s="1" t="n">
        <v>46000</v>
      </c>
      <c r="D522" t="inlineStr">
        <is>
          <t>KALMAR LÄN</t>
        </is>
      </c>
      <c r="E522" t="inlineStr">
        <is>
          <t>VIMMERBY</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57311-2023</t>
        </is>
      </c>
      <c r="B523" s="1" t="n">
        <v>45245.63574074074</v>
      </c>
      <c r="C523" s="1" t="n">
        <v>46000</v>
      </c>
      <c r="D523" t="inlineStr">
        <is>
          <t>KALMAR LÄN</t>
        </is>
      </c>
      <c r="E523" t="inlineStr">
        <is>
          <t>VIMMERBY</t>
        </is>
      </c>
      <c r="G523" t="n">
        <v>1.6</v>
      </c>
      <c r="H523" t="n">
        <v>0</v>
      </c>
      <c r="I523" t="n">
        <v>0</v>
      </c>
      <c r="J523" t="n">
        <v>0</v>
      </c>
      <c r="K523" t="n">
        <v>0</v>
      </c>
      <c r="L523" t="n">
        <v>0</v>
      </c>
      <c r="M523" t="n">
        <v>0</v>
      </c>
      <c r="N523" t="n">
        <v>0</v>
      </c>
      <c r="O523" t="n">
        <v>0</v>
      </c>
      <c r="P523" t="n">
        <v>0</v>
      </c>
      <c r="Q523" t="n">
        <v>0</v>
      </c>
      <c r="R523" s="2" t="inlineStr"/>
    </row>
    <row r="524" ht="15" customHeight="1">
      <c r="A524" t="inlineStr">
        <is>
          <t>A 12588-2025</t>
        </is>
      </c>
      <c r="B524" s="1" t="n">
        <v>45732.76936342593</v>
      </c>
      <c r="C524" s="1" t="n">
        <v>46000</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7932-2025</t>
        </is>
      </c>
      <c r="B525" s="1" t="n">
        <v>45707.3793287037</v>
      </c>
      <c r="C525" s="1" t="n">
        <v>46000</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37939-2025</t>
        </is>
      </c>
      <c r="B526" s="1" t="n">
        <v>45881.59877314815</v>
      </c>
      <c r="C526" s="1" t="n">
        <v>46000</v>
      </c>
      <c r="D526" t="inlineStr">
        <is>
          <t>KALMAR LÄN</t>
        </is>
      </c>
      <c r="E526" t="inlineStr">
        <is>
          <t>VIMMERBY</t>
        </is>
      </c>
      <c r="G526" t="n">
        <v>1.3</v>
      </c>
      <c r="H526" t="n">
        <v>0</v>
      </c>
      <c r="I526" t="n">
        <v>0</v>
      </c>
      <c r="J526" t="n">
        <v>0</v>
      </c>
      <c r="K526" t="n">
        <v>0</v>
      </c>
      <c r="L526" t="n">
        <v>0</v>
      </c>
      <c r="M526" t="n">
        <v>0</v>
      </c>
      <c r="N526" t="n">
        <v>0</v>
      </c>
      <c r="O526" t="n">
        <v>0</v>
      </c>
      <c r="P526" t="n">
        <v>0</v>
      </c>
      <c r="Q526" t="n">
        <v>0</v>
      </c>
      <c r="R526" s="2" t="inlineStr"/>
    </row>
    <row r="527" ht="15" customHeight="1">
      <c r="A527" t="inlineStr">
        <is>
          <t>A 37866-2025</t>
        </is>
      </c>
      <c r="B527" s="1" t="n">
        <v>45881</v>
      </c>
      <c r="C527" s="1" t="n">
        <v>46000</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2121-2022</t>
        </is>
      </c>
      <c r="B528" s="1" t="n">
        <v>44578.32717592592</v>
      </c>
      <c r="C528" s="1" t="n">
        <v>46000</v>
      </c>
      <c r="D528" t="inlineStr">
        <is>
          <t>KALMAR LÄN</t>
        </is>
      </c>
      <c r="E528" t="inlineStr">
        <is>
          <t>VIMMERBY</t>
        </is>
      </c>
      <c r="G528" t="n">
        <v>2</v>
      </c>
      <c r="H528" t="n">
        <v>0</v>
      </c>
      <c r="I528" t="n">
        <v>0</v>
      </c>
      <c r="J528" t="n">
        <v>0</v>
      </c>
      <c r="K528" t="n">
        <v>0</v>
      </c>
      <c r="L528" t="n">
        <v>0</v>
      </c>
      <c r="M528" t="n">
        <v>0</v>
      </c>
      <c r="N528" t="n">
        <v>0</v>
      </c>
      <c r="O528" t="n">
        <v>0</v>
      </c>
      <c r="P528" t="n">
        <v>0</v>
      </c>
      <c r="Q528" t="n">
        <v>0</v>
      </c>
      <c r="R528" s="2" t="inlineStr"/>
    </row>
    <row r="529" ht="15" customHeight="1">
      <c r="A529" t="inlineStr">
        <is>
          <t>A 58442-2025</t>
        </is>
      </c>
      <c r="B529" s="1" t="n">
        <v>45985.61635416667</v>
      </c>
      <c r="C529" s="1" t="n">
        <v>46000</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58435-2025</t>
        </is>
      </c>
      <c r="B530" s="1" t="n">
        <v>45985.61501157407</v>
      </c>
      <c r="C530" s="1" t="n">
        <v>46000</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58498-2025</t>
        </is>
      </c>
      <c r="B531" s="1" t="n">
        <v>45985.68671296296</v>
      </c>
      <c r="C531" s="1" t="n">
        <v>46000</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58501-2025</t>
        </is>
      </c>
      <c r="B532" s="1" t="n">
        <v>45985.69153935185</v>
      </c>
      <c r="C532" s="1" t="n">
        <v>46000</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34386-2024</t>
        </is>
      </c>
      <c r="B533" s="1" t="n">
        <v>45525.41762731481</v>
      </c>
      <c r="C533" s="1" t="n">
        <v>46000</v>
      </c>
      <c r="D533" t="inlineStr">
        <is>
          <t>KALMAR LÄN</t>
        </is>
      </c>
      <c r="E533" t="inlineStr">
        <is>
          <t>VIMMERBY</t>
        </is>
      </c>
      <c r="G533" t="n">
        <v>0.3</v>
      </c>
      <c r="H533" t="n">
        <v>0</v>
      </c>
      <c r="I533" t="n">
        <v>0</v>
      </c>
      <c r="J533" t="n">
        <v>0</v>
      </c>
      <c r="K533" t="n">
        <v>0</v>
      </c>
      <c r="L533" t="n">
        <v>0</v>
      </c>
      <c r="M533" t="n">
        <v>0</v>
      </c>
      <c r="N533" t="n">
        <v>0</v>
      </c>
      <c r="O533" t="n">
        <v>0</v>
      </c>
      <c r="P533" t="n">
        <v>0</v>
      </c>
      <c r="Q533" t="n">
        <v>0</v>
      </c>
      <c r="R533" s="2" t="inlineStr"/>
    </row>
    <row r="534" ht="15" customHeight="1">
      <c r="A534" t="inlineStr">
        <is>
          <t>A 58514-2025</t>
        </is>
      </c>
      <c r="B534" s="1" t="n">
        <v>45985.70513888889</v>
      </c>
      <c r="C534" s="1" t="n">
        <v>46000</v>
      </c>
      <c r="D534" t="inlineStr">
        <is>
          <t>KALMAR LÄN</t>
        </is>
      </c>
      <c r="E534" t="inlineStr">
        <is>
          <t>VIMMERBY</t>
        </is>
      </c>
      <c r="G534" t="n">
        <v>3.7</v>
      </c>
      <c r="H534" t="n">
        <v>0</v>
      </c>
      <c r="I534" t="n">
        <v>0</v>
      </c>
      <c r="J534" t="n">
        <v>0</v>
      </c>
      <c r="K534" t="n">
        <v>0</v>
      </c>
      <c r="L534" t="n">
        <v>0</v>
      </c>
      <c r="M534" t="n">
        <v>0</v>
      </c>
      <c r="N534" t="n">
        <v>0</v>
      </c>
      <c r="O534" t="n">
        <v>0</v>
      </c>
      <c r="P534" t="n">
        <v>0</v>
      </c>
      <c r="Q534" t="n">
        <v>0</v>
      </c>
      <c r="R534" s="2" t="inlineStr"/>
    </row>
    <row r="535" ht="15" customHeight="1">
      <c r="A535" t="inlineStr">
        <is>
          <t>A 6069-2023</t>
        </is>
      </c>
      <c r="B535" s="1" t="n">
        <v>44964.5115162037</v>
      </c>
      <c r="C535" s="1" t="n">
        <v>46000</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38964-2025</t>
        </is>
      </c>
      <c r="B536" s="1" t="n">
        <v>45887.68759259259</v>
      </c>
      <c r="C536" s="1" t="n">
        <v>46000</v>
      </c>
      <c r="D536" t="inlineStr">
        <is>
          <t>KALMAR LÄN</t>
        </is>
      </c>
      <c r="E536" t="inlineStr">
        <is>
          <t>VIMMERBY</t>
        </is>
      </c>
      <c r="G536" t="n">
        <v>7.5</v>
      </c>
      <c r="H536" t="n">
        <v>0</v>
      </c>
      <c r="I536" t="n">
        <v>0</v>
      </c>
      <c r="J536" t="n">
        <v>0</v>
      </c>
      <c r="K536" t="n">
        <v>0</v>
      </c>
      <c r="L536" t="n">
        <v>0</v>
      </c>
      <c r="M536" t="n">
        <v>0</v>
      </c>
      <c r="N536" t="n">
        <v>0</v>
      </c>
      <c r="O536" t="n">
        <v>0</v>
      </c>
      <c r="P536" t="n">
        <v>0</v>
      </c>
      <c r="Q536" t="n">
        <v>0</v>
      </c>
      <c r="R536" s="2" t="inlineStr"/>
    </row>
    <row r="537" ht="15" customHeight="1">
      <c r="A537" t="inlineStr">
        <is>
          <t>A 58500-2025</t>
        </is>
      </c>
      <c r="B537" s="1" t="n">
        <v>45985.69008101852</v>
      </c>
      <c r="C537" s="1" t="n">
        <v>46000</v>
      </c>
      <c r="D537" t="inlineStr">
        <is>
          <t>KALMAR LÄN</t>
        </is>
      </c>
      <c r="E537" t="inlineStr">
        <is>
          <t>VIMMERBY</t>
        </is>
      </c>
      <c r="G537" t="n">
        <v>1.8</v>
      </c>
      <c r="H537" t="n">
        <v>0</v>
      </c>
      <c r="I537" t="n">
        <v>0</v>
      </c>
      <c r="J537" t="n">
        <v>0</v>
      </c>
      <c r="K537" t="n">
        <v>0</v>
      </c>
      <c r="L537" t="n">
        <v>0</v>
      </c>
      <c r="M537" t="n">
        <v>0</v>
      </c>
      <c r="N537" t="n">
        <v>0</v>
      </c>
      <c r="O537" t="n">
        <v>0</v>
      </c>
      <c r="P537" t="n">
        <v>0</v>
      </c>
      <c r="Q537" t="n">
        <v>0</v>
      </c>
      <c r="R537" s="2" t="inlineStr"/>
    </row>
    <row r="538" ht="15" customHeight="1">
      <c r="A538" t="inlineStr">
        <is>
          <t>A 58503-2025</t>
        </is>
      </c>
      <c r="B538" s="1" t="n">
        <v>45985.69509259259</v>
      </c>
      <c r="C538" s="1" t="n">
        <v>46000</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58446-2025</t>
        </is>
      </c>
      <c r="B539" s="1" t="n">
        <v>45985.62168981481</v>
      </c>
      <c r="C539" s="1" t="n">
        <v>46000</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32633-2023</t>
        </is>
      </c>
      <c r="B540" s="1" t="n">
        <v>45121.58699074074</v>
      </c>
      <c r="C540" s="1" t="n">
        <v>46000</v>
      </c>
      <c r="D540" t="inlineStr">
        <is>
          <t>KALMAR LÄN</t>
        </is>
      </c>
      <c r="E540" t="inlineStr">
        <is>
          <t>VIMMERBY</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49871-2025</t>
        </is>
      </c>
      <c r="B541" s="1" t="n">
        <v>45940.54104166666</v>
      </c>
      <c r="C541" s="1" t="n">
        <v>46000</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49461-2023</t>
        </is>
      </c>
      <c r="B542" s="1" t="n">
        <v>45211.52642361111</v>
      </c>
      <c r="C542" s="1" t="n">
        <v>46000</v>
      </c>
      <c r="D542" t="inlineStr">
        <is>
          <t>KALMAR LÄN</t>
        </is>
      </c>
      <c r="E542" t="inlineStr">
        <is>
          <t>VIMMERBY</t>
        </is>
      </c>
      <c r="G542" t="n">
        <v>1.5</v>
      </c>
      <c r="H542" t="n">
        <v>0</v>
      </c>
      <c r="I542" t="n">
        <v>0</v>
      </c>
      <c r="J542" t="n">
        <v>0</v>
      </c>
      <c r="K542" t="n">
        <v>0</v>
      </c>
      <c r="L542" t="n">
        <v>0</v>
      </c>
      <c r="M542" t="n">
        <v>0</v>
      </c>
      <c r="N542" t="n">
        <v>0</v>
      </c>
      <c r="O542" t="n">
        <v>0</v>
      </c>
      <c r="P542" t="n">
        <v>0</v>
      </c>
      <c r="Q542" t="n">
        <v>0</v>
      </c>
      <c r="R542" s="2" t="inlineStr"/>
    </row>
    <row r="543" ht="15" customHeight="1">
      <c r="A543" t="inlineStr">
        <is>
          <t>A 23095-2023</t>
        </is>
      </c>
      <c r="B543" s="1" t="n">
        <v>45075.43059027778</v>
      </c>
      <c r="C543" s="1" t="n">
        <v>46000</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11429-2022</t>
        </is>
      </c>
      <c r="B544" s="1" t="n">
        <v>44630</v>
      </c>
      <c r="C544" s="1" t="n">
        <v>46000</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57728-2025</t>
        </is>
      </c>
      <c r="B545" s="1" t="n">
        <v>45981</v>
      </c>
      <c r="C545" s="1" t="n">
        <v>46000</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58841-2025</t>
        </is>
      </c>
      <c r="B546" s="1" t="n">
        <v>45987.36275462963</v>
      </c>
      <c r="C546" s="1" t="n">
        <v>46000</v>
      </c>
      <c r="D546" t="inlineStr">
        <is>
          <t>KALMAR LÄN</t>
        </is>
      </c>
      <c r="E546" t="inlineStr">
        <is>
          <t>VIMMERBY</t>
        </is>
      </c>
      <c r="G546" t="n">
        <v>3.5</v>
      </c>
      <c r="H546" t="n">
        <v>0</v>
      </c>
      <c r="I546" t="n">
        <v>0</v>
      </c>
      <c r="J546" t="n">
        <v>0</v>
      </c>
      <c r="K546" t="n">
        <v>0</v>
      </c>
      <c r="L546" t="n">
        <v>0</v>
      </c>
      <c r="M546" t="n">
        <v>0</v>
      </c>
      <c r="N546" t="n">
        <v>0</v>
      </c>
      <c r="O546" t="n">
        <v>0</v>
      </c>
      <c r="P546" t="n">
        <v>0</v>
      </c>
      <c r="Q546" t="n">
        <v>0</v>
      </c>
      <c r="R546" s="2" t="inlineStr"/>
    </row>
    <row r="547" ht="15" customHeight="1">
      <c r="A547" t="inlineStr">
        <is>
          <t>A 11141-2024</t>
        </is>
      </c>
      <c r="B547" s="1" t="n">
        <v>45371.45865740741</v>
      </c>
      <c r="C547" s="1" t="n">
        <v>46000</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28395-2023</t>
        </is>
      </c>
      <c r="B548" s="1" t="n">
        <v>45100.4062962963</v>
      </c>
      <c r="C548" s="1" t="n">
        <v>46000</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50544-2025</t>
        </is>
      </c>
      <c r="B549" s="1" t="n">
        <v>45945.50736111111</v>
      </c>
      <c r="C549" s="1" t="n">
        <v>46000</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34597-2022</t>
        </is>
      </c>
      <c r="B550" s="1" t="n">
        <v>44795</v>
      </c>
      <c r="C550" s="1" t="n">
        <v>46000</v>
      </c>
      <c r="D550" t="inlineStr">
        <is>
          <t>KALMAR LÄN</t>
        </is>
      </c>
      <c r="E550" t="inlineStr">
        <is>
          <t>VIMMERBY</t>
        </is>
      </c>
      <c r="G550" t="n">
        <v>2.2</v>
      </c>
      <c r="H550" t="n">
        <v>0</v>
      </c>
      <c r="I550" t="n">
        <v>0</v>
      </c>
      <c r="J550" t="n">
        <v>0</v>
      </c>
      <c r="K550" t="n">
        <v>0</v>
      </c>
      <c r="L550" t="n">
        <v>0</v>
      </c>
      <c r="M550" t="n">
        <v>0</v>
      </c>
      <c r="N550" t="n">
        <v>0</v>
      </c>
      <c r="O550" t="n">
        <v>0</v>
      </c>
      <c r="P550" t="n">
        <v>0</v>
      </c>
      <c r="Q550" t="n">
        <v>0</v>
      </c>
      <c r="R550" s="2" t="inlineStr"/>
    </row>
    <row r="551" ht="15" customHeight="1">
      <c r="A551" t="inlineStr">
        <is>
          <t>A 58858-2025</t>
        </is>
      </c>
      <c r="B551" s="1" t="n">
        <v>45987.4243287037</v>
      </c>
      <c r="C551" s="1" t="n">
        <v>46000</v>
      </c>
      <c r="D551" t="inlineStr">
        <is>
          <t>KALMAR LÄN</t>
        </is>
      </c>
      <c r="E551" t="inlineStr">
        <is>
          <t>VIMMERBY</t>
        </is>
      </c>
      <c r="G551" t="n">
        <v>1.2</v>
      </c>
      <c r="H551" t="n">
        <v>0</v>
      </c>
      <c r="I551" t="n">
        <v>0</v>
      </c>
      <c r="J551" t="n">
        <v>0</v>
      </c>
      <c r="K551" t="n">
        <v>0</v>
      </c>
      <c r="L551" t="n">
        <v>0</v>
      </c>
      <c r="M551" t="n">
        <v>0</v>
      </c>
      <c r="N551" t="n">
        <v>0</v>
      </c>
      <c r="O551" t="n">
        <v>0</v>
      </c>
      <c r="P551" t="n">
        <v>0</v>
      </c>
      <c r="Q551" t="n">
        <v>0</v>
      </c>
      <c r="R551" s="2" t="inlineStr"/>
    </row>
    <row r="552" ht="15" customHeight="1">
      <c r="A552" t="inlineStr">
        <is>
          <t>A 64428-2023</t>
        </is>
      </c>
      <c r="B552" s="1" t="n">
        <v>45280.66769675926</v>
      </c>
      <c r="C552" s="1" t="n">
        <v>46000</v>
      </c>
      <c r="D552" t="inlineStr">
        <is>
          <t>KALMAR LÄN</t>
        </is>
      </c>
      <c r="E552" t="inlineStr">
        <is>
          <t>VIMMERBY</t>
        </is>
      </c>
      <c r="G552" t="n">
        <v>1.2</v>
      </c>
      <c r="H552" t="n">
        <v>0</v>
      </c>
      <c r="I552" t="n">
        <v>0</v>
      </c>
      <c r="J552" t="n">
        <v>0</v>
      </c>
      <c r="K552" t="n">
        <v>0</v>
      </c>
      <c r="L552" t="n">
        <v>0</v>
      </c>
      <c r="M552" t="n">
        <v>0</v>
      </c>
      <c r="N552" t="n">
        <v>0</v>
      </c>
      <c r="O552" t="n">
        <v>0</v>
      </c>
      <c r="P552" t="n">
        <v>0</v>
      </c>
      <c r="Q552" t="n">
        <v>0</v>
      </c>
      <c r="R552" s="2" t="inlineStr"/>
    </row>
    <row r="553" ht="15" customHeight="1">
      <c r="A553" t="inlineStr">
        <is>
          <t>A 30588-2023</t>
        </is>
      </c>
      <c r="B553" s="1" t="n">
        <v>45112.33599537037</v>
      </c>
      <c r="C553" s="1" t="n">
        <v>46000</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30503-2023</t>
        </is>
      </c>
      <c r="B554" s="1" t="n">
        <v>45111</v>
      </c>
      <c r="C554" s="1" t="n">
        <v>46000</v>
      </c>
      <c r="D554" t="inlineStr">
        <is>
          <t>KALMAR LÄN</t>
        </is>
      </c>
      <c r="E554" t="inlineStr">
        <is>
          <t>VIMMERBY</t>
        </is>
      </c>
      <c r="G554" t="n">
        <v>0.5</v>
      </c>
      <c r="H554" t="n">
        <v>0</v>
      </c>
      <c r="I554" t="n">
        <v>0</v>
      </c>
      <c r="J554" t="n">
        <v>0</v>
      </c>
      <c r="K554" t="n">
        <v>0</v>
      </c>
      <c r="L554" t="n">
        <v>0</v>
      </c>
      <c r="M554" t="n">
        <v>0</v>
      </c>
      <c r="N554" t="n">
        <v>0</v>
      </c>
      <c r="O554" t="n">
        <v>0</v>
      </c>
      <c r="P554" t="n">
        <v>0</v>
      </c>
      <c r="Q554" t="n">
        <v>0</v>
      </c>
      <c r="R554" s="2" t="inlineStr"/>
    </row>
    <row r="555" ht="15" customHeight="1">
      <c r="A555" t="inlineStr">
        <is>
          <t>A 50324-2025</t>
        </is>
      </c>
      <c r="B555" s="1" t="n">
        <v>45944.45962962963</v>
      </c>
      <c r="C555" s="1" t="n">
        <v>46000</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47263-2023</t>
        </is>
      </c>
      <c r="B556" s="1" t="n">
        <v>45202.4209837963</v>
      </c>
      <c r="C556" s="1" t="n">
        <v>46000</v>
      </c>
      <c r="D556" t="inlineStr">
        <is>
          <t>KALMAR LÄN</t>
        </is>
      </c>
      <c r="E556" t="inlineStr">
        <is>
          <t>VIMMERBY</t>
        </is>
      </c>
      <c r="G556" t="n">
        <v>1.8</v>
      </c>
      <c r="H556" t="n">
        <v>0</v>
      </c>
      <c r="I556" t="n">
        <v>0</v>
      </c>
      <c r="J556" t="n">
        <v>0</v>
      </c>
      <c r="K556" t="n">
        <v>0</v>
      </c>
      <c r="L556" t="n">
        <v>0</v>
      </c>
      <c r="M556" t="n">
        <v>0</v>
      </c>
      <c r="N556" t="n">
        <v>0</v>
      </c>
      <c r="O556" t="n">
        <v>0</v>
      </c>
      <c r="P556" t="n">
        <v>0</v>
      </c>
      <c r="Q556" t="n">
        <v>0</v>
      </c>
      <c r="R556" s="2" t="inlineStr"/>
    </row>
    <row r="557" ht="15" customHeight="1">
      <c r="A557" t="inlineStr">
        <is>
          <t>A 58100-2024</t>
        </is>
      </c>
      <c r="B557" s="1" t="n">
        <v>45632.36706018518</v>
      </c>
      <c r="C557" s="1" t="n">
        <v>46000</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58159-2024</t>
        </is>
      </c>
      <c r="B558" s="1" t="n">
        <v>45632.44886574074</v>
      </c>
      <c r="C558" s="1" t="n">
        <v>46000</v>
      </c>
      <c r="D558" t="inlineStr">
        <is>
          <t>KALMAR LÄN</t>
        </is>
      </c>
      <c r="E558" t="inlineStr">
        <is>
          <t>VIMMERBY</t>
        </is>
      </c>
      <c r="G558" t="n">
        <v>7.5</v>
      </c>
      <c r="H558" t="n">
        <v>0</v>
      </c>
      <c r="I558" t="n">
        <v>0</v>
      </c>
      <c r="J558" t="n">
        <v>0</v>
      </c>
      <c r="K558" t="n">
        <v>0</v>
      </c>
      <c r="L558" t="n">
        <v>0</v>
      </c>
      <c r="M558" t="n">
        <v>0</v>
      </c>
      <c r="N558" t="n">
        <v>0</v>
      </c>
      <c r="O558" t="n">
        <v>0</v>
      </c>
      <c r="P558" t="n">
        <v>0</v>
      </c>
      <c r="Q558" t="n">
        <v>0</v>
      </c>
      <c r="R558" s="2" t="inlineStr"/>
    </row>
    <row r="559" ht="15" customHeight="1">
      <c r="A559" t="inlineStr">
        <is>
          <t>A 57114-2023</t>
        </is>
      </c>
      <c r="B559" s="1" t="n">
        <v>45245.36174768519</v>
      </c>
      <c r="C559" s="1" t="n">
        <v>46000</v>
      </c>
      <c r="D559" t="inlineStr">
        <is>
          <t>KALMAR LÄN</t>
        </is>
      </c>
      <c r="E559" t="inlineStr">
        <is>
          <t>VIMMERBY</t>
        </is>
      </c>
      <c r="G559" t="n">
        <v>1.5</v>
      </c>
      <c r="H559" t="n">
        <v>0</v>
      </c>
      <c r="I559" t="n">
        <v>0</v>
      </c>
      <c r="J559" t="n">
        <v>0</v>
      </c>
      <c r="K559" t="n">
        <v>0</v>
      </c>
      <c r="L559" t="n">
        <v>0</v>
      </c>
      <c r="M559" t="n">
        <v>0</v>
      </c>
      <c r="N559" t="n">
        <v>0</v>
      </c>
      <c r="O559" t="n">
        <v>0</v>
      </c>
      <c r="P559" t="n">
        <v>0</v>
      </c>
      <c r="Q559" t="n">
        <v>0</v>
      </c>
      <c r="R559" s="2" t="inlineStr"/>
    </row>
    <row r="560" ht="15" customHeight="1">
      <c r="A560" t="inlineStr">
        <is>
          <t>A 3423-2022</t>
        </is>
      </c>
      <c r="B560" s="1" t="n">
        <v>44585.50431712963</v>
      </c>
      <c r="C560" s="1" t="n">
        <v>46000</v>
      </c>
      <c r="D560" t="inlineStr">
        <is>
          <t>KALMAR LÄN</t>
        </is>
      </c>
      <c r="E560" t="inlineStr">
        <is>
          <t>VIMMERBY</t>
        </is>
      </c>
      <c r="G560" t="n">
        <v>1.7</v>
      </c>
      <c r="H560" t="n">
        <v>0</v>
      </c>
      <c r="I560" t="n">
        <v>0</v>
      </c>
      <c r="J560" t="n">
        <v>0</v>
      </c>
      <c r="K560" t="n">
        <v>0</v>
      </c>
      <c r="L560" t="n">
        <v>0</v>
      </c>
      <c r="M560" t="n">
        <v>0</v>
      </c>
      <c r="N560" t="n">
        <v>0</v>
      </c>
      <c r="O560" t="n">
        <v>0</v>
      </c>
      <c r="P560" t="n">
        <v>0</v>
      </c>
      <c r="Q560" t="n">
        <v>0</v>
      </c>
      <c r="R560" s="2" t="inlineStr"/>
    </row>
    <row r="561" ht="15" customHeight="1">
      <c r="A561" t="inlineStr">
        <is>
          <t>A 40665-2023</t>
        </is>
      </c>
      <c r="B561" s="1" t="n">
        <v>45170</v>
      </c>
      <c r="C561" s="1" t="n">
        <v>46000</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51062-2025</t>
        </is>
      </c>
      <c r="B562" s="1" t="n">
        <v>45947.44685185186</v>
      </c>
      <c r="C562" s="1" t="n">
        <v>46000</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59037-2025</t>
        </is>
      </c>
      <c r="B563" s="1" t="n">
        <v>45988.36508101852</v>
      </c>
      <c r="C563" s="1" t="n">
        <v>46000</v>
      </c>
      <c r="D563" t="inlineStr">
        <is>
          <t>KALMAR LÄN</t>
        </is>
      </c>
      <c r="E563" t="inlineStr">
        <is>
          <t>VIMMERBY</t>
        </is>
      </c>
      <c r="F563" t="inlineStr">
        <is>
          <t>Sveaskog</t>
        </is>
      </c>
      <c r="G563" t="n">
        <v>4</v>
      </c>
      <c r="H563" t="n">
        <v>0</v>
      </c>
      <c r="I563" t="n">
        <v>0</v>
      </c>
      <c r="J563" t="n">
        <v>0</v>
      </c>
      <c r="K563" t="n">
        <v>0</v>
      </c>
      <c r="L563" t="n">
        <v>0</v>
      </c>
      <c r="M563" t="n">
        <v>0</v>
      </c>
      <c r="N563" t="n">
        <v>0</v>
      </c>
      <c r="O563" t="n">
        <v>0</v>
      </c>
      <c r="P563" t="n">
        <v>0</v>
      </c>
      <c r="Q563" t="n">
        <v>0</v>
      </c>
      <c r="R563" s="2" t="inlineStr"/>
    </row>
    <row r="564" ht="15" customHeight="1">
      <c r="A564" t="inlineStr">
        <is>
          <t>A 59039-2025</t>
        </is>
      </c>
      <c r="B564" s="1" t="n">
        <v>45988.36790509259</v>
      </c>
      <c r="C564" s="1" t="n">
        <v>46000</v>
      </c>
      <c r="D564" t="inlineStr">
        <is>
          <t>KALMAR LÄN</t>
        </is>
      </c>
      <c r="E564" t="inlineStr">
        <is>
          <t>VIMMERBY</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59034-2025</t>
        </is>
      </c>
      <c r="B565" s="1" t="n">
        <v>45988.36243055556</v>
      </c>
      <c r="C565" s="1" t="n">
        <v>46000</v>
      </c>
      <c r="D565" t="inlineStr">
        <is>
          <t>KALMAR LÄN</t>
        </is>
      </c>
      <c r="E565" t="inlineStr">
        <is>
          <t>VIMMERBY</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59068-2025</t>
        </is>
      </c>
      <c r="B566" s="1" t="n">
        <v>45988.41725694444</v>
      </c>
      <c r="C566" s="1" t="n">
        <v>46000</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58997-2025</t>
        </is>
      </c>
      <c r="B567" s="1" t="n">
        <v>45987</v>
      </c>
      <c r="C567" s="1" t="n">
        <v>46000</v>
      </c>
      <c r="D567" t="inlineStr">
        <is>
          <t>KALMAR LÄN</t>
        </is>
      </c>
      <c r="E567" t="inlineStr">
        <is>
          <t>VIMMERBY</t>
        </is>
      </c>
      <c r="G567" t="n">
        <v>7.9</v>
      </c>
      <c r="H567" t="n">
        <v>0</v>
      </c>
      <c r="I567" t="n">
        <v>0</v>
      </c>
      <c r="J567" t="n">
        <v>0</v>
      </c>
      <c r="K567" t="n">
        <v>0</v>
      </c>
      <c r="L567" t="n">
        <v>0</v>
      </c>
      <c r="M567" t="n">
        <v>0</v>
      </c>
      <c r="N567" t="n">
        <v>0</v>
      </c>
      <c r="O567" t="n">
        <v>0</v>
      </c>
      <c r="P567" t="n">
        <v>0</v>
      </c>
      <c r="Q567" t="n">
        <v>0</v>
      </c>
      <c r="R567" s="2" t="inlineStr"/>
    </row>
    <row r="568" ht="15" customHeight="1">
      <c r="A568" t="inlineStr">
        <is>
          <t>A 50860-2022</t>
        </is>
      </c>
      <c r="B568" s="1" t="n">
        <v>44867</v>
      </c>
      <c r="C568" s="1" t="n">
        <v>46000</v>
      </c>
      <c r="D568" t="inlineStr">
        <is>
          <t>KALMAR LÄN</t>
        </is>
      </c>
      <c r="E568" t="inlineStr">
        <is>
          <t>VIMMERBY</t>
        </is>
      </c>
      <c r="G568" t="n">
        <v>0.6</v>
      </c>
      <c r="H568" t="n">
        <v>0</v>
      </c>
      <c r="I568" t="n">
        <v>0</v>
      </c>
      <c r="J568" t="n">
        <v>0</v>
      </c>
      <c r="K568" t="n">
        <v>0</v>
      </c>
      <c r="L568" t="n">
        <v>0</v>
      </c>
      <c r="M568" t="n">
        <v>0</v>
      </c>
      <c r="N568" t="n">
        <v>0</v>
      </c>
      <c r="O568" t="n">
        <v>0</v>
      </c>
      <c r="P568" t="n">
        <v>0</v>
      </c>
      <c r="Q568" t="n">
        <v>0</v>
      </c>
      <c r="R568" s="2" t="inlineStr"/>
    </row>
    <row r="569" ht="15" customHeight="1">
      <c r="A569" t="inlineStr">
        <is>
          <t>A 25370-2022</t>
        </is>
      </c>
      <c r="B569" s="1" t="n">
        <v>44732.3659837963</v>
      </c>
      <c r="C569" s="1" t="n">
        <v>46000</v>
      </c>
      <c r="D569" t="inlineStr">
        <is>
          <t>KALMAR LÄN</t>
        </is>
      </c>
      <c r="E569" t="inlineStr">
        <is>
          <t>VIMMERBY</t>
        </is>
      </c>
      <c r="G569" t="n">
        <v>1.2</v>
      </c>
      <c r="H569" t="n">
        <v>0</v>
      </c>
      <c r="I569" t="n">
        <v>0</v>
      </c>
      <c r="J569" t="n">
        <v>0</v>
      </c>
      <c r="K569" t="n">
        <v>0</v>
      </c>
      <c r="L569" t="n">
        <v>0</v>
      </c>
      <c r="M569" t="n">
        <v>0</v>
      </c>
      <c r="N569" t="n">
        <v>0</v>
      </c>
      <c r="O569" t="n">
        <v>0</v>
      </c>
      <c r="P569" t="n">
        <v>0</v>
      </c>
      <c r="Q569" t="n">
        <v>0</v>
      </c>
      <c r="R569" s="2" t="inlineStr"/>
    </row>
    <row r="570" ht="15" customHeight="1">
      <c r="A570" t="inlineStr">
        <is>
          <t>A 58577-2024</t>
        </is>
      </c>
      <c r="B570" s="1" t="n">
        <v>45635.4874537037</v>
      </c>
      <c r="C570" s="1" t="n">
        <v>46000</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29440-2024</t>
        </is>
      </c>
      <c r="B571" s="1" t="n">
        <v>45483.82479166667</v>
      </c>
      <c r="C571" s="1" t="n">
        <v>46000</v>
      </c>
      <c r="D571" t="inlineStr">
        <is>
          <t>KALMAR LÄN</t>
        </is>
      </c>
      <c r="E571" t="inlineStr">
        <is>
          <t>VIMMERBY</t>
        </is>
      </c>
      <c r="G571" t="n">
        <v>4.5</v>
      </c>
      <c r="H571" t="n">
        <v>0</v>
      </c>
      <c r="I571" t="n">
        <v>0</v>
      </c>
      <c r="J571" t="n">
        <v>0</v>
      </c>
      <c r="K571" t="n">
        <v>0</v>
      </c>
      <c r="L571" t="n">
        <v>0</v>
      </c>
      <c r="M571" t="n">
        <v>0</v>
      </c>
      <c r="N571" t="n">
        <v>0</v>
      </c>
      <c r="O571" t="n">
        <v>0</v>
      </c>
      <c r="P571" t="n">
        <v>0</v>
      </c>
      <c r="Q571" t="n">
        <v>0</v>
      </c>
      <c r="R571" s="2" t="inlineStr"/>
    </row>
    <row r="572" ht="15" customHeight="1">
      <c r="A572" t="inlineStr">
        <is>
          <t>A 9129-2025</t>
        </is>
      </c>
      <c r="B572" s="1" t="n">
        <v>45713.92412037037</v>
      </c>
      <c r="C572" s="1" t="n">
        <v>46000</v>
      </c>
      <c r="D572" t="inlineStr">
        <is>
          <t>KALMAR LÄN</t>
        </is>
      </c>
      <c r="E572" t="inlineStr">
        <is>
          <t>VIMMERBY</t>
        </is>
      </c>
      <c r="G572" t="n">
        <v>2.8</v>
      </c>
      <c r="H572" t="n">
        <v>0</v>
      </c>
      <c r="I572" t="n">
        <v>0</v>
      </c>
      <c r="J572" t="n">
        <v>0</v>
      </c>
      <c r="K572" t="n">
        <v>0</v>
      </c>
      <c r="L572" t="n">
        <v>0</v>
      </c>
      <c r="M572" t="n">
        <v>0</v>
      </c>
      <c r="N572" t="n">
        <v>0</v>
      </c>
      <c r="O572" t="n">
        <v>0</v>
      </c>
      <c r="P572" t="n">
        <v>0</v>
      </c>
      <c r="Q572" t="n">
        <v>0</v>
      </c>
      <c r="R572" s="2" t="inlineStr"/>
    </row>
    <row r="573" ht="15" customHeight="1">
      <c r="A573" t="inlineStr">
        <is>
          <t>A 22197-2024</t>
        </is>
      </c>
      <c r="B573" s="1" t="n">
        <v>45446.36774305555</v>
      </c>
      <c r="C573" s="1" t="n">
        <v>46000</v>
      </c>
      <c r="D573" t="inlineStr">
        <is>
          <t>KALMAR LÄN</t>
        </is>
      </c>
      <c r="E573" t="inlineStr">
        <is>
          <t>VIMMERBY</t>
        </is>
      </c>
      <c r="F573" t="inlineStr">
        <is>
          <t>Sveaskog</t>
        </is>
      </c>
      <c r="G573" t="n">
        <v>3.2</v>
      </c>
      <c r="H573" t="n">
        <v>0</v>
      </c>
      <c r="I573" t="n">
        <v>0</v>
      </c>
      <c r="J573" t="n">
        <v>0</v>
      </c>
      <c r="K573" t="n">
        <v>0</v>
      </c>
      <c r="L573" t="n">
        <v>0</v>
      </c>
      <c r="M573" t="n">
        <v>0</v>
      </c>
      <c r="N573" t="n">
        <v>0</v>
      </c>
      <c r="O573" t="n">
        <v>0</v>
      </c>
      <c r="P573" t="n">
        <v>0</v>
      </c>
      <c r="Q573" t="n">
        <v>0</v>
      </c>
      <c r="R573" s="2" t="inlineStr"/>
    </row>
    <row r="574" ht="15" customHeight="1">
      <c r="A574" t="inlineStr">
        <is>
          <t>A 53752-2024</t>
        </is>
      </c>
      <c r="B574" s="1" t="n">
        <v>45615.48927083334</v>
      </c>
      <c r="C574" s="1" t="n">
        <v>46000</v>
      </c>
      <c r="D574" t="inlineStr">
        <is>
          <t>KALMAR LÄN</t>
        </is>
      </c>
      <c r="E574" t="inlineStr">
        <is>
          <t>VIMMERBY</t>
        </is>
      </c>
      <c r="G574" t="n">
        <v>2.4</v>
      </c>
      <c r="H574" t="n">
        <v>0</v>
      </c>
      <c r="I574" t="n">
        <v>0</v>
      </c>
      <c r="J574" t="n">
        <v>0</v>
      </c>
      <c r="K574" t="n">
        <v>0</v>
      </c>
      <c r="L574" t="n">
        <v>0</v>
      </c>
      <c r="M574" t="n">
        <v>0</v>
      </c>
      <c r="N574" t="n">
        <v>0</v>
      </c>
      <c r="O574" t="n">
        <v>0</v>
      </c>
      <c r="P574" t="n">
        <v>0</v>
      </c>
      <c r="Q574" t="n">
        <v>0</v>
      </c>
      <c r="R574" s="2" t="inlineStr"/>
    </row>
    <row r="575" ht="15" customHeight="1">
      <c r="A575" t="inlineStr">
        <is>
          <t>A 12121-2025</t>
        </is>
      </c>
      <c r="B575" s="1" t="n">
        <v>45729.36868055556</v>
      </c>
      <c r="C575" s="1" t="n">
        <v>46000</v>
      </c>
      <c r="D575" t="inlineStr">
        <is>
          <t>KALMAR LÄN</t>
        </is>
      </c>
      <c r="E575" t="inlineStr">
        <is>
          <t>VIMMERBY</t>
        </is>
      </c>
      <c r="G575" t="n">
        <v>4.3</v>
      </c>
      <c r="H575" t="n">
        <v>0</v>
      </c>
      <c r="I575" t="n">
        <v>0</v>
      </c>
      <c r="J575" t="n">
        <v>0</v>
      </c>
      <c r="K575" t="n">
        <v>0</v>
      </c>
      <c r="L575" t="n">
        <v>0</v>
      </c>
      <c r="M575" t="n">
        <v>0</v>
      </c>
      <c r="N575" t="n">
        <v>0</v>
      </c>
      <c r="O575" t="n">
        <v>0</v>
      </c>
      <c r="P575" t="n">
        <v>0</v>
      </c>
      <c r="Q575" t="n">
        <v>0</v>
      </c>
      <c r="R575" s="2" t="inlineStr"/>
    </row>
    <row r="576" ht="15" customHeight="1">
      <c r="A576" t="inlineStr">
        <is>
          <t>A 59579-2025</t>
        </is>
      </c>
      <c r="B576" s="1" t="n">
        <v>45992.30569444445</v>
      </c>
      <c r="C576" s="1" t="n">
        <v>46000</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9710-2023</t>
        </is>
      </c>
      <c r="B577" s="1" t="n">
        <v>44984</v>
      </c>
      <c r="C577" s="1" t="n">
        <v>46000</v>
      </c>
      <c r="D577" t="inlineStr">
        <is>
          <t>KALMAR LÄN</t>
        </is>
      </c>
      <c r="E577" t="inlineStr">
        <is>
          <t>VIMMERBY</t>
        </is>
      </c>
      <c r="G577" t="n">
        <v>3.7</v>
      </c>
      <c r="H577" t="n">
        <v>0</v>
      </c>
      <c r="I577" t="n">
        <v>0</v>
      </c>
      <c r="J577" t="n">
        <v>0</v>
      </c>
      <c r="K577" t="n">
        <v>0</v>
      </c>
      <c r="L577" t="n">
        <v>0</v>
      </c>
      <c r="M577" t="n">
        <v>0</v>
      </c>
      <c r="N577" t="n">
        <v>0</v>
      </c>
      <c r="O577" t="n">
        <v>0</v>
      </c>
      <c r="P577" t="n">
        <v>0</v>
      </c>
      <c r="Q577" t="n">
        <v>0</v>
      </c>
      <c r="R577" s="2" t="inlineStr"/>
    </row>
    <row r="578" ht="15" customHeight="1">
      <c r="A578" t="inlineStr">
        <is>
          <t>A 9720-2023</t>
        </is>
      </c>
      <c r="B578" s="1" t="n">
        <v>44984</v>
      </c>
      <c r="C578" s="1" t="n">
        <v>46000</v>
      </c>
      <c r="D578" t="inlineStr">
        <is>
          <t>KALMAR LÄN</t>
        </is>
      </c>
      <c r="E578" t="inlineStr">
        <is>
          <t>VIMMERBY</t>
        </is>
      </c>
      <c r="G578" t="n">
        <v>4.4</v>
      </c>
      <c r="H578" t="n">
        <v>0</v>
      </c>
      <c r="I578" t="n">
        <v>0</v>
      </c>
      <c r="J578" t="n">
        <v>0</v>
      </c>
      <c r="K578" t="n">
        <v>0</v>
      </c>
      <c r="L578" t="n">
        <v>0</v>
      </c>
      <c r="M578" t="n">
        <v>0</v>
      </c>
      <c r="N578" t="n">
        <v>0</v>
      </c>
      <c r="O578" t="n">
        <v>0</v>
      </c>
      <c r="P578" t="n">
        <v>0</v>
      </c>
      <c r="Q578" t="n">
        <v>0</v>
      </c>
      <c r="R578" s="2" t="inlineStr"/>
    </row>
    <row r="579" ht="15" customHeight="1">
      <c r="A579" t="inlineStr">
        <is>
          <t>A 15493-2023</t>
        </is>
      </c>
      <c r="B579" s="1" t="n">
        <v>45018</v>
      </c>
      <c r="C579" s="1" t="n">
        <v>46000</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51990-2025</t>
        </is>
      </c>
      <c r="B580" s="1" t="n">
        <v>45952.58061342593</v>
      </c>
      <c r="C580" s="1" t="n">
        <v>46000</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29093-2023</t>
        </is>
      </c>
      <c r="B581" s="1" t="n">
        <v>45105</v>
      </c>
      <c r="C581" s="1" t="n">
        <v>46000</v>
      </c>
      <c r="D581" t="inlineStr">
        <is>
          <t>KALMAR LÄN</t>
        </is>
      </c>
      <c r="E581" t="inlineStr">
        <is>
          <t>VIMMERBY</t>
        </is>
      </c>
      <c r="G581" t="n">
        <v>2.9</v>
      </c>
      <c r="H581" t="n">
        <v>0</v>
      </c>
      <c r="I581" t="n">
        <v>0</v>
      </c>
      <c r="J581" t="n">
        <v>0</v>
      </c>
      <c r="K581" t="n">
        <v>0</v>
      </c>
      <c r="L581" t="n">
        <v>0</v>
      </c>
      <c r="M581" t="n">
        <v>0</v>
      </c>
      <c r="N581" t="n">
        <v>0</v>
      </c>
      <c r="O581" t="n">
        <v>0</v>
      </c>
      <c r="P581" t="n">
        <v>0</v>
      </c>
      <c r="Q581" t="n">
        <v>0</v>
      </c>
      <c r="R581" s="2" t="inlineStr"/>
    </row>
    <row r="582" ht="15" customHeight="1">
      <c r="A582" t="inlineStr">
        <is>
          <t>A 33352-2022</t>
        </is>
      </c>
      <c r="B582" s="1" t="n">
        <v>44788</v>
      </c>
      <c r="C582" s="1" t="n">
        <v>46000</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10674-2021</t>
        </is>
      </c>
      <c r="B583" s="1" t="n">
        <v>44258</v>
      </c>
      <c r="C583" s="1" t="n">
        <v>46000</v>
      </c>
      <c r="D583" t="inlineStr">
        <is>
          <t>KALMAR LÄN</t>
        </is>
      </c>
      <c r="E583" t="inlineStr">
        <is>
          <t>VIMMERBY</t>
        </is>
      </c>
      <c r="G583" t="n">
        <v>8.4</v>
      </c>
      <c r="H583" t="n">
        <v>0</v>
      </c>
      <c r="I583" t="n">
        <v>0</v>
      </c>
      <c r="J583" t="n">
        <v>0</v>
      </c>
      <c r="K583" t="n">
        <v>0</v>
      </c>
      <c r="L583" t="n">
        <v>0</v>
      </c>
      <c r="M583" t="n">
        <v>0</v>
      </c>
      <c r="N583" t="n">
        <v>0</v>
      </c>
      <c r="O583" t="n">
        <v>0</v>
      </c>
      <c r="P583" t="n">
        <v>0</v>
      </c>
      <c r="Q583" t="n">
        <v>0</v>
      </c>
      <c r="R583" s="2" t="inlineStr"/>
    </row>
    <row r="584" ht="15" customHeight="1">
      <c r="A584" t="inlineStr">
        <is>
          <t>A 60297-2025</t>
        </is>
      </c>
      <c r="B584" s="1" t="n">
        <v>45994</v>
      </c>
      <c r="C584" s="1" t="n">
        <v>46000</v>
      </c>
      <c r="D584" t="inlineStr">
        <is>
          <t>KALMAR LÄN</t>
        </is>
      </c>
      <c r="E584" t="inlineStr">
        <is>
          <t>VIMMERBY</t>
        </is>
      </c>
      <c r="G584" t="n">
        <v>4.2</v>
      </c>
      <c r="H584" t="n">
        <v>0</v>
      </c>
      <c r="I584" t="n">
        <v>0</v>
      </c>
      <c r="J584" t="n">
        <v>0</v>
      </c>
      <c r="K584" t="n">
        <v>0</v>
      </c>
      <c r="L584" t="n">
        <v>0</v>
      </c>
      <c r="M584" t="n">
        <v>0</v>
      </c>
      <c r="N584" t="n">
        <v>0</v>
      </c>
      <c r="O584" t="n">
        <v>0</v>
      </c>
      <c r="P584" t="n">
        <v>0</v>
      </c>
      <c r="Q584" t="n">
        <v>0</v>
      </c>
      <c r="R584" s="2" t="inlineStr"/>
    </row>
    <row r="585" ht="15" customHeight="1">
      <c r="A585" t="inlineStr">
        <is>
          <t>A 22264-2023</t>
        </is>
      </c>
      <c r="B585" s="1" t="n">
        <v>45070.3665625</v>
      </c>
      <c r="C585" s="1" t="n">
        <v>46000</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16676-2023</t>
        </is>
      </c>
      <c r="B586" s="1" t="n">
        <v>45028</v>
      </c>
      <c r="C586" s="1" t="n">
        <v>46000</v>
      </c>
      <c r="D586" t="inlineStr">
        <is>
          <t>KALMAR LÄN</t>
        </is>
      </c>
      <c r="E586" t="inlineStr">
        <is>
          <t>VIMMERBY</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6220-2025</t>
        </is>
      </c>
      <c r="B587" s="1" t="n">
        <v>45698.53725694444</v>
      </c>
      <c r="C587" s="1" t="n">
        <v>46000</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51993-2025</t>
        </is>
      </c>
      <c r="B588" s="1" t="n">
        <v>45952.58194444444</v>
      </c>
      <c r="C588" s="1" t="n">
        <v>46000</v>
      </c>
      <c r="D588" t="inlineStr">
        <is>
          <t>KALMAR LÄN</t>
        </is>
      </c>
      <c r="E588" t="inlineStr">
        <is>
          <t>VIMMERBY</t>
        </is>
      </c>
      <c r="G588" t="n">
        <v>2.8</v>
      </c>
      <c r="H588" t="n">
        <v>0</v>
      </c>
      <c r="I588" t="n">
        <v>0</v>
      </c>
      <c r="J588" t="n">
        <v>0</v>
      </c>
      <c r="K588" t="n">
        <v>0</v>
      </c>
      <c r="L588" t="n">
        <v>0</v>
      </c>
      <c r="M588" t="n">
        <v>0</v>
      </c>
      <c r="N588" t="n">
        <v>0</v>
      </c>
      <c r="O588" t="n">
        <v>0</v>
      </c>
      <c r="P588" t="n">
        <v>0</v>
      </c>
      <c r="Q588" t="n">
        <v>0</v>
      </c>
      <c r="R588" s="2" t="inlineStr"/>
    </row>
    <row r="589" ht="15" customHeight="1">
      <c r="A589" t="inlineStr">
        <is>
          <t>A 24096-2024</t>
        </is>
      </c>
      <c r="B589" s="1" t="n">
        <v>45456.59289351852</v>
      </c>
      <c r="C589" s="1" t="n">
        <v>46000</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29013-2024</t>
        </is>
      </c>
      <c r="B590" s="1" t="n">
        <v>45481.55984953704</v>
      </c>
      <c r="C590" s="1" t="n">
        <v>46000</v>
      </c>
      <c r="D590" t="inlineStr">
        <is>
          <t>KALMAR LÄN</t>
        </is>
      </c>
      <c r="E590" t="inlineStr">
        <is>
          <t>VIMMERBY</t>
        </is>
      </c>
      <c r="G590" t="n">
        <v>3.4</v>
      </c>
      <c r="H590" t="n">
        <v>0</v>
      </c>
      <c r="I590" t="n">
        <v>0</v>
      </c>
      <c r="J590" t="n">
        <v>0</v>
      </c>
      <c r="K590" t="n">
        <v>0</v>
      </c>
      <c r="L590" t="n">
        <v>0</v>
      </c>
      <c r="M590" t="n">
        <v>0</v>
      </c>
      <c r="N590" t="n">
        <v>0</v>
      </c>
      <c r="O590" t="n">
        <v>0</v>
      </c>
      <c r="P590" t="n">
        <v>0</v>
      </c>
      <c r="Q590" t="n">
        <v>0</v>
      </c>
      <c r="R590" s="2" t="inlineStr"/>
    </row>
    <row r="591" ht="15" customHeight="1">
      <c r="A591" t="inlineStr">
        <is>
          <t>A 6066-2023</t>
        </is>
      </c>
      <c r="B591" s="1" t="n">
        <v>44964.50894675926</v>
      </c>
      <c r="C591" s="1" t="n">
        <v>46000</v>
      </c>
      <c r="D591" t="inlineStr">
        <is>
          <t>KALMAR LÄN</t>
        </is>
      </c>
      <c r="E591" t="inlineStr">
        <is>
          <t>VIMMERBY</t>
        </is>
      </c>
      <c r="G591" t="n">
        <v>2.8</v>
      </c>
      <c r="H591" t="n">
        <v>0</v>
      </c>
      <c r="I591" t="n">
        <v>0</v>
      </c>
      <c r="J591" t="n">
        <v>0</v>
      </c>
      <c r="K591" t="n">
        <v>0</v>
      </c>
      <c r="L591" t="n">
        <v>0</v>
      </c>
      <c r="M591" t="n">
        <v>0</v>
      </c>
      <c r="N591" t="n">
        <v>0</v>
      </c>
      <c r="O591" t="n">
        <v>0</v>
      </c>
      <c r="P591" t="n">
        <v>0</v>
      </c>
      <c r="Q591" t="n">
        <v>0</v>
      </c>
      <c r="R591" s="2" t="inlineStr"/>
    </row>
    <row r="592" ht="15" customHeight="1">
      <c r="A592" t="inlineStr">
        <is>
          <t>A 59955-2023</t>
        </is>
      </c>
      <c r="B592" s="1" t="n">
        <v>45257.70313657408</v>
      </c>
      <c r="C592" s="1" t="n">
        <v>46000</v>
      </c>
      <c r="D592" t="inlineStr">
        <is>
          <t>KALMAR LÄN</t>
        </is>
      </c>
      <c r="E592" t="inlineStr">
        <is>
          <t>VIMMERBY</t>
        </is>
      </c>
      <c r="G592" t="n">
        <v>13.8</v>
      </c>
      <c r="H592" t="n">
        <v>0</v>
      </c>
      <c r="I592" t="n">
        <v>0</v>
      </c>
      <c r="J592" t="n">
        <v>0</v>
      </c>
      <c r="K592" t="n">
        <v>0</v>
      </c>
      <c r="L592" t="n">
        <v>0</v>
      </c>
      <c r="M592" t="n">
        <v>0</v>
      </c>
      <c r="N592" t="n">
        <v>0</v>
      </c>
      <c r="O592" t="n">
        <v>0</v>
      </c>
      <c r="P592" t="n">
        <v>0</v>
      </c>
      <c r="Q592" t="n">
        <v>0</v>
      </c>
      <c r="R592" s="2" t="inlineStr"/>
    </row>
    <row r="593" ht="15" customHeight="1">
      <c r="A593" t="inlineStr">
        <is>
          <t>A 36040-2024</t>
        </is>
      </c>
      <c r="B593" s="1" t="n">
        <v>45533.60232638889</v>
      </c>
      <c r="C593" s="1" t="n">
        <v>46000</v>
      </c>
      <c r="D593" t="inlineStr">
        <is>
          <t>KALMAR LÄN</t>
        </is>
      </c>
      <c r="E593" t="inlineStr">
        <is>
          <t>VIMMERBY</t>
        </is>
      </c>
      <c r="F593" t="inlineStr">
        <is>
          <t>Kommuner</t>
        </is>
      </c>
      <c r="G593" t="n">
        <v>3.6</v>
      </c>
      <c r="H593" t="n">
        <v>0</v>
      </c>
      <c r="I593" t="n">
        <v>0</v>
      </c>
      <c r="J593" t="n">
        <v>0</v>
      </c>
      <c r="K593" t="n">
        <v>0</v>
      </c>
      <c r="L593" t="n">
        <v>0</v>
      </c>
      <c r="M593" t="n">
        <v>0</v>
      </c>
      <c r="N593" t="n">
        <v>0</v>
      </c>
      <c r="O593" t="n">
        <v>0</v>
      </c>
      <c r="P593" t="n">
        <v>0</v>
      </c>
      <c r="Q593" t="n">
        <v>0</v>
      </c>
      <c r="R593" s="2" t="inlineStr"/>
    </row>
    <row r="594" ht="15" customHeight="1">
      <c r="A594" t="inlineStr">
        <is>
          <t>A 36043-2024</t>
        </is>
      </c>
      <c r="B594" s="1" t="n">
        <v>45533.60770833334</v>
      </c>
      <c r="C594" s="1" t="n">
        <v>46000</v>
      </c>
      <c r="D594" t="inlineStr">
        <is>
          <t>KALMAR LÄN</t>
        </is>
      </c>
      <c r="E594" t="inlineStr">
        <is>
          <t>VIMMERBY</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12890-2023</t>
        </is>
      </c>
      <c r="B595" s="1" t="n">
        <v>45001.59209490741</v>
      </c>
      <c r="C595" s="1" t="n">
        <v>46000</v>
      </c>
      <c r="D595" t="inlineStr">
        <is>
          <t>KALMAR LÄN</t>
        </is>
      </c>
      <c r="E595" t="inlineStr">
        <is>
          <t>VIMMERBY</t>
        </is>
      </c>
      <c r="G595" t="n">
        <v>2.8</v>
      </c>
      <c r="H595" t="n">
        <v>0</v>
      </c>
      <c r="I595" t="n">
        <v>0</v>
      </c>
      <c r="J595" t="n">
        <v>0</v>
      </c>
      <c r="K595" t="n">
        <v>0</v>
      </c>
      <c r="L595" t="n">
        <v>0</v>
      </c>
      <c r="M595" t="n">
        <v>0</v>
      </c>
      <c r="N595" t="n">
        <v>0</v>
      </c>
      <c r="O595" t="n">
        <v>0</v>
      </c>
      <c r="P595" t="n">
        <v>0</v>
      </c>
      <c r="Q595" t="n">
        <v>0</v>
      </c>
      <c r="R595" s="2" t="inlineStr"/>
    </row>
    <row r="596" ht="15" customHeight="1">
      <c r="A596" t="inlineStr">
        <is>
          <t>A 43594-2024</t>
        </is>
      </c>
      <c r="B596" s="1" t="n">
        <v>45569.44295138889</v>
      </c>
      <c r="C596" s="1" t="n">
        <v>46000</v>
      </c>
      <c r="D596" t="inlineStr">
        <is>
          <t>KALMAR LÄN</t>
        </is>
      </c>
      <c r="E596" t="inlineStr">
        <is>
          <t>VIMMERBY</t>
        </is>
      </c>
      <c r="G596" t="n">
        <v>3.9</v>
      </c>
      <c r="H596" t="n">
        <v>0</v>
      </c>
      <c r="I596" t="n">
        <v>0</v>
      </c>
      <c r="J596" t="n">
        <v>0</v>
      </c>
      <c r="K596" t="n">
        <v>0</v>
      </c>
      <c r="L596" t="n">
        <v>0</v>
      </c>
      <c r="M596" t="n">
        <v>0</v>
      </c>
      <c r="N596" t="n">
        <v>0</v>
      </c>
      <c r="O596" t="n">
        <v>0</v>
      </c>
      <c r="P596" t="n">
        <v>0</v>
      </c>
      <c r="Q596" t="n">
        <v>0</v>
      </c>
      <c r="R596" s="2" t="inlineStr"/>
    </row>
    <row r="597" ht="15" customHeight="1">
      <c r="A597" t="inlineStr">
        <is>
          <t>A 60180-2025</t>
        </is>
      </c>
      <c r="B597" s="1" t="n">
        <v>45994.46428240741</v>
      </c>
      <c r="C597" s="1" t="n">
        <v>46000</v>
      </c>
      <c r="D597" t="inlineStr">
        <is>
          <t>KALMAR LÄN</t>
        </is>
      </c>
      <c r="E597" t="inlineStr">
        <is>
          <t>VIMMERBY</t>
        </is>
      </c>
      <c r="G597" t="n">
        <v>6.8</v>
      </c>
      <c r="H597" t="n">
        <v>0</v>
      </c>
      <c r="I597" t="n">
        <v>0</v>
      </c>
      <c r="J597" t="n">
        <v>0</v>
      </c>
      <c r="K597" t="n">
        <v>0</v>
      </c>
      <c r="L597" t="n">
        <v>0</v>
      </c>
      <c r="M597" t="n">
        <v>0</v>
      </c>
      <c r="N597" t="n">
        <v>0</v>
      </c>
      <c r="O597" t="n">
        <v>0</v>
      </c>
      <c r="P597" t="n">
        <v>0</v>
      </c>
      <c r="Q597" t="n">
        <v>0</v>
      </c>
      <c r="R597" s="2" t="inlineStr"/>
    </row>
    <row r="598" ht="15" customHeight="1">
      <c r="A598" t="inlineStr">
        <is>
          <t>A 52465-2025</t>
        </is>
      </c>
      <c r="B598" s="1" t="n">
        <v>45954.44543981482</v>
      </c>
      <c r="C598" s="1" t="n">
        <v>46000</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53482-2022</t>
        </is>
      </c>
      <c r="B599" s="1" t="n">
        <v>44879</v>
      </c>
      <c r="C599" s="1" t="n">
        <v>46000</v>
      </c>
      <c r="D599" t="inlineStr">
        <is>
          <t>KALMAR LÄN</t>
        </is>
      </c>
      <c r="E599" t="inlineStr">
        <is>
          <t>VIMMERBY</t>
        </is>
      </c>
      <c r="G599" t="n">
        <v>10.1</v>
      </c>
      <c r="H599" t="n">
        <v>0</v>
      </c>
      <c r="I599" t="n">
        <v>0</v>
      </c>
      <c r="J599" t="n">
        <v>0</v>
      </c>
      <c r="K599" t="n">
        <v>0</v>
      </c>
      <c r="L599" t="n">
        <v>0</v>
      </c>
      <c r="M599" t="n">
        <v>0</v>
      </c>
      <c r="N599" t="n">
        <v>0</v>
      </c>
      <c r="O599" t="n">
        <v>0</v>
      </c>
      <c r="P599" t="n">
        <v>0</v>
      </c>
      <c r="Q599" t="n">
        <v>0</v>
      </c>
      <c r="R599" s="2" t="inlineStr"/>
    </row>
    <row r="600" ht="15" customHeight="1">
      <c r="A600" t="inlineStr">
        <is>
          <t>A 27761-2024</t>
        </is>
      </c>
      <c r="B600" s="1" t="n">
        <v>45475.49018518518</v>
      </c>
      <c r="C600" s="1" t="n">
        <v>46000</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64203-2021</t>
        </is>
      </c>
      <c r="B601" s="1" t="n">
        <v>44510.60921296296</v>
      </c>
      <c r="C601" s="1" t="n">
        <v>46000</v>
      </c>
      <c r="D601" t="inlineStr">
        <is>
          <t>KALMAR LÄN</t>
        </is>
      </c>
      <c r="E601" t="inlineStr">
        <is>
          <t>VIMMERBY</t>
        </is>
      </c>
      <c r="F601" t="inlineStr">
        <is>
          <t>Övriga Aktiebolag</t>
        </is>
      </c>
      <c r="G601" t="n">
        <v>5.4</v>
      </c>
      <c r="H601" t="n">
        <v>0</v>
      </c>
      <c r="I601" t="n">
        <v>0</v>
      </c>
      <c r="J601" t="n">
        <v>0</v>
      </c>
      <c r="K601" t="n">
        <v>0</v>
      </c>
      <c r="L601" t="n">
        <v>0</v>
      </c>
      <c r="M601" t="n">
        <v>0</v>
      </c>
      <c r="N601" t="n">
        <v>0</v>
      </c>
      <c r="O601" t="n">
        <v>0</v>
      </c>
      <c r="P601" t="n">
        <v>0</v>
      </c>
      <c r="Q601" t="n">
        <v>0</v>
      </c>
      <c r="R601" s="2" t="inlineStr"/>
    </row>
    <row r="602" ht="15" customHeight="1">
      <c r="A602" t="inlineStr">
        <is>
          <t>A 5720-2023</t>
        </is>
      </c>
      <c r="B602" s="1" t="n">
        <v>44961</v>
      </c>
      <c r="C602" s="1" t="n">
        <v>46000</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9643-2023</t>
        </is>
      </c>
      <c r="B603" s="1" t="n">
        <v>44984</v>
      </c>
      <c r="C603" s="1" t="n">
        <v>46000</v>
      </c>
      <c r="D603" t="inlineStr">
        <is>
          <t>KALMAR LÄN</t>
        </is>
      </c>
      <c r="E603" t="inlineStr">
        <is>
          <t>VIMMERBY</t>
        </is>
      </c>
      <c r="G603" t="n">
        <v>2</v>
      </c>
      <c r="H603" t="n">
        <v>0</v>
      </c>
      <c r="I603" t="n">
        <v>0</v>
      </c>
      <c r="J603" t="n">
        <v>0</v>
      </c>
      <c r="K603" t="n">
        <v>0</v>
      </c>
      <c r="L603" t="n">
        <v>0</v>
      </c>
      <c r="M603" t="n">
        <v>0</v>
      </c>
      <c r="N603" t="n">
        <v>0</v>
      </c>
      <c r="O603" t="n">
        <v>0</v>
      </c>
      <c r="P603" t="n">
        <v>0</v>
      </c>
      <c r="Q603" t="n">
        <v>0</v>
      </c>
      <c r="R603" s="2" t="inlineStr"/>
    </row>
    <row r="604" ht="15" customHeight="1">
      <c r="A604" t="inlineStr">
        <is>
          <t>A 25728-2023</t>
        </is>
      </c>
      <c r="B604" s="1" t="n">
        <v>45090.38012731481</v>
      </c>
      <c r="C604" s="1" t="n">
        <v>46000</v>
      </c>
      <c r="D604" t="inlineStr">
        <is>
          <t>KALMAR LÄN</t>
        </is>
      </c>
      <c r="E604" t="inlineStr">
        <is>
          <t>VIMMERBY</t>
        </is>
      </c>
      <c r="G604" t="n">
        <v>1.1</v>
      </c>
      <c r="H604" t="n">
        <v>0</v>
      </c>
      <c r="I604" t="n">
        <v>0</v>
      </c>
      <c r="J604" t="n">
        <v>0</v>
      </c>
      <c r="K604" t="n">
        <v>0</v>
      </c>
      <c r="L604" t="n">
        <v>0</v>
      </c>
      <c r="M604" t="n">
        <v>0</v>
      </c>
      <c r="N604" t="n">
        <v>0</v>
      </c>
      <c r="O604" t="n">
        <v>0</v>
      </c>
      <c r="P604" t="n">
        <v>0</v>
      </c>
      <c r="Q604" t="n">
        <v>0</v>
      </c>
      <c r="R604" s="2" t="inlineStr"/>
    </row>
    <row r="605" ht="15" customHeight="1">
      <c r="A605" t="inlineStr">
        <is>
          <t>A 52451-2025</t>
        </is>
      </c>
      <c r="B605" s="1" t="n">
        <v>45954.42326388889</v>
      </c>
      <c r="C605" s="1" t="n">
        <v>46000</v>
      </c>
      <c r="D605" t="inlineStr">
        <is>
          <t>KALMAR LÄN</t>
        </is>
      </c>
      <c r="E605" t="inlineStr">
        <is>
          <t>VIMMERBY</t>
        </is>
      </c>
      <c r="G605" t="n">
        <v>2.8</v>
      </c>
      <c r="H605" t="n">
        <v>0</v>
      </c>
      <c r="I605" t="n">
        <v>0</v>
      </c>
      <c r="J605" t="n">
        <v>0</v>
      </c>
      <c r="K605" t="n">
        <v>0</v>
      </c>
      <c r="L605" t="n">
        <v>0</v>
      </c>
      <c r="M605" t="n">
        <v>0</v>
      </c>
      <c r="N605" t="n">
        <v>0</v>
      </c>
      <c r="O605" t="n">
        <v>0</v>
      </c>
      <c r="P605" t="n">
        <v>0</v>
      </c>
      <c r="Q605" t="n">
        <v>0</v>
      </c>
      <c r="R605" s="2" t="inlineStr"/>
    </row>
    <row r="606" ht="15" customHeight="1">
      <c r="A606" t="inlineStr">
        <is>
          <t>A 41311-2023</t>
        </is>
      </c>
      <c r="B606" s="1" t="n">
        <v>45174</v>
      </c>
      <c r="C606" s="1" t="n">
        <v>46000</v>
      </c>
      <c r="D606" t="inlineStr">
        <is>
          <t>KALMAR LÄN</t>
        </is>
      </c>
      <c r="E606" t="inlineStr">
        <is>
          <t>VIMMERBY</t>
        </is>
      </c>
      <c r="G606" t="n">
        <v>0.7</v>
      </c>
      <c r="H606" t="n">
        <v>0</v>
      </c>
      <c r="I606" t="n">
        <v>0</v>
      </c>
      <c r="J606" t="n">
        <v>0</v>
      </c>
      <c r="K606" t="n">
        <v>0</v>
      </c>
      <c r="L606" t="n">
        <v>0</v>
      </c>
      <c r="M606" t="n">
        <v>0</v>
      </c>
      <c r="N606" t="n">
        <v>0</v>
      </c>
      <c r="O606" t="n">
        <v>0</v>
      </c>
      <c r="P606" t="n">
        <v>0</v>
      </c>
      <c r="Q606" t="n">
        <v>0</v>
      </c>
      <c r="R606" s="2" t="inlineStr"/>
    </row>
    <row r="607" ht="15" customHeight="1">
      <c r="A607" t="inlineStr">
        <is>
          <t>A 52516-2025</t>
        </is>
      </c>
      <c r="B607" s="1" t="n">
        <v>45954.51412037037</v>
      </c>
      <c r="C607" s="1" t="n">
        <v>46000</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26318-2023</t>
        </is>
      </c>
      <c r="B608" s="1" t="n">
        <v>45091.67936342592</v>
      </c>
      <c r="C608" s="1" t="n">
        <v>46000</v>
      </c>
      <c r="D608" t="inlineStr">
        <is>
          <t>KALMAR LÄN</t>
        </is>
      </c>
      <c r="E608" t="inlineStr">
        <is>
          <t>VIMMERBY</t>
        </is>
      </c>
      <c r="G608" t="n">
        <v>3.8</v>
      </c>
      <c r="H608" t="n">
        <v>0</v>
      </c>
      <c r="I608" t="n">
        <v>0</v>
      </c>
      <c r="J608" t="n">
        <v>0</v>
      </c>
      <c r="K608" t="n">
        <v>0</v>
      </c>
      <c r="L608" t="n">
        <v>0</v>
      </c>
      <c r="M608" t="n">
        <v>0</v>
      </c>
      <c r="N608" t="n">
        <v>0</v>
      </c>
      <c r="O608" t="n">
        <v>0</v>
      </c>
      <c r="P608" t="n">
        <v>0</v>
      </c>
      <c r="Q608" t="n">
        <v>0</v>
      </c>
      <c r="R608" s="2" t="inlineStr"/>
    </row>
    <row r="609" ht="15" customHeight="1">
      <c r="A609" t="inlineStr">
        <is>
          <t>A 52466-2025</t>
        </is>
      </c>
      <c r="B609" s="1" t="n">
        <v>45954.44707175926</v>
      </c>
      <c r="C609" s="1" t="n">
        <v>46000</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52473-2025</t>
        </is>
      </c>
      <c r="B610" s="1" t="n">
        <v>45954.45947916667</v>
      </c>
      <c r="C610" s="1" t="n">
        <v>46000</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52480-2025</t>
        </is>
      </c>
      <c r="B611" s="1" t="n">
        <v>45954.47172453703</v>
      </c>
      <c r="C611" s="1" t="n">
        <v>46000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52475-2025</t>
        </is>
      </c>
      <c r="B612" s="1" t="n">
        <v>45954.468125</v>
      </c>
      <c r="C612" s="1" t="n">
        <v>46000</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61355-2024</t>
        </is>
      </c>
      <c r="B613" s="1" t="n">
        <v>45646.38200231481</v>
      </c>
      <c r="C613" s="1" t="n">
        <v>46000</v>
      </c>
      <c r="D613" t="inlineStr">
        <is>
          <t>KALMAR LÄN</t>
        </is>
      </c>
      <c r="E613" t="inlineStr">
        <is>
          <t>VIMMERBY</t>
        </is>
      </c>
      <c r="G613" t="n">
        <v>2.7</v>
      </c>
      <c r="H613" t="n">
        <v>0</v>
      </c>
      <c r="I613" t="n">
        <v>0</v>
      </c>
      <c r="J613" t="n">
        <v>0</v>
      </c>
      <c r="K613" t="n">
        <v>0</v>
      </c>
      <c r="L613" t="n">
        <v>0</v>
      </c>
      <c r="M613" t="n">
        <v>0</v>
      </c>
      <c r="N613" t="n">
        <v>0</v>
      </c>
      <c r="O613" t="n">
        <v>0</v>
      </c>
      <c r="P613" t="n">
        <v>0</v>
      </c>
      <c r="Q613" t="n">
        <v>0</v>
      </c>
      <c r="R613" s="2" t="inlineStr"/>
    </row>
    <row r="614" ht="15" customHeight="1">
      <c r="A614" t="inlineStr">
        <is>
          <t>A 36802-2021</t>
        </is>
      </c>
      <c r="B614" s="1" t="n">
        <v>44392</v>
      </c>
      <c r="C614" s="1" t="n">
        <v>46000</v>
      </c>
      <c r="D614" t="inlineStr">
        <is>
          <t>KALMAR LÄN</t>
        </is>
      </c>
      <c r="E614" t="inlineStr">
        <is>
          <t>VIMMERBY</t>
        </is>
      </c>
      <c r="F614" t="inlineStr">
        <is>
          <t>Sveaskog</t>
        </is>
      </c>
      <c r="G614" t="n">
        <v>4.6</v>
      </c>
      <c r="H614" t="n">
        <v>0</v>
      </c>
      <c r="I614" t="n">
        <v>0</v>
      </c>
      <c r="J614" t="n">
        <v>0</v>
      </c>
      <c r="K614" t="n">
        <v>0</v>
      </c>
      <c r="L614" t="n">
        <v>0</v>
      </c>
      <c r="M614" t="n">
        <v>0</v>
      </c>
      <c r="N614" t="n">
        <v>0</v>
      </c>
      <c r="O614" t="n">
        <v>0</v>
      </c>
      <c r="P614" t="n">
        <v>0</v>
      </c>
      <c r="Q614" t="n">
        <v>0</v>
      </c>
      <c r="R614" s="2" t="inlineStr"/>
    </row>
    <row r="615" ht="15" customHeight="1">
      <c r="A615" t="inlineStr">
        <is>
          <t>A 38198-2024</t>
        </is>
      </c>
      <c r="B615" s="1" t="n">
        <v>45545.49508101852</v>
      </c>
      <c r="C615" s="1" t="n">
        <v>46000</v>
      </c>
      <c r="D615" t="inlineStr">
        <is>
          <t>KALMAR LÄN</t>
        </is>
      </c>
      <c r="E615" t="inlineStr">
        <is>
          <t>VIMMERBY</t>
        </is>
      </c>
      <c r="G615" t="n">
        <v>7.9</v>
      </c>
      <c r="H615" t="n">
        <v>0</v>
      </c>
      <c r="I615" t="n">
        <v>0</v>
      </c>
      <c r="J615" t="n">
        <v>0</v>
      </c>
      <c r="K615" t="n">
        <v>0</v>
      </c>
      <c r="L615" t="n">
        <v>0</v>
      </c>
      <c r="M615" t="n">
        <v>0</v>
      </c>
      <c r="N615" t="n">
        <v>0</v>
      </c>
      <c r="O615" t="n">
        <v>0</v>
      </c>
      <c r="P615" t="n">
        <v>0</v>
      </c>
      <c r="Q615" t="n">
        <v>0</v>
      </c>
      <c r="R615" s="2" t="inlineStr"/>
    </row>
    <row r="616" ht="15" customHeight="1">
      <c r="A616" t="inlineStr">
        <is>
          <t>A 9623-2024</t>
        </is>
      </c>
      <c r="B616" s="1" t="n">
        <v>45361.87975694444</v>
      </c>
      <c r="C616" s="1" t="n">
        <v>46000</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58967-2022</t>
        </is>
      </c>
      <c r="B617" s="1" t="n">
        <v>44896</v>
      </c>
      <c r="C617" s="1" t="n">
        <v>46000</v>
      </c>
      <c r="D617" t="inlineStr">
        <is>
          <t>KALMAR LÄN</t>
        </is>
      </c>
      <c r="E617" t="inlineStr">
        <is>
          <t>VIMMERBY</t>
        </is>
      </c>
      <c r="G617" t="n">
        <v>5</v>
      </c>
      <c r="H617" t="n">
        <v>0</v>
      </c>
      <c r="I617" t="n">
        <v>0</v>
      </c>
      <c r="J617" t="n">
        <v>0</v>
      </c>
      <c r="K617" t="n">
        <v>0</v>
      </c>
      <c r="L617" t="n">
        <v>0</v>
      </c>
      <c r="M617" t="n">
        <v>0</v>
      </c>
      <c r="N617" t="n">
        <v>0</v>
      </c>
      <c r="O617" t="n">
        <v>0</v>
      </c>
      <c r="P617" t="n">
        <v>0</v>
      </c>
      <c r="Q617" t="n">
        <v>0</v>
      </c>
      <c r="R617" s="2" t="inlineStr"/>
    </row>
    <row r="618" ht="15" customHeight="1">
      <c r="A618" t="inlineStr">
        <is>
          <t>A 6399-2025</t>
        </is>
      </c>
      <c r="B618" s="1" t="n">
        <v>45699.44291666667</v>
      </c>
      <c r="C618" s="1" t="n">
        <v>46000</v>
      </c>
      <c r="D618" t="inlineStr">
        <is>
          <t>KALMAR LÄN</t>
        </is>
      </c>
      <c r="E618" t="inlineStr">
        <is>
          <t>VIMMERBY</t>
        </is>
      </c>
      <c r="G618" t="n">
        <v>3.1</v>
      </c>
      <c r="H618" t="n">
        <v>0</v>
      </c>
      <c r="I618" t="n">
        <v>0</v>
      </c>
      <c r="J618" t="n">
        <v>0</v>
      </c>
      <c r="K618" t="n">
        <v>0</v>
      </c>
      <c r="L618" t="n">
        <v>0</v>
      </c>
      <c r="M618" t="n">
        <v>0</v>
      </c>
      <c r="N618" t="n">
        <v>0</v>
      </c>
      <c r="O618" t="n">
        <v>0</v>
      </c>
      <c r="P618" t="n">
        <v>0</v>
      </c>
      <c r="Q618" t="n">
        <v>0</v>
      </c>
      <c r="R618" s="2" t="inlineStr"/>
    </row>
    <row r="619" ht="15" customHeight="1">
      <c r="A619" t="inlineStr">
        <is>
          <t>A 31355-2023</t>
        </is>
      </c>
      <c r="B619" s="1" t="n">
        <v>45114.49505787037</v>
      </c>
      <c r="C619" s="1" t="n">
        <v>46000</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66295-2020</t>
        </is>
      </c>
      <c r="B620" s="1" t="n">
        <v>44176</v>
      </c>
      <c r="C620" s="1" t="n">
        <v>46000</v>
      </c>
      <c r="D620" t="inlineStr">
        <is>
          <t>KALMAR LÄN</t>
        </is>
      </c>
      <c r="E620" t="inlineStr">
        <is>
          <t>VIMMERBY</t>
        </is>
      </c>
      <c r="G620" t="n">
        <v>4.1</v>
      </c>
      <c r="H620" t="n">
        <v>0</v>
      </c>
      <c r="I620" t="n">
        <v>0</v>
      </c>
      <c r="J620" t="n">
        <v>0</v>
      </c>
      <c r="K620" t="n">
        <v>0</v>
      </c>
      <c r="L620" t="n">
        <v>0</v>
      </c>
      <c r="M620" t="n">
        <v>0</v>
      </c>
      <c r="N620" t="n">
        <v>0</v>
      </c>
      <c r="O620" t="n">
        <v>0</v>
      </c>
      <c r="P620" t="n">
        <v>0</v>
      </c>
      <c r="Q620" t="n">
        <v>0</v>
      </c>
      <c r="R620" s="2" t="inlineStr"/>
    </row>
    <row r="621" ht="15" customHeight="1">
      <c r="A621" t="inlineStr">
        <is>
          <t>A 30400-2023</t>
        </is>
      </c>
      <c r="B621" s="1" t="n">
        <v>45111.48225694444</v>
      </c>
      <c r="C621" s="1" t="n">
        <v>46000</v>
      </c>
      <c r="D621" t="inlineStr">
        <is>
          <t>KALMAR LÄN</t>
        </is>
      </c>
      <c r="E621" t="inlineStr">
        <is>
          <t>VIMMERBY</t>
        </is>
      </c>
      <c r="G621" t="n">
        <v>2.7</v>
      </c>
      <c r="H621" t="n">
        <v>0</v>
      </c>
      <c r="I621" t="n">
        <v>0</v>
      </c>
      <c r="J621" t="n">
        <v>0</v>
      </c>
      <c r="K621" t="n">
        <v>0</v>
      </c>
      <c r="L621" t="n">
        <v>0</v>
      </c>
      <c r="M621" t="n">
        <v>0</v>
      </c>
      <c r="N621" t="n">
        <v>0</v>
      </c>
      <c r="O621" t="n">
        <v>0</v>
      </c>
      <c r="P621" t="n">
        <v>0</v>
      </c>
      <c r="Q621" t="n">
        <v>0</v>
      </c>
      <c r="R621" s="2" t="inlineStr"/>
    </row>
    <row r="622" ht="15" customHeight="1">
      <c r="A622" t="inlineStr">
        <is>
          <t>A 30404-2023</t>
        </is>
      </c>
      <c r="B622" s="1" t="n">
        <v>45111.48636574074</v>
      </c>
      <c r="C622" s="1" t="n">
        <v>46000</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27705-2023</t>
        </is>
      </c>
      <c r="B623" s="1" t="n">
        <v>45098.30535879629</v>
      </c>
      <c r="C623" s="1" t="n">
        <v>46000</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36843-2023</t>
        </is>
      </c>
      <c r="B624" s="1" t="n">
        <v>45154.49831018518</v>
      </c>
      <c r="C624" s="1" t="n">
        <v>46000</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10785-2025</t>
        </is>
      </c>
      <c r="B625" s="1" t="n">
        <v>45722.48634259259</v>
      </c>
      <c r="C625" s="1" t="n">
        <v>46000</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29017-2024</t>
        </is>
      </c>
      <c r="B626" s="1" t="n">
        <v>45481.56722222222</v>
      </c>
      <c r="C626" s="1" t="n">
        <v>46000</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23263-2024</t>
        </is>
      </c>
      <c r="B627" s="1" t="n">
        <v>45453.36854166666</v>
      </c>
      <c r="C627" s="1" t="n">
        <v>46000</v>
      </c>
      <c r="D627" t="inlineStr">
        <is>
          <t>KALMAR LÄN</t>
        </is>
      </c>
      <c r="E627" t="inlineStr">
        <is>
          <t>VIMMERBY</t>
        </is>
      </c>
      <c r="G627" t="n">
        <v>0.7</v>
      </c>
      <c r="H627" t="n">
        <v>0</v>
      </c>
      <c r="I627" t="n">
        <v>0</v>
      </c>
      <c r="J627" t="n">
        <v>0</v>
      </c>
      <c r="K627" t="n">
        <v>0</v>
      </c>
      <c r="L627" t="n">
        <v>0</v>
      </c>
      <c r="M627" t="n">
        <v>0</v>
      </c>
      <c r="N627" t="n">
        <v>0</v>
      </c>
      <c r="O627" t="n">
        <v>0</v>
      </c>
      <c r="P627" t="n">
        <v>0</v>
      </c>
      <c r="Q627" t="n">
        <v>0</v>
      </c>
      <c r="R627" s="2" t="inlineStr"/>
    </row>
    <row r="628" ht="15" customHeight="1">
      <c r="A628" t="inlineStr">
        <is>
          <t>A 11074-2023</t>
        </is>
      </c>
      <c r="B628" s="1" t="n">
        <v>44992.34151620371</v>
      </c>
      <c r="C628" s="1" t="n">
        <v>46000</v>
      </c>
      <c r="D628" t="inlineStr">
        <is>
          <t>KALMAR LÄN</t>
        </is>
      </c>
      <c r="E628" t="inlineStr">
        <is>
          <t>VIMMERBY</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61939-2021</t>
        </is>
      </c>
      <c r="B629" s="1" t="n">
        <v>44502</v>
      </c>
      <c r="C629" s="1" t="n">
        <v>46000</v>
      </c>
      <c r="D629" t="inlineStr">
        <is>
          <t>KALMAR LÄN</t>
        </is>
      </c>
      <c r="E629" t="inlineStr">
        <is>
          <t>VIMMERBY</t>
        </is>
      </c>
      <c r="G629" t="n">
        <v>2.7</v>
      </c>
      <c r="H629" t="n">
        <v>0</v>
      </c>
      <c r="I629" t="n">
        <v>0</v>
      </c>
      <c r="J629" t="n">
        <v>0</v>
      </c>
      <c r="K629" t="n">
        <v>0</v>
      </c>
      <c r="L629" t="n">
        <v>0</v>
      </c>
      <c r="M629" t="n">
        <v>0</v>
      </c>
      <c r="N629" t="n">
        <v>0</v>
      </c>
      <c r="O629" t="n">
        <v>0</v>
      </c>
      <c r="P629" t="n">
        <v>0</v>
      </c>
      <c r="Q629" t="n">
        <v>0</v>
      </c>
      <c r="R629" s="2" t="inlineStr"/>
    </row>
    <row r="630" ht="15" customHeight="1">
      <c r="A630" t="inlineStr">
        <is>
          <t>A 12215-2024</t>
        </is>
      </c>
      <c r="B630" s="1" t="n">
        <v>45378.32185185186</v>
      </c>
      <c r="C630" s="1" t="n">
        <v>46000</v>
      </c>
      <c r="D630" t="inlineStr">
        <is>
          <t>KALMAR LÄN</t>
        </is>
      </c>
      <c r="E630" t="inlineStr">
        <is>
          <t>VIMMERBY</t>
        </is>
      </c>
      <c r="G630" t="n">
        <v>1.6</v>
      </c>
      <c r="H630" t="n">
        <v>0</v>
      </c>
      <c r="I630" t="n">
        <v>0</v>
      </c>
      <c r="J630" t="n">
        <v>0</v>
      </c>
      <c r="K630" t="n">
        <v>0</v>
      </c>
      <c r="L630" t="n">
        <v>0</v>
      </c>
      <c r="M630" t="n">
        <v>0</v>
      </c>
      <c r="N630" t="n">
        <v>0</v>
      </c>
      <c r="O630" t="n">
        <v>0</v>
      </c>
      <c r="P630" t="n">
        <v>0</v>
      </c>
      <c r="Q630" t="n">
        <v>0</v>
      </c>
      <c r="R630" s="2" t="inlineStr"/>
    </row>
    <row r="631" ht="15" customHeight="1">
      <c r="A631" t="inlineStr">
        <is>
          <t>A 11303-2025</t>
        </is>
      </c>
      <c r="B631" s="1" t="n">
        <v>45726.44471064815</v>
      </c>
      <c r="C631" s="1" t="n">
        <v>46000</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12033-2024</t>
        </is>
      </c>
      <c r="B632" s="1" t="n">
        <v>45377.40043981482</v>
      </c>
      <c r="C632" s="1" t="n">
        <v>46000</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51408-2023</t>
        </is>
      </c>
      <c r="B633" s="1" t="n">
        <v>45219.69356481481</v>
      </c>
      <c r="C633" s="1" t="n">
        <v>46000</v>
      </c>
      <c r="D633" t="inlineStr">
        <is>
          <t>KALMAR LÄN</t>
        </is>
      </c>
      <c r="E633" t="inlineStr">
        <is>
          <t>VIMMERBY</t>
        </is>
      </c>
      <c r="G633" t="n">
        <v>0.7</v>
      </c>
      <c r="H633" t="n">
        <v>0</v>
      </c>
      <c r="I633" t="n">
        <v>0</v>
      </c>
      <c r="J633" t="n">
        <v>0</v>
      </c>
      <c r="K633" t="n">
        <v>0</v>
      </c>
      <c r="L633" t="n">
        <v>0</v>
      </c>
      <c r="M633" t="n">
        <v>0</v>
      </c>
      <c r="N633" t="n">
        <v>0</v>
      </c>
      <c r="O633" t="n">
        <v>0</v>
      </c>
      <c r="P633" t="n">
        <v>0</v>
      </c>
      <c r="Q633" t="n">
        <v>0</v>
      </c>
      <c r="R633" s="2" t="inlineStr"/>
    </row>
    <row r="634" ht="15" customHeight="1">
      <c r="A634" t="inlineStr">
        <is>
          <t>A 49488-2023</t>
        </is>
      </c>
      <c r="B634" s="1" t="n">
        <v>45211.55472222222</v>
      </c>
      <c r="C634" s="1" t="n">
        <v>46000</v>
      </c>
      <c r="D634" t="inlineStr">
        <is>
          <t>KALMAR LÄN</t>
        </is>
      </c>
      <c r="E634" t="inlineStr">
        <is>
          <t>VIMMERBY</t>
        </is>
      </c>
      <c r="F634" t="inlineStr">
        <is>
          <t>Sveaskog</t>
        </is>
      </c>
      <c r="G634" t="n">
        <v>6.2</v>
      </c>
      <c r="H634" t="n">
        <v>0</v>
      </c>
      <c r="I634" t="n">
        <v>0</v>
      </c>
      <c r="J634" t="n">
        <v>0</v>
      </c>
      <c r="K634" t="n">
        <v>0</v>
      </c>
      <c r="L634" t="n">
        <v>0</v>
      </c>
      <c r="M634" t="n">
        <v>0</v>
      </c>
      <c r="N634" t="n">
        <v>0</v>
      </c>
      <c r="O634" t="n">
        <v>0</v>
      </c>
      <c r="P634" t="n">
        <v>0</v>
      </c>
      <c r="Q634" t="n">
        <v>0</v>
      </c>
      <c r="R634" s="2" t="inlineStr"/>
    </row>
    <row r="635" ht="15" customHeight="1">
      <c r="A635" t="inlineStr">
        <is>
          <t>A 8410-2023</t>
        </is>
      </c>
      <c r="B635" s="1" t="n">
        <v>44977</v>
      </c>
      <c r="C635" s="1" t="n">
        <v>46000</v>
      </c>
      <c r="D635" t="inlineStr">
        <is>
          <t>KALMAR LÄN</t>
        </is>
      </c>
      <c r="E635" t="inlineStr">
        <is>
          <t>VIMMERBY</t>
        </is>
      </c>
      <c r="G635" t="n">
        <v>0.9</v>
      </c>
      <c r="H635" t="n">
        <v>0</v>
      </c>
      <c r="I635" t="n">
        <v>0</v>
      </c>
      <c r="J635" t="n">
        <v>0</v>
      </c>
      <c r="K635" t="n">
        <v>0</v>
      </c>
      <c r="L635" t="n">
        <v>0</v>
      </c>
      <c r="M635" t="n">
        <v>0</v>
      </c>
      <c r="N635" t="n">
        <v>0</v>
      </c>
      <c r="O635" t="n">
        <v>0</v>
      </c>
      <c r="P635" t="n">
        <v>0</v>
      </c>
      <c r="Q635" t="n">
        <v>0</v>
      </c>
      <c r="R635" s="2" t="inlineStr"/>
    </row>
    <row r="636" ht="15" customHeight="1">
      <c r="A636" t="inlineStr">
        <is>
          <t>A 30920-2024</t>
        </is>
      </c>
      <c r="B636" s="1" t="n">
        <v>45498.673125</v>
      </c>
      <c r="C636" s="1" t="n">
        <v>46000</v>
      </c>
      <c r="D636" t="inlineStr">
        <is>
          <t>KALMAR LÄN</t>
        </is>
      </c>
      <c r="E636" t="inlineStr">
        <is>
          <t>VIMMERBY</t>
        </is>
      </c>
      <c r="G636" t="n">
        <v>1.3</v>
      </c>
      <c r="H636" t="n">
        <v>0</v>
      </c>
      <c r="I636" t="n">
        <v>0</v>
      </c>
      <c r="J636" t="n">
        <v>0</v>
      </c>
      <c r="K636" t="n">
        <v>0</v>
      </c>
      <c r="L636" t="n">
        <v>0</v>
      </c>
      <c r="M636" t="n">
        <v>0</v>
      </c>
      <c r="N636" t="n">
        <v>0</v>
      </c>
      <c r="O636" t="n">
        <v>0</v>
      </c>
      <c r="P636" t="n">
        <v>0</v>
      </c>
      <c r="Q636" t="n">
        <v>0</v>
      </c>
      <c r="R636" s="2" t="inlineStr"/>
    </row>
    <row r="637" ht="15" customHeight="1">
      <c r="A637" t="inlineStr">
        <is>
          <t>A 40929-2022</t>
        </is>
      </c>
      <c r="B637" s="1" t="n">
        <v>44825.4336574074</v>
      </c>
      <c r="C637" s="1" t="n">
        <v>46000</v>
      </c>
      <c r="D637" t="inlineStr">
        <is>
          <t>KALMAR LÄN</t>
        </is>
      </c>
      <c r="E637" t="inlineStr">
        <is>
          <t>VIMMERBY</t>
        </is>
      </c>
      <c r="G637" t="n">
        <v>2.5</v>
      </c>
      <c r="H637" t="n">
        <v>0</v>
      </c>
      <c r="I637" t="n">
        <v>0</v>
      </c>
      <c r="J637" t="n">
        <v>0</v>
      </c>
      <c r="K637" t="n">
        <v>0</v>
      </c>
      <c r="L637" t="n">
        <v>0</v>
      </c>
      <c r="M637" t="n">
        <v>0</v>
      </c>
      <c r="N637" t="n">
        <v>0</v>
      </c>
      <c r="O637" t="n">
        <v>0</v>
      </c>
      <c r="P637" t="n">
        <v>0</v>
      </c>
      <c r="Q637" t="n">
        <v>0</v>
      </c>
      <c r="R637" s="2" t="inlineStr"/>
    </row>
    <row r="638" ht="15" customHeight="1">
      <c r="A638" t="inlineStr">
        <is>
          <t>A 50091-2023</t>
        </is>
      </c>
      <c r="B638" s="1" t="n">
        <v>45215.60199074074</v>
      </c>
      <c r="C638" s="1" t="n">
        <v>46000</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36008-2024</t>
        </is>
      </c>
      <c r="B639" s="1" t="n">
        <v>45533.55362268518</v>
      </c>
      <c r="C639" s="1" t="n">
        <v>46000</v>
      </c>
      <c r="D639" t="inlineStr">
        <is>
          <t>KALMAR LÄN</t>
        </is>
      </c>
      <c r="E639" t="inlineStr">
        <is>
          <t>VIMMERBY</t>
        </is>
      </c>
      <c r="G639" t="n">
        <v>3.7</v>
      </c>
      <c r="H639" t="n">
        <v>0</v>
      </c>
      <c r="I639" t="n">
        <v>0</v>
      </c>
      <c r="J639" t="n">
        <v>0</v>
      </c>
      <c r="K639" t="n">
        <v>0</v>
      </c>
      <c r="L639" t="n">
        <v>0</v>
      </c>
      <c r="M639" t="n">
        <v>0</v>
      </c>
      <c r="N639" t="n">
        <v>0</v>
      </c>
      <c r="O639" t="n">
        <v>0</v>
      </c>
      <c r="P639" t="n">
        <v>0</v>
      </c>
      <c r="Q639" t="n">
        <v>0</v>
      </c>
      <c r="R639" s="2" t="inlineStr"/>
    </row>
    <row r="640" ht="15" customHeight="1">
      <c r="A640" t="inlineStr">
        <is>
          <t>A 16622-2025</t>
        </is>
      </c>
      <c r="B640" s="1" t="n">
        <v>45754.33641203704</v>
      </c>
      <c r="C640" s="1" t="n">
        <v>46000</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17511-2024</t>
        </is>
      </c>
      <c r="B641" s="1" t="n">
        <v>45415.57682870371</v>
      </c>
      <c r="C641" s="1" t="n">
        <v>46000</v>
      </c>
      <c r="D641" t="inlineStr">
        <is>
          <t>KALMAR LÄN</t>
        </is>
      </c>
      <c r="E641" t="inlineStr">
        <is>
          <t>VIMMERBY</t>
        </is>
      </c>
      <c r="G641" t="n">
        <v>5.3</v>
      </c>
      <c r="H641" t="n">
        <v>0</v>
      </c>
      <c r="I641" t="n">
        <v>0</v>
      </c>
      <c r="J641" t="n">
        <v>0</v>
      </c>
      <c r="K641" t="n">
        <v>0</v>
      </c>
      <c r="L641" t="n">
        <v>0</v>
      </c>
      <c r="M641" t="n">
        <v>0</v>
      </c>
      <c r="N641" t="n">
        <v>0</v>
      </c>
      <c r="O641" t="n">
        <v>0</v>
      </c>
      <c r="P641" t="n">
        <v>0</v>
      </c>
      <c r="Q641" t="n">
        <v>0</v>
      </c>
      <c r="R641" s="2" t="inlineStr"/>
    </row>
    <row r="642" ht="15" customHeight="1">
      <c r="A642" t="inlineStr">
        <is>
          <t>A 43705-2023</t>
        </is>
      </c>
      <c r="B642" s="1" t="n">
        <v>45187.42854166667</v>
      </c>
      <c r="C642" s="1" t="n">
        <v>46000</v>
      </c>
      <c r="D642" t="inlineStr">
        <is>
          <t>KALMAR LÄN</t>
        </is>
      </c>
      <c r="E642" t="inlineStr">
        <is>
          <t>VIMMERBY</t>
        </is>
      </c>
      <c r="G642" t="n">
        <v>1.2</v>
      </c>
      <c r="H642" t="n">
        <v>0</v>
      </c>
      <c r="I642" t="n">
        <v>0</v>
      </c>
      <c r="J642" t="n">
        <v>0</v>
      </c>
      <c r="K642" t="n">
        <v>0</v>
      </c>
      <c r="L642" t="n">
        <v>0</v>
      </c>
      <c r="M642" t="n">
        <v>0</v>
      </c>
      <c r="N642" t="n">
        <v>0</v>
      </c>
      <c r="O642" t="n">
        <v>0</v>
      </c>
      <c r="P642" t="n">
        <v>0</v>
      </c>
      <c r="Q642" t="n">
        <v>0</v>
      </c>
      <c r="R642" s="2" t="inlineStr"/>
    </row>
    <row r="643" ht="15" customHeight="1">
      <c r="A643" t="inlineStr">
        <is>
          <t>A 55300-2021</t>
        </is>
      </c>
      <c r="B643" s="1" t="n">
        <v>44475</v>
      </c>
      <c r="C643" s="1" t="n">
        <v>46000</v>
      </c>
      <c r="D643" t="inlineStr">
        <is>
          <t>KALMAR LÄN</t>
        </is>
      </c>
      <c r="E643" t="inlineStr">
        <is>
          <t>VIMMERBY</t>
        </is>
      </c>
      <c r="G643" t="n">
        <v>3.4</v>
      </c>
      <c r="H643" t="n">
        <v>0</v>
      </c>
      <c r="I643" t="n">
        <v>0</v>
      </c>
      <c r="J643" t="n">
        <v>0</v>
      </c>
      <c r="K643" t="n">
        <v>0</v>
      </c>
      <c r="L643" t="n">
        <v>0</v>
      </c>
      <c r="M643" t="n">
        <v>0</v>
      </c>
      <c r="N643" t="n">
        <v>0</v>
      </c>
      <c r="O643" t="n">
        <v>0</v>
      </c>
      <c r="P643" t="n">
        <v>0</v>
      </c>
      <c r="Q643" t="n">
        <v>0</v>
      </c>
      <c r="R643" s="2" t="inlineStr"/>
    </row>
    <row r="644" ht="15" customHeight="1">
      <c r="A644" t="inlineStr">
        <is>
          <t>A 44179-2022</t>
        </is>
      </c>
      <c r="B644" s="1" t="n">
        <v>44839.4528125</v>
      </c>
      <c r="C644" s="1" t="n">
        <v>46000</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52755-2022</t>
        </is>
      </c>
      <c r="B645" s="1" t="n">
        <v>44875.27736111111</v>
      </c>
      <c r="C645" s="1" t="n">
        <v>46000</v>
      </c>
      <c r="D645" t="inlineStr">
        <is>
          <t>KALMAR LÄN</t>
        </is>
      </c>
      <c r="E645" t="inlineStr">
        <is>
          <t>VIMMERBY</t>
        </is>
      </c>
      <c r="G645" t="n">
        <v>1.1</v>
      </c>
      <c r="H645" t="n">
        <v>0</v>
      </c>
      <c r="I645" t="n">
        <v>0</v>
      </c>
      <c r="J645" t="n">
        <v>0</v>
      </c>
      <c r="K645" t="n">
        <v>0</v>
      </c>
      <c r="L645" t="n">
        <v>0</v>
      </c>
      <c r="M645" t="n">
        <v>0</v>
      </c>
      <c r="N645" t="n">
        <v>0</v>
      </c>
      <c r="O645" t="n">
        <v>0</v>
      </c>
      <c r="P645" t="n">
        <v>0</v>
      </c>
      <c r="Q645" t="n">
        <v>0</v>
      </c>
      <c r="R645" s="2" t="inlineStr"/>
    </row>
    <row r="646" ht="15" customHeight="1">
      <c r="A646" t="inlineStr">
        <is>
          <t>A 35998-2024</t>
        </is>
      </c>
      <c r="B646" s="1" t="n">
        <v>45533.54429398148</v>
      </c>
      <c r="C646" s="1" t="n">
        <v>46000</v>
      </c>
      <c r="D646" t="inlineStr">
        <is>
          <t>KALMAR LÄN</t>
        </is>
      </c>
      <c r="E646" t="inlineStr">
        <is>
          <t>VIMMERBY</t>
        </is>
      </c>
      <c r="G646" t="n">
        <v>8.6</v>
      </c>
      <c r="H646" t="n">
        <v>0</v>
      </c>
      <c r="I646" t="n">
        <v>0</v>
      </c>
      <c r="J646" t="n">
        <v>0</v>
      </c>
      <c r="K646" t="n">
        <v>0</v>
      </c>
      <c r="L646" t="n">
        <v>0</v>
      </c>
      <c r="M646" t="n">
        <v>0</v>
      </c>
      <c r="N646" t="n">
        <v>0</v>
      </c>
      <c r="O646" t="n">
        <v>0</v>
      </c>
      <c r="P646" t="n">
        <v>0</v>
      </c>
      <c r="Q646" t="n">
        <v>0</v>
      </c>
      <c r="R646" s="2" t="inlineStr"/>
    </row>
    <row r="647" ht="15" customHeight="1">
      <c r="A647" t="inlineStr">
        <is>
          <t>A 7797-2023</t>
        </is>
      </c>
      <c r="B647" s="1" t="n">
        <v>44973.43075231482</v>
      </c>
      <c r="C647" s="1" t="n">
        <v>46000</v>
      </c>
      <c r="D647" t="inlineStr">
        <is>
          <t>KALMAR LÄN</t>
        </is>
      </c>
      <c r="E647" t="inlineStr">
        <is>
          <t>VIMMERBY</t>
        </is>
      </c>
      <c r="G647" t="n">
        <v>0.6</v>
      </c>
      <c r="H647" t="n">
        <v>0</v>
      </c>
      <c r="I647" t="n">
        <v>0</v>
      </c>
      <c r="J647" t="n">
        <v>0</v>
      </c>
      <c r="K647" t="n">
        <v>0</v>
      </c>
      <c r="L647" t="n">
        <v>0</v>
      </c>
      <c r="M647" t="n">
        <v>0</v>
      </c>
      <c r="N647" t="n">
        <v>0</v>
      </c>
      <c r="O647" t="n">
        <v>0</v>
      </c>
      <c r="P647" t="n">
        <v>0</v>
      </c>
      <c r="Q647" t="n">
        <v>0</v>
      </c>
      <c r="R647" s="2" t="inlineStr"/>
    </row>
    <row r="648" ht="15" customHeight="1">
      <c r="A648" t="inlineStr">
        <is>
          <t>A 29351-2023</t>
        </is>
      </c>
      <c r="B648" s="1" t="n">
        <v>45106.2610300926</v>
      </c>
      <c r="C648" s="1" t="n">
        <v>46000</v>
      </c>
      <c r="D648" t="inlineStr">
        <is>
          <t>KALMAR LÄN</t>
        </is>
      </c>
      <c r="E648" t="inlineStr">
        <is>
          <t>VIMMERBY</t>
        </is>
      </c>
      <c r="G648" t="n">
        <v>0.4</v>
      </c>
      <c r="H648" t="n">
        <v>0</v>
      </c>
      <c r="I648" t="n">
        <v>0</v>
      </c>
      <c r="J648" t="n">
        <v>0</v>
      </c>
      <c r="K648" t="n">
        <v>0</v>
      </c>
      <c r="L648" t="n">
        <v>0</v>
      </c>
      <c r="M648" t="n">
        <v>0</v>
      </c>
      <c r="N648" t="n">
        <v>0</v>
      </c>
      <c r="O648" t="n">
        <v>0</v>
      </c>
      <c r="P648" t="n">
        <v>0</v>
      </c>
      <c r="Q648" t="n">
        <v>0</v>
      </c>
      <c r="R648" s="2" t="inlineStr"/>
    </row>
    <row r="649" ht="15" customHeight="1">
      <c r="A649" t="inlineStr">
        <is>
          <t>A 7630-2025</t>
        </is>
      </c>
      <c r="B649" s="1" t="n">
        <v>45705.74418981482</v>
      </c>
      <c r="C649" s="1" t="n">
        <v>46000</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1024-2024</t>
        </is>
      </c>
      <c r="B650" s="1" t="n">
        <v>45301.68237268519</v>
      </c>
      <c r="C650" s="1" t="n">
        <v>46000</v>
      </c>
      <c r="D650" t="inlineStr">
        <is>
          <t>KALMAR LÄN</t>
        </is>
      </c>
      <c r="E650" t="inlineStr">
        <is>
          <t>VIMMERBY</t>
        </is>
      </c>
      <c r="G650" t="n">
        <v>13</v>
      </c>
      <c r="H650" t="n">
        <v>0</v>
      </c>
      <c r="I650" t="n">
        <v>0</v>
      </c>
      <c r="J650" t="n">
        <v>0</v>
      </c>
      <c r="K650" t="n">
        <v>0</v>
      </c>
      <c r="L650" t="n">
        <v>0</v>
      </c>
      <c r="M650" t="n">
        <v>0</v>
      </c>
      <c r="N650" t="n">
        <v>0</v>
      </c>
      <c r="O650" t="n">
        <v>0</v>
      </c>
      <c r="P650" t="n">
        <v>0</v>
      </c>
      <c r="Q650" t="n">
        <v>0</v>
      </c>
      <c r="R650" s="2" t="inlineStr"/>
    </row>
    <row r="651" ht="15" customHeight="1">
      <c r="A651" t="inlineStr">
        <is>
          <t>A 10787-2025</t>
        </is>
      </c>
      <c r="B651" s="1" t="n">
        <v>45722.48915509259</v>
      </c>
      <c r="C651" s="1" t="n">
        <v>46000</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29350-2023</t>
        </is>
      </c>
      <c r="B652" s="1" t="n">
        <v>45106</v>
      </c>
      <c r="C652" s="1" t="n">
        <v>46000</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14855-2025</t>
        </is>
      </c>
      <c r="B653" s="1" t="n">
        <v>45743.41148148148</v>
      </c>
      <c r="C653" s="1" t="n">
        <v>46000</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43601-2024</t>
        </is>
      </c>
      <c r="B654" s="1" t="n">
        <v>45569.44684027778</v>
      </c>
      <c r="C654" s="1" t="n">
        <v>46000</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35913-2023</t>
        </is>
      </c>
      <c r="B655" s="1" t="n">
        <v>45148</v>
      </c>
      <c r="C655" s="1" t="n">
        <v>46000</v>
      </c>
      <c r="D655" t="inlineStr">
        <is>
          <t>KALMAR LÄN</t>
        </is>
      </c>
      <c r="E655" t="inlineStr">
        <is>
          <t>VIMMERBY</t>
        </is>
      </c>
      <c r="G655" t="n">
        <v>6.9</v>
      </c>
      <c r="H655" t="n">
        <v>0</v>
      </c>
      <c r="I655" t="n">
        <v>0</v>
      </c>
      <c r="J655" t="n">
        <v>0</v>
      </c>
      <c r="K655" t="n">
        <v>0</v>
      </c>
      <c r="L655" t="n">
        <v>0</v>
      </c>
      <c r="M655" t="n">
        <v>0</v>
      </c>
      <c r="N655" t="n">
        <v>0</v>
      </c>
      <c r="O655" t="n">
        <v>0</v>
      </c>
      <c r="P655" t="n">
        <v>0</v>
      </c>
      <c r="Q655" t="n">
        <v>0</v>
      </c>
      <c r="R655" s="2" t="inlineStr"/>
    </row>
    <row r="656" ht="15" customHeight="1">
      <c r="A656" t="inlineStr">
        <is>
          <t>A 9624-2024</t>
        </is>
      </c>
      <c r="B656" s="1" t="n">
        <v>45361.90282407407</v>
      </c>
      <c r="C656" s="1" t="n">
        <v>46000</v>
      </c>
      <c r="D656" t="inlineStr">
        <is>
          <t>KALMAR LÄN</t>
        </is>
      </c>
      <c r="E656" t="inlineStr">
        <is>
          <t>VIMMERBY</t>
        </is>
      </c>
      <c r="G656" t="n">
        <v>3.8</v>
      </c>
      <c r="H656" t="n">
        <v>0</v>
      </c>
      <c r="I656" t="n">
        <v>0</v>
      </c>
      <c r="J656" t="n">
        <v>0</v>
      </c>
      <c r="K656" t="n">
        <v>0</v>
      </c>
      <c r="L656" t="n">
        <v>0</v>
      </c>
      <c r="M656" t="n">
        <v>0</v>
      </c>
      <c r="N656" t="n">
        <v>0</v>
      </c>
      <c r="O656" t="n">
        <v>0</v>
      </c>
      <c r="P656" t="n">
        <v>0</v>
      </c>
      <c r="Q656" t="n">
        <v>0</v>
      </c>
      <c r="R656" s="2" t="inlineStr"/>
    </row>
    <row r="657" ht="15" customHeight="1">
      <c r="A657" t="inlineStr">
        <is>
          <t>A 3938-2023</t>
        </is>
      </c>
      <c r="B657" s="1" t="n">
        <v>44952.35775462963</v>
      </c>
      <c r="C657" s="1" t="n">
        <v>46000</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39053-2024</t>
        </is>
      </c>
      <c r="B658" s="1" t="n">
        <v>45548</v>
      </c>
      <c r="C658" s="1" t="n">
        <v>46000</v>
      </c>
      <c r="D658" t="inlineStr">
        <is>
          <t>KALMAR LÄN</t>
        </is>
      </c>
      <c r="E658" t="inlineStr">
        <is>
          <t>VIMMERBY</t>
        </is>
      </c>
      <c r="G658" t="n">
        <v>5</v>
      </c>
      <c r="H658" t="n">
        <v>0</v>
      </c>
      <c r="I658" t="n">
        <v>0</v>
      </c>
      <c r="J658" t="n">
        <v>0</v>
      </c>
      <c r="K658" t="n">
        <v>0</v>
      </c>
      <c r="L658" t="n">
        <v>0</v>
      </c>
      <c r="M658" t="n">
        <v>0</v>
      </c>
      <c r="N658" t="n">
        <v>0</v>
      </c>
      <c r="O658" t="n">
        <v>0</v>
      </c>
      <c r="P658" t="n">
        <v>0</v>
      </c>
      <c r="Q658" t="n">
        <v>0</v>
      </c>
      <c r="R658" s="2" t="inlineStr"/>
    </row>
    <row r="659" ht="15" customHeight="1">
      <c r="A659" t="inlineStr">
        <is>
          <t>A 14451-2024</t>
        </is>
      </c>
      <c r="B659" s="1" t="n">
        <v>45394.50028935185</v>
      </c>
      <c r="C659" s="1" t="n">
        <v>46000</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34205-2023</t>
        </is>
      </c>
      <c r="B660" s="1" t="n">
        <v>45138</v>
      </c>
      <c r="C660" s="1" t="n">
        <v>46000</v>
      </c>
      <c r="D660" t="inlineStr">
        <is>
          <t>KALMAR LÄN</t>
        </is>
      </c>
      <c r="E660" t="inlineStr">
        <is>
          <t>VIMMERBY</t>
        </is>
      </c>
      <c r="G660" t="n">
        <v>0.6</v>
      </c>
      <c r="H660" t="n">
        <v>0</v>
      </c>
      <c r="I660" t="n">
        <v>0</v>
      </c>
      <c r="J660" t="n">
        <v>0</v>
      </c>
      <c r="K660" t="n">
        <v>0</v>
      </c>
      <c r="L660" t="n">
        <v>0</v>
      </c>
      <c r="M660" t="n">
        <v>0</v>
      </c>
      <c r="N660" t="n">
        <v>0</v>
      </c>
      <c r="O660" t="n">
        <v>0</v>
      </c>
      <c r="P660" t="n">
        <v>0</v>
      </c>
      <c r="Q660" t="n">
        <v>0</v>
      </c>
      <c r="R660" s="2" t="inlineStr"/>
    </row>
    <row r="661" ht="15" customHeight="1">
      <c r="A661" t="inlineStr">
        <is>
          <t>A 3268-2024</t>
        </is>
      </c>
      <c r="B661" s="1" t="n">
        <v>45317</v>
      </c>
      <c r="C661" s="1" t="n">
        <v>46000</v>
      </c>
      <c r="D661" t="inlineStr">
        <is>
          <t>KALMAR LÄN</t>
        </is>
      </c>
      <c r="E661" t="inlineStr">
        <is>
          <t>VIMMERBY</t>
        </is>
      </c>
      <c r="F661" t="inlineStr">
        <is>
          <t>Övriga Aktiebolag</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12819-2024</t>
        </is>
      </c>
      <c r="B662" s="1" t="n">
        <v>45384.66917824074</v>
      </c>
      <c r="C662" s="1" t="n">
        <v>46000</v>
      </c>
      <c r="D662" t="inlineStr">
        <is>
          <t>KALMAR LÄN</t>
        </is>
      </c>
      <c r="E662" t="inlineStr">
        <is>
          <t>VIMMERBY</t>
        </is>
      </c>
      <c r="G662" t="n">
        <v>5.1</v>
      </c>
      <c r="H662" t="n">
        <v>0</v>
      </c>
      <c r="I662" t="n">
        <v>0</v>
      </c>
      <c r="J662" t="n">
        <v>0</v>
      </c>
      <c r="K662" t="n">
        <v>0</v>
      </c>
      <c r="L662" t="n">
        <v>0</v>
      </c>
      <c r="M662" t="n">
        <v>0</v>
      </c>
      <c r="N662" t="n">
        <v>0</v>
      </c>
      <c r="O662" t="n">
        <v>0</v>
      </c>
      <c r="P662" t="n">
        <v>0</v>
      </c>
      <c r="Q662" t="n">
        <v>0</v>
      </c>
      <c r="R662" s="2" t="inlineStr"/>
    </row>
    <row r="663" ht="15" customHeight="1">
      <c r="A663" t="inlineStr">
        <is>
          <t>A 6214-2025</t>
        </is>
      </c>
      <c r="B663" s="1" t="n">
        <v>45698.51711805556</v>
      </c>
      <c r="C663" s="1" t="n">
        <v>46000</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32569-2024</t>
        </is>
      </c>
      <c r="B664" s="1" t="n">
        <v>45513.55840277778</v>
      </c>
      <c r="C664" s="1" t="n">
        <v>46000</v>
      </c>
      <c r="D664" t="inlineStr">
        <is>
          <t>KALMAR LÄN</t>
        </is>
      </c>
      <c r="E664" t="inlineStr">
        <is>
          <t>VIMMERBY</t>
        </is>
      </c>
      <c r="G664" t="n">
        <v>3.7</v>
      </c>
      <c r="H664" t="n">
        <v>0</v>
      </c>
      <c r="I664" t="n">
        <v>0</v>
      </c>
      <c r="J664" t="n">
        <v>0</v>
      </c>
      <c r="K664" t="n">
        <v>0</v>
      </c>
      <c r="L664" t="n">
        <v>0</v>
      </c>
      <c r="M664" t="n">
        <v>0</v>
      </c>
      <c r="N664" t="n">
        <v>0</v>
      </c>
      <c r="O664" t="n">
        <v>0</v>
      </c>
      <c r="P664" t="n">
        <v>0</v>
      </c>
      <c r="Q664" t="n">
        <v>0</v>
      </c>
      <c r="R664" s="2" t="inlineStr"/>
    </row>
    <row r="665" ht="15" customHeight="1">
      <c r="A665" t="inlineStr">
        <is>
          <t>A 32575-2024</t>
        </is>
      </c>
      <c r="B665" s="1" t="n">
        <v>45513.56527777778</v>
      </c>
      <c r="C665" s="1" t="n">
        <v>46000</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59300-2024</t>
        </is>
      </c>
      <c r="B666" s="1" t="n">
        <v>45637.66542824074</v>
      </c>
      <c r="C666" s="1" t="n">
        <v>46000</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59768-2024</t>
        </is>
      </c>
      <c r="B667" s="1" t="n">
        <v>45639.56185185185</v>
      </c>
      <c r="C667" s="1" t="n">
        <v>46000</v>
      </c>
      <c r="D667" t="inlineStr">
        <is>
          <t>KALMAR LÄN</t>
        </is>
      </c>
      <c r="E667" t="inlineStr">
        <is>
          <t>VIMMERBY</t>
        </is>
      </c>
      <c r="G667" t="n">
        <v>5.9</v>
      </c>
      <c r="H667" t="n">
        <v>0</v>
      </c>
      <c r="I667" t="n">
        <v>0</v>
      </c>
      <c r="J667" t="n">
        <v>0</v>
      </c>
      <c r="K667" t="n">
        <v>0</v>
      </c>
      <c r="L667" t="n">
        <v>0</v>
      </c>
      <c r="M667" t="n">
        <v>0</v>
      </c>
      <c r="N667" t="n">
        <v>0</v>
      </c>
      <c r="O667" t="n">
        <v>0</v>
      </c>
      <c r="P667" t="n">
        <v>0</v>
      </c>
      <c r="Q667" t="n">
        <v>0</v>
      </c>
      <c r="R667" s="2" t="inlineStr"/>
    </row>
    <row r="668" ht="15" customHeight="1">
      <c r="A668" t="inlineStr">
        <is>
          <t>A 36526-2023</t>
        </is>
      </c>
      <c r="B668" s="1" t="n">
        <v>45153.32778935185</v>
      </c>
      <c r="C668" s="1" t="n">
        <v>46000</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58728-2024</t>
        </is>
      </c>
      <c r="B669" s="1" t="n">
        <v>45635.66695601852</v>
      </c>
      <c r="C669" s="1" t="n">
        <v>46000</v>
      </c>
      <c r="D669" t="inlineStr">
        <is>
          <t>KALMAR LÄN</t>
        </is>
      </c>
      <c r="E669" t="inlineStr">
        <is>
          <t>VIMMERBY</t>
        </is>
      </c>
      <c r="G669" t="n">
        <v>0.4</v>
      </c>
      <c r="H669" t="n">
        <v>0</v>
      </c>
      <c r="I669" t="n">
        <v>0</v>
      </c>
      <c r="J669" t="n">
        <v>0</v>
      </c>
      <c r="K669" t="n">
        <v>0</v>
      </c>
      <c r="L669" t="n">
        <v>0</v>
      </c>
      <c r="M669" t="n">
        <v>0</v>
      </c>
      <c r="N669" t="n">
        <v>0</v>
      </c>
      <c r="O669" t="n">
        <v>0</v>
      </c>
      <c r="P669" t="n">
        <v>0</v>
      </c>
      <c r="Q669" t="n">
        <v>0</v>
      </c>
      <c r="R669" s="2" t="inlineStr"/>
    </row>
    <row r="670" ht="15" customHeight="1">
      <c r="A670" t="inlineStr">
        <is>
          <t>A 49474-2023</t>
        </is>
      </c>
      <c r="B670" s="1" t="n">
        <v>45211.541875</v>
      </c>
      <c r="C670" s="1" t="n">
        <v>46000</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57682-2022</t>
        </is>
      </c>
      <c r="B671" s="1" t="n">
        <v>44890</v>
      </c>
      <c r="C671" s="1" t="n">
        <v>46000</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14220-2021</t>
        </is>
      </c>
      <c r="B672" s="1" t="n">
        <v>44278.54855324074</v>
      </c>
      <c r="C672" s="1" t="n">
        <v>46000</v>
      </c>
      <c r="D672" t="inlineStr">
        <is>
          <t>KALMAR LÄN</t>
        </is>
      </c>
      <c r="E672" t="inlineStr">
        <is>
          <t>VIMMERBY</t>
        </is>
      </c>
      <c r="G672" t="n">
        <v>0.3</v>
      </c>
      <c r="H672" t="n">
        <v>0</v>
      </c>
      <c r="I672" t="n">
        <v>0</v>
      </c>
      <c r="J672" t="n">
        <v>0</v>
      </c>
      <c r="K672" t="n">
        <v>0</v>
      </c>
      <c r="L672" t="n">
        <v>0</v>
      </c>
      <c r="M672" t="n">
        <v>0</v>
      </c>
      <c r="N672" t="n">
        <v>0</v>
      </c>
      <c r="O672" t="n">
        <v>0</v>
      </c>
      <c r="P672" t="n">
        <v>0</v>
      </c>
      <c r="Q672" t="n">
        <v>0</v>
      </c>
      <c r="R672" s="2" t="inlineStr"/>
    </row>
    <row r="673" ht="15" customHeight="1">
      <c r="A673" t="inlineStr">
        <is>
          <t>A 63950-2023</t>
        </is>
      </c>
      <c r="B673" s="1" t="n">
        <v>45278</v>
      </c>
      <c r="C673" s="1" t="n">
        <v>46000</v>
      </c>
      <c r="D673" t="inlineStr">
        <is>
          <t>KALMAR LÄN</t>
        </is>
      </c>
      <c r="E673" t="inlineStr">
        <is>
          <t>VIMMERBY</t>
        </is>
      </c>
      <c r="F673" t="inlineStr">
        <is>
          <t>Kyrkan</t>
        </is>
      </c>
      <c r="G673" t="n">
        <v>2.7</v>
      </c>
      <c r="H673" t="n">
        <v>0</v>
      </c>
      <c r="I673" t="n">
        <v>0</v>
      </c>
      <c r="J673" t="n">
        <v>0</v>
      </c>
      <c r="K673" t="n">
        <v>0</v>
      </c>
      <c r="L673" t="n">
        <v>0</v>
      </c>
      <c r="M673" t="n">
        <v>0</v>
      </c>
      <c r="N673" t="n">
        <v>0</v>
      </c>
      <c r="O673" t="n">
        <v>0</v>
      </c>
      <c r="P673" t="n">
        <v>0</v>
      </c>
      <c r="Q673" t="n">
        <v>0</v>
      </c>
      <c r="R673" s="2" t="inlineStr"/>
    </row>
    <row r="674" ht="15" customHeight="1">
      <c r="A674" t="inlineStr">
        <is>
          <t>A 16516-2023</t>
        </is>
      </c>
      <c r="B674" s="1" t="n">
        <v>45029</v>
      </c>
      <c r="C674" s="1" t="n">
        <v>46000</v>
      </c>
      <c r="D674" t="inlineStr">
        <is>
          <t>KALMAR LÄN</t>
        </is>
      </c>
      <c r="E674" t="inlineStr">
        <is>
          <t>VIMMERBY</t>
        </is>
      </c>
      <c r="G674" t="n">
        <v>4.3</v>
      </c>
      <c r="H674" t="n">
        <v>0</v>
      </c>
      <c r="I674" t="n">
        <v>0</v>
      </c>
      <c r="J674" t="n">
        <v>0</v>
      </c>
      <c r="K674" t="n">
        <v>0</v>
      </c>
      <c r="L674" t="n">
        <v>0</v>
      </c>
      <c r="M674" t="n">
        <v>0</v>
      </c>
      <c r="N674" t="n">
        <v>0</v>
      </c>
      <c r="O674" t="n">
        <v>0</v>
      </c>
      <c r="P674" t="n">
        <v>0</v>
      </c>
      <c r="Q674" t="n">
        <v>0</v>
      </c>
      <c r="R674" s="2" t="inlineStr"/>
    </row>
    <row r="675" ht="15" customHeight="1">
      <c r="A675" t="inlineStr">
        <is>
          <t>A 47842-2024</t>
        </is>
      </c>
      <c r="B675" s="1" t="n">
        <v>45588.65545138889</v>
      </c>
      <c r="C675" s="1" t="n">
        <v>46000</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6408-2025</t>
        </is>
      </c>
      <c r="B676" s="1" t="n">
        <v>45699.45671296296</v>
      </c>
      <c r="C676" s="1" t="n">
        <v>46000</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25109-2023</t>
        </is>
      </c>
      <c r="B677" s="1" t="n">
        <v>45086</v>
      </c>
      <c r="C677" s="1" t="n">
        <v>46000</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33380-2023</t>
        </is>
      </c>
      <c r="B678" s="1" t="n">
        <v>45128</v>
      </c>
      <c r="C678" s="1" t="n">
        <v>46000</v>
      </c>
      <c r="D678" t="inlineStr">
        <is>
          <t>KALMAR LÄN</t>
        </is>
      </c>
      <c r="E678" t="inlineStr">
        <is>
          <t>VIMMERBY</t>
        </is>
      </c>
      <c r="G678" t="n">
        <v>5.2</v>
      </c>
      <c r="H678" t="n">
        <v>0</v>
      </c>
      <c r="I678" t="n">
        <v>0</v>
      </c>
      <c r="J678" t="n">
        <v>0</v>
      </c>
      <c r="K678" t="n">
        <v>0</v>
      </c>
      <c r="L678" t="n">
        <v>0</v>
      </c>
      <c r="M678" t="n">
        <v>0</v>
      </c>
      <c r="N678" t="n">
        <v>0</v>
      </c>
      <c r="O678" t="n">
        <v>0</v>
      </c>
      <c r="P678" t="n">
        <v>0</v>
      </c>
      <c r="Q678" t="n">
        <v>0</v>
      </c>
      <c r="R678" s="2" t="inlineStr"/>
    </row>
    <row r="679" ht="15" customHeight="1">
      <c r="A679" t="inlineStr">
        <is>
          <t>A 32639-2023</t>
        </is>
      </c>
      <c r="B679" s="1" t="n">
        <v>45121.5965162037</v>
      </c>
      <c r="C679" s="1" t="n">
        <v>46000</v>
      </c>
      <c r="D679" t="inlineStr">
        <is>
          <t>KALMAR LÄN</t>
        </is>
      </c>
      <c r="E679" t="inlineStr">
        <is>
          <t>VIMMERBY</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32642-2023</t>
        </is>
      </c>
      <c r="B680" s="1" t="n">
        <v>45121.59954861111</v>
      </c>
      <c r="C680" s="1" t="n">
        <v>46000</v>
      </c>
      <c r="D680" t="inlineStr">
        <is>
          <t>KALMAR LÄN</t>
        </is>
      </c>
      <c r="E680" t="inlineStr">
        <is>
          <t>VIMMERBY</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32651-2023</t>
        </is>
      </c>
      <c r="B681" s="1" t="n">
        <v>45121.6096875</v>
      </c>
      <c r="C681" s="1" t="n">
        <v>46000</v>
      </c>
      <c r="D681" t="inlineStr">
        <is>
          <t>KALMAR LÄN</t>
        </is>
      </c>
      <c r="E681" t="inlineStr">
        <is>
          <t>VIMMERBY</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11928-2022</t>
        </is>
      </c>
      <c r="B682" s="1" t="n">
        <v>44635</v>
      </c>
      <c r="C682" s="1" t="n">
        <v>46000</v>
      </c>
      <c r="D682" t="inlineStr">
        <is>
          <t>KALMAR LÄN</t>
        </is>
      </c>
      <c r="E682" t="inlineStr">
        <is>
          <t>VIMMERBY</t>
        </is>
      </c>
      <c r="G682" t="n">
        <v>2.8</v>
      </c>
      <c r="H682" t="n">
        <v>0</v>
      </c>
      <c r="I682" t="n">
        <v>0</v>
      </c>
      <c r="J682" t="n">
        <v>0</v>
      </c>
      <c r="K682" t="n">
        <v>0</v>
      </c>
      <c r="L682" t="n">
        <v>0</v>
      </c>
      <c r="M682" t="n">
        <v>0</v>
      </c>
      <c r="N682" t="n">
        <v>0</v>
      </c>
      <c r="O682" t="n">
        <v>0</v>
      </c>
      <c r="P682" t="n">
        <v>0</v>
      </c>
      <c r="Q682" t="n">
        <v>0</v>
      </c>
      <c r="R682" s="2" t="inlineStr"/>
    </row>
    <row r="683" ht="15" customHeight="1">
      <c r="A683" t="inlineStr">
        <is>
          <t>A 7068-2024</t>
        </is>
      </c>
      <c r="B683" s="1" t="n">
        <v>45343.68038194445</v>
      </c>
      <c r="C683" s="1" t="n">
        <v>46000</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46234-2024</t>
        </is>
      </c>
      <c r="B684" s="1" t="n">
        <v>45581.57958333333</v>
      </c>
      <c r="C684" s="1" t="n">
        <v>46000</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37187-2024</t>
        </is>
      </c>
      <c r="B685" s="1" t="n">
        <v>45539.65212962963</v>
      </c>
      <c r="C685" s="1" t="n">
        <v>46000</v>
      </c>
      <c r="D685" t="inlineStr">
        <is>
          <t>KALMAR LÄN</t>
        </is>
      </c>
      <c r="E685" t="inlineStr">
        <is>
          <t>VIMMERBY</t>
        </is>
      </c>
      <c r="G685" t="n">
        <v>2.7</v>
      </c>
      <c r="H685" t="n">
        <v>0</v>
      </c>
      <c r="I685" t="n">
        <v>0</v>
      </c>
      <c r="J685" t="n">
        <v>0</v>
      </c>
      <c r="K685" t="n">
        <v>0</v>
      </c>
      <c r="L685" t="n">
        <v>0</v>
      </c>
      <c r="M685" t="n">
        <v>0</v>
      </c>
      <c r="N685" t="n">
        <v>0</v>
      </c>
      <c r="O685" t="n">
        <v>0</v>
      </c>
      <c r="P685" t="n">
        <v>0</v>
      </c>
      <c r="Q685" t="n">
        <v>0</v>
      </c>
      <c r="R685" s="2" t="inlineStr"/>
    </row>
    <row r="686" ht="15" customHeight="1">
      <c r="A686" t="inlineStr">
        <is>
          <t>A 1021-2024</t>
        </is>
      </c>
      <c r="B686" s="1" t="n">
        <v>45301.67736111111</v>
      </c>
      <c r="C686" s="1" t="n">
        <v>46000</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72701-2021</t>
        </is>
      </c>
      <c r="B687" s="1" t="n">
        <v>44546</v>
      </c>
      <c r="C687" s="1" t="n">
        <v>46000</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19111-2025</t>
        </is>
      </c>
      <c r="B688" s="1" t="n">
        <v>45768.65611111111</v>
      </c>
      <c r="C688" s="1" t="n">
        <v>46000</v>
      </c>
      <c r="D688" t="inlineStr">
        <is>
          <t>KALMAR LÄN</t>
        </is>
      </c>
      <c r="E688" t="inlineStr">
        <is>
          <t>VIMMERBY</t>
        </is>
      </c>
      <c r="G688" t="n">
        <v>6.2</v>
      </c>
      <c r="H688" t="n">
        <v>0</v>
      </c>
      <c r="I688" t="n">
        <v>0</v>
      </c>
      <c r="J688" t="n">
        <v>0</v>
      </c>
      <c r="K688" t="n">
        <v>0</v>
      </c>
      <c r="L688" t="n">
        <v>0</v>
      </c>
      <c r="M688" t="n">
        <v>0</v>
      </c>
      <c r="N688" t="n">
        <v>0</v>
      </c>
      <c r="O688" t="n">
        <v>0</v>
      </c>
      <c r="P688" t="n">
        <v>0</v>
      </c>
      <c r="Q688" t="n">
        <v>0</v>
      </c>
      <c r="R688" s="2" t="inlineStr"/>
    </row>
    <row r="689" ht="15" customHeight="1">
      <c r="A689" t="inlineStr">
        <is>
          <t>A 33374-2021</t>
        </is>
      </c>
      <c r="B689" s="1" t="n">
        <v>44377</v>
      </c>
      <c r="C689" s="1" t="n">
        <v>46000</v>
      </c>
      <c r="D689" t="inlineStr">
        <is>
          <t>KALMAR LÄN</t>
        </is>
      </c>
      <c r="E689" t="inlineStr">
        <is>
          <t>VIMMERBY</t>
        </is>
      </c>
      <c r="G689" t="n">
        <v>3.3</v>
      </c>
      <c r="H689" t="n">
        <v>0</v>
      </c>
      <c r="I689" t="n">
        <v>0</v>
      </c>
      <c r="J689" t="n">
        <v>0</v>
      </c>
      <c r="K689" t="n">
        <v>0</v>
      </c>
      <c r="L689" t="n">
        <v>0</v>
      </c>
      <c r="M689" t="n">
        <v>0</v>
      </c>
      <c r="N689" t="n">
        <v>0</v>
      </c>
      <c r="O689" t="n">
        <v>0</v>
      </c>
      <c r="P689" t="n">
        <v>0</v>
      </c>
      <c r="Q689" t="n">
        <v>0</v>
      </c>
      <c r="R689" s="2" t="inlineStr"/>
    </row>
    <row r="690" ht="15" customHeight="1">
      <c r="A690" t="inlineStr">
        <is>
          <t>A 10807-2024</t>
        </is>
      </c>
      <c r="B690" s="1" t="n">
        <v>45369.62780092593</v>
      </c>
      <c r="C690" s="1" t="n">
        <v>46000</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33359-2021</t>
        </is>
      </c>
      <c r="B691" s="1" t="n">
        <v>44377.49684027778</v>
      </c>
      <c r="C691" s="1" t="n">
        <v>46000</v>
      </c>
      <c r="D691" t="inlineStr">
        <is>
          <t>KALMAR LÄN</t>
        </is>
      </c>
      <c r="E691" t="inlineStr">
        <is>
          <t>VIMMERBY</t>
        </is>
      </c>
      <c r="F691" t="inlineStr">
        <is>
          <t>Kommuner</t>
        </is>
      </c>
      <c r="G691" t="n">
        <v>8</v>
      </c>
      <c r="H691" t="n">
        <v>0</v>
      </c>
      <c r="I691" t="n">
        <v>0</v>
      </c>
      <c r="J691" t="n">
        <v>0</v>
      </c>
      <c r="K691" t="n">
        <v>0</v>
      </c>
      <c r="L691" t="n">
        <v>0</v>
      </c>
      <c r="M691" t="n">
        <v>0</v>
      </c>
      <c r="N691" t="n">
        <v>0</v>
      </c>
      <c r="O691" t="n">
        <v>0</v>
      </c>
      <c r="P691" t="n">
        <v>0</v>
      </c>
      <c r="Q691" t="n">
        <v>0</v>
      </c>
      <c r="R691" s="2" t="inlineStr"/>
    </row>
    <row r="692" ht="15" customHeight="1">
      <c r="A692" t="inlineStr">
        <is>
          <t>A 34588-2024</t>
        </is>
      </c>
      <c r="B692" s="1" t="n">
        <v>45526.3865625</v>
      </c>
      <c r="C692" s="1" t="n">
        <v>46000</v>
      </c>
      <c r="D692" t="inlineStr">
        <is>
          <t>KALMAR LÄN</t>
        </is>
      </c>
      <c r="E692" t="inlineStr">
        <is>
          <t>VIMMERBY</t>
        </is>
      </c>
      <c r="F692" t="inlineStr">
        <is>
          <t>Övriga Aktiebolag</t>
        </is>
      </c>
      <c r="G692" t="n">
        <v>3.3</v>
      </c>
      <c r="H692" t="n">
        <v>0</v>
      </c>
      <c r="I692" t="n">
        <v>0</v>
      </c>
      <c r="J692" t="n">
        <v>0</v>
      </c>
      <c r="K692" t="n">
        <v>0</v>
      </c>
      <c r="L692" t="n">
        <v>0</v>
      </c>
      <c r="M692" t="n">
        <v>0</v>
      </c>
      <c r="N692" t="n">
        <v>0</v>
      </c>
      <c r="O692" t="n">
        <v>0</v>
      </c>
      <c r="P692" t="n">
        <v>0</v>
      </c>
      <c r="Q692" t="n">
        <v>0</v>
      </c>
      <c r="R692" s="2" t="inlineStr"/>
    </row>
    <row r="693" ht="15" customHeight="1">
      <c r="A693" t="inlineStr">
        <is>
          <t>A 17084-2025</t>
        </is>
      </c>
      <c r="B693" s="1" t="n">
        <v>45755.64450231481</v>
      </c>
      <c r="C693" s="1" t="n">
        <v>46000</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33161-2024</t>
        </is>
      </c>
      <c r="B694" s="1" t="n">
        <v>45518.40657407408</v>
      </c>
      <c r="C694" s="1" t="n">
        <v>46000</v>
      </c>
      <c r="D694" t="inlineStr">
        <is>
          <t>KALMAR LÄN</t>
        </is>
      </c>
      <c r="E694" t="inlineStr">
        <is>
          <t>VIMMERBY</t>
        </is>
      </c>
      <c r="G694" t="n">
        <v>4.7</v>
      </c>
      <c r="H694" t="n">
        <v>0</v>
      </c>
      <c r="I694" t="n">
        <v>0</v>
      </c>
      <c r="J694" t="n">
        <v>0</v>
      </c>
      <c r="K694" t="n">
        <v>0</v>
      </c>
      <c r="L694" t="n">
        <v>0</v>
      </c>
      <c r="M694" t="n">
        <v>0</v>
      </c>
      <c r="N694" t="n">
        <v>0</v>
      </c>
      <c r="O694" t="n">
        <v>0</v>
      </c>
      <c r="P694" t="n">
        <v>0</v>
      </c>
      <c r="Q694" t="n">
        <v>0</v>
      </c>
      <c r="R694" s="2" t="inlineStr"/>
    </row>
    <row r="695" ht="15" customHeight="1">
      <c r="A695" t="inlineStr">
        <is>
          <t>A 14359-2025</t>
        </is>
      </c>
      <c r="B695" s="1" t="n">
        <v>45741.37270833334</v>
      </c>
      <c r="C695" s="1" t="n">
        <v>46000</v>
      </c>
      <c r="D695" t="inlineStr">
        <is>
          <t>KALMAR LÄN</t>
        </is>
      </c>
      <c r="E695" t="inlineStr">
        <is>
          <t>VIMMERBY</t>
        </is>
      </c>
      <c r="G695" t="n">
        <v>2</v>
      </c>
      <c r="H695" t="n">
        <v>0</v>
      </c>
      <c r="I695" t="n">
        <v>0</v>
      </c>
      <c r="J695" t="n">
        <v>0</v>
      </c>
      <c r="K695" t="n">
        <v>0</v>
      </c>
      <c r="L695" t="n">
        <v>0</v>
      </c>
      <c r="M695" t="n">
        <v>0</v>
      </c>
      <c r="N695" t="n">
        <v>0</v>
      </c>
      <c r="O695" t="n">
        <v>0</v>
      </c>
      <c r="P695" t="n">
        <v>0</v>
      </c>
      <c r="Q695" t="n">
        <v>0</v>
      </c>
      <c r="R695" s="2" t="inlineStr"/>
    </row>
    <row r="696" ht="15" customHeight="1">
      <c r="A696" t="inlineStr">
        <is>
          <t>A 7075-2021</t>
        </is>
      </c>
      <c r="B696" s="1" t="n">
        <v>44237</v>
      </c>
      <c r="C696" s="1" t="n">
        <v>46000</v>
      </c>
      <c r="D696" t="inlineStr">
        <is>
          <t>KALMAR LÄN</t>
        </is>
      </c>
      <c r="E696" t="inlineStr">
        <is>
          <t>VIMMERBY</t>
        </is>
      </c>
      <c r="G696" t="n">
        <v>3.6</v>
      </c>
      <c r="H696" t="n">
        <v>0</v>
      </c>
      <c r="I696" t="n">
        <v>0</v>
      </c>
      <c r="J696" t="n">
        <v>0</v>
      </c>
      <c r="K696" t="n">
        <v>0</v>
      </c>
      <c r="L696" t="n">
        <v>0</v>
      </c>
      <c r="M696" t="n">
        <v>0</v>
      </c>
      <c r="N696" t="n">
        <v>0</v>
      </c>
      <c r="O696" t="n">
        <v>0</v>
      </c>
      <c r="P696" t="n">
        <v>0</v>
      </c>
      <c r="Q696" t="n">
        <v>0</v>
      </c>
      <c r="R696" s="2" t="inlineStr"/>
    </row>
    <row r="697" ht="15" customHeight="1">
      <c r="A697" t="inlineStr">
        <is>
          <t>A 55605-2024</t>
        </is>
      </c>
      <c r="B697" s="1" t="n">
        <v>45622</v>
      </c>
      <c r="C697" s="1" t="n">
        <v>46000</v>
      </c>
      <c r="D697" t="inlineStr">
        <is>
          <t>KALMAR LÄN</t>
        </is>
      </c>
      <c r="E697" t="inlineStr">
        <is>
          <t>VIMMERBY</t>
        </is>
      </c>
      <c r="G697" t="n">
        <v>1.1</v>
      </c>
      <c r="H697" t="n">
        <v>0</v>
      </c>
      <c r="I697" t="n">
        <v>0</v>
      </c>
      <c r="J697" t="n">
        <v>0</v>
      </c>
      <c r="K697" t="n">
        <v>0</v>
      </c>
      <c r="L697" t="n">
        <v>0</v>
      </c>
      <c r="M697" t="n">
        <v>0</v>
      </c>
      <c r="N697" t="n">
        <v>0</v>
      </c>
      <c r="O697" t="n">
        <v>0</v>
      </c>
      <c r="P697" t="n">
        <v>0</v>
      </c>
      <c r="Q697" t="n">
        <v>0</v>
      </c>
      <c r="R697" s="2" t="inlineStr"/>
    </row>
    <row r="698" ht="15" customHeight="1">
      <c r="A698" t="inlineStr">
        <is>
          <t>A 44464-2024</t>
        </is>
      </c>
      <c r="B698" s="1" t="n">
        <v>45574.35809027778</v>
      </c>
      <c r="C698" s="1" t="n">
        <v>46000</v>
      </c>
      <c r="D698" t="inlineStr">
        <is>
          <t>KALMAR LÄN</t>
        </is>
      </c>
      <c r="E698" t="inlineStr">
        <is>
          <t>VIMMERBY</t>
        </is>
      </c>
      <c r="G698" t="n">
        <v>0.7</v>
      </c>
      <c r="H698" t="n">
        <v>0</v>
      </c>
      <c r="I698" t="n">
        <v>0</v>
      </c>
      <c r="J698" t="n">
        <v>0</v>
      </c>
      <c r="K698" t="n">
        <v>0</v>
      </c>
      <c r="L698" t="n">
        <v>0</v>
      </c>
      <c r="M698" t="n">
        <v>0</v>
      </c>
      <c r="N698" t="n">
        <v>0</v>
      </c>
      <c r="O698" t="n">
        <v>0</v>
      </c>
      <c r="P698" t="n">
        <v>0</v>
      </c>
      <c r="Q698" t="n">
        <v>0</v>
      </c>
      <c r="R698" s="2" t="inlineStr"/>
    </row>
    <row r="699" ht="15" customHeight="1">
      <c r="A699" t="inlineStr">
        <is>
          <t>A 36049-2024</t>
        </is>
      </c>
      <c r="B699" s="1" t="n">
        <v>45533.61996527778</v>
      </c>
      <c r="C699" s="1" t="n">
        <v>46000</v>
      </c>
      <c r="D699" t="inlineStr">
        <is>
          <t>KALMAR LÄN</t>
        </is>
      </c>
      <c r="E699" t="inlineStr">
        <is>
          <t>VIMMERBY</t>
        </is>
      </c>
      <c r="F699" t="inlineStr">
        <is>
          <t>Kommuner</t>
        </is>
      </c>
      <c r="G699" t="n">
        <v>2.6</v>
      </c>
      <c r="H699" t="n">
        <v>0</v>
      </c>
      <c r="I699" t="n">
        <v>0</v>
      </c>
      <c r="J699" t="n">
        <v>0</v>
      </c>
      <c r="K699" t="n">
        <v>0</v>
      </c>
      <c r="L699" t="n">
        <v>0</v>
      </c>
      <c r="M699" t="n">
        <v>0</v>
      </c>
      <c r="N699" t="n">
        <v>0</v>
      </c>
      <c r="O699" t="n">
        <v>0</v>
      </c>
      <c r="P699" t="n">
        <v>0</v>
      </c>
      <c r="Q699" t="n">
        <v>0</v>
      </c>
      <c r="R699" s="2" t="inlineStr"/>
    </row>
    <row r="700" ht="15" customHeight="1">
      <c r="A700" t="inlineStr">
        <is>
          <t>A 4297-2022</t>
        </is>
      </c>
      <c r="B700" s="1" t="n">
        <v>44588</v>
      </c>
      <c r="C700" s="1" t="n">
        <v>46000</v>
      </c>
      <c r="D700" t="inlineStr">
        <is>
          <t>KALMAR LÄN</t>
        </is>
      </c>
      <c r="E700" t="inlineStr">
        <is>
          <t>VIMMERBY</t>
        </is>
      </c>
      <c r="G700" t="n">
        <v>1</v>
      </c>
      <c r="H700" t="n">
        <v>0</v>
      </c>
      <c r="I700" t="n">
        <v>0</v>
      </c>
      <c r="J700" t="n">
        <v>0</v>
      </c>
      <c r="K700" t="n">
        <v>0</v>
      </c>
      <c r="L700" t="n">
        <v>0</v>
      </c>
      <c r="M700" t="n">
        <v>0</v>
      </c>
      <c r="N700" t="n">
        <v>0</v>
      </c>
      <c r="O700" t="n">
        <v>0</v>
      </c>
      <c r="P700" t="n">
        <v>0</v>
      </c>
      <c r="Q700" t="n">
        <v>0</v>
      </c>
      <c r="R700" s="2" t="inlineStr"/>
    </row>
    <row r="701" ht="15" customHeight="1">
      <c r="A701" t="inlineStr">
        <is>
          <t>A 46399-2024</t>
        </is>
      </c>
      <c r="B701" s="1" t="n">
        <v>45582.41200231481</v>
      </c>
      <c r="C701" s="1" t="n">
        <v>46000</v>
      </c>
      <c r="D701" t="inlineStr">
        <is>
          <t>KALMAR LÄN</t>
        </is>
      </c>
      <c r="E701" t="inlineStr">
        <is>
          <t>VIMMERBY</t>
        </is>
      </c>
      <c r="G701" t="n">
        <v>4.6</v>
      </c>
      <c r="H701" t="n">
        <v>0</v>
      </c>
      <c r="I701" t="n">
        <v>0</v>
      </c>
      <c r="J701" t="n">
        <v>0</v>
      </c>
      <c r="K701" t="n">
        <v>0</v>
      </c>
      <c r="L701" t="n">
        <v>0</v>
      </c>
      <c r="M701" t="n">
        <v>0</v>
      </c>
      <c r="N701" t="n">
        <v>0</v>
      </c>
      <c r="O701" t="n">
        <v>0</v>
      </c>
      <c r="P701" t="n">
        <v>0</v>
      </c>
      <c r="Q701" t="n">
        <v>0</v>
      </c>
      <c r="R701" s="2" t="inlineStr"/>
    </row>
    <row r="702" ht="15" customHeight="1">
      <c r="A702" t="inlineStr">
        <is>
          <t>A 13532-2025</t>
        </is>
      </c>
      <c r="B702" s="1" t="n">
        <v>45736.50743055555</v>
      </c>
      <c r="C702" s="1" t="n">
        <v>46000</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43038-2022</t>
        </is>
      </c>
      <c r="B703" s="1" t="n">
        <v>44833.60123842592</v>
      </c>
      <c r="C703" s="1" t="n">
        <v>46000</v>
      </c>
      <c r="D703" t="inlineStr">
        <is>
          <t>KALMAR LÄN</t>
        </is>
      </c>
      <c r="E703" t="inlineStr">
        <is>
          <t>VIMMERBY</t>
        </is>
      </c>
      <c r="G703" t="n">
        <v>4.2</v>
      </c>
      <c r="H703" t="n">
        <v>0</v>
      </c>
      <c r="I703" t="n">
        <v>0</v>
      </c>
      <c r="J703" t="n">
        <v>0</v>
      </c>
      <c r="K703" t="n">
        <v>0</v>
      </c>
      <c r="L703" t="n">
        <v>0</v>
      </c>
      <c r="M703" t="n">
        <v>0</v>
      </c>
      <c r="N703" t="n">
        <v>0</v>
      </c>
      <c r="O703" t="n">
        <v>0</v>
      </c>
      <c r="P703" t="n">
        <v>0</v>
      </c>
      <c r="Q703" t="n">
        <v>0</v>
      </c>
      <c r="R703" s="2" t="inlineStr"/>
    </row>
    <row r="704" ht="15" customHeight="1">
      <c r="A704" t="inlineStr">
        <is>
          <t>A 12596-2021</t>
        </is>
      </c>
      <c r="B704" s="1" t="n">
        <v>44270.39765046296</v>
      </c>
      <c r="C704" s="1" t="n">
        <v>46000</v>
      </c>
      <c r="D704" t="inlineStr">
        <is>
          <t>KALMAR LÄN</t>
        </is>
      </c>
      <c r="E704" t="inlineStr">
        <is>
          <t>VIMMERBY</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57799-2022</t>
        </is>
      </c>
      <c r="B705" s="1" t="n">
        <v>44897</v>
      </c>
      <c r="C705" s="1" t="n">
        <v>46000</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30921-2024</t>
        </is>
      </c>
      <c r="B706" s="1" t="n">
        <v>45498</v>
      </c>
      <c r="C706" s="1" t="n">
        <v>46000</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14137-2023</t>
        </is>
      </c>
      <c r="B707" s="1" t="n">
        <v>45009.4671875</v>
      </c>
      <c r="C707" s="1" t="n">
        <v>46000</v>
      </c>
      <c r="D707" t="inlineStr">
        <is>
          <t>KALMAR LÄN</t>
        </is>
      </c>
      <c r="E707" t="inlineStr">
        <is>
          <t>VIMMERBY</t>
        </is>
      </c>
      <c r="G707" t="n">
        <v>1.3</v>
      </c>
      <c r="H707" t="n">
        <v>0</v>
      </c>
      <c r="I707" t="n">
        <v>0</v>
      </c>
      <c r="J707" t="n">
        <v>0</v>
      </c>
      <c r="K707" t="n">
        <v>0</v>
      </c>
      <c r="L707" t="n">
        <v>0</v>
      </c>
      <c r="M707" t="n">
        <v>0</v>
      </c>
      <c r="N707" t="n">
        <v>0</v>
      </c>
      <c r="O707" t="n">
        <v>0</v>
      </c>
      <c r="P707" t="n">
        <v>0</v>
      </c>
      <c r="Q707" t="n">
        <v>0</v>
      </c>
      <c r="R707" s="2" t="inlineStr"/>
    </row>
    <row r="708" ht="15" customHeight="1">
      <c r="A708" t="inlineStr">
        <is>
          <t>A 11152-2023</t>
        </is>
      </c>
      <c r="B708" s="1" t="n">
        <v>44992</v>
      </c>
      <c r="C708" s="1" t="n">
        <v>46000</v>
      </c>
      <c r="D708" t="inlineStr">
        <is>
          <t>KALMAR LÄN</t>
        </is>
      </c>
      <c r="E708" t="inlineStr">
        <is>
          <t>VIMMERBY</t>
        </is>
      </c>
      <c r="G708" t="n">
        <v>10.6</v>
      </c>
      <c r="H708" t="n">
        <v>0</v>
      </c>
      <c r="I708" t="n">
        <v>0</v>
      </c>
      <c r="J708" t="n">
        <v>0</v>
      </c>
      <c r="K708" t="n">
        <v>0</v>
      </c>
      <c r="L708" t="n">
        <v>0</v>
      </c>
      <c r="M708" t="n">
        <v>0</v>
      </c>
      <c r="N708" t="n">
        <v>0</v>
      </c>
      <c r="O708" t="n">
        <v>0</v>
      </c>
      <c r="P708" t="n">
        <v>0</v>
      </c>
      <c r="Q708" t="n">
        <v>0</v>
      </c>
      <c r="R708" s="2" t="inlineStr"/>
    </row>
    <row r="709" ht="15" customHeight="1">
      <c r="A709" t="inlineStr">
        <is>
          <t>A 12499-2023</t>
        </is>
      </c>
      <c r="B709" s="1" t="n">
        <v>44999.86172453704</v>
      </c>
      <c r="C709" s="1" t="n">
        <v>46000</v>
      </c>
      <c r="D709" t="inlineStr">
        <is>
          <t>KALMAR LÄN</t>
        </is>
      </c>
      <c r="E709" t="inlineStr">
        <is>
          <t>VIMMERBY</t>
        </is>
      </c>
      <c r="G709" t="n">
        <v>0.8</v>
      </c>
      <c r="H709" t="n">
        <v>0</v>
      </c>
      <c r="I709" t="n">
        <v>0</v>
      </c>
      <c r="J709" t="n">
        <v>0</v>
      </c>
      <c r="K709" t="n">
        <v>0</v>
      </c>
      <c r="L709" t="n">
        <v>0</v>
      </c>
      <c r="M709" t="n">
        <v>0</v>
      </c>
      <c r="N709" t="n">
        <v>0</v>
      </c>
      <c r="O709" t="n">
        <v>0</v>
      </c>
      <c r="P709" t="n">
        <v>0</v>
      </c>
      <c r="Q709" t="n">
        <v>0</v>
      </c>
      <c r="R709" s="2" t="inlineStr"/>
    </row>
    <row r="710" ht="15" customHeight="1">
      <c r="A710" t="inlineStr">
        <is>
          <t>A 12500-2023</t>
        </is>
      </c>
      <c r="B710" s="1" t="n">
        <v>44999.8625</v>
      </c>
      <c r="C710" s="1" t="n">
        <v>46000</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35846-2023</t>
        </is>
      </c>
      <c r="B711" s="1" t="n">
        <v>45148</v>
      </c>
      <c r="C711" s="1" t="n">
        <v>46000</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49039-2021</t>
        </is>
      </c>
      <c r="B712" s="1" t="n">
        <v>44453.56578703703</v>
      </c>
      <c r="C712" s="1" t="n">
        <v>46000</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46224-2024</t>
        </is>
      </c>
      <c r="B713" s="1" t="n">
        <v>45581.57016203704</v>
      </c>
      <c r="C713" s="1" t="n">
        <v>46000</v>
      </c>
      <c r="D713" t="inlineStr">
        <is>
          <t>KALMAR LÄN</t>
        </is>
      </c>
      <c r="E713" t="inlineStr">
        <is>
          <t>VIMMERBY</t>
        </is>
      </c>
      <c r="G713" t="n">
        <v>3.1</v>
      </c>
      <c r="H713" t="n">
        <v>0</v>
      </c>
      <c r="I713" t="n">
        <v>0</v>
      </c>
      <c r="J713" t="n">
        <v>0</v>
      </c>
      <c r="K713" t="n">
        <v>0</v>
      </c>
      <c r="L713" t="n">
        <v>0</v>
      </c>
      <c r="M713" t="n">
        <v>0</v>
      </c>
      <c r="N713" t="n">
        <v>0</v>
      </c>
      <c r="O713" t="n">
        <v>0</v>
      </c>
      <c r="P713" t="n">
        <v>0</v>
      </c>
      <c r="Q713" t="n">
        <v>0</v>
      </c>
      <c r="R713" s="2" t="inlineStr"/>
    </row>
    <row r="714" ht="15" customHeight="1">
      <c r="A714" t="inlineStr">
        <is>
          <t>A 46238-2024</t>
        </is>
      </c>
      <c r="B714" s="1" t="n">
        <v>45581.58418981481</v>
      </c>
      <c r="C714" s="1" t="n">
        <v>46000</v>
      </c>
      <c r="D714" t="inlineStr">
        <is>
          <t>KALMAR LÄN</t>
        </is>
      </c>
      <c r="E714" t="inlineStr">
        <is>
          <t>VIMMERBY</t>
        </is>
      </c>
      <c r="G714" t="n">
        <v>2.1</v>
      </c>
      <c r="H714" t="n">
        <v>0</v>
      </c>
      <c r="I714" t="n">
        <v>0</v>
      </c>
      <c r="J714" t="n">
        <v>0</v>
      </c>
      <c r="K714" t="n">
        <v>0</v>
      </c>
      <c r="L714" t="n">
        <v>0</v>
      </c>
      <c r="M714" t="n">
        <v>0</v>
      </c>
      <c r="N714" t="n">
        <v>0</v>
      </c>
      <c r="O714" t="n">
        <v>0</v>
      </c>
      <c r="P714" t="n">
        <v>0</v>
      </c>
      <c r="Q714" t="n">
        <v>0</v>
      </c>
      <c r="R714" s="2" t="inlineStr"/>
    </row>
    <row r="715" ht="15" customHeight="1">
      <c r="A715" t="inlineStr">
        <is>
          <t>A 30633-2024</t>
        </is>
      </c>
      <c r="B715" s="1" t="n">
        <v>45495</v>
      </c>
      <c r="C715" s="1" t="n">
        <v>46000</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54838-2024</t>
        </is>
      </c>
      <c r="B716" s="1" t="n">
        <v>45618.56787037037</v>
      </c>
      <c r="C716" s="1" t="n">
        <v>46000</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6405-2025</t>
        </is>
      </c>
      <c r="B717" s="1" t="n">
        <v>45699.45392361111</v>
      </c>
      <c r="C717" s="1" t="n">
        <v>46000</v>
      </c>
      <c r="D717" t="inlineStr">
        <is>
          <t>KALMAR LÄN</t>
        </is>
      </c>
      <c r="E717" t="inlineStr">
        <is>
          <t>VIMMERBY</t>
        </is>
      </c>
      <c r="G717" t="n">
        <v>1.2</v>
      </c>
      <c r="H717" t="n">
        <v>0</v>
      </c>
      <c r="I717" t="n">
        <v>0</v>
      </c>
      <c r="J717" t="n">
        <v>0</v>
      </c>
      <c r="K717" t="n">
        <v>0</v>
      </c>
      <c r="L717" t="n">
        <v>0</v>
      </c>
      <c r="M717" t="n">
        <v>0</v>
      </c>
      <c r="N717" t="n">
        <v>0</v>
      </c>
      <c r="O717" t="n">
        <v>0</v>
      </c>
      <c r="P717" t="n">
        <v>0</v>
      </c>
      <c r="Q717" t="n">
        <v>0</v>
      </c>
      <c r="R717" s="2" t="inlineStr"/>
    </row>
    <row r="718" ht="15" customHeight="1">
      <c r="A718" t="inlineStr">
        <is>
          <t>A 60437-2023</t>
        </is>
      </c>
      <c r="B718" s="1" t="n">
        <v>45259.51916666667</v>
      </c>
      <c r="C718" s="1" t="n">
        <v>46000</v>
      </c>
      <c r="D718" t="inlineStr">
        <is>
          <t>KALMAR LÄN</t>
        </is>
      </c>
      <c r="E718" t="inlineStr">
        <is>
          <t>VIMMERBY</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60438-2023</t>
        </is>
      </c>
      <c r="B719" s="1" t="n">
        <v>45259.52020833334</v>
      </c>
      <c r="C719" s="1" t="n">
        <v>46000</v>
      </c>
      <c r="D719" t="inlineStr">
        <is>
          <t>KALMAR LÄN</t>
        </is>
      </c>
      <c r="E719" t="inlineStr">
        <is>
          <t>VIMMERBY</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42165-2024</t>
        </is>
      </c>
      <c r="B720" s="1" t="n">
        <v>45562.46342592593</v>
      </c>
      <c r="C720" s="1" t="n">
        <v>46000</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25244-2023</t>
        </is>
      </c>
      <c r="B721" s="1" t="n">
        <v>45086</v>
      </c>
      <c r="C721" s="1" t="n">
        <v>46000</v>
      </c>
      <c r="D721" t="inlineStr">
        <is>
          <t>KALMAR LÄN</t>
        </is>
      </c>
      <c r="E721" t="inlineStr">
        <is>
          <t>VIMMERBY</t>
        </is>
      </c>
      <c r="G721" t="n">
        <v>4.7</v>
      </c>
      <c r="H721" t="n">
        <v>0</v>
      </c>
      <c r="I721" t="n">
        <v>0</v>
      </c>
      <c r="J721" t="n">
        <v>0</v>
      </c>
      <c r="K721" t="n">
        <v>0</v>
      </c>
      <c r="L721" t="n">
        <v>0</v>
      </c>
      <c r="M721" t="n">
        <v>0</v>
      </c>
      <c r="N721" t="n">
        <v>0</v>
      </c>
      <c r="O721" t="n">
        <v>0</v>
      </c>
      <c r="P721" t="n">
        <v>0</v>
      </c>
      <c r="Q721" t="n">
        <v>0</v>
      </c>
      <c r="R721" s="2" t="inlineStr"/>
    </row>
    <row r="722" ht="15" customHeight="1">
      <c r="A722" t="inlineStr">
        <is>
          <t>A 66022-2021</t>
        </is>
      </c>
      <c r="B722" s="1" t="n">
        <v>44517</v>
      </c>
      <c r="C722" s="1" t="n">
        <v>46000</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35895-2024</t>
        </is>
      </c>
      <c r="B723" s="1" t="n">
        <v>45533.38870370371</v>
      </c>
      <c r="C723" s="1" t="n">
        <v>46000</v>
      </c>
      <c r="D723" t="inlineStr">
        <is>
          <t>KALMAR LÄN</t>
        </is>
      </c>
      <c r="E723" t="inlineStr">
        <is>
          <t>VIMMERBY</t>
        </is>
      </c>
      <c r="G723" t="n">
        <v>1.4</v>
      </c>
      <c r="H723" t="n">
        <v>0</v>
      </c>
      <c r="I723" t="n">
        <v>0</v>
      </c>
      <c r="J723" t="n">
        <v>0</v>
      </c>
      <c r="K723" t="n">
        <v>0</v>
      </c>
      <c r="L723" t="n">
        <v>0</v>
      </c>
      <c r="M723" t="n">
        <v>0</v>
      </c>
      <c r="N723" t="n">
        <v>0</v>
      </c>
      <c r="O723" t="n">
        <v>0</v>
      </c>
      <c r="P723" t="n">
        <v>0</v>
      </c>
      <c r="Q723" t="n">
        <v>0</v>
      </c>
      <c r="R723" s="2" t="inlineStr"/>
    </row>
    <row r="724" ht="15" customHeight="1">
      <c r="A724" t="inlineStr">
        <is>
          <t>A 11073-2023</t>
        </is>
      </c>
      <c r="B724" s="1" t="n">
        <v>44992</v>
      </c>
      <c r="C724" s="1" t="n">
        <v>46000</v>
      </c>
      <c r="D724" t="inlineStr">
        <is>
          <t>KALMAR LÄN</t>
        </is>
      </c>
      <c r="E724" t="inlineStr">
        <is>
          <t>VIMMERBY</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17-2025</t>
        </is>
      </c>
      <c r="B725" s="1" t="n">
        <v>45658.78774305555</v>
      </c>
      <c r="C725" s="1" t="n">
        <v>46000</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32655-2023</t>
        </is>
      </c>
      <c r="B726" s="1" t="n">
        <v>45121.61318287037</v>
      </c>
      <c r="C726" s="1" t="n">
        <v>46000</v>
      </c>
      <c r="D726" t="inlineStr">
        <is>
          <t>KALMAR LÄN</t>
        </is>
      </c>
      <c r="E726" t="inlineStr">
        <is>
          <t>VIMMERBY</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63541-2023</t>
        </is>
      </c>
      <c r="B727" s="1" t="n">
        <v>45275.32266203704</v>
      </c>
      <c r="C727" s="1" t="n">
        <v>46000</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28034-2022</t>
        </is>
      </c>
      <c r="B728" s="1" t="n">
        <v>44746.38834490741</v>
      </c>
      <c r="C728" s="1" t="n">
        <v>46000</v>
      </c>
      <c r="D728" t="inlineStr">
        <is>
          <t>KALMAR LÄN</t>
        </is>
      </c>
      <c r="E728" t="inlineStr">
        <is>
          <t>VIMMERBY</t>
        </is>
      </c>
      <c r="G728" t="n">
        <v>2</v>
      </c>
      <c r="H728" t="n">
        <v>0</v>
      </c>
      <c r="I728" t="n">
        <v>0</v>
      </c>
      <c r="J728" t="n">
        <v>0</v>
      </c>
      <c r="K728" t="n">
        <v>0</v>
      </c>
      <c r="L728" t="n">
        <v>0</v>
      </c>
      <c r="M728" t="n">
        <v>0</v>
      </c>
      <c r="N728" t="n">
        <v>0</v>
      </c>
      <c r="O728" t="n">
        <v>0</v>
      </c>
      <c r="P728" t="n">
        <v>0</v>
      </c>
      <c r="Q728" t="n">
        <v>0</v>
      </c>
      <c r="R728" s="2" t="inlineStr"/>
    </row>
    <row r="729" ht="15" customHeight="1">
      <c r="A729" t="inlineStr">
        <is>
          <t>A 5938-2022</t>
        </is>
      </c>
      <c r="B729" s="1" t="n">
        <v>44598</v>
      </c>
      <c r="C729" s="1" t="n">
        <v>46000</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24283-2023</t>
        </is>
      </c>
      <c r="B730" s="1" t="n">
        <v>45079.87827546296</v>
      </c>
      <c r="C730" s="1" t="n">
        <v>46000</v>
      </c>
      <c r="D730" t="inlineStr">
        <is>
          <t>KALMAR LÄN</t>
        </is>
      </c>
      <c r="E730" t="inlineStr">
        <is>
          <t>VIMMERBY</t>
        </is>
      </c>
      <c r="G730" t="n">
        <v>2</v>
      </c>
      <c r="H730" t="n">
        <v>0</v>
      </c>
      <c r="I730" t="n">
        <v>0</v>
      </c>
      <c r="J730" t="n">
        <v>0</v>
      </c>
      <c r="K730" t="n">
        <v>0</v>
      </c>
      <c r="L730" t="n">
        <v>0</v>
      </c>
      <c r="M730" t="n">
        <v>0</v>
      </c>
      <c r="N730" t="n">
        <v>0</v>
      </c>
      <c r="O730" t="n">
        <v>0</v>
      </c>
      <c r="P730" t="n">
        <v>0</v>
      </c>
      <c r="Q730" t="n">
        <v>0</v>
      </c>
      <c r="R730" s="2" t="inlineStr"/>
    </row>
    <row r="731" ht="15" customHeight="1">
      <c r="A731" t="inlineStr">
        <is>
          <t>A 2462-2022</t>
        </is>
      </c>
      <c r="B731" s="1" t="n">
        <v>44579.62225694444</v>
      </c>
      <c r="C731" s="1" t="n">
        <v>46000</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60228-2021</t>
        </is>
      </c>
      <c r="B732" s="1" t="n">
        <v>44495</v>
      </c>
      <c r="C732" s="1" t="n">
        <v>46000</v>
      </c>
      <c r="D732" t="inlineStr">
        <is>
          <t>KALMAR LÄN</t>
        </is>
      </c>
      <c r="E732" t="inlineStr">
        <is>
          <t>VIMMERBY</t>
        </is>
      </c>
      <c r="G732" t="n">
        <v>4.1</v>
      </c>
      <c r="H732" t="n">
        <v>0</v>
      </c>
      <c r="I732" t="n">
        <v>0</v>
      </c>
      <c r="J732" t="n">
        <v>0</v>
      </c>
      <c r="K732" t="n">
        <v>0</v>
      </c>
      <c r="L732" t="n">
        <v>0</v>
      </c>
      <c r="M732" t="n">
        <v>0</v>
      </c>
      <c r="N732" t="n">
        <v>0</v>
      </c>
      <c r="O732" t="n">
        <v>0</v>
      </c>
      <c r="P732" t="n">
        <v>0</v>
      </c>
      <c r="Q732" t="n">
        <v>0</v>
      </c>
      <c r="R732" s="2" t="inlineStr"/>
    </row>
    <row r="733" ht="15" customHeight="1">
      <c r="A733" t="inlineStr">
        <is>
          <t>A 25979-2023</t>
        </is>
      </c>
      <c r="B733" s="1" t="n">
        <v>45090.89653935185</v>
      </c>
      <c r="C733" s="1" t="n">
        <v>46000</v>
      </c>
      <c r="D733" t="inlineStr">
        <is>
          <t>KALMAR LÄN</t>
        </is>
      </c>
      <c r="E733" t="inlineStr">
        <is>
          <t>VIMMERBY</t>
        </is>
      </c>
      <c r="G733" t="n">
        <v>2</v>
      </c>
      <c r="H733" t="n">
        <v>0</v>
      </c>
      <c r="I733" t="n">
        <v>0</v>
      </c>
      <c r="J733" t="n">
        <v>0</v>
      </c>
      <c r="K733" t="n">
        <v>0</v>
      </c>
      <c r="L733" t="n">
        <v>0</v>
      </c>
      <c r="M733" t="n">
        <v>0</v>
      </c>
      <c r="N733" t="n">
        <v>0</v>
      </c>
      <c r="O733" t="n">
        <v>0</v>
      </c>
      <c r="P733" t="n">
        <v>0</v>
      </c>
      <c r="Q733" t="n">
        <v>0</v>
      </c>
      <c r="R733" s="2" t="inlineStr"/>
    </row>
    <row r="734" ht="15" customHeight="1">
      <c r="A734" t="inlineStr">
        <is>
          <t>A 25980-2023</t>
        </is>
      </c>
      <c r="B734" s="1" t="n">
        <v>45090.89880787037</v>
      </c>
      <c r="C734" s="1" t="n">
        <v>46000</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12510-2022</t>
        </is>
      </c>
      <c r="B735" s="1" t="n">
        <v>44638.55256944444</v>
      </c>
      <c r="C735" s="1" t="n">
        <v>46000</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6358-2022</t>
        </is>
      </c>
      <c r="B736" s="1" t="n">
        <v>44600</v>
      </c>
      <c r="C736" s="1" t="n">
        <v>46000</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48373-2021</t>
        </is>
      </c>
      <c r="B737" s="1" t="n">
        <v>44451</v>
      </c>
      <c r="C737" s="1" t="n">
        <v>46000</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57256-2023</t>
        </is>
      </c>
      <c r="B738" s="1" t="n">
        <v>45245.5735300926</v>
      </c>
      <c r="C738" s="1" t="n">
        <v>46000</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17482-2024</t>
        </is>
      </c>
      <c r="B739" s="1" t="n">
        <v>45415.47848379629</v>
      </c>
      <c r="C739" s="1" t="n">
        <v>46000</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55123-2024</t>
        </is>
      </c>
      <c r="B740" s="1" t="n">
        <v>45621.46103009259</v>
      </c>
      <c r="C740" s="1" t="n">
        <v>46000</v>
      </c>
      <c r="D740" t="inlineStr">
        <is>
          <t>KALMAR LÄN</t>
        </is>
      </c>
      <c r="E740" t="inlineStr">
        <is>
          <t>VIMMERBY</t>
        </is>
      </c>
      <c r="G740" t="n">
        <v>3.1</v>
      </c>
      <c r="H740" t="n">
        <v>0</v>
      </c>
      <c r="I740" t="n">
        <v>0</v>
      </c>
      <c r="J740" t="n">
        <v>0</v>
      </c>
      <c r="K740" t="n">
        <v>0</v>
      </c>
      <c r="L740" t="n">
        <v>0</v>
      </c>
      <c r="M740" t="n">
        <v>0</v>
      </c>
      <c r="N740" t="n">
        <v>0</v>
      </c>
      <c r="O740" t="n">
        <v>0</v>
      </c>
      <c r="P740" t="n">
        <v>0</v>
      </c>
      <c r="Q740" t="n">
        <v>0</v>
      </c>
      <c r="R740" s="2" t="inlineStr"/>
    </row>
    <row r="741" ht="15" customHeight="1">
      <c r="A741" t="inlineStr">
        <is>
          <t>A 49313-2022</t>
        </is>
      </c>
      <c r="B741" s="1" t="n">
        <v>44861.52505787037</v>
      </c>
      <c r="C741" s="1" t="n">
        <v>46000</v>
      </c>
      <c r="D741" t="inlineStr">
        <is>
          <t>KALMAR LÄN</t>
        </is>
      </c>
      <c r="E741" t="inlineStr">
        <is>
          <t>VIMMERBY</t>
        </is>
      </c>
      <c r="G741" t="n">
        <v>1.9</v>
      </c>
      <c r="H741" t="n">
        <v>0</v>
      </c>
      <c r="I741" t="n">
        <v>0</v>
      </c>
      <c r="J741" t="n">
        <v>0</v>
      </c>
      <c r="K741" t="n">
        <v>0</v>
      </c>
      <c r="L741" t="n">
        <v>0</v>
      </c>
      <c r="M741" t="n">
        <v>0</v>
      </c>
      <c r="N741" t="n">
        <v>0</v>
      </c>
      <c r="O741" t="n">
        <v>0</v>
      </c>
      <c r="P741" t="n">
        <v>0</v>
      </c>
      <c r="Q741" t="n">
        <v>0</v>
      </c>
      <c r="R741" s="2" t="inlineStr"/>
    </row>
    <row r="742" ht="15" customHeight="1">
      <c r="A742" t="inlineStr">
        <is>
          <t>A 1987-2024</t>
        </is>
      </c>
      <c r="B742" s="1" t="n">
        <v>45308.61152777778</v>
      </c>
      <c r="C742" s="1" t="n">
        <v>46000</v>
      </c>
      <c r="D742" t="inlineStr">
        <is>
          <t>KALMAR LÄN</t>
        </is>
      </c>
      <c r="E742" t="inlineStr">
        <is>
          <t>VIMMERBY</t>
        </is>
      </c>
      <c r="G742" t="n">
        <v>3</v>
      </c>
      <c r="H742" t="n">
        <v>0</v>
      </c>
      <c r="I742" t="n">
        <v>0</v>
      </c>
      <c r="J742" t="n">
        <v>0</v>
      </c>
      <c r="K742" t="n">
        <v>0</v>
      </c>
      <c r="L742" t="n">
        <v>0</v>
      </c>
      <c r="M742" t="n">
        <v>0</v>
      </c>
      <c r="N742" t="n">
        <v>0</v>
      </c>
      <c r="O742" t="n">
        <v>0</v>
      </c>
      <c r="P742" t="n">
        <v>0</v>
      </c>
      <c r="Q742" t="n">
        <v>0</v>
      </c>
      <c r="R742" s="2" t="inlineStr"/>
    </row>
    <row r="743" ht="15" customHeight="1">
      <c r="A743" t="inlineStr">
        <is>
          <t>A 21507-2023</t>
        </is>
      </c>
      <c r="B743" s="1" t="n">
        <v>45063.508125</v>
      </c>
      <c r="C743" s="1" t="n">
        <v>46000</v>
      </c>
      <c r="D743" t="inlineStr">
        <is>
          <t>KALMAR LÄN</t>
        </is>
      </c>
      <c r="E743" t="inlineStr">
        <is>
          <t>VIMMERBY</t>
        </is>
      </c>
      <c r="G743" t="n">
        <v>2.8</v>
      </c>
      <c r="H743" t="n">
        <v>0</v>
      </c>
      <c r="I743" t="n">
        <v>0</v>
      </c>
      <c r="J743" t="n">
        <v>0</v>
      </c>
      <c r="K743" t="n">
        <v>0</v>
      </c>
      <c r="L743" t="n">
        <v>0</v>
      </c>
      <c r="M743" t="n">
        <v>0</v>
      </c>
      <c r="N743" t="n">
        <v>0</v>
      </c>
      <c r="O743" t="n">
        <v>0</v>
      </c>
      <c r="P743" t="n">
        <v>0</v>
      </c>
      <c r="Q743" t="n">
        <v>0</v>
      </c>
      <c r="R743" s="2" t="inlineStr"/>
    </row>
    <row r="744" ht="15" customHeight="1">
      <c r="A744" t="inlineStr">
        <is>
          <t>A 57189-2022</t>
        </is>
      </c>
      <c r="B744" s="1" t="n">
        <v>44895.62296296296</v>
      </c>
      <c r="C744" s="1" t="n">
        <v>46000</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48673-2021</t>
        </is>
      </c>
      <c r="B745" s="1" t="n">
        <v>44452</v>
      </c>
      <c r="C745" s="1" t="n">
        <v>46000</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14248-2023</t>
        </is>
      </c>
      <c r="B746" s="1" t="n">
        <v>45009</v>
      </c>
      <c r="C746" s="1" t="n">
        <v>46000</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12480-2024</t>
        </is>
      </c>
      <c r="B747" s="1" t="n">
        <v>45379</v>
      </c>
      <c r="C747" s="1" t="n">
        <v>46000</v>
      </c>
      <c r="D747" t="inlineStr">
        <is>
          <t>KALMAR LÄN</t>
        </is>
      </c>
      <c r="E747" t="inlineStr">
        <is>
          <t>VIMMERBY</t>
        </is>
      </c>
      <c r="G747" t="n">
        <v>2.8</v>
      </c>
      <c r="H747" t="n">
        <v>0</v>
      </c>
      <c r="I747" t="n">
        <v>0</v>
      </c>
      <c r="J747" t="n">
        <v>0</v>
      </c>
      <c r="K747" t="n">
        <v>0</v>
      </c>
      <c r="L747" t="n">
        <v>0</v>
      </c>
      <c r="M747" t="n">
        <v>0</v>
      </c>
      <c r="N747" t="n">
        <v>0</v>
      </c>
      <c r="O747" t="n">
        <v>0</v>
      </c>
      <c r="P747" t="n">
        <v>0</v>
      </c>
      <c r="Q747" t="n">
        <v>0</v>
      </c>
      <c r="R747" s="2" t="inlineStr"/>
    </row>
    <row r="748" ht="15" customHeight="1">
      <c r="A748" t="inlineStr">
        <is>
          <t>A 40095-2022</t>
        </is>
      </c>
      <c r="B748" s="1" t="n">
        <v>44820</v>
      </c>
      <c r="C748" s="1" t="n">
        <v>46000</v>
      </c>
      <c r="D748" t="inlineStr">
        <is>
          <t>KALMAR LÄN</t>
        </is>
      </c>
      <c r="E748" t="inlineStr">
        <is>
          <t>VIMMERBY</t>
        </is>
      </c>
      <c r="G748" t="n">
        <v>2.4</v>
      </c>
      <c r="H748" t="n">
        <v>0</v>
      </c>
      <c r="I748" t="n">
        <v>0</v>
      </c>
      <c r="J748" t="n">
        <v>0</v>
      </c>
      <c r="K748" t="n">
        <v>0</v>
      </c>
      <c r="L748" t="n">
        <v>0</v>
      </c>
      <c r="M748" t="n">
        <v>0</v>
      </c>
      <c r="N748" t="n">
        <v>0</v>
      </c>
      <c r="O748" t="n">
        <v>0</v>
      </c>
      <c r="P748" t="n">
        <v>0</v>
      </c>
      <c r="Q748" t="n">
        <v>0</v>
      </c>
      <c r="R748" s="2" t="inlineStr"/>
    </row>
    <row r="749" ht="15" customHeight="1">
      <c r="A749" t="inlineStr">
        <is>
          <t>A 50085-2023</t>
        </is>
      </c>
      <c r="B749" s="1" t="n">
        <v>45215.5959375</v>
      </c>
      <c r="C749" s="1" t="n">
        <v>46000</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50087-2023</t>
        </is>
      </c>
      <c r="B750" s="1" t="n">
        <v>45215.59743055556</v>
      </c>
      <c r="C750" s="1" t="n">
        <v>46000</v>
      </c>
      <c r="D750" t="inlineStr">
        <is>
          <t>KALMAR LÄN</t>
        </is>
      </c>
      <c r="E750" t="inlineStr">
        <is>
          <t>VIMMERBY</t>
        </is>
      </c>
      <c r="G750" t="n">
        <v>0.9</v>
      </c>
      <c r="H750" t="n">
        <v>0</v>
      </c>
      <c r="I750" t="n">
        <v>0</v>
      </c>
      <c r="J750" t="n">
        <v>0</v>
      </c>
      <c r="K750" t="n">
        <v>0</v>
      </c>
      <c r="L750" t="n">
        <v>0</v>
      </c>
      <c r="M750" t="n">
        <v>0</v>
      </c>
      <c r="N750" t="n">
        <v>0</v>
      </c>
      <c r="O750" t="n">
        <v>0</v>
      </c>
      <c r="P750" t="n">
        <v>0</v>
      </c>
      <c r="Q750" t="n">
        <v>0</v>
      </c>
      <c r="R750" s="2" t="inlineStr"/>
    </row>
    <row r="751" ht="15" customHeight="1">
      <c r="A751" t="inlineStr">
        <is>
          <t>A 8167-2024</t>
        </is>
      </c>
      <c r="B751" s="1" t="n">
        <v>45351.6062962963</v>
      </c>
      <c r="C751" s="1" t="n">
        <v>46000</v>
      </c>
      <c r="D751" t="inlineStr">
        <is>
          <t>KALMAR LÄN</t>
        </is>
      </c>
      <c r="E751" t="inlineStr">
        <is>
          <t>VIMMERBY</t>
        </is>
      </c>
      <c r="G751" t="n">
        <v>3.8</v>
      </c>
      <c r="H751" t="n">
        <v>0</v>
      </c>
      <c r="I751" t="n">
        <v>0</v>
      </c>
      <c r="J751" t="n">
        <v>0</v>
      </c>
      <c r="K751" t="n">
        <v>0</v>
      </c>
      <c r="L751" t="n">
        <v>0</v>
      </c>
      <c r="M751" t="n">
        <v>0</v>
      </c>
      <c r="N751" t="n">
        <v>0</v>
      </c>
      <c r="O751" t="n">
        <v>0</v>
      </c>
      <c r="P751" t="n">
        <v>0</v>
      </c>
      <c r="Q751" t="n">
        <v>0</v>
      </c>
      <c r="R751" s="2" t="inlineStr"/>
    </row>
    <row r="752" ht="15" customHeight="1">
      <c r="A752" t="inlineStr">
        <is>
          <t>A 2604-2025</t>
        </is>
      </c>
      <c r="B752" s="1" t="n">
        <v>45674.74094907408</v>
      </c>
      <c r="C752" s="1" t="n">
        <v>46000</v>
      </c>
      <c r="D752" t="inlineStr">
        <is>
          <t>KALMAR LÄN</t>
        </is>
      </c>
      <c r="E752" t="inlineStr">
        <is>
          <t>VIMMERBY</t>
        </is>
      </c>
      <c r="G752" t="n">
        <v>7.6</v>
      </c>
      <c r="H752" t="n">
        <v>0</v>
      </c>
      <c r="I752" t="n">
        <v>0</v>
      </c>
      <c r="J752" t="n">
        <v>0</v>
      </c>
      <c r="K752" t="n">
        <v>0</v>
      </c>
      <c r="L752" t="n">
        <v>0</v>
      </c>
      <c r="M752" t="n">
        <v>0</v>
      </c>
      <c r="N752" t="n">
        <v>0</v>
      </c>
      <c r="O752" t="n">
        <v>0</v>
      </c>
      <c r="P752" t="n">
        <v>0</v>
      </c>
      <c r="Q752" t="n">
        <v>0</v>
      </c>
      <c r="R752" s="2" t="inlineStr"/>
    </row>
    <row r="753" ht="15" customHeight="1">
      <c r="A753" t="inlineStr">
        <is>
          <t>A 37192-2024</t>
        </is>
      </c>
      <c r="B753" s="1" t="n">
        <v>45539.66027777778</v>
      </c>
      <c r="C753" s="1" t="n">
        <v>46000</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42429-2024</t>
        </is>
      </c>
      <c r="B754" s="1" t="n">
        <v>45565.40657407408</v>
      </c>
      <c r="C754" s="1" t="n">
        <v>46000</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29180-2024</t>
        </is>
      </c>
      <c r="B755" s="1" t="n">
        <v>45482.54108796296</v>
      </c>
      <c r="C755" s="1" t="n">
        <v>46000</v>
      </c>
      <c r="D755" t="inlineStr">
        <is>
          <t>KALMAR LÄN</t>
        </is>
      </c>
      <c r="E755" t="inlineStr">
        <is>
          <t>VIMMERBY</t>
        </is>
      </c>
      <c r="G755" t="n">
        <v>3.8</v>
      </c>
      <c r="H755" t="n">
        <v>0</v>
      </c>
      <c r="I755" t="n">
        <v>0</v>
      </c>
      <c r="J755" t="n">
        <v>0</v>
      </c>
      <c r="K755" t="n">
        <v>0</v>
      </c>
      <c r="L755" t="n">
        <v>0</v>
      </c>
      <c r="M755" t="n">
        <v>0</v>
      </c>
      <c r="N755" t="n">
        <v>0</v>
      </c>
      <c r="O755" t="n">
        <v>0</v>
      </c>
      <c r="P755" t="n">
        <v>0</v>
      </c>
      <c r="Q755" t="n">
        <v>0</v>
      </c>
      <c r="R755" s="2" t="inlineStr"/>
    </row>
    <row r="756" ht="15" customHeight="1">
      <c r="A756" t="inlineStr">
        <is>
          <t>A 45846-2023</t>
        </is>
      </c>
      <c r="B756" s="1" t="n">
        <v>45195.58452546296</v>
      </c>
      <c r="C756" s="1" t="n">
        <v>46000</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16020-2023</t>
        </is>
      </c>
      <c r="B757" s="1" t="n">
        <v>45026.82216435186</v>
      </c>
      <c r="C757" s="1" t="n">
        <v>46000</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61820-2023</t>
        </is>
      </c>
      <c r="B758" s="1" t="n">
        <v>45266.32614583334</v>
      </c>
      <c r="C758" s="1" t="n">
        <v>46000</v>
      </c>
      <c r="D758" t="inlineStr">
        <is>
          <t>KALMAR LÄN</t>
        </is>
      </c>
      <c r="E758" t="inlineStr">
        <is>
          <t>VIMMERBY</t>
        </is>
      </c>
      <c r="G758" t="n">
        <v>0.8</v>
      </c>
      <c r="H758" t="n">
        <v>0</v>
      </c>
      <c r="I758" t="n">
        <v>0</v>
      </c>
      <c r="J758" t="n">
        <v>0</v>
      </c>
      <c r="K758" t="n">
        <v>0</v>
      </c>
      <c r="L758" t="n">
        <v>0</v>
      </c>
      <c r="M758" t="n">
        <v>0</v>
      </c>
      <c r="N758" t="n">
        <v>0</v>
      </c>
      <c r="O758" t="n">
        <v>0</v>
      </c>
      <c r="P758" t="n">
        <v>0</v>
      </c>
      <c r="Q758" t="n">
        <v>0</v>
      </c>
      <c r="R758" s="2" t="inlineStr"/>
    </row>
    <row r="759" ht="15" customHeight="1">
      <c r="A759" t="inlineStr">
        <is>
          <t>A 45560-2021</t>
        </is>
      </c>
      <c r="B759" s="1" t="n">
        <v>44440</v>
      </c>
      <c r="C759" s="1" t="n">
        <v>46000</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40256-2024</t>
        </is>
      </c>
      <c r="B760" s="1" t="n">
        <v>45554.62944444444</v>
      </c>
      <c r="C760" s="1" t="n">
        <v>46000</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58104-2024</t>
        </is>
      </c>
      <c r="B761" s="1" t="n">
        <v>45632.37459490741</v>
      </c>
      <c r="C761" s="1" t="n">
        <v>46000</v>
      </c>
      <c r="D761" t="inlineStr">
        <is>
          <t>KALMAR LÄN</t>
        </is>
      </c>
      <c r="E761" t="inlineStr">
        <is>
          <t>VIMMERBY</t>
        </is>
      </c>
      <c r="G761" t="n">
        <v>5</v>
      </c>
      <c r="H761" t="n">
        <v>0</v>
      </c>
      <c r="I761" t="n">
        <v>0</v>
      </c>
      <c r="J761" t="n">
        <v>0</v>
      </c>
      <c r="K761" t="n">
        <v>0</v>
      </c>
      <c r="L761" t="n">
        <v>0</v>
      </c>
      <c r="M761" t="n">
        <v>0</v>
      </c>
      <c r="N761" t="n">
        <v>0</v>
      </c>
      <c r="O761" t="n">
        <v>0</v>
      </c>
      <c r="P761" t="n">
        <v>0</v>
      </c>
      <c r="Q761" t="n">
        <v>0</v>
      </c>
      <c r="R761" s="2" t="inlineStr"/>
    </row>
    <row r="762" ht="15" customHeight="1">
      <c r="A762" t="inlineStr">
        <is>
          <t>A 36259-2022</t>
        </is>
      </c>
      <c r="B762" s="1" t="n">
        <v>44803.59118055556</v>
      </c>
      <c r="C762" s="1" t="n">
        <v>46000</v>
      </c>
      <c r="D762" t="inlineStr">
        <is>
          <t>KALMAR LÄN</t>
        </is>
      </c>
      <c r="E762" t="inlineStr">
        <is>
          <t>VIMMERBY</t>
        </is>
      </c>
      <c r="G762" t="n">
        <v>3.9</v>
      </c>
      <c r="H762" t="n">
        <v>0</v>
      </c>
      <c r="I762" t="n">
        <v>0</v>
      </c>
      <c r="J762" t="n">
        <v>0</v>
      </c>
      <c r="K762" t="n">
        <v>0</v>
      </c>
      <c r="L762" t="n">
        <v>0</v>
      </c>
      <c r="M762" t="n">
        <v>0</v>
      </c>
      <c r="N762" t="n">
        <v>0</v>
      </c>
      <c r="O762" t="n">
        <v>0</v>
      </c>
      <c r="P762" t="n">
        <v>0</v>
      </c>
      <c r="Q762" t="n">
        <v>0</v>
      </c>
      <c r="R762" s="2" t="inlineStr"/>
    </row>
    <row r="763" ht="15" customHeight="1">
      <c r="A763" t="inlineStr">
        <is>
          <t>A 43034-2024</t>
        </is>
      </c>
      <c r="B763" s="1" t="n">
        <v>45567.42011574074</v>
      </c>
      <c r="C763" s="1" t="n">
        <v>46000</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3902-2022</t>
        </is>
      </c>
      <c r="B764" s="1" t="n">
        <v>44587.48847222222</v>
      </c>
      <c r="C764" s="1" t="n">
        <v>46000</v>
      </c>
      <c r="D764" t="inlineStr">
        <is>
          <t>KALMAR LÄN</t>
        </is>
      </c>
      <c r="E764" t="inlineStr">
        <is>
          <t>VIMMERBY</t>
        </is>
      </c>
      <c r="G764" t="n">
        <v>2.6</v>
      </c>
      <c r="H764" t="n">
        <v>0</v>
      </c>
      <c r="I764" t="n">
        <v>0</v>
      </c>
      <c r="J764" t="n">
        <v>0</v>
      </c>
      <c r="K764" t="n">
        <v>0</v>
      </c>
      <c r="L764" t="n">
        <v>0</v>
      </c>
      <c r="M764" t="n">
        <v>0</v>
      </c>
      <c r="N764" t="n">
        <v>0</v>
      </c>
      <c r="O764" t="n">
        <v>0</v>
      </c>
      <c r="P764" t="n">
        <v>0</v>
      </c>
      <c r="Q764" t="n">
        <v>0</v>
      </c>
      <c r="R764" s="2" t="inlineStr"/>
    </row>
    <row r="765" ht="15" customHeight="1">
      <c r="A765" t="inlineStr">
        <is>
          <t>A 30070-2023</t>
        </is>
      </c>
      <c r="B765" s="1" t="n">
        <v>45110.4275</v>
      </c>
      <c r="C765" s="1" t="n">
        <v>46000</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31209-2024</t>
        </is>
      </c>
      <c r="B766" s="1" t="n">
        <v>45503.5658912037</v>
      </c>
      <c r="C766" s="1" t="n">
        <v>46000</v>
      </c>
      <c r="D766" t="inlineStr">
        <is>
          <t>KALMAR LÄN</t>
        </is>
      </c>
      <c r="E766" t="inlineStr">
        <is>
          <t>VIMMERBY</t>
        </is>
      </c>
      <c r="G766" t="n">
        <v>1.7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46000</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12586-2021</t>
        </is>
      </c>
      <c r="B768" s="1" t="n">
        <v>44270.38002314815</v>
      </c>
      <c r="C768" s="1" t="n">
        <v>46000</v>
      </c>
      <c r="D768" t="inlineStr">
        <is>
          <t>KALMAR LÄN</t>
        </is>
      </c>
      <c r="E768" t="inlineStr">
        <is>
          <t>VIMMERBY</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5864-2022</t>
        </is>
      </c>
      <c r="B769" s="1" t="n">
        <v>44596</v>
      </c>
      <c r="C769" s="1" t="n">
        <v>46000</v>
      </c>
      <c r="D769" t="inlineStr">
        <is>
          <t>KALMAR LÄN</t>
        </is>
      </c>
      <c r="E769" t="inlineStr">
        <is>
          <t>VIMMERBY</t>
        </is>
      </c>
      <c r="G769" t="n">
        <v>0.7</v>
      </c>
      <c r="H769" t="n">
        <v>0</v>
      </c>
      <c r="I769" t="n">
        <v>0</v>
      </c>
      <c r="J769" t="n">
        <v>0</v>
      </c>
      <c r="K769" t="n">
        <v>0</v>
      </c>
      <c r="L769" t="n">
        <v>0</v>
      </c>
      <c r="M769" t="n">
        <v>0</v>
      </c>
      <c r="N769" t="n">
        <v>0</v>
      </c>
      <c r="O769" t="n">
        <v>0</v>
      </c>
      <c r="P769" t="n">
        <v>0</v>
      </c>
      <c r="Q769" t="n">
        <v>0</v>
      </c>
      <c r="R769" s="2" t="inlineStr"/>
    </row>
    <row r="770" ht="15" customHeight="1">
      <c r="A770" t="inlineStr">
        <is>
          <t>A 30912-2023</t>
        </is>
      </c>
      <c r="B770" s="1" t="n">
        <v>45113.41633101852</v>
      </c>
      <c r="C770" s="1" t="n">
        <v>46000</v>
      </c>
      <c r="D770" t="inlineStr">
        <is>
          <t>KALMAR LÄN</t>
        </is>
      </c>
      <c r="E770" t="inlineStr">
        <is>
          <t>VIMMERBY</t>
        </is>
      </c>
      <c r="G770" t="n">
        <v>5</v>
      </c>
      <c r="H770" t="n">
        <v>0</v>
      </c>
      <c r="I770" t="n">
        <v>0</v>
      </c>
      <c r="J770" t="n">
        <v>0</v>
      </c>
      <c r="K770" t="n">
        <v>0</v>
      </c>
      <c r="L770" t="n">
        <v>0</v>
      </c>
      <c r="M770" t="n">
        <v>0</v>
      </c>
      <c r="N770" t="n">
        <v>0</v>
      </c>
      <c r="O770" t="n">
        <v>0</v>
      </c>
      <c r="P770" t="n">
        <v>0</v>
      </c>
      <c r="Q770" t="n">
        <v>0</v>
      </c>
      <c r="R770" s="2" t="inlineStr"/>
    </row>
    <row r="771" ht="15" customHeight="1">
      <c r="A771" t="inlineStr">
        <is>
          <t>A 1146-2025</t>
        </is>
      </c>
      <c r="B771" s="1" t="n">
        <v>45666</v>
      </c>
      <c r="C771" s="1" t="n">
        <v>46000</v>
      </c>
      <c r="D771" t="inlineStr">
        <is>
          <t>KALMAR LÄN</t>
        </is>
      </c>
      <c r="E771" t="inlineStr">
        <is>
          <t>VIMMERBY</t>
        </is>
      </c>
      <c r="G771" t="n">
        <v>4</v>
      </c>
      <c r="H771" t="n">
        <v>0</v>
      </c>
      <c r="I771" t="n">
        <v>0</v>
      </c>
      <c r="J771" t="n">
        <v>0</v>
      </c>
      <c r="K771" t="n">
        <v>0</v>
      </c>
      <c r="L771" t="n">
        <v>0</v>
      </c>
      <c r="M771" t="n">
        <v>0</v>
      </c>
      <c r="N771" t="n">
        <v>0</v>
      </c>
      <c r="O771" t="n">
        <v>0</v>
      </c>
      <c r="P771" t="n">
        <v>0</v>
      </c>
      <c r="Q771" t="n">
        <v>0</v>
      </c>
      <c r="R771" s="2" t="inlineStr"/>
    </row>
    <row r="772" ht="15" customHeight="1">
      <c r="A772" t="inlineStr">
        <is>
          <t>A 62023-2022</t>
        </is>
      </c>
      <c r="B772" s="1" t="n">
        <v>44918.50106481482</v>
      </c>
      <c r="C772" s="1" t="n">
        <v>46000</v>
      </c>
      <c r="D772" t="inlineStr">
        <is>
          <t>KALMAR LÄN</t>
        </is>
      </c>
      <c r="E772" t="inlineStr">
        <is>
          <t>VIMMERBY</t>
        </is>
      </c>
      <c r="G772" t="n">
        <v>0.3</v>
      </c>
      <c r="H772" t="n">
        <v>0</v>
      </c>
      <c r="I772" t="n">
        <v>0</v>
      </c>
      <c r="J772" t="n">
        <v>0</v>
      </c>
      <c r="K772" t="n">
        <v>0</v>
      </c>
      <c r="L772" t="n">
        <v>0</v>
      </c>
      <c r="M772" t="n">
        <v>0</v>
      </c>
      <c r="N772" t="n">
        <v>0</v>
      </c>
      <c r="O772" t="n">
        <v>0</v>
      </c>
      <c r="P772" t="n">
        <v>0</v>
      </c>
      <c r="Q772" t="n">
        <v>0</v>
      </c>
      <c r="R772" s="2" t="inlineStr"/>
    </row>
    <row r="773" ht="15" customHeight="1">
      <c r="A773" t="inlineStr">
        <is>
          <t>A 16119-2023</t>
        </is>
      </c>
      <c r="B773" s="1" t="n">
        <v>45027.59450231482</v>
      </c>
      <c r="C773" s="1" t="n">
        <v>46000</v>
      </c>
      <c r="D773" t="inlineStr">
        <is>
          <t>KALMAR LÄN</t>
        </is>
      </c>
      <c r="E773" t="inlineStr">
        <is>
          <t>VIMMERBY</t>
        </is>
      </c>
      <c r="F773" t="inlineStr">
        <is>
          <t>Kommuner</t>
        </is>
      </c>
      <c r="G773" t="n">
        <v>4.4</v>
      </c>
      <c r="H773" t="n">
        <v>0</v>
      </c>
      <c r="I773" t="n">
        <v>0</v>
      </c>
      <c r="J773" t="n">
        <v>0</v>
      </c>
      <c r="K773" t="n">
        <v>0</v>
      </c>
      <c r="L773" t="n">
        <v>0</v>
      </c>
      <c r="M773" t="n">
        <v>0</v>
      </c>
      <c r="N773" t="n">
        <v>0</v>
      </c>
      <c r="O773" t="n">
        <v>0</v>
      </c>
      <c r="P773" t="n">
        <v>0</v>
      </c>
      <c r="Q773" t="n">
        <v>0</v>
      </c>
      <c r="R773" s="2" t="inlineStr"/>
    </row>
    <row r="774" ht="15" customHeight="1">
      <c r="A774" t="inlineStr">
        <is>
          <t>A 52327-2023</t>
        </is>
      </c>
      <c r="B774" s="1" t="n">
        <v>45224.6515162037</v>
      </c>
      <c r="C774" s="1" t="n">
        <v>46000</v>
      </c>
      <c r="D774" t="inlineStr">
        <is>
          <t>KALMAR LÄN</t>
        </is>
      </c>
      <c r="E774" t="inlineStr">
        <is>
          <t>VIMMERBY</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12075-2024</t>
        </is>
      </c>
      <c r="B775" s="1" t="n">
        <v>45377</v>
      </c>
      <c r="C775" s="1" t="n">
        <v>46000</v>
      </c>
      <c r="D775" t="inlineStr">
        <is>
          <t>KALMAR LÄN</t>
        </is>
      </c>
      <c r="E775" t="inlineStr">
        <is>
          <t>VIMMERBY</t>
        </is>
      </c>
      <c r="G775" t="n">
        <v>3.7</v>
      </c>
      <c r="H775" t="n">
        <v>0</v>
      </c>
      <c r="I775" t="n">
        <v>0</v>
      </c>
      <c r="J775" t="n">
        <v>0</v>
      </c>
      <c r="K775" t="n">
        <v>0</v>
      </c>
      <c r="L775" t="n">
        <v>0</v>
      </c>
      <c r="M775" t="n">
        <v>0</v>
      </c>
      <c r="N775" t="n">
        <v>0</v>
      </c>
      <c r="O775" t="n">
        <v>0</v>
      </c>
      <c r="P775" t="n">
        <v>0</v>
      </c>
      <c r="Q775" t="n">
        <v>0</v>
      </c>
      <c r="R775" s="2" t="inlineStr"/>
    </row>
    <row r="776" ht="15" customHeight="1">
      <c r="A776" t="inlineStr">
        <is>
          <t>A 29348-2023</t>
        </is>
      </c>
      <c r="B776" s="1" t="n">
        <v>45106.25025462963</v>
      </c>
      <c r="C776" s="1" t="n">
        <v>46000</v>
      </c>
      <c r="D776" t="inlineStr">
        <is>
          <t>KALMAR LÄN</t>
        </is>
      </c>
      <c r="E776" t="inlineStr">
        <is>
          <t>VIMMERBY</t>
        </is>
      </c>
      <c r="G776" t="n">
        <v>2.4</v>
      </c>
      <c r="H776" t="n">
        <v>0</v>
      </c>
      <c r="I776" t="n">
        <v>0</v>
      </c>
      <c r="J776" t="n">
        <v>0</v>
      </c>
      <c r="K776" t="n">
        <v>0</v>
      </c>
      <c r="L776" t="n">
        <v>0</v>
      </c>
      <c r="M776" t="n">
        <v>0</v>
      </c>
      <c r="N776" t="n">
        <v>0</v>
      </c>
      <c r="O776" t="n">
        <v>0</v>
      </c>
      <c r="P776" t="n">
        <v>0</v>
      </c>
      <c r="Q776" t="n">
        <v>0</v>
      </c>
      <c r="R776" s="2" t="inlineStr"/>
    </row>
    <row r="777" ht="15" customHeight="1">
      <c r="A777" t="inlineStr">
        <is>
          <t>A 31340-2023</t>
        </is>
      </c>
      <c r="B777" s="1" t="n">
        <v>45114.47895833333</v>
      </c>
      <c r="C777" s="1" t="n">
        <v>46000</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7758-2024</t>
        </is>
      </c>
      <c r="B778" s="1" t="n">
        <v>45349.54434027777</v>
      </c>
      <c r="C778" s="1" t="n">
        <v>46000</v>
      </c>
      <c r="D778" t="inlineStr">
        <is>
          <t>KALMAR LÄN</t>
        </is>
      </c>
      <c r="E778" t="inlineStr">
        <is>
          <t>VIMMERBY</t>
        </is>
      </c>
      <c r="G778" t="n">
        <v>3.5</v>
      </c>
      <c r="H778" t="n">
        <v>0</v>
      </c>
      <c r="I778" t="n">
        <v>0</v>
      </c>
      <c r="J778" t="n">
        <v>0</v>
      </c>
      <c r="K778" t="n">
        <v>0</v>
      </c>
      <c r="L778" t="n">
        <v>0</v>
      </c>
      <c r="M778" t="n">
        <v>0</v>
      </c>
      <c r="N778" t="n">
        <v>0</v>
      </c>
      <c r="O778" t="n">
        <v>0</v>
      </c>
      <c r="P778" t="n">
        <v>0</v>
      </c>
      <c r="Q778" t="n">
        <v>0</v>
      </c>
      <c r="R778" s="2" t="inlineStr"/>
    </row>
    <row r="779" ht="15" customHeight="1">
      <c r="A779" t="inlineStr">
        <is>
          <t>A 5701-2024</t>
        </is>
      </c>
      <c r="B779" s="1" t="n">
        <v>45334.78826388889</v>
      </c>
      <c r="C779" s="1" t="n">
        <v>46000</v>
      </c>
      <c r="D779" t="inlineStr">
        <is>
          <t>KALMAR LÄN</t>
        </is>
      </c>
      <c r="E779" t="inlineStr">
        <is>
          <t>VIMMERBY</t>
        </is>
      </c>
      <c r="G779" t="n">
        <v>2.3</v>
      </c>
      <c r="H779" t="n">
        <v>0</v>
      </c>
      <c r="I779" t="n">
        <v>0</v>
      </c>
      <c r="J779" t="n">
        <v>0</v>
      </c>
      <c r="K779" t="n">
        <v>0</v>
      </c>
      <c r="L779" t="n">
        <v>0</v>
      </c>
      <c r="M779" t="n">
        <v>0</v>
      </c>
      <c r="N779" t="n">
        <v>0</v>
      </c>
      <c r="O779" t="n">
        <v>0</v>
      </c>
      <c r="P779" t="n">
        <v>0</v>
      </c>
      <c r="Q779" t="n">
        <v>0</v>
      </c>
      <c r="R779" s="2" t="inlineStr"/>
    </row>
    <row r="780" ht="15" customHeight="1">
      <c r="A780" t="inlineStr">
        <is>
          <t>A 31405-2023</t>
        </is>
      </c>
      <c r="B780" s="1" t="n">
        <v>45114.58148148148</v>
      </c>
      <c r="C780" s="1" t="n">
        <v>46000</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6355-2022</t>
        </is>
      </c>
      <c r="B781" s="1" t="n">
        <v>44600</v>
      </c>
      <c r="C781" s="1" t="n">
        <v>46000</v>
      </c>
      <c r="D781" t="inlineStr">
        <is>
          <t>KALMAR LÄN</t>
        </is>
      </c>
      <c r="E781" t="inlineStr">
        <is>
          <t>VIMMERBY</t>
        </is>
      </c>
      <c r="G781" t="n">
        <v>4.9</v>
      </c>
      <c r="H781" t="n">
        <v>0</v>
      </c>
      <c r="I781" t="n">
        <v>0</v>
      </c>
      <c r="J781" t="n">
        <v>0</v>
      </c>
      <c r="K781" t="n">
        <v>0</v>
      </c>
      <c r="L781" t="n">
        <v>0</v>
      </c>
      <c r="M781" t="n">
        <v>0</v>
      </c>
      <c r="N781" t="n">
        <v>0</v>
      </c>
      <c r="O781" t="n">
        <v>0</v>
      </c>
      <c r="P781" t="n">
        <v>0</v>
      </c>
      <c r="Q781" t="n">
        <v>0</v>
      </c>
      <c r="R781" s="2" t="inlineStr"/>
    </row>
    <row r="782" ht="15" customHeight="1">
      <c r="A782" t="inlineStr">
        <is>
          <t>A 46225-2024</t>
        </is>
      </c>
      <c r="B782" s="1" t="n">
        <v>45581.57333333333</v>
      </c>
      <c r="C782" s="1" t="n">
        <v>46000</v>
      </c>
      <c r="D782" t="inlineStr">
        <is>
          <t>KALMAR LÄN</t>
        </is>
      </c>
      <c r="E782" t="inlineStr">
        <is>
          <t>VIMMERBY</t>
        </is>
      </c>
      <c r="G782" t="n">
        <v>1.3</v>
      </c>
      <c r="H782" t="n">
        <v>0</v>
      </c>
      <c r="I782" t="n">
        <v>0</v>
      </c>
      <c r="J782" t="n">
        <v>0</v>
      </c>
      <c r="K782" t="n">
        <v>0</v>
      </c>
      <c r="L782" t="n">
        <v>0</v>
      </c>
      <c r="M782" t="n">
        <v>0</v>
      </c>
      <c r="N782" t="n">
        <v>0</v>
      </c>
      <c r="O782" t="n">
        <v>0</v>
      </c>
      <c r="P782" t="n">
        <v>0</v>
      </c>
      <c r="Q782" t="n">
        <v>0</v>
      </c>
      <c r="R782" s="2" t="inlineStr"/>
    </row>
    <row r="783" ht="15" customHeight="1">
      <c r="A783" t="inlineStr">
        <is>
          <t>A 9418-2024</t>
        </is>
      </c>
      <c r="B783" s="1" t="n">
        <v>45359.45038194444</v>
      </c>
      <c r="C783" s="1" t="n">
        <v>46000</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57091-2022</t>
        </is>
      </c>
      <c r="B784" s="1" t="n">
        <v>44895.46524305556</v>
      </c>
      <c r="C784" s="1" t="n">
        <v>46000</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3816-2022</t>
        </is>
      </c>
      <c r="B785" s="1" t="n">
        <v>44587</v>
      </c>
      <c r="C785" s="1" t="n">
        <v>46000</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43606-2024</t>
        </is>
      </c>
      <c r="B786" s="1" t="n">
        <v>45569.45017361111</v>
      </c>
      <c r="C786" s="1" t="n">
        <v>46000</v>
      </c>
      <c r="D786" t="inlineStr">
        <is>
          <t>KALMAR LÄN</t>
        </is>
      </c>
      <c r="E786" t="inlineStr">
        <is>
          <t>VIMMERBY</t>
        </is>
      </c>
      <c r="G786" t="n">
        <v>1</v>
      </c>
      <c r="H786" t="n">
        <v>0</v>
      </c>
      <c r="I786" t="n">
        <v>0</v>
      </c>
      <c r="J786" t="n">
        <v>0</v>
      </c>
      <c r="K786" t="n">
        <v>0</v>
      </c>
      <c r="L786" t="n">
        <v>0</v>
      </c>
      <c r="M786" t="n">
        <v>0</v>
      </c>
      <c r="N786" t="n">
        <v>0</v>
      </c>
      <c r="O786" t="n">
        <v>0</v>
      </c>
      <c r="P786" t="n">
        <v>0</v>
      </c>
      <c r="Q786" t="n">
        <v>0</v>
      </c>
      <c r="R786" s="2" t="inlineStr"/>
    </row>
    <row r="787" ht="15" customHeight="1">
      <c r="A787" t="inlineStr">
        <is>
          <t>A 43617-2024</t>
        </is>
      </c>
      <c r="B787" s="1" t="n">
        <v>45569.47494212963</v>
      </c>
      <c r="C787" s="1" t="n">
        <v>46000</v>
      </c>
      <c r="D787" t="inlineStr">
        <is>
          <t>KALMAR LÄN</t>
        </is>
      </c>
      <c r="E787" t="inlineStr">
        <is>
          <t>VIMMERBY</t>
        </is>
      </c>
      <c r="G787" t="n">
        <v>2.7</v>
      </c>
      <c r="H787" t="n">
        <v>0</v>
      </c>
      <c r="I787" t="n">
        <v>0</v>
      </c>
      <c r="J787" t="n">
        <v>0</v>
      </c>
      <c r="K787" t="n">
        <v>0</v>
      </c>
      <c r="L787" t="n">
        <v>0</v>
      </c>
      <c r="M787" t="n">
        <v>0</v>
      </c>
      <c r="N787" t="n">
        <v>0</v>
      </c>
      <c r="O787" t="n">
        <v>0</v>
      </c>
      <c r="P787" t="n">
        <v>0</v>
      </c>
      <c r="Q787" t="n">
        <v>0</v>
      </c>
      <c r="R787" s="2" t="inlineStr"/>
    </row>
    <row r="788" ht="15" customHeight="1">
      <c r="A788" t="inlineStr">
        <is>
          <t>A 47859-2024</t>
        </is>
      </c>
      <c r="B788" s="1" t="n">
        <v>45588.67070601852</v>
      </c>
      <c r="C788" s="1" t="n">
        <v>46000</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8540-2024</t>
        </is>
      </c>
      <c r="B789" s="1" t="n">
        <v>45355.54138888889</v>
      </c>
      <c r="C789" s="1" t="n">
        <v>46000</v>
      </c>
      <c r="D789" t="inlineStr">
        <is>
          <t>KALMAR LÄN</t>
        </is>
      </c>
      <c r="E789" t="inlineStr">
        <is>
          <t>VIMMERBY</t>
        </is>
      </c>
      <c r="G789" t="n">
        <v>1.9</v>
      </c>
      <c r="H789" t="n">
        <v>0</v>
      </c>
      <c r="I789" t="n">
        <v>0</v>
      </c>
      <c r="J789" t="n">
        <v>0</v>
      </c>
      <c r="K789" t="n">
        <v>0</v>
      </c>
      <c r="L789" t="n">
        <v>0</v>
      </c>
      <c r="M789" t="n">
        <v>0</v>
      </c>
      <c r="N789" t="n">
        <v>0</v>
      </c>
      <c r="O789" t="n">
        <v>0</v>
      </c>
      <c r="P789" t="n">
        <v>0</v>
      </c>
      <c r="Q789" t="n">
        <v>0</v>
      </c>
      <c r="R789" s="2" t="inlineStr"/>
    </row>
    <row r="790" ht="15" customHeight="1">
      <c r="A790" t="inlineStr">
        <is>
          <t>A 3331-2023</t>
        </is>
      </c>
      <c r="B790" s="1" t="n">
        <v>44949</v>
      </c>
      <c r="C790" s="1" t="n">
        <v>46000</v>
      </c>
      <c r="D790" t="inlineStr">
        <is>
          <t>KALMAR LÄN</t>
        </is>
      </c>
      <c r="E790" t="inlineStr">
        <is>
          <t>VIMMERBY</t>
        </is>
      </c>
      <c r="G790" t="n">
        <v>6.2</v>
      </c>
      <c r="H790" t="n">
        <v>0</v>
      </c>
      <c r="I790" t="n">
        <v>0</v>
      </c>
      <c r="J790" t="n">
        <v>0</v>
      </c>
      <c r="K790" t="n">
        <v>0</v>
      </c>
      <c r="L790" t="n">
        <v>0</v>
      </c>
      <c r="M790" t="n">
        <v>0</v>
      </c>
      <c r="N790" t="n">
        <v>0</v>
      </c>
      <c r="O790" t="n">
        <v>0</v>
      </c>
      <c r="P790" t="n">
        <v>0</v>
      </c>
      <c r="Q790" t="n">
        <v>0</v>
      </c>
      <c r="R790" s="2" t="inlineStr"/>
    </row>
    <row r="791" ht="15" customHeight="1">
      <c r="A791" t="inlineStr">
        <is>
          <t>A 598-2025</t>
        </is>
      </c>
      <c r="B791" s="1" t="n">
        <v>45660</v>
      </c>
      <c r="C791" s="1" t="n">
        <v>46000</v>
      </c>
      <c r="D791" t="inlineStr">
        <is>
          <t>KALMAR LÄN</t>
        </is>
      </c>
      <c r="E791" t="inlineStr">
        <is>
          <t>VIMMERBY</t>
        </is>
      </c>
      <c r="G791" t="n">
        <v>12</v>
      </c>
      <c r="H791" t="n">
        <v>0</v>
      </c>
      <c r="I791" t="n">
        <v>0</v>
      </c>
      <c r="J791" t="n">
        <v>0</v>
      </c>
      <c r="K791" t="n">
        <v>0</v>
      </c>
      <c r="L791" t="n">
        <v>0</v>
      </c>
      <c r="M791" t="n">
        <v>0</v>
      </c>
      <c r="N791" t="n">
        <v>0</v>
      </c>
      <c r="O791" t="n">
        <v>0</v>
      </c>
      <c r="P791" t="n">
        <v>0</v>
      </c>
      <c r="Q791" t="n">
        <v>0</v>
      </c>
      <c r="R791" s="2" t="inlineStr"/>
    </row>
    <row r="792" ht="15" customHeight="1">
      <c r="A792" t="inlineStr">
        <is>
          <t>A 25799-2023</t>
        </is>
      </c>
      <c r="B792" s="1" t="n">
        <v>45090</v>
      </c>
      <c r="C792" s="1" t="n">
        <v>46000</v>
      </c>
      <c r="D792" t="inlineStr">
        <is>
          <t>KALMAR LÄN</t>
        </is>
      </c>
      <c r="E792" t="inlineStr">
        <is>
          <t>VIMMERBY</t>
        </is>
      </c>
      <c r="G792" t="n">
        <v>7.7</v>
      </c>
      <c r="H792" t="n">
        <v>0</v>
      </c>
      <c r="I792" t="n">
        <v>0</v>
      </c>
      <c r="J792" t="n">
        <v>0</v>
      </c>
      <c r="K792" t="n">
        <v>0</v>
      </c>
      <c r="L792" t="n">
        <v>0</v>
      </c>
      <c r="M792" t="n">
        <v>0</v>
      </c>
      <c r="N792" t="n">
        <v>0</v>
      </c>
      <c r="O792" t="n">
        <v>0</v>
      </c>
      <c r="P792" t="n">
        <v>0</v>
      </c>
      <c r="Q792" t="n">
        <v>0</v>
      </c>
      <c r="R792" s="2" t="inlineStr"/>
    </row>
    <row r="793" ht="15" customHeight="1">
      <c r="A793" t="inlineStr">
        <is>
          <t>A 53083-2021</t>
        </is>
      </c>
      <c r="B793" s="1" t="n">
        <v>44467.83386574074</v>
      </c>
      <c r="C793" s="1" t="n">
        <v>46000</v>
      </c>
      <c r="D793" t="inlineStr">
        <is>
          <t>KALMAR LÄN</t>
        </is>
      </c>
      <c r="E793" t="inlineStr">
        <is>
          <t>VIMMERBY</t>
        </is>
      </c>
      <c r="G793" t="n">
        <v>6.8</v>
      </c>
      <c r="H793" t="n">
        <v>0</v>
      </c>
      <c r="I793" t="n">
        <v>0</v>
      </c>
      <c r="J793" t="n">
        <v>0</v>
      </c>
      <c r="K793" t="n">
        <v>0</v>
      </c>
      <c r="L793" t="n">
        <v>0</v>
      </c>
      <c r="M793" t="n">
        <v>0</v>
      </c>
      <c r="N793" t="n">
        <v>0</v>
      </c>
      <c r="O793" t="n">
        <v>0</v>
      </c>
      <c r="P793" t="n">
        <v>0</v>
      </c>
      <c r="Q793" t="n">
        <v>0</v>
      </c>
      <c r="R793" s="2" t="inlineStr"/>
    </row>
    <row r="794" ht="15" customHeight="1">
      <c r="A794" t="inlineStr">
        <is>
          <t>A 24655-2021</t>
        </is>
      </c>
      <c r="B794" s="1" t="n">
        <v>44340</v>
      </c>
      <c r="C794" s="1" t="n">
        <v>46000</v>
      </c>
      <c r="D794" t="inlineStr">
        <is>
          <t>KALMAR LÄN</t>
        </is>
      </c>
      <c r="E794" t="inlineStr">
        <is>
          <t>VIMMERBY</t>
        </is>
      </c>
      <c r="G794" t="n">
        <v>14.9</v>
      </c>
      <c r="H794" t="n">
        <v>0</v>
      </c>
      <c r="I794" t="n">
        <v>0</v>
      </c>
      <c r="J794" t="n">
        <v>0</v>
      </c>
      <c r="K794" t="n">
        <v>0</v>
      </c>
      <c r="L794" t="n">
        <v>0</v>
      </c>
      <c r="M794" t="n">
        <v>0</v>
      </c>
      <c r="N794" t="n">
        <v>0</v>
      </c>
      <c r="O794" t="n">
        <v>0</v>
      </c>
      <c r="P794" t="n">
        <v>0</v>
      </c>
      <c r="Q794" t="n">
        <v>0</v>
      </c>
      <c r="R794" s="2" t="inlineStr"/>
    </row>
    <row r="795" ht="15" customHeight="1">
      <c r="A795" t="inlineStr">
        <is>
          <t>A 33838-2022</t>
        </is>
      </c>
      <c r="B795" s="1" t="n">
        <v>44790.49040509259</v>
      </c>
      <c r="C795" s="1" t="n">
        <v>46000</v>
      </c>
      <c r="D795" t="inlineStr">
        <is>
          <t>KALMAR LÄN</t>
        </is>
      </c>
      <c r="E795" t="inlineStr">
        <is>
          <t>VIMMERBY</t>
        </is>
      </c>
      <c r="G795" t="n">
        <v>0.7</v>
      </c>
      <c r="H795" t="n">
        <v>0</v>
      </c>
      <c r="I795" t="n">
        <v>0</v>
      </c>
      <c r="J795" t="n">
        <v>0</v>
      </c>
      <c r="K795" t="n">
        <v>0</v>
      </c>
      <c r="L795" t="n">
        <v>0</v>
      </c>
      <c r="M795" t="n">
        <v>0</v>
      </c>
      <c r="N795" t="n">
        <v>0</v>
      </c>
      <c r="O795" t="n">
        <v>0</v>
      </c>
      <c r="P795" t="n">
        <v>0</v>
      </c>
      <c r="Q795" t="n">
        <v>0</v>
      </c>
      <c r="R795" s="2" t="inlineStr"/>
    </row>
    <row r="796" ht="15" customHeight="1">
      <c r="A796" t="inlineStr">
        <is>
          <t>A 32835-2022</t>
        </is>
      </c>
      <c r="B796" s="1" t="n">
        <v>44784.42528935185</v>
      </c>
      <c r="C796" s="1" t="n">
        <v>46000</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1081-2023</t>
        </is>
      </c>
      <c r="B797" s="1" t="n">
        <v>44935</v>
      </c>
      <c r="C797" s="1" t="n">
        <v>46000</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47063-2022</t>
        </is>
      </c>
      <c r="B798" s="1" t="n">
        <v>44852</v>
      </c>
      <c r="C798" s="1" t="n">
        <v>46000</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28403-2023</t>
        </is>
      </c>
      <c r="B799" s="1" t="n">
        <v>45100.85270833333</v>
      </c>
      <c r="C799" s="1" t="n">
        <v>46000</v>
      </c>
      <c r="D799" t="inlineStr">
        <is>
          <t>KALMAR LÄN</t>
        </is>
      </c>
      <c r="E799" t="inlineStr">
        <is>
          <t>VIMMERBY</t>
        </is>
      </c>
      <c r="G799" t="n">
        <v>1.8</v>
      </c>
      <c r="H799" t="n">
        <v>0</v>
      </c>
      <c r="I799" t="n">
        <v>0</v>
      </c>
      <c r="J799" t="n">
        <v>0</v>
      </c>
      <c r="K799" t="n">
        <v>0</v>
      </c>
      <c r="L799" t="n">
        <v>0</v>
      </c>
      <c r="M799" t="n">
        <v>0</v>
      </c>
      <c r="N799" t="n">
        <v>0</v>
      </c>
      <c r="O799" t="n">
        <v>0</v>
      </c>
      <c r="P799" t="n">
        <v>0</v>
      </c>
      <c r="Q799" t="n">
        <v>0</v>
      </c>
      <c r="R799" s="2" t="inlineStr"/>
    </row>
    <row r="800" ht="15" customHeight="1">
      <c r="A800" t="inlineStr">
        <is>
          <t>A 33103-2024</t>
        </is>
      </c>
      <c r="B800" s="1" t="n">
        <v>45517.8162037037</v>
      </c>
      <c r="C800" s="1" t="n">
        <v>46000</v>
      </c>
      <c r="D800" t="inlineStr">
        <is>
          <t>KALMAR LÄN</t>
        </is>
      </c>
      <c r="E800" t="inlineStr">
        <is>
          <t>VIMMERBY</t>
        </is>
      </c>
      <c r="G800" t="n">
        <v>1.6</v>
      </c>
      <c r="H800" t="n">
        <v>0</v>
      </c>
      <c r="I800" t="n">
        <v>0</v>
      </c>
      <c r="J800" t="n">
        <v>0</v>
      </c>
      <c r="K800" t="n">
        <v>0</v>
      </c>
      <c r="L800" t="n">
        <v>0</v>
      </c>
      <c r="M800" t="n">
        <v>0</v>
      </c>
      <c r="N800" t="n">
        <v>0</v>
      </c>
      <c r="O800" t="n">
        <v>0</v>
      </c>
      <c r="P800" t="n">
        <v>0</v>
      </c>
      <c r="Q800" t="n">
        <v>0</v>
      </c>
      <c r="R800" s="2" t="inlineStr"/>
    </row>
    <row r="801" ht="15" customHeight="1">
      <c r="A801" t="inlineStr">
        <is>
          <t>A 2260-2022</t>
        </is>
      </c>
      <c r="B801" s="1" t="n">
        <v>44578.62943287037</v>
      </c>
      <c r="C801" s="1" t="n">
        <v>46000</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11661-2023</t>
        </is>
      </c>
      <c r="B802" s="1" t="n">
        <v>44994.46908564815</v>
      </c>
      <c r="C802" s="1" t="n">
        <v>46000</v>
      </c>
      <c r="D802" t="inlineStr">
        <is>
          <t>KALMAR LÄN</t>
        </is>
      </c>
      <c r="E802" t="inlineStr">
        <is>
          <t>VIMMERBY</t>
        </is>
      </c>
      <c r="G802" t="n">
        <v>2.7</v>
      </c>
      <c r="H802" t="n">
        <v>0</v>
      </c>
      <c r="I802" t="n">
        <v>0</v>
      </c>
      <c r="J802" t="n">
        <v>0</v>
      </c>
      <c r="K802" t="n">
        <v>0</v>
      </c>
      <c r="L802" t="n">
        <v>0</v>
      </c>
      <c r="M802" t="n">
        <v>0</v>
      </c>
      <c r="N802" t="n">
        <v>0</v>
      </c>
      <c r="O802" t="n">
        <v>0</v>
      </c>
      <c r="P802" t="n">
        <v>0</v>
      </c>
      <c r="Q802" t="n">
        <v>0</v>
      </c>
      <c r="R802" s="2" t="inlineStr"/>
    </row>
    <row r="803" ht="15" customHeight="1">
      <c r="A803" t="inlineStr">
        <is>
          <t>A 58046-2022</t>
        </is>
      </c>
      <c r="B803" s="1" t="n">
        <v>44900.57393518519</v>
      </c>
      <c r="C803" s="1" t="n">
        <v>46000</v>
      </c>
      <c r="D803" t="inlineStr">
        <is>
          <t>KALMAR LÄN</t>
        </is>
      </c>
      <c r="E803" t="inlineStr">
        <is>
          <t>VIMMERBY</t>
        </is>
      </c>
      <c r="G803" t="n">
        <v>2.5</v>
      </c>
      <c r="H803" t="n">
        <v>0</v>
      </c>
      <c r="I803" t="n">
        <v>0</v>
      </c>
      <c r="J803" t="n">
        <v>0</v>
      </c>
      <c r="K803" t="n">
        <v>0</v>
      </c>
      <c r="L803" t="n">
        <v>0</v>
      </c>
      <c r="M803" t="n">
        <v>0</v>
      </c>
      <c r="N803" t="n">
        <v>0</v>
      </c>
      <c r="O803" t="n">
        <v>0</v>
      </c>
      <c r="P803" t="n">
        <v>0</v>
      </c>
      <c r="Q803" t="n">
        <v>0</v>
      </c>
      <c r="R803" s="2" t="inlineStr"/>
    </row>
    <row r="804" ht="15" customHeight="1">
      <c r="A804" t="inlineStr">
        <is>
          <t>A 45528-2021</t>
        </is>
      </c>
      <c r="B804" s="1" t="n">
        <v>44440.60415509259</v>
      </c>
      <c r="C804" s="1" t="n">
        <v>46000</v>
      </c>
      <c r="D804" t="inlineStr">
        <is>
          <t>KALMAR LÄN</t>
        </is>
      </c>
      <c r="E804" t="inlineStr">
        <is>
          <t>VIMMERBY</t>
        </is>
      </c>
      <c r="G804" t="n">
        <v>2.2</v>
      </c>
      <c r="H804" t="n">
        <v>0</v>
      </c>
      <c r="I804" t="n">
        <v>0</v>
      </c>
      <c r="J804" t="n">
        <v>0</v>
      </c>
      <c r="K804" t="n">
        <v>0</v>
      </c>
      <c r="L804" t="n">
        <v>0</v>
      </c>
      <c r="M804" t="n">
        <v>0</v>
      </c>
      <c r="N804" t="n">
        <v>0</v>
      </c>
      <c r="O804" t="n">
        <v>0</v>
      </c>
      <c r="P804" t="n">
        <v>0</v>
      </c>
      <c r="Q804" t="n">
        <v>0</v>
      </c>
      <c r="R804" s="2" t="inlineStr"/>
    </row>
    <row r="805" ht="15" customHeight="1">
      <c r="A805" t="inlineStr">
        <is>
          <t>A 46979-2023</t>
        </is>
      </c>
      <c r="B805" s="1" t="n">
        <v>45201</v>
      </c>
      <c r="C805" s="1" t="n">
        <v>46000</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6574-2023</t>
        </is>
      </c>
      <c r="B806" s="1" t="n">
        <v>44966</v>
      </c>
      <c r="C806" s="1" t="n">
        <v>46000</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4058-2024</t>
        </is>
      </c>
      <c r="B807" s="1" t="n">
        <v>45323.53744212963</v>
      </c>
      <c r="C807" s="1" t="n">
        <v>46000</v>
      </c>
      <c r="D807" t="inlineStr">
        <is>
          <t>KALMAR LÄN</t>
        </is>
      </c>
      <c r="E807" t="inlineStr">
        <is>
          <t>VIMMERBY</t>
        </is>
      </c>
      <c r="G807" t="n">
        <v>6.5</v>
      </c>
      <c r="H807" t="n">
        <v>0</v>
      </c>
      <c r="I807" t="n">
        <v>0</v>
      </c>
      <c r="J807" t="n">
        <v>0</v>
      </c>
      <c r="K807" t="n">
        <v>0</v>
      </c>
      <c r="L807" t="n">
        <v>0</v>
      </c>
      <c r="M807" t="n">
        <v>0</v>
      </c>
      <c r="N807" t="n">
        <v>0</v>
      </c>
      <c r="O807" t="n">
        <v>0</v>
      </c>
      <c r="P807" t="n">
        <v>0</v>
      </c>
      <c r="Q807" t="n">
        <v>0</v>
      </c>
      <c r="R807" s="2" t="inlineStr"/>
    </row>
    <row r="808" ht="15" customHeight="1">
      <c r="A808" t="inlineStr">
        <is>
          <t>A 1978-2024</t>
        </is>
      </c>
      <c r="B808" s="1" t="n">
        <v>45308.59001157407</v>
      </c>
      <c r="C808" s="1" t="n">
        <v>46000</v>
      </c>
      <c r="D808" t="inlineStr">
        <is>
          <t>KALMAR LÄN</t>
        </is>
      </c>
      <c r="E808" t="inlineStr">
        <is>
          <t>VIMMERBY</t>
        </is>
      </c>
      <c r="G808" t="n">
        <v>0.9</v>
      </c>
      <c r="H808" t="n">
        <v>0</v>
      </c>
      <c r="I808" t="n">
        <v>0</v>
      </c>
      <c r="J808" t="n">
        <v>0</v>
      </c>
      <c r="K808" t="n">
        <v>0</v>
      </c>
      <c r="L808" t="n">
        <v>0</v>
      </c>
      <c r="M808" t="n">
        <v>0</v>
      </c>
      <c r="N808" t="n">
        <v>0</v>
      </c>
      <c r="O808" t="n">
        <v>0</v>
      </c>
      <c r="P808" t="n">
        <v>0</v>
      </c>
      <c r="Q808" t="n">
        <v>0</v>
      </c>
      <c r="R808" s="2" t="inlineStr"/>
    </row>
    <row r="809" ht="15" customHeight="1">
      <c r="A809" t="inlineStr">
        <is>
          <t>A 30318-2023</t>
        </is>
      </c>
      <c r="B809" s="1" t="n">
        <v>45111.30824074074</v>
      </c>
      <c r="C809" s="1" t="n">
        <v>46000</v>
      </c>
      <c r="D809" t="inlineStr">
        <is>
          <t>KALMAR LÄN</t>
        </is>
      </c>
      <c r="E809" t="inlineStr">
        <is>
          <t>VIMMERBY</t>
        </is>
      </c>
      <c r="G809" t="n">
        <v>2.6</v>
      </c>
      <c r="H809" t="n">
        <v>0</v>
      </c>
      <c r="I809" t="n">
        <v>0</v>
      </c>
      <c r="J809" t="n">
        <v>0</v>
      </c>
      <c r="K809" t="n">
        <v>0</v>
      </c>
      <c r="L809" t="n">
        <v>0</v>
      </c>
      <c r="M809" t="n">
        <v>0</v>
      </c>
      <c r="N809" t="n">
        <v>0</v>
      </c>
      <c r="O809" t="n">
        <v>0</v>
      </c>
      <c r="P809" t="n">
        <v>0</v>
      </c>
      <c r="Q809" t="n">
        <v>0</v>
      </c>
      <c r="R809" s="2" t="inlineStr"/>
    </row>
    <row r="810" ht="15" customHeight="1">
      <c r="A810" t="inlineStr">
        <is>
          <t>A 25234-2023</t>
        </is>
      </c>
      <c r="B810" s="1" t="n">
        <v>45086.63194444445</v>
      </c>
      <c r="C810" s="1" t="n">
        <v>46000</v>
      </c>
      <c r="D810" t="inlineStr">
        <is>
          <t>KALMAR LÄN</t>
        </is>
      </c>
      <c r="E810" t="inlineStr">
        <is>
          <t>VIMMERBY</t>
        </is>
      </c>
      <c r="G810" t="n">
        <v>2.1</v>
      </c>
      <c r="H810" t="n">
        <v>0</v>
      </c>
      <c r="I810" t="n">
        <v>0</v>
      </c>
      <c r="J810" t="n">
        <v>0</v>
      </c>
      <c r="K810" t="n">
        <v>0</v>
      </c>
      <c r="L810" t="n">
        <v>0</v>
      </c>
      <c r="M810" t="n">
        <v>0</v>
      </c>
      <c r="N810" t="n">
        <v>0</v>
      </c>
      <c r="O810" t="n">
        <v>0</v>
      </c>
      <c r="P810" t="n">
        <v>0</v>
      </c>
      <c r="Q810" t="n">
        <v>0</v>
      </c>
      <c r="R810" s="2" t="inlineStr"/>
    </row>
    <row r="811" ht="15" customHeight="1">
      <c r="A811" t="inlineStr">
        <is>
          <t>A 46078-2023</t>
        </is>
      </c>
      <c r="B811" s="1" t="n">
        <v>45196</v>
      </c>
      <c r="C811" s="1" t="n">
        <v>46000</v>
      </c>
      <c r="D811" t="inlineStr">
        <is>
          <t>KALMAR LÄN</t>
        </is>
      </c>
      <c r="E811" t="inlineStr">
        <is>
          <t>VIMMERBY</t>
        </is>
      </c>
      <c r="G811" t="n">
        <v>0.7</v>
      </c>
      <c r="H811" t="n">
        <v>0</v>
      </c>
      <c r="I811" t="n">
        <v>0</v>
      </c>
      <c r="J811" t="n">
        <v>0</v>
      </c>
      <c r="K811" t="n">
        <v>0</v>
      </c>
      <c r="L811" t="n">
        <v>0</v>
      </c>
      <c r="M811" t="n">
        <v>0</v>
      </c>
      <c r="N811" t="n">
        <v>0</v>
      </c>
      <c r="O811" t="n">
        <v>0</v>
      </c>
      <c r="P811" t="n">
        <v>0</v>
      </c>
      <c r="Q811" t="n">
        <v>0</v>
      </c>
      <c r="R811" s="2" t="inlineStr"/>
    </row>
    <row r="812" ht="15" customHeight="1">
      <c r="A812" t="inlineStr">
        <is>
          <t>A 3609-2024</t>
        </is>
      </c>
      <c r="B812" s="1" t="n">
        <v>45320.89128472222</v>
      </c>
      <c r="C812" s="1" t="n">
        <v>46000</v>
      </c>
      <c r="D812" t="inlineStr">
        <is>
          <t>KALMAR LÄN</t>
        </is>
      </c>
      <c r="E812" t="inlineStr">
        <is>
          <t>VIMMERBY</t>
        </is>
      </c>
      <c r="G812" t="n">
        <v>1.7</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44987.54104166666</v>
      </c>
      <c r="C813" s="1" t="n">
        <v>46000</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49382-2023</t>
        </is>
      </c>
      <c r="B814" s="1" t="n">
        <v>45208</v>
      </c>
      <c r="C814" s="1" t="n">
        <v>46000</v>
      </c>
      <c r="D814" t="inlineStr">
        <is>
          <t>KALMAR LÄN</t>
        </is>
      </c>
      <c r="E814" t="inlineStr">
        <is>
          <t>VIMMERBY</t>
        </is>
      </c>
      <c r="G814" t="n">
        <v>2.2</v>
      </c>
      <c r="H814" t="n">
        <v>0</v>
      </c>
      <c r="I814" t="n">
        <v>0</v>
      </c>
      <c r="J814" t="n">
        <v>0</v>
      </c>
      <c r="K814" t="n">
        <v>0</v>
      </c>
      <c r="L814" t="n">
        <v>0</v>
      </c>
      <c r="M814" t="n">
        <v>0</v>
      </c>
      <c r="N814" t="n">
        <v>0</v>
      </c>
      <c r="O814" t="n">
        <v>0</v>
      </c>
      <c r="P814" t="n">
        <v>0</v>
      </c>
      <c r="Q814" t="n">
        <v>0</v>
      </c>
      <c r="R814" s="2" t="inlineStr"/>
    </row>
    <row r="815" ht="15" customHeight="1">
      <c r="A815" t="inlineStr">
        <is>
          <t>A 12810-2023</t>
        </is>
      </c>
      <c r="B815" s="1" t="n">
        <v>45001.43854166667</v>
      </c>
      <c r="C815" s="1" t="n">
        <v>46000</v>
      </c>
      <c r="D815" t="inlineStr">
        <is>
          <t>KALMAR LÄN</t>
        </is>
      </c>
      <c r="E815" t="inlineStr">
        <is>
          <t>VIMMERBY</t>
        </is>
      </c>
      <c r="G815" t="n">
        <v>1.5</v>
      </c>
      <c r="H815" t="n">
        <v>0</v>
      </c>
      <c r="I815" t="n">
        <v>0</v>
      </c>
      <c r="J815" t="n">
        <v>0</v>
      </c>
      <c r="K815" t="n">
        <v>0</v>
      </c>
      <c r="L815" t="n">
        <v>0</v>
      </c>
      <c r="M815" t="n">
        <v>0</v>
      </c>
      <c r="N815" t="n">
        <v>0</v>
      </c>
      <c r="O815" t="n">
        <v>0</v>
      </c>
      <c r="P815" t="n">
        <v>0</v>
      </c>
      <c r="Q815" t="n">
        <v>0</v>
      </c>
      <c r="R815" s="2" t="inlineStr"/>
    </row>
    <row r="816" ht="15" customHeight="1">
      <c r="A816" t="inlineStr">
        <is>
          <t>A 3425-2022</t>
        </is>
      </c>
      <c r="B816" s="1" t="n">
        <v>44585.51060185185</v>
      </c>
      <c r="C816" s="1" t="n">
        <v>46000</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60675-2023</t>
        </is>
      </c>
      <c r="B817" s="1" t="n">
        <v>45260.4716550926</v>
      </c>
      <c r="C817" s="1" t="n">
        <v>46000</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2536-2023</t>
        </is>
      </c>
      <c r="B818" s="1" t="n">
        <v>44943.62954861111</v>
      </c>
      <c r="C818" s="1" t="n">
        <v>46000</v>
      </c>
      <c r="D818" t="inlineStr">
        <is>
          <t>KALMAR LÄN</t>
        </is>
      </c>
      <c r="E818" t="inlineStr">
        <is>
          <t>VIMMERBY</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11111-2024</t>
        </is>
      </c>
      <c r="B819" s="1" t="n">
        <v>45371.36359953704</v>
      </c>
      <c r="C819" s="1" t="n">
        <v>46000</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1687-2023</t>
        </is>
      </c>
      <c r="B820" s="1" t="n">
        <v>44938</v>
      </c>
      <c r="C820" s="1" t="n">
        <v>46000</v>
      </c>
      <c r="D820" t="inlineStr">
        <is>
          <t>KALMAR LÄN</t>
        </is>
      </c>
      <c r="E820" t="inlineStr">
        <is>
          <t>VIMMERBY</t>
        </is>
      </c>
      <c r="F820" t="inlineStr">
        <is>
          <t>Kommuner</t>
        </is>
      </c>
      <c r="G820" t="n">
        <v>2.5</v>
      </c>
      <c r="H820" t="n">
        <v>0</v>
      </c>
      <c r="I820" t="n">
        <v>0</v>
      </c>
      <c r="J820" t="n">
        <v>0</v>
      </c>
      <c r="K820" t="n">
        <v>0</v>
      </c>
      <c r="L820" t="n">
        <v>0</v>
      </c>
      <c r="M820" t="n">
        <v>0</v>
      </c>
      <c r="N820" t="n">
        <v>0</v>
      </c>
      <c r="O820" t="n">
        <v>0</v>
      </c>
      <c r="P820" t="n">
        <v>0</v>
      </c>
      <c r="Q820" t="n">
        <v>0</v>
      </c>
      <c r="R820" s="2" t="inlineStr"/>
    </row>
    <row r="821" ht="15" customHeight="1">
      <c r="A821" t="inlineStr">
        <is>
          <t>A 3494-2023</t>
        </is>
      </c>
      <c r="B821" s="1" t="n">
        <v>44949</v>
      </c>
      <c r="C821" s="1" t="n">
        <v>46000</v>
      </c>
      <c r="D821" t="inlineStr">
        <is>
          <t>KALMAR LÄN</t>
        </is>
      </c>
      <c r="E821" t="inlineStr">
        <is>
          <t>VIMMERBY</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15449-2023</t>
        </is>
      </c>
      <c r="B822" s="1" t="n">
        <v>45020</v>
      </c>
      <c r="C822" s="1" t="n">
        <v>46000</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43242-2024</t>
        </is>
      </c>
      <c r="B823" s="1" t="n">
        <v>45568.30189814815</v>
      </c>
      <c r="C823" s="1" t="n">
        <v>46000</v>
      </c>
      <c r="D823" t="inlineStr">
        <is>
          <t>KALMAR LÄN</t>
        </is>
      </c>
      <c r="E823" t="inlineStr">
        <is>
          <t>VIMMERBY</t>
        </is>
      </c>
      <c r="G823" t="n">
        <v>2.6</v>
      </c>
      <c r="H823" t="n">
        <v>0</v>
      </c>
      <c r="I823" t="n">
        <v>0</v>
      </c>
      <c r="J823" t="n">
        <v>0</v>
      </c>
      <c r="K823" t="n">
        <v>0</v>
      </c>
      <c r="L823" t="n">
        <v>0</v>
      </c>
      <c r="M823" t="n">
        <v>0</v>
      </c>
      <c r="N823" t="n">
        <v>0</v>
      </c>
      <c r="O823" t="n">
        <v>0</v>
      </c>
      <c r="P823" t="n">
        <v>0</v>
      </c>
      <c r="Q823" t="n">
        <v>0</v>
      </c>
      <c r="R823" s="2" t="inlineStr"/>
    </row>
    <row r="824" ht="15" customHeight="1">
      <c r="A824" t="inlineStr">
        <is>
          <t>A 56853-2022</t>
        </is>
      </c>
      <c r="B824" s="1" t="n">
        <v>44894.49538194444</v>
      </c>
      <c r="C824" s="1" t="n">
        <v>46000</v>
      </c>
      <c r="D824" t="inlineStr">
        <is>
          <t>KALMAR LÄN</t>
        </is>
      </c>
      <c r="E824" t="inlineStr">
        <is>
          <t>VIMMERBY</t>
        </is>
      </c>
      <c r="G824" t="n">
        <v>4.3</v>
      </c>
      <c r="H824" t="n">
        <v>0</v>
      </c>
      <c r="I824" t="n">
        <v>0</v>
      </c>
      <c r="J824" t="n">
        <v>0</v>
      </c>
      <c r="K824" t="n">
        <v>0</v>
      </c>
      <c r="L824" t="n">
        <v>0</v>
      </c>
      <c r="M824" t="n">
        <v>0</v>
      </c>
      <c r="N824" t="n">
        <v>0</v>
      </c>
      <c r="O824" t="n">
        <v>0</v>
      </c>
      <c r="P824" t="n">
        <v>0</v>
      </c>
      <c r="Q824" t="n">
        <v>0</v>
      </c>
      <c r="R824" s="2" t="inlineStr"/>
    </row>
    <row r="825" ht="15" customHeight="1">
      <c r="A825" t="inlineStr">
        <is>
          <t>A 33815-2022</t>
        </is>
      </c>
      <c r="B825" s="1" t="n">
        <v>44790.45876157407</v>
      </c>
      <c r="C825" s="1" t="n">
        <v>46000</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33842-2022</t>
        </is>
      </c>
      <c r="B826" s="1" t="n">
        <v>44790.49523148148</v>
      </c>
      <c r="C826" s="1" t="n">
        <v>46000</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49408-2023</t>
        </is>
      </c>
      <c r="B827" s="1" t="n">
        <v>45211.43555555555</v>
      </c>
      <c r="C827" s="1" t="n">
        <v>46000</v>
      </c>
      <c r="D827" t="inlineStr">
        <is>
          <t>KALMAR LÄN</t>
        </is>
      </c>
      <c r="E827" t="inlineStr">
        <is>
          <t>VIMMERBY</t>
        </is>
      </c>
      <c r="G827" t="n">
        <v>13.1</v>
      </c>
      <c r="H827" t="n">
        <v>0</v>
      </c>
      <c r="I827" t="n">
        <v>0</v>
      </c>
      <c r="J827" t="n">
        <v>0</v>
      </c>
      <c r="K827" t="n">
        <v>0</v>
      </c>
      <c r="L827" t="n">
        <v>0</v>
      </c>
      <c r="M827" t="n">
        <v>0</v>
      </c>
      <c r="N827" t="n">
        <v>0</v>
      </c>
      <c r="O827" t="n">
        <v>0</v>
      </c>
      <c r="P827" t="n">
        <v>0</v>
      </c>
      <c r="Q827" t="n">
        <v>0</v>
      </c>
      <c r="R827" s="2" t="inlineStr"/>
    </row>
    <row r="828" ht="15" customHeight="1">
      <c r="A828" t="inlineStr">
        <is>
          <t>A 56536-2022</t>
        </is>
      </c>
      <c r="B828" s="1" t="n">
        <v>44893</v>
      </c>
      <c r="C828" s="1" t="n">
        <v>46000</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41199-2023</t>
        </is>
      </c>
      <c r="B829" s="1" t="n">
        <v>45174.40454861111</v>
      </c>
      <c r="C829" s="1" t="n">
        <v>46000</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8945-2025</t>
        </is>
      </c>
      <c r="B830" s="1" t="n">
        <v>45713.45311342592</v>
      </c>
      <c r="C830" s="1" t="n">
        <v>46000</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44994.42113425926</v>
      </c>
      <c r="C831" s="1" t="n">
        <v>46000</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41896-2023</t>
        </is>
      </c>
      <c r="B832" s="1" t="n">
        <v>45176.72427083334</v>
      </c>
      <c r="C832" s="1" t="n">
        <v>46000</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17926-2025</t>
        </is>
      </c>
      <c r="B833" s="1" t="n">
        <v>45759.38987268518</v>
      </c>
      <c r="C833" s="1" t="n">
        <v>46000</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21028-2023</t>
        </is>
      </c>
      <c r="B834" s="1" t="n">
        <v>45061</v>
      </c>
      <c r="C834" s="1" t="n">
        <v>46000</v>
      </c>
      <c r="D834" t="inlineStr">
        <is>
          <t>KALMAR LÄN</t>
        </is>
      </c>
      <c r="E834" t="inlineStr">
        <is>
          <t>VIMMERBY</t>
        </is>
      </c>
      <c r="F834" t="inlineStr">
        <is>
          <t>Övriga Aktiebolag</t>
        </is>
      </c>
      <c r="G834" t="n">
        <v>0.7</v>
      </c>
      <c r="H834" t="n">
        <v>0</v>
      </c>
      <c r="I834" t="n">
        <v>0</v>
      </c>
      <c r="J834" t="n">
        <v>0</v>
      </c>
      <c r="K834" t="n">
        <v>0</v>
      </c>
      <c r="L834" t="n">
        <v>0</v>
      </c>
      <c r="M834" t="n">
        <v>0</v>
      </c>
      <c r="N834" t="n">
        <v>0</v>
      </c>
      <c r="O834" t="n">
        <v>0</v>
      </c>
      <c r="P834" t="n">
        <v>0</v>
      </c>
      <c r="Q834" t="n">
        <v>0</v>
      </c>
      <c r="R834" s="2" t="inlineStr"/>
    </row>
    <row r="835" ht="15" customHeight="1">
      <c r="A835" t="inlineStr">
        <is>
          <t>A 19445-2021</t>
        </is>
      </c>
      <c r="B835" s="1" t="n">
        <v>44310</v>
      </c>
      <c r="C835" s="1" t="n">
        <v>46000</v>
      </c>
      <c r="D835" t="inlineStr">
        <is>
          <t>KALMAR LÄN</t>
        </is>
      </c>
      <c r="E835" t="inlineStr">
        <is>
          <t>VIMMERBY</t>
        </is>
      </c>
      <c r="G835" t="n">
        <v>6.8</v>
      </c>
      <c r="H835" t="n">
        <v>0</v>
      </c>
      <c r="I835" t="n">
        <v>0</v>
      </c>
      <c r="J835" t="n">
        <v>0</v>
      </c>
      <c r="K835" t="n">
        <v>0</v>
      </c>
      <c r="L835" t="n">
        <v>0</v>
      </c>
      <c r="M835" t="n">
        <v>0</v>
      </c>
      <c r="N835" t="n">
        <v>0</v>
      </c>
      <c r="O835" t="n">
        <v>0</v>
      </c>
      <c r="P835" t="n">
        <v>0</v>
      </c>
      <c r="Q835" t="n">
        <v>0</v>
      </c>
      <c r="R835" s="2" t="inlineStr"/>
    </row>
    <row r="836" ht="15" customHeight="1">
      <c r="A836" t="inlineStr">
        <is>
          <t>A 27122-2023</t>
        </is>
      </c>
      <c r="B836" s="1" t="n">
        <v>45096.45247685185</v>
      </c>
      <c r="C836" s="1" t="n">
        <v>46000</v>
      </c>
      <c r="D836" t="inlineStr">
        <is>
          <t>KALMAR LÄN</t>
        </is>
      </c>
      <c r="E836" t="inlineStr">
        <is>
          <t>VIMMERBY</t>
        </is>
      </c>
      <c r="G836" t="n">
        <v>1.7</v>
      </c>
      <c r="H836" t="n">
        <v>0</v>
      </c>
      <c r="I836" t="n">
        <v>0</v>
      </c>
      <c r="J836" t="n">
        <v>0</v>
      </c>
      <c r="K836" t="n">
        <v>0</v>
      </c>
      <c r="L836" t="n">
        <v>0</v>
      </c>
      <c r="M836" t="n">
        <v>0</v>
      </c>
      <c r="N836" t="n">
        <v>0</v>
      </c>
      <c r="O836" t="n">
        <v>0</v>
      </c>
      <c r="P836" t="n">
        <v>0</v>
      </c>
      <c r="Q836" t="n">
        <v>0</v>
      </c>
      <c r="R836" s="2" t="inlineStr"/>
    </row>
    <row r="837" ht="15" customHeight="1">
      <c r="A837" t="inlineStr">
        <is>
          <t>A 13813-2024</t>
        </is>
      </c>
      <c r="B837" s="1" t="n">
        <v>45391.41310185185</v>
      </c>
      <c r="C837" s="1" t="n">
        <v>46000</v>
      </c>
      <c r="D837" t="inlineStr">
        <is>
          <t>KALMAR LÄN</t>
        </is>
      </c>
      <c r="E837" t="inlineStr">
        <is>
          <t>VIMMERBY</t>
        </is>
      </c>
      <c r="G837" t="n">
        <v>0.4</v>
      </c>
      <c r="H837" t="n">
        <v>0</v>
      </c>
      <c r="I837" t="n">
        <v>0</v>
      </c>
      <c r="J837" t="n">
        <v>0</v>
      </c>
      <c r="K837" t="n">
        <v>0</v>
      </c>
      <c r="L837" t="n">
        <v>0</v>
      </c>
      <c r="M837" t="n">
        <v>0</v>
      </c>
      <c r="N837" t="n">
        <v>0</v>
      </c>
      <c r="O837" t="n">
        <v>0</v>
      </c>
      <c r="P837" t="n">
        <v>0</v>
      </c>
      <c r="Q837" t="n">
        <v>0</v>
      </c>
      <c r="R837" s="2" t="inlineStr"/>
    </row>
    <row r="838" ht="15" customHeight="1">
      <c r="A838" t="inlineStr">
        <is>
          <t>A 38969-2023</t>
        </is>
      </c>
      <c r="B838" s="1" t="n">
        <v>45163.63621527778</v>
      </c>
      <c r="C838" s="1" t="n">
        <v>46000</v>
      </c>
      <c r="D838" t="inlineStr">
        <is>
          <t>KALMAR LÄN</t>
        </is>
      </c>
      <c r="E838" t="inlineStr">
        <is>
          <t>VIMMERBY</t>
        </is>
      </c>
      <c r="F838" t="inlineStr">
        <is>
          <t>Sveaskog</t>
        </is>
      </c>
      <c r="G838" t="n">
        <v>2.4</v>
      </c>
      <c r="H838" t="n">
        <v>0</v>
      </c>
      <c r="I838" t="n">
        <v>0</v>
      </c>
      <c r="J838" t="n">
        <v>0</v>
      </c>
      <c r="K838" t="n">
        <v>0</v>
      </c>
      <c r="L838" t="n">
        <v>0</v>
      </c>
      <c r="M838" t="n">
        <v>0</v>
      </c>
      <c r="N838" t="n">
        <v>0</v>
      </c>
      <c r="O838" t="n">
        <v>0</v>
      </c>
      <c r="P838" t="n">
        <v>0</v>
      </c>
      <c r="Q838" t="n">
        <v>0</v>
      </c>
      <c r="R838" s="2" t="inlineStr"/>
    </row>
    <row r="839" ht="15" customHeight="1">
      <c r="A839" t="inlineStr">
        <is>
          <t>A 26937-2023</t>
        </is>
      </c>
      <c r="B839" s="1" t="n">
        <v>45093.62777777778</v>
      </c>
      <c r="C839" s="1" t="n">
        <v>46000</v>
      </c>
      <c r="D839" t="inlineStr">
        <is>
          <t>KALMAR LÄN</t>
        </is>
      </c>
      <c r="E839" t="inlineStr">
        <is>
          <t>VIMMERBY</t>
        </is>
      </c>
      <c r="F839" t="inlineStr">
        <is>
          <t>Sveaskog</t>
        </is>
      </c>
      <c r="G839" t="n">
        <v>14.5</v>
      </c>
      <c r="H839" t="n">
        <v>0</v>
      </c>
      <c r="I839" t="n">
        <v>0</v>
      </c>
      <c r="J839" t="n">
        <v>0</v>
      </c>
      <c r="K839" t="n">
        <v>0</v>
      </c>
      <c r="L839" t="n">
        <v>0</v>
      </c>
      <c r="M839" t="n">
        <v>0</v>
      </c>
      <c r="N839" t="n">
        <v>0</v>
      </c>
      <c r="O839" t="n">
        <v>0</v>
      </c>
      <c r="P839" t="n">
        <v>0</v>
      </c>
      <c r="Q839" t="n">
        <v>0</v>
      </c>
      <c r="R839" s="2" t="inlineStr"/>
    </row>
    <row r="840" ht="15" customHeight="1">
      <c r="A840" t="inlineStr">
        <is>
          <t>A 57486-2024</t>
        </is>
      </c>
      <c r="B840" s="1" t="n">
        <v>45630.35827546296</v>
      </c>
      <c r="C840" s="1" t="n">
        <v>46000</v>
      </c>
      <c r="D840" t="inlineStr">
        <is>
          <t>KALMAR LÄN</t>
        </is>
      </c>
      <c r="E840" t="inlineStr">
        <is>
          <t>VIMMERBY</t>
        </is>
      </c>
      <c r="G840" t="n">
        <v>0.4</v>
      </c>
      <c r="H840" t="n">
        <v>0</v>
      </c>
      <c r="I840" t="n">
        <v>0</v>
      </c>
      <c r="J840" t="n">
        <v>0</v>
      </c>
      <c r="K840" t="n">
        <v>0</v>
      </c>
      <c r="L840" t="n">
        <v>0</v>
      </c>
      <c r="M840" t="n">
        <v>0</v>
      </c>
      <c r="N840" t="n">
        <v>0</v>
      </c>
      <c r="O840" t="n">
        <v>0</v>
      </c>
      <c r="P840" t="n">
        <v>0</v>
      </c>
      <c r="Q840" t="n">
        <v>0</v>
      </c>
      <c r="R840" s="2" t="inlineStr"/>
    </row>
    <row r="841" ht="15" customHeight="1">
      <c r="A841" t="inlineStr">
        <is>
          <t>A 43186-2021</t>
        </is>
      </c>
      <c r="B841" s="1" t="n">
        <v>44431.84840277778</v>
      </c>
      <c r="C841" s="1" t="n">
        <v>46000</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1799-2025</t>
        </is>
      </c>
      <c r="B842" s="1" t="n">
        <v>45671.46746527778</v>
      </c>
      <c r="C842" s="1" t="n">
        <v>46000</v>
      </c>
      <c r="D842" t="inlineStr">
        <is>
          <t>KALMAR LÄN</t>
        </is>
      </c>
      <c r="E842" t="inlineStr">
        <is>
          <t>VIMMERBY</t>
        </is>
      </c>
      <c r="G842" t="n">
        <v>3.3</v>
      </c>
      <c r="H842" t="n">
        <v>0</v>
      </c>
      <c r="I842" t="n">
        <v>0</v>
      </c>
      <c r="J842" t="n">
        <v>0</v>
      </c>
      <c r="K842" t="n">
        <v>0</v>
      </c>
      <c r="L842" t="n">
        <v>0</v>
      </c>
      <c r="M842" t="n">
        <v>0</v>
      </c>
      <c r="N842" t="n">
        <v>0</v>
      </c>
      <c r="O842" t="n">
        <v>0</v>
      </c>
      <c r="P842" t="n">
        <v>0</v>
      </c>
      <c r="Q842" t="n">
        <v>0</v>
      </c>
      <c r="R842" s="2" t="inlineStr"/>
    </row>
    <row r="843" ht="15" customHeight="1">
      <c r="A843" t="inlineStr">
        <is>
          <t>A 30063-2023</t>
        </is>
      </c>
      <c r="B843" s="1" t="n">
        <v>45110.4184375</v>
      </c>
      <c r="C843" s="1" t="n">
        <v>46000</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43068-2023</t>
        </is>
      </c>
      <c r="B844" s="1" t="n">
        <v>45182.78834490741</v>
      </c>
      <c r="C844" s="1" t="n">
        <v>46000</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18020-2025</t>
        </is>
      </c>
      <c r="B845" s="1" t="n">
        <v>45761.4437962963</v>
      </c>
      <c r="C845" s="1" t="n">
        <v>46000</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33424-2023</t>
        </is>
      </c>
      <c r="B846" s="1" t="n">
        <v>45128.9325</v>
      </c>
      <c r="C846" s="1" t="n">
        <v>46000</v>
      </c>
      <c r="D846" t="inlineStr">
        <is>
          <t>KALMAR LÄN</t>
        </is>
      </c>
      <c r="E846" t="inlineStr">
        <is>
          <t>VIMMERBY</t>
        </is>
      </c>
      <c r="G846" t="n">
        <v>2.4</v>
      </c>
      <c r="H846" t="n">
        <v>0</v>
      </c>
      <c r="I846" t="n">
        <v>0</v>
      </c>
      <c r="J846" t="n">
        <v>0</v>
      </c>
      <c r="K846" t="n">
        <v>0</v>
      </c>
      <c r="L846" t="n">
        <v>0</v>
      </c>
      <c r="M846" t="n">
        <v>0</v>
      </c>
      <c r="N846" t="n">
        <v>0</v>
      </c>
      <c r="O846" t="n">
        <v>0</v>
      </c>
      <c r="P846" t="n">
        <v>0</v>
      </c>
      <c r="Q846" t="n">
        <v>0</v>
      </c>
      <c r="R846" s="2" t="inlineStr"/>
    </row>
    <row r="847" ht="15" customHeight="1">
      <c r="A847" t="inlineStr">
        <is>
          <t>A 33425-2023</t>
        </is>
      </c>
      <c r="B847" s="1" t="n">
        <v>45128.93540509259</v>
      </c>
      <c r="C847" s="1" t="n">
        <v>46000</v>
      </c>
      <c r="D847" t="inlineStr">
        <is>
          <t>KALMAR LÄN</t>
        </is>
      </c>
      <c r="E847" t="inlineStr">
        <is>
          <t>VIMMERBY</t>
        </is>
      </c>
      <c r="G847" t="n">
        <v>1.4</v>
      </c>
      <c r="H847" t="n">
        <v>0</v>
      </c>
      <c r="I847" t="n">
        <v>0</v>
      </c>
      <c r="J847" t="n">
        <v>0</v>
      </c>
      <c r="K847" t="n">
        <v>0</v>
      </c>
      <c r="L847" t="n">
        <v>0</v>
      </c>
      <c r="M847" t="n">
        <v>0</v>
      </c>
      <c r="N847" t="n">
        <v>0</v>
      </c>
      <c r="O847" t="n">
        <v>0</v>
      </c>
      <c r="P847" t="n">
        <v>0</v>
      </c>
      <c r="Q847" t="n">
        <v>0</v>
      </c>
      <c r="R847" s="2" t="inlineStr"/>
    </row>
    <row r="848" ht="15" customHeight="1">
      <c r="A848" t="inlineStr">
        <is>
          <t>A 12327-2023</t>
        </is>
      </c>
      <c r="B848" s="1" t="n">
        <v>44999.36081018519</v>
      </c>
      <c r="C848" s="1" t="n">
        <v>46000</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43092-2024</t>
        </is>
      </c>
      <c r="B849" s="1" t="n">
        <v>45567</v>
      </c>
      <c r="C849" s="1" t="n">
        <v>46000</v>
      </c>
      <c r="D849" t="inlineStr">
        <is>
          <t>KALMAR LÄN</t>
        </is>
      </c>
      <c r="E849" t="inlineStr">
        <is>
          <t>VIMMERBY</t>
        </is>
      </c>
      <c r="G849" t="n">
        <v>2.7</v>
      </c>
      <c r="H849" t="n">
        <v>0</v>
      </c>
      <c r="I849" t="n">
        <v>0</v>
      </c>
      <c r="J849" t="n">
        <v>0</v>
      </c>
      <c r="K849" t="n">
        <v>0</v>
      </c>
      <c r="L849" t="n">
        <v>0</v>
      </c>
      <c r="M849" t="n">
        <v>0</v>
      </c>
      <c r="N849" t="n">
        <v>0</v>
      </c>
      <c r="O849" t="n">
        <v>0</v>
      </c>
      <c r="P849" t="n">
        <v>0</v>
      </c>
      <c r="Q849" t="n">
        <v>0</v>
      </c>
      <c r="R849" s="2" t="inlineStr"/>
    </row>
    <row r="850" ht="15" customHeight="1">
      <c r="A850" t="inlineStr">
        <is>
          <t>A 52435-2021</t>
        </is>
      </c>
      <c r="B850" s="1" t="n">
        <v>44466.34962962963</v>
      </c>
      <c r="C850" s="1" t="n">
        <v>46000</v>
      </c>
      <c r="D850" t="inlineStr">
        <is>
          <t>KALMAR LÄN</t>
        </is>
      </c>
      <c r="E850" t="inlineStr">
        <is>
          <t>VIMMERBY</t>
        </is>
      </c>
      <c r="G850" t="n">
        <v>2.8</v>
      </c>
      <c r="H850" t="n">
        <v>0</v>
      </c>
      <c r="I850" t="n">
        <v>0</v>
      </c>
      <c r="J850" t="n">
        <v>0</v>
      </c>
      <c r="K850" t="n">
        <v>0</v>
      </c>
      <c r="L850" t="n">
        <v>0</v>
      </c>
      <c r="M850" t="n">
        <v>0</v>
      </c>
      <c r="N850" t="n">
        <v>0</v>
      </c>
      <c r="O850" t="n">
        <v>0</v>
      </c>
      <c r="P850" t="n">
        <v>0</v>
      </c>
      <c r="Q850" t="n">
        <v>0</v>
      </c>
      <c r="R850" s="2" t="inlineStr"/>
    </row>
    <row r="851" ht="15" customHeight="1">
      <c r="A851" t="inlineStr">
        <is>
          <t>A 35127-2024</t>
        </is>
      </c>
      <c r="B851" s="1" t="n">
        <v>45530.33202546297</v>
      </c>
      <c r="C851" s="1" t="n">
        <v>46000</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60215-2022</t>
        </is>
      </c>
      <c r="B852" s="1" t="n">
        <v>44910.41346064815</v>
      </c>
      <c r="C852" s="1" t="n">
        <v>46000</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29441-2024</t>
        </is>
      </c>
      <c r="B853" s="1" t="n">
        <v>45483.82834490741</v>
      </c>
      <c r="C853" s="1" t="n">
        <v>46000</v>
      </c>
      <c r="D853" t="inlineStr">
        <is>
          <t>KALMAR LÄN</t>
        </is>
      </c>
      <c r="E853" t="inlineStr">
        <is>
          <t>VIMMERBY</t>
        </is>
      </c>
      <c r="G853" t="n">
        <v>1.3</v>
      </c>
      <c r="H853" t="n">
        <v>0</v>
      </c>
      <c r="I853" t="n">
        <v>0</v>
      </c>
      <c r="J853" t="n">
        <v>0</v>
      </c>
      <c r="K853" t="n">
        <v>0</v>
      </c>
      <c r="L853" t="n">
        <v>0</v>
      </c>
      <c r="M853" t="n">
        <v>0</v>
      </c>
      <c r="N853" t="n">
        <v>0</v>
      </c>
      <c r="O853" t="n">
        <v>0</v>
      </c>
      <c r="P853" t="n">
        <v>0</v>
      </c>
      <c r="Q853" t="n">
        <v>0</v>
      </c>
      <c r="R853" s="2" t="inlineStr"/>
    </row>
    <row r="854" ht="15" customHeight="1">
      <c r="A854" t="inlineStr">
        <is>
          <t>A 6216-2025</t>
        </is>
      </c>
      <c r="B854" s="1" t="n">
        <v>45698.52806712963</v>
      </c>
      <c r="C854" s="1" t="n">
        <v>46000</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62779-2023</t>
        </is>
      </c>
      <c r="B855" s="1" t="n">
        <v>45271.66576388889</v>
      </c>
      <c r="C855" s="1" t="n">
        <v>46000</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52294-2023</t>
        </is>
      </c>
      <c r="B856" s="1" t="n">
        <v>45224.60075231481</v>
      </c>
      <c r="C856" s="1" t="n">
        <v>46000</v>
      </c>
      <c r="D856" t="inlineStr">
        <is>
          <t>KALMAR LÄN</t>
        </is>
      </c>
      <c r="E856" t="inlineStr">
        <is>
          <t>VIMMERBY</t>
        </is>
      </c>
      <c r="F856" t="inlineStr">
        <is>
          <t>Sveaskog</t>
        </is>
      </c>
      <c r="G856" t="n">
        <v>2.5</v>
      </c>
      <c r="H856" t="n">
        <v>0</v>
      </c>
      <c r="I856" t="n">
        <v>0</v>
      </c>
      <c r="J856" t="n">
        <v>0</v>
      </c>
      <c r="K856" t="n">
        <v>0</v>
      </c>
      <c r="L856" t="n">
        <v>0</v>
      </c>
      <c r="M856" t="n">
        <v>0</v>
      </c>
      <c r="N856" t="n">
        <v>0</v>
      </c>
      <c r="O856" t="n">
        <v>0</v>
      </c>
      <c r="P856" t="n">
        <v>0</v>
      </c>
      <c r="Q856" t="n">
        <v>0</v>
      </c>
      <c r="R856" s="2" t="inlineStr"/>
    </row>
    <row r="857" ht="15" customHeight="1">
      <c r="A857" t="inlineStr">
        <is>
          <t>A 31013-2023</t>
        </is>
      </c>
      <c r="B857" s="1" t="n">
        <v>45113.56574074074</v>
      </c>
      <c r="C857" s="1" t="n">
        <v>46000</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72067-2021</t>
        </is>
      </c>
      <c r="B858" s="1" t="n">
        <v>44540</v>
      </c>
      <c r="C858" s="1" t="n">
        <v>46000</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61538-2022</t>
        </is>
      </c>
      <c r="B859" s="1" t="n">
        <v>44916.55414351852</v>
      </c>
      <c r="C859" s="1" t="n">
        <v>46000</v>
      </c>
      <c r="D859" t="inlineStr">
        <is>
          <t>KALMAR LÄN</t>
        </is>
      </c>
      <c r="E859" t="inlineStr">
        <is>
          <t>VIMMERBY</t>
        </is>
      </c>
      <c r="G859" t="n">
        <v>1.5</v>
      </c>
      <c r="H859" t="n">
        <v>0</v>
      </c>
      <c r="I859" t="n">
        <v>0</v>
      </c>
      <c r="J859" t="n">
        <v>0</v>
      </c>
      <c r="K859" t="n">
        <v>0</v>
      </c>
      <c r="L859" t="n">
        <v>0</v>
      </c>
      <c r="M859" t="n">
        <v>0</v>
      </c>
      <c r="N859" t="n">
        <v>0</v>
      </c>
      <c r="O859" t="n">
        <v>0</v>
      </c>
      <c r="P859" t="n">
        <v>0</v>
      </c>
      <c r="Q859" t="n">
        <v>0</v>
      </c>
      <c r="R859" s="2" t="inlineStr"/>
    </row>
    <row r="860" ht="15" customHeight="1">
      <c r="A860" t="inlineStr">
        <is>
          <t>A 36155-2023</t>
        </is>
      </c>
      <c r="B860" s="1" t="n">
        <v>45149.60917824074</v>
      </c>
      <c r="C860" s="1" t="n">
        <v>46000</v>
      </c>
      <c r="D860" t="inlineStr">
        <is>
          <t>KALMAR LÄN</t>
        </is>
      </c>
      <c r="E860" t="inlineStr">
        <is>
          <t>VIMMERBY</t>
        </is>
      </c>
      <c r="G860" t="n">
        <v>5</v>
      </c>
      <c r="H860" t="n">
        <v>0</v>
      </c>
      <c r="I860" t="n">
        <v>0</v>
      </c>
      <c r="J860" t="n">
        <v>0</v>
      </c>
      <c r="K860" t="n">
        <v>0</v>
      </c>
      <c r="L860" t="n">
        <v>0</v>
      </c>
      <c r="M860" t="n">
        <v>0</v>
      </c>
      <c r="N860" t="n">
        <v>0</v>
      </c>
      <c r="O860" t="n">
        <v>0</v>
      </c>
      <c r="P860" t="n">
        <v>0</v>
      </c>
      <c r="Q860" t="n">
        <v>0</v>
      </c>
      <c r="R860" s="2" t="inlineStr"/>
    </row>
    <row r="861" ht="15" customHeight="1">
      <c r="A861" t="inlineStr">
        <is>
          <t>A 29173-2024</t>
        </is>
      </c>
      <c r="B861" s="1" t="n">
        <v>45482.52887731481</v>
      </c>
      <c r="C861" s="1" t="n">
        <v>46000</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53542-2022</t>
        </is>
      </c>
      <c r="B862" s="1" t="n">
        <v>44879.62173611111</v>
      </c>
      <c r="C862" s="1" t="n">
        <v>46000</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6807-2025</t>
        </is>
      </c>
      <c r="B863" s="1" t="n">
        <v>45700.68672453704</v>
      </c>
      <c r="C863" s="1" t="n">
        <v>46000</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7047-2022</t>
        </is>
      </c>
      <c r="B864" s="1" t="n">
        <v>44603</v>
      </c>
      <c r="C864" s="1" t="n">
        <v>46000</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35711-2023</t>
        </is>
      </c>
      <c r="B865" s="1" t="n">
        <v>45147.67172453704</v>
      </c>
      <c r="C865" s="1" t="n">
        <v>46000</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5382-2023</t>
        </is>
      </c>
      <c r="B866" s="1" t="n">
        <v>44959.66407407408</v>
      </c>
      <c r="C866" s="1" t="n">
        <v>46000</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40823-2023</t>
        </is>
      </c>
      <c r="B867" s="1" t="n">
        <v>45171.77335648148</v>
      </c>
      <c r="C867" s="1" t="n">
        <v>46000</v>
      </c>
      <c r="D867" t="inlineStr">
        <is>
          <t>KALMAR LÄN</t>
        </is>
      </c>
      <c r="E867" t="inlineStr">
        <is>
          <t>VIMMERBY</t>
        </is>
      </c>
      <c r="G867" t="n">
        <v>2.7</v>
      </c>
      <c r="H867" t="n">
        <v>0</v>
      </c>
      <c r="I867" t="n">
        <v>0</v>
      </c>
      <c r="J867" t="n">
        <v>0</v>
      </c>
      <c r="K867" t="n">
        <v>0</v>
      </c>
      <c r="L867" t="n">
        <v>0</v>
      </c>
      <c r="M867" t="n">
        <v>0</v>
      </c>
      <c r="N867" t="n">
        <v>0</v>
      </c>
      <c r="O867" t="n">
        <v>0</v>
      </c>
      <c r="P867" t="n">
        <v>0</v>
      </c>
      <c r="Q867" t="n">
        <v>0</v>
      </c>
      <c r="R867" s="2" t="inlineStr"/>
    </row>
    <row r="868" ht="15" customHeight="1">
      <c r="A868" t="inlineStr">
        <is>
          <t>A 6218-2025</t>
        </is>
      </c>
      <c r="B868" s="1" t="n">
        <v>45698.53336805556</v>
      </c>
      <c r="C868" s="1" t="n">
        <v>46000</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30920-2023</t>
        </is>
      </c>
      <c r="B869" s="1" t="n">
        <v>45113.43921296296</v>
      </c>
      <c r="C869" s="1" t="n">
        <v>46000</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6857-2023</t>
        </is>
      </c>
      <c r="B870" s="1" t="n">
        <v>44967.45122685185</v>
      </c>
      <c r="C870" s="1" t="n">
        <v>46000</v>
      </c>
      <c r="D870" t="inlineStr">
        <is>
          <t>KALMAR LÄN</t>
        </is>
      </c>
      <c r="E870" t="inlineStr">
        <is>
          <t>VIMMERBY</t>
        </is>
      </c>
      <c r="G870" t="n">
        <v>2.1</v>
      </c>
      <c r="H870" t="n">
        <v>0</v>
      </c>
      <c r="I870" t="n">
        <v>0</v>
      </c>
      <c r="J870" t="n">
        <v>0</v>
      </c>
      <c r="K870" t="n">
        <v>0</v>
      </c>
      <c r="L870" t="n">
        <v>0</v>
      </c>
      <c r="M870" t="n">
        <v>0</v>
      </c>
      <c r="N870" t="n">
        <v>0</v>
      </c>
      <c r="O870" t="n">
        <v>0</v>
      </c>
      <c r="P870" t="n">
        <v>0</v>
      </c>
      <c r="Q870" t="n">
        <v>0</v>
      </c>
      <c r="R870" s="2" t="inlineStr"/>
    </row>
    <row r="871" ht="15" customHeight="1">
      <c r="A871" t="inlineStr">
        <is>
          <t>A 5792-2023</t>
        </is>
      </c>
      <c r="B871" s="1" t="n">
        <v>44963.44769675926</v>
      </c>
      <c r="C871" s="1" t="n">
        <v>46000</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10303-2025</t>
        </is>
      </c>
      <c r="B872" s="1" t="n">
        <v>45720.44217592593</v>
      </c>
      <c r="C872" s="1" t="n">
        <v>46000</v>
      </c>
      <c r="D872" t="inlineStr">
        <is>
          <t>KALMAR LÄN</t>
        </is>
      </c>
      <c r="E872" t="inlineStr">
        <is>
          <t>VIMMERBY</t>
        </is>
      </c>
      <c r="G872" t="n">
        <v>0.9</v>
      </c>
      <c r="H872" t="n">
        <v>0</v>
      </c>
      <c r="I872" t="n">
        <v>0</v>
      </c>
      <c r="J872" t="n">
        <v>0</v>
      </c>
      <c r="K872" t="n">
        <v>0</v>
      </c>
      <c r="L872" t="n">
        <v>0</v>
      </c>
      <c r="M872" t="n">
        <v>0</v>
      </c>
      <c r="N872" t="n">
        <v>0</v>
      </c>
      <c r="O872" t="n">
        <v>0</v>
      </c>
      <c r="P872" t="n">
        <v>0</v>
      </c>
      <c r="Q872" t="n">
        <v>0</v>
      </c>
      <c r="R872" s="2" t="inlineStr"/>
    </row>
    <row r="873" ht="15" customHeight="1">
      <c r="A873" t="inlineStr">
        <is>
          <t>A 60110-2022</t>
        </is>
      </c>
      <c r="B873" s="1" t="n">
        <v>44909</v>
      </c>
      <c r="C873" s="1" t="n">
        <v>46000</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15394-2025</t>
        </is>
      </c>
      <c r="B874" s="1" t="n">
        <v>45747.43196759259</v>
      </c>
      <c r="C874" s="1" t="n">
        <v>46000</v>
      </c>
      <c r="D874" t="inlineStr">
        <is>
          <t>KALMAR LÄN</t>
        </is>
      </c>
      <c r="E874" t="inlineStr">
        <is>
          <t>VIMMERBY</t>
        </is>
      </c>
      <c r="G874" t="n">
        <v>0.8</v>
      </c>
      <c r="H874" t="n">
        <v>0</v>
      </c>
      <c r="I874" t="n">
        <v>0</v>
      </c>
      <c r="J874" t="n">
        <v>0</v>
      </c>
      <c r="K874" t="n">
        <v>0</v>
      </c>
      <c r="L874" t="n">
        <v>0</v>
      </c>
      <c r="M874" t="n">
        <v>0</v>
      </c>
      <c r="N874" t="n">
        <v>0</v>
      </c>
      <c r="O874" t="n">
        <v>0</v>
      </c>
      <c r="P874" t="n">
        <v>0</v>
      </c>
      <c r="Q874" t="n">
        <v>0</v>
      </c>
      <c r="R874" s="2" t="inlineStr"/>
    </row>
    <row r="875" ht="15" customHeight="1">
      <c r="A875" t="inlineStr">
        <is>
          <t>A 15388-2025</t>
        </is>
      </c>
      <c r="B875" s="1" t="n">
        <v>45747.42633101852</v>
      </c>
      <c r="C875" s="1" t="n">
        <v>46000</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15391-2025</t>
        </is>
      </c>
      <c r="B876" s="1" t="n">
        <v>45747.42958333333</v>
      </c>
      <c r="C876" s="1" t="n">
        <v>46000</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6474-2025</t>
        </is>
      </c>
      <c r="B877" s="1" t="n">
        <v>45699.60055555555</v>
      </c>
      <c r="C877" s="1" t="n">
        <v>46000</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32919-2022</t>
        </is>
      </c>
      <c r="B878" s="1" t="n">
        <v>44784.62724537037</v>
      </c>
      <c r="C878" s="1" t="n">
        <v>46000</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56659-2023</t>
        </is>
      </c>
      <c r="B879" s="1" t="n">
        <v>45243.84869212963</v>
      </c>
      <c r="C879" s="1" t="n">
        <v>46000</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13015-2022</t>
        </is>
      </c>
      <c r="B880" s="1" t="n">
        <v>44643</v>
      </c>
      <c r="C880" s="1" t="n">
        <v>46000</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17968-2025</t>
        </is>
      </c>
      <c r="B881" s="1" t="n">
        <v>45761.35990740741</v>
      </c>
      <c r="C881" s="1" t="n">
        <v>46000</v>
      </c>
      <c r="D881" t="inlineStr">
        <is>
          <t>KALMAR LÄN</t>
        </is>
      </c>
      <c r="E881" t="inlineStr">
        <is>
          <t>VIMMERBY</t>
        </is>
      </c>
      <c r="G881" t="n">
        <v>3.3</v>
      </c>
      <c r="H881" t="n">
        <v>0</v>
      </c>
      <c r="I881" t="n">
        <v>0</v>
      </c>
      <c r="J881" t="n">
        <v>0</v>
      </c>
      <c r="K881" t="n">
        <v>0</v>
      </c>
      <c r="L881" t="n">
        <v>0</v>
      </c>
      <c r="M881" t="n">
        <v>0</v>
      </c>
      <c r="N881" t="n">
        <v>0</v>
      </c>
      <c r="O881" t="n">
        <v>0</v>
      </c>
      <c r="P881" t="n">
        <v>0</v>
      </c>
      <c r="Q881" t="n">
        <v>0</v>
      </c>
      <c r="R881" s="2" t="inlineStr"/>
    </row>
    <row r="882" ht="15" customHeight="1">
      <c r="A882" t="inlineStr">
        <is>
          <t>A 6028-2023</t>
        </is>
      </c>
      <c r="B882" s="1" t="n">
        <v>44964.44356481481</v>
      </c>
      <c r="C882" s="1" t="n">
        <v>46000</v>
      </c>
      <c r="D882" t="inlineStr">
        <is>
          <t>KALMAR LÄN</t>
        </is>
      </c>
      <c r="E882" t="inlineStr">
        <is>
          <t>VIMMERBY</t>
        </is>
      </c>
      <c r="G882" t="n">
        <v>2.5</v>
      </c>
      <c r="H882" t="n">
        <v>0</v>
      </c>
      <c r="I882" t="n">
        <v>0</v>
      </c>
      <c r="J882" t="n">
        <v>0</v>
      </c>
      <c r="K882" t="n">
        <v>0</v>
      </c>
      <c r="L882" t="n">
        <v>0</v>
      </c>
      <c r="M882" t="n">
        <v>0</v>
      </c>
      <c r="N882" t="n">
        <v>0</v>
      </c>
      <c r="O882" t="n">
        <v>0</v>
      </c>
      <c r="P882" t="n">
        <v>0</v>
      </c>
      <c r="Q882" t="n">
        <v>0</v>
      </c>
      <c r="R882" s="2" t="inlineStr"/>
    </row>
    <row r="883" ht="15" customHeight="1">
      <c r="A883" t="inlineStr">
        <is>
          <t>A 55436-2023</t>
        </is>
      </c>
      <c r="B883" s="1" t="n">
        <v>45238.4328587963</v>
      </c>
      <c r="C883" s="1" t="n">
        <v>46000</v>
      </c>
      <c r="D883" t="inlineStr">
        <is>
          <t>KALMAR LÄN</t>
        </is>
      </c>
      <c r="E883" t="inlineStr">
        <is>
          <t>VIMMERBY</t>
        </is>
      </c>
      <c r="G883" t="n">
        <v>5.6</v>
      </c>
      <c r="H883" t="n">
        <v>0</v>
      </c>
      <c r="I883" t="n">
        <v>0</v>
      </c>
      <c r="J883" t="n">
        <v>0</v>
      </c>
      <c r="K883" t="n">
        <v>0</v>
      </c>
      <c r="L883" t="n">
        <v>0</v>
      </c>
      <c r="M883" t="n">
        <v>0</v>
      </c>
      <c r="N883" t="n">
        <v>0</v>
      </c>
      <c r="O883" t="n">
        <v>0</v>
      </c>
      <c r="P883" t="n">
        <v>0</v>
      </c>
      <c r="Q883" t="n">
        <v>0</v>
      </c>
      <c r="R883" s="2" t="inlineStr"/>
    </row>
    <row r="884" ht="15" customHeight="1">
      <c r="A884" t="inlineStr">
        <is>
          <t>A 56582-2022</t>
        </is>
      </c>
      <c r="B884" s="1" t="n">
        <v>44893</v>
      </c>
      <c r="C884" s="1" t="n">
        <v>46000</v>
      </c>
      <c r="D884" t="inlineStr">
        <is>
          <t>KALMAR LÄN</t>
        </is>
      </c>
      <c r="E884" t="inlineStr">
        <is>
          <t>VIMMERBY</t>
        </is>
      </c>
      <c r="G884" t="n">
        <v>2.2</v>
      </c>
      <c r="H884" t="n">
        <v>0</v>
      </c>
      <c r="I884" t="n">
        <v>0</v>
      </c>
      <c r="J884" t="n">
        <v>0</v>
      </c>
      <c r="K884" t="n">
        <v>0</v>
      </c>
      <c r="L884" t="n">
        <v>0</v>
      </c>
      <c r="M884" t="n">
        <v>0</v>
      </c>
      <c r="N884" t="n">
        <v>0</v>
      </c>
      <c r="O884" t="n">
        <v>0</v>
      </c>
      <c r="P884" t="n">
        <v>0</v>
      </c>
      <c r="Q884" t="n">
        <v>0</v>
      </c>
      <c r="R884" s="2" t="inlineStr"/>
    </row>
    <row r="885" ht="15" customHeight="1">
      <c r="A885" t="inlineStr">
        <is>
          <t>A 20-2025</t>
        </is>
      </c>
      <c r="B885" s="1" t="n">
        <v>45658.80232638889</v>
      </c>
      <c r="C885" s="1" t="n">
        <v>46000</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23-2025</t>
        </is>
      </c>
      <c r="B886" s="1" t="n">
        <v>45658.80827546296</v>
      </c>
      <c r="C886" s="1" t="n">
        <v>46000</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43962-2024</t>
        </is>
      </c>
      <c r="B887" s="1" t="n">
        <v>45572.48293981481</v>
      </c>
      <c r="C887" s="1" t="n">
        <v>46000</v>
      </c>
      <c r="D887" t="inlineStr">
        <is>
          <t>KALMAR LÄN</t>
        </is>
      </c>
      <c r="E887" t="inlineStr">
        <is>
          <t>VIMMERBY</t>
        </is>
      </c>
      <c r="G887" t="n">
        <v>0.6</v>
      </c>
      <c r="H887" t="n">
        <v>0</v>
      </c>
      <c r="I887" t="n">
        <v>0</v>
      </c>
      <c r="J887" t="n">
        <v>0</v>
      </c>
      <c r="K887" t="n">
        <v>0</v>
      </c>
      <c r="L887" t="n">
        <v>0</v>
      </c>
      <c r="M887" t="n">
        <v>0</v>
      </c>
      <c r="N887" t="n">
        <v>0</v>
      </c>
      <c r="O887" t="n">
        <v>0</v>
      </c>
      <c r="P887" t="n">
        <v>0</v>
      </c>
      <c r="Q887" t="n">
        <v>0</v>
      </c>
      <c r="R887" s="2" t="inlineStr"/>
    </row>
    <row r="888" ht="15" customHeight="1">
      <c r="A888" t="inlineStr">
        <is>
          <t>A 35713-2023</t>
        </is>
      </c>
      <c r="B888" s="1" t="n">
        <v>45147</v>
      </c>
      <c r="C888" s="1" t="n">
        <v>46000</v>
      </c>
      <c r="D888" t="inlineStr">
        <is>
          <t>KALMAR LÄN</t>
        </is>
      </c>
      <c r="E888" t="inlineStr">
        <is>
          <t>VIMMERBY</t>
        </is>
      </c>
      <c r="G888" t="n">
        <v>1.6</v>
      </c>
      <c r="H888" t="n">
        <v>0</v>
      </c>
      <c r="I888" t="n">
        <v>0</v>
      </c>
      <c r="J888" t="n">
        <v>0</v>
      </c>
      <c r="K888" t="n">
        <v>0</v>
      </c>
      <c r="L888" t="n">
        <v>0</v>
      </c>
      <c r="M888" t="n">
        <v>0</v>
      </c>
      <c r="N888" t="n">
        <v>0</v>
      </c>
      <c r="O888" t="n">
        <v>0</v>
      </c>
      <c r="P888" t="n">
        <v>0</v>
      </c>
      <c r="Q888" t="n">
        <v>0</v>
      </c>
      <c r="R888" s="2" t="inlineStr"/>
    </row>
    <row r="889" ht="15" customHeight="1">
      <c r="A889" t="inlineStr">
        <is>
          <t>A 40147-2023</t>
        </is>
      </c>
      <c r="B889" s="1" t="n">
        <v>45169</v>
      </c>
      <c r="C889" s="1" t="n">
        <v>46000</v>
      </c>
      <c r="D889" t="inlineStr">
        <is>
          <t>KALMAR LÄN</t>
        </is>
      </c>
      <c r="E889" t="inlineStr">
        <is>
          <t>VIMMERBY</t>
        </is>
      </c>
      <c r="G889" t="n">
        <v>1.7</v>
      </c>
      <c r="H889" t="n">
        <v>0</v>
      </c>
      <c r="I889" t="n">
        <v>0</v>
      </c>
      <c r="J889" t="n">
        <v>0</v>
      </c>
      <c r="K889" t="n">
        <v>0</v>
      </c>
      <c r="L889" t="n">
        <v>0</v>
      </c>
      <c r="M889" t="n">
        <v>0</v>
      </c>
      <c r="N889" t="n">
        <v>0</v>
      </c>
      <c r="O889" t="n">
        <v>0</v>
      </c>
      <c r="P889" t="n">
        <v>0</v>
      </c>
      <c r="Q889" t="n">
        <v>0</v>
      </c>
      <c r="R889" s="2" t="inlineStr"/>
    </row>
    <row r="890" ht="15" customHeight="1">
      <c r="A890" t="inlineStr">
        <is>
          <t>A 50995-2022</t>
        </is>
      </c>
      <c r="B890" s="1" t="n">
        <v>44867</v>
      </c>
      <c r="C890" s="1" t="n">
        <v>46000</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27993-2022</t>
        </is>
      </c>
      <c r="B891" s="1" t="n">
        <v>44745.84396990741</v>
      </c>
      <c r="C891" s="1" t="n">
        <v>46000</v>
      </c>
      <c r="D891" t="inlineStr">
        <is>
          <t>KALMAR LÄN</t>
        </is>
      </c>
      <c r="E891" t="inlineStr">
        <is>
          <t>VIMMERBY</t>
        </is>
      </c>
      <c r="G891" t="n">
        <v>2.8</v>
      </c>
      <c r="H891" t="n">
        <v>0</v>
      </c>
      <c r="I891" t="n">
        <v>0</v>
      </c>
      <c r="J891" t="n">
        <v>0</v>
      </c>
      <c r="K891" t="n">
        <v>0</v>
      </c>
      <c r="L891" t="n">
        <v>0</v>
      </c>
      <c r="M891" t="n">
        <v>0</v>
      </c>
      <c r="N891" t="n">
        <v>0</v>
      </c>
      <c r="O891" t="n">
        <v>0</v>
      </c>
      <c r="P891" t="n">
        <v>0</v>
      </c>
      <c r="Q891" t="n">
        <v>0</v>
      </c>
      <c r="R891" s="2" t="inlineStr"/>
    </row>
    <row r="892" ht="15" customHeight="1">
      <c r="A892" t="inlineStr">
        <is>
          <t>A 57555-2024</t>
        </is>
      </c>
      <c r="B892" s="1" t="n">
        <v>45630.45069444444</v>
      </c>
      <c r="C892" s="1" t="n">
        <v>46000</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36014-2024</t>
        </is>
      </c>
      <c r="B893" s="1" t="n">
        <v>45533.56108796296</v>
      </c>
      <c r="C893" s="1" t="n">
        <v>46000</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36030-2024</t>
        </is>
      </c>
      <c r="B894" s="1" t="n">
        <v>45533.58302083334</v>
      </c>
      <c r="C894" s="1" t="n">
        <v>46000</v>
      </c>
      <c r="D894" t="inlineStr">
        <is>
          <t>KALMAR LÄN</t>
        </is>
      </c>
      <c r="E894" t="inlineStr">
        <is>
          <t>VIMMERBY</t>
        </is>
      </c>
      <c r="F894" t="inlineStr">
        <is>
          <t>Kommuner</t>
        </is>
      </c>
      <c r="G894" t="n">
        <v>4</v>
      </c>
      <c r="H894" t="n">
        <v>0</v>
      </c>
      <c r="I894" t="n">
        <v>0</v>
      </c>
      <c r="J894" t="n">
        <v>0</v>
      </c>
      <c r="K894" t="n">
        <v>0</v>
      </c>
      <c r="L894" t="n">
        <v>0</v>
      </c>
      <c r="M894" t="n">
        <v>0</v>
      </c>
      <c r="N894" t="n">
        <v>0</v>
      </c>
      <c r="O894" t="n">
        <v>0</v>
      </c>
      <c r="P894" t="n">
        <v>0</v>
      </c>
      <c r="Q894" t="n">
        <v>0</v>
      </c>
      <c r="R894" s="2" t="inlineStr"/>
    </row>
    <row r="895" ht="15" customHeight="1">
      <c r="A895" t="inlineStr">
        <is>
          <t>A 32865-2023</t>
        </is>
      </c>
      <c r="B895" s="1" t="n">
        <v>45124</v>
      </c>
      <c r="C895" s="1" t="n">
        <v>46000</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42918-2021</t>
        </is>
      </c>
      <c r="B896" s="1" t="n">
        <v>44431</v>
      </c>
      <c r="C896" s="1" t="n">
        <v>46000</v>
      </c>
      <c r="D896" t="inlineStr">
        <is>
          <t>KALMAR LÄN</t>
        </is>
      </c>
      <c r="E896" t="inlineStr">
        <is>
          <t>VIMMERBY</t>
        </is>
      </c>
      <c r="G896" t="n">
        <v>1.6</v>
      </c>
      <c r="H896" t="n">
        <v>0</v>
      </c>
      <c r="I896" t="n">
        <v>0</v>
      </c>
      <c r="J896" t="n">
        <v>0</v>
      </c>
      <c r="K896" t="n">
        <v>0</v>
      </c>
      <c r="L896" t="n">
        <v>0</v>
      </c>
      <c r="M896" t="n">
        <v>0</v>
      </c>
      <c r="N896" t="n">
        <v>0</v>
      </c>
      <c r="O896" t="n">
        <v>0</v>
      </c>
      <c r="P896" t="n">
        <v>0</v>
      </c>
      <c r="Q896" t="n">
        <v>0</v>
      </c>
      <c r="R896" s="2" t="inlineStr"/>
    </row>
    <row r="897" ht="15" customHeight="1">
      <c r="A897" t="inlineStr">
        <is>
          <t>A 22643-2023</t>
        </is>
      </c>
      <c r="B897" s="1" t="n">
        <v>45071</v>
      </c>
      <c r="C897" s="1" t="n">
        <v>46000</v>
      </c>
      <c r="D897" t="inlineStr">
        <is>
          <t>KALMAR LÄN</t>
        </is>
      </c>
      <c r="E897" t="inlineStr">
        <is>
          <t>VIMMERBY</t>
        </is>
      </c>
      <c r="G897" t="n">
        <v>3.9</v>
      </c>
      <c r="H897" t="n">
        <v>0</v>
      </c>
      <c r="I897" t="n">
        <v>0</v>
      </c>
      <c r="J897" t="n">
        <v>0</v>
      </c>
      <c r="K897" t="n">
        <v>0</v>
      </c>
      <c r="L897" t="n">
        <v>0</v>
      </c>
      <c r="M897" t="n">
        <v>0</v>
      </c>
      <c r="N897" t="n">
        <v>0</v>
      </c>
      <c r="O897" t="n">
        <v>0</v>
      </c>
      <c r="P897" t="n">
        <v>0</v>
      </c>
      <c r="Q897" t="n">
        <v>0</v>
      </c>
      <c r="R897" s="2" t="inlineStr"/>
    </row>
    <row r="898" ht="15" customHeight="1">
      <c r="A898" t="inlineStr">
        <is>
          <t>A 18669-2025</t>
        </is>
      </c>
      <c r="B898" s="1" t="n">
        <v>45763.59436342592</v>
      </c>
      <c r="C898" s="1" t="n">
        <v>46000</v>
      </c>
      <c r="D898" t="inlineStr">
        <is>
          <t>KALMAR LÄN</t>
        </is>
      </c>
      <c r="E898" t="inlineStr">
        <is>
          <t>VIMMERBY</t>
        </is>
      </c>
      <c r="G898" t="n">
        <v>2.7</v>
      </c>
      <c r="H898" t="n">
        <v>0</v>
      </c>
      <c r="I898" t="n">
        <v>0</v>
      </c>
      <c r="J898" t="n">
        <v>0</v>
      </c>
      <c r="K898" t="n">
        <v>0</v>
      </c>
      <c r="L898" t="n">
        <v>0</v>
      </c>
      <c r="M898" t="n">
        <v>0</v>
      </c>
      <c r="N898" t="n">
        <v>0</v>
      </c>
      <c r="O898" t="n">
        <v>0</v>
      </c>
      <c r="P898" t="n">
        <v>0</v>
      </c>
      <c r="Q898" t="n">
        <v>0</v>
      </c>
      <c r="R898" s="2" t="inlineStr"/>
    </row>
    <row r="899" ht="15" customHeight="1">
      <c r="A899" t="inlineStr">
        <is>
          <t>A 38780-2021</t>
        </is>
      </c>
      <c r="B899" s="1" t="n">
        <v>44410</v>
      </c>
      <c r="C899" s="1" t="n">
        <v>46000</v>
      </c>
      <c r="D899" t="inlineStr">
        <is>
          <t>KALMAR LÄN</t>
        </is>
      </c>
      <c r="E899" t="inlineStr">
        <is>
          <t>VIMMERBY</t>
        </is>
      </c>
      <c r="G899" t="n">
        <v>9.699999999999999</v>
      </c>
      <c r="H899" t="n">
        <v>0</v>
      </c>
      <c r="I899" t="n">
        <v>0</v>
      </c>
      <c r="J899" t="n">
        <v>0</v>
      </c>
      <c r="K899" t="n">
        <v>0</v>
      </c>
      <c r="L899" t="n">
        <v>0</v>
      </c>
      <c r="M899" t="n">
        <v>0</v>
      </c>
      <c r="N899" t="n">
        <v>0</v>
      </c>
      <c r="O899" t="n">
        <v>0</v>
      </c>
      <c r="P899" t="n">
        <v>0</v>
      </c>
      <c r="Q899" t="n">
        <v>0</v>
      </c>
      <c r="R899" s="2" t="inlineStr"/>
    </row>
    <row r="900" ht="15" customHeight="1">
      <c r="A900" t="inlineStr">
        <is>
          <t>A 29020-2024</t>
        </is>
      </c>
      <c r="B900" s="1" t="n">
        <v>45481.58048611111</v>
      </c>
      <c r="C900" s="1" t="n">
        <v>46000</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30406-2023</t>
        </is>
      </c>
      <c r="B901" s="1" t="n">
        <v>45111.48787037037</v>
      </c>
      <c r="C901" s="1" t="n">
        <v>46000</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c r="A902" t="inlineStr">
        <is>
          <t>A 13817-2024</t>
        </is>
      </c>
      <c r="B902" s="1" t="n">
        <v>45391.41976851852</v>
      </c>
      <c r="C902" s="1" t="n">
        <v>46000</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2025-12-09T10:23:42Z</dcterms:created>
  <dcterms:modified xmlns:dcterms="http://purl.org/dc/terms/" xmlns:xsi="http://www.w3.org/2001/XMLSchema-instance" xsi:type="dcterms:W3CDTF">2025-12-09T10:23:43Z</dcterms:modified>
</cp:coreProperties>
</file>