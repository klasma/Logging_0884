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46107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46107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46107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46107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46107</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46107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46107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46107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15808-2025</t>
        </is>
      </c>
      <c r="B15" s="1" t="n">
        <v>45748</v>
      </c>
      <c r="C15" s="1" t="n">
        <v>46107</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55604-2025</t>
        </is>
      </c>
      <c r="B16" s="1" t="n">
        <v>45971</v>
      </c>
      <c r="C16" s="1" t="n">
        <v>46107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46107</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7040-2026</t>
        </is>
      </c>
      <c r="B18" s="1" t="n">
        <v>46057.69520833333</v>
      </c>
      <c r="C18" s="1" t="n">
        <v>46107</v>
      </c>
      <c r="D18" t="inlineStr">
        <is>
          <t>KALMAR LÄN</t>
        </is>
      </c>
      <c r="E18" t="inlineStr">
        <is>
          <t>VIMMERBY</t>
        </is>
      </c>
      <c r="G18" t="n">
        <v>2.7</v>
      </c>
      <c r="H18" t="n">
        <v>4</v>
      </c>
      <c r="I18" t="n">
        <v>0</v>
      </c>
      <c r="J18" t="n">
        <v>2</v>
      </c>
      <c r="K18" t="n">
        <v>1</v>
      </c>
      <c r="L18" t="n">
        <v>0</v>
      </c>
      <c r="M18" t="n">
        <v>0</v>
      </c>
      <c r="N18" t="n">
        <v>0</v>
      </c>
      <c r="O18" t="n">
        <v>3</v>
      </c>
      <c r="P18" t="n">
        <v>1</v>
      </c>
      <c r="Q18" t="n">
        <v>4</v>
      </c>
      <c r="R18" s="2" t="inlineStr">
        <is>
          <t>Knärot
Spillkråka
Talltita
Tjäder</t>
        </is>
      </c>
      <c r="S18">
        <f>HYPERLINK("https://klasma.github.io/Logging_0884/artfynd/A 7040-2026 artfynd.xlsx", "A 7040-2026")</f>
        <v/>
      </c>
      <c r="T18">
        <f>HYPERLINK("https://klasma.github.io/Logging_0884/kartor/A 7040-2026 karta.png", "A 7040-2026")</f>
        <v/>
      </c>
      <c r="U18">
        <f>HYPERLINK("https://klasma.github.io/Logging_0884/knärot/A 7040-2026 karta knärot.png", "A 7040-2026")</f>
        <v/>
      </c>
      <c r="V18">
        <f>HYPERLINK("https://klasma.github.io/Logging_0884/klagomål/A 7040-2026 FSC-klagomål.docx", "A 7040-2026")</f>
        <v/>
      </c>
      <c r="W18">
        <f>HYPERLINK("https://klasma.github.io/Logging_0884/klagomålsmail/A 7040-2026 FSC-klagomål mail.docx", "A 7040-2026")</f>
        <v/>
      </c>
      <c r="X18">
        <f>HYPERLINK("https://klasma.github.io/Logging_0884/tillsyn/A 7040-2026 tillsynsbegäran.docx", "A 7040-2026")</f>
        <v/>
      </c>
      <c r="Y18">
        <f>HYPERLINK("https://klasma.github.io/Logging_0884/tillsynsmail/A 7040-2026 tillsynsbegäran mail.docx", "A 7040-2026")</f>
        <v/>
      </c>
      <c r="Z18">
        <f>HYPERLINK("https://klasma.github.io/Logging_0884/fåglar/A 7040-2026 prioriterade fågelarter.docx", "A 7040-2026")</f>
        <v/>
      </c>
    </row>
    <row r="19" ht="15" customHeight="1">
      <c r="A19" t="inlineStr">
        <is>
          <t>A 37901-2022</t>
        </is>
      </c>
      <c r="B19" s="1" t="n">
        <v>44811</v>
      </c>
      <c r="C19" s="1" t="n">
        <v>46107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46107</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46107</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46107</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46107</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46107</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46107</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46107</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46107</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46107</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46107</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53787-2025</t>
        </is>
      </c>
      <c r="B30" s="1" t="n">
        <v>45960</v>
      </c>
      <c r="C30" s="1" t="n">
        <v>46107</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22396-2025</t>
        </is>
      </c>
      <c r="B31" s="1" t="n">
        <v>45786.52827546297</v>
      </c>
      <c r="C31" s="1" t="n">
        <v>46107</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19158-2023</t>
        </is>
      </c>
      <c r="B32" s="1" t="n">
        <v>45048</v>
      </c>
      <c r="C32" s="1" t="n">
        <v>46107</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22825-2023</t>
        </is>
      </c>
      <c r="B33" s="1" t="n">
        <v>45072</v>
      </c>
      <c r="C33" s="1" t="n">
        <v>46107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14426-2026</t>
        </is>
      </c>
      <c r="B34" s="1" t="n">
        <v>46100.46956018519</v>
      </c>
      <c r="C34" s="1" t="n">
        <v>46107</v>
      </c>
      <c r="D34" t="inlineStr">
        <is>
          <t>KALMAR LÄN</t>
        </is>
      </c>
      <c r="E34" t="inlineStr">
        <is>
          <t>VIMMERBY</t>
        </is>
      </c>
      <c r="F34" t="inlineStr">
        <is>
          <t>Kyrkan</t>
        </is>
      </c>
      <c r="G34" t="n">
        <v>8.6</v>
      </c>
      <c r="H34" t="n">
        <v>1</v>
      </c>
      <c r="I34" t="n">
        <v>0</v>
      </c>
      <c r="J34" t="n">
        <v>1</v>
      </c>
      <c r="K34" t="n">
        <v>1</v>
      </c>
      <c r="L34" t="n">
        <v>0</v>
      </c>
      <c r="M34" t="n">
        <v>0</v>
      </c>
      <c r="N34" t="n">
        <v>0</v>
      </c>
      <c r="O34" t="n">
        <v>2</v>
      </c>
      <c r="P34" t="n">
        <v>1</v>
      </c>
      <c r="Q34" t="n">
        <v>2</v>
      </c>
      <c r="R34" s="2" t="inlineStr">
        <is>
          <t>Knärot
Tallticka</t>
        </is>
      </c>
      <c r="S34">
        <f>HYPERLINK("https://klasma.github.io/Logging_0884/artfynd/A 14426-2026 artfynd.xlsx", "A 14426-2026")</f>
        <v/>
      </c>
      <c r="T34">
        <f>HYPERLINK("https://klasma.github.io/Logging_0884/kartor/A 14426-2026 karta.png", "A 14426-2026")</f>
        <v/>
      </c>
      <c r="U34">
        <f>HYPERLINK("https://klasma.github.io/Logging_0884/knärot/A 14426-2026 karta knärot.png", "A 14426-2026")</f>
        <v/>
      </c>
      <c r="V34">
        <f>HYPERLINK("https://klasma.github.io/Logging_0884/klagomål/A 14426-2026 FSC-klagomål.docx", "A 14426-2026")</f>
        <v/>
      </c>
      <c r="W34">
        <f>HYPERLINK("https://klasma.github.io/Logging_0884/klagomålsmail/A 14426-2026 FSC-klagomål mail.docx", "A 14426-2026")</f>
        <v/>
      </c>
      <c r="X34">
        <f>HYPERLINK("https://klasma.github.io/Logging_0884/tillsyn/A 14426-2026 tillsynsbegäran.docx", "A 14426-2026")</f>
        <v/>
      </c>
      <c r="Y34">
        <f>HYPERLINK("https://klasma.github.io/Logging_0884/tillsynsmail/A 14426-2026 tillsynsbegäran mail.docx", "A 14426-2026")</f>
        <v/>
      </c>
    </row>
    <row r="35" ht="15" customHeight="1">
      <c r="A35" t="inlineStr">
        <is>
          <t>A 14024-2023</t>
        </is>
      </c>
      <c r="B35" s="1" t="n">
        <v>45008.60878472222</v>
      </c>
      <c r="C35" s="1" t="n">
        <v>46107</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32396-2021</t>
        </is>
      </c>
      <c r="B36" s="1" t="n">
        <v>44371</v>
      </c>
      <c r="C36" s="1" t="n">
        <v>46107</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37930-2021</t>
        </is>
      </c>
      <c r="B37" s="1" t="n">
        <v>44403</v>
      </c>
      <c r="C37" s="1" t="n">
        <v>46107</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9067-2025</t>
        </is>
      </c>
      <c r="B38" s="1" t="n">
        <v>45713</v>
      </c>
      <c r="C38" s="1" t="n">
        <v>46107</v>
      </c>
      <c r="D38" t="inlineStr">
        <is>
          <t>KALMAR LÄN</t>
        </is>
      </c>
      <c r="E38" t="inlineStr">
        <is>
          <t>VIMMERBY</t>
        </is>
      </c>
      <c r="G38" t="n">
        <v>3.9</v>
      </c>
      <c r="H38" t="n">
        <v>0</v>
      </c>
      <c r="I38" t="n">
        <v>1</v>
      </c>
      <c r="J38" t="n">
        <v>0</v>
      </c>
      <c r="K38" t="n">
        <v>0</v>
      </c>
      <c r="L38" t="n">
        <v>0</v>
      </c>
      <c r="M38" t="n">
        <v>0</v>
      </c>
      <c r="N38" t="n">
        <v>0</v>
      </c>
      <c r="O38" t="n">
        <v>0</v>
      </c>
      <c r="P38" t="n">
        <v>0</v>
      </c>
      <c r="Q38" t="n">
        <v>1</v>
      </c>
      <c r="R38" s="2" t="inlineStr">
        <is>
          <t>Ögonpyrola</t>
        </is>
      </c>
      <c r="S38">
        <f>HYPERLINK("https://klasma.github.io/Logging_0884/artfynd/A 9067-2025 artfynd.xlsx", "A 9067-2025")</f>
        <v/>
      </c>
      <c r="T38">
        <f>HYPERLINK("https://klasma.github.io/Logging_0884/kartor/A 9067-2025 karta.png", "A 9067-2025")</f>
        <v/>
      </c>
      <c r="V38">
        <f>HYPERLINK("https://klasma.github.io/Logging_0884/klagomål/A 9067-2025 FSC-klagomål.docx", "A 9067-2025")</f>
        <v/>
      </c>
      <c r="W38">
        <f>HYPERLINK("https://klasma.github.io/Logging_0884/klagomålsmail/A 9067-2025 FSC-klagomål mail.docx", "A 9067-2025")</f>
        <v/>
      </c>
      <c r="X38">
        <f>HYPERLINK("https://klasma.github.io/Logging_0884/tillsyn/A 9067-2025 tillsynsbegäran.docx", "A 9067-2025")</f>
        <v/>
      </c>
      <c r="Y38">
        <f>HYPERLINK("https://klasma.github.io/Logging_0884/tillsynsmail/A 9067-2025 tillsynsbegäran mail.docx", "A 9067-2025")</f>
        <v/>
      </c>
    </row>
    <row r="39" ht="15" customHeight="1">
      <c r="A39" t="inlineStr">
        <is>
          <t>A 61860-2024</t>
        </is>
      </c>
      <c r="B39" s="1" t="n">
        <v>45649</v>
      </c>
      <c r="C39" s="1" t="n">
        <v>46107</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52301-2023</t>
        </is>
      </c>
      <c r="B40" s="1" t="n">
        <v>45224</v>
      </c>
      <c r="C40" s="1" t="n">
        <v>46107</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33436-2021</t>
        </is>
      </c>
      <c r="B41" s="1" t="n">
        <v>44377.61104166666</v>
      </c>
      <c r="C41" s="1" t="n">
        <v>46107</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53400-2025</t>
        </is>
      </c>
      <c r="B42" s="1" t="n">
        <v>45959.56684027778</v>
      </c>
      <c r="C42" s="1" t="n">
        <v>46107</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46107</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40083-2023</t>
        </is>
      </c>
      <c r="B44" s="1" t="n">
        <v>45168</v>
      </c>
      <c r="C44" s="1" t="n">
        <v>46107</v>
      </c>
      <c r="D44" t="inlineStr">
        <is>
          <t>KALMAR LÄN</t>
        </is>
      </c>
      <c r="E44" t="inlineStr">
        <is>
          <t>VIMMERBY</t>
        </is>
      </c>
      <c r="G44" t="n">
        <v>2.2</v>
      </c>
      <c r="H44" t="n">
        <v>1</v>
      </c>
      <c r="I44" t="n">
        <v>0</v>
      </c>
      <c r="J44" t="n">
        <v>0</v>
      </c>
      <c r="K44" t="n">
        <v>0</v>
      </c>
      <c r="L44" t="n">
        <v>0</v>
      </c>
      <c r="M44" t="n">
        <v>0</v>
      </c>
      <c r="N44" t="n">
        <v>0</v>
      </c>
      <c r="O44" t="n">
        <v>0</v>
      </c>
      <c r="P44" t="n">
        <v>0</v>
      </c>
      <c r="Q44" t="n">
        <v>1</v>
      </c>
      <c r="R44" s="2" t="inlineStr">
        <is>
          <t>Revlummer</t>
        </is>
      </c>
      <c r="S44">
        <f>HYPERLINK("https://klasma.github.io/Logging_0884/artfynd/A 40083-2023 artfynd.xlsx", "A 40083-2023")</f>
        <v/>
      </c>
      <c r="T44">
        <f>HYPERLINK("https://klasma.github.io/Logging_0884/kartor/A 40083-2023 karta.png", "A 40083-2023")</f>
        <v/>
      </c>
      <c r="V44">
        <f>HYPERLINK("https://klasma.github.io/Logging_0884/klagomål/A 40083-2023 FSC-klagomål.docx", "A 40083-2023")</f>
        <v/>
      </c>
      <c r="W44">
        <f>HYPERLINK("https://klasma.github.io/Logging_0884/klagomålsmail/A 40083-2023 FSC-klagomål mail.docx", "A 40083-2023")</f>
        <v/>
      </c>
      <c r="X44">
        <f>HYPERLINK("https://klasma.github.io/Logging_0884/tillsyn/A 40083-2023 tillsynsbegäran.docx", "A 40083-2023")</f>
        <v/>
      </c>
      <c r="Y44">
        <f>HYPERLINK("https://klasma.github.io/Logging_0884/tillsynsmail/A 40083-2023 tillsynsbegäran mail.docx", "A 40083-2023")</f>
        <v/>
      </c>
    </row>
    <row r="45" ht="15" customHeight="1">
      <c r="A45" t="inlineStr">
        <is>
          <t>A 40084-2023</t>
        </is>
      </c>
      <c r="B45" s="1" t="n">
        <v>45168</v>
      </c>
      <c r="C45" s="1" t="n">
        <v>46107</v>
      </c>
      <c r="D45" t="inlineStr">
        <is>
          <t>KALMAR LÄN</t>
        </is>
      </c>
      <c r="E45" t="inlineStr">
        <is>
          <t>VIMMERBY</t>
        </is>
      </c>
      <c r="G45" t="n">
        <v>1.3</v>
      </c>
      <c r="H45" t="n">
        <v>1</v>
      </c>
      <c r="I45" t="n">
        <v>0</v>
      </c>
      <c r="J45" t="n">
        <v>1</v>
      </c>
      <c r="K45" t="n">
        <v>0</v>
      </c>
      <c r="L45" t="n">
        <v>0</v>
      </c>
      <c r="M45" t="n">
        <v>0</v>
      </c>
      <c r="N45" t="n">
        <v>0</v>
      </c>
      <c r="O45" t="n">
        <v>1</v>
      </c>
      <c r="P45" t="n">
        <v>0</v>
      </c>
      <c r="Q45" t="n">
        <v>1</v>
      </c>
      <c r="R45" s="2" t="inlineStr">
        <is>
          <t>Entita</t>
        </is>
      </c>
      <c r="S45">
        <f>HYPERLINK("https://klasma.github.io/Logging_0884/artfynd/A 40084-2023 artfynd.xlsx", "A 40084-2023")</f>
        <v/>
      </c>
      <c r="T45">
        <f>HYPERLINK("https://klasma.github.io/Logging_0884/kartor/A 40084-2023 karta.png", "A 40084-2023")</f>
        <v/>
      </c>
      <c r="V45">
        <f>HYPERLINK("https://klasma.github.io/Logging_0884/klagomål/A 40084-2023 FSC-klagomål.docx", "A 40084-2023")</f>
        <v/>
      </c>
      <c r="W45">
        <f>HYPERLINK("https://klasma.github.io/Logging_0884/klagomålsmail/A 40084-2023 FSC-klagomål mail.docx", "A 40084-2023")</f>
        <v/>
      </c>
      <c r="X45">
        <f>HYPERLINK("https://klasma.github.io/Logging_0884/tillsyn/A 40084-2023 tillsynsbegäran.docx", "A 40084-2023")</f>
        <v/>
      </c>
      <c r="Y45">
        <f>HYPERLINK("https://klasma.github.io/Logging_0884/tillsynsmail/A 40084-2023 tillsynsbegäran mail.docx", "A 40084-2023")</f>
        <v/>
      </c>
      <c r="Z45">
        <f>HYPERLINK("https://klasma.github.io/Logging_0884/fåglar/A 40084-2023 prioriterade fågelarter.docx", "A 40084-2023")</f>
        <v/>
      </c>
    </row>
    <row r="46" ht="15" customHeight="1">
      <c r="A46" t="inlineStr">
        <is>
          <t>A 55384-2025</t>
        </is>
      </c>
      <c r="B46" s="1" t="n">
        <v>45971.43178240741</v>
      </c>
      <c r="C46" s="1" t="n">
        <v>46107</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46107</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1201-2025</t>
        </is>
      </c>
      <c r="B48" s="1" t="n">
        <v>45667</v>
      </c>
      <c r="C48" s="1" t="n">
        <v>46107</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1201-2025 artfynd.xlsx", "A 1201-2025")</f>
        <v/>
      </c>
      <c r="T48">
        <f>HYPERLINK("https://klasma.github.io/Logging_0884/kartor/A 1201-2025 karta.png", "A 1201-2025")</f>
        <v/>
      </c>
      <c r="U48">
        <f>HYPERLINK("https://klasma.github.io/Logging_0884/knärot/A 1201-2025 karta knärot.png", "A 1201-2025")</f>
        <v/>
      </c>
      <c r="V48">
        <f>HYPERLINK("https://klasma.github.io/Logging_0884/klagomål/A 1201-2025 FSC-klagomål.docx", "A 1201-2025")</f>
        <v/>
      </c>
      <c r="W48">
        <f>HYPERLINK("https://klasma.github.io/Logging_0884/klagomålsmail/A 1201-2025 FSC-klagomål mail.docx", "A 1201-2025")</f>
        <v/>
      </c>
      <c r="X48">
        <f>HYPERLINK("https://klasma.github.io/Logging_0884/tillsyn/A 1201-2025 tillsynsbegäran.docx", "A 1201-2025")</f>
        <v/>
      </c>
      <c r="Y48">
        <f>HYPERLINK("https://klasma.github.io/Logging_0884/tillsynsmail/A 1201-2025 tillsynsbegäran mail.docx", "A 1201-2025")</f>
        <v/>
      </c>
    </row>
    <row r="49" ht="15" customHeight="1">
      <c r="A49" t="inlineStr">
        <is>
          <t>A 29183-2025</t>
        </is>
      </c>
      <c r="B49" s="1" t="n">
        <v>45821</v>
      </c>
      <c r="C49" s="1" t="n">
        <v>46107</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23602-2023</t>
        </is>
      </c>
      <c r="B50" s="1" t="n">
        <v>45077</v>
      </c>
      <c r="C50" s="1" t="n">
        <v>46107</v>
      </c>
      <c r="D50" t="inlineStr">
        <is>
          <t>KALMAR LÄN</t>
        </is>
      </c>
      <c r="E50" t="inlineStr">
        <is>
          <t>VIMMERBY</t>
        </is>
      </c>
      <c r="G50" t="n">
        <v>1.6</v>
      </c>
      <c r="H50" t="n">
        <v>0</v>
      </c>
      <c r="I50" t="n">
        <v>0</v>
      </c>
      <c r="J50" t="n">
        <v>1</v>
      </c>
      <c r="K50" t="n">
        <v>0</v>
      </c>
      <c r="L50" t="n">
        <v>0</v>
      </c>
      <c r="M50" t="n">
        <v>0</v>
      </c>
      <c r="N50" t="n">
        <v>0</v>
      </c>
      <c r="O50" t="n">
        <v>1</v>
      </c>
      <c r="P50" t="n">
        <v>0</v>
      </c>
      <c r="Q50" t="n">
        <v>1</v>
      </c>
      <c r="R50" s="2" t="inlineStr">
        <is>
          <t>Vedtrappmossa</t>
        </is>
      </c>
      <c r="S50">
        <f>HYPERLINK("https://klasma.github.io/Logging_0884/artfynd/A 23602-2023 artfynd.xlsx", "A 23602-2023")</f>
        <v/>
      </c>
      <c r="T50">
        <f>HYPERLINK("https://klasma.github.io/Logging_0884/kartor/A 23602-2023 karta.png", "A 23602-2023")</f>
        <v/>
      </c>
      <c r="V50">
        <f>HYPERLINK("https://klasma.github.io/Logging_0884/klagomål/A 23602-2023 FSC-klagomål.docx", "A 23602-2023")</f>
        <v/>
      </c>
      <c r="W50">
        <f>HYPERLINK("https://klasma.github.io/Logging_0884/klagomålsmail/A 23602-2023 FSC-klagomål mail.docx", "A 23602-2023")</f>
        <v/>
      </c>
      <c r="X50">
        <f>HYPERLINK("https://klasma.github.io/Logging_0884/tillsyn/A 23602-2023 tillsynsbegäran.docx", "A 23602-2023")</f>
        <v/>
      </c>
      <c r="Y50">
        <f>HYPERLINK("https://klasma.github.io/Logging_0884/tillsynsmail/A 23602-2023 tillsynsbegäran mail.docx", "A 23602-2023")</f>
        <v/>
      </c>
    </row>
    <row r="51" ht="15" customHeight="1">
      <c r="A51" t="inlineStr">
        <is>
          <t>A 15122-2024</t>
        </is>
      </c>
      <c r="B51" s="1" t="n">
        <v>45399.71412037037</v>
      </c>
      <c r="C51" s="1" t="n">
        <v>46107</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32985-2023</t>
        </is>
      </c>
      <c r="B52" s="1" t="n">
        <v>45125</v>
      </c>
      <c r="C52" s="1" t="n">
        <v>46107</v>
      </c>
      <c r="D52" t="inlineStr">
        <is>
          <t>KALMAR LÄN</t>
        </is>
      </c>
      <c r="E52" t="inlineStr">
        <is>
          <t>VIMMERBY</t>
        </is>
      </c>
      <c r="G52" t="n">
        <v>1.9</v>
      </c>
      <c r="H52" t="n">
        <v>0</v>
      </c>
      <c r="I52" t="n">
        <v>0</v>
      </c>
      <c r="J52" t="n">
        <v>0</v>
      </c>
      <c r="K52" t="n">
        <v>0</v>
      </c>
      <c r="L52" t="n">
        <v>1</v>
      </c>
      <c r="M52" t="n">
        <v>0</v>
      </c>
      <c r="N52" t="n">
        <v>0</v>
      </c>
      <c r="O52" t="n">
        <v>1</v>
      </c>
      <c r="P52" t="n">
        <v>1</v>
      </c>
      <c r="Q52" t="n">
        <v>1</v>
      </c>
      <c r="R52" s="2" t="inlineStr">
        <is>
          <t>Ryl</t>
        </is>
      </c>
      <c r="S52">
        <f>HYPERLINK("https://klasma.github.io/Logging_0884/artfynd/A 32985-2023 artfynd.xlsx", "A 32985-2023")</f>
        <v/>
      </c>
      <c r="T52">
        <f>HYPERLINK("https://klasma.github.io/Logging_0884/kartor/A 32985-2023 karta.png", "A 32985-2023")</f>
        <v/>
      </c>
      <c r="V52">
        <f>HYPERLINK("https://klasma.github.io/Logging_0884/klagomål/A 32985-2023 FSC-klagomål.docx", "A 32985-2023")</f>
        <v/>
      </c>
      <c r="W52">
        <f>HYPERLINK("https://klasma.github.io/Logging_0884/klagomålsmail/A 32985-2023 FSC-klagomål mail.docx", "A 32985-2023")</f>
        <v/>
      </c>
      <c r="X52">
        <f>HYPERLINK("https://klasma.github.io/Logging_0884/tillsyn/A 32985-2023 tillsynsbegäran.docx", "A 32985-2023")</f>
        <v/>
      </c>
      <c r="Y52">
        <f>HYPERLINK("https://klasma.github.io/Logging_0884/tillsynsmail/A 32985-2023 tillsynsbegäran mail.docx", "A 32985-2023")</f>
        <v/>
      </c>
    </row>
    <row r="53" ht="15" customHeight="1">
      <c r="A53" t="inlineStr">
        <is>
          <t>A 28852-2023</t>
        </is>
      </c>
      <c r="B53" s="1" t="n">
        <v>45104</v>
      </c>
      <c r="C53" s="1" t="n">
        <v>46107</v>
      </c>
      <c r="D53" t="inlineStr">
        <is>
          <t>KALMAR LÄN</t>
        </is>
      </c>
      <c r="E53" t="inlineStr">
        <is>
          <t>VIMMERBY</t>
        </is>
      </c>
      <c r="G53" t="n">
        <v>0.7</v>
      </c>
      <c r="H53" t="n">
        <v>0</v>
      </c>
      <c r="I53" t="n">
        <v>1</v>
      </c>
      <c r="J53" t="n">
        <v>0</v>
      </c>
      <c r="K53" t="n">
        <v>0</v>
      </c>
      <c r="L53" t="n">
        <v>0</v>
      </c>
      <c r="M53" t="n">
        <v>0</v>
      </c>
      <c r="N53" t="n">
        <v>0</v>
      </c>
      <c r="O53" t="n">
        <v>0</v>
      </c>
      <c r="P53" t="n">
        <v>0</v>
      </c>
      <c r="Q53" t="n">
        <v>1</v>
      </c>
      <c r="R53" s="2" t="inlineStr">
        <is>
          <t>Tibast</t>
        </is>
      </c>
      <c r="S53">
        <f>HYPERLINK("https://klasma.github.io/Logging_0884/artfynd/A 28852-2023 artfynd.xlsx", "A 28852-2023")</f>
        <v/>
      </c>
      <c r="T53">
        <f>HYPERLINK("https://klasma.github.io/Logging_0884/kartor/A 28852-2023 karta.png", "A 28852-2023")</f>
        <v/>
      </c>
      <c r="V53">
        <f>HYPERLINK("https://klasma.github.io/Logging_0884/klagomål/A 28852-2023 FSC-klagomål.docx", "A 28852-2023")</f>
        <v/>
      </c>
      <c r="W53">
        <f>HYPERLINK("https://klasma.github.io/Logging_0884/klagomålsmail/A 28852-2023 FSC-klagomål mail.docx", "A 28852-2023")</f>
        <v/>
      </c>
      <c r="X53">
        <f>HYPERLINK("https://klasma.github.io/Logging_0884/tillsyn/A 28852-2023 tillsynsbegäran.docx", "A 28852-2023")</f>
        <v/>
      </c>
      <c r="Y53">
        <f>HYPERLINK("https://klasma.github.io/Logging_0884/tillsynsmail/A 28852-2023 tillsynsbegäran mail.docx", "A 28852-2023")</f>
        <v/>
      </c>
    </row>
    <row r="54" ht="15" customHeight="1">
      <c r="A54" t="inlineStr">
        <is>
          <t>A 44515-2024</t>
        </is>
      </c>
      <c r="B54" s="1" t="n">
        <v>45574.42767361111</v>
      </c>
      <c r="C54" s="1" t="n">
        <v>46107</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46107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46107</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46107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46107</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46107</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46107</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46107</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46107</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46107</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46107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46107</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46107</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46107</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46107</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46107</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46107</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46107</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46107</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46107</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46107</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46107</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46107</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46107</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46107</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46107</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46107</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46107</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46107</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46107</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46107</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46107</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46107</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46107</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46107</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46107</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46107</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46107</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46107</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16290-2022</t>
        </is>
      </c>
      <c r="B96" s="1" t="n">
        <v>44670</v>
      </c>
      <c r="C96" s="1" t="n">
        <v>46107</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35531-2021</t>
        </is>
      </c>
      <c r="B97" s="1" t="n">
        <v>44385</v>
      </c>
      <c r="C97" s="1" t="n">
        <v>46107</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46107</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17869-2021</t>
        </is>
      </c>
      <c r="B99" s="1" t="n">
        <v>44301.36048611111</v>
      </c>
      <c r="C99" s="1" t="n">
        <v>46107</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25049-2022</t>
        </is>
      </c>
      <c r="B100" s="1" t="n">
        <v>44729.28226851852</v>
      </c>
      <c r="C100" s="1" t="n">
        <v>46107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24723-2021</t>
        </is>
      </c>
      <c r="B101" s="1" t="n">
        <v>44340.54472222222</v>
      </c>
      <c r="C101" s="1" t="n">
        <v>46107</v>
      </c>
      <c r="D101" t="inlineStr">
        <is>
          <t>KALMAR LÄN</t>
        </is>
      </c>
      <c r="E101" t="inlineStr">
        <is>
          <t>VIMMERBY</t>
        </is>
      </c>
      <c r="G101" t="n">
        <v>3.3</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46107</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46107</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32386-2021</t>
        </is>
      </c>
      <c r="B104" s="1" t="n">
        <v>44371.62743055556</v>
      </c>
      <c r="C104" s="1" t="n">
        <v>46107</v>
      </c>
      <c r="D104" t="inlineStr">
        <is>
          <t>KALMAR LÄN</t>
        </is>
      </c>
      <c r="E104" t="inlineStr">
        <is>
          <t>VIMMERBY</t>
        </is>
      </c>
      <c r="G104" t="n">
        <v>1.6</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46107</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46107</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35633-2021</t>
        </is>
      </c>
      <c r="B107" s="1" t="n">
        <v>44386.40783564815</v>
      </c>
      <c r="C107" s="1" t="n">
        <v>46107</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56343-2021</t>
        </is>
      </c>
      <c r="B108" s="1" t="n">
        <v>44480</v>
      </c>
      <c r="C108" s="1" t="n">
        <v>46107</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24369-2021</t>
        </is>
      </c>
      <c r="B109" s="1" t="n">
        <v>44337</v>
      </c>
      <c r="C109" s="1" t="n">
        <v>46107</v>
      </c>
      <c r="D109" t="inlineStr">
        <is>
          <t>KALMAR LÄN</t>
        </is>
      </c>
      <c r="E109" t="inlineStr">
        <is>
          <t>VIMMERBY</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51972-2021</t>
        </is>
      </c>
      <c r="B110" s="1" t="n">
        <v>44463.29439814815</v>
      </c>
      <c r="C110" s="1" t="n">
        <v>46107</v>
      </c>
      <c r="D110" t="inlineStr">
        <is>
          <t>KALMAR LÄN</t>
        </is>
      </c>
      <c r="E110" t="inlineStr">
        <is>
          <t>VIMMERBY</t>
        </is>
      </c>
      <c r="G110" t="n">
        <v>4.5</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46107</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33690-2022</t>
        </is>
      </c>
      <c r="B112" s="1" t="n">
        <v>44789</v>
      </c>
      <c r="C112" s="1" t="n">
        <v>46107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35198-2021</t>
        </is>
      </c>
      <c r="B113" s="1" t="n">
        <v>44377</v>
      </c>
      <c r="C113" s="1" t="n">
        <v>46107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34036-2021</t>
        </is>
      </c>
      <c r="B114" s="1" t="n">
        <v>44379</v>
      </c>
      <c r="C114" s="1" t="n">
        <v>46107</v>
      </c>
      <c r="D114" t="inlineStr">
        <is>
          <t>KALMAR LÄN</t>
        </is>
      </c>
      <c r="E114" t="inlineStr">
        <is>
          <t>VIMMERBY</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63244-2021</t>
        </is>
      </c>
      <c r="B115" s="1" t="n">
        <v>44508</v>
      </c>
      <c r="C115" s="1" t="n">
        <v>46107</v>
      </c>
      <c r="D115" t="inlineStr">
        <is>
          <t>KALMAR LÄN</t>
        </is>
      </c>
      <c r="E115" t="inlineStr">
        <is>
          <t>VIMMERBY</t>
        </is>
      </c>
      <c r="F115" t="inlineStr">
        <is>
          <t>Övriga statliga verk och myndigheter</t>
        </is>
      </c>
      <c r="G115" t="n">
        <v>0.6</v>
      </c>
      <c r="H115" t="n">
        <v>0</v>
      </c>
      <c r="I115" t="n">
        <v>0</v>
      </c>
      <c r="J115" t="n">
        <v>0</v>
      </c>
      <c r="K115" t="n">
        <v>0</v>
      </c>
      <c r="L115" t="n">
        <v>0</v>
      </c>
      <c r="M115" t="n">
        <v>0</v>
      </c>
      <c r="N115" t="n">
        <v>0</v>
      </c>
      <c r="O115" t="n">
        <v>0</v>
      </c>
      <c r="P115" t="n">
        <v>0</v>
      </c>
      <c r="Q115" t="n">
        <v>0</v>
      </c>
      <c r="R115" s="2" t="inlineStr"/>
    </row>
    <row r="116" ht="15" customHeight="1">
      <c r="A116" t="inlineStr">
        <is>
          <t>A 11814-2022</t>
        </is>
      </c>
      <c r="B116" s="1" t="n">
        <v>44634.69703703704</v>
      </c>
      <c r="C116" s="1" t="n">
        <v>46107</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56385-2021</t>
        </is>
      </c>
      <c r="B117" s="1" t="n">
        <v>44480</v>
      </c>
      <c r="C117" s="1" t="n">
        <v>46107</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24738-2021</t>
        </is>
      </c>
      <c r="B118" s="1" t="n">
        <v>44340.58002314815</v>
      </c>
      <c r="C118" s="1" t="n">
        <v>46107</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31053-2022</t>
        </is>
      </c>
      <c r="B119" s="1" t="n">
        <v>44769.45422453704</v>
      </c>
      <c r="C119" s="1" t="n">
        <v>46107</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8454-2022</t>
        </is>
      </c>
      <c r="B120" s="1" t="n">
        <v>44612.86762731482</v>
      </c>
      <c r="C120" s="1" t="n">
        <v>46107</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65887-2021</t>
        </is>
      </c>
      <c r="B121" s="1" t="n">
        <v>44517</v>
      </c>
      <c r="C121" s="1" t="n">
        <v>46107</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39959-2022</t>
        </is>
      </c>
      <c r="B122" s="1" t="n">
        <v>44819</v>
      </c>
      <c r="C122" s="1" t="n">
        <v>46107</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24999-2021</t>
        </is>
      </c>
      <c r="B123" s="1" t="n">
        <v>44341</v>
      </c>
      <c r="C123" s="1" t="n">
        <v>46107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47208-2021</t>
        </is>
      </c>
      <c r="B124" s="1" t="n">
        <v>44447.34237268518</v>
      </c>
      <c r="C124" s="1" t="n">
        <v>46107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7917-2022</t>
        </is>
      </c>
      <c r="B125" s="1" t="n">
        <v>44608</v>
      </c>
      <c r="C125" s="1" t="n">
        <v>46107</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16705-2021</t>
        </is>
      </c>
      <c r="B126" s="1" t="n">
        <v>44294</v>
      </c>
      <c r="C126" s="1" t="n">
        <v>46107</v>
      </c>
      <c r="D126" t="inlineStr">
        <is>
          <t>KALMAR LÄN</t>
        </is>
      </c>
      <c r="E126" t="inlineStr">
        <is>
          <t>VIMMERBY</t>
        </is>
      </c>
      <c r="G126" t="n">
        <v>2.6</v>
      </c>
      <c r="H126" t="n">
        <v>0</v>
      </c>
      <c r="I126" t="n">
        <v>0</v>
      </c>
      <c r="J126" t="n">
        <v>0</v>
      </c>
      <c r="K126" t="n">
        <v>0</v>
      </c>
      <c r="L126" t="n">
        <v>0</v>
      </c>
      <c r="M126" t="n">
        <v>0</v>
      </c>
      <c r="N126" t="n">
        <v>0</v>
      </c>
      <c r="O126" t="n">
        <v>0</v>
      </c>
      <c r="P126" t="n">
        <v>0</v>
      </c>
      <c r="Q126" t="n">
        <v>0</v>
      </c>
      <c r="R126" s="2" t="inlineStr"/>
    </row>
    <row r="127" ht="15" customHeight="1">
      <c r="A127" t="inlineStr">
        <is>
          <t>A 56389-2021</t>
        </is>
      </c>
      <c r="B127" s="1" t="n">
        <v>44480</v>
      </c>
      <c r="C127" s="1" t="n">
        <v>46107</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46107</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15533-2022</t>
        </is>
      </c>
      <c r="B129" s="1" t="n">
        <v>44662</v>
      </c>
      <c r="C129" s="1" t="n">
        <v>46107</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165-2022</t>
        </is>
      </c>
      <c r="B130" s="1" t="n">
        <v>44564</v>
      </c>
      <c r="C130" s="1" t="n">
        <v>46107</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34040-2021</t>
        </is>
      </c>
      <c r="B131" s="1" t="n">
        <v>44379</v>
      </c>
      <c r="C131" s="1" t="n">
        <v>46107</v>
      </c>
      <c r="D131" t="inlineStr">
        <is>
          <t>KALMAR LÄN</t>
        </is>
      </c>
      <c r="E131" t="inlineStr">
        <is>
          <t>VIMMERBY</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15200-2021</t>
        </is>
      </c>
      <c r="B132" s="1" t="n">
        <v>44284.44574074074</v>
      </c>
      <c r="C132" s="1" t="n">
        <v>46107</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12107-2022</t>
        </is>
      </c>
      <c r="B133" s="1" t="n">
        <v>44636</v>
      </c>
      <c r="C133" s="1" t="n">
        <v>46107</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39225-2022</t>
        </is>
      </c>
      <c r="B134" s="1" t="n">
        <v>44817.57988425926</v>
      </c>
      <c r="C134" s="1" t="n">
        <v>46107</v>
      </c>
      <c r="D134" t="inlineStr">
        <is>
          <t>KALMAR LÄN</t>
        </is>
      </c>
      <c r="E134" t="inlineStr">
        <is>
          <t>VIMMERBY</t>
        </is>
      </c>
      <c r="G134" t="n">
        <v>2.2</v>
      </c>
      <c r="H134" t="n">
        <v>0</v>
      </c>
      <c r="I134" t="n">
        <v>0</v>
      </c>
      <c r="J134" t="n">
        <v>0</v>
      </c>
      <c r="K134" t="n">
        <v>0</v>
      </c>
      <c r="L134" t="n">
        <v>0</v>
      </c>
      <c r="M134" t="n">
        <v>0</v>
      </c>
      <c r="N134" t="n">
        <v>0</v>
      </c>
      <c r="O134" t="n">
        <v>0</v>
      </c>
      <c r="P134" t="n">
        <v>0</v>
      </c>
      <c r="Q134" t="n">
        <v>0</v>
      </c>
      <c r="R134" s="2" t="inlineStr"/>
    </row>
    <row r="135" ht="15" customHeight="1">
      <c r="A135" t="inlineStr">
        <is>
          <t>A 16602-2021</t>
        </is>
      </c>
      <c r="B135" s="1" t="n">
        <v>44294</v>
      </c>
      <c r="C135" s="1" t="n">
        <v>46107</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16607-2021</t>
        </is>
      </c>
      <c r="B136" s="1" t="n">
        <v>44294</v>
      </c>
      <c r="C136" s="1" t="n">
        <v>46107</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17029-2022</t>
        </is>
      </c>
      <c r="B137" s="1" t="n">
        <v>44676.85248842592</v>
      </c>
      <c r="C137" s="1" t="n">
        <v>46107</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18356-2021</t>
        </is>
      </c>
      <c r="B138" s="1" t="n">
        <v>44305</v>
      </c>
      <c r="C138" s="1" t="n">
        <v>46107</v>
      </c>
      <c r="D138" t="inlineStr">
        <is>
          <t>KALMAR LÄN</t>
        </is>
      </c>
      <c r="E138" t="inlineStr">
        <is>
          <t>VIMMERBY</t>
        </is>
      </c>
      <c r="G138" t="n">
        <v>3.4</v>
      </c>
      <c r="H138" t="n">
        <v>0</v>
      </c>
      <c r="I138" t="n">
        <v>0</v>
      </c>
      <c r="J138" t="n">
        <v>0</v>
      </c>
      <c r="K138" t="n">
        <v>0</v>
      </c>
      <c r="L138" t="n">
        <v>0</v>
      </c>
      <c r="M138" t="n">
        <v>0</v>
      </c>
      <c r="N138" t="n">
        <v>0</v>
      </c>
      <c r="O138" t="n">
        <v>0</v>
      </c>
      <c r="P138" t="n">
        <v>0</v>
      </c>
      <c r="Q138" t="n">
        <v>0</v>
      </c>
      <c r="R138" s="2" t="inlineStr"/>
    </row>
    <row r="139" ht="15" customHeight="1">
      <c r="A139" t="inlineStr">
        <is>
          <t>A 7167-2022</t>
        </is>
      </c>
      <c r="B139" s="1" t="n">
        <v>44604</v>
      </c>
      <c r="C139" s="1" t="n">
        <v>46107</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46107</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55674-2021</t>
        </is>
      </c>
      <c r="B141" s="1" t="n">
        <v>44476</v>
      </c>
      <c r="C141" s="1" t="n">
        <v>46107</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40077-2021</t>
        </is>
      </c>
      <c r="B142" s="1" t="n">
        <v>44418</v>
      </c>
      <c r="C142" s="1" t="n">
        <v>46107</v>
      </c>
      <c r="D142" t="inlineStr">
        <is>
          <t>KALMAR LÄN</t>
        </is>
      </c>
      <c r="E142" t="inlineStr">
        <is>
          <t>VIMMERBY</t>
        </is>
      </c>
      <c r="G142" t="n">
        <v>2.9</v>
      </c>
      <c r="H142" t="n">
        <v>0</v>
      </c>
      <c r="I142" t="n">
        <v>0</v>
      </c>
      <c r="J142" t="n">
        <v>0</v>
      </c>
      <c r="K142" t="n">
        <v>0</v>
      </c>
      <c r="L142" t="n">
        <v>0</v>
      </c>
      <c r="M142" t="n">
        <v>0</v>
      </c>
      <c r="N142" t="n">
        <v>0</v>
      </c>
      <c r="O142" t="n">
        <v>0</v>
      </c>
      <c r="P142" t="n">
        <v>0</v>
      </c>
      <c r="Q142" t="n">
        <v>0</v>
      </c>
      <c r="R142" s="2" t="inlineStr"/>
    </row>
    <row r="143" ht="15" customHeight="1">
      <c r="A143" t="inlineStr">
        <is>
          <t>A 47769-2022</t>
        </is>
      </c>
      <c r="B143" s="1" t="n">
        <v>44854</v>
      </c>
      <c r="C143" s="1" t="n">
        <v>46107</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46107</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46107</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54787-2023</t>
        </is>
      </c>
      <c r="B146" s="1" t="n">
        <v>45236</v>
      </c>
      <c r="C146" s="1" t="n">
        <v>46107</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15715-2022</t>
        </is>
      </c>
      <c r="B147" s="1" t="n">
        <v>44663</v>
      </c>
      <c r="C147" s="1" t="n">
        <v>46107</v>
      </c>
      <c r="D147" t="inlineStr">
        <is>
          <t>KALMAR LÄN</t>
        </is>
      </c>
      <c r="E147" t="inlineStr">
        <is>
          <t>VIMMERBY</t>
        </is>
      </c>
      <c r="G147" t="n">
        <v>2.3</v>
      </c>
      <c r="H147" t="n">
        <v>0</v>
      </c>
      <c r="I147" t="n">
        <v>0</v>
      </c>
      <c r="J147" t="n">
        <v>0</v>
      </c>
      <c r="K147" t="n">
        <v>0</v>
      </c>
      <c r="L147" t="n">
        <v>0</v>
      </c>
      <c r="M147" t="n">
        <v>0</v>
      </c>
      <c r="N147" t="n">
        <v>0</v>
      </c>
      <c r="O147" t="n">
        <v>0</v>
      </c>
      <c r="P147" t="n">
        <v>0</v>
      </c>
      <c r="Q147" t="n">
        <v>0</v>
      </c>
      <c r="R147" s="2" t="inlineStr"/>
    </row>
    <row r="148" ht="15" customHeight="1">
      <c r="A148" t="inlineStr">
        <is>
          <t>A 35316-2021</t>
        </is>
      </c>
      <c r="B148" s="1" t="n">
        <v>44384</v>
      </c>
      <c r="C148" s="1" t="n">
        <v>46107</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33831-2022</t>
        </is>
      </c>
      <c r="B149" s="1" t="n">
        <v>44790.48503472222</v>
      </c>
      <c r="C149" s="1" t="n">
        <v>46107</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47708-2022</t>
        </is>
      </c>
      <c r="B150" s="1" t="n">
        <v>44854.59157407407</v>
      </c>
      <c r="C150" s="1" t="n">
        <v>46107</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32603-2021</t>
        </is>
      </c>
      <c r="B151" s="1" t="n">
        <v>44375.38789351852</v>
      </c>
      <c r="C151" s="1" t="n">
        <v>46107</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43774-2023</t>
        </is>
      </c>
      <c r="B152" s="1" t="n">
        <v>45187</v>
      </c>
      <c r="C152" s="1" t="n">
        <v>46107</v>
      </c>
      <c r="D152" t="inlineStr">
        <is>
          <t>KALMAR LÄN</t>
        </is>
      </c>
      <c r="E152" t="inlineStr">
        <is>
          <t>VIMMERBY</t>
        </is>
      </c>
      <c r="G152" t="n">
        <v>3.4</v>
      </c>
      <c r="H152" t="n">
        <v>0</v>
      </c>
      <c r="I152" t="n">
        <v>0</v>
      </c>
      <c r="J152" t="n">
        <v>0</v>
      </c>
      <c r="K152" t="n">
        <v>0</v>
      </c>
      <c r="L152" t="n">
        <v>0</v>
      </c>
      <c r="M152" t="n">
        <v>0</v>
      </c>
      <c r="N152" t="n">
        <v>0</v>
      </c>
      <c r="O152" t="n">
        <v>0</v>
      </c>
      <c r="P152" t="n">
        <v>0</v>
      </c>
      <c r="Q152" t="n">
        <v>0</v>
      </c>
      <c r="R152" s="2" t="inlineStr"/>
    </row>
    <row r="153" ht="15" customHeight="1">
      <c r="A153" t="inlineStr">
        <is>
          <t>A 43705-2023</t>
        </is>
      </c>
      <c r="B153" s="1" t="n">
        <v>45187.42854166667</v>
      </c>
      <c r="C153" s="1" t="n">
        <v>46107</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7932-2025</t>
        </is>
      </c>
      <c r="B154" s="1" t="n">
        <v>45707.3793287037</v>
      </c>
      <c r="C154" s="1" t="n">
        <v>46107</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9918-2022</t>
        </is>
      </c>
      <c r="B155" s="1" t="n">
        <v>44620</v>
      </c>
      <c r="C155" s="1" t="n">
        <v>46107</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36117-2021</t>
        </is>
      </c>
      <c r="B156" s="1" t="n">
        <v>44386</v>
      </c>
      <c r="C156" s="1" t="n">
        <v>46107</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13532-2025</t>
        </is>
      </c>
      <c r="B157" s="1" t="n">
        <v>45736.50743055555</v>
      </c>
      <c r="C157" s="1" t="n">
        <v>46107</v>
      </c>
      <c r="D157" t="inlineStr">
        <is>
          <t>KALMAR LÄN</t>
        </is>
      </c>
      <c r="E157" t="inlineStr">
        <is>
          <t>VIMMERBY</t>
        </is>
      </c>
      <c r="G157" t="n">
        <v>3.6</v>
      </c>
      <c r="H157" t="n">
        <v>0</v>
      </c>
      <c r="I157" t="n">
        <v>0</v>
      </c>
      <c r="J157" t="n">
        <v>0</v>
      </c>
      <c r="K157" t="n">
        <v>0</v>
      </c>
      <c r="L157" t="n">
        <v>0</v>
      </c>
      <c r="M157" t="n">
        <v>0</v>
      </c>
      <c r="N157" t="n">
        <v>0</v>
      </c>
      <c r="O157" t="n">
        <v>0</v>
      </c>
      <c r="P157" t="n">
        <v>0</v>
      </c>
      <c r="Q157" t="n">
        <v>0</v>
      </c>
      <c r="R157" s="2" t="inlineStr"/>
    </row>
    <row r="158" ht="15" customHeight="1">
      <c r="A158" t="inlineStr">
        <is>
          <t>A 42521-2021</t>
        </is>
      </c>
      <c r="B158" s="1" t="n">
        <v>44427</v>
      </c>
      <c r="C158" s="1" t="n">
        <v>46107</v>
      </c>
      <c r="D158" t="inlineStr">
        <is>
          <t>KALMAR LÄN</t>
        </is>
      </c>
      <c r="E158" t="inlineStr">
        <is>
          <t>VIMMERBY</t>
        </is>
      </c>
      <c r="G158" t="n">
        <v>5.4</v>
      </c>
      <c r="H158" t="n">
        <v>0</v>
      </c>
      <c r="I158" t="n">
        <v>0</v>
      </c>
      <c r="J158" t="n">
        <v>0</v>
      </c>
      <c r="K158" t="n">
        <v>0</v>
      </c>
      <c r="L158" t="n">
        <v>0</v>
      </c>
      <c r="M158" t="n">
        <v>0</v>
      </c>
      <c r="N158" t="n">
        <v>0</v>
      </c>
      <c r="O158" t="n">
        <v>0</v>
      </c>
      <c r="P158" t="n">
        <v>0</v>
      </c>
      <c r="Q158" t="n">
        <v>0</v>
      </c>
      <c r="R158" s="2" t="inlineStr"/>
    </row>
    <row r="159" ht="15" customHeight="1">
      <c r="A159" t="inlineStr">
        <is>
          <t>A 46964-2022</t>
        </is>
      </c>
      <c r="B159" s="1" t="n">
        <v>44851.95016203704</v>
      </c>
      <c r="C159" s="1" t="n">
        <v>46107</v>
      </c>
      <c r="D159" t="inlineStr">
        <is>
          <t>KALMAR LÄN</t>
        </is>
      </c>
      <c r="E159" t="inlineStr">
        <is>
          <t>VIMMERBY</t>
        </is>
      </c>
      <c r="G159" t="n">
        <v>0.2</v>
      </c>
      <c r="H159" t="n">
        <v>0</v>
      </c>
      <c r="I159" t="n">
        <v>0</v>
      </c>
      <c r="J159" t="n">
        <v>0</v>
      </c>
      <c r="K159" t="n">
        <v>0</v>
      </c>
      <c r="L159" t="n">
        <v>0</v>
      </c>
      <c r="M159" t="n">
        <v>0</v>
      </c>
      <c r="N159" t="n">
        <v>0</v>
      </c>
      <c r="O159" t="n">
        <v>0</v>
      </c>
      <c r="P159" t="n">
        <v>0</v>
      </c>
      <c r="Q159" t="n">
        <v>0</v>
      </c>
      <c r="R159" s="2" t="inlineStr"/>
    </row>
    <row r="160" ht="15" customHeight="1">
      <c r="A160" t="inlineStr">
        <is>
          <t>A 13180-2022</t>
        </is>
      </c>
      <c r="B160" s="1" t="n">
        <v>44644</v>
      </c>
      <c r="C160" s="1" t="n">
        <v>46107</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23825-2022</t>
        </is>
      </c>
      <c r="B161" s="1" t="n">
        <v>44722.48768518519</v>
      </c>
      <c r="C161" s="1" t="n">
        <v>46107</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1978-2024</t>
        </is>
      </c>
      <c r="B162" s="1" t="n">
        <v>45308.59001157407</v>
      </c>
      <c r="C162" s="1" t="n">
        <v>46107</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6399-2025</t>
        </is>
      </c>
      <c r="B163" s="1" t="n">
        <v>45699.44291666667</v>
      </c>
      <c r="C163" s="1" t="n">
        <v>46107</v>
      </c>
      <c r="D163" t="inlineStr">
        <is>
          <t>KALMAR LÄN</t>
        </is>
      </c>
      <c r="E163" t="inlineStr">
        <is>
          <t>VIMMERBY</t>
        </is>
      </c>
      <c r="G163" t="n">
        <v>3.1</v>
      </c>
      <c r="H163" t="n">
        <v>0</v>
      </c>
      <c r="I163" t="n">
        <v>0</v>
      </c>
      <c r="J163" t="n">
        <v>0</v>
      </c>
      <c r="K163" t="n">
        <v>0</v>
      </c>
      <c r="L163" t="n">
        <v>0</v>
      </c>
      <c r="M163" t="n">
        <v>0</v>
      </c>
      <c r="N163" t="n">
        <v>0</v>
      </c>
      <c r="O163" t="n">
        <v>0</v>
      </c>
      <c r="P163" t="n">
        <v>0</v>
      </c>
      <c r="Q163" t="n">
        <v>0</v>
      </c>
      <c r="R163" s="2" t="inlineStr"/>
    </row>
    <row r="164" ht="15" customHeight="1">
      <c r="A164" t="inlineStr">
        <is>
          <t>A 41311-2023</t>
        </is>
      </c>
      <c r="B164" s="1" t="n">
        <v>45174</v>
      </c>
      <c r="C164" s="1" t="n">
        <v>46107</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42850-2022</t>
        </is>
      </c>
      <c r="B165" s="1" t="n">
        <v>44832.67608796297</v>
      </c>
      <c r="C165" s="1" t="n">
        <v>46107</v>
      </c>
      <c r="D165" t="inlineStr">
        <is>
          <t>KALMAR LÄN</t>
        </is>
      </c>
      <c r="E165" t="inlineStr">
        <is>
          <t>VIMMERBY</t>
        </is>
      </c>
      <c r="G165" t="n">
        <v>5.9</v>
      </c>
      <c r="H165" t="n">
        <v>0</v>
      </c>
      <c r="I165" t="n">
        <v>0</v>
      </c>
      <c r="J165" t="n">
        <v>0</v>
      </c>
      <c r="K165" t="n">
        <v>0</v>
      </c>
      <c r="L165" t="n">
        <v>0</v>
      </c>
      <c r="M165" t="n">
        <v>0</v>
      </c>
      <c r="N165" t="n">
        <v>0</v>
      </c>
      <c r="O165" t="n">
        <v>0</v>
      </c>
      <c r="P165" t="n">
        <v>0</v>
      </c>
      <c r="Q165" t="n">
        <v>0</v>
      </c>
      <c r="R165" s="2" t="inlineStr"/>
    </row>
    <row r="166" ht="15" customHeight="1">
      <c r="A166" t="inlineStr">
        <is>
          <t>A 18276-2021</t>
        </is>
      </c>
      <c r="B166" s="1" t="n">
        <v>44305.40046296296</v>
      </c>
      <c r="C166" s="1" t="n">
        <v>46107</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47473-2021</t>
        </is>
      </c>
      <c r="B167" s="1" t="n">
        <v>44447</v>
      </c>
      <c r="C167" s="1" t="n">
        <v>46107</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10785-2025</t>
        </is>
      </c>
      <c r="B168" s="1" t="n">
        <v>45722.48634259259</v>
      </c>
      <c r="C168" s="1" t="n">
        <v>46107</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46107</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46107</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46107</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46107</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18020-2025</t>
        </is>
      </c>
      <c r="B173" s="1" t="n">
        <v>45761.4437962963</v>
      </c>
      <c r="C173" s="1" t="n">
        <v>46107</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16825-2024</t>
        </is>
      </c>
      <c r="B174" s="1" t="n">
        <v>45411.47335648148</v>
      </c>
      <c r="C174" s="1" t="n">
        <v>46107</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46107</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25738-2022</t>
        </is>
      </c>
      <c r="B176" s="1" t="n">
        <v>44733.43092592592</v>
      </c>
      <c r="C176" s="1" t="n">
        <v>46107</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585-2024</t>
        </is>
      </c>
      <c r="B177" s="1" t="n">
        <v>45299.62576388889</v>
      </c>
      <c r="C177" s="1" t="n">
        <v>46107</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8194-2022</t>
        </is>
      </c>
      <c r="B178" s="1" t="n">
        <v>44609</v>
      </c>
      <c r="C178" s="1" t="n">
        <v>46107</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46107</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40971-2021</t>
        </is>
      </c>
      <c r="B180" s="1" t="n">
        <v>44421</v>
      </c>
      <c r="C180" s="1" t="n">
        <v>46107</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6802-2025</t>
        </is>
      </c>
      <c r="B181" s="1" t="n">
        <v>45700.68289351852</v>
      </c>
      <c r="C181" s="1" t="n">
        <v>46107</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12033-2024</t>
        </is>
      </c>
      <c r="B182" s="1" t="n">
        <v>45377.40043981482</v>
      </c>
      <c r="C182" s="1" t="n">
        <v>46107</v>
      </c>
      <c r="D182" t="inlineStr">
        <is>
          <t>KALMAR LÄN</t>
        </is>
      </c>
      <c r="E182" t="inlineStr">
        <is>
          <t>VIMMERBY</t>
        </is>
      </c>
      <c r="G182" t="n">
        <v>1.6</v>
      </c>
      <c r="H182" t="n">
        <v>0</v>
      </c>
      <c r="I182" t="n">
        <v>0</v>
      </c>
      <c r="J182" t="n">
        <v>0</v>
      </c>
      <c r="K182" t="n">
        <v>0</v>
      </c>
      <c r="L182" t="n">
        <v>0</v>
      </c>
      <c r="M182" t="n">
        <v>0</v>
      </c>
      <c r="N182" t="n">
        <v>0</v>
      </c>
      <c r="O182" t="n">
        <v>0</v>
      </c>
      <c r="P182" t="n">
        <v>0</v>
      </c>
      <c r="Q182" t="n">
        <v>0</v>
      </c>
      <c r="R182" s="2" t="inlineStr"/>
    </row>
    <row r="183" ht="15" customHeight="1">
      <c r="A183" t="inlineStr">
        <is>
          <t>A 6214-2025</t>
        </is>
      </c>
      <c r="B183" s="1" t="n">
        <v>45698.51711805556</v>
      </c>
      <c r="C183" s="1" t="n">
        <v>46107</v>
      </c>
      <c r="D183" t="inlineStr">
        <is>
          <t>KALMAR LÄN</t>
        </is>
      </c>
      <c r="E183" t="inlineStr">
        <is>
          <t>VIMMERBY</t>
        </is>
      </c>
      <c r="G183" t="n">
        <v>1.2</v>
      </c>
      <c r="H183" t="n">
        <v>0</v>
      </c>
      <c r="I183" t="n">
        <v>0</v>
      </c>
      <c r="J183" t="n">
        <v>0</v>
      </c>
      <c r="K183" t="n">
        <v>0</v>
      </c>
      <c r="L183" t="n">
        <v>0</v>
      </c>
      <c r="M183" t="n">
        <v>0</v>
      </c>
      <c r="N183" t="n">
        <v>0</v>
      </c>
      <c r="O183" t="n">
        <v>0</v>
      </c>
      <c r="P183" t="n">
        <v>0</v>
      </c>
      <c r="Q183" t="n">
        <v>0</v>
      </c>
      <c r="R183" s="2" t="inlineStr"/>
    </row>
    <row r="184" ht="15" customHeight="1">
      <c r="A184" t="inlineStr">
        <is>
          <t>A 56020-2024</t>
        </is>
      </c>
      <c r="B184" s="1" t="n">
        <v>45623.9525462963</v>
      </c>
      <c r="C184" s="1" t="n">
        <v>46107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33842-2022</t>
        </is>
      </c>
      <c r="B185" s="1" t="n">
        <v>44790.49523148148</v>
      </c>
      <c r="C185" s="1" t="n">
        <v>46107</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60675-2023</t>
        </is>
      </c>
      <c r="B186" s="1" t="n">
        <v>45260.4716550926</v>
      </c>
      <c r="C186" s="1" t="n">
        <v>46107</v>
      </c>
      <c r="D186" t="inlineStr">
        <is>
          <t>KALMAR LÄN</t>
        </is>
      </c>
      <c r="E186" t="inlineStr">
        <is>
          <t>VIMMERBY</t>
        </is>
      </c>
      <c r="G186" t="n">
        <v>1.2</v>
      </c>
      <c r="H186" t="n">
        <v>0</v>
      </c>
      <c r="I186" t="n">
        <v>0</v>
      </c>
      <c r="J186" t="n">
        <v>0</v>
      </c>
      <c r="K186" t="n">
        <v>0</v>
      </c>
      <c r="L186" t="n">
        <v>0</v>
      </c>
      <c r="M186" t="n">
        <v>0</v>
      </c>
      <c r="N186" t="n">
        <v>0</v>
      </c>
      <c r="O186" t="n">
        <v>0</v>
      </c>
      <c r="P186" t="n">
        <v>0</v>
      </c>
      <c r="Q186" t="n">
        <v>0</v>
      </c>
      <c r="R186" s="2" t="inlineStr"/>
    </row>
    <row r="187" ht="15" customHeight="1">
      <c r="A187" t="inlineStr">
        <is>
          <t>A 49408-2023</t>
        </is>
      </c>
      <c r="B187" s="1" t="n">
        <v>45211.43555555555</v>
      </c>
      <c r="C187" s="1" t="n">
        <v>46107</v>
      </c>
      <c r="D187" t="inlineStr">
        <is>
          <t>KALMAR LÄN</t>
        </is>
      </c>
      <c r="E187" t="inlineStr">
        <is>
          <t>VIMMERBY</t>
        </is>
      </c>
      <c r="G187" t="n">
        <v>13.1</v>
      </c>
      <c r="H187" t="n">
        <v>0</v>
      </c>
      <c r="I187" t="n">
        <v>0</v>
      </c>
      <c r="J187" t="n">
        <v>0</v>
      </c>
      <c r="K187" t="n">
        <v>0</v>
      </c>
      <c r="L187" t="n">
        <v>0</v>
      </c>
      <c r="M187" t="n">
        <v>0</v>
      </c>
      <c r="N187" t="n">
        <v>0</v>
      </c>
      <c r="O187" t="n">
        <v>0</v>
      </c>
      <c r="P187" t="n">
        <v>0</v>
      </c>
      <c r="Q187" t="n">
        <v>0</v>
      </c>
      <c r="R187" s="2" t="inlineStr"/>
    </row>
    <row r="188" ht="15" customHeight="1">
      <c r="A188" t="inlineStr">
        <is>
          <t>A 40095-2022</t>
        </is>
      </c>
      <c r="B188" s="1" t="n">
        <v>44820</v>
      </c>
      <c r="C188" s="1" t="n">
        <v>46107</v>
      </c>
      <c r="D188" t="inlineStr">
        <is>
          <t>KALMAR LÄN</t>
        </is>
      </c>
      <c r="E188" t="inlineStr">
        <is>
          <t>VIMMERBY</t>
        </is>
      </c>
      <c r="G188" t="n">
        <v>2.4</v>
      </c>
      <c r="H188" t="n">
        <v>0</v>
      </c>
      <c r="I188" t="n">
        <v>0</v>
      </c>
      <c r="J188" t="n">
        <v>0</v>
      </c>
      <c r="K188" t="n">
        <v>0</v>
      </c>
      <c r="L188" t="n">
        <v>0</v>
      </c>
      <c r="M188" t="n">
        <v>0</v>
      </c>
      <c r="N188" t="n">
        <v>0</v>
      </c>
      <c r="O188" t="n">
        <v>0</v>
      </c>
      <c r="P188" t="n">
        <v>0</v>
      </c>
      <c r="Q188" t="n">
        <v>0</v>
      </c>
      <c r="R188" s="2" t="inlineStr"/>
    </row>
    <row r="189" ht="15" customHeight="1">
      <c r="A189" t="inlineStr">
        <is>
          <t>A 19537-2022</t>
        </is>
      </c>
      <c r="B189" s="1" t="n">
        <v>44693.62822916666</v>
      </c>
      <c r="C189" s="1" t="n">
        <v>46107</v>
      </c>
      <c r="D189" t="inlineStr">
        <is>
          <t>KALMAR LÄN</t>
        </is>
      </c>
      <c r="E189" t="inlineStr">
        <is>
          <t>VIMMERBY</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46107</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46107</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46107</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57311-2023</t>
        </is>
      </c>
      <c r="B193" s="1" t="n">
        <v>45245.63574074074</v>
      </c>
      <c r="C193" s="1" t="n">
        <v>46107</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46107</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46107</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64428-2023</t>
        </is>
      </c>
      <c r="B196" s="1" t="n">
        <v>45280.66769675926</v>
      </c>
      <c r="C196" s="1" t="n">
        <v>46107</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4527-2023</t>
        </is>
      </c>
      <c r="B197" s="1" t="n">
        <v>44956</v>
      </c>
      <c r="C197" s="1" t="n">
        <v>46107</v>
      </c>
      <c r="D197" t="inlineStr">
        <is>
          <t>KALMAR LÄN</t>
        </is>
      </c>
      <c r="E197" t="inlineStr">
        <is>
          <t>VIMMERBY</t>
        </is>
      </c>
      <c r="F197" t="inlineStr">
        <is>
          <t>Kommuner</t>
        </is>
      </c>
      <c r="G197" t="n">
        <v>8.5</v>
      </c>
      <c r="H197" t="n">
        <v>0</v>
      </c>
      <c r="I197" t="n">
        <v>0</v>
      </c>
      <c r="J197" t="n">
        <v>0</v>
      </c>
      <c r="K197" t="n">
        <v>0</v>
      </c>
      <c r="L197" t="n">
        <v>0</v>
      </c>
      <c r="M197" t="n">
        <v>0</v>
      </c>
      <c r="N197" t="n">
        <v>0</v>
      </c>
      <c r="O197" t="n">
        <v>0</v>
      </c>
      <c r="P197" t="n">
        <v>0</v>
      </c>
      <c r="Q197" t="n">
        <v>0</v>
      </c>
      <c r="R197" s="2" t="inlineStr"/>
    </row>
    <row r="198" ht="15" customHeight="1">
      <c r="A198" t="inlineStr">
        <is>
          <t>A 11733-2022</t>
        </is>
      </c>
      <c r="B198" s="1" t="n">
        <v>44634</v>
      </c>
      <c r="C198" s="1" t="n">
        <v>46107</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3268-2024</t>
        </is>
      </c>
      <c r="B199" s="1" t="n">
        <v>45317</v>
      </c>
      <c r="C199" s="1" t="n">
        <v>46107</v>
      </c>
      <c r="D199" t="inlineStr">
        <is>
          <t>KALMAR LÄN</t>
        </is>
      </c>
      <c r="E199" t="inlineStr">
        <is>
          <t>VIMMERBY</t>
        </is>
      </c>
      <c r="F199" t="inlineStr">
        <is>
          <t>Övriga Aktiebolag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7804-2022</t>
        </is>
      </c>
      <c r="B200" s="1" t="n">
        <v>44608.50458333334</v>
      </c>
      <c r="C200" s="1" t="n">
        <v>46107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27443-2023</t>
        </is>
      </c>
      <c r="B201" s="1" t="n">
        <v>45097.40524305555</v>
      </c>
      <c r="C201" s="1" t="n">
        <v>46107</v>
      </c>
      <c r="D201" t="inlineStr">
        <is>
          <t>KALMAR LÄN</t>
        </is>
      </c>
      <c r="E201" t="inlineStr">
        <is>
          <t>VIMMERBY</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39042-2022</t>
        </is>
      </c>
      <c r="B202" s="1" t="n">
        <v>44817</v>
      </c>
      <c r="C202" s="1" t="n">
        <v>46107</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37866-2025</t>
        </is>
      </c>
      <c r="B203" s="1" t="n">
        <v>45881</v>
      </c>
      <c r="C203" s="1" t="n">
        <v>46107</v>
      </c>
      <c r="D203" t="inlineStr">
        <is>
          <t>KALMAR LÄN</t>
        </is>
      </c>
      <c r="E203" t="inlineStr">
        <is>
          <t>VIMMERBY</t>
        </is>
      </c>
      <c r="G203" t="n">
        <v>3.4</v>
      </c>
      <c r="H203" t="n">
        <v>0</v>
      </c>
      <c r="I203" t="n">
        <v>0</v>
      </c>
      <c r="J203" t="n">
        <v>0</v>
      </c>
      <c r="K203" t="n">
        <v>0</v>
      </c>
      <c r="L203" t="n">
        <v>0</v>
      </c>
      <c r="M203" t="n">
        <v>0</v>
      </c>
      <c r="N203" t="n">
        <v>0</v>
      </c>
      <c r="O203" t="n">
        <v>0</v>
      </c>
      <c r="P203" t="n">
        <v>0</v>
      </c>
      <c r="Q203" t="n">
        <v>0</v>
      </c>
      <c r="R203" s="2" t="inlineStr"/>
    </row>
    <row r="204" ht="15" customHeight="1">
      <c r="A204" t="inlineStr">
        <is>
          <t>A 51408-2023</t>
        </is>
      </c>
      <c r="B204" s="1" t="n">
        <v>45219.69356481481</v>
      </c>
      <c r="C204" s="1" t="n">
        <v>46107</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16288-2021</t>
        </is>
      </c>
      <c r="B205" s="1" t="n">
        <v>44292</v>
      </c>
      <c r="C205" s="1" t="n">
        <v>46107</v>
      </c>
      <c r="D205" t="inlineStr">
        <is>
          <t>KALMAR LÄN</t>
        </is>
      </c>
      <c r="E205" t="inlineStr">
        <is>
          <t>VIMMERBY</t>
        </is>
      </c>
      <c r="F205" t="inlineStr">
        <is>
          <t>Övriga Aktiebolag</t>
        </is>
      </c>
      <c r="G205" t="n">
        <v>27.6</v>
      </c>
      <c r="H205" t="n">
        <v>0</v>
      </c>
      <c r="I205" t="n">
        <v>0</v>
      </c>
      <c r="J205" t="n">
        <v>0</v>
      </c>
      <c r="K205" t="n">
        <v>0</v>
      </c>
      <c r="L205" t="n">
        <v>0</v>
      </c>
      <c r="M205" t="n">
        <v>0</v>
      </c>
      <c r="N205" t="n">
        <v>0</v>
      </c>
      <c r="O205" t="n">
        <v>0</v>
      </c>
      <c r="P205" t="n">
        <v>0</v>
      </c>
      <c r="Q205" t="n">
        <v>0</v>
      </c>
      <c r="R205" s="2" t="inlineStr"/>
    </row>
    <row r="206" ht="15" customHeight="1">
      <c r="A206" t="inlineStr">
        <is>
          <t>A 29441-2024</t>
        </is>
      </c>
      <c r="B206" s="1" t="n">
        <v>45483.82834490741</v>
      </c>
      <c r="C206" s="1" t="n">
        <v>46107</v>
      </c>
      <c r="D206" t="inlineStr">
        <is>
          <t>KALMAR LÄN</t>
        </is>
      </c>
      <c r="E206" t="inlineStr">
        <is>
          <t>VIMMERBY</t>
        </is>
      </c>
      <c r="G206" t="n">
        <v>1.3</v>
      </c>
      <c r="H206" t="n">
        <v>0</v>
      </c>
      <c r="I206" t="n">
        <v>0</v>
      </c>
      <c r="J206" t="n">
        <v>0</v>
      </c>
      <c r="K206" t="n">
        <v>0</v>
      </c>
      <c r="L206" t="n">
        <v>0</v>
      </c>
      <c r="M206" t="n">
        <v>0</v>
      </c>
      <c r="N206" t="n">
        <v>0</v>
      </c>
      <c r="O206" t="n">
        <v>0</v>
      </c>
      <c r="P206" t="n">
        <v>0</v>
      </c>
      <c r="Q206" t="n">
        <v>0</v>
      </c>
      <c r="R206" s="2" t="inlineStr"/>
    </row>
    <row r="207" ht="15" customHeight="1">
      <c r="A207" t="inlineStr">
        <is>
          <t>A 37939-2025</t>
        </is>
      </c>
      <c r="B207" s="1" t="n">
        <v>45881.59877314815</v>
      </c>
      <c r="C207" s="1" t="n">
        <v>46107</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12480-2024</t>
        </is>
      </c>
      <c r="B208" s="1" t="n">
        <v>45379</v>
      </c>
      <c r="C208" s="1" t="n">
        <v>46107</v>
      </c>
      <c r="D208" t="inlineStr">
        <is>
          <t>KALMAR LÄN</t>
        </is>
      </c>
      <c r="E208" t="inlineStr">
        <is>
          <t>VIMMERBY</t>
        </is>
      </c>
      <c r="G208" t="n">
        <v>2.8</v>
      </c>
      <c r="H208" t="n">
        <v>0</v>
      </c>
      <c r="I208" t="n">
        <v>0</v>
      </c>
      <c r="J208" t="n">
        <v>0</v>
      </c>
      <c r="K208" t="n">
        <v>0</v>
      </c>
      <c r="L208" t="n">
        <v>0</v>
      </c>
      <c r="M208" t="n">
        <v>0</v>
      </c>
      <c r="N208" t="n">
        <v>0</v>
      </c>
      <c r="O208" t="n">
        <v>0</v>
      </c>
      <c r="P208" t="n">
        <v>0</v>
      </c>
      <c r="Q208" t="n">
        <v>0</v>
      </c>
      <c r="R208" s="2" t="inlineStr"/>
    </row>
    <row r="209" ht="15" customHeight="1">
      <c r="A209" t="inlineStr">
        <is>
          <t>A 25728-2023</t>
        </is>
      </c>
      <c r="B209" s="1" t="n">
        <v>45090.38012731481</v>
      </c>
      <c r="C209" s="1" t="n">
        <v>46107</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52588-2023</t>
        </is>
      </c>
      <c r="B210" s="1" t="n">
        <v>45225.60192129629</v>
      </c>
      <c r="C210" s="1" t="n">
        <v>46107</v>
      </c>
      <c r="D210" t="inlineStr">
        <is>
          <t>KALMAR LÄN</t>
        </is>
      </c>
      <c r="E210" t="inlineStr">
        <is>
          <t>VIMMERBY</t>
        </is>
      </c>
      <c r="G210" t="n">
        <v>2.9</v>
      </c>
      <c r="H210" t="n">
        <v>0</v>
      </c>
      <c r="I210" t="n">
        <v>0</v>
      </c>
      <c r="J210" t="n">
        <v>0</v>
      </c>
      <c r="K210" t="n">
        <v>0</v>
      </c>
      <c r="L210" t="n">
        <v>0</v>
      </c>
      <c r="M210" t="n">
        <v>0</v>
      </c>
      <c r="N210" t="n">
        <v>0</v>
      </c>
      <c r="O210" t="n">
        <v>0</v>
      </c>
      <c r="P210" t="n">
        <v>0</v>
      </c>
      <c r="Q210" t="n">
        <v>0</v>
      </c>
      <c r="R210" s="2" t="inlineStr"/>
    </row>
    <row r="211" ht="15" customHeight="1">
      <c r="A211" t="inlineStr">
        <is>
          <t>A 55236-2023</t>
        </is>
      </c>
      <c r="B211" s="1" t="n">
        <v>45237.63225694445</v>
      </c>
      <c r="C211" s="1" t="n">
        <v>46107</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55245-2023</t>
        </is>
      </c>
      <c r="B212" s="1" t="n">
        <v>45237.64408564815</v>
      </c>
      <c r="C212" s="1" t="n">
        <v>46107</v>
      </c>
      <c r="D212" t="inlineStr">
        <is>
          <t>KALMAR LÄN</t>
        </is>
      </c>
      <c r="E212" t="inlineStr">
        <is>
          <t>VIMMERBY</t>
        </is>
      </c>
      <c r="G212" t="n">
        <v>1.3</v>
      </c>
      <c r="H212" t="n">
        <v>0</v>
      </c>
      <c r="I212" t="n">
        <v>0</v>
      </c>
      <c r="J212" t="n">
        <v>0</v>
      </c>
      <c r="K212" t="n">
        <v>0</v>
      </c>
      <c r="L212" t="n">
        <v>0</v>
      </c>
      <c r="M212" t="n">
        <v>0</v>
      </c>
      <c r="N212" t="n">
        <v>0</v>
      </c>
      <c r="O212" t="n">
        <v>0</v>
      </c>
      <c r="P212" t="n">
        <v>0</v>
      </c>
      <c r="Q212" t="n">
        <v>0</v>
      </c>
      <c r="R212" s="2" t="inlineStr"/>
    </row>
    <row r="213" ht="15" customHeight="1">
      <c r="A213" t="inlineStr">
        <is>
          <t>A 28395-2023</t>
        </is>
      </c>
      <c r="B213" s="1" t="n">
        <v>45100.4062962963</v>
      </c>
      <c r="C213" s="1" t="n">
        <v>46107</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18501-2024</t>
        </is>
      </c>
      <c r="B214" s="1" t="n">
        <v>45425.57538194444</v>
      </c>
      <c r="C214" s="1" t="n">
        <v>46107</v>
      </c>
      <c r="D214" t="inlineStr">
        <is>
          <t>KALMAR LÄN</t>
        </is>
      </c>
      <c r="E214" t="inlineStr">
        <is>
          <t>VIMMERBY</t>
        </is>
      </c>
      <c r="G214" t="n">
        <v>2</v>
      </c>
      <c r="H214" t="n">
        <v>0</v>
      </c>
      <c r="I214" t="n">
        <v>0</v>
      </c>
      <c r="J214" t="n">
        <v>0</v>
      </c>
      <c r="K214" t="n">
        <v>0</v>
      </c>
      <c r="L214" t="n">
        <v>0</v>
      </c>
      <c r="M214" t="n">
        <v>0</v>
      </c>
      <c r="N214" t="n">
        <v>0</v>
      </c>
      <c r="O214" t="n">
        <v>0</v>
      </c>
      <c r="P214" t="n">
        <v>0</v>
      </c>
      <c r="Q214" t="n">
        <v>0</v>
      </c>
      <c r="R214" s="2" t="inlineStr"/>
    </row>
    <row r="215" ht="15" customHeight="1">
      <c r="A215" t="inlineStr">
        <is>
          <t>A 19111-2025</t>
        </is>
      </c>
      <c r="B215" s="1" t="n">
        <v>45768.65611111111</v>
      </c>
      <c r="C215" s="1" t="n">
        <v>46107</v>
      </c>
      <c r="D215" t="inlineStr">
        <is>
          <t>KALMAR LÄN</t>
        </is>
      </c>
      <c r="E215" t="inlineStr">
        <is>
          <t>VIMMERBY</t>
        </is>
      </c>
      <c r="G215" t="n">
        <v>6.2</v>
      </c>
      <c r="H215" t="n">
        <v>0</v>
      </c>
      <c r="I215" t="n">
        <v>0</v>
      </c>
      <c r="J215" t="n">
        <v>0</v>
      </c>
      <c r="K215" t="n">
        <v>0</v>
      </c>
      <c r="L215" t="n">
        <v>0</v>
      </c>
      <c r="M215" t="n">
        <v>0</v>
      </c>
      <c r="N215" t="n">
        <v>0</v>
      </c>
      <c r="O215" t="n">
        <v>0</v>
      </c>
      <c r="P215" t="n">
        <v>0</v>
      </c>
      <c r="Q215" t="n">
        <v>0</v>
      </c>
      <c r="R215" s="2" t="inlineStr"/>
    </row>
    <row r="216" ht="15" customHeight="1">
      <c r="A216" t="inlineStr">
        <is>
          <t>A 25370-2022</t>
        </is>
      </c>
      <c r="B216" s="1" t="n">
        <v>44732.3659837963</v>
      </c>
      <c r="C216" s="1" t="n">
        <v>46107</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25799-2023</t>
        </is>
      </c>
      <c r="B217" s="1" t="n">
        <v>45090</v>
      </c>
      <c r="C217" s="1" t="n">
        <v>46107</v>
      </c>
      <c r="D217" t="inlineStr">
        <is>
          <t>KALMAR LÄN</t>
        </is>
      </c>
      <c r="E217" t="inlineStr">
        <is>
          <t>VIMMERBY</t>
        </is>
      </c>
      <c r="G217" t="n">
        <v>7.7</v>
      </c>
      <c r="H217" t="n">
        <v>0</v>
      </c>
      <c r="I217" t="n">
        <v>0</v>
      </c>
      <c r="J217" t="n">
        <v>0</v>
      </c>
      <c r="K217" t="n">
        <v>0</v>
      </c>
      <c r="L217" t="n">
        <v>0</v>
      </c>
      <c r="M217" t="n">
        <v>0</v>
      </c>
      <c r="N217" t="n">
        <v>0</v>
      </c>
      <c r="O217" t="n">
        <v>0</v>
      </c>
      <c r="P217" t="n">
        <v>0</v>
      </c>
      <c r="Q217" t="n">
        <v>0</v>
      </c>
      <c r="R217" s="2" t="inlineStr"/>
    </row>
    <row r="218" ht="15" customHeight="1">
      <c r="A218" t="inlineStr">
        <is>
          <t>A 16015-2025</t>
        </is>
      </c>
      <c r="B218" s="1" t="n">
        <v>45749.60487268519</v>
      </c>
      <c r="C218" s="1" t="n">
        <v>46107</v>
      </c>
      <c r="D218" t="inlineStr">
        <is>
          <t>KALMAR LÄN</t>
        </is>
      </c>
      <c r="E218" t="inlineStr">
        <is>
          <t>VIMMERBY</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57256-2023</t>
        </is>
      </c>
      <c r="B219" s="1" t="n">
        <v>45245.5735300926</v>
      </c>
      <c r="C219" s="1" t="n">
        <v>46107</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23088-2024</t>
        </is>
      </c>
      <c r="B220" s="1" t="n">
        <v>45450.51092592593</v>
      </c>
      <c r="C220" s="1" t="n">
        <v>46107</v>
      </c>
      <c r="D220" t="inlineStr">
        <is>
          <t>KALMAR LÄN</t>
        </is>
      </c>
      <c r="E220" t="inlineStr">
        <is>
          <t>VIMMERBY</t>
        </is>
      </c>
      <c r="G220" t="n">
        <v>1.9</v>
      </c>
      <c r="H220" t="n">
        <v>0</v>
      </c>
      <c r="I220" t="n">
        <v>0</v>
      </c>
      <c r="J220" t="n">
        <v>0</v>
      </c>
      <c r="K220" t="n">
        <v>0</v>
      </c>
      <c r="L220" t="n">
        <v>0</v>
      </c>
      <c r="M220" t="n">
        <v>0</v>
      </c>
      <c r="N220" t="n">
        <v>0</v>
      </c>
      <c r="O220" t="n">
        <v>0</v>
      </c>
      <c r="P220" t="n">
        <v>0</v>
      </c>
      <c r="Q220" t="n">
        <v>0</v>
      </c>
      <c r="R220" s="2" t="inlineStr"/>
    </row>
    <row r="221" ht="15" customHeight="1">
      <c r="A221" t="inlineStr">
        <is>
          <t>A 57189-2022</t>
        </is>
      </c>
      <c r="B221" s="1" t="n">
        <v>44895.62296296296</v>
      </c>
      <c r="C221" s="1" t="n">
        <v>46107</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1987-2024</t>
        </is>
      </c>
      <c r="B222" s="1" t="n">
        <v>45308.61152777778</v>
      </c>
      <c r="C222" s="1" t="n">
        <v>46107</v>
      </c>
      <c r="D222" t="inlineStr">
        <is>
          <t>KALMAR LÄN</t>
        </is>
      </c>
      <c r="E222" t="inlineStr">
        <is>
          <t>VIMMERBY</t>
        </is>
      </c>
      <c r="G222" t="n">
        <v>3</v>
      </c>
      <c r="H222" t="n">
        <v>0</v>
      </c>
      <c r="I222" t="n">
        <v>0</v>
      </c>
      <c r="J222" t="n">
        <v>0</v>
      </c>
      <c r="K222" t="n">
        <v>0</v>
      </c>
      <c r="L222" t="n">
        <v>0</v>
      </c>
      <c r="M222" t="n">
        <v>0</v>
      </c>
      <c r="N222" t="n">
        <v>0</v>
      </c>
      <c r="O222" t="n">
        <v>0</v>
      </c>
      <c r="P222" t="n">
        <v>0</v>
      </c>
      <c r="Q222" t="n">
        <v>0</v>
      </c>
      <c r="R222" s="2" t="inlineStr"/>
    </row>
    <row r="223" ht="15" customHeight="1">
      <c r="A223" t="inlineStr">
        <is>
          <t>A 527-2024</t>
        </is>
      </c>
      <c r="B223" s="1" t="n">
        <v>45299.47513888889</v>
      </c>
      <c r="C223" s="1" t="n">
        <v>46107</v>
      </c>
      <c r="D223" t="inlineStr">
        <is>
          <t>KALMAR LÄN</t>
        </is>
      </c>
      <c r="E223" t="inlineStr">
        <is>
          <t>VIMMERBY</t>
        </is>
      </c>
      <c r="G223" t="n">
        <v>2.2</v>
      </c>
      <c r="H223" t="n">
        <v>0</v>
      </c>
      <c r="I223" t="n">
        <v>0</v>
      </c>
      <c r="J223" t="n">
        <v>0</v>
      </c>
      <c r="K223" t="n">
        <v>0</v>
      </c>
      <c r="L223" t="n">
        <v>0</v>
      </c>
      <c r="M223" t="n">
        <v>0</v>
      </c>
      <c r="N223" t="n">
        <v>0</v>
      </c>
      <c r="O223" t="n">
        <v>0</v>
      </c>
      <c r="P223" t="n">
        <v>0</v>
      </c>
      <c r="Q223" t="n">
        <v>0</v>
      </c>
      <c r="R223" s="2" t="inlineStr"/>
    </row>
    <row r="224" ht="15" customHeight="1">
      <c r="A224" t="inlineStr">
        <is>
          <t>A 37192-2024</t>
        </is>
      </c>
      <c r="B224" s="1" t="n">
        <v>45539.66027777778</v>
      </c>
      <c r="C224" s="1" t="n">
        <v>46107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47063-2022</t>
        </is>
      </c>
      <c r="B225" s="1" t="n">
        <v>44852</v>
      </c>
      <c r="C225" s="1" t="n">
        <v>46107</v>
      </c>
      <c r="D225" t="inlineStr">
        <is>
          <t>KALMAR LÄN</t>
        </is>
      </c>
      <c r="E225" t="inlineStr">
        <is>
          <t>VIMMERBY</t>
        </is>
      </c>
      <c r="G225" t="n">
        <v>2.5</v>
      </c>
      <c r="H225" t="n">
        <v>0</v>
      </c>
      <c r="I225" t="n">
        <v>0</v>
      </c>
      <c r="J225" t="n">
        <v>0</v>
      </c>
      <c r="K225" t="n">
        <v>0</v>
      </c>
      <c r="L225" t="n">
        <v>0</v>
      </c>
      <c r="M225" t="n">
        <v>0</v>
      </c>
      <c r="N225" t="n">
        <v>0</v>
      </c>
      <c r="O225" t="n">
        <v>0</v>
      </c>
      <c r="P225" t="n">
        <v>0</v>
      </c>
      <c r="Q225" t="n">
        <v>0</v>
      </c>
      <c r="R225" s="2" t="inlineStr"/>
    </row>
    <row r="226" ht="15" customHeight="1">
      <c r="A226" t="inlineStr">
        <is>
          <t>A 12819-2024</t>
        </is>
      </c>
      <c r="B226" s="1" t="n">
        <v>45384.66917824074</v>
      </c>
      <c r="C226" s="1" t="n">
        <v>46107</v>
      </c>
      <c r="D226" t="inlineStr">
        <is>
          <t>KALMAR LÄN</t>
        </is>
      </c>
      <c r="E226" t="inlineStr">
        <is>
          <t>VIMMERBY</t>
        </is>
      </c>
      <c r="G226" t="n">
        <v>5.1</v>
      </c>
      <c r="H226" t="n">
        <v>0</v>
      </c>
      <c r="I226" t="n">
        <v>0</v>
      </c>
      <c r="J226" t="n">
        <v>0</v>
      </c>
      <c r="K226" t="n">
        <v>0</v>
      </c>
      <c r="L226" t="n">
        <v>0</v>
      </c>
      <c r="M226" t="n">
        <v>0</v>
      </c>
      <c r="N226" t="n">
        <v>0</v>
      </c>
      <c r="O226" t="n">
        <v>0</v>
      </c>
      <c r="P226" t="n">
        <v>0</v>
      </c>
      <c r="Q226" t="n">
        <v>0</v>
      </c>
      <c r="R226" s="2" t="inlineStr"/>
    </row>
    <row r="227" ht="15" customHeight="1">
      <c r="A227" t="inlineStr">
        <is>
          <t>A 33838-2022</t>
        </is>
      </c>
      <c r="B227" s="1" t="n">
        <v>44790.49040509259</v>
      </c>
      <c r="C227" s="1" t="n">
        <v>46107</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4058-2024</t>
        </is>
      </c>
      <c r="B228" s="1" t="n">
        <v>45323.53744212963</v>
      </c>
      <c r="C228" s="1" t="n">
        <v>46107</v>
      </c>
      <c r="D228" t="inlineStr">
        <is>
          <t>KALMAR LÄN</t>
        </is>
      </c>
      <c r="E228" t="inlineStr">
        <is>
          <t>VIMMERBY</t>
        </is>
      </c>
      <c r="G228" t="n">
        <v>6.5</v>
      </c>
      <c r="H228" t="n">
        <v>0</v>
      </c>
      <c r="I228" t="n">
        <v>0</v>
      </c>
      <c r="J228" t="n">
        <v>0</v>
      </c>
      <c r="K228" t="n">
        <v>0</v>
      </c>
      <c r="L228" t="n">
        <v>0</v>
      </c>
      <c r="M228" t="n">
        <v>0</v>
      </c>
      <c r="N228" t="n">
        <v>0</v>
      </c>
      <c r="O228" t="n">
        <v>0</v>
      </c>
      <c r="P228" t="n">
        <v>0</v>
      </c>
      <c r="Q228" t="n">
        <v>0</v>
      </c>
      <c r="R228" s="2" t="inlineStr"/>
    </row>
    <row r="229" ht="15" customHeight="1">
      <c r="A229" t="inlineStr">
        <is>
          <t>A 31382-2023</t>
        </is>
      </c>
      <c r="B229" s="1" t="n">
        <v>45114.55136574074</v>
      </c>
      <c r="C229" s="1" t="n">
        <v>46107</v>
      </c>
      <c r="D229" t="inlineStr">
        <is>
          <t>KALMAR LÄN</t>
        </is>
      </c>
      <c r="E229" t="inlineStr">
        <is>
          <t>VIMMERBY</t>
        </is>
      </c>
      <c r="G229" t="n">
        <v>3.7</v>
      </c>
      <c r="H229" t="n">
        <v>0</v>
      </c>
      <c r="I229" t="n">
        <v>0</v>
      </c>
      <c r="J229" t="n">
        <v>0</v>
      </c>
      <c r="K229" t="n">
        <v>0</v>
      </c>
      <c r="L229" t="n">
        <v>0</v>
      </c>
      <c r="M229" t="n">
        <v>0</v>
      </c>
      <c r="N229" t="n">
        <v>0</v>
      </c>
      <c r="O229" t="n">
        <v>0</v>
      </c>
      <c r="P229" t="n">
        <v>0</v>
      </c>
      <c r="Q229" t="n">
        <v>0</v>
      </c>
      <c r="R229" s="2" t="inlineStr"/>
    </row>
    <row r="230" ht="15" customHeight="1">
      <c r="A230" t="inlineStr">
        <is>
          <t>A 11073-2023</t>
        </is>
      </c>
      <c r="B230" s="1" t="n">
        <v>44992</v>
      </c>
      <c r="C230" s="1" t="n">
        <v>46107</v>
      </c>
      <c r="D230" t="inlineStr">
        <is>
          <t>KALMAR LÄN</t>
        </is>
      </c>
      <c r="E230" t="inlineStr">
        <is>
          <t>VIMMERBY</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36008-2024</t>
        </is>
      </c>
      <c r="B231" s="1" t="n">
        <v>45533.55362268518</v>
      </c>
      <c r="C231" s="1" t="n">
        <v>46107</v>
      </c>
      <c r="D231" t="inlineStr">
        <is>
          <t>KALMAR LÄN</t>
        </is>
      </c>
      <c r="E231" t="inlineStr">
        <is>
          <t>VIMMERBY</t>
        </is>
      </c>
      <c r="G231" t="n">
        <v>3.7</v>
      </c>
      <c r="H231" t="n">
        <v>0</v>
      </c>
      <c r="I231" t="n">
        <v>0</v>
      </c>
      <c r="J231" t="n">
        <v>0</v>
      </c>
      <c r="K231" t="n">
        <v>0</v>
      </c>
      <c r="L231" t="n">
        <v>0</v>
      </c>
      <c r="M231" t="n">
        <v>0</v>
      </c>
      <c r="N231" t="n">
        <v>0</v>
      </c>
      <c r="O231" t="n">
        <v>0</v>
      </c>
      <c r="P231" t="n">
        <v>0</v>
      </c>
      <c r="Q231" t="n">
        <v>0</v>
      </c>
      <c r="R231" s="2" t="inlineStr"/>
    </row>
    <row r="232" ht="15" customHeight="1">
      <c r="A232" t="inlineStr">
        <is>
          <t>A 18669-2025</t>
        </is>
      </c>
      <c r="B232" s="1" t="n">
        <v>45763.59436342592</v>
      </c>
      <c r="C232" s="1" t="n">
        <v>46107</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8540-2024</t>
        </is>
      </c>
      <c r="B233" s="1" t="n">
        <v>45355.54138888889</v>
      </c>
      <c r="C233" s="1" t="n">
        <v>46107</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59955-2023</t>
        </is>
      </c>
      <c r="B234" s="1" t="n">
        <v>45257.70313657408</v>
      </c>
      <c r="C234" s="1" t="n">
        <v>46107</v>
      </c>
      <c r="D234" t="inlineStr">
        <is>
          <t>KALMAR LÄN</t>
        </is>
      </c>
      <c r="E234" t="inlineStr">
        <is>
          <t>VIMMERBY</t>
        </is>
      </c>
      <c r="G234" t="n">
        <v>13.8</v>
      </c>
      <c r="H234" t="n">
        <v>0</v>
      </c>
      <c r="I234" t="n">
        <v>0</v>
      </c>
      <c r="J234" t="n">
        <v>0</v>
      </c>
      <c r="K234" t="n">
        <v>0</v>
      </c>
      <c r="L234" t="n">
        <v>0</v>
      </c>
      <c r="M234" t="n">
        <v>0</v>
      </c>
      <c r="N234" t="n">
        <v>0</v>
      </c>
      <c r="O234" t="n">
        <v>0</v>
      </c>
      <c r="P234" t="n">
        <v>0</v>
      </c>
      <c r="Q234" t="n">
        <v>0</v>
      </c>
      <c r="R234" s="2" t="inlineStr"/>
    </row>
    <row r="235" ht="15" customHeight="1">
      <c r="A235" t="inlineStr">
        <is>
          <t>A 9623-2024</t>
        </is>
      </c>
      <c r="B235" s="1" t="n">
        <v>45361.87975694444</v>
      </c>
      <c r="C235" s="1" t="n">
        <v>46107</v>
      </c>
      <c r="D235" t="inlineStr">
        <is>
          <t>KALMAR LÄN</t>
        </is>
      </c>
      <c r="E235" t="inlineStr">
        <is>
          <t>VIMMERBY</t>
        </is>
      </c>
      <c r="G235" t="n">
        <v>1.6</v>
      </c>
      <c r="H235" t="n">
        <v>0</v>
      </c>
      <c r="I235" t="n">
        <v>0</v>
      </c>
      <c r="J235" t="n">
        <v>0</v>
      </c>
      <c r="K235" t="n">
        <v>0</v>
      </c>
      <c r="L235" t="n">
        <v>0</v>
      </c>
      <c r="M235" t="n">
        <v>0</v>
      </c>
      <c r="N235" t="n">
        <v>0</v>
      </c>
      <c r="O235" t="n">
        <v>0</v>
      </c>
      <c r="P235" t="n">
        <v>0</v>
      </c>
      <c r="Q235" t="n">
        <v>0</v>
      </c>
      <c r="R235" s="2" t="inlineStr"/>
    </row>
    <row r="236" ht="15" customHeight="1">
      <c r="A236" t="inlineStr">
        <is>
          <t>A 5146-2024</t>
        </is>
      </c>
      <c r="B236" s="1" t="n">
        <v>45330</v>
      </c>
      <c r="C236" s="1" t="n">
        <v>46107</v>
      </c>
      <c r="D236" t="inlineStr">
        <is>
          <t>KALMAR LÄN</t>
        </is>
      </c>
      <c r="E236" t="inlineStr">
        <is>
          <t>VIMMERBY</t>
        </is>
      </c>
      <c r="G236" t="n">
        <v>5.3</v>
      </c>
      <c r="H236" t="n">
        <v>0</v>
      </c>
      <c r="I236" t="n">
        <v>0</v>
      </c>
      <c r="J236" t="n">
        <v>0</v>
      </c>
      <c r="K236" t="n">
        <v>0</v>
      </c>
      <c r="L236" t="n">
        <v>0</v>
      </c>
      <c r="M236" t="n">
        <v>0</v>
      </c>
      <c r="N236" t="n">
        <v>0</v>
      </c>
      <c r="O236" t="n">
        <v>0</v>
      </c>
      <c r="P236" t="n">
        <v>0</v>
      </c>
      <c r="Q236" t="n">
        <v>0</v>
      </c>
      <c r="R236" s="2" t="inlineStr"/>
    </row>
    <row r="237" ht="15" customHeight="1">
      <c r="A237" t="inlineStr">
        <is>
          <t>A 5148-2024</t>
        </is>
      </c>
      <c r="B237" s="1" t="n">
        <v>45330</v>
      </c>
      <c r="C237" s="1" t="n">
        <v>46107</v>
      </c>
      <c r="D237" t="inlineStr">
        <is>
          <t>KALMAR LÄN</t>
        </is>
      </c>
      <c r="E237" t="inlineStr">
        <is>
          <t>VIMMERBY</t>
        </is>
      </c>
      <c r="G237" t="n">
        <v>5.6</v>
      </c>
      <c r="H237" t="n">
        <v>0</v>
      </c>
      <c r="I237" t="n">
        <v>0</v>
      </c>
      <c r="J237" t="n">
        <v>0</v>
      </c>
      <c r="K237" t="n">
        <v>0</v>
      </c>
      <c r="L237" t="n">
        <v>0</v>
      </c>
      <c r="M237" t="n">
        <v>0</v>
      </c>
      <c r="N237" t="n">
        <v>0</v>
      </c>
      <c r="O237" t="n">
        <v>0</v>
      </c>
      <c r="P237" t="n">
        <v>0</v>
      </c>
      <c r="Q237" t="n">
        <v>0</v>
      </c>
      <c r="R237" s="2" t="inlineStr"/>
    </row>
    <row r="238" ht="15" customHeight="1">
      <c r="A238" t="inlineStr">
        <is>
          <t>A 44179-2022</t>
        </is>
      </c>
      <c r="B238" s="1" t="n">
        <v>44839.4528125</v>
      </c>
      <c r="C238" s="1" t="n">
        <v>46107</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36802-2021</t>
        </is>
      </c>
      <c r="B239" s="1" t="n">
        <v>44392</v>
      </c>
      <c r="C239" s="1" t="n">
        <v>46107</v>
      </c>
      <c r="D239" t="inlineStr">
        <is>
          <t>KALMAR LÄN</t>
        </is>
      </c>
      <c r="E239" t="inlineStr">
        <is>
          <t>VIMMERBY</t>
        </is>
      </c>
      <c r="F239" t="inlineStr">
        <is>
          <t>Sveaskog</t>
        </is>
      </c>
      <c r="G239" t="n">
        <v>4.6</v>
      </c>
      <c r="H239" t="n">
        <v>0</v>
      </c>
      <c r="I239" t="n">
        <v>0</v>
      </c>
      <c r="J239" t="n">
        <v>0</v>
      </c>
      <c r="K239" t="n">
        <v>0</v>
      </c>
      <c r="L239" t="n">
        <v>0</v>
      </c>
      <c r="M239" t="n">
        <v>0</v>
      </c>
      <c r="N239" t="n">
        <v>0</v>
      </c>
      <c r="O239" t="n">
        <v>0</v>
      </c>
      <c r="P239" t="n">
        <v>0</v>
      </c>
      <c r="Q239" t="n">
        <v>0</v>
      </c>
      <c r="R239" s="2" t="inlineStr"/>
    </row>
    <row r="240" ht="15" customHeight="1">
      <c r="A240" t="inlineStr">
        <is>
          <t>A 50648-2023</t>
        </is>
      </c>
      <c r="B240" s="1" t="n">
        <v>45217.47834490741</v>
      </c>
      <c r="C240" s="1" t="n">
        <v>46107</v>
      </c>
      <c r="D240" t="inlineStr">
        <is>
          <t>KALMAR LÄN</t>
        </is>
      </c>
      <c r="E240" t="inlineStr">
        <is>
          <t>VIMMERBY</t>
        </is>
      </c>
      <c r="G240" t="n">
        <v>1.6</v>
      </c>
      <c r="H240" t="n">
        <v>0</v>
      </c>
      <c r="I240" t="n">
        <v>0</v>
      </c>
      <c r="J240" t="n">
        <v>0</v>
      </c>
      <c r="K240" t="n">
        <v>0</v>
      </c>
      <c r="L240" t="n">
        <v>0</v>
      </c>
      <c r="M240" t="n">
        <v>0</v>
      </c>
      <c r="N240" t="n">
        <v>0</v>
      </c>
      <c r="O240" t="n">
        <v>0</v>
      </c>
      <c r="P240" t="n">
        <v>0</v>
      </c>
      <c r="Q240" t="n">
        <v>0</v>
      </c>
      <c r="R240" s="2" t="inlineStr"/>
    </row>
    <row r="241" ht="15" customHeight="1">
      <c r="A241" t="inlineStr">
        <is>
          <t>A 61820-2023</t>
        </is>
      </c>
      <c r="B241" s="1" t="n">
        <v>45266.32614583334</v>
      </c>
      <c r="C241" s="1" t="n">
        <v>46107</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3269-2024</t>
        </is>
      </c>
      <c r="B242" s="1" t="n">
        <v>45317.40372685185</v>
      </c>
      <c r="C242" s="1" t="n">
        <v>46107</v>
      </c>
      <c r="D242" t="inlineStr">
        <is>
          <t>KALMAR LÄN</t>
        </is>
      </c>
      <c r="E242" t="inlineStr">
        <is>
          <t>VIMMERBY</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2121-2022</t>
        </is>
      </c>
      <c r="B243" s="1" t="n">
        <v>44578.32717592592</v>
      </c>
      <c r="C243" s="1" t="n">
        <v>46107</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2157-2024</t>
        </is>
      </c>
      <c r="B244" s="1" t="n">
        <v>45309.59487268519</v>
      </c>
      <c r="C244" s="1" t="n">
        <v>46107</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57799-2022</t>
        </is>
      </c>
      <c r="B245" s="1" t="n">
        <v>44897</v>
      </c>
      <c r="C245" s="1" t="n">
        <v>46107</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15394-2025</t>
        </is>
      </c>
      <c r="B246" s="1" t="n">
        <v>45747.43196759259</v>
      </c>
      <c r="C246" s="1" t="n">
        <v>46107</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9416-2024</t>
        </is>
      </c>
      <c r="B247" s="1" t="n">
        <v>45359.44837962963</v>
      </c>
      <c r="C247" s="1" t="n">
        <v>46107</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58318-2021</t>
        </is>
      </c>
      <c r="B248" s="1" t="n">
        <v>44488.35878472222</v>
      </c>
      <c r="C248" s="1" t="n">
        <v>46107</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52435-2021</t>
        </is>
      </c>
      <c r="B249" s="1" t="n">
        <v>44466.34962962963</v>
      </c>
      <c r="C249" s="1" t="n">
        <v>46107</v>
      </c>
      <c r="D249" t="inlineStr">
        <is>
          <t>KALMAR LÄN</t>
        </is>
      </c>
      <c r="E249" t="inlineStr">
        <is>
          <t>VIMMERBY</t>
        </is>
      </c>
      <c r="G249" t="n">
        <v>2.8</v>
      </c>
      <c r="H249" t="n">
        <v>0</v>
      </c>
      <c r="I249" t="n">
        <v>0</v>
      </c>
      <c r="J249" t="n">
        <v>0</v>
      </c>
      <c r="K249" t="n">
        <v>0</v>
      </c>
      <c r="L249" t="n">
        <v>0</v>
      </c>
      <c r="M249" t="n">
        <v>0</v>
      </c>
      <c r="N249" t="n">
        <v>0</v>
      </c>
      <c r="O249" t="n">
        <v>0</v>
      </c>
      <c r="P249" t="n">
        <v>0</v>
      </c>
      <c r="Q249" t="n">
        <v>0</v>
      </c>
      <c r="R249" s="2" t="inlineStr"/>
    </row>
    <row r="250" ht="15" customHeight="1">
      <c r="A250" t="inlineStr">
        <is>
          <t>A 29093-2023</t>
        </is>
      </c>
      <c r="B250" s="1" t="n">
        <v>45105</v>
      </c>
      <c r="C250" s="1" t="n">
        <v>46107</v>
      </c>
      <c r="D250" t="inlineStr">
        <is>
          <t>KALMAR LÄN</t>
        </is>
      </c>
      <c r="E250" t="inlineStr">
        <is>
          <t>VIMMERBY</t>
        </is>
      </c>
      <c r="G250" t="n">
        <v>2.9</v>
      </c>
      <c r="H250" t="n">
        <v>0</v>
      </c>
      <c r="I250" t="n">
        <v>0</v>
      </c>
      <c r="J250" t="n">
        <v>0</v>
      </c>
      <c r="K250" t="n">
        <v>0</v>
      </c>
      <c r="L250" t="n">
        <v>0</v>
      </c>
      <c r="M250" t="n">
        <v>0</v>
      </c>
      <c r="N250" t="n">
        <v>0</v>
      </c>
      <c r="O250" t="n">
        <v>0</v>
      </c>
      <c r="P250" t="n">
        <v>0</v>
      </c>
      <c r="Q250" t="n">
        <v>0</v>
      </c>
      <c r="R250" s="2" t="inlineStr"/>
    </row>
    <row r="251" ht="15" customHeight="1">
      <c r="A251" t="inlineStr">
        <is>
          <t>A 53083-2021</t>
        </is>
      </c>
      <c r="B251" s="1" t="n">
        <v>44467.83386574074</v>
      </c>
      <c r="C251" s="1" t="n">
        <v>46107</v>
      </c>
      <c r="D251" t="inlineStr">
        <is>
          <t>KALMAR LÄN</t>
        </is>
      </c>
      <c r="E251" t="inlineStr">
        <is>
          <t>VIMMERBY</t>
        </is>
      </c>
      <c r="G251" t="n">
        <v>6.8</v>
      </c>
      <c r="H251" t="n">
        <v>0</v>
      </c>
      <c r="I251" t="n">
        <v>0</v>
      </c>
      <c r="J251" t="n">
        <v>0</v>
      </c>
      <c r="K251" t="n">
        <v>0</v>
      </c>
      <c r="L251" t="n">
        <v>0</v>
      </c>
      <c r="M251" t="n">
        <v>0</v>
      </c>
      <c r="N251" t="n">
        <v>0</v>
      </c>
      <c r="O251" t="n">
        <v>0</v>
      </c>
      <c r="P251" t="n">
        <v>0</v>
      </c>
      <c r="Q251" t="n">
        <v>0</v>
      </c>
      <c r="R251" s="2" t="inlineStr"/>
    </row>
    <row r="252" ht="15" customHeight="1">
      <c r="A252" t="inlineStr">
        <is>
          <t>A 29173-2024</t>
        </is>
      </c>
      <c r="B252" s="1" t="n">
        <v>45482.52887731481</v>
      </c>
      <c r="C252" s="1" t="n">
        <v>46107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26318-2023</t>
        </is>
      </c>
      <c r="B253" s="1" t="n">
        <v>45091.67936342592</v>
      </c>
      <c r="C253" s="1" t="n">
        <v>46107</v>
      </c>
      <c r="D253" t="inlineStr">
        <is>
          <t>KALMAR LÄN</t>
        </is>
      </c>
      <c r="E253" t="inlineStr">
        <is>
          <t>VIMMERBY</t>
        </is>
      </c>
      <c r="G253" t="n">
        <v>3.8</v>
      </c>
      <c r="H253" t="n">
        <v>0</v>
      </c>
      <c r="I253" t="n">
        <v>0</v>
      </c>
      <c r="J253" t="n">
        <v>0</v>
      </c>
      <c r="K253" t="n">
        <v>0</v>
      </c>
      <c r="L253" t="n">
        <v>0</v>
      </c>
      <c r="M253" t="n">
        <v>0</v>
      </c>
      <c r="N253" t="n">
        <v>0</v>
      </c>
      <c r="O253" t="n">
        <v>0</v>
      </c>
      <c r="P253" t="n">
        <v>0</v>
      </c>
      <c r="Q253" t="n">
        <v>0</v>
      </c>
      <c r="R253" s="2" t="inlineStr"/>
    </row>
    <row r="254" ht="15" customHeight="1">
      <c r="A254" t="inlineStr">
        <is>
          <t>A 60437-2023</t>
        </is>
      </c>
      <c r="B254" s="1" t="n">
        <v>45259.51916666667</v>
      </c>
      <c r="C254" s="1" t="n">
        <v>46107</v>
      </c>
      <c r="D254" t="inlineStr">
        <is>
          <t>KALMAR LÄN</t>
        </is>
      </c>
      <c r="E254" t="inlineStr">
        <is>
          <t>VIMMERBY</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60438-2023</t>
        </is>
      </c>
      <c r="B255" s="1" t="n">
        <v>45259.52020833334</v>
      </c>
      <c r="C255" s="1" t="n">
        <v>46107</v>
      </c>
      <c r="D255" t="inlineStr">
        <is>
          <t>KALMAR LÄN</t>
        </is>
      </c>
      <c r="E255" t="inlineStr">
        <is>
          <t>VIMMERBY</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11111-2024</t>
        </is>
      </c>
      <c r="B256" s="1" t="n">
        <v>45371.36359953704</v>
      </c>
      <c r="C256" s="1" t="n">
        <v>46107</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11141-2024</t>
        </is>
      </c>
      <c r="B257" s="1" t="n">
        <v>45371.45865740741</v>
      </c>
      <c r="C257" s="1" t="n">
        <v>46107</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38604-2025</t>
        </is>
      </c>
      <c r="B258" s="1" t="n">
        <v>45884.50613425926</v>
      </c>
      <c r="C258" s="1" t="n">
        <v>46107</v>
      </c>
      <c r="D258" t="inlineStr">
        <is>
          <t>KALMAR LÄN</t>
        </is>
      </c>
      <c r="E258" t="inlineStr">
        <is>
          <t>VIMMERBY</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33359-2021</t>
        </is>
      </c>
      <c r="B259" s="1" t="n">
        <v>44377.49684027778</v>
      </c>
      <c r="C259" s="1" t="n">
        <v>46107</v>
      </c>
      <c r="D259" t="inlineStr">
        <is>
          <t>KALMAR LÄN</t>
        </is>
      </c>
      <c r="E259" t="inlineStr">
        <is>
          <t>VIMMERBY</t>
        </is>
      </c>
      <c r="F259" t="inlineStr">
        <is>
          <t>Kommuner</t>
        </is>
      </c>
      <c r="G259" t="n">
        <v>8</v>
      </c>
      <c r="H259" t="n">
        <v>0</v>
      </c>
      <c r="I259" t="n">
        <v>0</v>
      </c>
      <c r="J259" t="n">
        <v>0</v>
      </c>
      <c r="K259" t="n">
        <v>0</v>
      </c>
      <c r="L259" t="n">
        <v>0</v>
      </c>
      <c r="M259" t="n">
        <v>0</v>
      </c>
      <c r="N259" t="n">
        <v>0</v>
      </c>
      <c r="O259" t="n">
        <v>0</v>
      </c>
      <c r="P259" t="n">
        <v>0</v>
      </c>
      <c r="Q259" t="n">
        <v>0</v>
      </c>
      <c r="R259" s="2" t="inlineStr"/>
    </row>
    <row r="260" ht="15" customHeight="1">
      <c r="A260" t="inlineStr">
        <is>
          <t>A 9418-2024</t>
        </is>
      </c>
      <c r="B260" s="1" t="n">
        <v>45359.45038194444</v>
      </c>
      <c r="C260" s="1" t="n">
        <v>46107</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7758-2024</t>
        </is>
      </c>
      <c r="B261" s="1" t="n">
        <v>45349.54434027777</v>
      </c>
      <c r="C261" s="1" t="n">
        <v>46107</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43038-2022</t>
        </is>
      </c>
      <c r="B262" s="1" t="n">
        <v>44833.60123842592</v>
      </c>
      <c r="C262" s="1" t="n">
        <v>46107</v>
      </c>
      <c r="D262" t="inlineStr">
        <is>
          <t>KALMAR LÄN</t>
        </is>
      </c>
      <c r="E262" t="inlineStr">
        <is>
          <t>VIMMERBY</t>
        </is>
      </c>
      <c r="G262" t="n">
        <v>4.2</v>
      </c>
      <c r="H262" t="n">
        <v>0</v>
      </c>
      <c r="I262" t="n">
        <v>0</v>
      </c>
      <c r="J262" t="n">
        <v>0</v>
      </c>
      <c r="K262" t="n">
        <v>0</v>
      </c>
      <c r="L262" t="n">
        <v>0</v>
      </c>
      <c r="M262" t="n">
        <v>0</v>
      </c>
      <c r="N262" t="n">
        <v>0</v>
      </c>
      <c r="O262" t="n">
        <v>0</v>
      </c>
      <c r="P262" t="n">
        <v>0</v>
      </c>
      <c r="Q262" t="n">
        <v>0</v>
      </c>
      <c r="R262" s="2" t="inlineStr"/>
    </row>
    <row r="263" ht="15" customHeight="1">
      <c r="A263" t="inlineStr">
        <is>
          <t>A 50087-2023</t>
        </is>
      </c>
      <c r="B263" s="1" t="n">
        <v>45215.59743055556</v>
      </c>
      <c r="C263" s="1" t="n">
        <v>46107</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7456-2024</t>
        </is>
      </c>
      <c r="B264" s="1" t="n">
        <v>45345.83557870371</v>
      </c>
      <c r="C264" s="1" t="n">
        <v>46107</v>
      </c>
      <c r="D264" t="inlineStr">
        <is>
          <t>KALMAR LÄN</t>
        </is>
      </c>
      <c r="E264" t="inlineStr">
        <is>
          <t>VIMMERBY</t>
        </is>
      </c>
      <c r="G264" t="n">
        <v>4.1</v>
      </c>
      <c r="H264" t="n">
        <v>0</v>
      </c>
      <c r="I264" t="n">
        <v>0</v>
      </c>
      <c r="J264" t="n">
        <v>0</v>
      </c>
      <c r="K264" t="n">
        <v>0</v>
      </c>
      <c r="L264" t="n">
        <v>0</v>
      </c>
      <c r="M264" t="n">
        <v>0</v>
      </c>
      <c r="N264" t="n">
        <v>0</v>
      </c>
      <c r="O264" t="n">
        <v>0</v>
      </c>
      <c r="P264" t="n">
        <v>0</v>
      </c>
      <c r="Q264" t="n">
        <v>0</v>
      </c>
      <c r="R264" s="2" t="inlineStr"/>
    </row>
    <row r="265" ht="15" customHeight="1">
      <c r="A265" t="inlineStr">
        <is>
          <t>A 33681-2022</t>
        </is>
      </c>
      <c r="B265" s="1" t="n">
        <v>44789</v>
      </c>
      <c r="C265" s="1" t="n">
        <v>46107</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6082-2022</t>
        </is>
      </c>
      <c r="B266" s="1" t="n">
        <v>44599</v>
      </c>
      <c r="C266" s="1" t="n">
        <v>46107</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49313-2022</t>
        </is>
      </c>
      <c r="B267" s="1" t="n">
        <v>44861.52505787037</v>
      </c>
      <c r="C267" s="1" t="n">
        <v>46107</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46979-2023</t>
        </is>
      </c>
      <c r="B268" s="1" t="n">
        <v>45201</v>
      </c>
      <c r="C268" s="1" t="n">
        <v>46107</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35998-2024</t>
        </is>
      </c>
      <c r="B269" s="1" t="n">
        <v>45533.54429398148</v>
      </c>
      <c r="C269" s="1" t="n">
        <v>46107</v>
      </c>
      <c r="D269" t="inlineStr">
        <is>
          <t>KALMAR LÄN</t>
        </is>
      </c>
      <c r="E269" t="inlineStr">
        <is>
          <t>VIMMERBY</t>
        </is>
      </c>
      <c r="G269" t="n">
        <v>8.6</v>
      </c>
      <c r="H269" t="n">
        <v>0</v>
      </c>
      <c r="I269" t="n">
        <v>0</v>
      </c>
      <c r="J269" t="n">
        <v>0</v>
      </c>
      <c r="K269" t="n">
        <v>0</v>
      </c>
      <c r="L269" t="n">
        <v>0</v>
      </c>
      <c r="M269" t="n">
        <v>0</v>
      </c>
      <c r="N269" t="n">
        <v>0</v>
      </c>
      <c r="O269" t="n">
        <v>0</v>
      </c>
      <c r="P269" t="n">
        <v>0</v>
      </c>
      <c r="Q269" t="n">
        <v>0</v>
      </c>
      <c r="R269" s="2" t="inlineStr"/>
    </row>
    <row r="270" ht="15" customHeight="1">
      <c r="A270" t="inlineStr">
        <is>
          <t>A 36040-2024</t>
        </is>
      </c>
      <c r="B270" s="1" t="n">
        <v>45533.60232638889</v>
      </c>
      <c r="C270" s="1" t="n">
        <v>46107</v>
      </c>
      <c r="D270" t="inlineStr">
        <is>
          <t>KALMAR LÄN</t>
        </is>
      </c>
      <c r="E270" t="inlineStr">
        <is>
          <t>VIMMERBY</t>
        </is>
      </c>
      <c r="F270" t="inlineStr">
        <is>
          <t>Kommuner</t>
        </is>
      </c>
      <c r="G270" t="n">
        <v>3.6</v>
      </c>
      <c r="H270" t="n">
        <v>0</v>
      </c>
      <c r="I270" t="n">
        <v>0</v>
      </c>
      <c r="J270" t="n">
        <v>0</v>
      </c>
      <c r="K270" t="n">
        <v>0</v>
      </c>
      <c r="L270" t="n">
        <v>0</v>
      </c>
      <c r="M270" t="n">
        <v>0</v>
      </c>
      <c r="N270" t="n">
        <v>0</v>
      </c>
      <c r="O270" t="n">
        <v>0</v>
      </c>
      <c r="P270" t="n">
        <v>0</v>
      </c>
      <c r="Q270" t="n">
        <v>0</v>
      </c>
      <c r="R270" s="2" t="inlineStr"/>
    </row>
    <row r="271" ht="15" customHeight="1">
      <c r="A271" t="inlineStr">
        <is>
          <t>A 36043-2024</t>
        </is>
      </c>
      <c r="B271" s="1" t="n">
        <v>45533.60770833334</v>
      </c>
      <c r="C271" s="1" t="n">
        <v>46107</v>
      </c>
      <c r="D271" t="inlineStr">
        <is>
          <t>KALMAR LÄN</t>
        </is>
      </c>
      <c r="E271" t="inlineStr">
        <is>
          <t>VIMMERBY</t>
        </is>
      </c>
      <c r="F271" t="inlineStr">
        <is>
          <t>Kommuner</t>
        </is>
      </c>
      <c r="G271" t="n">
        <v>1.5</v>
      </c>
      <c r="H271" t="n">
        <v>0</v>
      </c>
      <c r="I271" t="n">
        <v>0</v>
      </c>
      <c r="J271" t="n">
        <v>0</v>
      </c>
      <c r="K271" t="n">
        <v>0</v>
      </c>
      <c r="L271" t="n">
        <v>0</v>
      </c>
      <c r="M271" t="n">
        <v>0</v>
      </c>
      <c r="N271" t="n">
        <v>0</v>
      </c>
      <c r="O271" t="n">
        <v>0</v>
      </c>
      <c r="P271" t="n">
        <v>0</v>
      </c>
      <c r="Q271" t="n">
        <v>0</v>
      </c>
      <c r="R271" s="2" t="inlineStr"/>
    </row>
    <row r="272" ht="15" customHeight="1">
      <c r="A272" t="inlineStr">
        <is>
          <t>A 2596-2025</t>
        </is>
      </c>
      <c r="B272" s="1" t="n">
        <v>45674.71810185185</v>
      </c>
      <c r="C272" s="1" t="n">
        <v>46107</v>
      </c>
      <c r="D272" t="inlineStr">
        <is>
          <t>KALMAR LÄN</t>
        </is>
      </c>
      <c r="E272" t="inlineStr">
        <is>
          <t>VIMMERBY</t>
        </is>
      </c>
      <c r="G272" t="n">
        <v>9</v>
      </c>
      <c r="H272" t="n">
        <v>0</v>
      </c>
      <c r="I272" t="n">
        <v>0</v>
      </c>
      <c r="J272" t="n">
        <v>0</v>
      </c>
      <c r="K272" t="n">
        <v>0</v>
      </c>
      <c r="L272" t="n">
        <v>0</v>
      </c>
      <c r="M272" t="n">
        <v>0</v>
      </c>
      <c r="N272" t="n">
        <v>0</v>
      </c>
      <c r="O272" t="n">
        <v>0</v>
      </c>
      <c r="P272" t="n">
        <v>0</v>
      </c>
      <c r="Q272" t="n">
        <v>0</v>
      </c>
      <c r="R272" s="2" t="inlineStr"/>
    </row>
    <row r="273" ht="15" customHeight="1">
      <c r="A273" t="inlineStr">
        <is>
          <t>A 47855-2024</t>
        </is>
      </c>
      <c r="B273" s="1" t="n">
        <v>45588.66457175926</v>
      </c>
      <c r="C273" s="1" t="n">
        <v>46107</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63583-2023</t>
        </is>
      </c>
      <c r="B274" s="1" t="n">
        <v>45275.41833333333</v>
      </c>
      <c r="C274" s="1" t="n">
        <v>46107</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22197-2024</t>
        </is>
      </c>
      <c r="B275" s="1" t="n">
        <v>45446.36774305555</v>
      </c>
      <c r="C275" s="1" t="n">
        <v>46107</v>
      </c>
      <c r="D275" t="inlineStr">
        <is>
          <t>KALMAR LÄN</t>
        </is>
      </c>
      <c r="E275" t="inlineStr">
        <is>
          <t>VIMMERBY</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35710-2023</t>
        </is>
      </c>
      <c r="B276" s="1" t="n">
        <v>45147.67096064815</v>
      </c>
      <c r="C276" s="1" t="n">
        <v>46107</v>
      </c>
      <c r="D276" t="inlineStr">
        <is>
          <t>KALMAR LÄN</t>
        </is>
      </c>
      <c r="E276" t="inlineStr">
        <is>
          <t>VIMMERBY</t>
        </is>
      </c>
      <c r="G276" t="n">
        <v>3.1</v>
      </c>
      <c r="H276" t="n">
        <v>0</v>
      </c>
      <c r="I276" t="n">
        <v>0</v>
      </c>
      <c r="J276" t="n">
        <v>0</v>
      </c>
      <c r="K276" t="n">
        <v>0</v>
      </c>
      <c r="L276" t="n">
        <v>0</v>
      </c>
      <c r="M276" t="n">
        <v>0</v>
      </c>
      <c r="N276" t="n">
        <v>0</v>
      </c>
      <c r="O276" t="n">
        <v>0</v>
      </c>
      <c r="P276" t="n">
        <v>0</v>
      </c>
      <c r="Q276" t="n">
        <v>0</v>
      </c>
      <c r="R276" s="2" t="inlineStr"/>
    </row>
    <row r="277" ht="15" customHeight="1">
      <c r="A277" t="inlineStr">
        <is>
          <t>A 60228-2021</t>
        </is>
      </c>
      <c r="B277" s="1" t="n">
        <v>44495</v>
      </c>
      <c r="C277" s="1" t="n">
        <v>46107</v>
      </c>
      <c r="D277" t="inlineStr">
        <is>
          <t>KALMAR LÄN</t>
        </is>
      </c>
      <c r="E277" t="inlineStr">
        <is>
          <t>VIMMERBY</t>
        </is>
      </c>
      <c r="G277" t="n">
        <v>4.1</v>
      </c>
      <c r="H277" t="n">
        <v>0</v>
      </c>
      <c r="I277" t="n">
        <v>0</v>
      </c>
      <c r="J277" t="n">
        <v>0</v>
      </c>
      <c r="K277" t="n">
        <v>0</v>
      </c>
      <c r="L277" t="n">
        <v>0</v>
      </c>
      <c r="M277" t="n">
        <v>0</v>
      </c>
      <c r="N277" t="n">
        <v>0</v>
      </c>
      <c r="O277" t="n">
        <v>0</v>
      </c>
      <c r="P277" t="n">
        <v>0</v>
      </c>
      <c r="Q277" t="n">
        <v>0</v>
      </c>
      <c r="R277" s="2" t="inlineStr"/>
    </row>
    <row r="278" ht="15" customHeight="1">
      <c r="A278" t="inlineStr">
        <is>
          <t>A 35711-2023</t>
        </is>
      </c>
      <c r="B278" s="1" t="n">
        <v>45147.67172453704</v>
      </c>
      <c r="C278" s="1" t="n">
        <v>46107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46522-2022</t>
        </is>
      </c>
      <c r="B279" s="1" t="n">
        <v>44848.59133101852</v>
      </c>
      <c r="C279" s="1" t="n">
        <v>46107</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21109-2024</t>
        </is>
      </c>
      <c r="B280" s="1" t="n">
        <v>45440.28329861111</v>
      </c>
      <c r="C280" s="1" t="n">
        <v>46107</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33815-2022</t>
        </is>
      </c>
      <c r="B281" s="1" t="n">
        <v>44790.45876157407</v>
      </c>
      <c r="C281" s="1" t="n">
        <v>46107</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49461-2022</t>
        </is>
      </c>
      <c r="B282" s="1" t="n">
        <v>44861</v>
      </c>
      <c r="C282" s="1" t="n">
        <v>46107</v>
      </c>
      <c r="D282" t="inlineStr">
        <is>
          <t>KALMAR LÄN</t>
        </is>
      </c>
      <c r="E282" t="inlineStr">
        <is>
          <t>VIMMERBY</t>
        </is>
      </c>
      <c r="G282" t="n">
        <v>3.2</v>
      </c>
      <c r="H282" t="n">
        <v>0</v>
      </c>
      <c r="I282" t="n">
        <v>0</v>
      </c>
      <c r="J282" t="n">
        <v>0</v>
      </c>
      <c r="K282" t="n">
        <v>0</v>
      </c>
      <c r="L282" t="n">
        <v>0</v>
      </c>
      <c r="M282" t="n">
        <v>0</v>
      </c>
      <c r="N282" t="n">
        <v>0</v>
      </c>
      <c r="O282" t="n">
        <v>0</v>
      </c>
      <c r="P282" t="n">
        <v>0</v>
      </c>
      <c r="Q282" t="n">
        <v>0</v>
      </c>
      <c r="R282" s="2" t="inlineStr"/>
    </row>
    <row r="283" ht="15" customHeight="1">
      <c r="A283" t="inlineStr">
        <is>
          <t>A 53542-2022</t>
        </is>
      </c>
      <c r="B283" s="1" t="n">
        <v>44879.62173611111</v>
      </c>
      <c r="C283" s="1" t="n">
        <v>46107</v>
      </c>
      <c r="D283" t="inlineStr">
        <is>
          <t>KALMAR LÄN</t>
        </is>
      </c>
      <c r="E283" t="inlineStr">
        <is>
          <t>VIMMERBY</t>
        </is>
      </c>
      <c r="G283" t="n">
        <v>2.6</v>
      </c>
      <c r="H283" t="n">
        <v>0</v>
      </c>
      <c r="I283" t="n">
        <v>0</v>
      </c>
      <c r="J283" t="n">
        <v>0</v>
      </c>
      <c r="K283" t="n">
        <v>0</v>
      </c>
      <c r="L283" t="n">
        <v>0</v>
      </c>
      <c r="M283" t="n">
        <v>0</v>
      </c>
      <c r="N283" t="n">
        <v>0</v>
      </c>
      <c r="O283" t="n">
        <v>0</v>
      </c>
      <c r="P283" t="n">
        <v>0</v>
      </c>
      <c r="Q283" t="n">
        <v>0</v>
      </c>
      <c r="R283" s="2" t="inlineStr"/>
    </row>
    <row r="284" ht="15" customHeight="1">
      <c r="A284" t="inlineStr">
        <is>
          <t>A 29726-2025</t>
        </is>
      </c>
      <c r="B284" s="1" t="n">
        <v>45825.57805555555</v>
      </c>
      <c r="C284" s="1" t="n">
        <v>46107</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35713-2023</t>
        </is>
      </c>
      <c r="B285" s="1" t="n">
        <v>45147</v>
      </c>
      <c r="C285" s="1" t="n">
        <v>46107</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10424-2023</t>
        </is>
      </c>
      <c r="B286" s="1" t="n">
        <v>44987.54104166666</v>
      </c>
      <c r="C286" s="1" t="n">
        <v>46107</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38964-2025</t>
        </is>
      </c>
      <c r="B287" s="1" t="n">
        <v>45887.68759259259</v>
      </c>
      <c r="C287" s="1" t="n">
        <v>46107</v>
      </c>
      <c r="D287" t="inlineStr">
        <is>
          <t>KALMAR LÄN</t>
        </is>
      </c>
      <c r="E287" t="inlineStr">
        <is>
          <t>VIMMERBY</t>
        </is>
      </c>
      <c r="G287" t="n">
        <v>7.5</v>
      </c>
      <c r="H287" t="n">
        <v>0</v>
      </c>
      <c r="I287" t="n">
        <v>0</v>
      </c>
      <c r="J287" t="n">
        <v>0</v>
      </c>
      <c r="K287" t="n">
        <v>0</v>
      </c>
      <c r="L287" t="n">
        <v>0</v>
      </c>
      <c r="M287" t="n">
        <v>0</v>
      </c>
      <c r="N287" t="n">
        <v>0</v>
      </c>
      <c r="O287" t="n">
        <v>0</v>
      </c>
      <c r="P287" t="n">
        <v>0</v>
      </c>
      <c r="Q287" t="n">
        <v>0</v>
      </c>
      <c r="R287" s="2" t="inlineStr"/>
    </row>
    <row r="288" ht="15" customHeight="1">
      <c r="A288" t="inlineStr">
        <is>
          <t>A 34588-2024</t>
        </is>
      </c>
      <c r="B288" s="1" t="n">
        <v>45526.3865625</v>
      </c>
      <c r="C288" s="1" t="n">
        <v>46107</v>
      </c>
      <c r="D288" t="inlineStr">
        <is>
          <t>KALMAR LÄN</t>
        </is>
      </c>
      <c r="E288" t="inlineStr">
        <is>
          <t>VIMMERBY</t>
        </is>
      </c>
      <c r="F288" t="inlineStr">
        <is>
          <t>Övriga Aktiebolag</t>
        </is>
      </c>
      <c r="G288" t="n">
        <v>3.3</v>
      </c>
      <c r="H288" t="n">
        <v>0</v>
      </c>
      <c r="I288" t="n">
        <v>0</v>
      </c>
      <c r="J288" t="n">
        <v>0</v>
      </c>
      <c r="K288" t="n">
        <v>0</v>
      </c>
      <c r="L288" t="n">
        <v>0</v>
      </c>
      <c r="M288" t="n">
        <v>0</v>
      </c>
      <c r="N288" t="n">
        <v>0</v>
      </c>
      <c r="O288" t="n">
        <v>0</v>
      </c>
      <c r="P288" t="n">
        <v>0</v>
      </c>
      <c r="Q288" t="n">
        <v>0</v>
      </c>
      <c r="R288" s="2" t="inlineStr"/>
    </row>
    <row r="289" ht="15" customHeight="1">
      <c r="A289" t="inlineStr">
        <is>
          <t>A 56659-2023</t>
        </is>
      </c>
      <c r="B289" s="1" t="n">
        <v>45243.84869212963</v>
      </c>
      <c r="C289" s="1" t="n">
        <v>46107</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33340-2023</t>
        </is>
      </c>
      <c r="B290" s="1" t="n">
        <v>45128.37305555555</v>
      </c>
      <c r="C290" s="1" t="n">
        <v>46107</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29017-2024</t>
        </is>
      </c>
      <c r="B291" s="1" t="n">
        <v>45481.56722222222</v>
      </c>
      <c r="C291" s="1" t="n">
        <v>46107</v>
      </c>
      <c r="D291" t="inlineStr">
        <is>
          <t>KALMAR LÄN</t>
        </is>
      </c>
      <c r="E291" t="inlineStr">
        <is>
          <t>VIMMERBY</t>
        </is>
      </c>
      <c r="G291" t="n">
        <v>0.6</v>
      </c>
      <c r="H291" t="n">
        <v>0</v>
      </c>
      <c r="I291" t="n">
        <v>0</v>
      </c>
      <c r="J291" t="n">
        <v>0</v>
      </c>
      <c r="K291" t="n">
        <v>0</v>
      </c>
      <c r="L291" t="n">
        <v>0</v>
      </c>
      <c r="M291" t="n">
        <v>0</v>
      </c>
      <c r="N291" t="n">
        <v>0</v>
      </c>
      <c r="O291" t="n">
        <v>0</v>
      </c>
      <c r="P291" t="n">
        <v>0</v>
      </c>
      <c r="Q291" t="n">
        <v>0</v>
      </c>
      <c r="R291" s="2" t="inlineStr"/>
    </row>
    <row r="292" ht="15" customHeight="1">
      <c r="A292" t="inlineStr">
        <is>
          <t>A 58046-2022</t>
        </is>
      </c>
      <c r="B292" s="1" t="n">
        <v>44900.57393518519</v>
      </c>
      <c r="C292" s="1" t="n">
        <v>46107</v>
      </c>
      <c r="D292" t="inlineStr">
        <is>
          <t>KALMAR LÄN</t>
        </is>
      </c>
      <c r="E292" t="inlineStr">
        <is>
          <t>VIMMERBY</t>
        </is>
      </c>
      <c r="G292" t="n">
        <v>2.5</v>
      </c>
      <c r="H292" t="n">
        <v>0</v>
      </c>
      <c r="I292" t="n">
        <v>0</v>
      </c>
      <c r="J292" t="n">
        <v>0</v>
      </c>
      <c r="K292" t="n">
        <v>0</v>
      </c>
      <c r="L292" t="n">
        <v>0</v>
      </c>
      <c r="M292" t="n">
        <v>0</v>
      </c>
      <c r="N292" t="n">
        <v>0</v>
      </c>
      <c r="O292" t="n">
        <v>0</v>
      </c>
      <c r="P292" t="n">
        <v>0</v>
      </c>
      <c r="Q292" t="n">
        <v>0</v>
      </c>
      <c r="R292" s="2" t="inlineStr"/>
    </row>
    <row r="293" ht="15" customHeight="1">
      <c r="A293" t="inlineStr">
        <is>
          <t>A 39801-2025</t>
        </is>
      </c>
      <c r="B293" s="1" t="n">
        <v>45891.50216435185</v>
      </c>
      <c r="C293" s="1" t="n">
        <v>46107</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39807-2025</t>
        </is>
      </c>
      <c r="B294" s="1" t="n">
        <v>45891.50986111111</v>
      </c>
      <c r="C294" s="1" t="n">
        <v>46107</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14548-2024</t>
        </is>
      </c>
      <c r="B295" s="1" t="n">
        <v>45394.66887731481</v>
      </c>
      <c r="C295" s="1" t="n">
        <v>46107</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3331-2023</t>
        </is>
      </c>
      <c r="B296" s="1" t="n">
        <v>44949</v>
      </c>
      <c r="C296" s="1" t="n">
        <v>46107</v>
      </c>
      <c r="D296" t="inlineStr">
        <is>
          <t>KALMAR LÄN</t>
        </is>
      </c>
      <c r="E296" t="inlineStr">
        <is>
          <t>VIMMERBY</t>
        </is>
      </c>
      <c r="G296" t="n">
        <v>6.2</v>
      </c>
      <c r="H296" t="n">
        <v>0</v>
      </c>
      <c r="I296" t="n">
        <v>0</v>
      </c>
      <c r="J296" t="n">
        <v>0</v>
      </c>
      <c r="K296" t="n">
        <v>0</v>
      </c>
      <c r="L296" t="n">
        <v>0</v>
      </c>
      <c r="M296" t="n">
        <v>0</v>
      </c>
      <c r="N296" t="n">
        <v>0</v>
      </c>
      <c r="O296" t="n">
        <v>0</v>
      </c>
      <c r="P296" t="n">
        <v>0</v>
      </c>
      <c r="Q296" t="n">
        <v>0</v>
      </c>
      <c r="R296" s="2" t="inlineStr"/>
    </row>
    <row r="297" ht="15" customHeight="1">
      <c r="A297" t="inlineStr">
        <is>
          <t>A 39736-2025</t>
        </is>
      </c>
      <c r="B297" s="1" t="n">
        <v>45891</v>
      </c>
      <c r="C297" s="1" t="n">
        <v>46107</v>
      </c>
      <c r="D297" t="inlineStr">
        <is>
          <t>KALMAR LÄN</t>
        </is>
      </c>
      <c r="E297" t="inlineStr">
        <is>
          <t>VIMMERBY</t>
        </is>
      </c>
      <c r="G297" t="n">
        <v>12.8</v>
      </c>
      <c r="H297" t="n">
        <v>0</v>
      </c>
      <c r="I297" t="n">
        <v>0</v>
      </c>
      <c r="J297" t="n">
        <v>0</v>
      </c>
      <c r="K297" t="n">
        <v>0</v>
      </c>
      <c r="L297" t="n">
        <v>0</v>
      </c>
      <c r="M297" t="n">
        <v>0</v>
      </c>
      <c r="N297" t="n">
        <v>0</v>
      </c>
      <c r="O297" t="n">
        <v>0</v>
      </c>
      <c r="P297" t="n">
        <v>0</v>
      </c>
      <c r="Q297" t="n">
        <v>0</v>
      </c>
      <c r="R297" s="2" t="inlineStr"/>
    </row>
    <row r="298" ht="15" customHeight="1">
      <c r="A298" t="inlineStr">
        <is>
          <t>A 48120-2022</t>
        </is>
      </c>
      <c r="B298" s="1" t="n">
        <v>44857.65989583333</v>
      </c>
      <c r="C298" s="1" t="n">
        <v>46107</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3423-2022</t>
        </is>
      </c>
      <c r="B299" s="1" t="n">
        <v>44585.50431712963</v>
      </c>
      <c r="C299" s="1" t="n">
        <v>46107</v>
      </c>
      <c r="D299" t="inlineStr">
        <is>
          <t>KALMAR LÄN</t>
        </is>
      </c>
      <c r="E299" t="inlineStr">
        <is>
          <t>VIMMERBY</t>
        </is>
      </c>
      <c r="G299" t="n">
        <v>1.7</v>
      </c>
      <c r="H299" t="n">
        <v>0</v>
      </c>
      <c r="I299" t="n">
        <v>0</v>
      </c>
      <c r="J299" t="n">
        <v>0</v>
      </c>
      <c r="K299" t="n">
        <v>0</v>
      </c>
      <c r="L299" t="n">
        <v>0</v>
      </c>
      <c r="M299" t="n">
        <v>0</v>
      </c>
      <c r="N299" t="n">
        <v>0</v>
      </c>
      <c r="O299" t="n">
        <v>0</v>
      </c>
      <c r="P299" t="n">
        <v>0</v>
      </c>
      <c r="Q299" t="n">
        <v>0</v>
      </c>
      <c r="R299" s="2" t="inlineStr"/>
    </row>
    <row r="300" ht="15" customHeight="1">
      <c r="A300" t="inlineStr">
        <is>
          <t>A 39803-2025</t>
        </is>
      </c>
      <c r="B300" s="1" t="n">
        <v>45891.50525462963</v>
      </c>
      <c r="C300" s="1" t="n">
        <v>46107</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11074-2023</t>
        </is>
      </c>
      <c r="B301" s="1" t="n">
        <v>44992.34151620371</v>
      </c>
      <c r="C301" s="1" t="n">
        <v>46107</v>
      </c>
      <c r="D301" t="inlineStr">
        <is>
          <t>KALMAR LÄN</t>
        </is>
      </c>
      <c r="E301" t="inlineStr">
        <is>
          <t>VIMMERBY</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71631-2021</t>
        </is>
      </c>
      <c r="B302" s="1" t="n">
        <v>44542.90072916666</v>
      </c>
      <c r="C302" s="1" t="n">
        <v>46107</v>
      </c>
      <c r="D302" t="inlineStr">
        <is>
          <t>KALMAR LÄN</t>
        </is>
      </c>
      <c r="E302" t="inlineStr">
        <is>
          <t>VIMMERBY</t>
        </is>
      </c>
      <c r="G302" t="n">
        <v>0.9</v>
      </c>
      <c r="H302" t="n">
        <v>0</v>
      </c>
      <c r="I302" t="n">
        <v>0</v>
      </c>
      <c r="J302" t="n">
        <v>0</v>
      </c>
      <c r="K302" t="n">
        <v>0</v>
      </c>
      <c r="L302" t="n">
        <v>0</v>
      </c>
      <c r="M302" t="n">
        <v>0</v>
      </c>
      <c r="N302" t="n">
        <v>0</v>
      </c>
      <c r="O302" t="n">
        <v>0</v>
      </c>
      <c r="P302" t="n">
        <v>0</v>
      </c>
      <c r="Q302" t="n">
        <v>0</v>
      </c>
      <c r="R302" s="2" t="inlineStr"/>
    </row>
    <row r="303" ht="15" customHeight="1">
      <c r="A303" t="inlineStr">
        <is>
          <t>A 39889-2025</t>
        </is>
      </c>
      <c r="B303" s="1" t="n">
        <v>45891</v>
      </c>
      <c r="C303" s="1" t="n">
        <v>46107</v>
      </c>
      <c r="D303" t="inlineStr">
        <is>
          <t>KALMAR LÄN</t>
        </is>
      </c>
      <c r="E303" t="inlineStr">
        <is>
          <t>VIMMERBY</t>
        </is>
      </c>
      <c r="G303" t="n">
        <v>4.5</v>
      </c>
      <c r="H303" t="n">
        <v>0</v>
      </c>
      <c r="I303" t="n">
        <v>0</v>
      </c>
      <c r="J303" t="n">
        <v>0</v>
      </c>
      <c r="K303" t="n">
        <v>0</v>
      </c>
      <c r="L303" t="n">
        <v>0</v>
      </c>
      <c r="M303" t="n">
        <v>0</v>
      </c>
      <c r="N303" t="n">
        <v>0</v>
      </c>
      <c r="O303" t="n">
        <v>0</v>
      </c>
      <c r="P303" t="n">
        <v>0</v>
      </c>
      <c r="Q303" t="n">
        <v>0</v>
      </c>
      <c r="R303" s="2" t="inlineStr"/>
    </row>
    <row r="304" ht="15" customHeight="1">
      <c r="A304" t="inlineStr">
        <is>
          <t>A 40828-2023</t>
        </is>
      </c>
      <c r="B304" s="1" t="n">
        <v>45171.96248842592</v>
      </c>
      <c r="C304" s="1" t="n">
        <v>46107</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49039-2021</t>
        </is>
      </c>
      <c r="B305" s="1" t="n">
        <v>44453.56578703703</v>
      </c>
      <c r="C305" s="1" t="n">
        <v>46107</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16734-2023</t>
        </is>
      </c>
      <c r="B306" s="1" t="n">
        <v>45030.71012731481</v>
      </c>
      <c r="C306" s="1" t="n">
        <v>46107</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42918-2021</t>
        </is>
      </c>
      <c r="B307" s="1" t="n">
        <v>44431</v>
      </c>
      <c r="C307" s="1" t="n">
        <v>46107</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529-2022</t>
        </is>
      </c>
      <c r="B308" s="1" t="n">
        <v>44566</v>
      </c>
      <c r="C308" s="1" t="n">
        <v>46107</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40970-2025</t>
        </is>
      </c>
      <c r="B309" s="1" t="n">
        <v>45897.88706018519</v>
      </c>
      <c r="C309" s="1" t="n">
        <v>46107</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40973-2025</t>
        </is>
      </c>
      <c r="B310" s="1" t="n">
        <v>45897.89737268518</v>
      </c>
      <c r="C310" s="1" t="n">
        <v>46107</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64143-2021</t>
        </is>
      </c>
      <c r="B311" s="1" t="n">
        <v>44510.52157407408</v>
      </c>
      <c r="C311" s="1" t="n">
        <v>46107</v>
      </c>
      <c r="D311" t="inlineStr">
        <is>
          <t>KALMAR LÄN</t>
        </is>
      </c>
      <c r="E311" t="inlineStr">
        <is>
          <t>VIMMERBY</t>
        </is>
      </c>
      <c r="G311" t="n">
        <v>1.6</v>
      </c>
      <c r="H311" t="n">
        <v>0</v>
      </c>
      <c r="I311" t="n">
        <v>0</v>
      </c>
      <c r="J311" t="n">
        <v>0</v>
      </c>
      <c r="K311" t="n">
        <v>0</v>
      </c>
      <c r="L311" t="n">
        <v>0</v>
      </c>
      <c r="M311" t="n">
        <v>0</v>
      </c>
      <c r="N311" t="n">
        <v>0</v>
      </c>
      <c r="O311" t="n">
        <v>0</v>
      </c>
      <c r="P311" t="n">
        <v>0</v>
      </c>
      <c r="Q311" t="n">
        <v>0</v>
      </c>
      <c r="R311" s="2" t="inlineStr"/>
    </row>
    <row r="312" ht="15" customHeight="1">
      <c r="A312" t="inlineStr">
        <is>
          <t>A 9720-2023</t>
        </is>
      </c>
      <c r="B312" s="1" t="n">
        <v>44984</v>
      </c>
      <c r="C312" s="1" t="n">
        <v>46107</v>
      </c>
      <c r="D312" t="inlineStr">
        <is>
          <t>KALMAR LÄN</t>
        </is>
      </c>
      <c r="E312" t="inlineStr">
        <is>
          <t>VIMMERBY</t>
        </is>
      </c>
      <c r="G312" t="n">
        <v>4.4</v>
      </c>
      <c r="H312" t="n">
        <v>0</v>
      </c>
      <c r="I312" t="n">
        <v>0</v>
      </c>
      <c r="J312" t="n">
        <v>0</v>
      </c>
      <c r="K312" t="n">
        <v>0</v>
      </c>
      <c r="L312" t="n">
        <v>0</v>
      </c>
      <c r="M312" t="n">
        <v>0</v>
      </c>
      <c r="N312" t="n">
        <v>0</v>
      </c>
      <c r="O312" t="n">
        <v>0</v>
      </c>
      <c r="P312" t="n">
        <v>0</v>
      </c>
      <c r="Q312" t="n">
        <v>0</v>
      </c>
      <c r="R312" s="2" t="inlineStr"/>
    </row>
    <row r="313" ht="15" customHeight="1">
      <c r="A313" t="inlineStr">
        <is>
          <t>A 41224-2025</t>
        </is>
      </c>
      <c r="B313" s="1" t="n">
        <v>45898.58861111111</v>
      </c>
      <c r="C313" s="1" t="n">
        <v>46107</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14855-2025</t>
        </is>
      </c>
      <c r="B314" s="1" t="n">
        <v>45743.41148148148</v>
      </c>
      <c r="C314" s="1" t="n">
        <v>46107</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60951-2023</t>
        </is>
      </c>
      <c r="B315" s="1" t="n">
        <v>45261.44914351852</v>
      </c>
      <c r="C315" s="1" t="n">
        <v>46107</v>
      </c>
      <c r="D315" t="inlineStr">
        <is>
          <t>KALMAR LÄN</t>
        </is>
      </c>
      <c r="E315" t="inlineStr">
        <is>
          <t>VIMMERBY</t>
        </is>
      </c>
      <c r="G315" t="n">
        <v>4.3</v>
      </c>
      <c r="H315" t="n">
        <v>0</v>
      </c>
      <c r="I315" t="n">
        <v>0</v>
      </c>
      <c r="J315" t="n">
        <v>0</v>
      </c>
      <c r="K315" t="n">
        <v>0</v>
      </c>
      <c r="L315" t="n">
        <v>0</v>
      </c>
      <c r="M315" t="n">
        <v>0</v>
      </c>
      <c r="N315" t="n">
        <v>0</v>
      </c>
      <c r="O315" t="n">
        <v>0</v>
      </c>
      <c r="P315" t="n">
        <v>0</v>
      </c>
      <c r="Q315" t="n">
        <v>0</v>
      </c>
      <c r="R315" s="2" t="inlineStr"/>
    </row>
    <row r="316" ht="15" customHeight="1">
      <c r="A316" t="inlineStr">
        <is>
          <t>A 5938-2022</t>
        </is>
      </c>
      <c r="B316" s="1" t="n">
        <v>44598</v>
      </c>
      <c r="C316" s="1" t="n">
        <v>46107</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1687-2023</t>
        </is>
      </c>
      <c r="B317" s="1" t="n">
        <v>44938</v>
      </c>
      <c r="C317" s="1" t="n">
        <v>46107</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29440-2024</t>
        </is>
      </c>
      <c r="B318" s="1" t="n">
        <v>45483.82479166667</v>
      </c>
      <c r="C318" s="1" t="n">
        <v>46107</v>
      </c>
      <c r="D318" t="inlineStr">
        <is>
          <t>KALMAR LÄN</t>
        </is>
      </c>
      <c r="E318" t="inlineStr">
        <is>
          <t>VIMMERBY</t>
        </is>
      </c>
      <c r="G318" t="n">
        <v>4.5</v>
      </c>
      <c r="H318" t="n">
        <v>0</v>
      </c>
      <c r="I318" t="n">
        <v>0</v>
      </c>
      <c r="J318" t="n">
        <v>0</v>
      </c>
      <c r="K318" t="n">
        <v>0</v>
      </c>
      <c r="L318" t="n">
        <v>0</v>
      </c>
      <c r="M318" t="n">
        <v>0</v>
      </c>
      <c r="N318" t="n">
        <v>0</v>
      </c>
      <c r="O318" t="n">
        <v>0</v>
      </c>
      <c r="P318" t="n">
        <v>0</v>
      </c>
      <c r="Q318" t="n">
        <v>0</v>
      </c>
      <c r="R318" s="2" t="inlineStr"/>
    </row>
    <row r="319" ht="15" customHeight="1">
      <c r="A319" t="inlineStr">
        <is>
          <t>A 30921-2024</t>
        </is>
      </c>
      <c r="B319" s="1" t="n">
        <v>45498</v>
      </c>
      <c r="C319" s="1" t="n">
        <v>46107</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19162-2023</t>
        </is>
      </c>
      <c r="B320" s="1" t="n">
        <v>45048.59699074074</v>
      </c>
      <c r="C320" s="1" t="n">
        <v>46107</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53482-2022</t>
        </is>
      </c>
      <c r="B321" s="1" t="n">
        <v>44879</v>
      </c>
      <c r="C321" s="1" t="n">
        <v>46107</v>
      </c>
      <c r="D321" t="inlineStr">
        <is>
          <t>KALMAR LÄN</t>
        </is>
      </c>
      <c r="E321" t="inlineStr">
        <is>
          <t>VIMMERBY</t>
        </is>
      </c>
      <c r="G321" t="n">
        <v>10.1</v>
      </c>
      <c r="H321" t="n">
        <v>0</v>
      </c>
      <c r="I321" t="n">
        <v>0</v>
      </c>
      <c r="J321" t="n">
        <v>0</v>
      </c>
      <c r="K321" t="n">
        <v>0</v>
      </c>
      <c r="L321" t="n">
        <v>0</v>
      </c>
      <c r="M321" t="n">
        <v>0</v>
      </c>
      <c r="N321" t="n">
        <v>0</v>
      </c>
      <c r="O321" t="n">
        <v>0</v>
      </c>
      <c r="P321" t="n">
        <v>0</v>
      </c>
      <c r="Q321" t="n">
        <v>0</v>
      </c>
      <c r="R321" s="2" t="inlineStr"/>
    </row>
    <row r="322" ht="15" customHeight="1">
      <c r="A322" t="inlineStr">
        <is>
          <t>A 31209-2024</t>
        </is>
      </c>
      <c r="B322" s="1" t="n">
        <v>45503.5658912037</v>
      </c>
      <c r="C322" s="1" t="n">
        <v>46107</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5864-2022</t>
        </is>
      </c>
      <c r="B323" s="1" t="n">
        <v>44596</v>
      </c>
      <c r="C323" s="1" t="n">
        <v>46107</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40925-2025</t>
        </is>
      </c>
      <c r="B324" s="1" t="n">
        <v>45897.64208333333</v>
      </c>
      <c r="C324" s="1" t="n">
        <v>46107</v>
      </c>
      <c r="D324" t="inlineStr">
        <is>
          <t>KALMAR LÄN</t>
        </is>
      </c>
      <c r="E324" t="inlineStr">
        <is>
          <t>VIMMERBY</t>
        </is>
      </c>
      <c r="G324" t="n">
        <v>1.9</v>
      </c>
      <c r="H324" t="n">
        <v>0</v>
      </c>
      <c r="I324" t="n">
        <v>0</v>
      </c>
      <c r="J324" t="n">
        <v>0</v>
      </c>
      <c r="K324" t="n">
        <v>0</v>
      </c>
      <c r="L324" t="n">
        <v>0</v>
      </c>
      <c r="M324" t="n">
        <v>0</v>
      </c>
      <c r="N324" t="n">
        <v>0</v>
      </c>
      <c r="O324" t="n">
        <v>0</v>
      </c>
      <c r="P324" t="n">
        <v>0</v>
      </c>
      <c r="Q324" t="n">
        <v>0</v>
      </c>
      <c r="R324" s="2" t="inlineStr"/>
    </row>
    <row r="325" ht="15" customHeight="1">
      <c r="A325" t="inlineStr">
        <is>
          <t>A 40921-2025</t>
        </is>
      </c>
      <c r="B325" s="1" t="n">
        <v>45897.63520833333</v>
      </c>
      <c r="C325" s="1" t="n">
        <v>46107</v>
      </c>
      <c r="D325" t="inlineStr">
        <is>
          <t>KALMAR LÄN</t>
        </is>
      </c>
      <c r="E325" t="inlineStr">
        <is>
          <t>VIMMERBY</t>
        </is>
      </c>
      <c r="G325" t="n">
        <v>4.2</v>
      </c>
      <c r="H325" t="n">
        <v>0</v>
      </c>
      <c r="I325" t="n">
        <v>0</v>
      </c>
      <c r="J325" t="n">
        <v>0</v>
      </c>
      <c r="K325" t="n">
        <v>0</v>
      </c>
      <c r="L325" t="n">
        <v>0</v>
      </c>
      <c r="M325" t="n">
        <v>0</v>
      </c>
      <c r="N325" t="n">
        <v>0</v>
      </c>
      <c r="O325" t="n">
        <v>0</v>
      </c>
      <c r="P325" t="n">
        <v>0</v>
      </c>
      <c r="Q325" t="n">
        <v>0</v>
      </c>
      <c r="R325" s="2" t="inlineStr"/>
    </row>
    <row r="326" ht="15" customHeight="1">
      <c r="A326" t="inlineStr">
        <is>
          <t>A 40971-2025</t>
        </is>
      </c>
      <c r="B326" s="1" t="n">
        <v>45897.88836805556</v>
      </c>
      <c r="C326" s="1" t="n">
        <v>46107</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3938-2023</t>
        </is>
      </c>
      <c r="B327" s="1" t="n">
        <v>44952.35775462963</v>
      </c>
      <c r="C327" s="1" t="n">
        <v>46107</v>
      </c>
      <c r="D327" t="inlineStr">
        <is>
          <t>KALMAR LÄN</t>
        </is>
      </c>
      <c r="E327" t="inlineStr">
        <is>
          <t>VIMMERBY</t>
        </is>
      </c>
      <c r="G327" t="n">
        <v>0.9</v>
      </c>
      <c r="H327" t="n">
        <v>0</v>
      </c>
      <c r="I327" t="n">
        <v>0</v>
      </c>
      <c r="J327" t="n">
        <v>0</v>
      </c>
      <c r="K327" t="n">
        <v>0</v>
      </c>
      <c r="L327" t="n">
        <v>0</v>
      </c>
      <c r="M327" t="n">
        <v>0</v>
      </c>
      <c r="N327" t="n">
        <v>0</v>
      </c>
      <c r="O327" t="n">
        <v>0</v>
      </c>
      <c r="P327" t="n">
        <v>0</v>
      </c>
      <c r="Q327" t="n">
        <v>0</v>
      </c>
      <c r="R327" s="2" t="inlineStr"/>
    </row>
    <row r="328" ht="15" customHeight="1">
      <c r="A328" t="inlineStr">
        <is>
          <t>A 29180-2024</t>
        </is>
      </c>
      <c r="B328" s="1" t="n">
        <v>45482.54108796296</v>
      </c>
      <c r="C328" s="1" t="n">
        <v>46107</v>
      </c>
      <c r="D328" t="inlineStr">
        <is>
          <t>KALMAR LÄN</t>
        </is>
      </c>
      <c r="E328" t="inlineStr">
        <is>
          <t>VIMMERBY</t>
        </is>
      </c>
      <c r="G328" t="n">
        <v>3.8</v>
      </c>
      <c r="H328" t="n">
        <v>0</v>
      </c>
      <c r="I328" t="n">
        <v>0</v>
      </c>
      <c r="J328" t="n">
        <v>0</v>
      </c>
      <c r="K328" t="n">
        <v>0</v>
      </c>
      <c r="L328" t="n">
        <v>0</v>
      </c>
      <c r="M328" t="n">
        <v>0</v>
      </c>
      <c r="N328" t="n">
        <v>0</v>
      </c>
      <c r="O328" t="n">
        <v>0</v>
      </c>
      <c r="P328" t="n">
        <v>0</v>
      </c>
      <c r="Q328" t="n">
        <v>0</v>
      </c>
      <c r="R328" s="2" t="inlineStr"/>
    </row>
    <row r="329" ht="15" customHeight="1">
      <c r="A329" t="inlineStr">
        <is>
          <t>A 41591-2025</t>
        </is>
      </c>
      <c r="B329" s="1" t="n">
        <v>45901.6327662037</v>
      </c>
      <c r="C329" s="1" t="n">
        <v>46107</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41589-2025</t>
        </is>
      </c>
      <c r="B330" s="1" t="n">
        <v>45901.63219907408</v>
      </c>
      <c r="C330" s="1" t="n">
        <v>46107</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26937-2023</t>
        </is>
      </c>
      <c r="B331" s="1" t="n">
        <v>45093.62777777778</v>
      </c>
      <c r="C331" s="1" t="n">
        <v>46107</v>
      </c>
      <c r="D331" t="inlineStr">
        <is>
          <t>KALMAR LÄN</t>
        </is>
      </c>
      <c r="E331" t="inlineStr">
        <is>
          <t>VIMMERBY</t>
        </is>
      </c>
      <c r="F331" t="inlineStr">
        <is>
          <t>Sveaskog</t>
        </is>
      </c>
      <c r="G331" t="n">
        <v>14.5</v>
      </c>
      <c r="H331" t="n">
        <v>0</v>
      </c>
      <c r="I331" t="n">
        <v>0</v>
      </c>
      <c r="J331" t="n">
        <v>0</v>
      </c>
      <c r="K331" t="n">
        <v>0</v>
      </c>
      <c r="L331" t="n">
        <v>0</v>
      </c>
      <c r="M331" t="n">
        <v>0</v>
      </c>
      <c r="N331" t="n">
        <v>0</v>
      </c>
      <c r="O331" t="n">
        <v>0</v>
      </c>
      <c r="P331" t="n">
        <v>0</v>
      </c>
      <c r="Q331" t="n">
        <v>0</v>
      </c>
      <c r="R331" s="2" t="inlineStr"/>
    </row>
    <row r="332" ht="15" customHeight="1">
      <c r="A332" t="inlineStr">
        <is>
          <t>A 50085-2023</t>
        </is>
      </c>
      <c r="B332" s="1" t="n">
        <v>45215.5959375</v>
      </c>
      <c r="C332" s="1" t="n">
        <v>46107</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11219-2023</t>
        </is>
      </c>
      <c r="B333" s="1" t="n">
        <v>44992.62498842592</v>
      </c>
      <c r="C333" s="1" t="n">
        <v>46107</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29783-2024</t>
        </is>
      </c>
      <c r="B334" s="1" t="n">
        <v>45485.45778935185</v>
      </c>
      <c r="C334" s="1" t="n">
        <v>46107</v>
      </c>
      <c r="D334" t="inlineStr">
        <is>
          <t>KALMAR LÄN</t>
        </is>
      </c>
      <c r="E334" t="inlineStr">
        <is>
          <t>VIMMERBY</t>
        </is>
      </c>
      <c r="G334" t="n">
        <v>3.1</v>
      </c>
      <c r="H334" t="n">
        <v>0</v>
      </c>
      <c r="I334" t="n">
        <v>0</v>
      </c>
      <c r="J334" t="n">
        <v>0</v>
      </c>
      <c r="K334" t="n">
        <v>0</v>
      </c>
      <c r="L334" t="n">
        <v>0</v>
      </c>
      <c r="M334" t="n">
        <v>0</v>
      </c>
      <c r="N334" t="n">
        <v>0</v>
      </c>
      <c r="O334" t="n">
        <v>0</v>
      </c>
      <c r="P334" t="n">
        <v>0</v>
      </c>
      <c r="Q334" t="n">
        <v>0</v>
      </c>
      <c r="R334" s="2" t="inlineStr"/>
    </row>
    <row r="335" ht="15" customHeight="1">
      <c r="A335" t="inlineStr">
        <is>
          <t>A 54838-2024</t>
        </is>
      </c>
      <c r="B335" s="1" t="n">
        <v>45618.56787037037</v>
      </c>
      <c r="C335" s="1" t="n">
        <v>46107</v>
      </c>
      <c r="D335" t="inlineStr">
        <is>
          <t>KALMAR LÄN</t>
        </is>
      </c>
      <c r="E335" t="inlineStr">
        <is>
          <t>VIMMERBY</t>
        </is>
      </c>
      <c r="G335" t="n">
        <v>3.3</v>
      </c>
      <c r="H335" t="n">
        <v>0</v>
      </c>
      <c r="I335" t="n">
        <v>0</v>
      </c>
      <c r="J335" t="n">
        <v>0</v>
      </c>
      <c r="K335" t="n">
        <v>0</v>
      </c>
      <c r="L335" t="n">
        <v>0</v>
      </c>
      <c r="M335" t="n">
        <v>0</v>
      </c>
      <c r="N335" t="n">
        <v>0</v>
      </c>
      <c r="O335" t="n">
        <v>0</v>
      </c>
      <c r="P335" t="n">
        <v>0</v>
      </c>
      <c r="Q335" t="n">
        <v>0</v>
      </c>
      <c r="R335" s="2" t="inlineStr"/>
    </row>
    <row r="336" ht="15" customHeight="1">
      <c r="A336" t="inlineStr">
        <is>
          <t>A 25987-2024</t>
        </is>
      </c>
      <c r="B336" s="1" t="n">
        <v>45467.74417824074</v>
      </c>
      <c r="C336" s="1" t="n">
        <v>46107</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25109-2023</t>
        </is>
      </c>
      <c r="B337" s="1" t="n">
        <v>45086</v>
      </c>
      <c r="C337" s="1" t="n">
        <v>46107</v>
      </c>
      <c r="D337" t="inlineStr">
        <is>
          <t>KALMAR LÄN</t>
        </is>
      </c>
      <c r="E337" t="inlineStr">
        <is>
          <t>VIMMERBY</t>
        </is>
      </c>
      <c r="G337" t="n">
        <v>1.5</v>
      </c>
      <c r="H337" t="n">
        <v>0</v>
      </c>
      <c r="I337" t="n">
        <v>0</v>
      </c>
      <c r="J337" t="n">
        <v>0</v>
      </c>
      <c r="K337" t="n">
        <v>0</v>
      </c>
      <c r="L337" t="n">
        <v>0</v>
      </c>
      <c r="M337" t="n">
        <v>0</v>
      </c>
      <c r="N337" t="n">
        <v>0</v>
      </c>
      <c r="O337" t="n">
        <v>0</v>
      </c>
      <c r="P337" t="n">
        <v>0</v>
      </c>
      <c r="Q337" t="n">
        <v>0</v>
      </c>
      <c r="R337" s="2" t="inlineStr"/>
    </row>
    <row r="338" ht="15" customHeight="1">
      <c r="A338" t="inlineStr">
        <is>
          <t>A 34090-2025</t>
        </is>
      </c>
      <c r="B338" s="1" t="n">
        <v>45845</v>
      </c>
      <c r="C338" s="1" t="n">
        <v>46107</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41735-2025</t>
        </is>
      </c>
      <c r="B339" s="1" t="n">
        <v>45902.47164351852</v>
      </c>
      <c r="C339" s="1" t="n">
        <v>46107</v>
      </c>
      <c r="D339" t="inlineStr">
        <is>
          <t>KALMAR LÄN</t>
        </is>
      </c>
      <c r="E339" t="inlineStr">
        <is>
          <t>VIMMERBY</t>
        </is>
      </c>
      <c r="G339" t="n">
        <v>3</v>
      </c>
      <c r="H339" t="n">
        <v>0</v>
      </c>
      <c r="I339" t="n">
        <v>0</v>
      </c>
      <c r="J339" t="n">
        <v>0</v>
      </c>
      <c r="K339" t="n">
        <v>0</v>
      </c>
      <c r="L339" t="n">
        <v>0</v>
      </c>
      <c r="M339" t="n">
        <v>0</v>
      </c>
      <c r="N339" t="n">
        <v>0</v>
      </c>
      <c r="O339" t="n">
        <v>0</v>
      </c>
      <c r="P339" t="n">
        <v>0</v>
      </c>
      <c r="Q339" t="n">
        <v>0</v>
      </c>
      <c r="R339" s="2" t="inlineStr"/>
    </row>
    <row r="340" ht="15" customHeight="1">
      <c r="A340" t="inlineStr">
        <is>
          <t>A 62023-2022</t>
        </is>
      </c>
      <c r="B340" s="1" t="n">
        <v>44918.50106481482</v>
      </c>
      <c r="C340" s="1" t="n">
        <v>46107</v>
      </c>
      <c r="D340" t="inlineStr">
        <is>
          <t>KALMAR LÄN</t>
        </is>
      </c>
      <c r="E340" t="inlineStr">
        <is>
          <t>VIMMERBY</t>
        </is>
      </c>
      <c r="G340" t="n">
        <v>0.3</v>
      </c>
      <c r="H340" t="n">
        <v>0</v>
      </c>
      <c r="I340" t="n">
        <v>0</v>
      </c>
      <c r="J340" t="n">
        <v>0</v>
      </c>
      <c r="K340" t="n">
        <v>0</v>
      </c>
      <c r="L340" t="n">
        <v>0</v>
      </c>
      <c r="M340" t="n">
        <v>0</v>
      </c>
      <c r="N340" t="n">
        <v>0</v>
      </c>
      <c r="O340" t="n">
        <v>0</v>
      </c>
      <c r="P340" t="n">
        <v>0</v>
      </c>
      <c r="Q340" t="n">
        <v>0</v>
      </c>
      <c r="R340" s="2" t="inlineStr"/>
    </row>
    <row r="341" ht="15" customHeight="1">
      <c r="A341" t="inlineStr">
        <is>
          <t>A 6850-2023</t>
        </is>
      </c>
      <c r="B341" s="1" t="n">
        <v>44967.44255787037</v>
      </c>
      <c r="C341" s="1" t="n">
        <v>46107</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6358-2022</t>
        </is>
      </c>
      <c r="B342" s="1" t="n">
        <v>44600</v>
      </c>
      <c r="C342" s="1" t="n">
        <v>46107</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58104-2024</t>
        </is>
      </c>
      <c r="B343" s="1" t="n">
        <v>45632.37459490741</v>
      </c>
      <c r="C343" s="1" t="n">
        <v>46107</v>
      </c>
      <c r="D343" t="inlineStr">
        <is>
          <t>KALMAR LÄN</t>
        </is>
      </c>
      <c r="E343" t="inlineStr">
        <is>
          <t>VIMMERBY</t>
        </is>
      </c>
      <c r="G343" t="n">
        <v>5</v>
      </c>
      <c r="H343" t="n">
        <v>0</v>
      </c>
      <c r="I343" t="n">
        <v>0</v>
      </c>
      <c r="J343" t="n">
        <v>0</v>
      </c>
      <c r="K343" t="n">
        <v>0</v>
      </c>
      <c r="L343" t="n">
        <v>0</v>
      </c>
      <c r="M343" t="n">
        <v>0</v>
      </c>
      <c r="N343" t="n">
        <v>0</v>
      </c>
      <c r="O343" t="n">
        <v>0</v>
      </c>
      <c r="P343" t="n">
        <v>0</v>
      </c>
      <c r="Q343" t="n">
        <v>0</v>
      </c>
      <c r="R343" s="2" t="inlineStr"/>
    </row>
    <row r="344" ht="15" customHeight="1">
      <c r="A344" t="inlineStr">
        <is>
          <t>A 12215-2024</t>
        </is>
      </c>
      <c r="B344" s="1" t="n">
        <v>45378.32185185186</v>
      </c>
      <c r="C344" s="1" t="n">
        <v>46107</v>
      </c>
      <c r="D344" t="inlineStr">
        <is>
          <t>KALMAR LÄN</t>
        </is>
      </c>
      <c r="E344" t="inlineStr">
        <is>
          <t>VIMMERBY</t>
        </is>
      </c>
      <c r="G344" t="n">
        <v>1.6</v>
      </c>
      <c r="H344" t="n">
        <v>0</v>
      </c>
      <c r="I344" t="n">
        <v>0</v>
      </c>
      <c r="J344" t="n">
        <v>0</v>
      </c>
      <c r="K344" t="n">
        <v>0</v>
      </c>
      <c r="L344" t="n">
        <v>0</v>
      </c>
      <c r="M344" t="n">
        <v>0</v>
      </c>
      <c r="N344" t="n">
        <v>0</v>
      </c>
      <c r="O344" t="n">
        <v>0</v>
      </c>
      <c r="P344" t="n">
        <v>0</v>
      </c>
      <c r="Q344" t="n">
        <v>0</v>
      </c>
      <c r="R344" s="2" t="inlineStr"/>
    </row>
    <row r="345" ht="15" customHeight="1">
      <c r="A345" t="inlineStr">
        <is>
          <t>A 30920-2024</t>
        </is>
      </c>
      <c r="B345" s="1" t="n">
        <v>45498.673125</v>
      </c>
      <c r="C345" s="1" t="n">
        <v>46107</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43853-2023</t>
        </is>
      </c>
      <c r="B346" s="1" t="n">
        <v>45187.60813657408</v>
      </c>
      <c r="C346" s="1" t="n">
        <v>46107</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56536-2022</t>
        </is>
      </c>
      <c r="B347" s="1" t="n">
        <v>44893</v>
      </c>
      <c r="C347" s="1" t="n">
        <v>46107</v>
      </c>
      <c r="D347" t="inlineStr">
        <is>
          <t>KALMAR LÄN</t>
        </is>
      </c>
      <c r="E347" t="inlineStr">
        <is>
          <t>VIMMERBY</t>
        </is>
      </c>
      <c r="G347" t="n">
        <v>3.2</v>
      </c>
      <c r="H347" t="n">
        <v>0</v>
      </c>
      <c r="I347" t="n">
        <v>0</v>
      </c>
      <c r="J347" t="n">
        <v>0</v>
      </c>
      <c r="K347" t="n">
        <v>0</v>
      </c>
      <c r="L347" t="n">
        <v>0</v>
      </c>
      <c r="M347" t="n">
        <v>0</v>
      </c>
      <c r="N347" t="n">
        <v>0</v>
      </c>
      <c r="O347" t="n">
        <v>0</v>
      </c>
      <c r="P347" t="n">
        <v>0</v>
      </c>
      <c r="Q347" t="n">
        <v>0</v>
      </c>
      <c r="R347" s="2" t="inlineStr"/>
    </row>
    <row r="348" ht="15" customHeight="1">
      <c r="A348" t="inlineStr">
        <is>
          <t>A 63541-2023</t>
        </is>
      </c>
      <c r="B348" s="1" t="n">
        <v>45275.32266203704</v>
      </c>
      <c r="C348" s="1" t="n">
        <v>46107</v>
      </c>
      <c r="D348" t="inlineStr">
        <is>
          <t>KALMAR LÄN</t>
        </is>
      </c>
      <c r="E348" t="inlineStr">
        <is>
          <t>VIMMERBY</t>
        </is>
      </c>
      <c r="G348" t="n">
        <v>1.1</v>
      </c>
      <c r="H348" t="n">
        <v>0</v>
      </c>
      <c r="I348" t="n">
        <v>0</v>
      </c>
      <c r="J348" t="n">
        <v>0</v>
      </c>
      <c r="K348" t="n">
        <v>0</v>
      </c>
      <c r="L348" t="n">
        <v>0</v>
      </c>
      <c r="M348" t="n">
        <v>0</v>
      </c>
      <c r="N348" t="n">
        <v>0</v>
      </c>
      <c r="O348" t="n">
        <v>0</v>
      </c>
      <c r="P348" t="n">
        <v>0</v>
      </c>
      <c r="Q348" t="n">
        <v>0</v>
      </c>
      <c r="R348" s="2" t="inlineStr"/>
    </row>
    <row r="349" ht="15" customHeight="1">
      <c r="A349" t="inlineStr">
        <is>
          <t>A 37323-2024</t>
        </is>
      </c>
      <c r="B349" s="1" t="n">
        <v>45540.50098379629</v>
      </c>
      <c r="C349" s="1" t="n">
        <v>46107</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48673-2021</t>
        </is>
      </c>
      <c r="B350" s="1" t="n">
        <v>44452</v>
      </c>
      <c r="C350" s="1" t="n">
        <v>46107</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14137-2023</t>
        </is>
      </c>
      <c r="B351" s="1" t="n">
        <v>45009.4671875</v>
      </c>
      <c r="C351" s="1" t="n">
        <v>46107</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7630-2025</t>
        </is>
      </c>
      <c r="B352" s="1" t="n">
        <v>45705.74418981482</v>
      </c>
      <c r="C352" s="1" t="n">
        <v>46107</v>
      </c>
      <c r="D352" t="inlineStr">
        <is>
          <t>KALMAR LÄN</t>
        </is>
      </c>
      <c r="E352" t="inlineStr">
        <is>
          <t>VIMMERBY</t>
        </is>
      </c>
      <c r="G352" t="n">
        <v>2.5</v>
      </c>
      <c r="H352" t="n">
        <v>0</v>
      </c>
      <c r="I352" t="n">
        <v>0</v>
      </c>
      <c r="J352" t="n">
        <v>0</v>
      </c>
      <c r="K352" t="n">
        <v>0</v>
      </c>
      <c r="L352" t="n">
        <v>0</v>
      </c>
      <c r="M352" t="n">
        <v>0</v>
      </c>
      <c r="N352" t="n">
        <v>0</v>
      </c>
      <c r="O352" t="n">
        <v>0</v>
      </c>
      <c r="P352" t="n">
        <v>0</v>
      </c>
      <c r="Q352" t="n">
        <v>0</v>
      </c>
      <c r="R352" s="2" t="inlineStr"/>
    </row>
    <row r="353" ht="15" customHeight="1">
      <c r="A353" t="inlineStr">
        <is>
          <t>A 42828-2025</t>
        </is>
      </c>
      <c r="B353" s="1" t="n">
        <v>45908.57716435185</v>
      </c>
      <c r="C353" s="1" t="n">
        <v>46107</v>
      </c>
      <c r="D353" t="inlineStr">
        <is>
          <t>KALMAR LÄN</t>
        </is>
      </c>
      <c r="E353" t="inlineStr">
        <is>
          <t>VIMMERBY</t>
        </is>
      </c>
      <c r="G353" t="n">
        <v>5.2</v>
      </c>
      <c r="H353" t="n">
        <v>0</v>
      </c>
      <c r="I353" t="n">
        <v>0</v>
      </c>
      <c r="J353" t="n">
        <v>0</v>
      </c>
      <c r="K353" t="n">
        <v>0</v>
      </c>
      <c r="L353" t="n">
        <v>0</v>
      </c>
      <c r="M353" t="n">
        <v>0</v>
      </c>
      <c r="N353" t="n">
        <v>0</v>
      </c>
      <c r="O353" t="n">
        <v>0</v>
      </c>
      <c r="P353" t="n">
        <v>0</v>
      </c>
      <c r="Q353" t="n">
        <v>0</v>
      </c>
      <c r="R353" s="2" t="inlineStr"/>
    </row>
    <row r="354" ht="15" customHeight="1">
      <c r="A354" t="inlineStr">
        <is>
          <t>A 42794-2025</t>
        </is>
      </c>
      <c r="B354" s="1" t="n">
        <v>45908</v>
      </c>
      <c r="C354" s="1" t="n">
        <v>46107</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38780-2021</t>
        </is>
      </c>
      <c r="B355" s="1" t="n">
        <v>44410</v>
      </c>
      <c r="C355" s="1" t="n">
        <v>46107</v>
      </c>
      <c r="D355" t="inlineStr">
        <is>
          <t>KALMAR LÄN</t>
        </is>
      </c>
      <c r="E355" t="inlineStr">
        <is>
          <t>VIMMERBY</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30503-2023</t>
        </is>
      </c>
      <c r="B356" s="1" t="n">
        <v>45111</v>
      </c>
      <c r="C356" s="1" t="n">
        <v>46107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60110-2022</t>
        </is>
      </c>
      <c r="B357" s="1" t="n">
        <v>44909</v>
      </c>
      <c r="C357" s="1" t="n">
        <v>46107</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42820-2025</t>
        </is>
      </c>
      <c r="B358" s="1" t="n">
        <v>45908</v>
      </c>
      <c r="C358" s="1" t="n">
        <v>46107</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59300-2024</t>
        </is>
      </c>
      <c r="B359" s="1" t="n">
        <v>45637.66542824074</v>
      </c>
      <c r="C359" s="1" t="n">
        <v>46107</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11429-2022</t>
        </is>
      </c>
      <c r="B360" s="1" t="n">
        <v>44630</v>
      </c>
      <c r="C360" s="1" t="n">
        <v>46107</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34060-2025</t>
        </is>
      </c>
      <c r="B361" s="1" t="n">
        <v>45845.42015046296</v>
      </c>
      <c r="C361" s="1" t="n">
        <v>46107</v>
      </c>
      <c r="D361" t="inlineStr">
        <is>
          <t>KALMAR LÄN</t>
        </is>
      </c>
      <c r="E361" t="inlineStr">
        <is>
          <t>VIMMERBY</t>
        </is>
      </c>
      <c r="G361" t="n">
        <v>5.7</v>
      </c>
      <c r="H361" t="n">
        <v>0</v>
      </c>
      <c r="I361" t="n">
        <v>0</v>
      </c>
      <c r="J361" t="n">
        <v>0</v>
      </c>
      <c r="K361" t="n">
        <v>0</v>
      </c>
      <c r="L361" t="n">
        <v>0</v>
      </c>
      <c r="M361" t="n">
        <v>0</v>
      </c>
      <c r="N361" t="n">
        <v>0</v>
      </c>
      <c r="O361" t="n">
        <v>0</v>
      </c>
      <c r="P361" t="n">
        <v>0</v>
      </c>
      <c r="Q361" t="n">
        <v>0</v>
      </c>
      <c r="R361" s="2" t="inlineStr"/>
    </row>
    <row r="362" ht="15" customHeight="1">
      <c r="A362" t="inlineStr">
        <is>
          <t>A 19445-2021</t>
        </is>
      </c>
      <c r="B362" s="1" t="n">
        <v>44310</v>
      </c>
      <c r="C362" s="1" t="n">
        <v>46107</v>
      </c>
      <c r="D362" t="inlineStr">
        <is>
          <t>KALMAR LÄN</t>
        </is>
      </c>
      <c r="E362" t="inlineStr">
        <is>
          <t>VIMMERBY</t>
        </is>
      </c>
      <c r="G362" t="n">
        <v>6.8</v>
      </c>
      <c r="H362" t="n">
        <v>0</v>
      </c>
      <c r="I362" t="n">
        <v>0</v>
      </c>
      <c r="J362" t="n">
        <v>0</v>
      </c>
      <c r="K362" t="n">
        <v>0</v>
      </c>
      <c r="L362" t="n">
        <v>0</v>
      </c>
      <c r="M362" t="n">
        <v>0</v>
      </c>
      <c r="N362" t="n">
        <v>0</v>
      </c>
      <c r="O362" t="n">
        <v>0</v>
      </c>
      <c r="P362" t="n">
        <v>0</v>
      </c>
      <c r="Q362" t="n">
        <v>0</v>
      </c>
      <c r="R362" s="2" t="inlineStr"/>
    </row>
    <row r="363" ht="15" customHeight="1">
      <c r="A363" t="inlineStr">
        <is>
          <t>A 56582-2022</t>
        </is>
      </c>
      <c r="B363" s="1" t="n">
        <v>44893</v>
      </c>
      <c r="C363" s="1" t="n">
        <v>46107</v>
      </c>
      <c r="D363" t="inlineStr">
        <is>
          <t>KALMAR LÄN</t>
        </is>
      </c>
      <c r="E363" t="inlineStr">
        <is>
          <t>VIMMERBY</t>
        </is>
      </c>
      <c r="G363" t="n">
        <v>2.2</v>
      </c>
      <c r="H363" t="n">
        <v>0</v>
      </c>
      <c r="I363" t="n">
        <v>0</v>
      </c>
      <c r="J363" t="n">
        <v>0</v>
      </c>
      <c r="K363" t="n">
        <v>0</v>
      </c>
      <c r="L363" t="n">
        <v>0</v>
      </c>
      <c r="M363" t="n">
        <v>0</v>
      </c>
      <c r="N363" t="n">
        <v>0</v>
      </c>
      <c r="O363" t="n">
        <v>0</v>
      </c>
      <c r="P363" t="n">
        <v>0</v>
      </c>
      <c r="Q363" t="n">
        <v>0</v>
      </c>
      <c r="R363" s="2" t="inlineStr"/>
    </row>
    <row r="364" ht="15" customHeight="1">
      <c r="A364" t="inlineStr">
        <is>
          <t>A 18329-2023</t>
        </is>
      </c>
      <c r="B364" s="1" t="n">
        <v>45041.63380787037</v>
      </c>
      <c r="C364" s="1" t="n">
        <v>46107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43617-2025</t>
        </is>
      </c>
      <c r="B365" s="1" t="n">
        <v>45911.67798611111</v>
      </c>
      <c r="C365" s="1" t="n">
        <v>46107</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5720-2023</t>
        </is>
      </c>
      <c r="B366" s="1" t="n">
        <v>44961</v>
      </c>
      <c r="C366" s="1" t="n">
        <v>46107</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61538-2022</t>
        </is>
      </c>
      <c r="B367" s="1" t="n">
        <v>44916.55414351852</v>
      </c>
      <c r="C367" s="1" t="n">
        <v>46107</v>
      </c>
      <c r="D367" t="inlineStr">
        <is>
          <t>KALMAR LÄN</t>
        </is>
      </c>
      <c r="E367" t="inlineStr">
        <is>
          <t>VIMMERBY</t>
        </is>
      </c>
      <c r="G367" t="n">
        <v>1.5</v>
      </c>
      <c r="H367" t="n">
        <v>0</v>
      </c>
      <c r="I367" t="n">
        <v>0</v>
      </c>
      <c r="J367" t="n">
        <v>0</v>
      </c>
      <c r="K367" t="n">
        <v>0</v>
      </c>
      <c r="L367" t="n">
        <v>0</v>
      </c>
      <c r="M367" t="n">
        <v>0</v>
      </c>
      <c r="N367" t="n">
        <v>0</v>
      </c>
      <c r="O367" t="n">
        <v>0</v>
      </c>
      <c r="P367" t="n">
        <v>0</v>
      </c>
      <c r="Q367" t="n">
        <v>0</v>
      </c>
      <c r="R367" s="2" t="inlineStr"/>
    </row>
    <row r="368" ht="15" customHeight="1">
      <c r="A368" t="inlineStr">
        <is>
          <t>A 43465-2025</t>
        </is>
      </c>
      <c r="B368" s="1" t="n">
        <v>45911.47138888889</v>
      </c>
      <c r="C368" s="1" t="n">
        <v>46107</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6408-2025</t>
        </is>
      </c>
      <c r="B369" s="1" t="n">
        <v>45699.45671296296</v>
      </c>
      <c r="C369" s="1" t="n">
        <v>46107</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694-2024</t>
        </is>
      </c>
      <c r="B370" s="1" t="n">
        <v>45300.3794212963</v>
      </c>
      <c r="C370" s="1" t="n">
        <v>46107</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57114-2023</t>
        </is>
      </c>
      <c r="B371" s="1" t="n">
        <v>45245.36174768519</v>
      </c>
      <c r="C371" s="1" t="n">
        <v>46107</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12327-2023</t>
        </is>
      </c>
      <c r="B372" s="1" t="n">
        <v>44999.36081018519</v>
      </c>
      <c r="C372" s="1" t="n">
        <v>46107</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44329-2025</t>
        </is>
      </c>
      <c r="B373" s="1" t="n">
        <v>45916.41019675926</v>
      </c>
      <c r="C373" s="1" t="n">
        <v>46107</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11609-2023</t>
        </is>
      </c>
      <c r="B374" s="1" t="n">
        <v>44994.40635416667</v>
      </c>
      <c r="C374" s="1" t="n">
        <v>46107</v>
      </c>
      <c r="D374" t="inlineStr">
        <is>
          <t>KALMAR LÄN</t>
        </is>
      </c>
      <c r="E374" t="inlineStr">
        <is>
          <t>VIMMERBY</t>
        </is>
      </c>
      <c r="G374" t="n">
        <v>4.9</v>
      </c>
      <c r="H374" t="n">
        <v>0</v>
      </c>
      <c r="I374" t="n">
        <v>0</v>
      </c>
      <c r="J374" t="n">
        <v>0</v>
      </c>
      <c r="K374" t="n">
        <v>0</v>
      </c>
      <c r="L374" t="n">
        <v>0</v>
      </c>
      <c r="M374" t="n">
        <v>0</v>
      </c>
      <c r="N374" t="n">
        <v>0</v>
      </c>
      <c r="O374" t="n">
        <v>0</v>
      </c>
      <c r="P374" t="n">
        <v>0</v>
      </c>
      <c r="Q374" t="n">
        <v>0</v>
      </c>
      <c r="R374" s="2" t="inlineStr"/>
    </row>
    <row r="375" ht="15" customHeight="1">
      <c r="A375" t="inlineStr">
        <is>
          <t>A 44517-2025</t>
        </is>
      </c>
      <c r="B375" s="1" t="n">
        <v>45916.7103587963</v>
      </c>
      <c r="C375" s="1" t="n">
        <v>46107</v>
      </c>
      <c r="D375" t="inlineStr">
        <is>
          <t>KALMAR LÄN</t>
        </is>
      </c>
      <c r="E375" t="inlineStr">
        <is>
          <t>VIMMERBY</t>
        </is>
      </c>
      <c r="G375" t="n">
        <v>0.9</v>
      </c>
      <c r="H375" t="n">
        <v>0</v>
      </c>
      <c r="I375" t="n">
        <v>0</v>
      </c>
      <c r="J375" t="n">
        <v>0</v>
      </c>
      <c r="K375" t="n">
        <v>0</v>
      </c>
      <c r="L375" t="n">
        <v>0</v>
      </c>
      <c r="M375" t="n">
        <v>0</v>
      </c>
      <c r="N375" t="n">
        <v>0</v>
      </c>
      <c r="O375" t="n">
        <v>0</v>
      </c>
      <c r="P375" t="n">
        <v>0</v>
      </c>
      <c r="Q375" t="n">
        <v>0</v>
      </c>
      <c r="R375" s="2" t="inlineStr"/>
    </row>
    <row r="376" ht="15" customHeight="1">
      <c r="A376" t="inlineStr">
        <is>
          <t>A 30633-2024</t>
        </is>
      </c>
      <c r="B376" s="1" t="n">
        <v>45495</v>
      </c>
      <c r="C376" s="1" t="n">
        <v>46107</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33424-2023</t>
        </is>
      </c>
      <c r="B377" s="1" t="n">
        <v>45128.9325</v>
      </c>
      <c r="C377" s="1" t="n">
        <v>46107</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33425-2023</t>
        </is>
      </c>
      <c r="B378" s="1" t="n">
        <v>45128.93540509259</v>
      </c>
      <c r="C378" s="1" t="n">
        <v>46107</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3609-2024</t>
        </is>
      </c>
      <c r="B379" s="1" t="n">
        <v>45320.89128472222</v>
      </c>
      <c r="C379" s="1" t="n">
        <v>46107</v>
      </c>
      <c r="D379" t="inlineStr">
        <is>
          <t>KALMAR LÄN</t>
        </is>
      </c>
      <c r="E379" t="inlineStr">
        <is>
          <t>VIMMERBY</t>
        </is>
      </c>
      <c r="G379" t="n">
        <v>1.7</v>
      </c>
      <c r="H379" t="n">
        <v>0</v>
      </c>
      <c r="I379" t="n">
        <v>0</v>
      </c>
      <c r="J379" t="n">
        <v>0</v>
      </c>
      <c r="K379" t="n">
        <v>0</v>
      </c>
      <c r="L379" t="n">
        <v>0</v>
      </c>
      <c r="M379" t="n">
        <v>0</v>
      </c>
      <c r="N379" t="n">
        <v>0</v>
      </c>
      <c r="O379" t="n">
        <v>0</v>
      </c>
      <c r="P379" t="n">
        <v>0</v>
      </c>
      <c r="Q379" t="n">
        <v>0</v>
      </c>
      <c r="R379" s="2" t="inlineStr"/>
    </row>
    <row r="380" ht="15" customHeight="1">
      <c r="A380" t="inlineStr">
        <is>
          <t>A 44091-2025</t>
        </is>
      </c>
      <c r="B380" s="1" t="n">
        <v>45915.55950231481</v>
      </c>
      <c r="C380" s="1" t="n">
        <v>46107</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44464-2024</t>
        </is>
      </c>
      <c r="B381" s="1" t="n">
        <v>45574.35809027778</v>
      </c>
      <c r="C381" s="1" t="n">
        <v>46107</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44095-2025</t>
        </is>
      </c>
      <c r="B382" s="1" t="n">
        <v>45915.56430555556</v>
      </c>
      <c r="C382" s="1" t="n">
        <v>46107</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41066-2024</t>
        </is>
      </c>
      <c r="B383" s="1" t="n">
        <v>45559.38876157408</v>
      </c>
      <c r="C383" s="1" t="n">
        <v>46107</v>
      </c>
      <c r="D383" t="inlineStr">
        <is>
          <t>KALMAR LÄN</t>
        </is>
      </c>
      <c r="E383" t="inlineStr">
        <is>
          <t>VIMMERBY</t>
        </is>
      </c>
      <c r="G383" t="n">
        <v>2.4</v>
      </c>
      <c r="H383" t="n">
        <v>0</v>
      </c>
      <c r="I383" t="n">
        <v>0</v>
      </c>
      <c r="J383" t="n">
        <v>0</v>
      </c>
      <c r="K383" t="n">
        <v>0</v>
      </c>
      <c r="L383" t="n">
        <v>0</v>
      </c>
      <c r="M383" t="n">
        <v>0</v>
      </c>
      <c r="N383" t="n">
        <v>0</v>
      </c>
      <c r="O383" t="n">
        <v>0</v>
      </c>
      <c r="P383" t="n">
        <v>0</v>
      </c>
      <c r="Q383" t="n">
        <v>0</v>
      </c>
      <c r="R383" s="2" t="inlineStr"/>
    </row>
    <row r="384" ht="15" customHeight="1">
      <c r="A384" t="inlineStr">
        <is>
          <t>A 44742-2025</t>
        </is>
      </c>
      <c r="B384" s="1" t="n">
        <v>45917.67054398148</v>
      </c>
      <c r="C384" s="1" t="n">
        <v>46107</v>
      </c>
      <c r="D384" t="inlineStr">
        <is>
          <t>KALMAR LÄN</t>
        </is>
      </c>
      <c r="E384" t="inlineStr">
        <is>
          <t>VIMMERBY</t>
        </is>
      </c>
      <c r="G384" t="n">
        <v>4.7</v>
      </c>
      <c r="H384" t="n">
        <v>0</v>
      </c>
      <c r="I384" t="n">
        <v>0</v>
      </c>
      <c r="J384" t="n">
        <v>0</v>
      </c>
      <c r="K384" t="n">
        <v>0</v>
      </c>
      <c r="L384" t="n">
        <v>0</v>
      </c>
      <c r="M384" t="n">
        <v>0</v>
      </c>
      <c r="N384" t="n">
        <v>0</v>
      </c>
      <c r="O384" t="n">
        <v>0</v>
      </c>
      <c r="P384" t="n">
        <v>0</v>
      </c>
      <c r="Q384" t="n">
        <v>0</v>
      </c>
      <c r="R384" s="2" t="inlineStr"/>
    </row>
    <row r="385" ht="15" customHeight="1">
      <c r="A385" t="inlineStr">
        <is>
          <t>A 41896-2025</t>
        </is>
      </c>
      <c r="B385" s="1" t="n">
        <v>45903.38800925926</v>
      </c>
      <c r="C385" s="1" t="n">
        <v>46107</v>
      </c>
      <c r="D385" t="inlineStr">
        <is>
          <t>KALMAR LÄN</t>
        </is>
      </c>
      <c r="E385" t="inlineStr">
        <is>
          <t>VIMMERBY</t>
        </is>
      </c>
      <c r="G385" t="n">
        <v>2.9</v>
      </c>
      <c r="H385" t="n">
        <v>0</v>
      </c>
      <c r="I385" t="n">
        <v>0</v>
      </c>
      <c r="J385" t="n">
        <v>0</v>
      </c>
      <c r="K385" t="n">
        <v>0</v>
      </c>
      <c r="L385" t="n">
        <v>0</v>
      </c>
      <c r="M385" t="n">
        <v>0</v>
      </c>
      <c r="N385" t="n">
        <v>0</v>
      </c>
      <c r="O385" t="n">
        <v>0</v>
      </c>
      <c r="P385" t="n">
        <v>0</v>
      </c>
      <c r="Q385" t="n">
        <v>0</v>
      </c>
      <c r="R385" s="2" t="inlineStr"/>
    </row>
    <row r="386" ht="15" customHeight="1">
      <c r="A386" t="inlineStr">
        <is>
          <t>A 8650-2022</t>
        </is>
      </c>
      <c r="B386" s="1" t="n">
        <v>44613</v>
      </c>
      <c r="C386" s="1" t="n">
        <v>46107</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45319-2025</t>
        </is>
      </c>
      <c r="B387" s="1" t="n">
        <v>45921.95611111111</v>
      </c>
      <c r="C387" s="1" t="n">
        <v>46107</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45320-2025</t>
        </is>
      </c>
      <c r="B388" s="1" t="n">
        <v>45921.96395833333</v>
      </c>
      <c r="C388" s="1" t="n">
        <v>46107</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3816-2022</t>
        </is>
      </c>
      <c r="B389" s="1" t="n">
        <v>44587</v>
      </c>
      <c r="C389" s="1" t="n">
        <v>46107</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45114-2025</t>
        </is>
      </c>
      <c r="B390" s="1" t="n">
        <v>45919.42387731482</v>
      </c>
      <c r="C390" s="1" t="n">
        <v>46107</v>
      </c>
      <c r="D390" t="inlineStr">
        <is>
          <t>KALMAR LÄN</t>
        </is>
      </c>
      <c r="E390" t="inlineStr">
        <is>
          <t>VIMMERBY</t>
        </is>
      </c>
      <c r="G390" t="n">
        <v>2.7</v>
      </c>
      <c r="H390" t="n">
        <v>0</v>
      </c>
      <c r="I390" t="n">
        <v>0</v>
      </c>
      <c r="J390" t="n">
        <v>0</v>
      </c>
      <c r="K390" t="n">
        <v>0</v>
      </c>
      <c r="L390" t="n">
        <v>0</v>
      </c>
      <c r="M390" t="n">
        <v>0</v>
      </c>
      <c r="N390" t="n">
        <v>0</v>
      </c>
      <c r="O390" t="n">
        <v>0</v>
      </c>
      <c r="P390" t="n">
        <v>0</v>
      </c>
      <c r="Q390" t="n">
        <v>0</v>
      </c>
      <c r="R390" s="2" t="inlineStr"/>
    </row>
    <row r="391" ht="15" customHeight="1">
      <c r="A391" t="inlineStr">
        <is>
          <t>A 11147-2023</t>
        </is>
      </c>
      <c r="B391" s="1" t="n">
        <v>44992</v>
      </c>
      <c r="C391" s="1" t="n">
        <v>46107</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46118-2025</t>
        </is>
      </c>
      <c r="B392" s="1" t="n">
        <v>45924.57697916667</v>
      </c>
      <c r="C392" s="1" t="n">
        <v>46107</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1081-2023</t>
        </is>
      </c>
      <c r="B393" s="1" t="n">
        <v>44935</v>
      </c>
      <c r="C393" s="1" t="n">
        <v>46107</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7047-2022</t>
        </is>
      </c>
      <c r="B394" s="1" t="n">
        <v>44603</v>
      </c>
      <c r="C394" s="1" t="n">
        <v>46107</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12499-2023</t>
        </is>
      </c>
      <c r="B395" s="1" t="n">
        <v>44999.86172453704</v>
      </c>
      <c r="C395" s="1" t="n">
        <v>46107</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12500-2023</t>
        </is>
      </c>
      <c r="B396" s="1" t="n">
        <v>44999.8625</v>
      </c>
      <c r="C396" s="1" t="n">
        <v>46107</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16676-2023</t>
        </is>
      </c>
      <c r="B397" s="1" t="n">
        <v>45028</v>
      </c>
      <c r="C397" s="1" t="n">
        <v>46107</v>
      </c>
      <c r="D397" t="inlineStr">
        <is>
          <t>KALMAR LÄN</t>
        </is>
      </c>
      <c r="E397" t="inlineStr">
        <is>
          <t>VIMMERBY</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23263-2024</t>
        </is>
      </c>
      <c r="B398" s="1" t="n">
        <v>45453.36854166666</v>
      </c>
      <c r="C398" s="1" t="n">
        <v>46107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49488-2023</t>
        </is>
      </c>
      <c r="B399" s="1" t="n">
        <v>45211.55472222222</v>
      </c>
      <c r="C399" s="1" t="n">
        <v>46107</v>
      </c>
      <c r="D399" t="inlineStr">
        <is>
          <t>KALMAR LÄN</t>
        </is>
      </c>
      <c r="E399" t="inlineStr">
        <is>
          <t>VIMMERBY</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6066-2023</t>
        </is>
      </c>
      <c r="B400" s="1" t="n">
        <v>44964.50894675926</v>
      </c>
      <c r="C400" s="1" t="n">
        <v>46107</v>
      </c>
      <c r="D400" t="inlineStr">
        <is>
          <t>KALMAR LÄN</t>
        </is>
      </c>
      <c r="E400" t="inlineStr">
        <is>
          <t>VIMMERBY</t>
        </is>
      </c>
      <c r="G400" t="n">
        <v>2.8</v>
      </c>
      <c r="H400" t="n">
        <v>0</v>
      </c>
      <c r="I400" t="n">
        <v>0</v>
      </c>
      <c r="J400" t="n">
        <v>0</v>
      </c>
      <c r="K400" t="n">
        <v>0</v>
      </c>
      <c r="L400" t="n">
        <v>0</v>
      </c>
      <c r="M400" t="n">
        <v>0</v>
      </c>
      <c r="N400" t="n">
        <v>0</v>
      </c>
      <c r="O400" t="n">
        <v>0</v>
      </c>
      <c r="P400" t="n">
        <v>0</v>
      </c>
      <c r="Q400" t="n">
        <v>0</v>
      </c>
      <c r="R400" s="2" t="inlineStr"/>
    </row>
    <row r="401" ht="15" customHeight="1">
      <c r="A401" t="inlineStr">
        <is>
          <t>A 45854-2025</t>
        </is>
      </c>
      <c r="B401" s="1" t="n">
        <v>45923</v>
      </c>
      <c r="C401" s="1" t="n">
        <v>46107</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45855-2025</t>
        </is>
      </c>
      <c r="B402" s="1" t="n">
        <v>45923</v>
      </c>
      <c r="C402" s="1" t="n">
        <v>46107</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33103-2024</t>
        </is>
      </c>
      <c r="B403" s="1" t="n">
        <v>45517.8162037037</v>
      </c>
      <c r="C403" s="1" t="n">
        <v>46107</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33161-2024</t>
        </is>
      </c>
      <c r="B404" s="1" t="n">
        <v>45518.40657407408</v>
      </c>
      <c r="C404" s="1" t="n">
        <v>46107</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12510-2022</t>
        </is>
      </c>
      <c r="B405" s="1" t="n">
        <v>44638.55256944444</v>
      </c>
      <c r="C405" s="1" t="n">
        <v>46107</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46361-2025</t>
        </is>
      </c>
      <c r="B406" s="1" t="n">
        <v>45925.49670138889</v>
      </c>
      <c r="C406" s="1" t="n">
        <v>46107</v>
      </c>
      <c r="D406" t="inlineStr">
        <is>
          <t>KALMAR LÄN</t>
        </is>
      </c>
      <c r="E406" t="inlineStr">
        <is>
          <t>VIMMERBY</t>
        </is>
      </c>
      <c r="G406" t="n">
        <v>4.2</v>
      </c>
      <c r="H406" t="n">
        <v>0</v>
      </c>
      <c r="I406" t="n">
        <v>0</v>
      </c>
      <c r="J406" t="n">
        <v>0</v>
      </c>
      <c r="K406" t="n">
        <v>0</v>
      </c>
      <c r="L406" t="n">
        <v>0</v>
      </c>
      <c r="M406" t="n">
        <v>0</v>
      </c>
      <c r="N406" t="n">
        <v>0</v>
      </c>
      <c r="O406" t="n">
        <v>0</v>
      </c>
      <c r="P406" t="n">
        <v>0</v>
      </c>
      <c r="Q406" t="n">
        <v>0</v>
      </c>
      <c r="R406" s="2" t="inlineStr"/>
    </row>
    <row r="407" ht="15" customHeight="1">
      <c r="A407" t="inlineStr">
        <is>
          <t>A 46365-2025</t>
        </is>
      </c>
      <c r="B407" s="1" t="n">
        <v>45925.50075231482</v>
      </c>
      <c r="C407" s="1" t="n">
        <v>46107</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59768-2024</t>
        </is>
      </c>
      <c r="B408" s="1" t="n">
        <v>45639.56185185185</v>
      </c>
      <c r="C408" s="1" t="n">
        <v>46107</v>
      </c>
      <c r="D408" t="inlineStr">
        <is>
          <t>KALMAR LÄN</t>
        </is>
      </c>
      <c r="E408" t="inlineStr">
        <is>
          <t>VIMMERBY</t>
        </is>
      </c>
      <c r="G408" t="n">
        <v>5.9</v>
      </c>
      <c r="H408" t="n">
        <v>0</v>
      </c>
      <c r="I408" t="n">
        <v>0</v>
      </c>
      <c r="J408" t="n">
        <v>0</v>
      </c>
      <c r="K408" t="n">
        <v>0</v>
      </c>
      <c r="L408" t="n">
        <v>0</v>
      </c>
      <c r="M408" t="n">
        <v>0</v>
      </c>
      <c r="N408" t="n">
        <v>0</v>
      </c>
      <c r="O408" t="n">
        <v>0</v>
      </c>
      <c r="P408" t="n">
        <v>0</v>
      </c>
      <c r="Q408" t="n">
        <v>0</v>
      </c>
      <c r="R408" s="2" t="inlineStr"/>
    </row>
    <row r="409" ht="15" customHeight="1">
      <c r="A409" t="inlineStr">
        <is>
          <t>A 45856-2025</t>
        </is>
      </c>
      <c r="B409" s="1" t="n">
        <v>45923</v>
      </c>
      <c r="C409" s="1" t="n">
        <v>46107</v>
      </c>
      <c r="D409" t="inlineStr">
        <is>
          <t>KALMAR LÄN</t>
        </is>
      </c>
      <c r="E409" t="inlineStr">
        <is>
          <t>VIMMERBY</t>
        </is>
      </c>
      <c r="G409" t="n">
        <v>2.1</v>
      </c>
      <c r="H409" t="n">
        <v>0</v>
      </c>
      <c r="I409" t="n">
        <v>0</v>
      </c>
      <c r="J409" t="n">
        <v>0</v>
      </c>
      <c r="K409" t="n">
        <v>0</v>
      </c>
      <c r="L409" t="n">
        <v>0</v>
      </c>
      <c r="M409" t="n">
        <v>0</v>
      </c>
      <c r="N409" t="n">
        <v>0</v>
      </c>
      <c r="O409" t="n">
        <v>0</v>
      </c>
      <c r="P409" t="n">
        <v>0</v>
      </c>
      <c r="Q409" t="n">
        <v>0</v>
      </c>
      <c r="R409" s="2" t="inlineStr"/>
    </row>
    <row r="410" ht="15" customHeight="1">
      <c r="A410" t="inlineStr">
        <is>
          <t>A 72067-2021</t>
        </is>
      </c>
      <c r="B410" s="1" t="n">
        <v>44540</v>
      </c>
      <c r="C410" s="1" t="n">
        <v>46107</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41158-2023</t>
        </is>
      </c>
      <c r="B411" s="1" t="n">
        <v>45174.31395833333</v>
      </c>
      <c r="C411" s="1" t="n">
        <v>46107</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22198-2024</t>
        </is>
      </c>
      <c r="B412" s="1" t="n">
        <v>45446.36865740741</v>
      </c>
      <c r="C412" s="1" t="n">
        <v>46107</v>
      </c>
      <c r="D412" t="inlineStr">
        <is>
          <t>KALMAR LÄN</t>
        </is>
      </c>
      <c r="E412" t="inlineStr">
        <is>
          <t>VIMMERBY</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46887-2025</t>
        </is>
      </c>
      <c r="B413" s="1" t="n">
        <v>45929.3672337963</v>
      </c>
      <c r="C413" s="1" t="n">
        <v>46107</v>
      </c>
      <c r="D413" t="inlineStr">
        <is>
          <t>KALMAR LÄN</t>
        </is>
      </c>
      <c r="E413" t="inlineStr">
        <is>
          <t>VIMMERBY</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9511-2023</t>
        </is>
      </c>
      <c r="B414" s="1" t="n">
        <v>44981.64725694444</v>
      </c>
      <c r="C414" s="1" t="n">
        <v>46107</v>
      </c>
      <c r="D414" t="inlineStr">
        <is>
          <t>KALMAR LÄN</t>
        </is>
      </c>
      <c r="E414" t="inlineStr">
        <is>
          <t>VIMMERBY</t>
        </is>
      </c>
      <c r="G414" t="n">
        <v>3.5</v>
      </c>
      <c r="H414" t="n">
        <v>0</v>
      </c>
      <c r="I414" t="n">
        <v>0</v>
      </c>
      <c r="J414" t="n">
        <v>0</v>
      </c>
      <c r="K414" t="n">
        <v>0</v>
      </c>
      <c r="L414" t="n">
        <v>0</v>
      </c>
      <c r="M414" t="n">
        <v>0</v>
      </c>
      <c r="N414" t="n">
        <v>0</v>
      </c>
      <c r="O414" t="n">
        <v>0</v>
      </c>
      <c r="P414" t="n">
        <v>0</v>
      </c>
      <c r="Q414" t="n">
        <v>0</v>
      </c>
      <c r="R414" s="2" t="inlineStr"/>
    </row>
    <row r="415" ht="15" customHeight="1">
      <c r="A415" t="inlineStr">
        <is>
          <t>A 47227-2025</t>
        </is>
      </c>
      <c r="B415" s="1" t="n">
        <v>45930.39769675926</v>
      </c>
      <c r="C415" s="1" t="n">
        <v>46107</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1146-2025</t>
        </is>
      </c>
      <c r="B416" s="1" t="n">
        <v>45666</v>
      </c>
      <c r="C416" s="1" t="n">
        <v>46107</v>
      </c>
      <c r="D416" t="inlineStr">
        <is>
          <t>KALMAR LÄN</t>
        </is>
      </c>
      <c r="E416" t="inlineStr">
        <is>
          <t>VIMMERBY</t>
        </is>
      </c>
      <c r="G416" t="n">
        <v>4</v>
      </c>
      <c r="H416" t="n">
        <v>0</v>
      </c>
      <c r="I416" t="n">
        <v>0</v>
      </c>
      <c r="J416" t="n">
        <v>0</v>
      </c>
      <c r="K416" t="n">
        <v>0</v>
      </c>
      <c r="L416" t="n">
        <v>0</v>
      </c>
      <c r="M416" t="n">
        <v>0</v>
      </c>
      <c r="N416" t="n">
        <v>0</v>
      </c>
      <c r="O416" t="n">
        <v>0</v>
      </c>
      <c r="P416" t="n">
        <v>0</v>
      </c>
      <c r="Q416" t="n">
        <v>0</v>
      </c>
      <c r="R416" s="2" t="inlineStr"/>
    </row>
    <row r="417" ht="15" customHeight="1">
      <c r="A417" t="inlineStr">
        <is>
          <t>A 34205-2023</t>
        </is>
      </c>
      <c r="B417" s="1" t="n">
        <v>45138</v>
      </c>
      <c r="C417" s="1" t="n">
        <v>46107</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57091-2022</t>
        </is>
      </c>
      <c r="B418" s="1" t="n">
        <v>44895.46524305556</v>
      </c>
      <c r="C418" s="1" t="n">
        <v>46107</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47965-2025</t>
        </is>
      </c>
      <c r="B419" s="1" t="n">
        <v>45932.59597222223</v>
      </c>
      <c r="C419" s="1" t="n">
        <v>46107</v>
      </c>
      <c r="D419" t="inlineStr">
        <is>
          <t>KALMAR LÄN</t>
        </is>
      </c>
      <c r="E419" t="inlineStr">
        <is>
          <t>VIMMERBY</t>
        </is>
      </c>
      <c r="G419" t="n">
        <v>2.2</v>
      </c>
      <c r="H419" t="n">
        <v>0</v>
      </c>
      <c r="I419" t="n">
        <v>0</v>
      </c>
      <c r="J419" t="n">
        <v>0</v>
      </c>
      <c r="K419" t="n">
        <v>0</v>
      </c>
      <c r="L419" t="n">
        <v>0</v>
      </c>
      <c r="M419" t="n">
        <v>0</v>
      </c>
      <c r="N419" t="n">
        <v>0</v>
      </c>
      <c r="O419" t="n">
        <v>0</v>
      </c>
      <c r="P419" t="n">
        <v>0</v>
      </c>
      <c r="Q419" t="n">
        <v>0</v>
      </c>
      <c r="R419" s="2" t="inlineStr"/>
    </row>
    <row r="420" ht="15" customHeight="1">
      <c r="A420" t="inlineStr">
        <is>
          <t>A 2604-2025</t>
        </is>
      </c>
      <c r="B420" s="1" t="n">
        <v>45674.74094907408</v>
      </c>
      <c r="C420" s="1" t="n">
        <v>46107</v>
      </c>
      <c r="D420" t="inlineStr">
        <is>
          <t>KALMAR LÄN</t>
        </is>
      </c>
      <c r="E420" t="inlineStr">
        <is>
          <t>VIMMERBY</t>
        </is>
      </c>
      <c r="G420" t="n">
        <v>7.6</v>
      </c>
      <c r="H420" t="n">
        <v>0</v>
      </c>
      <c r="I420" t="n">
        <v>0</v>
      </c>
      <c r="J420" t="n">
        <v>0</v>
      </c>
      <c r="K420" t="n">
        <v>0</v>
      </c>
      <c r="L420" t="n">
        <v>0</v>
      </c>
      <c r="M420" t="n">
        <v>0</v>
      </c>
      <c r="N420" t="n">
        <v>0</v>
      </c>
      <c r="O420" t="n">
        <v>0</v>
      </c>
      <c r="P420" t="n">
        <v>0</v>
      </c>
      <c r="Q420" t="n">
        <v>0</v>
      </c>
      <c r="R420" s="2" t="inlineStr"/>
    </row>
    <row r="421" ht="15" customHeight="1">
      <c r="A421" t="inlineStr">
        <is>
          <t>A 6807-2025</t>
        </is>
      </c>
      <c r="B421" s="1" t="n">
        <v>45700.68672453704</v>
      </c>
      <c r="C421" s="1" t="n">
        <v>46107</v>
      </c>
      <c r="D421" t="inlineStr">
        <is>
          <t>KALMAR LÄN</t>
        </is>
      </c>
      <c r="E421" t="inlineStr">
        <is>
          <t>VIMMERBY</t>
        </is>
      </c>
      <c r="G421" t="n">
        <v>1.4</v>
      </c>
      <c r="H421" t="n">
        <v>0</v>
      </c>
      <c r="I421" t="n">
        <v>0</v>
      </c>
      <c r="J421" t="n">
        <v>0</v>
      </c>
      <c r="K421" t="n">
        <v>0</v>
      </c>
      <c r="L421" t="n">
        <v>0</v>
      </c>
      <c r="M421" t="n">
        <v>0</v>
      </c>
      <c r="N421" t="n">
        <v>0</v>
      </c>
      <c r="O421" t="n">
        <v>0</v>
      </c>
      <c r="P421" t="n">
        <v>0</v>
      </c>
      <c r="Q421" t="n">
        <v>0</v>
      </c>
      <c r="R421" s="2" t="inlineStr"/>
    </row>
    <row r="422" ht="15" customHeight="1">
      <c r="A422" t="inlineStr">
        <is>
          <t>A 12890-2023</t>
        </is>
      </c>
      <c r="B422" s="1" t="n">
        <v>45001.59209490741</v>
      </c>
      <c r="C422" s="1" t="n">
        <v>46107</v>
      </c>
      <c r="D422" t="inlineStr">
        <is>
          <t>KALMAR LÄN</t>
        </is>
      </c>
      <c r="E422" t="inlineStr">
        <is>
          <t>VIMMERBY</t>
        </is>
      </c>
      <c r="G422" t="n">
        <v>2.8</v>
      </c>
      <c r="H422" t="n">
        <v>0</v>
      </c>
      <c r="I422" t="n">
        <v>0</v>
      </c>
      <c r="J422" t="n">
        <v>0</v>
      </c>
      <c r="K422" t="n">
        <v>0</v>
      </c>
      <c r="L422" t="n">
        <v>0</v>
      </c>
      <c r="M422" t="n">
        <v>0</v>
      </c>
      <c r="N422" t="n">
        <v>0</v>
      </c>
      <c r="O422" t="n">
        <v>0</v>
      </c>
      <c r="P422" t="n">
        <v>0</v>
      </c>
      <c r="Q422" t="n">
        <v>0</v>
      </c>
      <c r="R422" s="2" t="inlineStr"/>
    </row>
    <row r="423" ht="15" customHeight="1">
      <c r="A423" t="inlineStr">
        <is>
          <t>A 38851-2023</t>
        </is>
      </c>
      <c r="B423" s="1" t="n">
        <v>45163</v>
      </c>
      <c r="C423" s="1" t="n">
        <v>46107</v>
      </c>
      <c r="D423" t="inlineStr">
        <is>
          <t>KALMAR LÄN</t>
        </is>
      </c>
      <c r="E423" t="inlineStr">
        <is>
          <t>VIMMERBY</t>
        </is>
      </c>
      <c r="G423" t="n">
        <v>4.3</v>
      </c>
      <c r="H423" t="n">
        <v>0</v>
      </c>
      <c r="I423" t="n">
        <v>0</v>
      </c>
      <c r="J423" t="n">
        <v>0</v>
      </c>
      <c r="K423" t="n">
        <v>0</v>
      </c>
      <c r="L423" t="n">
        <v>0</v>
      </c>
      <c r="M423" t="n">
        <v>0</v>
      </c>
      <c r="N423" t="n">
        <v>0</v>
      </c>
      <c r="O423" t="n">
        <v>0</v>
      </c>
      <c r="P423" t="n">
        <v>0</v>
      </c>
      <c r="Q423" t="n">
        <v>0</v>
      </c>
      <c r="R423" s="2" t="inlineStr"/>
    </row>
    <row r="424" ht="15" customHeight="1">
      <c r="A424" t="inlineStr">
        <is>
          <t>A 3902-2022</t>
        </is>
      </c>
      <c r="B424" s="1" t="n">
        <v>44587.48847222222</v>
      </c>
      <c r="C424" s="1" t="n">
        <v>46107</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47955-2025</t>
        </is>
      </c>
      <c r="B425" s="1" t="n">
        <v>45932.58896990741</v>
      </c>
      <c r="C425" s="1" t="n">
        <v>46107</v>
      </c>
      <c r="D425" t="inlineStr">
        <is>
          <t>KALMAR LÄN</t>
        </is>
      </c>
      <c r="E425" t="inlineStr">
        <is>
          <t>VIMMERBY</t>
        </is>
      </c>
      <c r="G425" t="n">
        <v>3.4</v>
      </c>
      <c r="H425" t="n">
        <v>0</v>
      </c>
      <c r="I425" t="n">
        <v>0</v>
      </c>
      <c r="J425" t="n">
        <v>0</v>
      </c>
      <c r="K425" t="n">
        <v>0</v>
      </c>
      <c r="L425" t="n">
        <v>0</v>
      </c>
      <c r="M425" t="n">
        <v>0</v>
      </c>
      <c r="N425" t="n">
        <v>0</v>
      </c>
      <c r="O425" t="n">
        <v>0</v>
      </c>
      <c r="P425" t="n">
        <v>0</v>
      </c>
      <c r="Q425" t="n">
        <v>0</v>
      </c>
      <c r="R425" s="2" t="inlineStr"/>
    </row>
    <row r="426" ht="15" customHeight="1">
      <c r="A426" t="inlineStr">
        <is>
          <t>A 23252-2024</t>
        </is>
      </c>
      <c r="B426" s="1" t="n">
        <v>45453.36067129629</v>
      </c>
      <c r="C426" s="1" t="n">
        <v>46107</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5792-2023</t>
        </is>
      </c>
      <c r="B427" s="1" t="n">
        <v>44963.44769675926</v>
      </c>
      <c r="C427" s="1" t="n">
        <v>46107</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48299-2025</t>
        </is>
      </c>
      <c r="B428" s="1" t="n">
        <v>45933.60982638889</v>
      </c>
      <c r="C428" s="1" t="n">
        <v>46107</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2797-2023</t>
        </is>
      </c>
      <c r="B429" s="1" t="n">
        <v>44944.71386574074</v>
      </c>
      <c r="C429" s="1" t="n">
        <v>46107</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2799-2023</t>
        </is>
      </c>
      <c r="B430" s="1" t="n">
        <v>44944.72100694444</v>
      </c>
      <c r="C430" s="1" t="n">
        <v>46107</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6220-2025</t>
        </is>
      </c>
      <c r="B431" s="1" t="n">
        <v>45698.53725694444</v>
      </c>
      <c r="C431" s="1" t="n">
        <v>46107</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89-2023</t>
        </is>
      </c>
      <c r="B432" s="1" t="n">
        <v>44918</v>
      </c>
      <c r="C432" s="1" t="n">
        <v>46107</v>
      </c>
      <c r="D432" t="inlineStr">
        <is>
          <t>KALMAR LÄN</t>
        </is>
      </c>
      <c r="E432" t="inlineStr">
        <is>
          <t>VIMMERBY</t>
        </is>
      </c>
      <c r="G432" t="n">
        <v>16.1</v>
      </c>
      <c r="H432" t="n">
        <v>0</v>
      </c>
      <c r="I432" t="n">
        <v>0</v>
      </c>
      <c r="J432" t="n">
        <v>0</v>
      </c>
      <c r="K432" t="n">
        <v>0</v>
      </c>
      <c r="L432" t="n">
        <v>0</v>
      </c>
      <c r="M432" t="n">
        <v>0</v>
      </c>
      <c r="N432" t="n">
        <v>0</v>
      </c>
      <c r="O432" t="n">
        <v>0</v>
      </c>
      <c r="P432" t="n">
        <v>0</v>
      </c>
      <c r="Q432" t="n">
        <v>0</v>
      </c>
      <c r="R432" s="2" t="inlineStr"/>
    </row>
    <row r="433" ht="15" customHeight="1">
      <c r="A433" t="inlineStr">
        <is>
          <t>A 5382-2023</t>
        </is>
      </c>
      <c r="B433" s="1" t="n">
        <v>44959.66407407408</v>
      </c>
      <c r="C433" s="1" t="n">
        <v>46107</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6668-2023</t>
        </is>
      </c>
      <c r="B434" s="1" t="n">
        <v>44966</v>
      </c>
      <c r="C434" s="1" t="n">
        <v>46107</v>
      </c>
      <c r="D434" t="inlineStr">
        <is>
          <t>KALMAR LÄN</t>
        </is>
      </c>
      <c r="E434" t="inlineStr">
        <is>
          <t>VIMMERBY</t>
        </is>
      </c>
      <c r="G434" t="n">
        <v>0.9</v>
      </c>
      <c r="H434" t="n">
        <v>0</v>
      </c>
      <c r="I434" t="n">
        <v>0</v>
      </c>
      <c r="J434" t="n">
        <v>0</v>
      </c>
      <c r="K434" t="n">
        <v>0</v>
      </c>
      <c r="L434" t="n">
        <v>0</v>
      </c>
      <c r="M434" t="n">
        <v>0</v>
      </c>
      <c r="N434" t="n">
        <v>0</v>
      </c>
      <c r="O434" t="n">
        <v>0</v>
      </c>
      <c r="P434" t="n">
        <v>0</v>
      </c>
      <c r="Q434" t="n">
        <v>0</v>
      </c>
      <c r="R434" s="2" t="inlineStr"/>
    </row>
    <row r="435" ht="15" customHeight="1">
      <c r="A435" t="inlineStr">
        <is>
          <t>A 48723-2025</t>
        </is>
      </c>
      <c r="B435" s="1" t="n">
        <v>45936.65121527778</v>
      </c>
      <c r="C435" s="1" t="n">
        <v>46107</v>
      </c>
      <c r="D435" t="inlineStr">
        <is>
          <t>KALMAR LÄN</t>
        </is>
      </c>
      <c r="E435" t="inlineStr">
        <is>
          <t>VIMMERBY</t>
        </is>
      </c>
      <c r="G435" t="n">
        <v>3</v>
      </c>
      <c r="H435" t="n">
        <v>0</v>
      </c>
      <c r="I435" t="n">
        <v>0</v>
      </c>
      <c r="J435" t="n">
        <v>0</v>
      </c>
      <c r="K435" t="n">
        <v>0</v>
      </c>
      <c r="L435" t="n">
        <v>0</v>
      </c>
      <c r="M435" t="n">
        <v>0</v>
      </c>
      <c r="N435" t="n">
        <v>0</v>
      </c>
      <c r="O435" t="n">
        <v>0</v>
      </c>
      <c r="P435" t="n">
        <v>0</v>
      </c>
      <c r="Q435" t="n">
        <v>0</v>
      </c>
      <c r="R435" s="2" t="inlineStr"/>
    </row>
    <row r="436" ht="15" customHeight="1">
      <c r="A436" t="inlineStr">
        <is>
          <t>A 172-2022</t>
        </is>
      </c>
      <c r="B436" s="1" t="n">
        <v>44564.62598379629</v>
      </c>
      <c r="C436" s="1" t="n">
        <v>46107</v>
      </c>
      <c r="D436" t="inlineStr">
        <is>
          <t>KALMAR LÄN</t>
        </is>
      </c>
      <c r="E436" t="inlineStr">
        <is>
          <t>VIMMERBY</t>
        </is>
      </c>
      <c r="G436" t="n">
        <v>2.1</v>
      </c>
      <c r="H436" t="n">
        <v>0</v>
      </c>
      <c r="I436" t="n">
        <v>0</v>
      </c>
      <c r="J436" t="n">
        <v>0</v>
      </c>
      <c r="K436" t="n">
        <v>0</v>
      </c>
      <c r="L436" t="n">
        <v>0</v>
      </c>
      <c r="M436" t="n">
        <v>0</v>
      </c>
      <c r="N436" t="n">
        <v>0</v>
      </c>
      <c r="O436" t="n">
        <v>0</v>
      </c>
      <c r="P436" t="n">
        <v>0</v>
      </c>
      <c r="Q436" t="n">
        <v>0</v>
      </c>
      <c r="R436" s="2" t="inlineStr"/>
    </row>
    <row r="437" ht="15" customHeight="1">
      <c r="A437" t="inlineStr">
        <is>
          <t>A 58278-2023</t>
        </is>
      </c>
      <c r="B437" s="1" t="n">
        <v>45250.5278587963</v>
      </c>
      <c r="C437" s="1" t="n">
        <v>46107</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36259-2022</t>
        </is>
      </c>
      <c r="B438" s="1" t="n">
        <v>44803.59118055556</v>
      </c>
      <c r="C438" s="1" t="n">
        <v>46107</v>
      </c>
      <c r="D438" t="inlineStr">
        <is>
          <t>KALMAR LÄN</t>
        </is>
      </c>
      <c r="E438" t="inlineStr">
        <is>
          <t>VIMMERBY</t>
        </is>
      </c>
      <c r="G438" t="n">
        <v>3.9</v>
      </c>
      <c r="H438" t="n">
        <v>0</v>
      </c>
      <c r="I438" t="n">
        <v>0</v>
      </c>
      <c r="J438" t="n">
        <v>0</v>
      </c>
      <c r="K438" t="n">
        <v>0</v>
      </c>
      <c r="L438" t="n">
        <v>0</v>
      </c>
      <c r="M438" t="n">
        <v>0</v>
      </c>
      <c r="N438" t="n">
        <v>0</v>
      </c>
      <c r="O438" t="n">
        <v>0</v>
      </c>
      <c r="P438" t="n">
        <v>0</v>
      </c>
      <c r="Q438" t="n">
        <v>0</v>
      </c>
      <c r="R438" s="2" t="inlineStr"/>
    </row>
    <row r="439" ht="15" customHeight="1">
      <c r="A439" t="inlineStr">
        <is>
          <t>A 48600-2025</t>
        </is>
      </c>
      <c r="B439" s="1" t="n">
        <v>45935</v>
      </c>
      <c r="C439" s="1" t="n">
        <v>46107</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36526-2023</t>
        </is>
      </c>
      <c r="B440" s="1" t="n">
        <v>45153.32778935185</v>
      </c>
      <c r="C440" s="1" t="n">
        <v>46107</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17988-2025</t>
        </is>
      </c>
      <c r="B441" s="1" t="n">
        <v>45761.39600694444</v>
      </c>
      <c r="C441" s="1" t="n">
        <v>46107</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30634-2024</t>
        </is>
      </c>
      <c r="B442" s="1" t="n">
        <v>45495</v>
      </c>
      <c r="C442" s="1" t="n">
        <v>46107</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6355-2022</t>
        </is>
      </c>
      <c r="B443" s="1" t="n">
        <v>44600</v>
      </c>
      <c r="C443" s="1" t="n">
        <v>46107</v>
      </c>
      <c r="D443" t="inlineStr">
        <is>
          <t>KALMAR LÄN</t>
        </is>
      </c>
      <c r="E443" t="inlineStr">
        <is>
          <t>VIMMERBY</t>
        </is>
      </c>
      <c r="G443" t="n">
        <v>4.9</v>
      </c>
      <c r="H443" t="n">
        <v>0</v>
      </c>
      <c r="I443" t="n">
        <v>0</v>
      </c>
      <c r="J443" t="n">
        <v>0</v>
      </c>
      <c r="K443" t="n">
        <v>0</v>
      </c>
      <c r="L443" t="n">
        <v>0</v>
      </c>
      <c r="M443" t="n">
        <v>0</v>
      </c>
      <c r="N443" t="n">
        <v>0</v>
      </c>
      <c r="O443" t="n">
        <v>0</v>
      </c>
      <c r="P443" t="n">
        <v>0</v>
      </c>
      <c r="Q443" t="n">
        <v>0</v>
      </c>
      <c r="R443" s="2" t="inlineStr"/>
    </row>
    <row r="444" ht="15" customHeight="1">
      <c r="A444" t="inlineStr">
        <is>
          <t>A 48408-2025</t>
        </is>
      </c>
      <c r="B444" s="1" t="n">
        <v>45934.40527777778</v>
      </c>
      <c r="C444" s="1" t="n">
        <v>46107</v>
      </c>
      <c r="D444" t="inlineStr">
        <is>
          <t>KALMAR LÄN</t>
        </is>
      </c>
      <c r="E444" t="inlineStr">
        <is>
          <t>VIMMERBY</t>
        </is>
      </c>
      <c r="G444" t="n">
        <v>2.4</v>
      </c>
      <c r="H444" t="n">
        <v>0</v>
      </c>
      <c r="I444" t="n">
        <v>0</v>
      </c>
      <c r="J444" t="n">
        <v>0</v>
      </c>
      <c r="K444" t="n">
        <v>0</v>
      </c>
      <c r="L444" t="n">
        <v>0</v>
      </c>
      <c r="M444" t="n">
        <v>0</v>
      </c>
      <c r="N444" t="n">
        <v>0</v>
      </c>
      <c r="O444" t="n">
        <v>0</v>
      </c>
      <c r="P444" t="n">
        <v>0</v>
      </c>
      <c r="Q444" t="n">
        <v>0</v>
      </c>
      <c r="R444" s="2" t="inlineStr"/>
    </row>
    <row r="445" ht="15" customHeight="1">
      <c r="A445" t="inlineStr">
        <is>
          <t>A 48409-2025</t>
        </is>
      </c>
      <c r="B445" s="1" t="n">
        <v>45934.41387731482</v>
      </c>
      <c r="C445" s="1" t="n">
        <v>46107</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16020-2023</t>
        </is>
      </c>
      <c r="B446" s="1" t="n">
        <v>45026.82216435186</v>
      </c>
      <c r="C446" s="1" t="n">
        <v>46107</v>
      </c>
      <c r="D446" t="inlineStr">
        <is>
          <t>KALMAR LÄN</t>
        </is>
      </c>
      <c r="E446" t="inlineStr">
        <is>
          <t>VIMMERBY</t>
        </is>
      </c>
      <c r="G446" t="n">
        <v>1.1</v>
      </c>
      <c r="H446" t="n">
        <v>0</v>
      </c>
      <c r="I446" t="n">
        <v>0</v>
      </c>
      <c r="J446" t="n">
        <v>0</v>
      </c>
      <c r="K446" t="n">
        <v>0</v>
      </c>
      <c r="L446" t="n">
        <v>0</v>
      </c>
      <c r="M446" t="n">
        <v>0</v>
      </c>
      <c r="N446" t="n">
        <v>0</v>
      </c>
      <c r="O446" t="n">
        <v>0</v>
      </c>
      <c r="P446" t="n">
        <v>0</v>
      </c>
      <c r="Q446" t="n">
        <v>0</v>
      </c>
      <c r="R446" s="2" t="inlineStr"/>
    </row>
    <row r="447" ht="15" customHeight="1">
      <c r="A447" t="inlineStr">
        <is>
          <t>A 48712-2025</t>
        </is>
      </c>
      <c r="B447" s="1" t="n">
        <v>45936.63373842592</v>
      </c>
      <c r="C447" s="1" t="n">
        <v>46107</v>
      </c>
      <c r="D447" t="inlineStr">
        <is>
          <t>KALMAR LÄN</t>
        </is>
      </c>
      <c r="E447" t="inlineStr">
        <is>
          <t>VIMMERBY</t>
        </is>
      </c>
      <c r="G447" t="n">
        <v>3</v>
      </c>
      <c r="H447" t="n">
        <v>0</v>
      </c>
      <c r="I447" t="n">
        <v>0</v>
      </c>
      <c r="J447" t="n">
        <v>0</v>
      </c>
      <c r="K447" t="n">
        <v>0</v>
      </c>
      <c r="L447" t="n">
        <v>0</v>
      </c>
      <c r="M447" t="n">
        <v>0</v>
      </c>
      <c r="N447" t="n">
        <v>0</v>
      </c>
      <c r="O447" t="n">
        <v>0</v>
      </c>
      <c r="P447" t="n">
        <v>0</v>
      </c>
      <c r="Q447" t="n">
        <v>0</v>
      </c>
      <c r="R447" s="2" t="inlineStr"/>
    </row>
    <row r="448" ht="15" customHeight="1">
      <c r="A448" t="inlineStr">
        <is>
          <t>A 29350-2023</t>
        </is>
      </c>
      <c r="B448" s="1" t="n">
        <v>45106</v>
      </c>
      <c r="C448" s="1" t="n">
        <v>46107</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29351-2023</t>
        </is>
      </c>
      <c r="B449" s="1" t="n">
        <v>45106.2610300926</v>
      </c>
      <c r="C449" s="1" t="n">
        <v>46107</v>
      </c>
      <c r="D449" t="inlineStr">
        <is>
          <t>KALMAR LÄN</t>
        </is>
      </c>
      <c r="E449" t="inlineStr">
        <is>
          <t>VIMMERBY</t>
        </is>
      </c>
      <c r="G449" t="n">
        <v>0.4</v>
      </c>
      <c r="H449" t="n">
        <v>0</v>
      </c>
      <c r="I449" t="n">
        <v>0</v>
      </c>
      <c r="J449" t="n">
        <v>0</v>
      </c>
      <c r="K449" t="n">
        <v>0</v>
      </c>
      <c r="L449" t="n">
        <v>0</v>
      </c>
      <c r="M449" t="n">
        <v>0</v>
      </c>
      <c r="N449" t="n">
        <v>0</v>
      </c>
      <c r="O449" t="n">
        <v>0</v>
      </c>
      <c r="P449" t="n">
        <v>0</v>
      </c>
      <c r="Q449" t="n">
        <v>0</v>
      </c>
      <c r="R449" s="2" t="inlineStr"/>
    </row>
    <row r="450" ht="15" customHeight="1">
      <c r="A450" t="inlineStr">
        <is>
          <t>A 6474-2025</t>
        </is>
      </c>
      <c r="B450" s="1" t="n">
        <v>45699.60055555555</v>
      </c>
      <c r="C450" s="1" t="n">
        <v>46107</v>
      </c>
      <c r="D450" t="inlineStr">
        <is>
          <t>KALMAR LÄN</t>
        </is>
      </c>
      <c r="E450" t="inlineStr">
        <is>
          <t>VIMMERBY</t>
        </is>
      </c>
      <c r="G450" t="n">
        <v>1.6</v>
      </c>
      <c r="H450" t="n">
        <v>0</v>
      </c>
      <c r="I450" t="n">
        <v>0</v>
      </c>
      <c r="J450" t="n">
        <v>0</v>
      </c>
      <c r="K450" t="n">
        <v>0</v>
      </c>
      <c r="L450" t="n">
        <v>0</v>
      </c>
      <c r="M450" t="n">
        <v>0</v>
      </c>
      <c r="N450" t="n">
        <v>0</v>
      </c>
      <c r="O450" t="n">
        <v>0</v>
      </c>
      <c r="P450" t="n">
        <v>0</v>
      </c>
      <c r="Q450" t="n">
        <v>0</v>
      </c>
      <c r="R450" s="2" t="inlineStr"/>
    </row>
    <row r="451" ht="15" customHeight="1">
      <c r="A451" t="inlineStr">
        <is>
          <t>A 60292-2022</t>
        </is>
      </c>
      <c r="B451" s="1" t="n">
        <v>44910.54231481482</v>
      </c>
      <c r="C451" s="1" t="n">
        <v>46107</v>
      </c>
      <c r="D451" t="inlineStr">
        <is>
          <t>KALMAR LÄN</t>
        </is>
      </c>
      <c r="E451" t="inlineStr">
        <is>
          <t>VIMMERBY</t>
        </is>
      </c>
      <c r="G451" t="n">
        <v>4.4</v>
      </c>
      <c r="H451" t="n">
        <v>0</v>
      </c>
      <c r="I451" t="n">
        <v>0</v>
      </c>
      <c r="J451" t="n">
        <v>0</v>
      </c>
      <c r="K451" t="n">
        <v>0</v>
      </c>
      <c r="L451" t="n">
        <v>0</v>
      </c>
      <c r="M451" t="n">
        <v>0</v>
      </c>
      <c r="N451" t="n">
        <v>0</v>
      </c>
      <c r="O451" t="n">
        <v>0</v>
      </c>
      <c r="P451" t="n">
        <v>0</v>
      </c>
      <c r="Q451" t="n">
        <v>0</v>
      </c>
      <c r="R451" s="2" t="inlineStr"/>
    </row>
    <row r="452" ht="15" customHeight="1">
      <c r="A452" t="inlineStr">
        <is>
          <t>A 43034-2024</t>
        </is>
      </c>
      <c r="B452" s="1" t="n">
        <v>45567.42011574074</v>
      </c>
      <c r="C452" s="1" t="n">
        <v>46107</v>
      </c>
      <c r="D452" t="inlineStr">
        <is>
          <t>KALMAR LÄN</t>
        </is>
      </c>
      <c r="E452" t="inlineStr">
        <is>
          <t>VIMMERBY</t>
        </is>
      </c>
      <c r="G452" t="n">
        <v>1.8</v>
      </c>
      <c r="H452" t="n">
        <v>0</v>
      </c>
      <c r="I452" t="n">
        <v>0</v>
      </c>
      <c r="J452" t="n">
        <v>0</v>
      </c>
      <c r="K452" t="n">
        <v>0</v>
      </c>
      <c r="L452" t="n">
        <v>0</v>
      </c>
      <c r="M452" t="n">
        <v>0</v>
      </c>
      <c r="N452" t="n">
        <v>0</v>
      </c>
      <c r="O452" t="n">
        <v>0</v>
      </c>
      <c r="P452" t="n">
        <v>0</v>
      </c>
      <c r="Q452" t="n">
        <v>0</v>
      </c>
      <c r="R452" s="2" t="inlineStr"/>
    </row>
    <row r="453" ht="15" customHeight="1">
      <c r="A453" t="inlineStr">
        <is>
          <t>A 40256-2024</t>
        </is>
      </c>
      <c r="B453" s="1" t="n">
        <v>45554.62944444444</v>
      </c>
      <c r="C453" s="1" t="n">
        <v>46107</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17-2025</t>
        </is>
      </c>
      <c r="B454" s="1" t="n">
        <v>45658.78774305555</v>
      </c>
      <c r="C454" s="1" t="n">
        <v>46107</v>
      </c>
      <c r="D454" t="inlineStr">
        <is>
          <t>KALMAR LÄN</t>
        </is>
      </c>
      <c r="E454" t="inlineStr">
        <is>
          <t>VIMMERBY</t>
        </is>
      </c>
      <c r="G454" t="n">
        <v>4.4</v>
      </c>
      <c r="H454" t="n">
        <v>0</v>
      </c>
      <c r="I454" t="n">
        <v>0</v>
      </c>
      <c r="J454" t="n">
        <v>0</v>
      </c>
      <c r="K454" t="n">
        <v>0</v>
      </c>
      <c r="L454" t="n">
        <v>0</v>
      </c>
      <c r="M454" t="n">
        <v>0</v>
      </c>
      <c r="N454" t="n">
        <v>0</v>
      </c>
      <c r="O454" t="n">
        <v>0</v>
      </c>
      <c r="P454" t="n">
        <v>0</v>
      </c>
      <c r="Q454" t="n">
        <v>0</v>
      </c>
      <c r="R454" s="2" t="inlineStr"/>
    </row>
    <row r="455" ht="15" customHeight="1">
      <c r="A455" t="inlineStr">
        <is>
          <t>A 57555-2024</t>
        </is>
      </c>
      <c r="B455" s="1" t="n">
        <v>45630.45069444444</v>
      </c>
      <c r="C455" s="1" t="n">
        <v>46107</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46107</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52279-2023</t>
        </is>
      </c>
      <c r="B457" s="1" t="n">
        <v>45224</v>
      </c>
      <c r="C457" s="1" t="n">
        <v>46107</v>
      </c>
      <c r="D457" t="inlineStr">
        <is>
          <t>KALMAR LÄN</t>
        </is>
      </c>
      <c r="E457" t="inlineStr">
        <is>
          <t>VIMMERBY</t>
        </is>
      </c>
      <c r="G457" t="n">
        <v>1.8</v>
      </c>
      <c r="H457" t="n">
        <v>0</v>
      </c>
      <c r="I457" t="n">
        <v>0</v>
      </c>
      <c r="J457" t="n">
        <v>0</v>
      </c>
      <c r="K457" t="n">
        <v>0</v>
      </c>
      <c r="L457" t="n">
        <v>0</v>
      </c>
      <c r="M457" t="n">
        <v>0</v>
      </c>
      <c r="N457" t="n">
        <v>0</v>
      </c>
      <c r="O457" t="n">
        <v>0</v>
      </c>
      <c r="P457" t="n">
        <v>0</v>
      </c>
      <c r="Q457" t="n">
        <v>0</v>
      </c>
      <c r="R457" s="2" t="inlineStr"/>
    </row>
    <row r="458" ht="15" customHeight="1">
      <c r="A458" t="inlineStr">
        <is>
          <t>A 52324-2023</t>
        </is>
      </c>
      <c r="B458" s="1" t="n">
        <v>45224.64659722222</v>
      </c>
      <c r="C458" s="1" t="n">
        <v>46107</v>
      </c>
      <c r="D458" t="inlineStr">
        <is>
          <t>KALMAR LÄN</t>
        </is>
      </c>
      <c r="E458" t="inlineStr">
        <is>
          <t>VIMMERBY</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32639-2023</t>
        </is>
      </c>
      <c r="B459" s="1" t="n">
        <v>45121.5965162037</v>
      </c>
      <c r="C459" s="1" t="n">
        <v>46107</v>
      </c>
      <c r="D459" t="inlineStr">
        <is>
          <t>KALMAR LÄN</t>
        </is>
      </c>
      <c r="E459" t="inlineStr">
        <is>
          <t>VIMMERBY</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32642-2023</t>
        </is>
      </c>
      <c r="B460" s="1" t="n">
        <v>45121.59954861111</v>
      </c>
      <c r="C460" s="1" t="n">
        <v>46107</v>
      </c>
      <c r="D460" t="inlineStr">
        <is>
          <t>KALMAR LÄN</t>
        </is>
      </c>
      <c r="E460" t="inlineStr">
        <is>
          <t>VIMMERBY</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32651-2023</t>
        </is>
      </c>
      <c r="B461" s="1" t="n">
        <v>45121.6096875</v>
      </c>
      <c r="C461" s="1" t="n">
        <v>46107</v>
      </c>
      <c r="D461" t="inlineStr">
        <is>
          <t>KALMAR LÄN</t>
        </is>
      </c>
      <c r="E461" t="inlineStr">
        <is>
          <t>VIMMERBY</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40730-2024</t>
        </is>
      </c>
      <c r="B462" s="1" t="n">
        <v>45558.44914351852</v>
      </c>
      <c r="C462" s="1" t="n">
        <v>46107</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9643-2023</t>
        </is>
      </c>
      <c r="B463" s="1" t="n">
        <v>44984</v>
      </c>
      <c r="C463" s="1" t="n">
        <v>46107</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56213-2024</t>
        </is>
      </c>
      <c r="B464" s="1" t="n">
        <v>45624.60141203704</v>
      </c>
      <c r="C464" s="1" t="n">
        <v>46107</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20126-2024</t>
        </is>
      </c>
      <c r="B465" s="1" t="n">
        <v>45434.55471064815</v>
      </c>
      <c r="C465" s="1" t="n">
        <v>46107</v>
      </c>
      <c r="D465" t="inlineStr">
        <is>
          <t>KALMAR LÄN</t>
        </is>
      </c>
      <c r="E465" t="inlineStr">
        <is>
          <t>VIMMERBY</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49871-2025</t>
        </is>
      </c>
      <c r="B466" s="1" t="n">
        <v>45940.54104166666</v>
      </c>
      <c r="C466" s="1" t="n">
        <v>46107</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19865-2021</t>
        </is>
      </c>
      <c r="B467" s="1" t="n">
        <v>44312</v>
      </c>
      <c r="C467" s="1" t="n">
        <v>46107</v>
      </c>
      <c r="D467" t="inlineStr">
        <is>
          <t>KALMAR LÄN</t>
        </is>
      </c>
      <c r="E467" t="inlineStr">
        <is>
          <t>VIMMERBY</t>
        </is>
      </c>
      <c r="G467" t="n">
        <v>8.6</v>
      </c>
      <c r="H467" t="n">
        <v>0</v>
      </c>
      <c r="I467" t="n">
        <v>0</v>
      </c>
      <c r="J467" t="n">
        <v>0</v>
      </c>
      <c r="K467" t="n">
        <v>0</v>
      </c>
      <c r="L467" t="n">
        <v>0</v>
      </c>
      <c r="M467" t="n">
        <v>0</v>
      </c>
      <c r="N467" t="n">
        <v>0</v>
      </c>
      <c r="O467" t="n">
        <v>0</v>
      </c>
      <c r="P467" t="n">
        <v>0</v>
      </c>
      <c r="Q467" t="n">
        <v>0</v>
      </c>
      <c r="R467" s="2" t="inlineStr"/>
    </row>
    <row r="468" ht="15" customHeight="1">
      <c r="A468" t="inlineStr">
        <is>
          <t>A 9694-2023</t>
        </is>
      </c>
      <c r="B468" s="1" t="n">
        <v>44984.45895833334</v>
      </c>
      <c r="C468" s="1" t="n">
        <v>46107</v>
      </c>
      <c r="D468" t="inlineStr">
        <is>
          <t>KALMAR LÄN</t>
        </is>
      </c>
      <c r="E468" t="inlineStr">
        <is>
          <t>VIMMERBY</t>
        </is>
      </c>
      <c r="G468" t="n">
        <v>2.1</v>
      </c>
      <c r="H468" t="n">
        <v>0</v>
      </c>
      <c r="I468" t="n">
        <v>0</v>
      </c>
      <c r="J468" t="n">
        <v>0</v>
      </c>
      <c r="K468" t="n">
        <v>0</v>
      </c>
      <c r="L468" t="n">
        <v>0</v>
      </c>
      <c r="M468" t="n">
        <v>0</v>
      </c>
      <c r="N468" t="n">
        <v>0</v>
      </c>
      <c r="O468" t="n">
        <v>0</v>
      </c>
      <c r="P468" t="n">
        <v>0</v>
      </c>
      <c r="Q468" t="n">
        <v>0</v>
      </c>
      <c r="R468" s="2" t="inlineStr"/>
    </row>
    <row r="469" ht="15" customHeight="1">
      <c r="A469" t="inlineStr">
        <is>
          <t>A 9710-2023</t>
        </is>
      </c>
      <c r="B469" s="1" t="n">
        <v>44984</v>
      </c>
      <c r="C469" s="1" t="n">
        <v>46107</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6216-2025</t>
        </is>
      </c>
      <c r="B470" s="1" t="n">
        <v>45698.52806712963</v>
      </c>
      <c r="C470" s="1" t="n">
        <v>46107</v>
      </c>
      <c r="D470" t="inlineStr">
        <is>
          <t>KALMAR LÄN</t>
        </is>
      </c>
      <c r="E470" t="inlineStr">
        <is>
          <t>VIMMERBY</t>
        </is>
      </c>
      <c r="G470" t="n">
        <v>1.2</v>
      </c>
      <c r="H470" t="n">
        <v>0</v>
      </c>
      <c r="I470" t="n">
        <v>0</v>
      </c>
      <c r="J470" t="n">
        <v>0</v>
      </c>
      <c r="K470" t="n">
        <v>0</v>
      </c>
      <c r="L470" t="n">
        <v>0</v>
      </c>
      <c r="M470" t="n">
        <v>0</v>
      </c>
      <c r="N470" t="n">
        <v>0</v>
      </c>
      <c r="O470" t="n">
        <v>0</v>
      </c>
      <c r="P470" t="n">
        <v>0</v>
      </c>
      <c r="Q470" t="n">
        <v>0</v>
      </c>
      <c r="R470" s="2" t="inlineStr"/>
    </row>
    <row r="471" ht="15" customHeight="1">
      <c r="A471" t="inlineStr">
        <is>
          <t>A 43093-2024</t>
        </is>
      </c>
      <c r="B471" s="1" t="n">
        <v>45567</v>
      </c>
      <c r="C471" s="1" t="n">
        <v>46107</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7944-2024</t>
        </is>
      </c>
      <c r="B472" s="1" t="n">
        <v>45350.53306712963</v>
      </c>
      <c r="C472" s="1" t="n">
        <v>46107</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35198-2023</t>
        </is>
      </c>
      <c r="B473" s="1" t="n">
        <v>45145</v>
      </c>
      <c r="C473" s="1" t="n">
        <v>46107</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50324-2025</t>
        </is>
      </c>
      <c r="B474" s="1" t="n">
        <v>45944.45962962963</v>
      </c>
      <c r="C474" s="1" t="n">
        <v>46107</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598-2025</t>
        </is>
      </c>
      <c r="B475" s="1" t="n">
        <v>45660</v>
      </c>
      <c r="C475" s="1" t="n">
        <v>46107</v>
      </c>
      <c r="D475" t="inlineStr">
        <is>
          <t>KALMAR LÄN</t>
        </is>
      </c>
      <c r="E475" t="inlineStr">
        <is>
          <t>VIMMERBY</t>
        </is>
      </c>
      <c r="G475" t="n">
        <v>12</v>
      </c>
      <c r="H475" t="n">
        <v>0</v>
      </c>
      <c r="I475" t="n">
        <v>0</v>
      </c>
      <c r="J475" t="n">
        <v>0</v>
      </c>
      <c r="K475" t="n">
        <v>0</v>
      </c>
      <c r="L475" t="n">
        <v>0</v>
      </c>
      <c r="M475" t="n">
        <v>0</v>
      </c>
      <c r="N475" t="n">
        <v>0</v>
      </c>
      <c r="O475" t="n">
        <v>0</v>
      </c>
      <c r="P475" t="n">
        <v>0</v>
      </c>
      <c r="Q475" t="n">
        <v>0</v>
      </c>
      <c r="R475" s="2" t="inlineStr"/>
    </row>
    <row r="476" ht="15" customHeight="1">
      <c r="A476" t="inlineStr">
        <is>
          <t>A 10807-2024</t>
        </is>
      </c>
      <c r="B476" s="1" t="n">
        <v>45369.62780092593</v>
      </c>
      <c r="C476" s="1" t="n">
        <v>46107</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40260-2024</t>
        </is>
      </c>
      <c r="B477" s="1" t="n">
        <v>45554.63225694445</v>
      </c>
      <c r="C477" s="1" t="n">
        <v>46107</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10787-2025</t>
        </is>
      </c>
      <c r="B478" s="1" t="n">
        <v>45722.48915509259</v>
      </c>
      <c r="C478" s="1" t="n">
        <v>46107</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58577-2024</t>
        </is>
      </c>
      <c r="B479" s="1" t="n">
        <v>45635.4874537037</v>
      </c>
      <c r="C479" s="1" t="n">
        <v>46107</v>
      </c>
      <c r="D479" t="inlineStr">
        <is>
          <t>KALMAR LÄN</t>
        </is>
      </c>
      <c r="E479" t="inlineStr">
        <is>
          <t>VIMMERBY</t>
        </is>
      </c>
      <c r="G479" t="n">
        <v>1.1</v>
      </c>
      <c r="H479" t="n">
        <v>0</v>
      </c>
      <c r="I479" t="n">
        <v>0</v>
      </c>
      <c r="J479" t="n">
        <v>0</v>
      </c>
      <c r="K479" t="n">
        <v>0</v>
      </c>
      <c r="L479" t="n">
        <v>0</v>
      </c>
      <c r="M479" t="n">
        <v>0</v>
      </c>
      <c r="N479" t="n">
        <v>0</v>
      </c>
      <c r="O479" t="n">
        <v>0</v>
      </c>
      <c r="P479" t="n">
        <v>0</v>
      </c>
      <c r="Q479" t="n">
        <v>0</v>
      </c>
      <c r="R479" s="2" t="inlineStr"/>
    </row>
    <row r="480" ht="15" customHeight="1">
      <c r="A480" t="inlineStr">
        <is>
          <t>A 38198-2024</t>
        </is>
      </c>
      <c r="B480" s="1" t="n">
        <v>45545.49508101852</v>
      </c>
      <c r="C480" s="1" t="n">
        <v>46107</v>
      </c>
      <c r="D480" t="inlineStr">
        <is>
          <t>KALMAR LÄN</t>
        </is>
      </c>
      <c r="E480" t="inlineStr">
        <is>
          <t>VIMMERBY</t>
        </is>
      </c>
      <c r="G480" t="n">
        <v>7.9</v>
      </c>
      <c r="H480" t="n">
        <v>0</v>
      </c>
      <c r="I480" t="n">
        <v>0</v>
      </c>
      <c r="J480" t="n">
        <v>0</v>
      </c>
      <c r="K480" t="n">
        <v>0</v>
      </c>
      <c r="L480" t="n">
        <v>0</v>
      </c>
      <c r="M480" t="n">
        <v>0</v>
      </c>
      <c r="N480" t="n">
        <v>0</v>
      </c>
      <c r="O480" t="n">
        <v>0</v>
      </c>
      <c r="P480" t="n">
        <v>0</v>
      </c>
      <c r="Q480" t="n">
        <v>0</v>
      </c>
      <c r="R480" s="2" t="inlineStr"/>
    </row>
    <row r="481" ht="15" customHeight="1">
      <c r="A481" t="inlineStr">
        <is>
          <t>A 58374-2024</t>
        </is>
      </c>
      <c r="B481" s="1" t="n">
        <v>45632.72635416667</v>
      </c>
      <c r="C481" s="1" t="n">
        <v>46107</v>
      </c>
      <c r="D481" t="inlineStr">
        <is>
          <t>KALMAR LÄN</t>
        </is>
      </c>
      <c r="E481" t="inlineStr">
        <is>
          <t>VIMMERBY</t>
        </is>
      </c>
      <c r="G481" t="n">
        <v>0.8</v>
      </c>
      <c r="H481" t="n">
        <v>0</v>
      </c>
      <c r="I481" t="n">
        <v>0</v>
      </c>
      <c r="J481" t="n">
        <v>0</v>
      </c>
      <c r="K481" t="n">
        <v>0</v>
      </c>
      <c r="L481" t="n">
        <v>0</v>
      </c>
      <c r="M481" t="n">
        <v>0</v>
      </c>
      <c r="N481" t="n">
        <v>0</v>
      </c>
      <c r="O481" t="n">
        <v>0</v>
      </c>
      <c r="P481" t="n">
        <v>0</v>
      </c>
      <c r="Q481" t="n">
        <v>0</v>
      </c>
      <c r="R481" s="2" t="inlineStr"/>
    </row>
    <row r="482" ht="15" customHeight="1">
      <c r="A482" t="inlineStr">
        <is>
          <t>A 43617-2024</t>
        </is>
      </c>
      <c r="B482" s="1" t="n">
        <v>45569.47494212963</v>
      </c>
      <c r="C482" s="1" t="n">
        <v>46107</v>
      </c>
      <c r="D482" t="inlineStr">
        <is>
          <t>KALMAR LÄN</t>
        </is>
      </c>
      <c r="E482" t="inlineStr">
        <is>
          <t>VIMMERBY</t>
        </is>
      </c>
      <c r="G482" t="n">
        <v>2.7</v>
      </c>
      <c r="H482" t="n">
        <v>0</v>
      </c>
      <c r="I482" t="n">
        <v>0</v>
      </c>
      <c r="J482" t="n">
        <v>0</v>
      </c>
      <c r="K482" t="n">
        <v>0</v>
      </c>
      <c r="L482" t="n">
        <v>0</v>
      </c>
      <c r="M482" t="n">
        <v>0</v>
      </c>
      <c r="N482" t="n">
        <v>0</v>
      </c>
      <c r="O482" t="n">
        <v>0</v>
      </c>
      <c r="P482" t="n">
        <v>0</v>
      </c>
      <c r="Q482" t="n">
        <v>0</v>
      </c>
      <c r="R482" s="2" t="inlineStr"/>
    </row>
    <row r="483" ht="15" customHeight="1">
      <c r="A483" t="inlineStr">
        <is>
          <t>A 50544-2025</t>
        </is>
      </c>
      <c r="B483" s="1" t="n">
        <v>45945.50736111111</v>
      </c>
      <c r="C483" s="1" t="n">
        <v>46107</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22264-2023</t>
        </is>
      </c>
      <c r="B484" s="1" t="n">
        <v>45070.3665625</v>
      </c>
      <c r="C484" s="1" t="n">
        <v>46107</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22266-2023</t>
        </is>
      </c>
      <c r="B485" s="1" t="n">
        <v>45070</v>
      </c>
      <c r="C485" s="1" t="n">
        <v>46107</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50091-2023</t>
        </is>
      </c>
      <c r="B486" s="1" t="n">
        <v>45215.60199074074</v>
      </c>
      <c r="C486" s="1" t="n">
        <v>46107</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51062-2025</t>
        </is>
      </c>
      <c r="B487" s="1" t="n">
        <v>45947.44685185186</v>
      </c>
      <c r="C487" s="1" t="n">
        <v>46107</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10303-2025</t>
        </is>
      </c>
      <c r="B488" s="1" t="n">
        <v>45720.44217592593</v>
      </c>
      <c r="C488" s="1" t="n">
        <v>46107</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11027-2023</t>
        </is>
      </c>
      <c r="B489" s="1" t="n">
        <v>44991.89657407408</v>
      </c>
      <c r="C489" s="1" t="n">
        <v>46107</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55300-2021</t>
        </is>
      </c>
      <c r="B490" s="1" t="n">
        <v>44475</v>
      </c>
      <c r="C490" s="1" t="n">
        <v>46107</v>
      </c>
      <c r="D490" t="inlineStr">
        <is>
          <t>KALMAR LÄN</t>
        </is>
      </c>
      <c r="E490" t="inlineStr">
        <is>
          <t>VIMMERBY</t>
        </is>
      </c>
      <c r="G490" t="n">
        <v>3.4</v>
      </c>
      <c r="H490" t="n">
        <v>0</v>
      </c>
      <c r="I490" t="n">
        <v>0</v>
      </c>
      <c r="J490" t="n">
        <v>0</v>
      </c>
      <c r="K490" t="n">
        <v>0</v>
      </c>
      <c r="L490" t="n">
        <v>0</v>
      </c>
      <c r="M490" t="n">
        <v>0</v>
      </c>
      <c r="N490" t="n">
        <v>0</v>
      </c>
      <c r="O490" t="n">
        <v>0</v>
      </c>
      <c r="P490" t="n">
        <v>0</v>
      </c>
      <c r="Q490" t="n">
        <v>0</v>
      </c>
      <c r="R490" s="2" t="inlineStr"/>
    </row>
    <row r="491" ht="15" customHeight="1">
      <c r="A491" t="inlineStr">
        <is>
          <t>A 11661-2023</t>
        </is>
      </c>
      <c r="B491" s="1" t="n">
        <v>44994.46908564815</v>
      </c>
      <c r="C491" s="1" t="n">
        <v>46107</v>
      </c>
      <c r="D491" t="inlineStr">
        <is>
          <t>KALMAR LÄN</t>
        </is>
      </c>
      <c r="E491" t="inlineStr">
        <is>
          <t>VIMMERBY</t>
        </is>
      </c>
      <c r="G491" t="n">
        <v>2.7</v>
      </c>
      <c r="H491" t="n">
        <v>0</v>
      </c>
      <c r="I491" t="n">
        <v>0</v>
      </c>
      <c r="J491" t="n">
        <v>0</v>
      </c>
      <c r="K491" t="n">
        <v>0</v>
      </c>
      <c r="L491" t="n">
        <v>0</v>
      </c>
      <c r="M491" t="n">
        <v>0</v>
      </c>
      <c r="N491" t="n">
        <v>0</v>
      </c>
      <c r="O491" t="n">
        <v>0</v>
      </c>
      <c r="P491" t="n">
        <v>0</v>
      </c>
      <c r="Q491" t="n">
        <v>0</v>
      </c>
      <c r="R491" s="2" t="inlineStr"/>
    </row>
    <row r="492" ht="15" customHeight="1">
      <c r="A492" t="inlineStr">
        <is>
          <t>A 36155-2023</t>
        </is>
      </c>
      <c r="B492" s="1" t="n">
        <v>45149.60917824074</v>
      </c>
      <c r="C492" s="1" t="n">
        <v>46107</v>
      </c>
      <c r="D492" t="inlineStr">
        <is>
          <t>KALMAR LÄN</t>
        </is>
      </c>
      <c r="E492" t="inlineStr">
        <is>
          <t>VIMMERBY</t>
        </is>
      </c>
      <c r="G492" t="n">
        <v>5</v>
      </c>
      <c r="H492" t="n">
        <v>0</v>
      </c>
      <c r="I492" t="n">
        <v>0</v>
      </c>
      <c r="J492" t="n">
        <v>0</v>
      </c>
      <c r="K492" t="n">
        <v>0</v>
      </c>
      <c r="L492" t="n">
        <v>0</v>
      </c>
      <c r="M492" t="n">
        <v>0</v>
      </c>
      <c r="N492" t="n">
        <v>0</v>
      </c>
      <c r="O492" t="n">
        <v>0</v>
      </c>
      <c r="P492" t="n">
        <v>0</v>
      </c>
      <c r="Q492" t="n">
        <v>0</v>
      </c>
      <c r="R492" s="2" t="inlineStr"/>
    </row>
    <row r="493" ht="15" customHeight="1">
      <c r="A493" t="inlineStr">
        <is>
          <t>A 40147-2023</t>
        </is>
      </c>
      <c r="B493" s="1" t="n">
        <v>45169</v>
      </c>
      <c r="C493" s="1" t="n">
        <v>46107</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47263-2023</t>
        </is>
      </c>
      <c r="B494" s="1" t="n">
        <v>45202.4209837963</v>
      </c>
      <c r="C494" s="1" t="n">
        <v>46107</v>
      </c>
      <c r="D494" t="inlineStr">
        <is>
          <t>KALMAR LÄN</t>
        </is>
      </c>
      <c r="E494" t="inlineStr">
        <is>
          <t>VIMMERBY</t>
        </is>
      </c>
      <c r="G494" t="n">
        <v>1.8</v>
      </c>
      <c r="H494" t="n">
        <v>0</v>
      </c>
      <c r="I494" t="n">
        <v>0</v>
      </c>
      <c r="J494" t="n">
        <v>0</v>
      </c>
      <c r="K494" t="n">
        <v>0</v>
      </c>
      <c r="L494" t="n">
        <v>0</v>
      </c>
      <c r="M494" t="n">
        <v>0</v>
      </c>
      <c r="N494" t="n">
        <v>0</v>
      </c>
      <c r="O494" t="n">
        <v>0</v>
      </c>
      <c r="P494" t="n">
        <v>0</v>
      </c>
      <c r="Q494" t="n">
        <v>0</v>
      </c>
      <c r="R494" s="2" t="inlineStr"/>
    </row>
    <row r="495" ht="15" customHeight="1">
      <c r="A495" t="inlineStr">
        <is>
          <t>A 63950-2023</t>
        </is>
      </c>
      <c r="B495" s="1" t="n">
        <v>45278</v>
      </c>
      <c r="C495" s="1" t="n">
        <v>46107</v>
      </c>
      <c r="D495" t="inlineStr">
        <is>
          <t>KALMAR LÄN</t>
        </is>
      </c>
      <c r="E495" t="inlineStr">
        <is>
          <t>VIMMERBY</t>
        </is>
      </c>
      <c r="F495" t="inlineStr">
        <is>
          <t>Kyrkan</t>
        </is>
      </c>
      <c r="G495" t="n">
        <v>2.7</v>
      </c>
      <c r="H495" t="n">
        <v>0</v>
      </c>
      <c r="I495" t="n">
        <v>0</v>
      </c>
      <c r="J495" t="n">
        <v>0</v>
      </c>
      <c r="K495" t="n">
        <v>0</v>
      </c>
      <c r="L495" t="n">
        <v>0</v>
      </c>
      <c r="M495" t="n">
        <v>0</v>
      </c>
      <c r="N495" t="n">
        <v>0</v>
      </c>
      <c r="O495" t="n">
        <v>0</v>
      </c>
      <c r="P495" t="n">
        <v>0</v>
      </c>
      <c r="Q495" t="n">
        <v>0</v>
      </c>
      <c r="R495" s="2" t="inlineStr"/>
    </row>
    <row r="496" ht="15" customHeight="1">
      <c r="A496" t="inlineStr">
        <is>
          <t>A 24096-2024</t>
        </is>
      </c>
      <c r="B496" s="1" t="n">
        <v>45456.59289351852</v>
      </c>
      <c r="C496" s="1" t="n">
        <v>46107</v>
      </c>
      <c r="D496" t="inlineStr">
        <is>
          <t>KALMAR LÄN</t>
        </is>
      </c>
      <c r="E496" t="inlineStr">
        <is>
          <t>VIMMERBY</t>
        </is>
      </c>
      <c r="G496" t="n">
        <v>2.3</v>
      </c>
      <c r="H496" t="n">
        <v>0</v>
      </c>
      <c r="I496" t="n">
        <v>0</v>
      </c>
      <c r="J496" t="n">
        <v>0</v>
      </c>
      <c r="K496" t="n">
        <v>0</v>
      </c>
      <c r="L496" t="n">
        <v>0</v>
      </c>
      <c r="M496" t="n">
        <v>0</v>
      </c>
      <c r="N496" t="n">
        <v>0</v>
      </c>
      <c r="O496" t="n">
        <v>0</v>
      </c>
      <c r="P496" t="n">
        <v>0</v>
      </c>
      <c r="Q496" t="n">
        <v>0</v>
      </c>
      <c r="R496" s="2" t="inlineStr"/>
    </row>
    <row r="497" ht="15" customHeight="1">
      <c r="A497" t="inlineStr">
        <is>
          <t>A 51993-2025</t>
        </is>
      </c>
      <c r="B497" s="1" t="n">
        <v>45952.58194444444</v>
      </c>
      <c r="C497" s="1" t="n">
        <v>46107</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13015-2023</t>
        </is>
      </c>
      <c r="B498" s="1" t="n">
        <v>45002</v>
      </c>
      <c r="C498" s="1" t="n">
        <v>46107</v>
      </c>
      <c r="D498" t="inlineStr">
        <is>
          <t>KALMAR LÄN</t>
        </is>
      </c>
      <c r="E498" t="inlineStr">
        <is>
          <t>VIMMERBY</t>
        </is>
      </c>
      <c r="G498" t="n">
        <v>3.2</v>
      </c>
      <c r="H498" t="n">
        <v>0</v>
      </c>
      <c r="I498" t="n">
        <v>0</v>
      </c>
      <c r="J498" t="n">
        <v>0</v>
      </c>
      <c r="K498" t="n">
        <v>0</v>
      </c>
      <c r="L498" t="n">
        <v>0</v>
      </c>
      <c r="M498" t="n">
        <v>0</v>
      </c>
      <c r="N498" t="n">
        <v>0</v>
      </c>
      <c r="O498" t="n">
        <v>0</v>
      </c>
      <c r="P498" t="n">
        <v>0</v>
      </c>
      <c r="Q498" t="n">
        <v>0</v>
      </c>
      <c r="R498" s="2" t="inlineStr"/>
    </row>
    <row r="499" ht="15" customHeight="1">
      <c r="A499" t="inlineStr">
        <is>
          <t>A 51990-2025</t>
        </is>
      </c>
      <c r="B499" s="1" t="n">
        <v>45952.58061342593</v>
      </c>
      <c r="C499" s="1" t="n">
        <v>46107</v>
      </c>
      <c r="D499" t="inlineStr">
        <is>
          <t>KALMAR LÄN</t>
        </is>
      </c>
      <c r="E499" t="inlineStr">
        <is>
          <t>VIMMERBY</t>
        </is>
      </c>
      <c r="G499" t="n">
        <v>2.4</v>
      </c>
      <c r="H499" t="n">
        <v>0</v>
      </c>
      <c r="I499" t="n">
        <v>0</v>
      </c>
      <c r="J499" t="n">
        <v>0</v>
      </c>
      <c r="K499" t="n">
        <v>0</v>
      </c>
      <c r="L499" t="n">
        <v>0</v>
      </c>
      <c r="M499" t="n">
        <v>0</v>
      </c>
      <c r="N499" t="n">
        <v>0</v>
      </c>
      <c r="O499" t="n">
        <v>0</v>
      </c>
      <c r="P499" t="n">
        <v>0</v>
      </c>
      <c r="Q499" t="n">
        <v>0</v>
      </c>
      <c r="R499" s="2" t="inlineStr"/>
    </row>
    <row r="500" ht="15" customHeight="1">
      <c r="A500" t="inlineStr">
        <is>
          <t>A 41199-2023</t>
        </is>
      </c>
      <c r="B500" s="1" t="n">
        <v>45174.40454861111</v>
      </c>
      <c r="C500" s="1" t="n">
        <v>46107</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36014-2024</t>
        </is>
      </c>
      <c r="B501" s="1" t="n">
        <v>45533.56108796296</v>
      </c>
      <c r="C501" s="1" t="n">
        <v>46107</v>
      </c>
      <c r="D501" t="inlineStr">
        <is>
          <t>KALMAR LÄN</t>
        </is>
      </c>
      <c r="E501" t="inlineStr">
        <is>
          <t>VIMMERBY</t>
        </is>
      </c>
      <c r="G501" t="n">
        <v>2.3</v>
      </c>
      <c r="H501" t="n">
        <v>0</v>
      </c>
      <c r="I501" t="n">
        <v>0</v>
      </c>
      <c r="J501" t="n">
        <v>0</v>
      </c>
      <c r="K501" t="n">
        <v>0</v>
      </c>
      <c r="L501" t="n">
        <v>0</v>
      </c>
      <c r="M501" t="n">
        <v>0</v>
      </c>
      <c r="N501" t="n">
        <v>0</v>
      </c>
      <c r="O501" t="n">
        <v>0</v>
      </c>
      <c r="P501" t="n">
        <v>0</v>
      </c>
      <c r="Q501" t="n">
        <v>0</v>
      </c>
      <c r="R501" s="2" t="inlineStr"/>
    </row>
    <row r="502" ht="15" customHeight="1">
      <c r="A502" t="inlineStr">
        <is>
          <t>A 36030-2024</t>
        </is>
      </c>
      <c r="B502" s="1" t="n">
        <v>45533.58302083334</v>
      </c>
      <c r="C502" s="1" t="n">
        <v>46107</v>
      </c>
      <c r="D502" t="inlineStr">
        <is>
          <t>KALMAR LÄN</t>
        </is>
      </c>
      <c r="E502" t="inlineStr">
        <is>
          <t>VIMMERBY</t>
        </is>
      </c>
      <c r="F502" t="inlineStr">
        <is>
          <t>Kommuner</t>
        </is>
      </c>
      <c r="G502" t="n">
        <v>4</v>
      </c>
      <c r="H502" t="n">
        <v>0</v>
      </c>
      <c r="I502" t="n">
        <v>0</v>
      </c>
      <c r="J502" t="n">
        <v>0</v>
      </c>
      <c r="K502" t="n">
        <v>0</v>
      </c>
      <c r="L502" t="n">
        <v>0</v>
      </c>
      <c r="M502" t="n">
        <v>0</v>
      </c>
      <c r="N502" t="n">
        <v>0</v>
      </c>
      <c r="O502" t="n">
        <v>0</v>
      </c>
      <c r="P502" t="n">
        <v>0</v>
      </c>
      <c r="Q502" t="n">
        <v>0</v>
      </c>
      <c r="R502" s="2" t="inlineStr"/>
    </row>
    <row r="503" ht="15" customHeight="1">
      <c r="A503" t="inlineStr">
        <is>
          <t>A 52473-2025</t>
        </is>
      </c>
      <c r="B503" s="1" t="n">
        <v>45954.45947916667</v>
      </c>
      <c r="C503" s="1" t="n">
        <v>46107</v>
      </c>
      <c r="D503" t="inlineStr">
        <is>
          <t>KALMAR LÄN</t>
        </is>
      </c>
      <c r="E503" t="inlineStr">
        <is>
          <t>VIMMERBY</t>
        </is>
      </c>
      <c r="G503" t="n">
        <v>2.4</v>
      </c>
      <c r="H503" t="n">
        <v>0</v>
      </c>
      <c r="I503" t="n">
        <v>0</v>
      </c>
      <c r="J503" t="n">
        <v>0</v>
      </c>
      <c r="K503" t="n">
        <v>0</v>
      </c>
      <c r="L503" t="n">
        <v>0</v>
      </c>
      <c r="M503" t="n">
        <v>0</v>
      </c>
      <c r="N503" t="n">
        <v>0</v>
      </c>
      <c r="O503" t="n">
        <v>0</v>
      </c>
      <c r="P503" t="n">
        <v>0</v>
      </c>
      <c r="Q503" t="n">
        <v>0</v>
      </c>
      <c r="R503" s="2" t="inlineStr"/>
    </row>
    <row r="504" ht="15" customHeight="1">
      <c r="A504" t="inlineStr">
        <is>
          <t>A 52480-2025</t>
        </is>
      </c>
      <c r="B504" s="1" t="n">
        <v>45954.47172453703</v>
      </c>
      <c r="C504" s="1" t="n">
        <v>46107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6321-2023</t>
        </is>
      </c>
      <c r="B505" s="1" t="n">
        <v>44965.4815162037</v>
      </c>
      <c r="C505" s="1" t="n">
        <v>46107</v>
      </c>
      <c r="D505" t="inlineStr">
        <is>
          <t>KALMAR LÄN</t>
        </is>
      </c>
      <c r="E505" t="inlineStr">
        <is>
          <t>VIMMERBY</t>
        </is>
      </c>
      <c r="G505" t="n">
        <v>1.8</v>
      </c>
      <c r="H505" t="n">
        <v>0</v>
      </c>
      <c r="I505" t="n">
        <v>0</v>
      </c>
      <c r="J505" t="n">
        <v>0</v>
      </c>
      <c r="K505" t="n">
        <v>0</v>
      </c>
      <c r="L505" t="n">
        <v>0</v>
      </c>
      <c r="M505" t="n">
        <v>0</v>
      </c>
      <c r="N505" t="n">
        <v>0</v>
      </c>
      <c r="O505" t="n">
        <v>0</v>
      </c>
      <c r="P505" t="n">
        <v>0</v>
      </c>
      <c r="Q505" t="n">
        <v>0</v>
      </c>
      <c r="R505" s="2" t="inlineStr"/>
    </row>
    <row r="506" ht="15" customHeight="1">
      <c r="A506" t="inlineStr">
        <is>
          <t>A 2536-2023</t>
        </is>
      </c>
      <c r="B506" s="1" t="n">
        <v>44943.62954861111</v>
      </c>
      <c r="C506" s="1" t="n">
        <v>46107</v>
      </c>
      <c r="D506" t="inlineStr">
        <is>
          <t>KALMAR LÄN</t>
        </is>
      </c>
      <c r="E506" t="inlineStr">
        <is>
          <t>VIMMERBY</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52466-2025</t>
        </is>
      </c>
      <c r="B507" s="1" t="n">
        <v>45954.44707175926</v>
      </c>
      <c r="C507" s="1" t="n">
        <v>46107</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52516-2025</t>
        </is>
      </c>
      <c r="B508" s="1" t="n">
        <v>45954.51412037037</v>
      </c>
      <c r="C508" s="1" t="n">
        <v>46107</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52465-2025</t>
        </is>
      </c>
      <c r="B509" s="1" t="n">
        <v>45954.44543981482</v>
      </c>
      <c r="C509" s="1" t="n">
        <v>46107</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2801-2023</t>
        </is>
      </c>
      <c r="B510" s="1" t="n">
        <v>44944.73487268519</v>
      </c>
      <c r="C510" s="1" t="n">
        <v>46107</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52755-2022</t>
        </is>
      </c>
      <c r="B511" s="1" t="n">
        <v>44875.27736111111</v>
      </c>
      <c r="C511" s="1" t="n">
        <v>46107</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40823-2023</t>
        </is>
      </c>
      <c r="B512" s="1" t="n">
        <v>45171.77335648148</v>
      </c>
      <c r="C512" s="1" t="n">
        <v>46107</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17968-2025</t>
        </is>
      </c>
      <c r="B513" s="1" t="n">
        <v>45761.35990740741</v>
      </c>
      <c r="C513" s="1" t="n">
        <v>46107</v>
      </c>
      <c r="D513" t="inlineStr">
        <is>
          <t>KALMAR LÄN</t>
        </is>
      </c>
      <c r="E513" t="inlineStr">
        <is>
          <t>VIMMERBY</t>
        </is>
      </c>
      <c r="G513" t="n">
        <v>3.3</v>
      </c>
      <c r="H513" t="n">
        <v>0</v>
      </c>
      <c r="I513" t="n">
        <v>0</v>
      </c>
      <c r="J513" t="n">
        <v>0</v>
      </c>
      <c r="K513" t="n">
        <v>0</v>
      </c>
      <c r="L513" t="n">
        <v>0</v>
      </c>
      <c r="M513" t="n">
        <v>0</v>
      </c>
      <c r="N513" t="n">
        <v>0</v>
      </c>
      <c r="O513" t="n">
        <v>0</v>
      </c>
      <c r="P513" t="n">
        <v>0</v>
      </c>
      <c r="Q513" t="n">
        <v>0</v>
      </c>
      <c r="R513" s="2" t="inlineStr"/>
    </row>
    <row r="514" ht="15" customHeight="1">
      <c r="A514" t="inlineStr">
        <is>
          <t>A 27761-2024</t>
        </is>
      </c>
      <c r="B514" s="1" t="n">
        <v>45475.49018518518</v>
      </c>
      <c r="C514" s="1" t="n">
        <v>46107</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21028-2023</t>
        </is>
      </c>
      <c r="B515" s="1" t="n">
        <v>45061</v>
      </c>
      <c r="C515" s="1" t="n">
        <v>46107</v>
      </c>
      <c r="D515" t="inlineStr">
        <is>
          <t>KALMAR LÄN</t>
        </is>
      </c>
      <c r="E515" t="inlineStr">
        <is>
          <t>VIMMERBY</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64203-2021</t>
        </is>
      </c>
      <c r="B516" s="1" t="n">
        <v>44510.60921296296</v>
      </c>
      <c r="C516" s="1" t="n">
        <v>46107</v>
      </c>
      <c r="D516" t="inlineStr">
        <is>
          <t>KALMAR LÄN</t>
        </is>
      </c>
      <c r="E516" t="inlineStr">
        <is>
          <t>VIMMERBY</t>
        </is>
      </c>
      <c r="F516" t="inlineStr">
        <is>
          <t>Övriga Aktiebolag</t>
        </is>
      </c>
      <c r="G516" t="n">
        <v>5.4</v>
      </c>
      <c r="H516" t="n">
        <v>0</v>
      </c>
      <c r="I516" t="n">
        <v>0</v>
      </c>
      <c r="J516" t="n">
        <v>0</v>
      </c>
      <c r="K516" t="n">
        <v>0</v>
      </c>
      <c r="L516" t="n">
        <v>0</v>
      </c>
      <c r="M516" t="n">
        <v>0</v>
      </c>
      <c r="N516" t="n">
        <v>0</v>
      </c>
      <c r="O516" t="n">
        <v>0</v>
      </c>
      <c r="P516" t="n">
        <v>0</v>
      </c>
      <c r="Q516" t="n">
        <v>0</v>
      </c>
      <c r="R516" s="2" t="inlineStr"/>
    </row>
    <row r="517" ht="15" customHeight="1">
      <c r="A517" t="inlineStr">
        <is>
          <t>A 1016-2024</t>
        </is>
      </c>
      <c r="B517" s="1" t="n">
        <v>45301</v>
      </c>
      <c r="C517" s="1" t="n">
        <v>46107</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1024-2024</t>
        </is>
      </c>
      <c r="B518" s="1" t="n">
        <v>45301.68237268519</v>
      </c>
      <c r="C518" s="1" t="n">
        <v>46107</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27758-2024</t>
        </is>
      </c>
      <c r="B519" s="1" t="n">
        <v>45475.48303240741</v>
      </c>
      <c r="C519" s="1" t="n">
        <v>46107</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52475-2025</t>
        </is>
      </c>
      <c r="B520" s="1" t="n">
        <v>45954.468125</v>
      </c>
      <c r="C520" s="1" t="n">
        <v>46107</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53220-2025</t>
        </is>
      </c>
      <c r="B521" s="1" t="n">
        <v>45958.60146990741</v>
      </c>
      <c r="C521" s="1" t="n">
        <v>46107</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52451-2025</t>
        </is>
      </c>
      <c r="B522" s="1" t="n">
        <v>45954.42326388889</v>
      </c>
      <c r="C522" s="1" t="n">
        <v>46107</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53393-2025</t>
        </is>
      </c>
      <c r="B523" s="1" t="n">
        <v>45959.55284722222</v>
      </c>
      <c r="C523" s="1" t="n">
        <v>46107</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53398-2025</t>
        </is>
      </c>
      <c r="B524" s="1" t="n">
        <v>45959.56247685185</v>
      </c>
      <c r="C524" s="1" t="n">
        <v>46107</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14451-2024</t>
        </is>
      </c>
      <c r="B525" s="1" t="n">
        <v>45394.50028935185</v>
      </c>
      <c r="C525" s="1" t="n">
        <v>46107</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46238-2024</t>
        </is>
      </c>
      <c r="B526" s="1" t="n">
        <v>45581.58418981481</v>
      </c>
      <c r="C526" s="1" t="n">
        <v>46107</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50993-2022</t>
        </is>
      </c>
      <c r="B527" s="1" t="n">
        <v>44867</v>
      </c>
      <c r="C527" s="1" t="n">
        <v>46107</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46225-2024</t>
        </is>
      </c>
      <c r="B528" s="1" t="n">
        <v>45581.57333333333</v>
      </c>
      <c r="C528" s="1" t="n">
        <v>46107</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53397-2025</t>
        </is>
      </c>
      <c r="B529" s="1" t="n">
        <v>45959.55918981481</v>
      </c>
      <c r="C529" s="1" t="n">
        <v>46107</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53416-2025</t>
        </is>
      </c>
      <c r="B530" s="1" t="n">
        <v>45959.58387731481</v>
      </c>
      <c r="C530" s="1" t="n">
        <v>46107</v>
      </c>
      <c r="D530" t="inlineStr">
        <is>
          <t>KALMAR LÄN</t>
        </is>
      </c>
      <c r="E530" t="inlineStr">
        <is>
          <t>VIMMERBY</t>
        </is>
      </c>
      <c r="G530" t="n">
        <v>4.4</v>
      </c>
      <c r="H530" t="n">
        <v>0</v>
      </c>
      <c r="I530" t="n">
        <v>0</v>
      </c>
      <c r="J530" t="n">
        <v>0</v>
      </c>
      <c r="K530" t="n">
        <v>0</v>
      </c>
      <c r="L530" t="n">
        <v>0</v>
      </c>
      <c r="M530" t="n">
        <v>0</v>
      </c>
      <c r="N530" t="n">
        <v>0</v>
      </c>
      <c r="O530" t="n">
        <v>0</v>
      </c>
      <c r="P530" t="n">
        <v>0</v>
      </c>
      <c r="Q530" t="n">
        <v>0</v>
      </c>
      <c r="R530" s="2" t="inlineStr"/>
    </row>
    <row r="531" ht="15" customHeight="1">
      <c r="A531" t="inlineStr">
        <is>
          <t>A 32865-2023</t>
        </is>
      </c>
      <c r="B531" s="1" t="n">
        <v>45124</v>
      </c>
      <c r="C531" s="1" t="n">
        <v>46107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22194-2024</t>
        </is>
      </c>
      <c r="B532" s="1" t="n">
        <v>45446.36482638889</v>
      </c>
      <c r="C532" s="1" t="n">
        <v>46107</v>
      </c>
      <c r="D532" t="inlineStr">
        <is>
          <t>KALMAR LÄN</t>
        </is>
      </c>
      <c r="E532" t="inlineStr">
        <is>
          <t>VIMMERBY</t>
        </is>
      </c>
      <c r="F532" t="inlineStr">
        <is>
          <t>Sveaskog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53413-2025</t>
        </is>
      </c>
      <c r="B533" s="1" t="n">
        <v>45959.5787037037</v>
      </c>
      <c r="C533" s="1" t="n">
        <v>46107</v>
      </c>
      <c r="D533" t="inlineStr">
        <is>
          <t>KALMAR LÄN</t>
        </is>
      </c>
      <c r="E533" t="inlineStr">
        <is>
          <t>VIMMERBY</t>
        </is>
      </c>
      <c r="G533" t="n">
        <v>4.3</v>
      </c>
      <c r="H533" t="n">
        <v>0</v>
      </c>
      <c r="I533" t="n">
        <v>0</v>
      </c>
      <c r="J533" t="n">
        <v>0</v>
      </c>
      <c r="K533" t="n">
        <v>0</v>
      </c>
      <c r="L533" t="n">
        <v>0</v>
      </c>
      <c r="M533" t="n">
        <v>0</v>
      </c>
      <c r="N533" t="n">
        <v>0</v>
      </c>
      <c r="O533" t="n">
        <v>0</v>
      </c>
      <c r="P533" t="n">
        <v>0</v>
      </c>
      <c r="Q533" t="n">
        <v>0</v>
      </c>
      <c r="R533" s="2" t="inlineStr"/>
    </row>
    <row r="534" ht="15" customHeight="1">
      <c r="A534" t="inlineStr">
        <is>
          <t>A 17926-2025</t>
        </is>
      </c>
      <c r="B534" s="1" t="n">
        <v>45759.38987268518</v>
      </c>
      <c r="C534" s="1" t="n">
        <v>46107</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35127-2024</t>
        </is>
      </c>
      <c r="B535" s="1" t="n">
        <v>45530.33202546297</v>
      </c>
      <c r="C535" s="1" t="n">
        <v>46107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36055-2024</t>
        </is>
      </c>
      <c r="B536" s="1" t="n">
        <v>45533.63056712963</v>
      </c>
      <c r="C536" s="1" t="n">
        <v>46107</v>
      </c>
      <c r="D536" t="inlineStr">
        <is>
          <t>KALMAR LÄN</t>
        </is>
      </c>
      <c r="E536" t="inlineStr">
        <is>
          <t>VIMMERBY</t>
        </is>
      </c>
      <c r="F536" t="inlineStr">
        <is>
          <t>Kommuner</t>
        </is>
      </c>
      <c r="G536" t="n">
        <v>1.9</v>
      </c>
      <c r="H536" t="n">
        <v>0</v>
      </c>
      <c r="I536" t="n">
        <v>0</v>
      </c>
      <c r="J536" t="n">
        <v>0</v>
      </c>
      <c r="K536" t="n">
        <v>0</v>
      </c>
      <c r="L536" t="n">
        <v>0</v>
      </c>
      <c r="M536" t="n">
        <v>0</v>
      </c>
      <c r="N536" t="n">
        <v>0</v>
      </c>
      <c r="O536" t="n">
        <v>0</v>
      </c>
      <c r="P536" t="n">
        <v>0</v>
      </c>
      <c r="Q536" t="n">
        <v>0</v>
      </c>
      <c r="R536" s="2" t="inlineStr"/>
    </row>
    <row r="537" ht="15" customHeight="1">
      <c r="A537" t="inlineStr">
        <is>
          <t>A 47859-2024</t>
        </is>
      </c>
      <c r="B537" s="1" t="n">
        <v>45588.67070601852</v>
      </c>
      <c r="C537" s="1" t="n">
        <v>46107</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53396-2025</t>
        </is>
      </c>
      <c r="B538" s="1" t="n">
        <v>45959.55577546296</v>
      </c>
      <c r="C538" s="1" t="n">
        <v>46107</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53788-2025</t>
        </is>
      </c>
      <c r="B539" s="1" t="n">
        <v>45960</v>
      </c>
      <c r="C539" s="1" t="n">
        <v>46107</v>
      </c>
      <c r="D539" t="inlineStr">
        <is>
          <t>KALMAR LÄN</t>
        </is>
      </c>
      <c r="E539" t="inlineStr">
        <is>
          <t>VIMMERBY</t>
        </is>
      </c>
      <c r="F539" t="inlineStr">
        <is>
          <t>Övriga statliga verk och myndigheter</t>
        </is>
      </c>
      <c r="G539" t="n">
        <v>6.3</v>
      </c>
      <c r="H539" t="n">
        <v>0</v>
      </c>
      <c r="I539" t="n">
        <v>0</v>
      </c>
      <c r="J539" t="n">
        <v>0</v>
      </c>
      <c r="K539" t="n">
        <v>0</v>
      </c>
      <c r="L539" t="n">
        <v>0</v>
      </c>
      <c r="M539" t="n">
        <v>0</v>
      </c>
      <c r="N539" t="n">
        <v>0</v>
      </c>
      <c r="O539" t="n">
        <v>0</v>
      </c>
      <c r="P539" t="n">
        <v>0</v>
      </c>
      <c r="Q539" t="n">
        <v>0</v>
      </c>
      <c r="R539" s="2" t="inlineStr"/>
    </row>
    <row r="540" ht="15" customHeight="1">
      <c r="A540" t="inlineStr">
        <is>
          <t>A 53927-2025</t>
        </is>
      </c>
      <c r="B540" s="1" t="n">
        <v>45961.46740740741</v>
      </c>
      <c r="C540" s="1" t="n">
        <v>46107</v>
      </c>
      <c r="D540" t="inlineStr">
        <is>
          <t>KALMAR LÄN</t>
        </is>
      </c>
      <c r="E540" t="inlineStr">
        <is>
          <t>VIMMERBY</t>
        </is>
      </c>
      <c r="G540" t="n">
        <v>2.5</v>
      </c>
      <c r="H540" t="n">
        <v>0</v>
      </c>
      <c r="I540" t="n">
        <v>0</v>
      </c>
      <c r="J540" t="n">
        <v>0</v>
      </c>
      <c r="K540" t="n">
        <v>0</v>
      </c>
      <c r="L540" t="n">
        <v>0</v>
      </c>
      <c r="M540" t="n">
        <v>0</v>
      </c>
      <c r="N540" t="n">
        <v>0</v>
      </c>
      <c r="O540" t="n">
        <v>0</v>
      </c>
      <c r="P540" t="n">
        <v>0</v>
      </c>
      <c r="Q540" t="n">
        <v>0</v>
      </c>
      <c r="R540" s="2" t="inlineStr"/>
    </row>
    <row r="541" ht="15" customHeight="1">
      <c r="A541" t="inlineStr">
        <is>
          <t>A 53933-2025</t>
        </is>
      </c>
      <c r="B541" s="1" t="n">
        <v>45961.47650462963</v>
      </c>
      <c r="C541" s="1" t="n">
        <v>46107</v>
      </c>
      <c r="D541" t="inlineStr">
        <is>
          <t>KALMAR LÄN</t>
        </is>
      </c>
      <c r="E541" t="inlineStr">
        <is>
          <t>VIMMERBY</t>
        </is>
      </c>
      <c r="G541" t="n">
        <v>0.9</v>
      </c>
      <c r="H541" t="n">
        <v>0</v>
      </c>
      <c r="I541" t="n">
        <v>0</v>
      </c>
      <c r="J541" t="n">
        <v>0</v>
      </c>
      <c r="K541" t="n">
        <v>0</v>
      </c>
      <c r="L541" t="n">
        <v>0</v>
      </c>
      <c r="M541" t="n">
        <v>0</v>
      </c>
      <c r="N541" t="n">
        <v>0</v>
      </c>
      <c r="O541" t="n">
        <v>0</v>
      </c>
      <c r="P541" t="n">
        <v>0</v>
      </c>
      <c r="Q541" t="n">
        <v>0</v>
      </c>
      <c r="R541" s="2" t="inlineStr"/>
    </row>
    <row r="542" ht="15" customHeight="1">
      <c r="A542" t="inlineStr">
        <is>
          <t>A 32835-2022</t>
        </is>
      </c>
      <c r="B542" s="1" t="n">
        <v>44784.42528935185</v>
      </c>
      <c r="C542" s="1" t="n">
        <v>46107</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54236-2025</t>
        </is>
      </c>
      <c r="B543" s="1" t="n">
        <v>45964.62671296296</v>
      </c>
      <c r="C543" s="1" t="n">
        <v>46107</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53923-2025</t>
        </is>
      </c>
      <c r="B544" s="1" t="n">
        <v>45961.4569212963</v>
      </c>
      <c r="C544" s="1" t="n">
        <v>46107</v>
      </c>
      <c r="D544" t="inlineStr">
        <is>
          <t>KALMAR LÄN</t>
        </is>
      </c>
      <c r="E544" t="inlineStr">
        <is>
          <t>VIMMERBY</t>
        </is>
      </c>
      <c r="G544" t="n">
        <v>2.4</v>
      </c>
      <c r="H544" t="n">
        <v>0</v>
      </c>
      <c r="I544" t="n">
        <v>0</v>
      </c>
      <c r="J544" t="n">
        <v>0</v>
      </c>
      <c r="K544" t="n">
        <v>0</v>
      </c>
      <c r="L544" t="n">
        <v>0</v>
      </c>
      <c r="M544" t="n">
        <v>0</v>
      </c>
      <c r="N544" t="n">
        <v>0</v>
      </c>
      <c r="O544" t="n">
        <v>0</v>
      </c>
      <c r="P544" t="n">
        <v>0</v>
      </c>
      <c r="Q544" t="n">
        <v>0</v>
      </c>
      <c r="R544" s="2" t="inlineStr"/>
    </row>
    <row r="545" ht="15" customHeight="1">
      <c r="A545" t="inlineStr">
        <is>
          <t>A 53920-2025</t>
        </is>
      </c>
      <c r="B545" s="1" t="n">
        <v>45961.44951388889</v>
      </c>
      <c r="C545" s="1" t="n">
        <v>46107</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46107</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33383-2023</t>
        </is>
      </c>
      <c r="B547" s="1" t="n">
        <v>45128.58414351852</v>
      </c>
      <c r="C547" s="1" t="n">
        <v>46107</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4297-2022</t>
        </is>
      </c>
      <c r="B548" s="1" t="n">
        <v>44588</v>
      </c>
      <c r="C548" s="1" t="n">
        <v>46107</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53789-2025</t>
        </is>
      </c>
      <c r="B549" s="1" t="n">
        <v>45960</v>
      </c>
      <c r="C549" s="1" t="n">
        <v>46107</v>
      </c>
      <c r="D549" t="inlineStr">
        <is>
          <t>KALMAR LÄN</t>
        </is>
      </c>
      <c r="E549" t="inlineStr">
        <is>
          <t>VIMMERBY</t>
        </is>
      </c>
      <c r="F549" t="inlineStr">
        <is>
          <t>Övriga statliga verk och myndigheter</t>
        </is>
      </c>
      <c r="G549" t="n">
        <v>1.6</v>
      </c>
      <c r="H549" t="n">
        <v>0</v>
      </c>
      <c r="I549" t="n">
        <v>0</v>
      </c>
      <c r="J549" t="n">
        <v>0</v>
      </c>
      <c r="K549" t="n">
        <v>0</v>
      </c>
      <c r="L549" t="n">
        <v>0</v>
      </c>
      <c r="M549" t="n">
        <v>0</v>
      </c>
      <c r="N549" t="n">
        <v>0</v>
      </c>
      <c r="O549" t="n">
        <v>0</v>
      </c>
      <c r="P549" t="n">
        <v>0</v>
      </c>
      <c r="Q549" t="n">
        <v>0</v>
      </c>
      <c r="R549" s="2" t="inlineStr"/>
    </row>
    <row r="550" ht="15" customHeight="1">
      <c r="A550" t="inlineStr">
        <is>
          <t>A 53903-2025</t>
        </is>
      </c>
      <c r="B550" s="1" t="n">
        <v>45961.43738425926</v>
      </c>
      <c r="C550" s="1" t="n">
        <v>46107</v>
      </c>
      <c r="D550" t="inlineStr">
        <is>
          <t>KALMAR LÄN</t>
        </is>
      </c>
      <c r="E550" t="inlineStr">
        <is>
          <t>VIMMERBY</t>
        </is>
      </c>
      <c r="G550" t="n">
        <v>0.8</v>
      </c>
      <c r="H550" t="n">
        <v>0</v>
      </c>
      <c r="I550" t="n">
        <v>0</v>
      </c>
      <c r="J550" t="n">
        <v>0</v>
      </c>
      <c r="K550" t="n">
        <v>0</v>
      </c>
      <c r="L550" t="n">
        <v>0</v>
      </c>
      <c r="M550" t="n">
        <v>0</v>
      </c>
      <c r="N550" t="n">
        <v>0</v>
      </c>
      <c r="O550" t="n">
        <v>0</v>
      </c>
      <c r="P550" t="n">
        <v>0</v>
      </c>
      <c r="Q550" t="n">
        <v>0</v>
      </c>
      <c r="R550" s="2" t="inlineStr"/>
    </row>
    <row r="551" ht="15" customHeight="1">
      <c r="A551" t="inlineStr">
        <is>
          <t>A 55716-2023</t>
        </is>
      </c>
      <c r="B551" s="1" t="n">
        <v>45232</v>
      </c>
      <c r="C551" s="1" t="n">
        <v>46107</v>
      </c>
      <c r="D551" t="inlineStr">
        <is>
          <t>KALMAR LÄN</t>
        </is>
      </c>
      <c r="E551" t="inlineStr">
        <is>
          <t>VIMMERBY</t>
        </is>
      </c>
      <c r="G551" t="n">
        <v>2.3</v>
      </c>
      <c r="H551" t="n">
        <v>0</v>
      </c>
      <c r="I551" t="n">
        <v>0</v>
      </c>
      <c r="J551" t="n">
        <v>0</v>
      </c>
      <c r="K551" t="n">
        <v>0</v>
      </c>
      <c r="L551" t="n">
        <v>0</v>
      </c>
      <c r="M551" t="n">
        <v>0</v>
      </c>
      <c r="N551" t="n">
        <v>0</v>
      </c>
      <c r="O551" t="n">
        <v>0</v>
      </c>
      <c r="P551" t="n">
        <v>0</v>
      </c>
      <c r="Q551" t="n">
        <v>0</v>
      </c>
      <c r="R551" s="2" t="inlineStr"/>
    </row>
    <row r="552" ht="15" customHeight="1">
      <c r="A552" t="inlineStr">
        <is>
          <t>A 34386-2024</t>
        </is>
      </c>
      <c r="B552" s="1" t="n">
        <v>45525.41762731481</v>
      </c>
      <c r="C552" s="1" t="n">
        <v>46107</v>
      </c>
      <c r="D552" t="inlineStr">
        <is>
          <t>KALMAR LÄN</t>
        </is>
      </c>
      <c r="E552" t="inlineStr">
        <is>
          <t>VIMMERBY</t>
        </is>
      </c>
      <c r="G552" t="n">
        <v>0.3</v>
      </c>
      <c r="H552" t="n">
        <v>0</v>
      </c>
      <c r="I552" t="n">
        <v>0</v>
      </c>
      <c r="J552" t="n">
        <v>0</v>
      </c>
      <c r="K552" t="n">
        <v>0</v>
      </c>
      <c r="L552" t="n">
        <v>0</v>
      </c>
      <c r="M552" t="n">
        <v>0</v>
      </c>
      <c r="N552" t="n">
        <v>0</v>
      </c>
      <c r="O552" t="n">
        <v>0</v>
      </c>
      <c r="P552" t="n">
        <v>0</v>
      </c>
      <c r="Q552" t="n">
        <v>0</v>
      </c>
      <c r="R552" s="2" t="inlineStr"/>
    </row>
    <row r="553" ht="15" customHeight="1">
      <c r="A553" t="inlineStr">
        <is>
          <t>A 54737-2025</t>
        </is>
      </c>
      <c r="B553" s="1" t="n">
        <v>45966.56826388889</v>
      </c>
      <c r="C553" s="1" t="n">
        <v>46107</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41896-2023</t>
        </is>
      </c>
      <c r="B554" s="1" t="n">
        <v>45176.72427083334</v>
      </c>
      <c r="C554" s="1" t="n">
        <v>46107</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42429-2024</t>
        </is>
      </c>
      <c r="B555" s="1" t="n">
        <v>45565.40657407408</v>
      </c>
      <c r="C555" s="1" t="n">
        <v>46107</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11946-2025</t>
        </is>
      </c>
      <c r="B556" s="1" t="n">
        <v>45728.54832175926</v>
      </c>
      <c r="C556" s="1" t="n">
        <v>46107</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43606-2024</t>
        </is>
      </c>
      <c r="B557" s="1" t="n">
        <v>45569.45017361111</v>
      </c>
      <c r="C557" s="1" t="n">
        <v>46107</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54813-2025</t>
        </is>
      </c>
      <c r="B558" s="1" t="n">
        <v>45966.64881944445</v>
      </c>
      <c r="C558" s="1" t="n">
        <v>46107</v>
      </c>
      <c r="D558" t="inlineStr">
        <is>
          <t>KALMAR LÄN</t>
        </is>
      </c>
      <c r="E558" t="inlineStr">
        <is>
          <t>VIMMERBY</t>
        </is>
      </c>
      <c r="G558" t="n">
        <v>1.7</v>
      </c>
      <c r="H558" t="n">
        <v>0</v>
      </c>
      <c r="I558" t="n">
        <v>0</v>
      </c>
      <c r="J558" t="n">
        <v>0</v>
      </c>
      <c r="K558" t="n">
        <v>0</v>
      </c>
      <c r="L558" t="n">
        <v>0</v>
      </c>
      <c r="M558" t="n">
        <v>0</v>
      </c>
      <c r="N558" t="n">
        <v>0</v>
      </c>
      <c r="O558" t="n">
        <v>0</v>
      </c>
      <c r="P558" t="n">
        <v>0</v>
      </c>
      <c r="Q558" t="n">
        <v>0</v>
      </c>
      <c r="R558" s="2" t="inlineStr"/>
    </row>
    <row r="559" ht="15" customHeight="1">
      <c r="A559" t="inlineStr">
        <is>
          <t>A 12325-2023</t>
        </is>
      </c>
      <c r="B559" s="1" t="n">
        <v>44999.35858796296</v>
      </c>
      <c r="C559" s="1" t="n">
        <v>46107</v>
      </c>
      <c r="D559" t="inlineStr">
        <is>
          <t>KALMAR LÄN</t>
        </is>
      </c>
      <c r="E559" t="inlineStr">
        <is>
          <t>VIMMERBY</t>
        </is>
      </c>
      <c r="G559" t="n">
        <v>3.4</v>
      </c>
      <c r="H559" t="n">
        <v>0</v>
      </c>
      <c r="I559" t="n">
        <v>0</v>
      </c>
      <c r="J559" t="n">
        <v>0</v>
      </c>
      <c r="K559" t="n">
        <v>0</v>
      </c>
      <c r="L559" t="n">
        <v>0</v>
      </c>
      <c r="M559" t="n">
        <v>0</v>
      </c>
      <c r="N559" t="n">
        <v>0</v>
      </c>
      <c r="O559" t="n">
        <v>0</v>
      </c>
      <c r="P559" t="n">
        <v>0</v>
      </c>
      <c r="Q559" t="n">
        <v>0</v>
      </c>
      <c r="R559" s="2" t="inlineStr"/>
    </row>
    <row r="560" ht="15" customHeight="1">
      <c r="A560" t="inlineStr">
        <is>
          <t>A 59943-2023</t>
        </is>
      </c>
      <c r="B560" s="1" t="n">
        <v>45257.67958333333</v>
      </c>
      <c r="C560" s="1" t="n">
        <v>46107</v>
      </c>
      <c r="D560" t="inlineStr">
        <is>
          <t>KALMAR LÄN</t>
        </is>
      </c>
      <c r="E560" t="inlineStr">
        <is>
          <t>VIMMERBY</t>
        </is>
      </c>
      <c r="G560" t="n">
        <v>6.4</v>
      </c>
      <c r="H560" t="n">
        <v>0</v>
      </c>
      <c r="I560" t="n">
        <v>0</v>
      </c>
      <c r="J560" t="n">
        <v>0</v>
      </c>
      <c r="K560" t="n">
        <v>0</v>
      </c>
      <c r="L560" t="n">
        <v>0</v>
      </c>
      <c r="M560" t="n">
        <v>0</v>
      </c>
      <c r="N560" t="n">
        <v>0</v>
      </c>
      <c r="O560" t="n">
        <v>0</v>
      </c>
      <c r="P560" t="n">
        <v>0</v>
      </c>
      <c r="Q560" t="n">
        <v>0</v>
      </c>
      <c r="R560" s="2" t="inlineStr"/>
    </row>
    <row r="561" ht="15" customHeight="1">
      <c r="A561" t="inlineStr">
        <is>
          <t>A 8945-2025</t>
        </is>
      </c>
      <c r="B561" s="1" t="n">
        <v>45713.45311342592</v>
      </c>
      <c r="C561" s="1" t="n">
        <v>46107</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15493-2023</t>
        </is>
      </c>
      <c r="B562" s="1" t="n">
        <v>45018</v>
      </c>
      <c r="C562" s="1" t="n">
        <v>46107</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51881-2024</t>
        </is>
      </c>
      <c r="B563" s="1" t="n">
        <v>45607.56773148148</v>
      </c>
      <c r="C563" s="1" t="n">
        <v>46107</v>
      </c>
      <c r="D563" t="inlineStr">
        <is>
          <t>KALMAR LÄN</t>
        </is>
      </c>
      <c r="E563" t="inlineStr">
        <is>
          <t>VIMMERBY</t>
        </is>
      </c>
      <c r="G563" t="n">
        <v>3.4</v>
      </c>
      <c r="H563" t="n">
        <v>0</v>
      </c>
      <c r="I563" t="n">
        <v>0</v>
      </c>
      <c r="J563" t="n">
        <v>0</v>
      </c>
      <c r="K563" t="n">
        <v>0</v>
      </c>
      <c r="L563" t="n">
        <v>0</v>
      </c>
      <c r="M563" t="n">
        <v>0</v>
      </c>
      <c r="N563" t="n">
        <v>0</v>
      </c>
      <c r="O563" t="n">
        <v>0</v>
      </c>
      <c r="P563" t="n">
        <v>0</v>
      </c>
      <c r="Q563" t="n">
        <v>0</v>
      </c>
      <c r="R563" s="2" t="inlineStr"/>
    </row>
    <row r="564" ht="15" customHeight="1">
      <c r="A564" t="inlineStr">
        <is>
          <t>A 1021-2024</t>
        </is>
      </c>
      <c r="B564" s="1" t="n">
        <v>45301.67736111111</v>
      </c>
      <c r="C564" s="1" t="n">
        <v>46107</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32569-2024</t>
        </is>
      </c>
      <c r="B565" s="1" t="n">
        <v>45513.55840277778</v>
      </c>
      <c r="C565" s="1" t="n">
        <v>46107</v>
      </c>
      <c r="D565" t="inlineStr">
        <is>
          <t>KALMAR LÄN</t>
        </is>
      </c>
      <c r="E565" t="inlineStr">
        <is>
          <t>VIMMERBY</t>
        </is>
      </c>
      <c r="G565" t="n">
        <v>3.7</v>
      </c>
      <c r="H565" t="n">
        <v>0</v>
      </c>
      <c r="I565" t="n">
        <v>0</v>
      </c>
      <c r="J565" t="n">
        <v>0</v>
      </c>
      <c r="K565" t="n">
        <v>0</v>
      </c>
      <c r="L565" t="n">
        <v>0</v>
      </c>
      <c r="M565" t="n">
        <v>0</v>
      </c>
      <c r="N565" t="n">
        <v>0</v>
      </c>
      <c r="O565" t="n">
        <v>0</v>
      </c>
      <c r="P565" t="n">
        <v>0</v>
      </c>
      <c r="Q565" t="n">
        <v>0</v>
      </c>
      <c r="R565" s="2" t="inlineStr"/>
    </row>
    <row r="566" ht="15" customHeight="1">
      <c r="A566" t="inlineStr">
        <is>
          <t>A 32575-2024</t>
        </is>
      </c>
      <c r="B566" s="1" t="n">
        <v>45513.56527777778</v>
      </c>
      <c r="C566" s="1" t="n">
        <v>46107</v>
      </c>
      <c r="D566" t="inlineStr">
        <is>
          <t>KALMAR LÄN</t>
        </is>
      </c>
      <c r="E566" t="inlineStr">
        <is>
          <t>VIMMERBY</t>
        </is>
      </c>
      <c r="G566" t="n">
        <v>1.5</v>
      </c>
      <c r="H566" t="n">
        <v>0</v>
      </c>
      <c r="I566" t="n">
        <v>0</v>
      </c>
      <c r="J566" t="n">
        <v>0</v>
      </c>
      <c r="K566" t="n">
        <v>0</v>
      </c>
      <c r="L566" t="n">
        <v>0</v>
      </c>
      <c r="M566" t="n">
        <v>0</v>
      </c>
      <c r="N566" t="n">
        <v>0</v>
      </c>
      <c r="O566" t="n">
        <v>0</v>
      </c>
      <c r="P566" t="n">
        <v>0</v>
      </c>
      <c r="Q566" t="n">
        <v>0</v>
      </c>
      <c r="R566" s="2" t="inlineStr"/>
    </row>
    <row r="567" ht="15" customHeight="1">
      <c r="A567" t="inlineStr">
        <is>
          <t>A 30063-2023</t>
        </is>
      </c>
      <c r="B567" s="1" t="n">
        <v>45110.4184375</v>
      </c>
      <c r="C567" s="1" t="n">
        <v>46107</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40665-2023</t>
        </is>
      </c>
      <c r="B568" s="1" t="n">
        <v>45170</v>
      </c>
      <c r="C568" s="1" t="n">
        <v>46107</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13307-2025</t>
        </is>
      </c>
      <c r="B569" s="1" t="n">
        <v>45735.58024305556</v>
      </c>
      <c r="C569" s="1" t="n">
        <v>46107</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17482-2024</t>
        </is>
      </c>
      <c r="B570" s="1" t="n">
        <v>45415.47848379629</v>
      </c>
      <c r="C570" s="1" t="n">
        <v>46107</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28034-2022</t>
        </is>
      </c>
      <c r="B571" s="1" t="n">
        <v>44746.38834490741</v>
      </c>
      <c r="C571" s="1" t="n">
        <v>46107</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13817-2024</t>
        </is>
      </c>
      <c r="B572" s="1" t="n">
        <v>45391.41976851852</v>
      </c>
      <c r="C572" s="1" t="n">
        <v>46107</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30406-2023</t>
        </is>
      </c>
      <c r="B573" s="1" t="n">
        <v>45111.48787037037</v>
      </c>
      <c r="C573" s="1" t="n">
        <v>46107</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29020-2024</t>
        </is>
      </c>
      <c r="B574" s="1" t="n">
        <v>45481.58048611111</v>
      </c>
      <c r="C574" s="1" t="n">
        <v>46107</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55385-2025</t>
        </is>
      </c>
      <c r="B575" s="1" t="n">
        <v>45971.43350694444</v>
      </c>
      <c r="C575" s="1" t="n">
        <v>46107</v>
      </c>
      <c r="D575" t="inlineStr">
        <is>
          <t>KALMAR LÄN</t>
        </is>
      </c>
      <c r="E575" t="inlineStr">
        <is>
          <t>VIMMERBY</t>
        </is>
      </c>
      <c r="G575" t="n">
        <v>5</v>
      </c>
      <c r="H575" t="n">
        <v>0</v>
      </c>
      <c r="I575" t="n">
        <v>0</v>
      </c>
      <c r="J575" t="n">
        <v>0</v>
      </c>
      <c r="K575" t="n">
        <v>0</v>
      </c>
      <c r="L575" t="n">
        <v>0</v>
      </c>
      <c r="M575" t="n">
        <v>0</v>
      </c>
      <c r="N575" t="n">
        <v>0</v>
      </c>
      <c r="O575" t="n">
        <v>0</v>
      </c>
      <c r="P575" t="n">
        <v>0</v>
      </c>
      <c r="Q575" t="n">
        <v>0</v>
      </c>
      <c r="R575" s="2" t="inlineStr"/>
    </row>
    <row r="576" ht="15" customHeight="1">
      <c r="A576" t="inlineStr">
        <is>
          <t>A 55605-2024</t>
        </is>
      </c>
      <c r="B576" s="1" t="n">
        <v>45622</v>
      </c>
      <c r="C576" s="1" t="n">
        <v>46107</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42165-2024</t>
        </is>
      </c>
      <c r="B577" s="1" t="n">
        <v>45562.46342592593</v>
      </c>
      <c r="C577" s="1" t="n">
        <v>46107</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55602-2025</t>
        </is>
      </c>
      <c r="B578" s="1" t="n">
        <v>45971</v>
      </c>
      <c r="C578" s="1" t="n">
        <v>46107</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55603-2025</t>
        </is>
      </c>
      <c r="B579" s="1" t="n">
        <v>45971</v>
      </c>
      <c r="C579" s="1" t="n">
        <v>46107</v>
      </c>
      <c r="D579" t="inlineStr">
        <is>
          <t>KALMAR LÄN</t>
        </is>
      </c>
      <c r="E579" t="inlineStr">
        <is>
          <t>VIMMERBY</t>
        </is>
      </c>
      <c r="G579" t="n">
        <v>0.9</v>
      </c>
      <c r="H579" t="n">
        <v>0</v>
      </c>
      <c r="I579" t="n">
        <v>0</v>
      </c>
      <c r="J579" t="n">
        <v>0</v>
      </c>
      <c r="K579" t="n">
        <v>0</v>
      </c>
      <c r="L579" t="n">
        <v>0</v>
      </c>
      <c r="M579" t="n">
        <v>0</v>
      </c>
      <c r="N579" t="n">
        <v>0</v>
      </c>
      <c r="O579" t="n">
        <v>0</v>
      </c>
      <c r="P579" t="n">
        <v>0</v>
      </c>
      <c r="Q579" t="n">
        <v>0</v>
      </c>
      <c r="R579" s="2" t="inlineStr"/>
    </row>
    <row r="580" ht="15" customHeight="1">
      <c r="A580" t="inlineStr">
        <is>
          <t>A 55605-2025</t>
        </is>
      </c>
      <c r="B580" s="1" t="n">
        <v>45971</v>
      </c>
      <c r="C580" s="1" t="n">
        <v>46107</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20129-2024</t>
        </is>
      </c>
      <c r="B581" s="1" t="n">
        <v>45434.55831018519</v>
      </c>
      <c r="C581" s="1" t="n">
        <v>46107</v>
      </c>
      <c r="D581" t="inlineStr">
        <is>
          <t>KALMAR LÄN</t>
        </is>
      </c>
      <c r="E581" t="inlineStr">
        <is>
          <t>VIMMERBY</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20137-2024</t>
        </is>
      </c>
      <c r="B582" s="1" t="n">
        <v>45434.56398148148</v>
      </c>
      <c r="C582" s="1" t="n">
        <v>46107</v>
      </c>
      <c r="D582" t="inlineStr">
        <is>
          <t>KALMAR LÄN</t>
        </is>
      </c>
      <c r="E582" t="inlineStr">
        <is>
          <t>VIMMERBY</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23095-2023</t>
        </is>
      </c>
      <c r="B583" s="1" t="n">
        <v>45075.43059027778</v>
      </c>
      <c r="C583" s="1" t="n">
        <v>46107</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32919-2022</t>
        </is>
      </c>
      <c r="B584" s="1" t="n">
        <v>44784.62724537037</v>
      </c>
      <c r="C584" s="1" t="n">
        <v>46107</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7068-2024</t>
        </is>
      </c>
      <c r="B585" s="1" t="n">
        <v>45343.68038194445</v>
      </c>
      <c r="C585" s="1" t="n">
        <v>46107</v>
      </c>
      <c r="D585" t="inlineStr">
        <is>
          <t>KALMAR LÄN</t>
        </is>
      </c>
      <c r="E585" t="inlineStr">
        <is>
          <t>VIMMERBY</t>
        </is>
      </c>
      <c r="G585" t="n">
        <v>2.5</v>
      </c>
      <c r="H585" t="n">
        <v>0</v>
      </c>
      <c r="I585" t="n">
        <v>0</v>
      </c>
      <c r="J585" t="n">
        <v>0</v>
      </c>
      <c r="K585" t="n">
        <v>0</v>
      </c>
      <c r="L585" t="n">
        <v>0</v>
      </c>
      <c r="M585" t="n">
        <v>0</v>
      </c>
      <c r="N585" t="n">
        <v>0</v>
      </c>
      <c r="O585" t="n">
        <v>0</v>
      </c>
      <c r="P585" t="n">
        <v>0</v>
      </c>
      <c r="Q585" t="n">
        <v>0</v>
      </c>
      <c r="R585" s="2" t="inlineStr"/>
    </row>
    <row r="586" ht="15" customHeight="1">
      <c r="A586" t="inlineStr">
        <is>
          <t>A 25582-2024</t>
        </is>
      </c>
      <c r="B586" s="1" t="n">
        <v>45463</v>
      </c>
      <c r="C586" s="1" t="n">
        <v>46107</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57578-2024</t>
        </is>
      </c>
      <c r="B587" s="1" t="n">
        <v>45630.47564814815</v>
      </c>
      <c r="C587" s="1" t="n">
        <v>46107</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32655-2023</t>
        </is>
      </c>
      <c r="B588" s="1" t="n">
        <v>45121.61318287037</v>
      </c>
      <c r="C588" s="1" t="n">
        <v>46107</v>
      </c>
      <c r="D588" t="inlineStr">
        <is>
          <t>KALMAR LÄN</t>
        </is>
      </c>
      <c r="E588" t="inlineStr">
        <is>
          <t>VIMMERBY</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54409-2024</t>
        </is>
      </c>
      <c r="B589" s="1" t="n">
        <v>45617.47570601852</v>
      </c>
      <c r="C589" s="1" t="n">
        <v>46107</v>
      </c>
      <c r="D589" t="inlineStr">
        <is>
          <t>KALMAR LÄN</t>
        </is>
      </c>
      <c r="E589" t="inlineStr">
        <is>
          <t>VIMMERBY</t>
        </is>
      </c>
      <c r="G589" t="n">
        <v>4.3</v>
      </c>
      <c r="H589" t="n">
        <v>0</v>
      </c>
      <c r="I589" t="n">
        <v>0</v>
      </c>
      <c r="J589" t="n">
        <v>0</v>
      </c>
      <c r="K589" t="n">
        <v>0</v>
      </c>
      <c r="L589" t="n">
        <v>0</v>
      </c>
      <c r="M589" t="n">
        <v>0</v>
      </c>
      <c r="N589" t="n">
        <v>0</v>
      </c>
      <c r="O589" t="n">
        <v>0</v>
      </c>
      <c r="P589" t="n">
        <v>0</v>
      </c>
      <c r="Q589" t="n">
        <v>0</v>
      </c>
      <c r="R589" s="2" t="inlineStr"/>
    </row>
    <row r="590" ht="15" customHeight="1">
      <c r="A590" t="inlineStr">
        <is>
          <t>A 22399-2025</t>
        </is>
      </c>
      <c r="B590" s="1" t="n">
        <v>45786.52996527778</v>
      </c>
      <c r="C590" s="1" t="n">
        <v>46107</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57728-2025</t>
        </is>
      </c>
      <c r="B591" s="1" t="n">
        <v>45981</v>
      </c>
      <c r="C591" s="1" t="n">
        <v>46107</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22397-2025</t>
        </is>
      </c>
      <c r="B592" s="1" t="n">
        <v>45786.52878472222</v>
      </c>
      <c r="C592" s="1" t="n">
        <v>46107</v>
      </c>
      <c r="D592" t="inlineStr">
        <is>
          <t>KALMAR LÄN</t>
        </is>
      </c>
      <c r="E592" t="inlineStr">
        <is>
          <t>VIMMERBY</t>
        </is>
      </c>
      <c r="G592" t="n">
        <v>0.8</v>
      </c>
      <c r="H592" t="n">
        <v>0</v>
      </c>
      <c r="I592" t="n">
        <v>0</v>
      </c>
      <c r="J592" t="n">
        <v>0</v>
      </c>
      <c r="K592" t="n">
        <v>0</v>
      </c>
      <c r="L592" t="n">
        <v>0</v>
      </c>
      <c r="M592" t="n">
        <v>0</v>
      </c>
      <c r="N592" t="n">
        <v>0</v>
      </c>
      <c r="O592" t="n">
        <v>0</v>
      </c>
      <c r="P592" t="n">
        <v>0</v>
      </c>
      <c r="Q592" t="n">
        <v>0</v>
      </c>
      <c r="R592" s="2" t="inlineStr"/>
    </row>
    <row r="593" ht="15" customHeight="1">
      <c r="A593" t="inlineStr">
        <is>
          <t>A 9475-2023</t>
        </is>
      </c>
      <c r="B593" s="1" t="n">
        <v>44981.58834490741</v>
      </c>
      <c r="C593" s="1" t="n">
        <v>46107</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58442-2025</t>
        </is>
      </c>
      <c r="B594" s="1" t="n">
        <v>45985.61635416667</v>
      </c>
      <c r="C594" s="1" t="n">
        <v>46107</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58498-2025</t>
        </is>
      </c>
      <c r="B595" s="1" t="n">
        <v>45985.68671296296</v>
      </c>
      <c r="C595" s="1" t="n">
        <v>46107</v>
      </c>
      <c r="D595" t="inlineStr">
        <is>
          <t>KALMAR LÄN</t>
        </is>
      </c>
      <c r="E595" t="inlineStr">
        <is>
          <t>VIMMERBY</t>
        </is>
      </c>
      <c r="G595" t="n">
        <v>2.1</v>
      </c>
      <c r="H595" t="n">
        <v>0</v>
      </c>
      <c r="I595" t="n">
        <v>0</v>
      </c>
      <c r="J595" t="n">
        <v>0</v>
      </c>
      <c r="K595" t="n">
        <v>0</v>
      </c>
      <c r="L595" t="n">
        <v>0</v>
      </c>
      <c r="M595" t="n">
        <v>0</v>
      </c>
      <c r="N595" t="n">
        <v>0</v>
      </c>
      <c r="O595" t="n">
        <v>0</v>
      </c>
      <c r="P595" t="n">
        <v>0</v>
      </c>
      <c r="Q595" t="n">
        <v>0</v>
      </c>
      <c r="R595" s="2" t="inlineStr"/>
    </row>
    <row r="596" ht="15" customHeight="1">
      <c r="A596" t="inlineStr">
        <is>
          <t>A 58501-2025</t>
        </is>
      </c>
      <c r="B596" s="1" t="n">
        <v>45985.69153935185</v>
      </c>
      <c r="C596" s="1" t="n">
        <v>46107</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58514-2025</t>
        </is>
      </c>
      <c r="B597" s="1" t="n">
        <v>45985.70513888889</v>
      </c>
      <c r="C597" s="1" t="n">
        <v>46107</v>
      </c>
      <c r="D597" t="inlineStr">
        <is>
          <t>KALMAR LÄN</t>
        </is>
      </c>
      <c r="E597" t="inlineStr">
        <is>
          <t>VIMMERBY</t>
        </is>
      </c>
      <c r="G597" t="n">
        <v>3.7</v>
      </c>
      <c r="H597" t="n">
        <v>0</v>
      </c>
      <c r="I597" t="n">
        <v>0</v>
      </c>
      <c r="J597" t="n">
        <v>0</v>
      </c>
      <c r="K597" t="n">
        <v>0</v>
      </c>
      <c r="L597" t="n">
        <v>0</v>
      </c>
      <c r="M597" t="n">
        <v>0</v>
      </c>
      <c r="N597" t="n">
        <v>0</v>
      </c>
      <c r="O597" t="n">
        <v>0</v>
      </c>
      <c r="P597" t="n">
        <v>0</v>
      </c>
      <c r="Q597" t="n">
        <v>0</v>
      </c>
      <c r="R597" s="2" t="inlineStr"/>
    </row>
    <row r="598" ht="15" customHeight="1">
      <c r="A598" t="inlineStr">
        <is>
          <t>A 11442-2025</t>
        </is>
      </c>
      <c r="B598" s="1" t="n">
        <v>45726.62721064815</v>
      </c>
      <c r="C598" s="1" t="n">
        <v>46107</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58503-2025</t>
        </is>
      </c>
      <c r="B599" s="1" t="n">
        <v>45985.69509259259</v>
      </c>
      <c r="C599" s="1" t="n">
        <v>46107</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6307-2025</t>
        </is>
      </c>
      <c r="B600" s="1" t="n">
        <v>45698.69016203703</v>
      </c>
      <c r="C600" s="1" t="n">
        <v>46107</v>
      </c>
      <c r="D600" t="inlineStr">
        <is>
          <t>KALMAR LÄN</t>
        </is>
      </c>
      <c r="E600" t="inlineStr">
        <is>
          <t>VIMMERBY</t>
        </is>
      </c>
      <c r="G600" t="n">
        <v>3</v>
      </c>
      <c r="H600" t="n">
        <v>0</v>
      </c>
      <c r="I600" t="n">
        <v>0</v>
      </c>
      <c r="J600" t="n">
        <v>0</v>
      </c>
      <c r="K600" t="n">
        <v>0</v>
      </c>
      <c r="L600" t="n">
        <v>0</v>
      </c>
      <c r="M600" t="n">
        <v>0</v>
      </c>
      <c r="N600" t="n">
        <v>0</v>
      </c>
      <c r="O600" t="n">
        <v>0</v>
      </c>
      <c r="P600" t="n">
        <v>0</v>
      </c>
      <c r="Q600" t="n">
        <v>0</v>
      </c>
      <c r="R600" s="2" t="inlineStr"/>
    </row>
    <row r="601" ht="15" customHeight="1">
      <c r="A601" t="inlineStr">
        <is>
          <t>A 58446-2025</t>
        </is>
      </c>
      <c r="B601" s="1" t="n">
        <v>45985.62168981481</v>
      </c>
      <c r="C601" s="1" t="n">
        <v>46107</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58500-2025</t>
        </is>
      </c>
      <c r="B602" s="1" t="n">
        <v>45985.69008101852</v>
      </c>
      <c r="C602" s="1" t="n">
        <v>46107</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43092-2024</t>
        </is>
      </c>
      <c r="B603" s="1" t="n">
        <v>45567</v>
      </c>
      <c r="C603" s="1" t="n">
        <v>46107</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58435-2025</t>
        </is>
      </c>
      <c r="B604" s="1" t="n">
        <v>45985.61501157407</v>
      </c>
      <c r="C604" s="1" t="n">
        <v>46107</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11619-2023</t>
        </is>
      </c>
      <c r="B605" s="1" t="n">
        <v>44994.42113425926</v>
      </c>
      <c r="C605" s="1" t="n">
        <v>46107</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59037-2025</t>
        </is>
      </c>
      <c r="B606" s="1" t="n">
        <v>45988.36508101852</v>
      </c>
      <c r="C606" s="1" t="n">
        <v>46107</v>
      </c>
      <c r="D606" t="inlineStr">
        <is>
          <t>KALMAR LÄN</t>
        </is>
      </c>
      <c r="E606" t="inlineStr">
        <is>
          <t>VIMMERBY</t>
        </is>
      </c>
      <c r="F606" t="inlineStr">
        <is>
          <t>Sveaskog</t>
        </is>
      </c>
      <c r="G606" t="n">
        <v>4</v>
      </c>
      <c r="H606" t="n">
        <v>0</v>
      </c>
      <c r="I606" t="n">
        <v>0</v>
      </c>
      <c r="J606" t="n">
        <v>0</v>
      </c>
      <c r="K606" t="n">
        <v>0</v>
      </c>
      <c r="L606" t="n">
        <v>0</v>
      </c>
      <c r="M606" t="n">
        <v>0</v>
      </c>
      <c r="N606" t="n">
        <v>0</v>
      </c>
      <c r="O606" t="n">
        <v>0</v>
      </c>
      <c r="P606" t="n">
        <v>0</v>
      </c>
      <c r="Q606" t="n">
        <v>0</v>
      </c>
      <c r="R606" s="2" t="inlineStr"/>
    </row>
    <row r="607" ht="15" customHeight="1">
      <c r="A607" t="inlineStr">
        <is>
          <t>A 59034-2025</t>
        </is>
      </c>
      <c r="B607" s="1" t="n">
        <v>45988.36243055556</v>
      </c>
      <c r="C607" s="1" t="n">
        <v>46107</v>
      </c>
      <c r="D607" t="inlineStr">
        <is>
          <t>KALMAR LÄN</t>
        </is>
      </c>
      <c r="E607" t="inlineStr">
        <is>
          <t>VIMMERBY</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59068-2025</t>
        </is>
      </c>
      <c r="B608" s="1" t="n">
        <v>45988.41725694444</v>
      </c>
      <c r="C608" s="1" t="n">
        <v>46107</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5074-2023</t>
        </is>
      </c>
      <c r="B609" s="1" t="n">
        <v>44958.61047453704</v>
      </c>
      <c r="C609" s="1" t="n">
        <v>46107</v>
      </c>
      <c r="D609" t="inlineStr">
        <is>
          <t>KALMAR LÄN</t>
        </is>
      </c>
      <c r="E609" t="inlineStr">
        <is>
          <t>VIMMERBY</t>
        </is>
      </c>
      <c r="G609" t="n">
        <v>1.6</v>
      </c>
      <c r="H609" t="n">
        <v>0</v>
      </c>
      <c r="I609" t="n">
        <v>0</v>
      </c>
      <c r="J609" t="n">
        <v>0</v>
      </c>
      <c r="K609" t="n">
        <v>0</v>
      </c>
      <c r="L609" t="n">
        <v>0</v>
      </c>
      <c r="M609" t="n">
        <v>0</v>
      </c>
      <c r="N609" t="n">
        <v>0</v>
      </c>
      <c r="O609" t="n">
        <v>0</v>
      </c>
      <c r="P609" t="n">
        <v>0</v>
      </c>
      <c r="Q609" t="n">
        <v>0</v>
      </c>
      <c r="R609" s="2" t="inlineStr"/>
    </row>
    <row r="610" ht="15" customHeight="1">
      <c r="A610" t="inlineStr">
        <is>
          <t>A 58858-2025</t>
        </is>
      </c>
      <c r="B610" s="1" t="n">
        <v>45987.4243287037</v>
      </c>
      <c r="C610" s="1" t="n">
        <v>46107</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59039-2025</t>
        </is>
      </c>
      <c r="B611" s="1" t="n">
        <v>45988.36790509259</v>
      </c>
      <c r="C611" s="1" t="n">
        <v>46107</v>
      </c>
      <c r="D611" t="inlineStr">
        <is>
          <t>KALMAR LÄN</t>
        </is>
      </c>
      <c r="E611" t="inlineStr">
        <is>
          <t>VIMMERBY</t>
        </is>
      </c>
      <c r="F611" t="inlineStr">
        <is>
          <t>Sveaskog</t>
        </is>
      </c>
      <c r="G611" t="n">
        <v>3.2</v>
      </c>
      <c r="H611" t="n">
        <v>0</v>
      </c>
      <c r="I611" t="n">
        <v>0</v>
      </c>
      <c r="J611" t="n">
        <v>0</v>
      </c>
      <c r="K611" t="n">
        <v>0</v>
      </c>
      <c r="L611" t="n">
        <v>0</v>
      </c>
      <c r="M611" t="n">
        <v>0</v>
      </c>
      <c r="N611" t="n">
        <v>0</v>
      </c>
      <c r="O611" t="n">
        <v>0</v>
      </c>
      <c r="P611" t="n">
        <v>0</v>
      </c>
      <c r="Q611" t="n">
        <v>0</v>
      </c>
      <c r="R611" s="2" t="inlineStr"/>
    </row>
    <row r="612" ht="15" customHeight="1">
      <c r="A612" t="inlineStr">
        <is>
          <t>A 6368-2023</t>
        </is>
      </c>
      <c r="B612" s="1" t="n">
        <v>44965</v>
      </c>
      <c r="C612" s="1" t="n">
        <v>46107</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23394-2025</t>
        </is>
      </c>
      <c r="B613" s="1" t="n">
        <v>45791.89865740741</v>
      </c>
      <c r="C613" s="1" t="n">
        <v>46107</v>
      </c>
      <c r="D613" t="inlineStr">
        <is>
          <t>KALMAR LÄN</t>
        </is>
      </c>
      <c r="E613" t="inlineStr">
        <is>
          <t>VIMMERBY</t>
        </is>
      </c>
      <c r="G613" t="n">
        <v>3.1</v>
      </c>
      <c r="H613" t="n">
        <v>0</v>
      </c>
      <c r="I613" t="n">
        <v>0</v>
      </c>
      <c r="J613" t="n">
        <v>0</v>
      </c>
      <c r="K613" t="n">
        <v>0</v>
      </c>
      <c r="L613" t="n">
        <v>0</v>
      </c>
      <c r="M613" t="n">
        <v>0</v>
      </c>
      <c r="N613" t="n">
        <v>0</v>
      </c>
      <c r="O613" t="n">
        <v>0</v>
      </c>
      <c r="P613" t="n">
        <v>0</v>
      </c>
      <c r="Q613" t="n">
        <v>0</v>
      </c>
      <c r="R613" s="2" t="inlineStr"/>
    </row>
    <row r="614" ht="15" customHeight="1">
      <c r="A614" t="inlineStr">
        <is>
          <t>A 5701-2024</t>
        </is>
      </c>
      <c r="B614" s="1" t="n">
        <v>45334.78826388889</v>
      </c>
      <c r="C614" s="1" t="n">
        <v>46107</v>
      </c>
      <c r="D614" t="inlineStr">
        <is>
          <t>KALMAR LÄN</t>
        </is>
      </c>
      <c r="E614" t="inlineStr">
        <is>
          <t>VIMMERBY</t>
        </is>
      </c>
      <c r="G614" t="n">
        <v>2.3</v>
      </c>
      <c r="H614" t="n">
        <v>0</v>
      </c>
      <c r="I614" t="n">
        <v>0</v>
      </c>
      <c r="J614" t="n">
        <v>0</v>
      </c>
      <c r="K614" t="n">
        <v>0</v>
      </c>
      <c r="L614" t="n">
        <v>0</v>
      </c>
      <c r="M614" t="n">
        <v>0</v>
      </c>
      <c r="N614" t="n">
        <v>0</v>
      </c>
      <c r="O614" t="n">
        <v>0</v>
      </c>
      <c r="P614" t="n">
        <v>0</v>
      </c>
      <c r="Q614" t="n">
        <v>0</v>
      </c>
      <c r="R614" s="2" t="inlineStr"/>
    </row>
    <row r="615" ht="15" customHeight="1">
      <c r="A615" t="inlineStr">
        <is>
          <t>A 58841-2025</t>
        </is>
      </c>
      <c r="B615" s="1" t="n">
        <v>45987.36275462963</v>
      </c>
      <c r="C615" s="1" t="n">
        <v>46107</v>
      </c>
      <c r="D615" t="inlineStr">
        <is>
          <t>KALMAR LÄN</t>
        </is>
      </c>
      <c r="E615" t="inlineStr">
        <is>
          <t>VIMMERBY</t>
        </is>
      </c>
      <c r="G615" t="n">
        <v>3.5</v>
      </c>
      <c r="H615" t="n">
        <v>0</v>
      </c>
      <c r="I615" t="n">
        <v>0</v>
      </c>
      <c r="J615" t="n">
        <v>0</v>
      </c>
      <c r="K615" t="n">
        <v>0</v>
      </c>
      <c r="L615" t="n">
        <v>0</v>
      </c>
      <c r="M615" t="n">
        <v>0</v>
      </c>
      <c r="N615" t="n">
        <v>0</v>
      </c>
      <c r="O615" t="n">
        <v>0</v>
      </c>
      <c r="P615" t="n">
        <v>0</v>
      </c>
      <c r="Q615" t="n">
        <v>0</v>
      </c>
      <c r="R615" s="2" t="inlineStr"/>
    </row>
    <row r="616" ht="15" customHeight="1">
      <c r="A616" t="inlineStr">
        <is>
          <t>A 7797-2023</t>
        </is>
      </c>
      <c r="B616" s="1" t="n">
        <v>44973.43075231482</v>
      </c>
      <c r="C616" s="1" t="n">
        <v>46107</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24655-2021</t>
        </is>
      </c>
      <c r="B617" s="1" t="n">
        <v>44340</v>
      </c>
      <c r="C617" s="1" t="n">
        <v>46107</v>
      </c>
      <c r="D617" t="inlineStr">
        <is>
          <t>KALMAR LÄN</t>
        </is>
      </c>
      <c r="E617" t="inlineStr">
        <is>
          <t>VIMMERBY</t>
        </is>
      </c>
      <c r="G617" t="n">
        <v>14.9</v>
      </c>
      <c r="H617" t="n">
        <v>0</v>
      </c>
      <c r="I617" t="n">
        <v>0</v>
      </c>
      <c r="J617" t="n">
        <v>0</v>
      </c>
      <c r="K617" t="n">
        <v>0</v>
      </c>
      <c r="L617" t="n">
        <v>0</v>
      </c>
      <c r="M617" t="n">
        <v>0</v>
      </c>
      <c r="N617" t="n">
        <v>0</v>
      </c>
      <c r="O617" t="n">
        <v>0</v>
      </c>
      <c r="P617" t="n">
        <v>0</v>
      </c>
      <c r="Q617" t="n">
        <v>0</v>
      </c>
      <c r="R617" s="2" t="inlineStr"/>
    </row>
    <row r="618" ht="15" customHeight="1">
      <c r="A618" t="inlineStr">
        <is>
          <t>A 23984-2025</t>
        </is>
      </c>
      <c r="B618" s="1" t="n">
        <v>45796</v>
      </c>
      <c r="C618" s="1" t="n">
        <v>46107</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8410-2023</t>
        </is>
      </c>
      <c r="B619" s="1" t="n">
        <v>44977</v>
      </c>
      <c r="C619" s="1" t="n">
        <v>46107</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6028-2023</t>
        </is>
      </c>
      <c r="B620" s="1" t="n">
        <v>44964.44356481481</v>
      </c>
      <c r="C620" s="1" t="n">
        <v>46107</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59579-2025</t>
        </is>
      </c>
      <c r="B621" s="1" t="n">
        <v>45992.30569444445</v>
      </c>
      <c r="C621" s="1" t="n">
        <v>46107</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52823-2024</t>
        </is>
      </c>
      <c r="B622" s="1" t="n">
        <v>45610.59094907407</v>
      </c>
      <c r="C622" s="1" t="n">
        <v>46107</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60180-2025</t>
        </is>
      </c>
      <c r="B623" s="1" t="n">
        <v>45994.46428240741</v>
      </c>
      <c r="C623" s="1" t="n">
        <v>46107</v>
      </c>
      <c r="D623" t="inlineStr">
        <is>
          <t>KALMAR LÄN</t>
        </is>
      </c>
      <c r="E623" t="inlineStr">
        <is>
          <t>VIMMERBY</t>
        </is>
      </c>
      <c r="G623" t="n">
        <v>6.8</v>
      </c>
      <c r="H623" t="n">
        <v>0</v>
      </c>
      <c r="I623" t="n">
        <v>0</v>
      </c>
      <c r="J623" t="n">
        <v>0</v>
      </c>
      <c r="K623" t="n">
        <v>0</v>
      </c>
      <c r="L623" t="n">
        <v>0</v>
      </c>
      <c r="M623" t="n">
        <v>0</v>
      </c>
      <c r="N623" t="n">
        <v>0</v>
      </c>
      <c r="O623" t="n">
        <v>0</v>
      </c>
      <c r="P623" t="n">
        <v>0</v>
      </c>
      <c r="Q623" t="n">
        <v>0</v>
      </c>
      <c r="R623" s="2" t="inlineStr"/>
    </row>
    <row r="624" ht="15" customHeight="1">
      <c r="A624" t="inlineStr">
        <is>
          <t>A 60297-2025</t>
        </is>
      </c>
      <c r="B624" s="1" t="n">
        <v>45994</v>
      </c>
      <c r="C624" s="1" t="n">
        <v>46107</v>
      </c>
      <c r="D624" t="inlineStr">
        <is>
          <t>KALMAR LÄN</t>
        </is>
      </c>
      <c r="E624" t="inlineStr">
        <is>
          <t>VIMMERBY</t>
        </is>
      </c>
      <c r="G624" t="n">
        <v>4.2</v>
      </c>
      <c r="H624" t="n">
        <v>0</v>
      </c>
      <c r="I624" t="n">
        <v>0</v>
      </c>
      <c r="J624" t="n">
        <v>0</v>
      </c>
      <c r="K624" t="n">
        <v>0</v>
      </c>
      <c r="L624" t="n">
        <v>0</v>
      </c>
      <c r="M624" t="n">
        <v>0</v>
      </c>
      <c r="N624" t="n">
        <v>0</v>
      </c>
      <c r="O624" t="n">
        <v>0</v>
      </c>
      <c r="P624" t="n">
        <v>0</v>
      </c>
      <c r="Q624" t="n">
        <v>0</v>
      </c>
      <c r="R624" s="2" t="inlineStr"/>
    </row>
    <row r="625" ht="15" customHeight="1">
      <c r="A625" t="inlineStr">
        <is>
          <t>A 56853-2022</t>
        </is>
      </c>
      <c r="B625" s="1" t="n">
        <v>44894.49538194444</v>
      </c>
      <c r="C625" s="1" t="n">
        <v>46107</v>
      </c>
      <c r="D625" t="inlineStr">
        <is>
          <t>KALMAR LÄN</t>
        </is>
      </c>
      <c r="E625" t="inlineStr">
        <is>
          <t>VIMMERBY</t>
        </is>
      </c>
      <c r="G625" t="n">
        <v>4.3</v>
      </c>
      <c r="H625" t="n">
        <v>0</v>
      </c>
      <c r="I625" t="n">
        <v>0</v>
      </c>
      <c r="J625" t="n">
        <v>0</v>
      </c>
      <c r="K625" t="n">
        <v>0</v>
      </c>
      <c r="L625" t="n">
        <v>0</v>
      </c>
      <c r="M625" t="n">
        <v>0</v>
      </c>
      <c r="N625" t="n">
        <v>0</v>
      </c>
      <c r="O625" t="n">
        <v>0</v>
      </c>
      <c r="P625" t="n">
        <v>0</v>
      </c>
      <c r="Q625" t="n">
        <v>0</v>
      </c>
      <c r="R625" s="2" t="inlineStr"/>
    </row>
    <row r="626" ht="15" customHeight="1">
      <c r="A626" t="inlineStr">
        <is>
          <t>A 11152-2023</t>
        </is>
      </c>
      <c r="B626" s="1" t="n">
        <v>44992</v>
      </c>
      <c r="C626" s="1" t="n">
        <v>46107</v>
      </c>
      <c r="D626" t="inlineStr">
        <is>
          <t>KALMAR LÄN</t>
        </is>
      </c>
      <c r="E626" t="inlineStr">
        <is>
          <t>VIMMERBY</t>
        </is>
      </c>
      <c r="G626" t="n">
        <v>10.6</v>
      </c>
      <c r="H626" t="n">
        <v>0</v>
      </c>
      <c r="I626" t="n">
        <v>0</v>
      </c>
      <c r="J626" t="n">
        <v>0</v>
      </c>
      <c r="K626" t="n">
        <v>0</v>
      </c>
      <c r="L626" t="n">
        <v>0</v>
      </c>
      <c r="M626" t="n">
        <v>0</v>
      </c>
      <c r="N626" t="n">
        <v>0</v>
      </c>
      <c r="O626" t="n">
        <v>0</v>
      </c>
      <c r="P626" t="n">
        <v>0</v>
      </c>
      <c r="Q626" t="n">
        <v>0</v>
      </c>
      <c r="R626" s="2" t="inlineStr"/>
    </row>
    <row r="627" ht="15" customHeight="1">
      <c r="A627" t="inlineStr">
        <is>
          <t>A 15550-2023</t>
        </is>
      </c>
      <c r="B627" s="1" t="n">
        <v>45020</v>
      </c>
      <c r="C627" s="1" t="n">
        <v>46107</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51278-2024</t>
        </is>
      </c>
      <c r="B628" s="1" t="n">
        <v>45603.74959490741</v>
      </c>
      <c r="C628" s="1" t="n">
        <v>46107</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35082-2024</t>
        </is>
      </c>
      <c r="B629" s="1" t="n">
        <v>45527.68784722222</v>
      </c>
      <c r="C629" s="1" t="n">
        <v>46107</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44582-2024</t>
        </is>
      </c>
      <c r="B630" s="1" t="n">
        <v>45574.49298611111</v>
      </c>
      <c r="C630" s="1" t="n">
        <v>46107</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31355-2023</t>
        </is>
      </c>
      <c r="B631" s="1" t="n">
        <v>45114.49505787037</v>
      </c>
      <c r="C631" s="1" t="n">
        <v>46107</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9456-2025</t>
        </is>
      </c>
      <c r="B632" s="1" t="n">
        <v>45715.44159722222</v>
      </c>
      <c r="C632" s="1" t="n">
        <v>46107</v>
      </c>
      <c r="D632" t="inlineStr">
        <is>
          <t>KALMAR LÄN</t>
        </is>
      </c>
      <c r="E632" t="inlineStr">
        <is>
          <t>VIMMERBY</t>
        </is>
      </c>
      <c r="G632" t="n">
        <v>1.5</v>
      </c>
      <c r="H632" t="n">
        <v>0</v>
      </c>
      <c r="I632" t="n">
        <v>0</v>
      </c>
      <c r="J632" t="n">
        <v>0</v>
      </c>
      <c r="K632" t="n">
        <v>0</v>
      </c>
      <c r="L632" t="n">
        <v>0</v>
      </c>
      <c r="M632" t="n">
        <v>0</v>
      </c>
      <c r="N632" t="n">
        <v>0</v>
      </c>
      <c r="O632" t="n">
        <v>0</v>
      </c>
      <c r="P632" t="n">
        <v>0</v>
      </c>
      <c r="Q632" t="n">
        <v>0</v>
      </c>
      <c r="R632" s="2" t="inlineStr"/>
    </row>
    <row r="633" ht="15" customHeight="1">
      <c r="A633" t="inlineStr">
        <is>
          <t>A 18330-2023</t>
        </is>
      </c>
      <c r="B633" s="1" t="n">
        <v>45041</v>
      </c>
      <c r="C633" s="1" t="n">
        <v>46107</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11111-2023</t>
        </is>
      </c>
      <c r="B634" s="1" t="n">
        <v>44992.4255787037</v>
      </c>
      <c r="C634" s="1" t="n">
        <v>46107</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58100-2024</t>
        </is>
      </c>
      <c r="B635" s="1" t="n">
        <v>45632.36706018518</v>
      </c>
      <c r="C635" s="1" t="n">
        <v>46107</v>
      </c>
      <c r="D635" t="inlineStr">
        <is>
          <t>KALMAR LÄN</t>
        </is>
      </c>
      <c r="E635" t="inlineStr">
        <is>
          <t>VIMMERBY</t>
        </is>
      </c>
      <c r="G635" t="n">
        <v>0.9</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44745.84396990741</v>
      </c>
      <c r="C636" s="1" t="n">
        <v>46107</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38969-2023</t>
        </is>
      </c>
      <c r="B637" s="1" t="n">
        <v>45163.63621527778</v>
      </c>
      <c r="C637" s="1" t="n">
        <v>46107</v>
      </c>
      <c r="D637" t="inlineStr">
        <is>
          <t>KALMAR LÄN</t>
        </is>
      </c>
      <c r="E637" t="inlineStr">
        <is>
          <t>VIMMERBY</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58724-2024</t>
        </is>
      </c>
      <c r="B638" s="1" t="n">
        <v>45635.66409722222</v>
      </c>
      <c r="C638" s="1" t="n">
        <v>46107</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61790-2025</t>
        </is>
      </c>
      <c r="B639" s="1" t="n">
        <v>46002.68768518518</v>
      </c>
      <c r="C639" s="1" t="n">
        <v>46107</v>
      </c>
      <c r="D639" t="inlineStr">
        <is>
          <t>KALMAR LÄN</t>
        </is>
      </c>
      <c r="E639" t="inlineStr">
        <is>
          <t>VIMMERBY</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15494-2024</t>
        </is>
      </c>
      <c r="B640" s="1" t="n">
        <v>45401.53033564815</v>
      </c>
      <c r="C640" s="1" t="n">
        <v>46107</v>
      </c>
      <c r="D640" t="inlineStr">
        <is>
          <t>KALMAR LÄN</t>
        </is>
      </c>
      <c r="E640" t="inlineStr">
        <is>
          <t>VIMMERBY</t>
        </is>
      </c>
      <c r="G640" t="n">
        <v>3.2</v>
      </c>
      <c r="H640" t="n">
        <v>0</v>
      </c>
      <c r="I640" t="n">
        <v>0</v>
      </c>
      <c r="J640" t="n">
        <v>0</v>
      </c>
      <c r="K640" t="n">
        <v>0</v>
      </c>
      <c r="L640" t="n">
        <v>0</v>
      </c>
      <c r="M640" t="n">
        <v>0</v>
      </c>
      <c r="N640" t="n">
        <v>0</v>
      </c>
      <c r="O640" t="n">
        <v>0</v>
      </c>
      <c r="P640" t="n">
        <v>0</v>
      </c>
      <c r="Q640" t="n">
        <v>0</v>
      </c>
      <c r="R640" s="2" t="inlineStr"/>
    </row>
    <row r="641" ht="15" customHeight="1">
      <c r="A641" t="inlineStr">
        <is>
          <t>A 61726-2025</t>
        </is>
      </c>
      <c r="B641" s="1" t="n">
        <v>46002.58822916666</v>
      </c>
      <c r="C641" s="1" t="n">
        <v>46107</v>
      </c>
      <c r="D641" t="inlineStr">
        <is>
          <t>KALMAR LÄN</t>
        </is>
      </c>
      <c r="E641" t="inlineStr">
        <is>
          <t>VIMMERBY</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53752-2024</t>
        </is>
      </c>
      <c r="B642" s="1" t="n">
        <v>45615.48927083334</v>
      </c>
      <c r="C642" s="1" t="n">
        <v>46107</v>
      </c>
      <c r="D642" t="inlineStr">
        <is>
          <t>KALMAR LÄN</t>
        </is>
      </c>
      <c r="E642" t="inlineStr">
        <is>
          <t>VIMMERBY</t>
        </is>
      </c>
      <c r="G642" t="n">
        <v>2.4</v>
      </c>
      <c r="H642" t="n">
        <v>0</v>
      </c>
      <c r="I642" t="n">
        <v>0</v>
      </c>
      <c r="J642" t="n">
        <v>0</v>
      </c>
      <c r="K642" t="n">
        <v>0</v>
      </c>
      <c r="L642" t="n">
        <v>0</v>
      </c>
      <c r="M642" t="n">
        <v>0</v>
      </c>
      <c r="N642" t="n">
        <v>0</v>
      </c>
      <c r="O642" t="n">
        <v>0</v>
      </c>
      <c r="P642" t="n">
        <v>0</v>
      </c>
      <c r="Q642" t="n">
        <v>0</v>
      </c>
      <c r="R642" s="2" t="inlineStr"/>
    </row>
    <row r="643" ht="15" customHeight="1">
      <c r="A643" t="inlineStr">
        <is>
          <t>A 61725-2025</t>
        </is>
      </c>
      <c r="B643" s="1" t="n">
        <v>46002.58680555555</v>
      </c>
      <c r="C643" s="1" t="n">
        <v>46107</v>
      </c>
      <c r="D643" t="inlineStr">
        <is>
          <t>KALMAR LÄN</t>
        </is>
      </c>
      <c r="E643" t="inlineStr">
        <is>
          <t>VIMMERBY</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26039-2025</t>
        </is>
      </c>
      <c r="B644" s="1" t="n">
        <v>45804.6953587963</v>
      </c>
      <c r="C644" s="1" t="n">
        <v>46107</v>
      </c>
      <c r="D644" t="inlineStr">
        <is>
          <t>KALMAR LÄN</t>
        </is>
      </c>
      <c r="E644" t="inlineStr">
        <is>
          <t>VIMMERBY</t>
        </is>
      </c>
      <c r="F644" t="inlineStr">
        <is>
          <t>Sveaskog</t>
        </is>
      </c>
      <c r="G644" t="n">
        <v>5.2</v>
      </c>
      <c r="H644" t="n">
        <v>0</v>
      </c>
      <c r="I644" t="n">
        <v>0</v>
      </c>
      <c r="J644" t="n">
        <v>0</v>
      </c>
      <c r="K644" t="n">
        <v>0</v>
      </c>
      <c r="L644" t="n">
        <v>0</v>
      </c>
      <c r="M644" t="n">
        <v>0</v>
      </c>
      <c r="N644" t="n">
        <v>0</v>
      </c>
      <c r="O644" t="n">
        <v>0</v>
      </c>
      <c r="P644" t="n">
        <v>0</v>
      </c>
      <c r="Q644" t="n">
        <v>0</v>
      </c>
      <c r="R644" s="2" t="inlineStr"/>
    </row>
    <row r="645" ht="15" customHeight="1">
      <c r="A645" t="inlineStr">
        <is>
          <t>A 26046-2025</t>
        </is>
      </c>
      <c r="B645" s="1" t="n">
        <v>45804.708125</v>
      </c>
      <c r="C645" s="1" t="n">
        <v>46107</v>
      </c>
      <c r="D645" t="inlineStr">
        <is>
          <t>KALMAR LÄN</t>
        </is>
      </c>
      <c r="E645" t="inlineStr">
        <is>
          <t>VIMMERBY</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25792-2025</t>
        </is>
      </c>
      <c r="B646" s="1" t="n">
        <v>45804.39141203704</v>
      </c>
      <c r="C646" s="1" t="n">
        <v>46107</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25830-2025</t>
        </is>
      </c>
      <c r="B647" s="1" t="n">
        <v>45804.44519675926</v>
      </c>
      <c r="C647" s="1" t="n">
        <v>46107</v>
      </c>
      <c r="D647" t="inlineStr">
        <is>
          <t>KALMAR LÄN</t>
        </is>
      </c>
      <c r="E647" t="inlineStr">
        <is>
          <t>VIMMERBY</t>
        </is>
      </c>
      <c r="G647" t="n">
        <v>4.9</v>
      </c>
      <c r="H647" t="n">
        <v>0</v>
      </c>
      <c r="I647" t="n">
        <v>0</v>
      </c>
      <c r="J647" t="n">
        <v>0</v>
      </c>
      <c r="K647" t="n">
        <v>0</v>
      </c>
      <c r="L647" t="n">
        <v>0</v>
      </c>
      <c r="M647" t="n">
        <v>0</v>
      </c>
      <c r="N647" t="n">
        <v>0</v>
      </c>
      <c r="O647" t="n">
        <v>0</v>
      </c>
      <c r="P647" t="n">
        <v>0</v>
      </c>
      <c r="Q647" t="n">
        <v>0</v>
      </c>
      <c r="R647" s="2" t="inlineStr"/>
    </row>
    <row r="648" ht="15" customHeight="1">
      <c r="A648" t="inlineStr">
        <is>
          <t>A 26124-2025</t>
        </is>
      </c>
      <c r="B648" s="1" t="n">
        <v>45805.39247685186</v>
      </c>
      <c r="C648" s="1" t="n">
        <v>46107</v>
      </c>
      <c r="D648" t="inlineStr">
        <is>
          <t>KALMAR LÄN</t>
        </is>
      </c>
      <c r="E648" t="inlineStr">
        <is>
          <t>VIMMERBY</t>
        </is>
      </c>
      <c r="G648" t="n">
        <v>6.6</v>
      </c>
      <c r="H648" t="n">
        <v>0</v>
      </c>
      <c r="I648" t="n">
        <v>0</v>
      </c>
      <c r="J648" t="n">
        <v>0</v>
      </c>
      <c r="K648" t="n">
        <v>0</v>
      </c>
      <c r="L648" t="n">
        <v>0</v>
      </c>
      <c r="M648" t="n">
        <v>0</v>
      </c>
      <c r="N648" t="n">
        <v>0</v>
      </c>
      <c r="O648" t="n">
        <v>0</v>
      </c>
      <c r="P648" t="n">
        <v>0</v>
      </c>
      <c r="Q648" t="n">
        <v>0</v>
      </c>
      <c r="R648" s="2" t="inlineStr"/>
    </row>
    <row r="649" ht="15" customHeight="1">
      <c r="A649" t="inlineStr">
        <is>
          <t>A 26254-2025</t>
        </is>
      </c>
      <c r="B649" s="1" t="n">
        <v>45805</v>
      </c>
      <c r="C649" s="1" t="n">
        <v>46107</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26207-2025</t>
        </is>
      </c>
      <c r="B650" s="1" t="n">
        <v>45805.52983796296</v>
      </c>
      <c r="C650" s="1" t="n">
        <v>46107</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58728-2024</t>
        </is>
      </c>
      <c r="B651" s="1" t="n">
        <v>45635.66695601852</v>
      </c>
      <c r="C651" s="1" t="n">
        <v>46107</v>
      </c>
      <c r="D651" t="inlineStr">
        <is>
          <t>KALMAR LÄN</t>
        </is>
      </c>
      <c r="E651" t="inlineStr">
        <is>
          <t>VIMMERBY</t>
        </is>
      </c>
      <c r="G651" t="n">
        <v>0.4</v>
      </c>
      <c r="H651" t="n">
        <v>0</v>
      </c>
      <c r="I651" t="n">
        <v>0</v>
      </c>
      <c r="J651" t="n">
        <v>0</v>
      </c>
      <c r="K651" t="n">
        <v>0</v>
      </c>
      <c r="L651" t="n">
        <v>0</v>
      </c>
      <c r="M651" t="n">
        <v>0</v>
      </c>
      <c r="N651" t="n">
        <v>0</v>
      </c>
      <c r="O651" t="n">
        <v>0</v>
      </c>
      <c r="P651" t="n">
        <v>0</v>
      </c>
      <c r="Q651" t="n">
        <v>0</v>
      </c>
      <c r="R651" s="2" t="inlineStr"/>
    </row>
    <row r="652" ht="15" customHeight="1">
      <c r="A652" t="inlineStr">
        <is>
          <t>A 43242-2024</t>
        </is>
      </c>
      <c r="B652" s="1" t="n">
        <v>45568.30189814815</v>
      </c>
      <c r="C652" s="1" t="n">
        <v>46107</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16983-2023</t>
        </is>
      </c>
      <c r="B653" s="1" t="n">
        <v>45033.76043981482</v>
      </c>
      <c r="C653" s="1" t="n">
        <v>46107</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6405-2025</t>
        </is>
      </c>
      <c r="B654" s="1" t="n">
        <v>45699.45392361111</v>
      </c>
      <c r="C654" s="1" t="n">
        <v>46107</v>
      </c>
      <c r="D654" t="inlineStr">
        <is>
          <t>KALMAR LÄN</t>
        </is>
      </c>
      <c r="E654" t="inlineStr">
        <is>
          <t>VIMMERBY</t>
        </is>
      </c>
      <c r="G654" t="n">
        <v>1.2</v>
      </c>
      <c r="H654" t="n">
        <v>0</v>
      </c>
      <c r="I654" t="n">
        <v>0</v>
      </c>
      <c r="J654" t="n">
        <v>0</v>
      </c>
      <c r="K654" t="n">
        <v>0</v>
      </c>
      <c r="L654" t="n">
        <v>0</v>
      </c>
      <c r="M654" t="n">
        <v>0</v>
      </c>
      <c r="N654" t="n">
        <v>0</v>
      </c>
      <c r="O654" t="n">
        <v>0</v>
      </c>
      <c r="P654" t="n">
        <v>0</v>
      </c>
      <c r="Q654" t="n">
        <v>0</v>
      </c>
      <c r="R654" s="2" t="inlineStr"/>
    </row>
    <row r="655" ht="15" customHeight="1">
      <c r="A655" t="inlineStr">
        <is>
          <t>A 36843-2023</t>
        </is>
      </c>
      <c r="B655" s="1" t="n">
        <v>45154.49831018518</v>
      </c>
      <c r="C655" s="1" t="n">
        <v>46107</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57486-2024</t>
        </is>
      </c>
      <c r="B656" s="1" t="n">
        <v>45630.35827546296</v>
      </c>
      <c r="C656" s="1" t="n">
        <v>46107</v>
      </c>
      <c r="D656" t="inlineStr">
        <is>
          <t>KALMAR LÄN</t>
        </is>
      </c>
      <c r="E656" t="inlineStr">
        <is>
          <t>VIMMERBY</t>
        </is>
      </c>
      <c r="G656" t="n">
        <v>0.4</v>
      </c>
      <c r="H656" t="n">
        <v>0</v>
      </c>
      <c r="I656" t="n">
        <v>0</v>
      </c>
      <c r="J656" t="n">
        <v>0</v>
      </c>
      <c r="K656" t="n">
        <v>0</v>
      </c>
      <c r="L656" t="n">
        <v>0</v>
      </c>
      <c r="M656" t="n">
        <v>0</v>
      </c>
      <c r="N656" t="n">
        <v>0</v>
      </c>
      <c r="O656" t="n">
        <v>0</v>
      </c>
      <c r="P656" t="n">
        <v>0</v>
      </c>
      <c r="Q656" t="n">
        <v>0</v>
      </c>
      <c r="R656" s="2" t="inlineStr"/>
    </row>
    <row r="657" ht="15" customHeight="1">
      <c r="A657" t="inlineStr">
        <is>
          <t>A 61937-2025</t>
        </is>
      </c>
      <c r="B657" s="1" t="n">
        <v>46003</v>
      </c>
      <c r="C657" s="1" t="n">
        <v>46107</v>
      </c>
      <c r="D657" t="inlineStr">
        <is>
          <t>KALMAR LÄN</t>
        </is>
      </c>
      <c r="E657" t="inlineStr">
        <is>
          <t>VIMMERBY</t>
        </is>
      </c>
      <c r="G657" t="n">
        <v>3.4</v>
      </c>
      <c r="H657" t="n">
        <v>0</v>
      </c>
      <c r="I657" t="n">
        <v>0</v>
      </c>
      <c r="J657" t="n">
        <v>0</v>
      </c>
      <c r="K657" t="n">
        <v>0</v>
      </c>
      <c r="L657" t="n">
        <v>0</v>
      </c>
      <c r="M657" t="n">
        <v>0</v>
      </c>
      <c r="N657" t="n">
        <v>0</v>
      </c>
      <c r="O657" t="n">
        <v>0</v>
      </c>
      <c r="P657" t="n">
        <v>0</v>
      </c>
      <c r="Q657" t="n">
        <v>0</v>
      </c>
      <c r="R657" s="2" t="inlineStr"/>
    </row>
    <row r="658" ht="15" customHeight="1">
      <c r="A658" t="inlineStr">
        <is>
          <t>A 63711-2025</t>
        </is>
      </c>
      <c r="B658" s="1" t="n">
        <v>46014.62724537037</v>
      </c>
      <c r="C658" s="1" t="n">
        <v>46107</v>
      </c>
      <c r="D658" t="inlineStr">
        <is>
          <t>KALMAR LÄN</t>
        </is>
      </c>
      <c r="E658" t="inlineStr">
        <is>
          <t>VIMMERBY</t>
        </is>
      </c>
      <c r="G658" t="n">
        <v>2.1</v>
      </c>
      <c r="H658" t="n">
        <v>0</v>
      </c>
      <c r="I658" t="n">
        <v>0</v>
      </c>
      <c r="J658" t="n">
        <v>0</v>
      </c>
      <c r="K658" t="n">
        <v>0</v>
      </c>
      <c r="L658" t="n">
        <v>0</v>
      </c>
      <c r="M658" t="n">
        <v>0</v>
      </c>
      <c r="N658" t="n">
        <v>0</v>
      </c>
      <c r="O658" t="n">
        <v>0</v>
      </c>
      <c r="P658" t="n">
        <v>0</v>
      </c>
      <c r="Q658" t="n">
        <v>0</v>
      </c>
      <c r="R658" s="2" t="inlineStr"/>
    </row>
    <row r="659" ht="15" customHeight="1">
      <c r="A659" t="inlineStr">
        <is>
          <t>A 63845-2025</t>
        </is>
      </c>
      <c r="B659" s="1" t="n">
        <v>46020.43715277778</v>
      </c>
      <c r="C659" s="1" t="n">
        <v>46107</v>
      </c>
      <c r="D659" t="inlineStr">
        <is>
          <t>KALMAR LÄN</t>
        </is>
      </c>
      <c r="E659" t="inlineStr">
        <is>
          <t>VIMMERBY</t>
        </is>
      </c>
      <c r="G659" t="n">
        <v>3.8</v>
      </c>
      <c r="H659" t="n">
        <v>0</v>
      </c>
      <c r="I659" t="n">
        <v>0</v>
      </c>
      <c r="J659" t="n">
        <v>0</v>
      </c>
      <c r="K659" t="n">
        <v>0</v>
      </c>
      <c r="L659" t="n">
        <v>0</v>
      </c>
      <c r="M659" t="n">
        <v>0</v>
      </c>
      <c r="N659" t="n">
        <v>0</v>
      </c>
      <c r="O659" t="n">
        <v>0</v>
      </c>
      <c r="P659" t="n">
        <v>0</v>
      </c>
      <c r="Q659" t="n">
        <v>0</v>
      </c>
      <c r="R659" s="2" t="inlineStr"/>
    </row>
    <row r="660" ht="15" customHeight="1">
      <c r="A660" t="inlineStr">
        <is>
          <t>A 63848-2025</t>
        </is>
      </c>
      <c r="B660" s="1" t="n">
        <v>46020.44902777778</v>
      </c>
      <c r="C660" s="1" t="n">
        <v>46107</v>
      </c>
      <c r="D660" t="inlineStr">
        <is>
          <t>KALMAR LÄN</t>
        </is>
      </c>
      <c r="E660" t="inlineStr">
        <is>
          <t>VIMMERBY</t>
        </is>
      </c>
      <c r="G660" t="n">
        <v>3.4</v>
      </c>
      <c r="H660" t="n">
        <v>0</v>
      </c>
      <c r="I660" t="n">
        <v>0</v>
      </c>
      <c r="J660" t="n">
        <v>0</v>
      </c>
      <c r="K660" t="n">
        <v>0</v>
      </c>
      <c r="L660" t="n">
        <v>0</v>
      </c>
      <c r="M660" t="n">
        <v>0</v>
      </c>
      <c r="N660" t="n">
        <v>0</v>
      </c>
      <c r="O660" t="n">
        <v>0</v>
      </c>
      <c r="P660" t="n">
        <v>0</v>
      </c>
      <c r="Q660" t="n">
        <v>0</v>
      </c>
      <c r="R660" s="2" t="inlineStr"/>
    </row>
    <row r="661" ht="15" customHeight="1">
      <c r="A661" t="inlineStr">
        <is>
          <t>A 44423-2023</t>
        </is>
      </c>
      <c r="B661" s="1" t="n">
        <v>45189</v>
      </c>
      <c r="C661" s="1" t="n">
        <v>46107</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63758-2025</t>
        </is>
      </c>
      <c r="B662" s="1" t="n">
        <v>46018.46483796297</v>
      </c>
      <c r="C662" s="1" t="n">
        <v>46107</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20-2025</t>
        </is>
      </c>
      <c r="B663" s="1" t="n">
        <v>45658.80232638889</v>
      </c>
      <c r="C663" s="1" t="n">
        <v>46107</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23-2025</t>
        </is>
      </c>
      <c r="B664" s="1" t="n">
        <v>45658.80827546296</v>
      </c>
      <c r="C664" s="1" t="n">
        <v>46107</v>
      </c>
      <c r="D664" t="inlineStr">
        <is>
          <t>KALMAR LÄN</t>
        </is>
      </c>
      <c r="E664" t="inlineStr">
        <is>
          <t>VIMMERBY</t>
        </is>
      </c>
      <c r="G664" t="n">
        <v>1.8</v>
      </c>
      <c r="H664" t="n">
        <v>0</v>
      </c>
      <c r="I664" t="n">
        <v>0</v>
      </c>
      <c r="J664" t="n">
        <v>0</v>
      </c>
      <c r="K664" t="n">
        <v>0</v>
      </c>
      <c r="L664" t="n">
        <v>0</v>
      </c>
      <c r="M664" t="n">
        <v>0</v>
      </c>
      <c r="N664" t="n">
        <v>0</v>
      </c>
      <c r="O664" t="n">
        <v>0</v>
      </c>
      <c r="P664" t="n">
        <v>0</v>
      </c>
      <c r="Q664" t="n">
        <v>0</v>
      </c>
      <c r="R664" s="2" t="inlineStr"/>
    </row>
    <row r="665" ht="15" customHeight="1">
      <c r="A665" t="inlineStr">
        <is>
          <t>A 63839-2025</t>
        </is>
      </c>
      <c r="B665" s="1" t="n">
        <v>46020.41998842593</v>
      </c>
      <c r="C665" s="1" t="n">
        <v>46107</v>
      </c>
      <c r="D665" t="inlineStr">
        <is>
          <t>KALMAR LÄN</t>
        </is>
      </c>
      <c r="E665" t="inlineStr">
        <is>
          <t>VIMMERBY</t>
        </is>
      </c>
      <c r="G665" t="n">
        <v>2.9</v>
      </c>
      <c r="H665" t="n">
        <v>0</v>
      </c>
      <c r="I665" t="n">
        <v>0</v>
      </c>
      <c r="J665" t="n">
        <v>0</v>
      </c>
      <c r="K665" t="n">
        <v>0</v>
      </c>
      <c r="L665" t="n">
        <v>0</v>
      </c>
      <c r="M665" t="n">
        <v>0</v>
      </c>
      <c r="N665" t="n">
        <v>0</v>
      </c>
      <c r="O665" t="n">
        <v>0</v>
      </c>
      <c r="P665" t="n">
        <v>0</v>
      </c>
      <c r="Q665" t="n">
        <v>0</v>
      </c>
      <c r="R665" s="2" t="inlineStr"/>
    </row>
    <row r="666" ht="15" customHeight="1">
      <c r="A666" t="inlineStr">
        <is>
          <t>A 21496-2023</t>
        </is>
      </c>
      <c r="B666" s="1" t="n">
        <v>45063.49936342592</v>
      </c>
      <c r="C666" s="1" t="n">
        <v>46107</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63762-2025</t>
        </is>
      </c>
      <c r="B667" s="1" t="n">
        <v>46018.67197916667</v>
      </c>
      <c r="C667" s="1" t="n">
        <v>46107</v>
      </c>
      <c r="D667" t="inlineStr">
        <is>
          <t>KALMAR LÄN</t>
        </is>
      </c>
      <c r="E667" t="inlineStr">
        <is>
          <t>VIMMERBY</t>
        </is>
      </c>
      <c r="G667" t="n">
        <v>2.5</v>
      </c>
      <c r="H667" t="n">
        <v>0</v>
      </c>
      <c r="I667" t="n">
        <v>0</v>
      </c>
      <c r="J667" t="n">
        <v>0</v>
      </c>
      <c r="K667" t="n">
        <v>0</v>
      </c>
      <c r="L667" t="n">
        <v>0</v>
      </c>
      <c r="M667" t="n">
        <v>0</v>
      </c>
      <c r="N667" t="n">
        <v>0</v>
      </c>
      <c r="O667" t="n">
        <v>0</v>
      </c>
      <c r="P667" t="n">
        <v>0</v>
      </c>
      <c r="Q667" t="n">
        <v>0</v>
      </c>
      <c r="R667" s="2" t="inlineStr"/>
    </row>
    <row r="668" ht="15" customHeight="1">
      <c r="A668" t="inlineStr">
        <is>
          <t>A 31056-2022</t>
        </is>
      </c>
      <c r="B668" s="1" t="n">
        <v>44769.45805555556</v>
      </c>
      <c r="C668" s="1" t="n">
        <v>46107</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28290-2025</t>
        </is>
      </c>
      <c r="B669" s="1" t="n">
        <v>45818.59261574074</v>
      </c>
      <c r="C669" s="1" t="n">
        <v>46107</v>
      </c>
      <c r="D669" t="inlineStr">
        <is>
          <t>KALMAR LÄN</t>
        </is>
      </c>
      <c r="E669" t="inlineStr">
        <is>
          <t>VIMMERBY</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28280-2025</t>
        </is>
      </c>
      <c r="B670" s="1" t="n">
        <v>45818.5862037037</v>
      </c>
      <c r="C670" s="1" t="n">
        <v>46107</v>
      </c>
      <c r="D670" t="inlineStr">
        <is>
          <t>KALMAR LÄN</t>
        </is>
      </c>
      <c r="E670" t="inlineStr">
        <is>
          <t>VIMMERBY</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28286-2025</t>
        </is>
      </c>
      <c r="B671" s="1" t="n">
        <v>45818.58993055556</v>
      </c>
      <c r="C671" s="1" t="n">
        <v>46107</v>
      </c>
      <c r="D671" t="inlineStr">
        <is>
          <t>KALMAR LÄN</t>
        </is>
      </c>
      <c r="E671" t="inlineStr">
        <is>
          <t>VIMMERBY</t>
        </is>
      </c>
      <c r="F671" t="inlineStr">
        <is>
          <t>Sveaskog</t>
        </is>
      </c>
      <c r="G671" t="n">
        <v>8</v>
      </c>
      <c r="H671" t="n">
        <v>0</v>
      </c>
      <c r="I671" t="n">
        <v>0</v>
      </c>
      <c r="J671" t="n">
        <v>0</v>
      </c>
      <c r="K671" t="n">
        <v>0</v>
      </c>
      <c r="L671" t="n">
        <v>0</v>
      </c>
      <c r="M671" t="n">
        <v>0</v>
      </c>
      <c r="N671" t="n">
        <v>0</v>
      </c>
      <c r="O671" t="n">
        <v>0</v>
      </c>
      <c r="P671" t="n">
        <v>0</v>
      </c>
      <c r="Q671" t="n">
        <v>0</v>
      </c>
      <c r="R671" s="2" t="inlineStr"/>
    </row>
    <row r="672" ht="15" customHeight="1">
      <c r="A672" t="inlineStr">
        <is>
          <t>A 8696-2026</t>
        </is>
      </c>
      <c r="B672" s="1" t="n">
        <v>46066.45273148148</v>
      </c>
      <c r="C672" s="1" t="n">
        <v>46107</v>
      </c>
      <c r="D672" t="inlineStr">
        <is>
          <t>KALMAR LÄN</t>
        </is>
      </c>
      <c r="E672" t="inlineStr">
        <is>
          <t>VIMMERBY</t>
        </is>
      </c>
      <c r="G672" t="n">
        <v>0.6</v>
      </c>
      <c r="H672" t="n">
        <v>0</v>
      </c>
      <c r="I672" t="n">
        <v>0</v>
      </c>
      <c r="J672" t="n">
        <v>0</v>
      </c>
      <c r="K672" t="n">
        <v>0</v>
      </c>
      <c r="L672" t="n">
        <v>0</v>
      </c>
      <c r="M672" t="n">
        <v>0</v>
      </c>
      <c r="N672" t="n">
        <v>0</v>
      </c>
      <c r="O672" t="n">
        <v>0</v>
      </c>
      <c r="P672" t="n">
        <v>0</v>
      </c>
      <c r="Q672" t="n">
        <v>0</v>
      </c>
      <c r="R672" s="2" t="inlineStr"/>
    </row>
    <row r="673" ht="15" customHeight="1">
      <c r="A673" t="inlineStr">
        <is>
          <t>A 28282-2025</t>
        </is>
      </c>
      <c r="B673" s="1" t="n">
        <v>45818.58769675926</v>
      </c>
      <c r="C673" s="1" t="n">
        <v>46107</v>
      </c>
      <c r="D673" t="inlineStr">
        <is>
          <t>KALMAR LÄN</t>
        </is>
      </c>
      <c r="E673" t="inlineStr">
        <is>
          <t>VIMMERBY</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28294-2025</t>
        </is>
      </c>
      <c r="B674" s="1" t="n">
        <v>45818.595625</v>
      </c>
      <c r="C674" s="1" t="n">
        <v>46107</v>
      </c>
      <c r="D674" t="inlineStr">
        <is>
          <t>KALMAR LÄN</t>
        </is>
      </c>
      <c r="E674" t="inlineStr">
        <is>
          <t>VIMMERBY</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8595-2026</t>
        </is>
      </c>
      <c r="B675" s="1" t="n">
        <v>46065.7372337963</v>
      </c>
      <c r="C675" s="1" t="n">
        <v>46107</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409-2026</t>
        </is>
      </c>
      <c r="B676" s="1" t="n">
        <v>46028.69432870371</v>
      </c>
      <c r="C676" s="1" t="n">
        <v>46107</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72701-2021</t>
        </is>
      </c>
      <c r="B677" s="1" t="n">
        <v>44546</v>
      </c>
      <c r="C677" s="1" t="n">
        <v>46107</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52294-2023</t>
        </is>
      </c>
      <c r="B678" s="1" t="n">
        <v>45224.60075231481</v>
      </c>
      <c r="C678" s="1" t="n">
        <v>46107</v>
      </c>
      <c r="D678" t="inlineStr">
        <is>
          <t>KALMAR LÄN</t>
        </is>
      </c>
      <c r="E678" t="inlineStr">
        <is>
          <t>VIMMERBY</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28713-2025</t>
        </is>
      </c>
      <c r="B679" s="1" t="n">
        <v>45820.33930555556</v>
      </c>
      <c r="C679" s="1" t="n">
        <v>46107</v>
      </c>
      <c r="D679" t="inlineStr">
        <is>
          <t>KALMAR LÄN</t>
        </is>
      </c>
      <c r="E679" t="inlineStr">
        <is>
          <t>VIMMERBY</t>
        </is>
      </c>
      <c r="G679" t="n">
        <v>2.3</v>
      </c>
      <c r="H679" t="n">
        <v>0</v>
      </c>
      <c r="I679" t="n">
        <v>0</v>
      </c>
      <c r="J679" t="n">
        <v>0</v>
      </c>
      <c r="K679" t="n">
        <v>0</v>
      </c>
      <c r="L679" t="n">
        <v>0</v>
      </c>
      <c r="M679" t="n">
        <v>0</v>
      </c>
      <c r="N679" t="n">
        <v>0</v>
      </c>
      <c r="O679" t="n">
        <v>0</v>
      </c>
      <c r="P679" t="n">
        <v>0</v>
      </c>
      <c r="Q679" t="n">
        <v>0</v>
      </c>
      <c r="R679" s="2" t="inlineStr"/>
    </row>
    <row r="680" ht="15" customHeight="1">
      <c r="A680" t="inlineStr">
        <is>
          <t>A 406-2026</t>
        </is>
      </c>
      <c r="B680" s="1" t="n">
        <v>46028.68663194445</v>
      </c>
      <c r="C680" s="1" t="n">
        <v>46107</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61355-2024</t>
        </is>
      </c>
      <c r="B681" s="1" t="n">
        <v>45646.38200231481</v>
      </c>
      <c r="C681" s="1" t="n">
        <v>46107</v>
      </c>
      <c r="D681" t="inlineStr">
        <is>
          <t>KALMAR LÄN</t>
        </is>
      </c>
      <c r="E681" t="inlineStr">
        <is>
          <t>VIMMERBY</t>
        </is>
      </c>
      <c r="G681" t="n">
        <v>2.7</v>
      </c>
      <c r="H681" t="n">
        <v>0</v>
      </c>
      <c r="I681" t="n">
        <v>0</v>
      </c>
      <c r="J681" t="n">
        <v>0</v>
      </c>
      <c r="K681" t="n">
        <v>0</v>
      </c>
      <c r="L681" t="n">
        <v>0</v>
      </c>
      <c r="M681" t="n">
        <v>0</v>
      </c>
      <c r="N681" t="n">
        <v>0</v>
      </c>
      <c r="O681" t="n">
        <v>0</v>
      </c>
      <c r="P681" t="n">
        <v>0</v>
      </c>
      <c r="Q681" t="n">
        <v>0</v>
      </c>
      <c r="R681" s="2" t="inlineStr"/>
    </row>
    <row r="682" ht="15" customHeight="1">
      <c r="A682" t="inlineStr">
        <is>
          <t>A 28712-2025</t>
        </is>
      </c>
      <c r="B682" s="1" t="n">
        <v>45820.33708333333</v>
      </c>
      <c r="C682" s="1" t="n">
        <v>46107</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28714-2025</t>
        </is>
      </c>
      <c r="B683" s="1" t="n">
        <v>45820.34128472222</v>
      </c>
      <c r="C683" s="1" t="n">
        <v>46107</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28620-2025</t>
        </is>
      </c>
      <c r="B684" s="1" t="n">
        <v>45819.61060185185</v>
      </c>
      <c r="C684" s="1" t="n">
        <v>46107</v>
      </c>
      <c r="D684" t="inlineStr">
        <is>
          <t>KALMAR LÄN</t>
        </is>
      </c>
      <c r="E684" t="inlineStr">
        <is>
          <t>VIMMERBY</t>
        </is>
      </c>
      <c r="G684" t="n">
        <v>5.6</v>
      </c>
      <c r="H684" t="n">
        <v>0</v>
      </c>
      <c r="I684" t="n">
        <v>0</v>
      </c>
      <c r="J684" t="n">
        <v>0</v>
      </c>
      <c r="K684" t="n">
        <v>0</v>
      </c>
      <c r="L684" t="n">
        <v>0</v>
      </c>
      <c r="M684" t="n">
        <v>0</v>
      </c>
      <c r="N684" t="n">
        <v>0</v>
      </c>
      <c r="O684" t="n">
        <v>0</v>
      </c>
      <c r="P684" t="n">
        <v>0</v>
      </c>
      <c r="Q684" t="n">
        <v>0</v>
      </c>
      <c r="R684" s="2" t="inlineStr"/>
    </row>
    <row r="685" ht="15" customHeight="1">
      <c r="A685" t="inlineStr">
        <is>
          <t>A 579-2026</t>
        </is>
      </c>
      <c r="B685" s="1" t="n">
        <v>46029.47912037037</v>
      </c>
      <c r="C685" s="1" t="n">
        <v>46107</v>
      </c>
      <c r="D685" t="inlineStr">
        <is>
          <t>KALMAR LÄN</t>
        </is>
      </c>
      <c r="E685" t="inlineStr">
        <is>
          <t>VIMMERBY</t>
        </is>
      </c>
      <c r="G685" t="n">
        <v>3</v>
      </c>
      <c r="H685" t="n">
        <v>0</v>
      </c>
      <c r="I685" t="n">
        <v>0</v>
      </c>
      <c r="J685" t="n">
        <v>0</v>
      </c>
      <c r="K685" t="n">
        <v>0</v>
      </c>
      <c r="L685" t="n">
        <v>0</v>
      </c>
      <c r="M685" t="n">
        <v>0</v>
      </c>
      <c r="N685" t="n">
        <v>0</v>
      </c>
      <c r="O685" t="n">
        <v>0</v>
      </c>
      <c r="P685" t="n">
        <v>0</v>
      </c>
      <c r="Q685" t="n">
        <v>0</v>
      </c>
      <c r="R685" s="2" t="inlineStr"/>
    </row>
    <row r="686" ht="15" customHeight="1">
      <c r="A686" t="inlineStr">
        <is>
          <t>A 33374-2021</t>
        </is>
      </c>
      <c r="B686" s="1" t="n">
        <v>44377</v>
      </c>
      <c r="C686" s="1" t="n">
        <v>46107</v>
      </c>
      <c r="D686" t="inlineStr">
        <is>
          <t>KALMAR LÄN</t>
        </is>
      </c>
      <c r="E686" t="inlineStr">
        <is>
          <t>VIMMERBY</t>
        </is>
      </c>
      <c r="G686" t="n">
        <v>3.3</v>
      </c>
      <c r="H686" t="n">
        <v>0</v>
      </c>
      <c r="I686" t="n">
        <v>0</v>
      </c>
      <c r="J686" t="n">
        <v>0</v>
      </c>
      <c r="K686" t="n">
        <v>0</v>
      </c>
      <c r="L686" t="n">
        <v>0</v>
      </c>
      <c r="M686" t="n">
        <v>0</v>
      </c>
      <c r="N686" t="n">
        <v>0</v>
      </c>
      <c r="O686" t="n">
        <v>0</v>
      </c>
      <c r="P686" t="n">
        <v>0</v>
      </c>
      <c r="Q686" t="n">
        <v>0</v>
      </c>
      <c r="R686" s="2" t="inlineStr"/>
    </row>
    <row r="687" ht="15" customHeight="1">
      <c r="A687" t="inlineStr">
        <is>
          <t>A 10759-2023</t>
        </is>
      </c>
      <c r="B687" s="1" t="n">
        <v>44988</v>
      </c>
      <c r="C687" s="1" t="n">
        <v>46107</v>
      </c>
      <c r="D687" t="inlineStr">
        <is>
          <t>KALMAR LÄN</t>
        </is>
      </c>
      <c r="E687" t="inlineStr">
        <is>
          <t>VIMMERBY</t>
        </is>
      </c>
      <c r="G687" t="n">
        <v>0.4</v>
      </c>
      <c r="H687" t="n">
        <v>0</v>
      </c>
      <c r="I687" t="n">
        <v>0</v>
      </c>
      <c r="J687" t="n">
        <v>0</v>
      </c>
      <c r="K687" t="n">
        <v>0</v>
      </c>
      <c r="L687" t="n">
        <v>0</v>
      </c>
      <c r="M687" t="n">
        <v>0</v>
      </c>
      <c r="N687" t="n">
        <v>0</v>
      </c>
      <c r="O687" t="n">
        <v>0</v>
      </c>
      <c r="P687" t="n">
        <v>0</v>
      </c>
      <c r="Q687" t="n">
        <v>0</v>
      </c>
      <c r="R687" s="2" t="inlineStr"/>
    </row>
    <row r="688" ht="15" customHeight="1">
      <c r="A688" t="inlineStr">
        <is>
          <t>A 18899-2025</t>
        </is>
      </c>
      <c r="B688" s="1" t="n">
        <v>45764.44931712963</v>
      </c>
      <c r="C688" s="1" t="n">
        <v>46107</v>
      </c>
      <c r="D688" t="inlineStr">
        <is>
          <t>KALMAR LÄN</t>
        </is>
      </c>
      <c r="E688" t="inlineStr">
        <is>
          <t>VIMMERBY</t>
        </is>
      </c>
      <c r="F688" t="inlineStr">
        <is>
          <t>Kommuner</t>
        </is>
      </c>
      <c r="G688" t="n">
        <v>4</v>
      </c>
      <c r="H688" t="n">
        <v>0</v>
      </c>
      <c r="I688" t="n">
        <v>0</v>
      </c>
      <c r="J688" t="n">
        <v>0</v>
      </c>
      <c r="K688" t="n">
        <v>0</v>
      </c>
      <c r="L688" t="n">
        <v>0</v>
      </c>
      <c r="M688" t="n">
        <v>0</v>
      </c>
      <c r="N688" t="n">
        <v>0</v>
      </c>
      <c r="O688" t="n">
        <v>0</v>
      </c>
      <c r="P688" t="n">
        <v>0</v>
      </c>
      <c r="Q688" t="n">
        <v>0</v>
      </c>
      <c r="R688" s="2" t="inlineStr"/>
    </row>
    <row r="689" ht="15" customHeight="1">
      <c r="A689" t="inlineStr">
        <is>
          <t>A 842-2026</t>
        </is>
      </c>
      <c r="B689" s="1" t="n">
        <v>46030.380625</v>
      </c>
      <c r="C689" s="1" t="n">
        <v>46107</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29727-2025</t>
        </is>
      </c>
      <c r="B690" s="1" t="n">
        <v>45825.5796875</v>
      </c>
      <c r="C690" s="1" t="n">
        <v>46107</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29737-2025</t>
        </is>
      </c>
      <c r="B691" s="1" t="n">
        <v>45825.58672453704</v>
      </c>
      <c r="C691" s="1" t="n">
        <v>46107</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1069-2026</t>
        </is>
      </c>
      <c r="B692" s="1" t="n">
        <v>46030</v>
      </c>
      <c r="C692" s="1" t="n">
        <v>46107</v>
      </c>
      <c r="D692" t="inlineStr">
        <is>
          <t>KALMAR LÄN</t>
        </is>
      </c>
      <c r="E692" t="inlineStr">
        <is>
          <t>VIMMERBY</t>
        </is>
      </c>
      <c r="G692" t="n">
        <v>3.3</v>
      </c>
      <c r="H692" t="n">
        <v>0</v>
      </c>
      <c r="I692" t="n">
        <v>0</v>
      </c>
      <c r="J692" t="n">
        <v>0</v>
      </c>
      <c r="K692" t="n">
        <v>0</v>
      </c>
      <c r="L692" t="n">
        <v>0</v>
      </c>
      <c r="M692" t="n">
        <v>0</v>
      </c>
      <c r="N692" t="n">
        <v>0</v>
      </c>
      <c r="O692" t="n">
        <v>0</v>
      </c>
      <c r="P692" t="n">
        <v>0</v>
      </c>
      <c r="Q692" t="n">
        <v>0</v>
      </c>
      <c r="R692" s="2" t="inlineStr"/>
    </row>
    <row r="693" ht="15" customHeight="1">
      <c r="A693" t="inlineStr">
        <is>
          <t>A 30293-2025</t>
        </is>
      </c>
      <c r="B693" s="1" t="n">
        <v>45827</v>
      </c>
      <c r="C693" s="1" t="n">
        <v>46107</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32614-2023</t>
        </is>
      </c>
      <c r="B694" s="1" t="n">
        <v>45121</v>
      </c>
      <c r="C694" s="1" t="n">
        <v>46107</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30290-2025</t>
        </is>
      </c>
      <c r="B695" s="1" t="n">
        <v>45827</v>
      </c>
      <c r="C695" s="1" t="n">
        <v>46107</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61939-2021</t>
        </is>
      </c>
      <c r="B696" s="1" t="n">
        <v>44502</v>
      </c>
      <c r="C696" s="1" t="n">
        <v>46107</v>
      </c>
      <c r="D696" t="inlineStr">
        <is>
          <t>KALMAR LÄN</t>
        </is>
      </c>
      <c r="E696" t="inlineStr">
        <is>
          <t>VIMMERBY</t>
        </is>
      </c>
      <c r="G696" t="n">
        <v>2.7</v>
      </c>
      <c r="H696" t="n">
        <v>0</v>
      </c>
      <c r="I696" t="n">
        <v>0</v>
      </c>
      <c r="J696" t="n">
        <v>0</v>
      </c>
      <c r="K696" t="n">
        <v>0</v>
      </c>
      <c r="L696" t="n">
        <v>0</v>
      </c>
      <c r="M696" t="n">
        <v>0</v>
      </c>
      <c r="N696" t="n">
        <v>0</v>
      </c>
      <c r="O696" t="n">
        <v>0</v>
      </c>
      <c r="P696" t="n">
        <v>0</v>
      </c>
      <c r="Q696" t="n">
        <v>0</v>
      </c>
      <c r="R696" s="2" t="inlineStr"/>
    </row>
    <row r="697" ht="15" customHeight="1">
      <c r="A697" t="inlineStr">
        <is>
          <t>A 1734-2026</t>
        </is>
      </c>
      <c r="B697" s="1" t="n">
        <v>46034</v>
      </c>
      <c r="C697" s="1" t="n">
        <v>46107</v>
      </c>
      <c r="D697" t="inlineStr">
        <is>
          <t>KALMAR LÄN</t>
        </is>
      </c>
      <c r="E697" t="inlineStr">
        <is>
          <t>VIMMERBY</t>
        </is>
      </c>
      <c r="G697" t="n">
        <v>0.8</v>
      </c>
      <c r="H697" t="n">
        <v>0</v>
      </c>
      <c r="I697" t="n">
        <v>0</v>
      </c>
      <c r="J697" t="n">
        <v>0</v>
      </c>
      <c r="K697" t="n">
        <v>0</v>
      </c>
      <c r="L697" t="n">
        <v>0</v>
      </c>
      <c r="M697" t="n">
        <v>0</v>
      </c>
      <c r="N697" t="n">
        <v>0</v>
      </c>
      <c r="O697" t="n">
        <v>0</v>
      </c>
      <c r="P697" t="n">
        <v>0</v>
      </c>
      <c r="Q697" t="n">
        <v>0</v>
      </c>
      <c r="R697" s="2" t="inlineStr"/>
    </row>
    <row r="698" ht="15" customHeight="1">
      <c r="A698" t="inlineStr">
        <is>
          <t>A 1743-2026</t>
        </is>
      </c>
      <c r="B698" s="1" t="n">
        <v>46034</v>
      </c>
      <c r="C698" s="1" t="n">
        <v>46107</v>
      </c>
      <c r="D698" t="inlineStr">
        <is>
          <t>KALMAR LÄN</t>
        </is>
      </c>
      <c r="E698" t="inlineStr">
        <is>
          <t>VIMMERBY</t>
        </is>
      </c>
      <c r="G698" t="n">
        <v>0.9</v>
      </c>
      <c r="H698" t="n">
        <v>0</v>
      </c>
      <c r="I698" t="n">
        <v>0</v>
      </c>
      <c r="J698" t="n">
        <v>0</v>
      </c>
      <c r="K698" t="n">
        <v>0</v>
      </c>
      <c r="L698" t="n">
        <v>0</v>
      </c>
      <c r="M698" t="n">
        <v>0</v>
      </c>
      <c r="N698" t="n">
        <v>0</v>
      </c>
      <c r="O698" t="n">
        <v>0</v>
      </c>
      <c r="P698" t="n">
        <v>0</v>
      </c>
      <c r="Q698" t="n">
        <v>0</v>
      </c>
      <c r="R698" s="2" t="inlineStr"/>
    </row>
    <row r="699" ht="15" customHeight="1">
      <c r="A699" t="inlineStr">
        <is>
          <t>A 30850-2025</t>
        </is>
      </c>
      <c r="B699" s="1" t="n">
        <v>45831</v>
      </c>
      <c r="C699" s="1" t="n">
        <v>46107</v>
      </c>
      <c r="D699" t="inlineStr">
        <is>
          <t>KALMAR LÄN</t>
        </is>
      </c>
      <c r="E699" t="inlineStr">
        <is>
          <t>VIMMERBY</t>
        </is>
      </c>
      <c r="G699" t="n">
        <v>2.7</v>
      </c>
      <c r="H699" t="n">
        <v>0</v>
      </c>
      <c r="I699" t="n">
        <v>0</v>
      </c>
      <c r="J699" t="n">
        <v>0</v>
      </c>
      <c r="K699" t="n">
        <v>0</v>
      </c>
      <c r="L699" t="n">
        <v>0</v>
      </c>
      <c r="M699" t="n">
        <v>0</v>
      </c>
      <c r="N699" t="n">
        <v>0</v>
      </c>
      <c r="O699" t="n">
        <v>0</v>
      </c>
      <c r="P699" t="n">
        <v>0</v>
      </c>
      <c r="Q699" t="n">
        <v>0</v>
      </c>
      <c r="R699" s="2" t="inlineStr"/>
    </row>
    <row r="700" ht="15" customHeight="1">
      <c r="A700" t="inlineStr">
        <is>
          <t>A 30882-2025</t>
        </is>
      </c>
      <c r="B700" s="1" t="n">
        <v>45832.34540509259</v>
      </c>
      <c r="C700" s="1" t="n">
        <v>46107</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30971-2025</t>
        </is>
      </c>
      <c r="B701" s="1" t="n">
        <v>45832.46146990741</v>
      </c>
      <c r="C701" s="1" t="n">
        <v>46107</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31552-2025</t>
        </is>
      </c>
      <c r="B702" s="1" t="n">
        <v>45833.64563657407</v>
      </c>
      <c r="C702" s="1" t="n">
        <v>46107</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31555-2025</t>
        </is>
      </c>
      <c r="B703" s="1" t="n">
        <v>45833.64814814815</v>
      </c>
      <c r="C703" s="1" t="n">
        <v>46107</v>
      </c>
      <c r="D703" t="inlineStr">
        <is>
          <t>KALMAR LÄN</t>
        </is>
      </c>
      <c r="E703" t="inlineStr">
        <is>
          <t>VIMMERBY</t>
        </is>
      </c>
      <c r="G703" t="n">
        <v>1.8</v>
      </c>
      <c r="H703" t="n">
        <v>0</v>
      </c>
      <c r="I703" t="n">
        <v>0</v>
      </c>
      <c r="J703" t="n">
        <v>0</v>
      </c>
      <c r="K703" t="n">
        <v>0</v>
      </c>
      <c r="L703" t="n">
        <v>0</v>
      </c>
      <c r="M703" t="n">
        <v>0</v>
      </c>
      <c r="N703" t="n">
        <v>0</v>
      </c>
      <c r="O703" t="n">
        <v>0</v>
      </c>
      <c r="P703" t="n">
        <v>0</v>
      </c>
      <c r="Q703" t="n">
        <v>0</v>
      </c>
      <c r="R703" s="2" t="inlineStr"/>
    </row>
    <row r="704" ht="15" customHeight="1">
      <c r="A704" t="inlineStr">
        <is>
          <t>A 1748-2026</t>
        </is>
      </c>
      <c r="B704" s="1" t="n">
        <v>46034.65589120371</v>
      </c>
      <c r="C704" s="1" t="n">
        <v>46107</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1862-2026</t>
        </is>
      </c>
      <c r="B705" s="1" t="n">
        <v>46035.44689814815</v>
      </c>
      <c r="C705" s="1" t="n">
        <v>46107</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31870-2025</t>
        </is>
      </c>
      <c r="B706" s="1" t="n">
        <v>45834.64667824074</v>
      </c>
      <c r="C706" s="1" t="n">
        <v>46107</v>
      </c>
      <c r="D706" t="inlineStr">
        <is>
          <t>KALMAR LÄN</t>
        </is>
      </c>
      <c r="E706" t="inlineStr">
        <is>
          <t>VIMMERBY</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8559-2025</t>
        </is>
      </c>
      <c r="B707" s="1" t="n">
        <v>45709.62280092593</v>
      </c>
      <c r="C707" s="1" t="n">
        <v>46107</v>
      </c>
      <c r="D707" t="inlineStr">
        <is>
          <t>KALMAR LÄN</t>
        </is>
      </c>
      <c r="E707" t="inlineStr">
        <is>
          <t>VIMMERBY</t>
        </is>
      </c>
      <c r="G707" t="n">
        <v>8.9</v>
      </c>
      <c r="H707" t="n">
        <v>0</v>
      </c>
      <c r="I707" t="n">
        <v>0</v>
      </c>
      <c r="J707" t="n">
        <v>0</v>
      </c>
      <c r="K707" t="n">
        <v>0</v>
      </c>
      <c r="L707" t="n">
        <v>0</v>
      </c>
      <c r="M707" t="n">
        <v>0</v>
      </c>
      <c r="N707" t="n">
        <v>0</v>
      </c>
      <c r="O707" t="n">
        <v>0</v>
      </c>
      <c r="P707" t="n">
        <v>0</v>
      </c>
      <c r="Q707" t="n">
        <v>0</v>
      </c>
      <c r="R707" s="2" t="inlineStr"/>
    </row>
    <row r="708" ht="15" customHeight="1">
      <c r="A708" t="inlineStr">
        <is>
          <t>A 31872-2025</t>
        </is>
      </c>
      <c r="B708" s="1" t="n">
        <v>45834.65040509259</v>
      </c>
      <c r="C708" s="1" t="n">
        <v>46107</v>
      </c>
      <c r="D708" t="inlineStr">
        <is>
          <t>KALMAR LÄN</t>
        </is>
      </c>
      <c r="E708" t="inlineStr">
        <is>
          <t>VIMMERBY</t>
        </is>
      </c>
      <c r="F708" t="inlineStr">
        <is>
          <t>Sveaskog</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31876-2025</t>
        </is>
      </c>
      <c r="B709" s="1" t="n">
        <v>45834.65197916667</v>
      </c>
      <c r="C709" s="1" t="n">
        <v>46107</v>
      </c>
      <c r="D709" t="inlineStr">
        <is>
          <t>KALMAR LÄN</t>
        </is>
      </c>
      <c r="E709" t="inlineStr">
        <is>
          <t>VIMMERBY</t>
        </is>
      </c>
      <c r="F709" t="inlineStr">
        <is>
          <t>Sveaskog</t>
        </is>
      </c>
      <c r="G709" t="n">
        <v>3.3</v>
      </c>
      <c r="H709" t="n">
        <v>0</v>
      </c>
      <c r="I709" t="n">
        <v>0</v>
      </c>
      <c r="J709" t="n">
        <v>0</v>
      </c>
      <c r="K709" t="n">
        <v>0</v>
      </c>
      <c r="L709" t="n">
        <v>0</v>
      </c>
      <c r="M709" t="n">
        <v>0</v>
      </c>
      <c r="N709" t="n">
        <v>0</v>
      </c>
      <c r="O709" t="n">
        <v>0</v>
      </c>
      <c r="P709" t="n">
        <v>0</v>
      </c>
      <c r="Q709" t="n">
        <v>0</v>
      </c>
      <c r="R709" s="2" t="inlineStr"/>
    </row>
    <row r="710" ht="15" customHeight="1">
      <c r="A710" t="inlineStr">
        <is>
          <t>A 31551-2025</t>
        </is>
      </c>
      <c r="B710" s="1" t="n">
        <v>45833.64237268519</v>
      </c>
      <c r="C710" s="1" t="n">
        <v>46107</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31987-2025</t>
        </is>
      </c>
      <c r="B711" s="1" t="n">
        <v>45835.36229166666</v>
      </c>
      <c r="C711" s="1" t="n">
        <v>46107</v>
      </c>
      <c r="D711" t="inlineStr">
        <is>
          <t>KALMAR LÄN</t>
        </is>
      </c>
      <c r="E711" t="inlineStr">
        <is>
          <t>VIMMERBY</t>
        </is>
      </c>
      <c r="F711" t="inlineStr">
        <is>
          <t>Kyrkan</t>
        </is>
      </c>
      <c r="G711" t="n">
        <v>1.2</v>
      </c>
      <c r="H711" t="n">
        <v>0</v>
      </c>
      <c r="I711" t="n">
        <v>0</v>
      </c>
      <c r="J711" t="n">
        <v>0</v>
      </c>
      <c r="K711" t="n">
        <v>0</v>
      </c>
      <c r="L711" t="n">
        <v>0</v>
      </c>
      <c r="M711" t="n">
        <v>0</v>
      </c>
      <c r="N711" t="n">
        <v>0</v>
      </c>
      <c r="O711" t="n">
        <v>0</v>
      </c>
      <c r="P711" t="n">
        <v>0</v>
      </c>
      <c r="Q711" t="n">
        <v>0</v>
      </c>
      <c r="R711" s="2" t="inlineStr"/>
    </row>
    <row r="712" ht="15" customHeight="1">
      <c r="A712" t="inlineStr">
        <is>
          <t>A 32120-2025</t>
        </is>
      </c>
      <c r="B712" s="1" t="n">
        <v>45835.4924537037</v>
      </c>
      <c r="C712" s="1" t="n">
        <v>46107</v>
      </c>
      <c r="D712" t="inlineStr">
        <is>
          <t>KALMAR LÄN</t>
        </is>
      </c>
      <c r="E712" t="inlineStr">
        <is>
          <t>VIMMERBY</t>
        </is>
      </c>
      <c r="G712" t="n">
        <v>0.8</v>
      </c>
      <c r="H712" t="n">
        <v>0</v>
      </c>
      <c r="I712" t="n">
        <v>0</v>
      </c>
      <c r="J712" t="n">
        <v>0</v>
      </c>
      <c r="K712" t="n">
        <v>0</v>
      </c>
      <c r="L712" t="n">
        <v>0</v>
      </c>
      <c r="M712" t="n">
        <v>0</v>
      </c>
      <c r="N712" t="n">
        <v>0</v>
      </c>
      <c r="O712" t="n">
        <v>0</v>
      </c>
      <c r="P712" t="n">
        <v>0</v>
      </c>
      <c r="Q712" t="n">
        <v>0</v>
      </c>
      <c r="R712" s="2" t="inlineStr"/>
    </row>
    <row r="713" ht="15" customHeight="1">
      <c r="A713" t="inlineStr">
        <is>
          <t>A 32116-2025</t>
        </is>
      </c>
      <c r="B713" s="1" t="n">
        <v>45835.48862268519</v>
      </c>
      <c r="C713" s="1" t="n">
        <v>46107</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6218-2025</t>
        </is>
      </c>
      <c r="B714" s="1" t="n">
        <v>45698.53336805556</v>
      </c>
      <c r="C714" s="1" t="n">
        <v>46107</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40076-2021</t>
        </is>
      </c>
      <c r="B715" s="1" t="n">
        <v>44418</v>
      </c>
      <c r="C715" s="1" t="n">
        <v>46107</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32380-2025</t>
        </is>
      </c>
      <c r="B716" s="1" t="n">
        <v>45837.77701388889</v>
      </c>
      <c r="C716" s="1" t="n">
        <v>46107</v>
      </c>
      <c r="D716" t="inlineStr">
        <is>
          <t>KALMAR LÄN</t>
        </is>
      </c>
      <c r="E716" t="inlineStr">
        <is>
          <t>VIMMERBY</t>
        </is>
      </c>
      <c r="G716" t="n">
        <v>3.1</v>
      </c>
      <c r="H716" t="n">
        <v>0</v>
      </c>
      <c r="I716" t="n">
        <v>0</v>
      </c>
      <c r="J716" t="n">
        <v>0</v>
      </c>
      <c r="K716" t="n">
        <v>0</v>
      </c>
      <c r="L716" t="n">
        <v>0</v>
      </c>
      <c r="M716" t="n">
        <v>0</v>
      </c>
      <c r="N716" t="n">
        <v>0</v>
      </c>
      <c r="O716" t="n">
        <v>0</v>
      </c>
      <c r="P716" t="n">
        <v>0</v>
      </c>
      <c r="Q716" t="n">
        <v>0</v>
      </c>
      <c r="R716" s="2" t="inlineStr"/>
    </row>
    <row r="717" ht="15" customHeight="1">
      <c r="A717" t="inlineStr">
        <is>
          <t>A 32109-2025</t>
        </is>
      </c>
      <c r="B717" s="1" t="n">
        <v>45835.48267361111</v>
      </c>
      <c r="C717" s="1" t="n">
        <v>46107</v>
      </c>
      <c r="D717" t="inlineStr">
        <is>
          <t>KALMAR LÄN</t>
        </is>
      </c>
      <c r="E717" t="inlineStr">
        <is>
          <t>VIMMERBY</t>
        </is>
      </c>
      <c r="G717" t="n">
        <v>2.5</v>
      </c>
      <c r="H717" t="n">
        <v>0</v>
      </c>
      <c r="I717" t="n">
        <v>0</v>
      </c>
      <c r="J717" t="n">
        <v>0</v>
      </c>
      <c r="K717" t="n">
        <v>0</v>
      </c>
      <c r="L717" t="n">
        <v>0</v>
      </c>
      <c r="M717" t="n">
        <v>0</v>
      </c>
      <c r="N717" t="n">
        <v>0</v>
      </c>
      <c r="O717" t="n">
        <v>0</v>
      </c>
      <c r="P717" t="n">
        <v>0</v>
      </c>
      <c r="Q717" t="n">
        <v>0</v>
      </c>
      <c r="R717" s="2" t="inlineStr"/>
    </row>
    <row r="718" ht="15" customHeight="1">
      <c r="A718" t="inlineStr">
        <is>
          <t>A 32113-2025</t>
        </is>
      </c>
      <c r="B718" s="1" t="n">
        <v>45835.48445601852</v>
      </c>
      <c r="C718" s="1" t="n">
        <v>46107</v>
      </c>
      <c r="D718" t="inlineStr">
        <is>
          <t>KALMAR LÄN</t>
        </is>
      </c>
      <c r="E718" t="inlineStr">
        <is>
          <t>VIMMERBY</t>
        </is>
      </c>
      <c r="G718" t="n">
        <v>3.5</v>
      </c>
      <c r="H718" t="n">
        <v>0</v>
      </c>
      <c r="I718" t="n">
        <v>0</v>
      </c>
      <c r="J718" t="n">
        <v>0</v>
      </c>
      <c r="K718" t="n">
        <v>0</v>
      </c>
      <c r="L718" t="n">
        <v>0</v>
      </c>
      <c r="M718" t="n">
        <v>0</v>
      </c>
      <c r="N718" t="n">
        <v>0</v>
      </c>
      <c r="O718" t="n">
        <v>0</v>
      </c>
      <c r="P718" t="n">
        <v>0</v>
      </c>
      <c r="Q718" t="n">
        <v>0</v>
      </c>
      <c r="R718" s="2" t="inlineStr"/>
    </row>
    <row r="719" ht="15" customHeight="1">
      <c r="A719" t="inlineStr">
        <is>
          <t>A 32077-2025</t>
        </is>
      </c>
      <c r="B719" s="1" t="n">
        <v>45835.45099537037</v>
      </c>
      <c r="C719" s="1" t="n">
        <v>46107</v>
      </c>
      <c r="D719" t="inlineStr">
        <is>
          <t>KALMAR LÄN</t>
        </is>
      </c>
      <c r="E719" t="inlineStr">
        <is>
          <t>VIMMERBY</t>
        </is>
      </c>
      <c r="G719" t="n">
        <v>1.8</v>
      </c>
      <c r="H719" t="n">
        <v>0</v>
      </c>
      <c r="I719" t="n">
        <v>0</v>
      </c>
      <c r="J719" t="n">
        <v>0</v>
      </c>
      <c r="K719" t="n">
        <v>0</v>
      </c>
      <c r="L719" t="n">
        <v>0</v>
      </c>
      <c r="M719" t="n">
        <v>0</v>
      </c>
      <c r="N719" t="n">
        <v>0</v>
      </c>
      <c r="O719" t="n">
        <v>0</v>
      </c>
      <c r="P719" t="n">
        <v>0</v>
      </c>
      <c r="Q719" t="n">
        <v>0</v>
      </c>
      <c r="R719" s="2" t="inlineStr"/>
    </row>
    <row r="720" ht="15" customHeight="1">
      <c r="A720" t="inlineStr">
        <is>
          <t>A 32064-2025</t>
        </is>
      </c>
      <c r="B720" s="1" t="n">
        <v>45835.44709490741</v>
      </c>
      <c r="C720" s="1" t="n">
        <v>46107</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32065-2025</t>
        </is>
      </c>
      <c r="B721" s="1" t="n">
        <v>45835.44732638889</v>
      </c>
      <c r="C721" s="1" t="n">
        <v>46107</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33186-2025</t>
        </is>
      </c>
      <c r="B722" s="1" t="n">
        <v>45840.59474537037</v>
      </c>
      <c r="C722" s="1" t="n">
        <v>46107</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11273-2026</t>
        </is>
      </c>
      <c r="B723" s="1" t="n">
        <v>46080.57634259259</v>
      </c>
      <c r="C723" s="1" t="n">
        <v>46107</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30977-2025</t>
        </is>
      </c>
      <c r="B724" s="1" t="n">
        <v>45832.46649305556</v>
      </c>
      <c r="C724" s="1" t="n">
        <v>46107</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33695-2025</t>
        </is>
      </c>
      <c r="B725" s="1" t="n">
        <v>45841.70569444444</v>
      </c>
      <c r="C725" s="1" t="n">
        <v>46107</v>
      </c>
      <c r="D725" t="inlineStr">
        <is>
          <t>KALMAR LÄN</t>
        </is>
      </c>
      <c r="E725" t="inlineStr">
        <is>
          <t>VIMMERBY</t>
        </is>
      </c>
      <c r="G725" t="n">
        <v>2.7</v>
      </c>
      <c r="H725" t="n">
        <v>0</v>
      </c>
      <c r="I725" t="n">
        <v>0</v>
      </c>
      <c r="J725" t="n">
        <v>0</v>
      </c>
      <c r="K725" t="n">
        <v>0</v>
      </c>
      <c r="L725" t="n">
        <v>0</v>
      </c>
      <c r="M725" t="n">
        <v>0</v>
      </c>
      <c r="N725" t="n">
        <v>0</v>
      </c>
      <c r="O725" t="n">
        <v>0</v>
      </c>
      <c r="P725" t="n">
        <v>0</v>
      </c>
      <c r="Q725" t="n">
        <v>0</v>
      </c>
      <c r="R725" s="2" t="inlineStr"/>
    </row>
    <row r="726" ht="15" customHeight="1">
      <c r="A726" t="inlineStr">
        <is>
          <t>A 33698-2025</t>
        </is>
      </c>
      <c r="B726" s="1" t="n">
        <v>45841.70868055556</v>
      </c>
      <c r="C726" s="1" t="n">
        <v>46107</v>
      </c>
      <c r="D726" t="inlineStr">
        <is>
          <t>KALMAR LÄN</t>
        </is>
      </c>
      <c r="E726" t="inlineStr">
        <is>
          <t>VIMMERBY</t>
        </is>
      </c>
      <c r="G726" t="n">
        <v>3.7</v>
      </c>
      <c r="H726" t="n">
        <v>0</v>
      </c>
      <c r="I726" t="n">
        <v>0</v>
      </c>
      <c r="J726" t="n">
        <v>0</v>
      </c>
      <c r="K726" t="n">
        <v>0</v>
      </c>
      <c r="L726" t="n">
        <v>0</v>
      </c>
      <c r="M726" t="n">
        <v>0</v>
      </c>
      <c r="N726" t="n">
        <v>0</v>
      </c>
      <c r="O726" t="n">
        <v>0</v>
      </c>
      <c r="P726" t="n">
        <v>0</v>
      </c>
      <c r="Q726" t="n">
        <v>0</v>
      </c>
      <c r="R726" s="2" t="inlineStr"/>
    </row>
    <row r="727" ht="15" customHeight="1">
      <c r="A727" t="inlineStr">
        <is>
          <t>A 2523-2026</t>
        </is>
      </c>
      <c r="B727" s="1" t="n">
        <v>46037.42825231481</v>
      </c>
      <c r="C727" s="1" t="n">
        <v>46107</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2514-2026</t>
        </is>
      </c>
      <c r="B728" s="1" t="n">
        <v>46037.42219907408</v>
      </c>
      <c r="C728" s="1" t="n">
        <v>46107</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2518-2026</t>
        </is>
      </c>
      <c r="B729" s="1" t="n">
        <v>46037.42511574074</v>
      </c>
      <c r="C729" s="1" t="n">
        <v>46107</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33696-2025</t>
        </is>
      </c>
      <c r="B730" s="1" t="n">
        <v>45841.7072337963</v>
      </c>
      <c r="C730" s="1" t="n">
        <v>46107</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10965-2026</t>
        </is>
      </c>
      <c r="B731" s="1" t="n">
        <v>46079.43295138889</v>
      </c>
      <c r="C731" s="1" t="n">
        <v>46107</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28702-2025</t>
        </is>
      </c>
      <c r="B732" s="1" t="n">
        <v>45820.03976851852</v>
      </c>
      <c r="C732" s="1" t="n">
        <v>46107</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34071-2025</t>
        </is>
      </c>
      <c r="B733" s="1" t="n">
        <v>45845.43803240741</v>
      </c>
      <c r="C733" s="1" t="n">
        <v>46107</v>
      </c>
      <c r="D733" t="inlineStr">
        <is>
          <t>KALMAR LÄN</t>
        </is>
      </c>
      <c r="E733" t="inlineStr">
        <is>
          <t>VIMMERBY</t>
        </is>
      </c>
      <c r="G733" t="n">
        <v>6.8</v>
      </c>
      <c r="H733" t="n">
        <v>0</v>
      </c>
      <c r="I733" t="n">
        <v>0</v>
      </c>
      <c r="J733" t="n">
        <v>0</v>
      </c>
      <c r="K733" t="n">
        <v>0</v>
      </c>
      <c r="L733" t="n">
        <v>0</v>
      </c>
      <c r="M733" t="n">
        <v>0</v>
      </c>
      <c r="N733" t="n">
        <v>0</v>
      </c>
      <c r="O733" t="n">
        <v>0</v>
      </c>
      <c r="P733" t="n">
        <v>0</v>
      </c>
      <c r="Q733" t="n">
        <v>0</v>
      </c>
      <c r="R733" s="2" t="inlineStr"/>
    </row>
    <row r="734" ht="15" customHeight="1">
      <c r="A734" t="inlineStr">
        <is>
          <t>A 12588-2025</t>
        </is>
      </c>
      <c r="B734" s="1" t="n">
        <v>45732.76936342593</v>
      </c>
      <c r="C734" s="1" t="n">
        <v>46107</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25979-2023</t>
        </is>
      </c>
      <c r="B735" s="1" t="n">
        <v>45090.89653935185</v>
      </c>
      <c r="C735" s="1" t="n">
        <v>46107</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25980-2023</t>
        </is>
      </c>
      <c r="B736" s="1" t="n">
        <v>45090.89880787037</v>
      </c>
      <c r="C736" s="1" t="n">
        <v>46107</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34106-2025</t>
        </is>
      </c>
      <c r="B737" s="1" t="n">
        <v>45845.49414351852</v>
      </c>
      <c r="C737" s="1" t="n">
        <v>46107</v>
      </c>
      <c r="D737" t="inlineStr">
        <is>
          <t>KALMAR LÄN</t>
        </is>
      </c>
      <c r="E737" t="inlineStr">
        <is>
          <t>VIMMERBY</t>
        </is>
      </c>
      <c r="G737" t="n">
        <v>6</v>
      </c>
      <c r="H737" t="n">
        <v>0</v>
      </c>
      <c r="I737" t="n">
        <v>0</v>
      </c>
      <c r="J737" t="n">
        <v>0</v>
      </c>
      <c r="K737" t="n">
        <v>0</v>
      </c>
      <c r="L737" t="n">
        <v>0</v>
      </c>
      <c r="M737" t="n">
        <v>0</v>
      </c>
      <c r="N737" t="n">
        <v>0</v>
      </c>
      <c r="O737" t="n">
        <v>0</v>
      </c>
      <c r="P737" t="n">
        <v>0</v>
      </c>
      <c r="Q737" t="n">
        <v>0</v>
      </c>
      <c r="R737" s="2" t="inlineStr"/>
    </row>
    <row r="738" ht="15" customHeight="1">
      <c r="A738" t="inlineStr">
        <is>
          <t>A 26956-2025</t>
        </is>
      </c>
      <c r="B738" s="1" t="n">
        <v>45811.45460648148</v>
      </c>
      <c r="C738" s="1" t="n">
        <v>46107</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46921-2023</t>
        </is>
      </c>
      <c r="B739" s="1" t="n">
        <v>45201.39996527778</v>
      </c>
      <c r="C739" s="1" t="n">
        <v>46107</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3266-2026</t>
        </is>
      </c>
      <c r="B740" s="1" t="n">
        <v>46041</v>
      </c>
      <c r="C740" s="1" t="n">
        <v>46107</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10837-2023</t>
        </is>
      </c>
      <c r="B741" s="1" t="n">
        <v>44991.30547453704</v>
      </c>
      <c r="C741" s="1" t="n">
        <v>46107</v>
      </c>
      <c r="D741" t="inlineStr">
        <is>
          <t>KALMAR LÄN</t>
        </is>
      </c>
      <c r="E741" t="inlineStr">
        <is>
          <t>VIMMERBY</t>
        </is>
      </c>
      <c r="G741" t="n">
        <v>7.3</v>
      </c>
      <c r="H741" t="n">
        <v>0</v>
      </c>
      <c r="I741" t="n">
        <v>0</v>
      </c>
      <c r="J741" t="n">
        <v>0</v>
      </c>
      <c r="K741" t="n">
        <v>0</v>
      </c>
      <c r="L741" t="n">
        <v>0</v>
      </c>
      <c r="M741" t="n">
        <v>0</v>
      </c>
      <c r="N741" t="n">
        <v>0</v>
      </c>
      <c r="O741" t="n">
        <v>0</v>
      </c>
      <c r="P741" t="n">
        <v>0</v>
      </c>
      <c r="Q741" t="n">
        <v>0</v>
      </c>
      <c r="R741" s="2" t="inlineStr"/>
    </row>
    <row r="742" ht="15" customHeight="1">
      <c r="A742" t="inlineStr">
        <is>
          <t>A 10838-2023</t>
        </is>
      </c>
      <c r="B742" s="1" t="n">
        <v>44991</v>
      </c>
      <c r="C742" s="1" t="n">
        <v>46107</v>
      </c>
      <c r="D742" t="inlineStr">
        <is>
          <t>KALMAR LÄN</t>
        </is>
      </c>
      <c r="E742" t="inlineStr">
        <is>
          <t>VIMMERBY</t>
        </is>
      </c>
      <c r="G742" t="n">
        <v>5.1</v>
      </c>
      <c r="H742" t="n">
        <v>0</v>
      </c>
      <c r="I742" t="n">
        <v>0</v>
      </c>
      <c r="J742" t="n">
        <v>0</v>
      </c>
      <c r="K742" t="n">
        <v>0</v>
      </c>
      <c r="L742" t="n">
        <v>0</v>
      </c>
      <c r="M742" t="n">
        <v>0</v>
      </c>
      <c r="N742" t="n">
        <v>0</v>
      </c>
      <c r="O742" t="n">
        <v>0</v>
      </c>
      <c r="P742" t="n">
        <v>0</v>
      </c>
      <c r="Q742" t="n">
        <v>0</v>
      </c>
      <c r="R742" s="2" t="inlineStr"/>
    </row>
    <row r="743" ht="15" customHeight="1">
      <c r="A743" t="inlineStr">
        <is>
          <t>A 34628-2025</t>
        </is>
      </c>
      <c r="B743" s="1" t="n">
        <v>45847.91280092593</v>
      </c>
      <c r="C743" s="1" t="n">
        <v>46107</v>
      </c>
      <c r="D743" t="inlineStr">
        <is>
          <t>KALMAR LÄN</t>
        </is>
      </c>
      <c r="E743" t="inlineStr">
        <is>
          <t>VIMMERBY</t>
        </is>
      </c>
      <c r="G743" t="n">
        <v>4.2</v>
      </c>
      <c r="H743" t="n">
        <v>0</v>
      </c>
      <c r="I743" t="n">
        <v>0</v>
      </c>
      <c r="J743" t="n">
        <v>0</v>
      </c>
      <c r="K743" t="n">
        <v>0</v>
      </c>
      <c r="L743" t="n">
        <v>0</v>
      </c>
      <c r="M743" t="n">
        <v>0</v>
      </c>
      <c r="N743" t="n">
        <v>0</v>
      </c>
      <c r="O743" t="n">
        <v>0</v>
      </c>
      <c r="P743" t="n">
        <v>0</v>
      </c>
      <c r="Q743" t="n">
        <v>0</v>
      </c>
      <c r="R743" s="2" t="inlineStr"/>
    </row>
    <row r="744" ht="15" customHeight="1">
      <c r="A744" t="inlineStr">
        <is>
          <t>A 11415-2026</t>
        </is>
      </c>
      <c r="B744" s="1" t="n">
        <v>46083</v>
      </c>
      <c r="C744" s="1" t="n">
        <v>46107</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11407-2026</t>
        </is>
      </c>
      <c r="B745" s="1" t="n">
        <v>46083</v>
      </c>
      <c r="C745" s="1" t="n">
        <v>46107</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30912-2023</t>
        </is>
      </c>
      <c r="B746" s="1" t="n">
        <v>45113.41633101852</v>
      </c>
      <c r="C746" s="1" t="n">
        <v>46107</v>
      </c>
      <c r="D746" t="inlineStr">
        <is>
          <t>KALMAR LÄN</t>
        </is>
      </c>
      <c r="E746" t="inlineStr">
        <is>
          <t>VIMMERBY</t>
        </is>
      </c>
      <c r="G746" t="n">
        <v>5</v>
      </c>
      <c r="H746" t="n">
        <v>0</v>
      </c>
      <c r="I746" t="n">
        <v>0</v>
      </c>
      <c r="J746" t="n">
        <v>0</v>
      </c>
      <c r="K746" t="n">
        <v>0</v>
      </c>
      <c r="L746" t="n">
        <v>0</v>
      </c>
      <c r="M746" t="n">
        <v>0</v>
      </c>
      <c r="N746" t="n">
        <v>0</v>
      </c>
      <c r="O746" t="n">
        <v>0</v>
      </c>
      <c r="P746" t="n">
        <v>0</v>
      </c>
      <c r="Q746" t="n">
        <v>0</v>
      </c>
      <c r="R746" s="2" t="inlineStr"/>
    </row>
    <row r="747" ht="15" customHeight="1">
      <c r="A747" t="inlineStr">
        <is>
          <t>A 3292-2026</t>
        </is>
      </c>
      <c r="B747" s="1" t="n">
        <v>46041</v>
      </c>
      <c r="C747" s="1" t="n">
        <v>46107</v>
      </c>
      <c r="D747" t="inlineStr">
        <is>
          <t>KALMAR LÄN</t>
        </is>
      </c>
      <c r="E747" t="inlineStr">
        <is>
          <t>VIMMERBY</t>
        </is>
      </c>
      <c r="G747" t="n">
        <v>3.9</v>
      </c>
      <c r="H747" t="n">
        <v>0</v>
      </c>
      <c r="I747" t="n">
        <v>0</v>
      </c>
      <c r="J747" t="n">
        <v>0</v>
      </c>
      <c r="K747" t="n">
        <v>0</v>
      </c>
      <c r="L747" t="n">
        <v>0</v>
      </c>
      <c r="M747" t="n">
        <v>0</v>
      </c>
      <c r="N747" t="n">
        <v>0</v>
      </c>
      <c r="O747" t="n">
        <v>0</v>
      </c>
      <c r="P747" t="n">
        <v>0</v>
      </c>
      <c r="Q747" t="n">
        <v>0</v>
      </c>
      <c r="R747" s="2" t="inlineStr"/>
    </row>
    <row r="748" ht="15" customHeight="1">
      <c r="A748" t="inlineStr">
        <is>
          <t>A 55436-2023</t>
        </is>
      </c>
      <c r="B748" s="1" t="n">
        <v>45238.4328587963</v>
      </c>
      <c r="C748" s="1" t="n">
        <v>46107</v>
      </c>
      <c r="D748" t="inlineStr">
        <is>
          <t>KALMAR LÄN</t>
        </is>
      </c>
      <c r="E748" t="inlineStr">
        <is>
          <t>VIMMERBY</t>
        </is>
      </c>
      <c r="G748" t="n">
        <v>5.6</v>
      </c>
      <c r="H748" t="n">
        <v>0</v>
      </c>
      <c r="I748" t="n">
        <v>0</v>
      </c>
      <c r="J748" t="n">
        <v>0</v>
      </c>
      <c r="K748" t="n">
        <v>0</v>
      </c>
      <c r="L748" t="n">
        <v>0</v>
      </c>
      <c r="M748" t="n">
        <v>0</v>
      </c>
      <c r="N748" t="n">
        <v>0</v>
      </c>
      <c r="O748" t="n">
        <v>0</v>
      </c>
      <c r="P748" t="n">
        <v>0</v>
      </c>
      <c r="Q748" t="n">
        <v>0</v>
      </c>
      <c r="R748" s="2" t="inlineStr"/>
    </row>
    <row r="749" ht="15" customHeight="1">
      <c r="A749" t="inlineStr">
        <is>
          <t>A 21507-2023</t>
        </is>
      </c>
      <c r="B749" s="1" t="n">
        <v>45063.508125</v>
      </c>
      <c r="C749" s="1" t="n">
        <v>46107</v>
      </c>
      <c r="D749" t="inlineStr">
        <is>
          <t>KALMAR LÄN</t>
        </is>
      </c>
      <c r="E749" t="inlineStr">
        <is>
          <t>VIMMERBY</t>
        </is>
      </c>
      <c r="G749" t="n">
        <v>2.8</v>
      </c>
      <c r="H749" t="n">
        <v>0</v>
      </c>
      <c r="I749" t="n">
        <v>0</v>
      </c>
      <c r="J749" t="n">
        <v>0</v>
      </c>
      <c r="K749" t="n">
        <v>0</v>
      </c>
      <c r="L749" t="n">
        <v>0</v>
      </c>
      <c r="M749" t="n">
        <v>0</v>
      </c>
      <c r="N749" t="n">
        <v>0</v>
      </c>
      <c r="O749" t="n">
        <v>0</v>
      </c>
      <c r="P749" t="n">
        <v>0</v>
      </c>
      <c r="Q749" t="n">
        <v>0</v>
      </c>
      <c r="R749" s="2" t="inlineStr"/>
    </row>
    <row r="750" ht="15" customHeight="1">
      <c r="A750" t="inlineStr">
        <is>
          <t>A 51187-2023</t>
        </is>
      </c>
      <c r="B750" s="1" t="n">
        <v>45219.40528935185</v>
      </c>
      <c r="C750" s="1" t="n">
        <v>46107</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35270-2025</t>
        </is>
      </c>
      <c r="B751" s="1" t="n">
        <v>45853.87112268519</v>
      </c>
      <c r="C751" s="1" t="n">
        <v>46107</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35271-2025</t>
        </is>
      </c>
      <c r="B752" s="1" t="n">
        <v>45853.87599537037</v>
      </c>
      <c r="C752" s="1" t="n">
        <v>46107</v>
      </c>
      <c r="D752" t="inlineStr">
        <is>
          <t>KALMAR LÄN</t>
        </is>
      </c>
      <c r="E752" t="inlineStr">
        <is>
          <t>VIMMERBY</t>
        </is>
      </c>
      <c r="G752" t="n">
        <v>0.4</v>
      </c>
      <c r="H752" t="n">
        <v>0</v>
      </c>
      <c r="I752" t="n">
        <v>0</v>
      </c>
      <c r="J752" t="n">
        <v>0</v>
      </c>
      <c r="K752" t="n">
        <v>0</v>
      </c>
      <c r="L752" t="n">
        <v>0</v>
      </c>
      <c r="M752" t="n">
        <v>0</v>
      </c>
      <c r="N752" t="n">
        <v>0</v>
      </c>
      <c r="O752" t="n">
        <v>0</v>
      </c>
      <c r="P752" t="n">
        <v>0</v>
      </c>
      <c r="Q752" t="n">
        <v>0</v>
      </c>
      <c r="R752" s="2" t="inlineStr"/>
    </row>
    <row r="753" ht="15" customHeight="1">
      <c r="A753" t="inlineStr">
        <is>
          <t>A 35272-2025</t>
        </is>
      </c>
      <c r="B753" s="1" t="n">
        <v>45853.88070601852</v>
      </c>
      <c r="C753" s="1" t="n">
        <v>46107</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16953-2025</t>
        </is>
      </c>
      <c r="B754" s="1" t="n">
        <v>45755.44333333334</v>
      </c>
      <c r="C754" s="1" t="n">
        <v>46107</v>
      </c>
      <c r="D754" t="inlineStr">
        <is>
          <t>KALMAR LÄN</t>
        </is>
      </c>
      <c r="E754" t="inlineStr">
        <is>
          <t>VIMMERBY</t>
        </is>
      </c>
      <c r="G754" t="n">
        <v>2</v>
      </c>
      <c r="H754" t="n">
        <v>0</v>
      </c>
      <c r="I754" t="n">
        <v>0</v>
      </c>
      <c r="J754" t="n">
        <v>0</v>
      </c>
      <c r="K754" t="n">
        <v>0</v>
      </c>
      <c r="L754" t="n">
        <v>0</v>
      </c>
      <c r="M754" t="n">
        <v>0</v>
      </c>
      <c r="N754" t="n">
        <v>0</v>
      </c>
      <c r="O754" t="n">
        <v>0</v>
      </c>
      <c r="P754" t="n">
        <v>0</v>
      </c>
      <c r="Q754" t="n">
        <v>0</v>
      </c>
      <c r="R754" s="2" t="inlineStr"/>
    </row>
    <row r="755" ht="15" customHeight="1">
      <c r="A755" t="inlineStr">
        <is>
          <t>A 13290-2025</t>
        </is>
      </c>
      <c r="B755" s="1" t="n">
        <v>45735.56751157407</v>
      </c>
      <c r="C755" s="1" t="n">
        <v>46107</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45560-2021</t>
        </is>
      </c>
      <c r="B756" s="1" t="n">
        <v>44440</v>
      </c>
      <c r="C756" s="1" t="n">
        <v>46107</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35597-2025</t>
        </is>
      </c>
      <c r="B757" s="1" t="n">
        <v>45858.66019675926</v>
      </c>
      <c r="C757" s="1" t="n">
        <v>46107</v>
      </c>
      <c r="D757" t="inlineStr">
        <is>
          <t>KALMAR LÄN</t>
        </is>
      </c>
      <c r="E757" t="inlineStr">
        <is>
          <t>VIMMERBY</t>
        </is>
      </c>
      <c r="G757" t="n">
        <v>6.4</v>
      </c>
      <c r="H757" t="n">
        <v>0</v>
      </c>
      <c r="I757" t="n">
        <v>0</v>
      </c>
      <c r="J757" t="n">
        <v>0</v>
      </c>
      <c r="K757" t="n">
        <v>0</v>
      </c>
      <c r="L757" t="n">
        <v>0</v>
      </c>
      <c r="M757" t="n">
        <v>0</v>
      </c>
      <c r="N757" t="n">
        <v>0</v>
      </c>
      <c r="O757" t="n">
        <v>0</v>
      </c>
      <c r="P757" t="n">
        <v>0</v>
      </c>
      <c r="Q757" t="n">
        <v>0</v>
      </c>
      <c r="R757" s="2" t="inlineStr"/>
    </row>
    <row r="758" ht="15" customHeight="1">
      <c r="A758" t="inlineStr">
        <is>
          <t>A 16622-2025</t>
        </is>
      </c>
      <c r="B758" s="1" t="n">
        <v>45754.33641203704</v>
      </c>
      <c r="C758" s="1" t="n">
        <v>46107</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3965-2026</t>
        </is>
      </c>
      <c r="B759" s="1" t="n">
        <v>46044.34563657407</v>
      </c>
      <c r="C759" s="1" t="n">
        <v>46107</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35596-2025</t>
        </is>
      </c>
      <c r="B760" s="1" t="n">
        <v>45858.60641203704</v>
      </c>
      <c r="C760" s="1" t="n">
        <v>46107</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3868-2026</t>
        </is>
      </c>
      <c r="B761" s="1" t="n">
        <v>46043.6360300926</v>
      </c>
      <c r="C761" s="1" t="n">
        <v>46107</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3869-2026</t>
        </is>
      </c>
      <c r="B762" s="1" t="n">
        <v>46043.63940972222</v>
      </c>
      <c r="C762" s="1" t="n">
        <v>46107</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19502-2025</t>
        </is>
      </c>
      <c r="B763" s="1" t="n">
        <v>45769</v>
      </c>
      <c r="C763" s="1" t="n">
        <v>46107</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11798-2026</t>
        </is>
      </c>
      <c r="B764" s="1" t="n">
        <v>46085.34020833333</v>
      </c>
      <c r="C764" s="1" t="n">
        <v>46107</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36273-2025</t>
        </is>
      </c>
      <c r="B765" s="1" t="n">
        <v>45867.63094907408</v>
      </c>
      <c r="C765" s="1" t="n">
        <v>46107</v>
      </c>
      <c r="D765" t="inlineStr">
        <is>
          <t>KALMAR LÄN</t>
        </is>
      </c>
      <c r="E765" t="inlineStr">
        <is>
          <t>VIMMERBY</t>
        </is>
      </c>
      <c r="G765" t="n">
        <v>1.7</v>
      </c>
      <c r="H765" t="n">
        <v>0</v>
      </c>
      <c r="I765" t="n">
        <v>0</v>
      </c>
      <c r="J765" t="n">
        <v>0</v>
      </c>
      <c r="K765" t="n">
        <v>0</v>
      </c>
      <c r="L765" t="n">
        <v>0</v>
      </c>
      <c r="M765" t="n">
        <v>0</v>
      </c>
      <c r="N765" t="n">
        <v>0</v>
      </c>
      <c r="O765" t="n">
        <v>0</v>
      </c>
      <c r="P765" t="n">
        <v>0</v>
      </c>
      <c r="Q765" t="n">
        <v>0</v>
      </c>
      <c r="R765" s="2" t="inlineStr"/>
    </row>
    <row r="766" ht="15" customHeight="1">
      <c r="A766" t="inlineStr">
        <is>
          <t>A 36299-2025</t>
        </is>
      </c>
      <c r="B766" s="1" t="n">
        <v>45867.69346064814</v>
      </c>
      <c r="C766" s="1" t="n">
        <v>46107</v>
      </c>
      <c r="D766" t="inlineStr">
        <is>
          <t>KALMAR LÄN</t>
        </is>
      </c>
      <c r="E766" t="inlineStr">
        <is>
          <t>VIMMERBY</t>
        </is>
      </c>
      <c r="G766" t="n">
        <v>7.6</v>
      </c>
      <c r="H766" t="n">
        <v>0</v>
      </c>
      <c r="I766" t="n">
        <v>0</v>
      </c>
      <c r="J766" t="n">
        <v>0</v>
      </c>
      <c r="K766" t="n">
        <v>0</v>
      </c>
      <c r="L766" t="n">
        <v>0</v>
      </c>
      <c r="M766" t="n">
        <v>0</v>
      </c>
      <c r="N766" t="n">
        <v>0</v>
      </c>
      <c r="O766" t="n">
        <v>0</v>
      </c>
      <c r="P766" t="n">
        <v>0</v>
      </c>
      <c r="Q766" t="n">
        <v>0</v>
      </c>
      <c r="R766" s="2" t="inlineStr"/>
    </row>
    <row r="767" ht="15" customHeight="1">
      <c r="A767" t="inlineStr">
        <is>
          <t>A 36221-2025</t>
        </is>
      </c>
      <c r="B767" s="1" t="n">
        <v>45867.50792824074</v>
      </c>
      <c r="C767" s="1" t="n">
        <v>46107</v>
      </c>
      <c r="D767" t="inlineStr">
        <is>
          <t>KALMAR LÄN</t>
        </is>
      </c>
      <c r="E767" t="inlineStr">
        <is>
          <t>VIMMERBY</t>
        </is>
      </c>
      <c r="G767" t="n">
        <v>2.5</v>
      </c>
      <c r="H767" t="n">
        <v>0</v>
      </c>
      <c r="I767" t="n">
        <v>0</v>
      </c>
      <c r="J767" t="n">
        <v>0</v>
      </c>
      <c r="K767" t="n">
        <v>0</v>
      </c>
      <c r="L767" t="n">
        <v>0</v>
      </c>
      <c r="M767" t="n">
        <v>0</v>
      </c>
      <c r="N767" t="n">
        <v>0</v>
      </c>
      <c r="O767" t="n">
        <v>0</v>
      </c>
      <c r="P767" t="n">
        <v>0</v>
      </c>
      <c r="Q767" t="n">
        <v>0</v>
      </c>
      <c r="R767" s="2" t="inlineStr"/>
    </row>
    <row r="768" ht="15" customHeight="1">
      <c r="A768" t="inlineStr">
        <is>
          <t>A 36226-2025</t>
        </is>
      </c>
      <c r="B768" s="1" t="n">
        <v>45867.51630787037</v>
      </c>
      <c r="C768" s="1" t="n">
        <v>46107</v>
      </c>
      <c r="D768" t="inlineStr">
        <is>
          <t>KALMAR LÄN</t>
        </is>
      </c>
      <c r="E768" t="inlineStr">
        <is>
          <t>VIMMERBY</t>
        </is>
      </c>
      <c r="G768" t="n">
        <v>3.1</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46107</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36297-2025</t>
        </is>
      </c>
      <c r="B770" s="1" t="n">
        <v>45867.68625</v>
      </c>
      <c r="C770" s="1" t="n">
        <v>46107</v>
      </c>
      <c r="D770" t="inlineStr">
        <is>
          <t>KALMAR LÄN</t>
        </is>
      </c>
      <c r="E770" t="inlineStr">
        <is>
          <t>VIMMERBY</t>
        </is>
      </c>
      <c r="G770" t="n">
        <v>4.9</v>
      </c>
      <c r="H770" t="n">
        <v>0</v>
      </c>
      <c r="I770" t="n">
        <v>0</v>
      </c>
      <c r="J770" t="n">
        <v>0</v>
      </c>
      <c r="K770" t="n">
        <v>0</v>
      </c>
      <c r="L770" t="n">
        <v>0</v>
      </c>
      <c r="M770" t="n">
        <v>0</v>
      </c>
      <c r="N770" t="n">
        <v>0</v>
      </c>
      <c r="O770" t="n">
        <v>0</v>
      </c>
      <c r="P770" t="n">
        <v>0</v>
      </c>
      <c r="Q770" t="n">
        <v>0</v>
      </c>
      <c r="R770" s="2" t="inlineStr"/>
    </row>
    <row r="771" ht="15" customHeight="1">
      <c r="A771" t="inlineStr">
        <is>
          <t>A 29168-2024</t>
        </is>
      </c>
      <c r="B771" s="1" t="n">
        <v>45482.49870370371</v>
      </c>
      <c r="C771" s="1" t="n">
        <v>46107</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36246-2025</t>
        </is>
      </c>
      <c r="B772" s="1" t="n">
        <v>45867.56320601852</v>
      </c>
      <c r="C772" s="1" t="n">
        <v>46107</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29186-2024</t>
        </is>
      </c>
      <c r="B773" s="1" t="n">
        <v>45482.54844907407</v>
      </c>
      <c r="C773" s="1" t="n">
        <v>46107</v>
      </c>
      <c r="D773" t="inlineStr">
        <is>
          <t>KALMAR LÄN</t>
        </is>
      </c>
      <c r="E773" t="inlineStr">
        <is>
          <t>VIMMERBY</t>
        </is>
      </c>
      <c r="G773" t="n">
        <v>2.6</v>
      </c>
      <c r="H773" t="n">
        <v>0</v>
      </c>
      <c r="I773" t="n">
        <v>0</v>
      </c>
      <c r="J773" t="n">
        <v>0</v>
      </c>
      <c r="K773" t="n">
        <v>0</v>
      </c>
      <c r="L773" t="n">
        <v>0</v>
      </c>
      <c r="M773" t="n">
        <v>0</v>
      </c>
      <c r="N773" t="n">
        <v>0</v>
      </c>
      <c r="O773" t="n">
        <v>0</v>
      </c>
      <c r="P773" t="n">
        <v>0</v>
      </c>
      <c r="Q773" t="n">
        <v>0</v>
      </c>
      <c r="R773" s="2" t="inlineStr"/>
    </row>
    <row r="774" ht="15" customHeight="1">
      <c r="A774" t="inlineStr">
        <is>
          <t>A 36282-2025</t>
        </is>
      </c>
      <c r="B774" s="1" t="n">
        <v>45867.64663194444</v>
      </c>
      <c r="C774" s="1" t="n">
        <v>46107</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35895-2024</t>
        </is>
      </c>
      <c r="B775" s="1" t="n">
        <v>45533.38870370371</v>
      </c>
      <c r="C775" s="1" t="n">
        <v>46107</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36538-2025</t>
        </is>
      </c>
      <c r="B776" s="1" t="n">
        <v>45869.62276620371</v>
      </c>
      <c r="C776" s="1" t="n">
        <v>46107</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12590-2025</t>
        </is>
      </c>
      <c r="B777" s="1" t="n">
        <v>45732.79925925926</v>
      </c>
      <c r="C777" s="1" t="n">
        <v>46107</v>
      </c>
      <c r="D777" t="inlineStr">
        <is>
          <t>KALMAR LÄN</t>
        </is>
      </c>
      <c r="E777" t="inlineStr">
        <is>
          <t>VIMMERBY</t>
        </is>
      </c>
      <c r="G777" t="n">
        <v>0.8</v>
      </c>
      <c r="H777" t="n">
        <v>0</v>
      </c>
      <c r="I777" t="n">
        <v>0</v>
      </c>
      <c r="J777" t="n">
        <v>0</v>
      </c>
      <c r="K777" t="n">
        <v>0</v>
      </c>
      <c r="L777" t="n">
        <v>0</v>
      </c>
      <c r="M777" t="n">
        <v>0</v>
      </c>
      <c r="N777" t="n">
        <v>0</v>
      </c>
      <c r="O777" t="n">
        <v>0</v>
      </c>
      <c r="P777" t="n">
        <v>0</v>
      </c>
      <c r="Q777" t="n">
        <v>0</v>
      </c>
      <c r="R777" s="2" t="inlineStr"/>
    </row>
    <row r="778" ht="15" customHeight="1">
      <c r="A778" t="inlineStr">
        <is>
          <t>A 36598-2025</t>
        </is>
      </c>
      <c r="B778" s="1" t="n">
        <v>45870.51708333333</v>
      </c>
      <c r="C778" s="1" t="n">
        <v>46107</v>
      </c>
      <c r="D778" t="inlineStr">
        <is>
          <t>KALMAR LÄN</t>
        </is>
      </c>
      <c r="E778" t="inlineStr">
        <is>
          <t>VIMMERBY</t>
        </is>
      </c>
      <c r="G778" t="n">
        <v>3.7</v>
      </c>
      <c r="H778" t="n">
        <v>0</v>
      </c>
      <c r="I778" t="n">
        <v>0</v>
      </c>
      <c r="J778" t="n">
        <v>0</v>
      </c>
      <c r="K778" t="n">
        <v>0</v>
      </c>
      <c r="L778" t="n">
        <v>0</v>
      </c>
      <c r="M778" t="n">
        <v>0</v>
      </c>
      <c r="N778" t="n">
        <v>0</v>
      </c>
      <c r="O778" t="n">
        <v>0</v>
      </c>
      <c r="P778" t="n">
        <v>0</v>
      </c>
      <c r="Q778" t="n">
        <v>0</v>
      </c>
      <c r="R778" s="2" t="inlineStr"/>
    </row>
    <row r="779" ht="15" customHeight="1">
      <c r="A779" t="inlineStr">
        <is>
          <t>A 36602-2025</t>
        </is>
      </c>
      <c r="B779" s="1" t="n">
        <v>45870.52111111111</v>
      </c>
      <c r="C779" s="1" t="n">
        <v>46107</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36600-2025</t>
        </is>
      </c>
      <c r="B780" s="1" t="n">
        <v>45870.51958333333</v>
      </c>
      <c r="C780" s="1" t="n">
        <v>46107</v>
      </c>
      <c r="D780" t="inlineStr">
        <is>
          <t>KALMAR LÄN</t>
        </is>
      </c>
      <c r="E780" t="inlineStr">
        <is>
          <t>VIMMERBY</t>
        </is>
      </c>
      <c r="G780" t="n">
        <v>2</v>
      </c>
      <c r="H780" t="n">
        <v>0</v>
      </c>
      <c r="I780" t="n">
        <v>0</v>
      </c>
      <c r="J780" t="n">
        <v>0</v>
      </c>
      <c r="K780" t="n">
        <v>0</v>
      </c>
      <c r="L780" t="n">
        <v>0</v>
      </c>
      <c r="M780" t="n">
        <v>0</v>
      </c>
      <c r="N780" t="n">
        <v>0</v>
      </c>
      <c r="O780" t="n">
        <v>0</v>
      </c>
      <c r="P780" t="n">
        <v>0</v>
      </c>
      <c r="Q780" t="n">
        <v>0</v>
      </c>
      <c r="R780" s="2" t="inlineStr"/>
    </row>
    <row r="781" ht="15" customHeight="1">
      <c r="A781" t="inlineStr">
        <is>
          <t>A 36601-2025</t>
        </is>
      </c>
      <c r="B781" s="1" t="n">
        <v>45870.52005787037</v>
      </c>
      <c r="C781" s="1" t="n">
        <v>46107</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36603-2025</t>
        </is>
      </c>
      <c r="B782" s="1" t="n">
        <v>45870.52142361111</v>
      </c>
      <c r="C782" s="1" t="n">
        <v>46107</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30318-2023</t>
        </is>
      </c>
      <c r="B783" s="1" t="n">
        <v>45111.30824074074</v>
      </c>
      <c r="C783" s="1" t="n">
        <v>46107</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43186-2021</t>
        </is>
      </c>
      <c r="B784" s="1" t="n">
        <v>44431.84840277778</v>
      </c>
      <c r="C784" s="1" t="n">
        <v>46107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60215-2022</t>
        </is>
      </c>
      <c r="B785" s="1" t="n">
        <v>44910.41346064815</v>
      </c>
      <c r="C785" s="1" t="n">
        <v>46107</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60230-2022</t>
        </is>
      </c>
      <c r="B786" s="1" t="n">
        <v>44910</v>
      </c>
      <c r="C786" s="1" t="n">
        <v>46107</v>
      </c>
      <c r="D786" t="inlineStr">
        <is>
          <t>KALMAR LÄN</t>
        </is>
      </c>
      <c r="E786" t="inlineStr">
        <is>
          <t>VIMMERBY</t>
        </is>
      </c>
      <c r="G786" t="n">
        <v>11.3</v>
      </c>
      <c r="H786" t="n">
        <v>0</v>
      </c>
      <c r="I786" t="n">
        <v>0</v>
      </c>
      <c r="J786" t="n">
        <v>0</v>
      </c>
      <c r="K786" t="n">
        <v>0</v>
      </c>
      <c r="L786" t="n">
        <v>0</v>
      </c>
      <c r="M786" t="n">
        <v>0</v>
      </c>
      <c r="N786" t="n">
        <v>0</v>
      </c>
      <c r="O786" t="n">
        <v>0</v>
      </c>
      <c r="P786" t="n">
        <v>0</v>
      </c>
      <c r="Q786" t="n">
        <v>0</v>
      </c>
      <c r="R786" s="2" t="inlineStr"/>
    </row>
    <row r="787" ht="15" customHeight="1">
      <c r="A787" t="inlineStr">
        <is>
          <t>A 36934-2025</t>
        </is>
      </c>
      <c r="B787" s="1" t="n">
        <v>45874.57109953704</v>
      </c>
      <c r="C787" s="1" t="n">
        <v>46107</v>
      </c>
      <c r="D787" t="inlineStr">
        <is>
          <t>KALMAR LÄN</t>
        </is>
      </c>
      <c r="E787" t="inlineStr">
        <is>
          <t>VIMMERBY</t>
        </is>
      </c>
      <c r="G787" t="n">
        <v>4.2</v>
      </c>
      <c r="H787" t="n">
        <v>0</v>
      </c>
      <c r="I787" t="n">
        <v>0</v>
      </c>
      <c r="J787" t="n">
        <v>0</v>
      </c>
      <c r="K787" t="n">
        <v>0</v>
      </c>
      <c r="L787" t="n">
        <v>0</v>
      </c>
      <c r="M787" t="n">
        <v>0</v>
      </c>
      <c r="N787" t="n">
        <v>0</v>
      </c>
      <c r="O787" t="n">
        <v>0</v>
      </c>
      <c r="P787" t="n">
        <v>0</v>
      </c>
      <c r="Q787" t="n">
        <v>0</v>
      </c>
      <c r="R787" s="2" t="inlineStr"/>
    </row>
    <row r="788" ht="15" customHeight="1">
      <c r="A788" t="inlineStr">
        <is>
          <t>A 5925-2022</t>
        </is>
      </c>
      <c r="B788" s="1" t="n">
        <v>44598.7384837963</v>
      </c>
      <c r="C788" s="1" t="n">
        <v>46107</v>
      </c>
      <c r="D788" t="inlineStr">
        <is>
          <t>KALMAR LÄN</t>
        </is>
      </c>
      <c r="E788" t="inlineStr">
        <is>
          <t>VIMMERBY</t>
        </is>
      </c>
      <c r="G788" t="n">
        <v>2.1</v>
      </c>
      <c r="H788" t="n">
        <v>0</v>
      </c>
      <c r="I788" t="n">
        <v>0</v>
      </c>
      <c r="J788" t="n">
        <v>0</v>
      </c>
      <c r="K788" t="n">
        <v>0</v>
      </c>
      <c r="L788" t="n">
        <v>0</v>
      </c>
      <c r="M788" t="n">
        <v>0</v>
      </c>
      <c r="N788" t="n">
        <v>0</v>
      </c>
      <c r="O788" t="n">
        <v>0</v>
      </c>
      <c r="P788" t="n">
        <v>0</v>
      </c>
      <c r="Q788" t="n">
        <v>0</v>
      </c>
      <c r="R788" s="2" t="inlineStr"/>
    </row>
    <row r="789" ht="15" customHeight="1">
      <c r="A789" t="inlineStr">
        <is>
          <t>A 845-2023</t>
        </is>
      </c>
      <c r="B789" s="1" t="n">
        <v>44931</v>
      </c>
      <c r="C789" s="1" t="n">
        <v>46107</v>
      </c>
      <c r="D789" t="inlineStr">
        <is>
          <t>KALMAR LÄN</t>
        </is>
      </c>
      <c r="E789" t="inlineStr">
        <is>
          <t>VIMMERBY</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37088-2025</t>
        </is>
      </c>
      <c r="B790" s="1" t="n">
        <v>45875.45716435185</v>
      </c>
      <c r="C790" s="1" t="n">
        <v>46107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37102-2025</t>
        </is>
      </c>
      <c r="B791" s="1" t="n">
        <v>45875.47454861111</v>
      </c>
      <c r="C791" s="1" t="n">
        <v>46107</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16119-2023</t>
        </is>
      </c>
      <c r="B792" s="1" t="n">
        <v>45027.59450231482</v>
      </c>
      <c r="C792" s="1" t="n">
        <v>46107</v>
      </c>
      <c r="D792" t="inlineStr">
        <is>
          <t>KALMAR LÄN</t>
        </is>
      </c>
      <c r="E792" t="inlineStr">
        <is>
          <t>VIMMERBY</t>
        </is>
      </c>
      <c r="F792" t="inlineStr">
        <is>
          <t>Kommuner</t>
        </is>
      </c>
      <c r="G792" t="n">
        <v>4.4</v>
      </c>
      <c r="H792" t="n">
        <v>0</v>
      </c>
      <c r="I792" t="n">
        <v>0</v>
      </c>
      <c r="J792" t="n">
        <v>0</v>
      </c>
      <c r="K792" t="n">
        <v>0</v>
      </c>
      <c r="L792" t="n">
        <v>0</v>
      </c>
      <c r="M792" t="n">
        <v>0</v>
      </c>
      <c r="N792" t="n">
        <v>0</v>
      </c>
      <c r="O792" t="n">
        <v>0</v>
      </c>
      <c r="P792" t="n">
        <v>0</v>
      </c>
      <c r="Q792" t="n">
        <v>0</v>
      </c>
      <c r="R792" s="2" t="inlineStr"/>
    </row>
    <row r="793" ht="15" customHeight="1">
      <c r="A793" t="inlineStr">
        <is>
          <t>A 30588-2023</t>
        </is>
      </c>
      <c r="B793" s="1" t="n">
        <v>45112.33599537037</v>
      </c>
      <c r="C793" s="1" t="n">
        <v>46107</v>
      </c>
      <c r="D793" t="inlineStr">
        <is>
          <t>KALMAR LÄN</t>
        </is>
      </c>
      <c r="E793" t="inlineStr">
        <is>
          <t>VIMMERBY</t>
        </is>
      </c>
      <c r="G793" t="n">
        <v>2.7</v>
      </c>
      <c r="H793" t="n">
        <v>0</v>
      </c>
      <c r="I793" t="n">
        <v>0</v>
      </c>
      <c r="J793" t="n">
        <v>0</v>
      </c>
      <c r="K793" t="n">
        <v>0</v>
      </c>
      <c r="L793" t="n">
        <v>0</v>
      </c>
      <c r="M793" t="n">
        <v>0</v>
      </c>
      <c r="N793" t="n">
        <v>0</v>
      </c>
      <c r="O793" t="n">
        <v>0</v>
      </c>
      <c r="P793" t="n">
        <v>0</v>
      </c>
      <c r="Q793" t="n">
        <v>0</v>
      </c>
      <c r="R793" s="2" t="inlineStr"/>
    </row>
    <row r="794" ht="15" customHeight="1">
      <c r="A794" t="inlineStr">
        <is>
          <t>A 37079-2025</t>
        </is>
      </c>
      <c r="B794" s="1" t="n">
        <v>45875.42716435185</v>
      </c>
      <c r="C794" s="1" t="n">
        <v>46107</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37668-2025</t>
        </is>
      </c>
      <c r="B795" s="1" t="n">
        <v>45880.51550925926</v>
      </c>
      <c r="C795" s="1" t="n">
        <v>46107</v>
      </c>
      <c r="D795" t="inlineStr">
        <is>
          <t>KALMAR LÄN</t>
        </is>
      </c>
      <c r="E795" t="inlineStr">
        <is>
          <t>VIMMERBY</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37578-2025</t>
        </is>
      </c>
      <c r="B796" s="1" t="n">
        <v>45880.38380787037</v>
      </c>
      <c r="C796" s="1" t="n">
        <v>46107</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45528-2021</t>
        </is>
      </c>
      <c r="B797" s="1" t="n">
        <v>44440.60415509259</v>
      </c>
      <c r="C797" s="1" t="n">
        <v>46107</v>
      </c>
      <c r="D797" t="inlineStr">
        <is>
          <t>KALMAR LÄN</t>
        </is>
      </c>
      <c r="E797" t="inlineStr">
        <is>
          <t>VIMMERBY</t>
        </is>
      </c>
      <c r="G797" t="n">
        <v>2.2</v>
      </c>
      <c r="H797" t="n">
        <v>0</v>
      </c>
      <c r="I797" t="n">
        <v>0</v>
      </c>
      <c r="J797" t="n">
        <v>0</v>
      </c>
      <c r="K797" t="n">
        <v>0</v>
      </c>
      <c r="L797" t="n">
        <v>0</v>
      </c>
      <c r="M797" t="n">
        <v>0</v>
      </c>
      <c r="N797" t="n">
        <v>0</v>
      </c>
      <c r="O797" t="n">
        <v>0</v>
      </c>
      <c r="P797" t="n">
        <v>0</v>
      </c>
      <c r="Q797" t="n">
        <v>0</v>
      </c>
      <c r="R797" s="2" t="inlineStr"/>
    </row>
    <row r="798" ht="15" customHeight="1">
      <c r="A798" t="inlineStr">
        <is>
          <t>A 12821-2026</t>
        </is>
      </c>
      <c r="B798" s="1" t="n">
        <v>46092.41256944444</v>
      </c>
      <c r="C798" s="1" t="n">
        <v>46107</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12820-2026</t>
        </is>
      </c>
      <c r="B799" s="1" t="n">
        <v>46092.40909722223</v>
      </c>
      <c r="C799" s="1" t="n">
        <v>46107</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12825-2026</t>
        </is>
      </c>
      <c r="B800" s="1" t="n">
        <v>46092.41561342592</v>
      </c>
      <c r="C800" s="1" t="n">
        <v>46107</v>
      </c>
      <c r="D800" t="inlineStr">
        <is>
          <t>KALMAR LÄN</t>
        </is>
      </c>
      <c r="E800" t="inlineStr">
        <is>
          <t>VIMMERBY</t>
        </is>
      </c>
      <c r="G800" t="n">
        <v>2.6</v>
      </c>
      <c r="H800" t="n">
        <v>0</v>
      </c>
      <c r="I800" t="n">
        <v>0</v>
      </c>
      <c r="J800" t="n">
        <v>0</v>
      </c>
      <c r="K800" t="n">
        <v>0</v>
      </c>
      <c r="L800" t="n">
        <v>0</v>
      </c>
      <c r="M800" t="n">
        <v>0</v>
      </c>
      <c r="N800" t="n">
        <v>0</v>
      </c>
      <c r="O800" t="n">
        <v>0</v>
      </c>
      <c r="P800" t="n">
        <v>0</v>
      </c>
      <c r="Q800" t="n">
        <v>0</v>
      </c>
      <c r="R800" s="2" t="inlineStr"/>
    </row>
    <row r="801" ht="15" customHeight="1">
      <c r="A801" t="inlineStr">
        <is>
          <t>A 16516-2023</t>
        </is>
      </c>
      <c r="B801" s="1" t="n">
        <v>45029</v>
      </c>
      <c r="C801" s="1" t="n">
        <v>46107</v>
      </c>
      <c r="D801" t="inlineStr">
        <is>
          <t>KALMAR LÄN</t>
        </is>
      </c>
      <c r="E801" t="inlineStr">
        <is>
          <t>VIMMERBY</t>
        </is>
      </c>
      <c r="G801" t="n">
        <v>4.3</v>
      </c>
      <c r="H801" t="n">
        <v>0</v>
      </c>
      <c r="I801" t="n">
        <v>0</v>
      </c>
      <c r="J801" t="n">
        <v>0</v>
      </c>
      <c r="K801" t="n">
        <v>0</v>
      </c>
      <c r="L801" t="n">
        <v>0</v>
      </c>
      <c r="M801" t="n">
        <v>0</v>
      </c>
      <c r="N801" t="n">
        <v>0</v>
      </c>
      <c r="O801" t="n">
        <v>0</v>
      </c>
      <c r="P801" t="n">
        <v>0</v>
      </c>
      <c r="Q801" t="n">
        <v>0</v>
      </c>
      <c r="R801" s="2" t="inlineStr"/>
    </row>
    <row r="802" ht="15" customHeight="1">
      <c r="A802" t="inlineStr">
        <is>
          <t>A 2510-2023</t>
        </is>
      </c>
      <c r="B802" s="1" t="n">
        <v>44943.57309027778</v>
      </c>
      <c r="C802" s="1" t="n">
        <v>46107</v>
      </c>
      <c r="D802" t="inlineStr">
        <is>
          <t>KALMAR LÄN</t>
        </is>
      </c>
      <c r="E802" t="inlineStr">
        <is>
          <t>VIMMERBY</t>
        </is>
      </c>
      <c r="G802" t="n">
        <v>8.6</v>
      </c>
      <c r="H802" t="n">
        <v>0</v>
      </c>
      <c r="I802" t="n">
        <v>0</v>
      </c>
      <c r="J802" t="n">
        <v>0</v>
      </c>
      <c r="K802" t="n">
        <v>0</v>
      </c>
      <c r="L802" t="n">
        <v>0</v>
      </c>
      <c r="M802" t="n">
        <v>0</v>
      </c>
      <c r="N802" t="n">
        <v>0</v>
      </c>
      <c r="O802" t="n">
        <v>0</v>
      </c>
      <c r="P802" t="n">
        <v>0</v>
      </c>
      <c r="Q802" t="n">
        <v>0</v>
      </c>
      <c r="R802" s="2" t="inlineStr"/>
    </row>
    <row r="803" ht="15" customHeight="1">
      <c r="A803" t="inlineStr">
        <is>
          <t>A 12730-2026</t>
        </is>
      </c>
      <c r="B803" s="1" t="n">
        <v>46091</v>
      </c>
      <c r="C803" s="1" t="n">
        <v>46107</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48373-2021</t>
        </is>
      </c>
      <c r="B804" s="1" t="n">
        <v>44451</v>
      </c>
      <c r="C804" s="1" t="n">
        <v>46107</v>
      </c>
      <c r="D804" t="inlineStr">
        <is>
          <t>KALMAR LÄN</t>
        </is>
      </c>
      <c r="E804" t="inlineStr">
        <is>
          <t>VIMMERBY</t>
        </is>
      </c>
      <c r="G804" t="n">
        <v>2.2</v>
      </c>
      <c r="H804" t="n">
        <v>0</v>
      </c>
      <c r="I804" t="n">
        <v>0</v>
      </c>
      <c r="J804" t="n">
        <v>0</v>
      </c>
      <c r="K804" t="n">
        <v>0</v>
      </c>
      <c r="L804" t="n">
        <v>0</v>
      </c>
      <c r="M804" t="n">
        <v>0</v>
      </c>
      <c r="N804" t="n">
        <v>0</v>
      </c>
      <c r="O804" t="n">
        <v>0</v>
      </c>
      <c r="P804" t="n">
        <v>0</v>
      </c>
      <c r="Q804" t="n">
        <v>0</v>
      </c>
      <c r="R804" s="2" t="inlineStr"/>
    </row>
    <row r="805" ht="15" customHeight="1">
      <c r="A805" t="inlineStr">
        <is>
          <t>A 7485-2024</t>
        </is>
      </c>
      <c r="B805" s="1" t="n">
        <v>45346.67184027778</v>
      </c>
      <c r="C805" s="1" t="n">
        <v>46107</v>
      </c>
      <c r="D805" t="inlineStr">
        <is>
          <t>KALMAR LÄN</t>
        </is>
      </c>
      <c r="E805" t="inlineStr">
        <is>
          <t>VIMMERBY</t>
        </is>
      </c>
      <c r="G805" t="n">
        <v>1.9</v>
      </c>
      <c r="H805" t="n">
        <v>0</v>
      </c>
      <c r="I805" t="n">
        <v>0</v>
      </c>
      <c r="J805" t="n">
        <v>0</v>
      </c>
      <c r="K805" t="n">
        <v>0</v>
      </c>
      <c r="L805" t="n">
        <v>0</v>
      </c>
      <c r="M805" t="n">
        <v>0</v>
      </c>
      <c r="N805" t="n">
        <v>0</v>
      </c>
      <c r="O805" t="n">
        <v>0</v>
      </c>
      <c r="P805" t="n">
        <v>0</v>
      </c>
      <c r="Q805" t="n">
        <v>0</v>
      </c>
      <c r="R805" s="2" t="inlineStr"/>
    </row>
    <row r="806" ht="15" customHeight="1">
      <c r="A806" t="inlineStr">
        <is>
          <t>A 6574-2023</t>
        </is>
      </c>
      <c r="B806" s="1" t="n">
        <v>44966</v>
      </c>
      <c r="C806" s="1" t="n">
        <v>46107</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20054-2023</t>
        </is>
      </c>
      <c r="B807" s="1" t="n">
        <v>45054.6750462963</v>
      </c>
      <c r="C807" s="1" t="n">
        <v>46107</v>
      </c>
      <c r="D807" t="inlineStr">
        <is>
          <t>KALMAR LÄN</t>
        </is>
      </c>
      <c r="E807" t="inlineStr">
        <is>
          <t>VIMMERBY</t>
        </is>
      </c>
      <c r="G807" t="n">
        <v>2.4</v>
      </c>
      <c r="H807" t="n">
        <v>0</v>
      </c>
      <c r="I807" t="n">
        <v>0</v>
      </c>
      <c r="J807" t="n">
        <v>0</v>
      </c>
      <c r="K807" t="n">
        <v>0</v>
      </c>
      <c r="L807" t="n">
        <v>0</v>
      </c>
      <c r="M807" t="n">
        <v>0</v>
      </c>
      <c r="N807" t="n">
        <v>0</v>
      </c>
      <c r="O807" t="n">
        <v>0</v>
      </c>
      <c r="P807" t="n">
        <v>0</v>
      </c>
      <c r="Q807" t="n">
        <v>0</v>
      </c>
      <c r="R807" s="2" t="inlineStr"/>
    </row>
    <row r="808" ht="15" customHeight="1">
      <c r="A808" t="inlineStr">
        <is>
          <t>A 58750-2022</t>
        </is>
      </c>
      <c r="B808" s="1" t="n">
        <v>44903.33363425926</v>
      </c>
      <c r="C808" s="1" t="n">
        <v>46107</v>
      </c>
      <c r="D808" t="inlineStr">
        <is>
          <t>KALMAR LÄN</t>
        </is>
      </c>
      <c r="E808" t="inlineStr">
        <is>
          <t>VIMMERBY</t>
        </is>
      </c>
      <c r="G808" t="n">
        <v>3.3</v>
      </c>
      <c r="H808" t="n">
        <v>0</v>
      </c>
      <c r="I808" t="n">
        <v>0</v>
      </c>
      <c r="J808" t="n">
        <v>0</v>
      </c>
      <c r="K808" t="n">
        <v>0</v>
      </c>
      <c r="L808" t="n">
        <v>0</v>
      </c>
      <c r="M808" t="n">
        <v>0</v>
      </c>
      <c r="N808" t="n">
        <v>0</v>
      </c>
      <c r="O808" t="n">
        <v>0</v>
      </c>
      <c r="P808" t="n">
        <v>0</v>
      </c>
      <c r="Q808" t="n">
        <v>0</v>
      </c>
      <c r="R808" s="2" t="inlineStr"/>
    </row>
    <row r="809" ht="15" customHeight="1">
      <c r="A809" t="inlineStr">
        <is>
          <t>A 2260-2022</t>
        </is>
      </c>
      <c r="B809" s="1" t="n">
        <v>44578.62943287037</v>
      </c>
      <c r="C809" s="1" t="n">
        <v>46107</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13793-2026</t>
        </is>
      </c>
      <c r="B810" s="1" t="n">
        <v>46097.79199074074</v>
      </c>
      <c r="C810" s="1" t="n">
        <v>46107</v>
      </c>
      <c r="D810" t="inlineStr">
        <is>
          <t>KALMAR LÄN</t>
        </is>
      </c>
      <c r="E810" t="inlineStr">
        <is>
          <t>VIMMERBY</t>
        </is>
      </c>
      <c r="G810" t="n">
        <v>2.9</v>
      </c>
      <c r="H810" t="n">
        <v>0</v>
      </c>
      <c r="I810" t="n">
        <v>0</v>
      </c>
      <c r="J810" t="n">
        <v>0</v>
      </c>
      <c r="K810" t="n">
        <v>0</v>
      </c>
      <c r="L810" t="n">
        <v>0</v>
      </c>
      <c r="M810" t="n">
        <v>0</v>
      </c>
      <c r="N810" t="n">
        <v>0</v>
      </c>
      <c r="O810" t="n">
        <v>0</v>
      </c>
      <c r="P810" t="n">
        <v>0</v>
      </c>
      <c r="Q810" t="n">
        <v>0</v>
      </c>
      <c r="R810" s="2" t="inlineStr"/>
    </row>
    <row r="811" ht="15" customHeight="1">
      <c r="A811" t="inlineStr">
        <is>
          <t>A 50860-2022</t>
        </is>
      </c>
      <c r="B811" s="1" t="n">
        <v>44867</v>
      </c>
      <c r="C811" s="1" t="n">
        <v>46107</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53483-2022</t>
        </is>
      </c>
      <c r="B812" s="1" t="n">
        <v>44879.55940972222</v>
      </c>
      <c r="C812" s="1" t="n">
        <v>46107</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58962-2022</t>
        </is>
      </c>
      <c r="B813" s="1" t="n">
        <v>44903</v>
      </c>
      <c r="C813" s="1" t="n">
        <v>46107</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58967-2022</t>
        </is>
      </c>
      <c r="B814" s="1" t="n">
        <v>44896</v>
      </c>
      <c r="C814" s="1" t="n">
        <v>46107</v>
      </c>
      <c r="D814" t="inlineStr">
        <is>
          <t>KALMAR LÄN</t>
        </is>
      </c>
      <c r="E814" t="inlineStr">
        <is>
          <t>VIMMERBY</t>
        </is>
      </c>
      <c r="G814" t="n">
        <v>5</v>
      </c>
      <c r="H814" t="n">
        <v>0</v>
      </c>
      <c r="I814" t="n">
        <v>0</v>
      </c>
      <c r="J814" t="n">
        <v>0</v>
      </c>
      <c r="K814" t="n">
        <v>0</v>
      </c>
      <c r="L814" t="n">
        <v>0</v>
      </c>
      <c r="M814" t="n">
        <v>0</v>
      </c>
      <c r="N814" t="n">
        <v>0</v>
      </c>
      <c r="O814" t="n">
        <v>0</v>
      </c>
      <c r="P814" t="n">
        <v>0</v>
      </c>
      <c r="Q814" t="n">
        <v>0</v>
      </c>
      <c r="R814" s="2" t="inlineStr"/>
    </row>
    <row r="815" ht="15" customHeight="1">
      <c r="A815" t="inlineStr">
        <is>
          <t>A 57682-2022</t>
        </is>
      </c>
      <c r="B815" s="1" t="n">
        <v>44890</v>
      </c>
      <c r="C815" s="1" t="n">
        <v>46107</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13667-2026</t>
        </is>
      </c>
      <c r="B816" s="1" t="n">
        <v>46097</v>
      </c>
      <c r="C816" s="1" t="n">
        <v>46107</v>
      </c>
      <c r="D816" t="inlineStr">
        <is>
          <t>KALMAR LÄN</t>
        </is>
      </c>
      <c r="E816" t="inlineStr">
        <is>
          <t>VIMMERBY</t>
        </is>
      </c>
      <c r="G816" t="n">
        <v>6.8</v>
      </c>
      <c r="H816" t="n">
        <v>0</v>
      </c>
      <c r="I816" t="n">
        <v>0</v>
      </c>
      <c r="J816" t="n">
        <v>0</v>
      </c>
      <c r="K816" t="n">
        <v>0</v>
      </c>
      <c r="L816" t="n">
        <v>0</v>
      </c>
      <c r="M816" t="n">
        <v>0</v>
      </c>
      <c r="N816" t="n">
        <v>0</v>
      </c>
      <c r="O816" t="n">
        <v>0</v>
      </c>
      <c r="P816" t="n">
        <v>0</v>
      </c>
      <c r="Q816" t="n">
        <v>0</v>
      </c>
      <c r="R816" s="2" t="inlineStr"/>
    </row>
    <row r="817" ht="15" customHeight="1">
      <c r="A817" t="inlineStr">
        <is>
          <t>A 13714-2026</t>
        </is>
      </c>
      <c r="B817" s="1" t="n">
        <v>46097.58472222222</v>
      </c>
      <c r="C817" s="1" t="n">
        <v>46107</v>
      </c>
      <c r="D817" t="inlineStr">
        <is>
          <t>KALMAR LÄN</t>
        </is>
      </c>
      <c r="E817" t="inlineStr">
        <is>
          <t>VIMMERBY</t>
        </is>
      </c>
      <c r="G817" t="n">
        <v>0.7</v>
      </c>
      <c r="H817" t="n">
        <v>0</v>
      </c>
      <c r="I817" t="n">
        <v>0</v>
      </c>
      <c r="J817" t="n">
        <v>0</v>
      </c>
      <c r="K817" t="n">
        <v>0</v>
      </c>
      <c r="L817" t="n">
        <v>0</v>
      </c>
      <c r="M817" t="n">
        <v>0</v>
      </c>
      <c r="N817" t="n">
        <v>0</v>
      </c>
      <c r="O817" t="n">
        <v>0</v>
      </c>
      <c r="P817" t="n">
        <v>0</v>
      </c>
      <c r="Q817" t="n">
        <v>0</v>
      </c>
      <c r="R817" s="2" t="inlineStr"/>
    </row>
    <row r="818" ht="15" customHeight="1">
      <c r="A818" t="inlineStr">
        <is>
          <t>A 4076-2022</t>
        </is>
      </c>
      <c r="B818" s="1" t="n">
        <v>44588.37998842593</v>
      </c>
      <c r="C818" s="1" t="n">
        <v>46107</v>
      </c>
      <c r="D818" t="inlineStr">
        <is>
          <t>KALMAR LÄN</t>
        </is>
      </c>
      <c r="E818" t="inlineStr">
        <is>
          <t>VIMMERBY</t>
        </is>
      </c>
      <c r="G818" t="n">
        <v>3</v>
      </c>
      <c r="H818" t="n">
        <v>0</v>
      </c>
      <c r="I818" t="n">
        <v>0</v>
      </c>
      <c r="J818" t="n">
        <v>0</v>
      </c>
      <c r="K818" t="n">
        <v>0</v>
      </c>
      <c r="L818" t="n">
        <v>0</v>
      </c>
      <c r="M818" t="n">
        <v>0</v>
      </c>
      <c r="N818" t="n">
        <v>0</v>
      </c>
      <c r="O818" t="n">
        <v>0</v>
      </c>
      <c r="P818" t="n">
        <v>0</v>
      </c>
      <c r="Q818" t="n">
        <v>0</v>
      </c>
      <c r="R818" s="2" t="inlineStr"/>
    </row>
    <row r="819" ht="15" customHeight="1">
      <c r="A819" t="inlineStr">
        <is>
          <t>A 4122-2022</t>
        </is>
      </c>
      <c r="B819" s="1" t="n">
        <v>44588</v>
      </c>
      <c r="C819" s="1" t="n">
        <v>46107</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9624-2024</t>
        </is>
      </c>
      <c r="B820" s="1" t="n">
        <v>45361.90282407407</v>
      </c>
      <c r="C820" s="1" t="n">
        <v>46107</v>
      </c>
      <c r="D820" t="inlineStr">
        <is>
          <t>KALMAR LÄN</t>
        </is>
      </c>
      <c r="E820" t="inlineStr">
        <is>
          <t>VIMMERBY</t>
        </is>
      </c>
      <c r="G820" t="n">
        <v>3.8</v>
      </c>
      <c r="H820" t="n">
        <v>0</v>
      </c>
      <c r="I820" t="n">
        <v>0</v>
      </c>
      <c r="J820" t="n">
        <v>0</v>
      </c>
      <c r="K820" t="n">
        <v>0</v>
      </c>
      <c r="L820" t="n">
        <v>0</v>
      </c>
      <c r="M820" t="n">
        <v>0</v>
      </c>
      <c r="N820" t="n">
        <v>0</v>
      </c>
      <c r="O820" t="n">
        <v>0</v>
      </c>
      <c r="P820" t="n">
        <v>0</v>
      </c>
      <c r="Q820" t="n">
        <v>0</v>
      </c>
      <c r="R820" s="2" t="inlineStr"/>
    </row>
    <row r="821" ht="15" customHeight="1">
      <c r="A821" t="inlineStr">
        <is>
          <t>A 52327-2023</t>
        </is>
      </c>
      <c r="B821" s="1" t="n">
        <v>45224.6515162037</v>
      </c>
      <c r="C821" s="1" t="n">
        <v>46107</v>
      </c>
      <c r="D821" t="inlineStr">
        <is>
          <t>KALMAR LÄN</t>
        </is>
      </c>
      <c r="E821" t="inlineStr">
        <is>
          <t>VIMMERBY</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29616-2022</t>
        </is>
      </c>
      <c r="B822" s="1" t="n">
        <v>44754</v>
      </c>
      <c r="C822" s="1" t="n">
        <v>46107</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29348-2023</t>
        </is>
      </c>
      <c r="B823" s="1" t="n">
        <v>45106.25025462963</v>
      </c>
      <c r="C823" s="1" t="n">
        <v>46107</v>
      </c>
      <c r="D823" t="inlineStr">
        <is>
          <t>KALMAR LÄN</t>
        </is>
      </c>
      <c r="E823" t="inlineStr">
        <is>
          <t>VIMMERBY</t>
        </is>
      </c>
      <c r="G823" t="n">
        <v>2.4</v>
      </c>
      <c r="H823" t="n">
        <v>0</v>
      </c>
      <c r="I823" t="n">
        <v>0</v>
      </c>
      <c r="J823" t="n">
        <v>0</v>
      </c>
      <c r="K823" t="n">
        <v>0</v>
      </c>
      <c r="L823" t="n">
        <v>0</v>
      </c>
      <c r="M823" t="n">
        <v>0</v>
      </c>
      <c r="N823" t="n">
        <v>0</v>
      </c>
      <c r="O823" t="n">
        <v>0</v>
      </c>
      <c r="P823" t="n">
        <v>0</v>
      </c>
      <c r="Q823" t="n">
        <v>0</v>
      </c>
      <c r="R823" s="2" t="inlineStr"/>
    </row>
    <row r="824" ht="15" customHeight="1">
      <c r="A824" t="inlineStr">
        <is>
          <t>A 28403-2023</t>
        </is>
      </c>
      <c r="B824" s="1" t="n">
        <v>45100.85270833333</v>
      </c>
      <c r="C824" s="1" t="n">
        <v>46107</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17511-2024</t>
        </is>
      </c>
      <c r="B825" s="1" t="n">
        <v>45415.57682870371</v>
      </c>
      <c r="C825" s="1" t="n">
        <v>46107</v>
      </c>
      <c r="D825" t="inlineStr">
        <is>
          <t>KALMAR LÄN</t>
        </is>
      </c>
      <c r="E825" t="inlineStr">
        <is>
          <t>VIMMERBY</t>
        </is>
      </c>
      <c r="G825" t="n">
        <v>5.3</v>
      </c>
      <c r="H825" t="n">
        <v>0</v>
      </c>
      <c r="I825" t="n">
        <v>0</v>
      </c>
      <c r="J825" t="n">
        <v>0</v>
      </c>
      <c r="K825" t="n">
        <v>0</v>
      </c>
      <c r="L825" t="n">
        <v>0</v>
      </c>
      <c r="M825" t="n">
        <v>0</v>
      </c>
      <c r="N825" t="n">
        <v>0</v>
      </c>
      <c r="O825" t="n">
        <v>0</v>
      </c>
      <c r="P825" t="n">
        <v>0</v>
      </c>
      <c r="Q825" t="n">
        <v>0</v>
      </c>
      <c r="R825" s="2" t="inlineStr"/>
    </row>
    <row r="826" ht="15" customHeight="1">
      <c r="A826" t="inlineStr">
        <is>
          <t>A 66022-2021</t>
        </is>
      </c>
      <c r="B826" s="1" t="n">
        <v>44517</v>
      </c>
      <c r="C826" s="1" t="n">
        <v>46107</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29973-2023</t>
        </is>
      </c>
      <c r="B827" s="1" t="n">
        <v>45108.703125</v>
      </c>
      <c r="C827" s="1" t="n">
        <v>46107</v>
      </c>
      <c r="D827" t="inlineStr">
        <is>
          <t>KALMAR LÄN</t>
        </is>
      </c>
      <c r="E827" t="inlineStr">
        <is>
          <t>VIMMERBY</t>
        </is>
      </c>
      <c r="G827" t="n">
        <v>4</v>
      </c>
      <c r="H827" t="n">
        <v>0</v>
      </c>
      <c r="I827" t="n">
        <v>0</v>
      </c>
      <c r="J827" t="n">
        <v>0</v>
      </c>
      <c r="K827" t="n">
        <v>0</v>
      </c>
      <c r="L827" t="n">
        <v>0</v>
      </c>
      <c r="M827" t="n">
        <v>0</v>
      </c>
      <c r="N827" t="n">
        <v>0</v>
      </c>
      <c r="O827" t="n">
        <v>0</v>
      </c>
      <c r="P827" t="n">
        <v>0</v>
      </c>
      <c r="Q827" t="n">
        <v>0</v>
      </c>
      <c r="R827" s="2" t="inlineStr"/>
    </row>
    <row r="828" ht="15" customHeight="1">
      <c r="A828" t="inlineStr">
        <is>
          <t>A 14320-2026</t>
        </is>
      </c>
      <c r="B828" s="1" t="n">
        <v>46099.88449074074</v>
      </c>
      <c r="C828" s="1" t="n">
        <v>46107</v>
      </c>
      <c r="D828" t="inlineStr">
        <is>
          <t>KALMAR LÄN</t>
        </is>
      </c>
      <c r="E828" t="inlineStr">
        <is>
          <t>VIMMERBY</t>
        </is>
      </c>
      <c r="G828" t="n">
        <v>2.3</v>
      </c>
      <c r="H828" t="n">
        <v>0</v>
      </c>
      <c r="I828" t="n">
        <v>0</v>
      </c>
      <c r="J828" t="n">
        <v>0</v>
      </c>
      <c r="K828" t="n">
        <v>0</v>
      </c>
      <c r="L828" t="n">
        <v>0</v>
      </c>
      <c r="M828" t="n">
        <v>0</v>
      </c>
      <c r="N828" t="n">
        <v>0</v>
      </c>
      <c r="O828" t="n">
        <v>0</v>
      </c>
      <c r="P828" t="n">
        <v>0</v>
      </c>
      <c r="Q828" t="n">
        <v>0</v>
      </c>
      <c r="R828" s="2" t="inlineStr"/>
    </row>
    <row r="829" ht="15" customHeight="1">
      <c r="A829" t="inlineStr">
        <is>
          <t>A 30070-2023</t>
        </is>
      </c>
      <c r="B829" s="1" t="n">
        <v>45110.4275</v>
      </c>
      <c r="C829" s="1" t="n">
        <v>46107</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14279-2026</t>
        </is>
      </c>
      <c r="B830" s="1" t="n">
        <v>46099.66826388889</v>
      </c>
      <c r="C830" s="1" t="n">
        <v>46107</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14318-2026</t>
        </is>
      </c>
      <c r="B831" s="1" t="n">
        <v>46099.87961805556</v>
      </c>
      <c r="C831" s="1" t="n">
        <v>46107</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46078-2023</t>
        </is>
      </c>
      <c r="B832" s="1" t="n">
        <v>45196</v>
      </c>
      <c r="C832" s="1" t="n">
        <v>46107</v>
      </c>
      <c r="D832" t="inlineStr">
        <is>
          <t>KALMAR LÄN</t>
        </is>
      </c>
      <c r="E832" t="inlineStr">
        <is>
          <t>VIMMERBY</t>
        </is>
      </c>
      <c r="G832" t="n">
        <v>0.7</v>
      </c>
      <c r="H832" t="n">
        <v>0</v>
      </c>
      <c r="I832" t="n">
        <v>0</v>
      </c>
      <c r="J832" t="n">
        <v>0</v>
      </c>
      <c r="K832" t="n">
        <v>0</v>
      </c>
      <c r="L832" t="n">
        <v>0</v>
      </c>
      <c r="M832" t="n">
        <v>0</v>
      </c>
      <c r="N832" t="n">
        <v>0</v>
      </c>
      <c r="O832" t="n">
        <v>0</v>
      </c>
      <c r="P832" t="n">
        <v>0</v>
      </c>
      <c r="Q832" t="n">
        <v>0</v>
      </c>
      <c r="R832" s="2" t="inlineStr"/>
    </row>
    <row r="833" ht="15" customHeight="1">
      <c r="A833" t="inlineStr">
        <is>
          <t>A 6817-2026</t>
        </is>
      </c>
      <c r="B833" s="1" t="n">
        <v>46057.38412037037</v>
      </c>
      <c r="C833" s="1" t="n">
        <v>46107</v>
      </c>
      <c r="D833" t="inlineStr">
        <is>
          <t>KALMAR LÄN</t>
        </is>
      </c>
      <c r="E833" t="inlineStr">
        <is>
          <t>VIMMERBY</t>
        </is>
      </c>
      <c r="G833" t="n">
        <v>0.7</v>
      </c>
      <c r="H833" t="n">
        <v>0</v>
      </c>
      <c r="I833" t="n">
        <v>0</v>
      </c>
      <c r="J833" t="n">
        <v>0</v>
      </c>
      <c r="K833" t="n">
        <v>0</v>
      </c>
      <c r="L833" t="n">
        <v>0</v>
      </c>
      <c r="M833" t="n">
        <v>0</v>
      </c>
      <c r="N833" t="n">
        <v>0</v>
      </c>
      <c r="O833" t="n">
        <v>0</v>
      </c>
      <c r="P833" t="n">
        <v>0</v>
      </c>
      <c r="Q833" t="n">
        <v>0</v>
      </c>
      <c r="R833" s="2" t="inlineStr"/>
    </row>
    <row r="834" ht="15" customHeight="1">
      <c r="A834" t="inlineStr">
        <is>
          <t>A 14277-2026</t>
        </is>
      </c>
      <c r="B834" s="1" t="n">
        <v>46099.66305555555</v>
      </c>
      <c r="C834" s="1" t="n">
        <v>46107</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7643-2022</t>
        </is>
      </c>
      <c r="B835" s="1" t="n">
        <v>44607</v>
      </c>
      <c r="C835" s="1" t="n">
        <v>46107</v>
      </c>
      <c r="D835" t="inlineStr">
        <is>
          <t>KALMAR LÄN</t>
        </is>
      </c>
      <c r="E835" t="inlineStr">
        <is>
          <t>VIMMERBY</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3494-2023</t>
        </is>
      </c>
      <c r="B836" s="1" t="n">
        <v>44949</v>
      </c>
      <c r="C836" s="1" t="n">
        <v>46107</v>
      </c>
      <c r="D836" t="inlineStr">
        <is>
          <t>KALMAR LÄN</t>
        </is>
      </c>
      <c r="E836" t="inlineStr">
        <is>
          <t>VIMMERBY</t>
        </is>
      </c>
      <c r="F836" t="inlineStr">
        <is>
          <t>Kyrkan</t>
        </is>
      </c>
      <c r="G836" t="n">
        <v>0.8</v>
      </c>
      <c r="H836" t="n">
        <v>0</v>
      </c>
      <c r="I836" t="n">
        <v>0</v>
      </c>
      <c r="J836" t="n">
        <v>0</v>
      </c>
      <c r="K836" t="n">
        <v>0</v>
      </c>
      <c r="L836" t="n">
        <v>0</v>
      </c>
      <c r="M836" t="n">
        <v>0</v>
      </c>
      <c r="N836" t="n">
        <v>0</v>
      </c>
      <c r="O836" t="n">
        <v>0</v>
      </c>
      <c r="P836" t="n">
        <v>0</v>
      </c>
      <c r="Q836" t="n">
        <v>0</v>
      </c>
      <c r="R836" s="2" t="inlineStr"/>
    </row>
    <row r="837" ht="15" customHeight="1">
      <c r="A837" t="inlineStr">
        <is>
          <t>A 32633-2023</t>
        </is>
      </c>
      <c r="B837" s="1" t="n">
        <v>45121.58699074074</v>
      </c>
      <c r="C837" s="1" t="n">
        <v>46107</v>
      </c>
      <c r="D837" t="inlineStr">
        <is>
          <t>KALMAR LÄN</t>
        </is>
      </c>
      <c r="E837" t="inlineStr">
        <is>
          <t>VIMMERBY</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43601-2024</t>
        </is>
      </c>
      <c r="B838" s="1" t="n">
        <v>45569.44684027778</v>
      </c>
      <c r="C838" s="1" t="n">
        <v>46107</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13813-2024</t>
        </is>
      </c>
      <c r="B839" s="1" t="n">
        <v>45391.41310185185</v>
      </c>
      <c r="C839" s="1" t="n">
        <v>46107</v>
      </c>
      <c r="D839" t="inlineStr">
        <is>
          <t>KALMAR LÄN</t>
        </is>
      </c>
      <c r="E839" t="inlineStr">
        <is>
          <t>VIMMERBY</t>
        </is>
      </c>
      <c r="G839" t="n">
        <v>0.4</v>
      </c>
      <c r="H839" t="n">
        <v>0</v>
      </c>
      <c r="I839" t="n">
        <v>0</v>
      </c>
      <c r="J839" t="n">
        <v>0</v>
      </c>
      <c r="K839" t="n">
        <v>0</v>
      </c>
      <c r="L839" t="n">
        <v>0</v>
      </c>
      <c r="M839" t="n">
        <v>0</v>
      </c>
      <c r="N839" t="n">
        <v>0</v>
      </c>
      <c r="O839" t="n">
        <v>0</v>
      </c>
      <c r="P839" t="n">
        <v>0</v>
      </c>
      <c r="Q839" t="n">
        <v>0</v>
      </c>
      <c r="R839" s="2" t="inlineStr"/>
    </row>
    <row r="840" ht="15" customHeight="1">
      <c r="A840" t="inlineStr">
        <is>
          <t>A 25234-2023</t>
        </is>
      </c>
      <c r="B840" s="1" t="n">
        <v>45086.63194444445</v>
      </c>
      <c r="C840" s="1" t="n">
        <v>46107</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25236-2023</t>
        </is>
      </c>
      <c r="B841" s="1" t="n">
        <v>45086.63334490741</v>
      </c>
      <c r="C841" s="1" t="n">
        <v>46107</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14793-2026</t>
        </is>
      </c>
      <c r="B842" s="1" t="n">
        <v>46101.92108796296</v>
      </c>
      <c r="C842" s="1" t="n">
        <v>46107</v>
      </c>
      <c r="D842" t="inlineStr">
        <is>
          <t>KALMAR LÄN</t>
        </is>
      </c>
      <c r="E842" t="inlineStr">
        <is>
          <t>VIMMERBY</t>
        </is>
      </c>
      <c r="G842" t="n">
        <v>5.7</v>
      </c>
      <c r="H842" t="n">
        <v>0</v>
      </c>
      <c r="I842" t="n">
        <v>0</v>
      </c>
      <c r="J842" t="n">
        <v>0</v>
      </c>
      <c r="K842" t="n">
        <v>0</v>
      </c>
      <c r="L842" t="n">
        <v>0</v>
      </c>
      <c r="M842" t="n">
        <v>0</v>
      </c>
      <c r="N842" t="n">
        <v>0</v>
      </c>
      <c r="O842" t="n">
        <v>0</v>
      </c>
      <c r="P842" t="n">
        <v>0</v>
      </c>
      <c r="Q842" t="n">
        <v>0</v>
      </c>
      <c r="R842" s="2" t="inlineStr"/>
    </row>
    <row r="843" ht="15" customHeight="1">
      <c r="A843" t="inlineStr">
        <is>
          <t>A 25244-2023</t>
        </is>
      </c>
      <c r="B843" s="1" t="n">
        <v>45086</v>
      </c>
      <c r="C843" s="1" t="n">
        <v>46107</v>
      </c>
      <c r="D843" t="inlineStr">
        <is>
          <t>KALMAR LÄN</t>
        </is>
      </c>
      <c r="E843" t="inlineStr">
        <is>
          <t>VIMMERBY</t>
        </is>
      </c>
      <c r="G843" t="n">
        <v>4.7</v>
      </c>
      <c r="H843" t="n">
        <v>0</v>
      </c>
      <c r="I843" t="n">
        <v>0</v>
      </c>
      <c r="J843" t="n">
        <v>0</v>
      </c>
      <c r="K843" t="n">
        <v>0</v>
      </c>
      <c r="L843" t="n">
        <v>0</v>
      </c>
      <c r="M843" t="n">
        <v>0</v>
      </c>
      <c r="N843" t="n">
        <v>0</v>
      </c>
      <c r="O843" t="n">
        <v>0</v>
      </c>
      <c r="P843" t="n">
        <v>0</v>
      </c>
      <c r="Q843" t="n">
        <v>0</v>
      </c>
      <c r="R843" s="2" t="inlineStr"/>
    </row>
    <row r="844" ht="15" customHeight="1">
      <c r="A844" t="inlineStr">
        <is>
          <t>A 15054-2026</t>
        </is>
      </c>
      <c r="B844" s="1" t="n">
        <v>46104.6815162037</v>
      </c>
      <c r="C844" s="1" t="n">
        <v>46107</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23341-2022</t>
        </is>
      </c>
      <c r="B845" s="1" t="n">
        <v>44720.53898148148</v>
      </c>
      <c r="C845" s="1" t="n">
        <v>46107</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71793-2021</t>
        </is>
      </c>
      <c r="B846" s="1" t="n">
        <v>44539</v>
      </c>
      <c r="C846" s="1" t="n">
        <v>46107</v>
      </c>
      <c r="D846" t="inlineStr">
        <is>
          <t>KALMAR LÄN</t>
        </is>
      </c>
      <c r="E846" t="inlineStr">
        <is>
          <t>VIMMERBY</t>
        </is>
      </c>
      <c r="G846" t="n">
        <v>2.7</v>
      </c>
      <c r="H846" t="n">
        <v>0</v>
      </c>
      <c r="I846" t="n">
        <v>0</v>
      </c>
      <c r="J846" t="n">
        <v>0</v>
      </c>
      <c r="K846" t="n">
        <v>0</v>
      </c>
      <c r="L846" t="n">
        <v>0</v>
      </c>
      <c r="M846" t="n">
        <v>0</v>
      </c>
      <c r="N846" t="n">
        <v>0</v>
      </c>
      <c r="O846" t="n">
        <v>0</v>
      </c>
      <c r="P846" t="n">
        <v>0</v>
      </c>
      <c r="Q846" t="n">
        <v>0</v>
      </c>
      <c r="R846" s="2" t="inlineStr"/>
    </row>
    <row r="847" ht="15" customHeight="1">
      <c r="A847" t="inlineStr">
        <is>
          <t>A 73938-2021</t>
        </is>
      </c>
      <c r="B847" s="1" t="n">
        <v>44553</v>
      </c>
      <c r="C847" s="1" t="n">
        <v>46107</v>
      </c>
      <c r="D847" t="inlineStr">
        <is>
          <t>KALMAR LÄN</t>
        </is>
      </c>
      <c r="E847" t="inlineStr">
        <is>
          <t>VIMMERBY</t>
        </is>
      </c>
      <c r="G847" t="n">
        <v>3.2</v>
      </c>
      <c r="H847" t="n">
        <v>0</v>
      </c>
      <c r="I847" t="n">
        <v>0</v>
      </c>
      <c r="J847" t="n">
        <v>0</v>
      </c>
      <c r="K847" t="n">
        <v>0</v>
      </c>
      <c r="L847" t="n">
        <v>0</v>
      </c>
      <c r="M847" t="n">
        <v>0</v>
      </c>
      <c r="N847" t="n">
        <v>0</v>
      </c>
      <c r="O847" t="n">
        <v>0</v>
      </c>
      <c r="P847" t="n">
        <v>0</v>
      </c>
      <c r="Q847" t="n">
        <v>0</v>
      </c>
      <c r="R847" s="2" t="inlineStr"/>
    </row>
    <row r="848" ht="15" customHeight="1">
      <c r="A848" t="inlineStr">
        <is>
          <t>A 6069-2023</t>
        </is>
      </c>
      <c r="B848" s="1" t="n">
        <v>44964.5115162037</v>
      </c>
      <c r="C848" s="1" t="n">
        <v>46107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14792-2026</t>
        </is>
      </c>
      <c r="B849" s="1" t="n">
        <v>46101.91993055555</v>
      </c>
      <c r="C849" s="1" t="n">
        <v>46107</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50995-2022</t>
        </is>
      </c>
      <c r="B850" s="1" t="n">
        <v>44867</v>
      </c>
      <c r="C850" s="1" t="n">
        <v>46107</v>
      </c>
      <c r="D850" t="inlineStr">
        <is>
          <t>KALMAR LÄN</t>
        </is>
      </c>
      <c r="E850" t="inlineStr">
        <is>
          <t>VIMMERBY</t>
        </is>
      </c>
      <c r="G850" t="n">
        <v>2.4</v>
      </c>
      <c r="H850" t="n">
        <v>0</v>
      </c>
      <c r="I850" t="n">
        <v>0</v>
      </c>
      <c r="J850" t="n">
        <v>0</v>
      </c>
      <c r="K850" t="n">
        <v>0</v>
      </c>
      <c r="L850" t="n">
        <v>0</v>
      </c>
      <c r="M850" t="n">
        <v>0</v>
      </c>
      <c r="N850" t="n">
        <v>0</v>
      </c>
      <c r="O850" t="n">
        <v>0</v>
      </c>
      <c r="P850" t="n">
        <v>0</v>
      </c>
      <c r="Q850" t="n">
        <v>0</v>
      </c>
      <c r="R850" s="2" t="inlineStr"/>
    </row>
    <row r="851" ht="15" customHeight="1">
      <c r="A851" t="inlineStr">
        <is>
          <t>A 27122-2023</t>
        </is>
      </c>
      <c r="B851" s="1" t="n">
        <v>45096.45247685185</v>
      </c>
      <c r="C851" s="1" t="n">
        <v>46107</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30402-2023</t>
        </is>
      </c>
      <c r="B852" s="1" t="n">
        <v>45111.48395833333</v>
      </c>
      <c r="C852" s="1" t="n">
        <v>46107</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47842-2024</t>
        </is>
      </c>
      <c r="B853" s="1" t="n">
        <v>45588.65545138889</v>
      </c>
      <c r="C853" s="1" t="n">
        <v>46107</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6857-2023</t>
        </is>
      </c>
      <c r="B854" s="1" t="n">
        <v>44967.45122685185</v>
      </c>
      <c r="C854" s="1" t="n">
        <v>46107</v>
      </c>
      <c r="D854" t="inlineStr">
        <is>
          <t>KALMAR LÄN</t>
        </is>
      </c>
      <c r="E854" t="inlineStr">
        <is>
          <t>VIMMERBY</t>
        </is>
      </c>
      <c r="G854" t="n">
        <v>2.1</v>
      </c>
      <c r="H854" t="n">
        <v>0</v>
      </c>
      <c r="I854" t="n">
        <v>0</v>
      </c>
      <c r="J854" t="n">
        <v>0</v>
      </c>
      <c r="K854" t="n">
        <v>0</v>
      </c>
      <c r="L854" t="n">
        <v>0</v>
      </c>
      <c r="M854" t="n">
        <v>0</v>
      </c>
      <c r="N854" t="n">
        <v>0</v>
      </c>
      <c r="O854" t="n">
        <v>0</v>
      </c>
      <c r="P854" t="n">
        <v>0</v>
      </c>
      <c r="Q854" t="n">
        <v>0</v>
      </c>
      <c r="R854" s="2" t="inlineStr"/>
    </row>
    <row r="855" ht="15" customHeight="1">
      <c r="A855" t="inlineStr">
        <is>
          <t>A 46224-2024</t>
        </is>
      </c>
      <c r="B855" s="1" t="n">
        <v>45581.57016203704</v>
      </c>
      <c r="C855" s="1" t="n">
        <v>46107</v>
      </c>
      <c r="D855" t="inlineStr">
        <is>
          <t>KALMAR LÄN</t>
        </is>
      </c>
      <c r="E855" t="inlineStr">
        <is>
          <t>VIMMERBY</t>
        </is>
      </c>
      <c r="G855" t="n">
        <v>3.1</v>
      </c>
      <c r="H855" t="n">
        <v>0</v>
      </c>
      <c r="I855" t="n">
        <v>0</v>
      </c>
      <c r="J855" t="n">
        <v>0</v>
      </c>
      <c r="K855" t="n">
        <v>0</v>
      </c>
      <c r="L855" t="n">
        <v>0</v>
      </c>
      <c r="M855" t="n">
        <v>0</v>
      </c>
      <c r="N855" t="n">
        <v>0</v>
      </c>
      <c r="O855" t="n">
        <v>0</v>
      </c>
      <c r="P855" t="n">
        <v>0</v>
      </c>
      <c r="Q855" t="n">
        <v>0</v>
      </c>
      <c r="R855" s="2" t="inlineStr"/>
    </row>
    <row r="856" ht="15" customHeight="1">
      <c r="A856" t="inlineStr">
        <is>
          <t>A 29013-2024</t>
        </is>
      </c>
      <c r="B856" s="1" t="n">
        <v>45481.55984953704</v>
      </c>
      <c r="C856" s="1" t="n">
        <v>46107</v>
      </c>
      <c r="D856" t="inlineStr">
        <is>
          <t>KALMAR LÄN</t>
        </is>
      </c>
      <c r="E856" t="inlineStr">
        <is>
          <t>VIMMERBY</t>
        </is>
      </c>
      <c r="G856" t="n">
        <v>3.4</v>
      </c>
      <c r="H856" t="n">
        <v>0</v>
      </c>
      <c r="I856" t="n">
        <v>0</v>
      </c>
      <c r="J856" t="n">
        <v>0</v>
      </c>
      <c r="K856" t="n">
        <v>0</v>
      </c>
      <c r="L856" t="n">
        <v>0</v>
      </c>
      <c r="M856" t="n">
        <v>0</v>
      </c>
      <c r="N856" t="n">
        <v>0</v>
      </c>
      <c r="O856" t="n">
        <v>0</v>
      </c>
      <c r="P856" t="n">
        <v>0</v>
      </c>
      <c r="Q856" t="n">
        <v>0</v>
      </c>
      <c r="R856" s="2" t="inlineStr"/>
    </row>
    <row r="857" ht="15" customHeight="1">
      <c r="A857" t="inlineStr">
        <is>
          <t>A 37028-2024</t>
        </is>
      </c>
      <c r="B857" s="1" t="n">
        <v>45539.38744212963</v>
      </c>
      <c r="C857" s="1" t="n">
        <v>46107</v>
      </c>
      <c r="D857" t="inlineStr">
        <is>
          <t>KALMAR LÄN</t>
        </is>
      </c>
      <c r="E857" t="inlineStr">
        <is>
          <t>VIMMERBY</t>
        </is>
      </c>
      <c r="G857" t="n">
        <v>5.2</v>
      </c>
      <c r="H857" t="n">
        <v>0</v>
      </c>
      <c r="I857" t="n">
        <v>0</v>
      </c>
      <c r="J857" t="n">
        <v>0</v>
      </c>
      <c r="K857" t="n">
        <v>0</v>
      </c>
      <c r="L857" t="n">
        <v>0</v>
      </c>
      <c r="M857" t="n">
        <v>0</v>
      </c>
      <c r="N857" t="n">
        <v>0</v>
      </c>
      <c r="O857" t="n">
        <v>0</v>
      </c>
      <c r="P857" t="n">
        <v>0</v>
      </c>
      <c r="Q857" t="n">
        <v>0</v>
      </c>
      <c r="R857" s="2" t="inlineStr"/>
    </row>
    <row r="858" ht="15" customHeight="1">
      <c r="A858" t="inlineStr">
        <is>
          <t>A 37187-2024</t>
        </is>
      </c>
      <c r="B858" s="1" t="n">
        <v>45539.65212962963</v>
      </c>
      <c r="C858" s="1" t="n">
        <v>46107</v>
      </c>
      <c r="D858" t="inlineStr">
        <is>
          <t>KALMAR LÄN</t>
        </is>
      </c>
      <c r="E858" t="inlineStr">
        <is>
          <t>VIMMERBY</t>
        </is>
      </c>
      <c r="G858" t="n">
        <v>2.7</v>
      </c>
      <c r="H858" t="n">
        <v>0</v>
      </c>
      <c r="I858" t="n">
        <v>0</v>
      </c>
      <c r="J858" t="n">
        <v>0</v>
      </c>
      <c r="K858" t="n">
        <v>0</v>
      </c>
      <c r="L858" t="n">
        <v>0</v>
      </c>
      <c r="M858" t="n">
        <v>0</v>
      </c>
      <c r="N858" t="n">
        <v>0</v>
      </c>
      <c r="O858" t="n">
        <v>0</v>
      </c>
      <c r="P858" t="n">
        <v>0</v>
      </c>
      <c r="Q858" t="n">
        <v>0</v>
      </c>
      <c r="R858" s="2" t="inlineStr"/>
    </row>
    <row r="859" ht="15" customHeight="1">
      <c r="A859" t="inlineStr">
        <is>
          <t>A 15205-2026</t>
        </is>
      </c>
      <c r="B859" s="1" t="n">
        <v>46105.48628472222</v>
      </c>
      <c r="C859" s="1" t="n">
        <v>46107</v>
      </c>
      <c r="D859" t="inlineStr">
        <is>
          <t>KALMAR LÄN</t>
        </is>
      </c>
      <c r="E859" t="inlineStr">
        <is>
          <t>VIMMERBY</t>
        </is>
      </c>
      <c r="G859" t="n">
        <v>2.1</v>
      </c>
      <c r="H859" t="n">
        <v>0</v>
      </c>
      <c r="I859" t="n">
        <v>0</v>
      </c>
      <c r="J859" t="n">
        <v>0</v>
      </c>
      <c r="K859" t="n">
        <v>0</v>
      </c>
      <c r="L859" t="n">
        <v>0</v>
      </c>
      <c r="M859" t="n">
        <v>0</v>
      </c>
      <c r="N859" t="n">
        <v>0</v>
      </c>
      <c r="O859" t="n">
        <v>0</v>
      </c>
      <c r="P859" t="n">
        <v>0</v>
      </c>
      <c r="Q859" t="n">
        <v>0</v>
      </c>
      <c r="R859" s="2" t="inlineStr"/>
    </row>
    <row r="860" ht="15" customHeight="1">
      <c r="A860" t="inlineStr">
        <is>
          <t>A 12630-2023</t>
        </is>
      </c>
      <c r="B860" s="1" t="n">
        <v>45000.47998842593</v>
      </c>
      <c r="C860" s="1" t="n">
        <v>46107</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39584-2024</t>
        </is>
      </c>
      <c r="B861" s="1" t="n">
        <v>45552.36759259259</v>
      </c>
      <c r="C861" s="1" t="n">
        <v>46107</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27705-2023</t>
        </is>
      </c>
      <c r="B862" s="1" t="n">
        <v>45098.30535879629</v>
      </c>
      <c r="C862" s="1" t="n">
        <v>46107</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31013-2023</t>
        </is>
      </c>
      <c r="B863" s="1" t="n">
        <v>45113.56574074074</v>
      </c>
      <c r="C863" s="1" t="n">
        <v>46107</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15388-2025</t>
        </is>
      </c>
      <c r="B864" s="1" t="n">
        <v>45747.42633101852</v>
      </c>
      <c r="C864" s="1" t="n">
        <v>46107</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15391-2025</t>
        </is>
      </c>
      <c r="B865" s="1" t="n">
        <v>45747.42958333333</v>
      </c>
      <c r="C865" s="1" t="n">
        <v>46107</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11303-2025</t>
        </is>
      </c>
      <c r="B866" s="1" t="n">
        <v>45726.44471064815</v>
      </c>
      <c r="C866" s="1" t="n">
        <v>46107</v>
      </c>
      <c r="D866" t="inlineStr">
        <is>
          <t>KALMAR LÄN</t>
        </is>
      </c>
      <c r="E866" t="inlineStr">
        <is>
          <t>VIMMERBY</t>
        </is>
      </c>
      <c r="G866" t="n">
        <v>2.1</v>
      </c>
      <c r="H866" t="n">
        <v>0</v>
      </c>
      <c r="I866" t="n">
        <v>0</v>
      </c>
      <c r="J866" t="n">
        <v>0</v>
      </c>
      <c r="K866" t="n">
        <v>0</v>
      </c>
      <c r="L866" t="n">
        <v>0</v>
      </c>
      <c r="M866" t="n">
        <v>0</v>
      </c>
      <c r="N866" t="n">
        <v>0</v>
      </c>
      <c r="O866" t="n">
        <v>0</v>
      </c>
      <c r="P866" t="n">
        <v>0</v>
      </c>
      <c r="Q866" t="n">
        <v>0</v>
      </c>
      <c r="R866" s="2" t="inlineStr"/>
    </row>
    <row r="867" ht="15" customHeight="1">
      <c r="A867" t="inlineStr">
        <is>
          <t>A 33352-2022</t>
        </is>
      </c>
      <c r="B867" s="1" t="n">
        <v>44788</v>
      </c>
      <c r="C867" s="1" t="n">
        <v>46107</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46234-2024</t>
        </is>
      </c>
      <c r="B868" s="1" t="n">
        <v>45581.57958333333</v>
      </c>
      <c r="C868" s="1" t="n">
        <v>46107</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39053-2024</t>
        </is>
      </c>
      <c r="B869" s="1" t="n">
        <v>45548</v>
      </c>
      <c r="C869" s="1" t="n">
        <v>46107</v>
      </c>
      <c r="D869" t="inlineStr">
        <is>
          <t>KALMAR LÄN</t>
        </is>
      </c>
      <c r="E869" t="inlineStr">
        <is>
          <t>VIMMERBY</t>
        </is>
      </c>
      <c r="G869" t="n">
        <v>5</v>
      </c>
      <c r="H869" t="n">
        <v>0</v>
      </c>
      <c r="I869" t="n">
        <v>0</v>
      </c>
      <c r="J869" t="n">
        <v>0</v>
      </c>
      <c r="K869" t="n">
        <v>0</v>
      </c>
      <c r="L869" t="n">
        <v>0</v>
      </c>
      <c r="M869" t="n">
        <v>0</v>
      </c>
      <c r="N869" t="n">
        <v>0</v>
      </c>
      <c r="O869" t="n">
        <v>0</v>
      </c>
      <c r="P869" t="n">
        <v>0</v>
      </c>
      <c r="Q869" t="n">
        <v>0</v>
      </c>
      <c r="R869" s="2" t="inlineStr"/>
    </row>
    <row r="870" ht="15" customHeight="1">
      <c r="A870" t="inlineStr">
        <is>
          <t>A 15449-2023</t>
        </is>
      </c>
      <c r="B870" s="1" t="n">
        <v>45020</v>
      </c>
      <c r="C870" s="1" t="n">
        <v>46107</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43594-2024</t>
        </is>
      </c>
      <c r="B871" s="1" t="n">
        <v>45569.44295138889</v>
      </c>
      <c r="C871" s="1" t="n">
        <v>46107</v>
      </c>
      <c r="D871" t="inlineStr">
        <is>
          <t>KALMAR LÄN</t>
        </is>
      </c>
      <c r="E871" t="inlineStr">
        <is>
          <t>VIMMERBY</t>
        </is>
      </c>
      <c r="G871" t="n">
        <v>3.9</v>
      </c>
      <c r="H871" t="n">
        <v>0</v>
      </c>
      <c r="I871" t="n">
        <v>0</v>
      </c>
      <c r="J871" t="n">
        <v>0</v>
      </c>
      <c r="K871" t="n">
        <v>0</v>
      </c>
      <c r="L871" t="n">
        <v>0</v>
      </c>
      <c r="M871" t="n">
        <v>0</v>
      </c>
      <c r="N871" t="n">
        <v>0</v>
      </c>
      <c r="O871" t="n">
        <v>0</v>
      </c>
      <c r="P871" t="n">
        <v>0</v>
      </c>
      <c r="Q871" t="n">
        <v>0</v>
      </c>
      <c r="R871" s="2" t="inlineStr"/>
    </row>
    <row r="872" ht="15" customHeight="1">
      <c r="A872" t="inlineStr">
        <is>
          <t>A 17486-2024</t>
        </is>
      </c>
      <c r="B872" s="1" t="n">
        <v>45415.48979166667</v>
      </c>
      <c r="C872" s="1" t="n">
        <v>46107</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14248-2023</t>
        </is>
      </c>
      <c r="B873" s="1" t="n">
        <v>45009</v>
      </c>
      <c r="C873" s="1" t="n">
        <v>46107</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30400-2023</t>
        </is>
      </c>
      <c r="B874" s="1" t="n">
        <v>45111.48225694444</v>
      </c>
      <c r="C874" s="1" t="n">
        <v>46107</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30404-2023</t>
        </is>
      </c>
      <c r="B875" s="1" t="n">
        <v>45111.48636574074</v>
      </c>
      <c r="C875" s="1" t="n">
        <v>46107</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55123-2024</t>
        </is>
      </c>
      <c r="B876" s="1" t="n">
        <v>45621.46103009259</v>
      </c>
      <c r="C876" s="1" t="n">
        <v>46107</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31405-2023</t>
        </is>
      </c>
      <c r="B877" s="1" t="n">
        <v>45114.58148148148</v>
      </c>
      <c r="C877" s="1" t="n">
        <v>46107</v>
      </c>
      <c r="D877" t="inlineStr">
        <is>
          <t>KALMAR LÄN</t>
        </is>
      </c>
      <c r="E877" t="inlineStr">
        <is>
          <t>VIMMERBY</t>
        </is>
      </c>
      <c r="G877" t="n">
        <v>2.6</v>
      </c>
      <c r="H877" t="n">
        <v>0</v>
      </c>
      <c r="I877" t="n">
        <v>0</v>
      </c>
      <c r="J877" t="n">
        <v>0</v>
      </c>
      <c r="K877" t="n">
        <v>0</v>
      </c>
      <c r="L877" t="n">
        <v>0</v>
      </c>
      <c r="M877" t="n">
        <v>0</v>
      </c>
      <c r="N877" t="n">
        <v>0</v>
      </c>
      <c r="O877" t="n">
        <v>0</v>
      </c>
      <c r="P877" t="n">
        <v>0</v>
      </c>
      <c r="Q877" t="n">
        <v>0</v>
      </c>
      <c r="R877" s="2" t="inlineStr"/>
    </row>
    <row r="878" ht="15" customHeight="1">
      <c r="A878" t="inlineStr">
        <is>
          <t>A 24707-2024</t>
        </is>
      </c>
      <c r="B878" s="1" t="n">
        <v>45460.62172453704</v>
      </c>
      <c r="C878" s="1" t="n">
        <v>46107</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36049-2024</t>
        </is>
      </c>
      <c r="B879" s="1" t="n">
        <v>45533.61996527778</v>
      </c>
      <c r="C879" s="1" t="n">
        <v>46107</v>
      </c>
      <c r="D879" t="inlineStr">
        <is>
          <t>KALMAR LÄN</t>
        </is>
      </c>
      <c r="E879" t="inlineStr">
        <is>
          <t>VIMMERBY</t>
        </is>
      </c>
      <c r="F879" t="inlineStr">
        <is>
          <t>Kommuner</t>
        </is>
      </c>
      <c r="G879" t="n">
        <v>2.6</v>
      </c>
      <c r="H879" t="n">
        <v>0</v>
      </c>
      <c r="I879" t="n">
        <v>0</v>
      </c>
      <c r="J879" t="n">
        <v>0</v>
      </c>
      <c r="K879" t="n">
        <v>0</v>
      </c>
      <c r="L879" t="n">
        <v>0</v>
      </c>
      <c r="M879" t="n">
        <v>0</v>
      </c>
      <c r="N879" t="n">
        <v>0</v>
      </c>
      <c r="O879" t="n">
        <v>0</v>
      </c>
      <c r="P879" t="n">
        <v>0</v>
      </c>
      <c r="Q879" t="n">
        <v>0</v>
      </c>
      <c r="R879" s="2" t="inlineStr"/>
    </row>
    <row r="880" ht="15" customHeight="1">
      <c r="A880" t="inlineStr">
        <is>
          <t>A 58159-2024</t>
        </is>
      </c>
      <c r="B880" s="1" t="n">
        <v>45632.44886574074</v>
      </c>
      <c r="C880" s="1" t="n">
        <v>46107</v>
      </c>
      <c r="D880" t="inlineStr">
        <is>
          <t>KALMAR LÄN</t>
        </is>
      </c>
      <c r="E880" t="inlineStr">
        <is>
          <t>VIMMERBY</t>
        </is>
      </c>
      <c r="G880" t="n">
        <v>7.5</v>
      </c>
      <c r="H880" t="n">
        <v>0</v>
      </c>
      <c r="I880" t="n">
        <v>0</v>
      </c>
      <c r="J880" t="n">
        <v>0</v>
      </c>
      <c r="K880" t="n">
        <v>0</v>
      </c>
      <c r="L880" t="n">
        <v>0</v>
      </c>
      <c r="M880" t="n">
        <v>0</v>
      </c>
      <c r="N880" t="n">
        <v>0</v>
      </c>
      <c r="O880" t="n">
        <v>0</v>
      </c>
      <c r="P880" t="n">
        <v>0</v>
      </c>
      <c r="Q880" t="n">
        <v>0</v>
      </c>
      <c r="R880" s="2" t="inlineStr"/>
    </row>
    <row r="881" ht="15" customHeight="1">
      <c r="A881" t="inlineStr">
        <is>
          <t>A 14359-2025</t>
        </is>
      </c>
      <c r="B881" s="1" t="n">
        <v>45741.37270833334</v>
      </c>
      <c r="C881" s="1" t="n">
        <v>46107</v>
      </c>
      <c r="D881" t="inlineStr">
        <is>
          <t>KALMAR LÄN</t>
        </is>
      </c>
      <c r="E881" t="inlineStr">
        <is>
          <t>VIMMERBY</t>
        </is>
      </c>
      <c r="G881" t="n">
        <v>2</v>
      </c>
      <c r="H881" t="n">
        <v>0</v>
      </c>
      <c r="I881" t="n">
        <v>0</v>
      </c>
      <c r="J881" t="n">
        <v>0</v>
      </c>
      <c r="K881" t="n">
        <v>0</v>
      </c>
      <c r="L881" t="n">
        <v>0</v>
      </c>
      <c r="M881" t="n">
        <v>0</v>
      </c>
      <c r="N881" t="n">
        <v>0</v>
      </c>
      <c r="O881" t="n">
        <v>0</v>
      </c>
      <c r="P881" t="n">
        <v>0</v>
      </c>
      <c r="Q881" t="n">
        <v>0</v>
      </c>
      <c r="R881" s="2" t="inlineStr"/>
    </row>
    <row r="882" ht="15" customHeight="1">
      <c r="A882" t="inlineStr">
        <is>
          <t>A 39578-2024</t>
        </is>
      </c>
      <c r="B882" s="1" t="n">
        <v>45552.36484953704</v>
      </c>
      <c r="C882" s="1" t="n">
        <v>46107</v>
      </c>
      <c r="D882" t="inlineStr">
        <is>
          <t>KALMAR LÄN</t>
        </is>
      </c>
      <c r="E882" t="inlineStr">
        <is>
          <t>VIMMERBY</t>
        </is>
      </c>
      <c r="G882" t="n">
        <v>1.5</v>
      </c>
      <c r="H882" t="n">
        <v>0</v>
      </c>
      <c r="I882" t="n">
        <v>0</v>
      </c>
      <c r="J882" t="n">
        <v>0</v>
      </c>
      <c r="K882" t="n">
        <v>0</v>
      </c>
      <c r="L882" t="n">
        <v>0</v>
      </c>
      <c r="M882" t="n">
        <v>0</v>
      </c>
      <c r="N882" t="n">
        <v>0</v>
      </c>
      <c r="O882" t="n">
        <v>0</v>
      </c>
      <c r="P882" t="n">
        <v>0</v>
      </c>
      <c r="Q882" t="n">
        <v>0</v>
      </c>
      <c r="R882" s="2" t="inlineStr"/>
    </row>
    <row r="883" ht="15" customHeight="1">
      <c r="A883" t="inlineStr">
        <is>
          <t>A 62779-2023</t>
        </is>
      </c>
      <c r="B883" s="1" t="n">
        <v>45271.66576388889</v>
      </c>
      <c r="C883" s="1" t="n">
        <v>46107</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46399-2024</t>
        </is>
      </c>
      <c r="B884" s="1" t="n">
        <v>45582.41200231481</v>
      </c>
      <c r="C884" s="1" t="n">
        <v>46107</v>
      </c>
      <c r="D884" t="inlineStr">
        <is>
          <t>KALMAR LÄN</t>
        </is>
      </c>
      <c r="E884" t="inlineStr">
        <is>
          <t>VIMMERBY</t>
        </is>
      </c>
      <c r="G884" t="n">
        <v>4.6</v>
      </c>
      <c r="H884" t="n">
        <v>0</v>
      </c>
      <c r="I884" t="n">
        <v>0</v>
      </c>
      <c r="J884" t="n">
        <v>0</v>
      </c>
      <c r="K884" t="n">
        <v>0</v>
      </c>
      <c r="L884" t="n">
        <v>0</v>
      </c>
      <c r="M884" t="n">
        <v>0</v>
      </c>
      <c r="N884" t="n">
        <v>0</v>
      </c>
      <c r="O884" t="n">
        <v>0</v>
      </c>
      <c r="P884" t="n">
        <v>0</v>
      </c>
      <c r="Q884" t="n">
        <v>0</v>
      </c>
      <c r="R884" s="2" t="inlineStr"/>
    </row>
    <row r="885" ht="15" customHeight="1">
      <c r="A885" t="inlineStr">
        <is>
          <t>A 3425-2022</t>
        </is>
      </c>
      <c r="B885" s="1" t="n">
        <v>44585.51060185185</v>
      </c>
      <c r="C885" s="1" t="n">
        <v>46107</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43962-2024</t>
        </is>
      </c>
      <c r="B886" s="1" t="n">
        <v>45572.48293981481</v>
      </c>
      <c r="C886" s="1" t="n">
        <v>46107</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12810-2023</t>
        </is>
      </c>
      <c r="B887" s="1" t="n">
        <v>45001.43854166667</v>
      </c>
      <c r="C887" s="1" t="n">
        <v>46107</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43068-2023</t>
        </is>
      </c>
      <c r="B888" s="1" t="n">
        <v>45182.78834490741</v>
      </c>
      <c r="C888" s="1" t="n">
        <v>46107</v>
      </c>
      <c r="D888" t="inlineStr">
        <is>
          <t>KALMAR LÄN</t>
        </is>
      </c>
      <c r="E888" t="inlineStr">
        <is>
          <t>VIMMERBY</t>
        </is>
      </c>
      <c r="G888" t="n">
        <v>1.5</v>
      </c>
      <c r="H888" t="n">
        <v>0</v>
      </c>
      <c r="I888" t="n">
        <v>0</v>
      </c>
      <c r="J888" t="n">
        <v>0</v>
      </c>
      <c r="K888" t="n">
        <v>0</v>
      </c>
      <c r="L888" t="n">
        <v>0</v>
      </c>
      <c r="M888" t="n">
        <v>0</v>
      </c>
      <c r="N888" t="n">
        <v>0</v>
      </c>
      <c r="O888" t="n">
        <v>0</v>
      </c>
      <c r="P888" t="n">
        <v>0</v>
      </c>
      <c r="Q888" t="n">
        <v>0</v>
      </c>
      <c r="R888" s="2" t="inlineStr"/>
    </row>
    <row r="889" ht="15" customHeight="1">
      <c r="A889" t="inlineStr">
        <is>
          <t>A 12075-2024</t>
        </is>
      </c>
      <c r="B889" s="1" t="n">
        <v>45377</v>
      </c>
      <c r="C889" s="1" t="n">
        <v>46107</v>
      </c>
      <c r="D889" t="inlineStr">
        <is>
          <t>KALMAR LÄN</t>
        </is>
      </c>
      <c r="E889" t="inlineStr">
        <is>
          <t>VIMMERBY</t>
        </is>
      </c>
      <c r="G889" t="n">
        <v>3.7</v>
      </c>
      <c r="H889" t="n">
        <v>0</v>
      </c>
      <c r="I889" t="n">
        <v>0</v>
      </c>
      <c r="J889" t="n">
        <v>0</v>
      </c>
      <c r="K889" t="n">
        <v>0</v>
      </c>
      <c r="L889" t="n">
        <v>0</v>
      </c>
      <c r="M889" t="n">
        <v>0</v>
      </c>
      <c r="N889" t="n">
        <v>0</v>
      </c>
      <c r="O889" t="n">
        <v>0</v>
      </c>
      <c r="P889" t="n">
        <v>0</v>
      </c>
      <c r="Q889" t="n">
        <v>0</v>
      </c>
      <c r="R889" s="2" t="inlineStr"/>
    </row>
    <row r="890" ht="15" customHeight="1">
      <c r="A890" t="inlineStr">
        <is>
          <t>A 1799-2025</t>
        </is>
      </c>
      <c r="B890" s="1" t="n">
        <v>45671.46746527778</v>
      </c>
      <c r="C890" s="1" t="n">
        <v>46107</v>
      </c>
      <c r="D890" t="inlineStr">
        <is>
          <t>KALMAR LÄN</t>
        </is>
      </c>
      <c r="E890" t="inlineStr">
        <is>
          <t>VIMMERBY</t>
        </is>
      </c>
      <c r="G890" t="n">
        <v>3.3</v>
      </c>
      <c r="H890" t="n">
        <v>0</v>
      </c>
      <c r="I890" t="n">
        <v>0</v>
      </c>
      <c r="J890" t="n">
        <v>0</v>
      </c>
      <c r="K890" t="n">
        <v>0</v>
      </c>
      <c r="L890" t="n">
        <v>0</v>
      </c>
      <c r="M890" t="n">
        <v>0</v>
      </c>
      <c r="N890" t="n">
        <v>0</v>
      </c>
      <c r="O890" t="n">
        <v>0</v>
      </c>
      <c r="P890" t="n">
        <v>0</v>
      </c>
      <c r="Q890" t="n">
        <v>0</v>
      </c>
      <c r="R890" s="2" t="inlineStr"/>
    </row>
    <row r="891" ht="15" customHeight="1">
      <c r="A891" t="inlineStr">
        <is>
          <t>A 2462-2022</t>
        </is>
      </c>
      <c r="B891" s="1" t="n">
        <v>44579.62225694444</v>
      </c>
      <c r="C891" s="1" t="n">
        <v>46107</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13015-2022</t>
        </is>
      </c>
      <c r="B892" s="1" t="n">
        <v>44643</v>
      </c>
      <c r="C892" s="1" t="n">
        <v>46107</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4624-2024</t>
        </is>
      </c>
      <c r="B893" s="1" t="n">
        <v>45328.38755787037</v>
      </c>
      <c r="C893" s="1" t="n">
        <v>46107</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9129-2025</t>
        </is>
      </c>
      <c r="B894" s="1" t="n">
        <v>45713.92412037037</v>
      </c>
      <c r="C894" s="1" t="n">
        <v>46107</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22643-2023</t>
        </is>
      </c>
      <c r="B895" s="1" t="n">
        <v>45071</v>
      </c>
      <c r="C895" s="1" t="n">
        <v>46107</v>
      </c>
      <c r="D895" t="inlineStr">
        <is>
          <t>KALMAR LÄN</t>
        </is>
      </c>
      <c r="E895" t="inlineStr">
        <is>
          <t>VIMMERBY</t>
        </is>
      </c>
      <c r="G895" t="n">
        <v>3.9</v>
      </c>
      <c r="H895" t="n">
        <v>0</v>
      </c>
      <c r="I895" t="n">
        <v>0</v>
      </c>
      <c r="J895" t="n">
        <v>0</v>
      </c>
      <c r="K895" t="n">
        <v>0</v>
      </c>
      <c r="L895" t="n">
        <v>0</v>
      </c>
      <c r="M895" t="n">
        <v>0</v>
      </c>
      <c r="N895" t="n">
        <v>0</v>
      </c>
      <c r="O895" t="n">
        <v>0</v>
      </c>
      <c r="P895" t="n">
        <v>0</v>
      </c>
      <c r="Q895" t="n">
        <v>0</v>
      </c>
      <c r="R895" s="2" t="inlineStr"/>
    </row>
    <row r="896" ht="15" customHeight="1">
      <c r="A896" t="inlineStr">
        <is>
          <t>A 34597-2022</t>
        </is>
      </c>
      <c r="B896" s="1" t="n">
        <v>44795</v>
      </c>
      <c r="C896" s="1" t="n">
        <v>46107</v>
      </c>
      <c r="D896" t="inlineStr">
        <is>
          <t>KALMAR LÄN</t>
        </is>
      </c>
      <c r="E896" t="inlineStr">
        <is>
          <t>VIMMERBY</t>
        </is>
      </c>
      <c r="G896" t="n">
        <v>2.2</v>
      </c>
      <c r="H896" t="n">
        <v>0</v>
      </c>
      <c r="I896" t="n">
        <v>0</v>
      </c>
      <c r="J896" t="n">
        <v>0</v>
      </c>
      <c r="K896" t="n">
        <v>0</v>
      </c>
      <c r="L896" t="n">
        <v>0</v>
      </c>
      <c r="M896" t="n">
        <v>0</v>
      </c>
      <c r="N896" t="n">
        <v>0</v>
      </c>
      <c r="O896" t="n">
        <v>0</v>
      </c>
      <c r="P896" t="n">
        <v>0</v>
      </c>
      <c r="Q896" t="n">
        <v>0</v>
      </c>
      <c r="R896" s="2" t="inlineStr"/>
    </row>
    <row r="897" ht="15" customHeight="1">
      <c r="A897" t="inlineStr">
        <is>
          <t>A 40079-2023</t>
        </is>
      </c>
      <c r="B897" s="1" t="n">
        <v>45168.89298611111</v>
      </c>
      <c r="C897" s="1" t="n">
        <v>46107</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19833-2023</t>
        </is>
      </c>
      <c r="B898" s="1" t="n">
        <v>45052</v>
      </c>
      <c r="C898" s="1" t="n">
        <v>46107</v>
      </c>
      <c r="D898" t="inlineStr">
        <is>
          <t>KALMAR LÄN</t>
        </is>
      </c>
      <c r="E898" t="inlineStr">
        <is>
          <t>VIMMERBY</t>
        </is>
      </c>
      <c r="G898" t="n">
        <v>6.7</v>
      </c>
      <c r="H898" t="n">
        <v>0</v>
      </c>
      <c r="I898" t="n">
        <v>0</v>
      </c>
      <c r="J898" t="n">
        <v>0</v>
      </c>
      <c r="K898" t="n">
        <v>0</v>
      </c>
      <c r="L898" t="n">
        <v>0</v>
      </c>
      <c r="M898" t="n">
        <v>0</v>
      </c>
      <c r="N898" t="n">
        <v>0</v>
      </c>
      <c r="O898" t="n">
        <v>0</v>
      </c>
      <c r="P898" t="n">
        <v>0</v>
      </c>
      <c r="Q898" t="n">
        <v>0</v>
      </c>
      <c r="R898" s="2" t="inlineStr"/>
    </row>
    <row r="899" ht="15" customHeight="1">
      <c r="A899" t="inlineStr">
        <is>
          <t>A 17084-2025</t>
        </is>
      </c>
      <c r="B899" s="1" t="n">
        <v>45755.64450231481</v>
      </c>
      <c r="C899" s="1" t="n">
        <v>46107</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56022-2024</t>
        </is>
      </c>
      <c r="B900" s="1" t="n">
        <v>45623.95947916667</v>
      </c>
      <c r="C900" s="1" t="n">
        <v>46107</v>
      </c>
      <c r="D900" t="inlineStr">
        <is>
          <t>KALMAR LÄN</t>
        </is>
      </c>
      <c r="E900" t="inlineStr">
        <is>
          <t>VIMMERBY</t>
        </is>
      </c>
      <c r="G900" t="n">
        <v>0.3</v>
      </c>
      <c r="H900" t="n">
        <v>0</v>
      </c>
      <c r="I900" t="n">
        <v>0</v>
      </c>
      <c r="J900" t="n">
        <v>0</v>
      </c>
      <c r="K900" t="n">
        <v>0</v>
      </c>
      <c r="L900" t="n">
        <v>0</v>
      </c>
      <c r="M900" t="n">
        <v>0</v>
      </c>
      <c r="N900" t="n">
        <v>0</v>
      </c>
      <c r="O900" t="n">
        <v>0</v>
      </c>
      <c r="P900" t="n">
        <v>0</v>
      </c>
      <c r="Q900" t="n">
        <v>0</v>
      </c>
      <c r="R900" s="2" t="inlineStr"/>
    </row>
    <row r="901" ht="15" customHeight="1">
      <c r="A901" t="inlineStr">
        <is>
          <t>A 11928-2022</t>
        </is>
      </c>
      <c r="B901" s="1" t="n">
        <v>44635</v>
      </c>
      <c r="C901" s="1" t="n">
        <v>46107</v>
      </c>
      <c r="D901" t="inlineStr">
        <is>
          <t>KALMAR LÄN</t>
        </is>
      </c>
      <c r="E901" t="inlineStr">
        <is>
          <t>VIMMERBY</t>
        </is>
      </c>
      <c r="G901" t="n">
        <v>2.8</v>
      </c>
      <c r="H901" t="n">
        <v>0</v>
      </c>
      <c r="I901" t="n">
        <v>0</v>
      </c>
      <c r="J901" t="n">
        <v>0</v>
      </c>
      <c r="K901" t="n">
        <v>0</v>
      </c>
      <c r="L901" t="n">
        <v>0</v>
      </c>
      <c r="M901" t="n">
        <v>0</v>
      </c>
      <c r="N901" t="n">
        <v>0</v>
      </c>
      <c r="O901" t="n">
        <v>0</v>
      </c>
      <c r="P901" t="n">
        <v>0</v>
      </c>
      <c r="Q901" t="n">
        <v>0</v>
      </c>
      <c r="R901" s="2" t="inlineStr"/>
    </row>
    <row r="902" ht="15" customHeight="1">
      <c r="A902" t="inlineStr">
        <is>
          <t>A 5527-2022</t>
        </is>
      </c>
      <c r="B902" s="1" t="n">
        <v>44595.583125</v>
      </c>
      <c r="C902" s="1" t="n">
        <v>46107</v>
      </c>
      <c r="D902" t="inlineStr">
        <is>
          <t>KALMAR LÄN</t>
        </is>
      </c>
      <c r="E902" t="inlineStr">
        <is>
          <t>VIMMERBY</t>
        </is>
      </c>
      <c r="G902" t="n">
        <v>3.6</v>
      </c>
      <c r="H902" t="n">
        <v>0</v>
      </c>
      <c r="I902" t="n">
        <v>0</v>
      </c>
      <c r="J902" t="n">
        <v>0</v>
      </c>
      <c r="K902" t="n">
        <v>0</v>
      </c>
      <c r="L902" t="n">
        <v>0</v>
      </c>
      <c r="M902" t="n">
        <v>0</v>
      </c>
      <c r="N902" t="n">
        <v>0</v>
      </c>
      <c r="O902" t="n">
        <v>0</v>
      </c>
      <c r="P902" t="n">
        <v>0</v>
      </c>
      <c r="Q902" t="n">
        <v>0</v>
      </c>
      <c r="R902" s="2" t="inlineStr"/>
    </row>
    <row r="903" ht="15" customHeight="1">
      <c r="A903" t="inlineStr">
        <is>
          <t>A 49461-2023</t>
        </is>
      </c>
      <c r="B903" s="1" t="n">
        <v>45211.52642361111</v>
      </c>
      <c r="C903" s="1" t="n">
        <v>46107</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49474-2023</t>
        </is>
      </c>
      <c r="B904" s="1" t="n">
        <v>45211.541875</v>
      </c>
      <c r="C904" s="1" t="n">
        <v>46107</v>
      </c>
      <c r="D904" t="inlineStr">
        <is>
          <t>KALMAR LÄN</t>
        </is>
      </c>
      <c r="E904" t="inlineStr">
        <is>
          <t>VIMMERBY</t>
        </is>
      </c>
      <c r="G904" t="n">
        <v>3.6</v>
      </c>
      <c r="H904" t="n">
        <v>0</v>
      </c>
      <c r="I904" t="n">
        <v>0</v>
      </c>
      <c r="J904" t="n">
        <v>0</v>
      </c>
      <c r="K904" t="n">
        <v>0</v>
      </c>
      <c r="L904" t="n">
        <v>0</v>
      </c>
      <c r="M904" t="n">
        <v>0</v>
      </c>
      <c r="N904" t="n">
        <v>0</v>
      </c>
      <c r="O904" t="n">
        <v>0</v>
      </c>
      <c r="P904" t="n">
        <v>0</v>
      </c>
      <c r="Q904" t="n">
        <v>0</v>
      </c>
      <c r="R904" s="2" t="inlineStr"/>
    </row>
    <row r="905" ht="15" customHeight="1">
      <c r="A905" t="inlineStr">
        <is>
          <t>A 61861-2024</t>
        </is>
      </c>
      <c r="B905" s="1" t="n">
        <v>45650.37370370371</v>
      </c>
      <c r="C905" s="1" t="n">
        <v>46107</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45846-2023</t>
        </is>
      </c>
      <c r="B906" s="1" t="n">
        <v>45195.58452546296</v>
      </c>
      <c r="C906" s="1" t="n">
        <v>46107</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8167-2024</t>
        </is>
      </c>
      <c r="B907" s="1" t="n">
        <v>45351.6062962963</v>
      </c>
      <c r="C907" s="1" t="n">
        <v>46107</v>
      </c>
      <c r="D907" t="inlineStr">
        <is>
          <t>KALMAR LÄN</t>
        </is>
      </c>
      <c r="E907" t="inlineStr">
        <is>
          <t>VIMMERBY</t>
        </is>
      </c>
      <c r="G907" t="n">
        <v>3.8</v>
      </c>
      <c r="H907" t="n">
        <v>0</v>
      </c>
      <c r="I907" t="n">
        <v>0</v>
      </c>
      <c r="J907" t="n">
        <v>0</v>
      </c>
      <c r="K907" t="n">
        <v>0</v>
      </c>
      <c r="L907" t="n">
        <v>0</v>
      </c>
      <c r="M907" t="n">
        <v>0</v>
      </c>
      <c r="N907" t="n">
        <v>0</v>
      </c>
      <c r="O907" t="n">
        <v>0</v>
      </c>
      <c r="P907" t="n">
        <v>0</v>
      </c>
      <c r="Q907" t="n">
        <v>0</v>
      </c>
      <c r="R907" s="2" t="inlineStr"/>
    </row>
    <row r="908" ht="15" customHeight="1">
      <c r="A908" t="inlineStr">
        <is>
          <t>A 49382-2023</t>
        </is>
      </c>
      <c r="B908" s="1" t="n">
        <v>45208</v>
      </c>
      <c r="C908" s="1" t="n">
        <v>46107</v>
      </c>
      <c r="D908" t="inlineStr">
        <is>
          <t>KALMAR LÄN</t>
        </is>
      </c>
      <c r="E908" t="inlineStr">
        <is>
          <t>VIMMERBY</t>
        </is>
      </c>
      <c r="G908" t="n">
        <v>2.2</v>
      </c>
      <c r="H908" t="n">
        <v>0</v>
      </c>
      <c r="I908" t="n">
        <v>0</v>
      </c>
      <c r="J908" t="n">
        <v>0</v>
      </c>
      <c r="K908" t="n">
        <v>0</v>
      </c>
      <c r="L908" t="n">
        <v>0</v>
      </c>
      <c r="M908" t="n">
        <v>0</v>
      </c>
      <c r="N908" t="n">
        <v>0</v>
      </c>
      <c r="O908" t="n">
        <v>0</v>
      </c>
      <c r="P908" t="n">
        <v>0</v>
      </c>
      <c r="Q908" t="n">
        <v>0</v>
      </c>
      <c r="R908" s="2" t="inlineStr"/>
    </row>
    <row r="909" ht="15" customHeight="1">
      <c r="A909" t="inlineStr">
        <is>
          <t>A 12121-2025</t>
        </is>
      </c>
      <c r="B909" s="1" t="n">
        <v>45729.36868055556</v>
      </c>
      <c r="C909" s="1" t="n">
        <v>46107</v>
      </c>
      <c r="D909" t="inlineStr">
        <is>
          <t>KALMAR LÄN</t>
        </is>
      </c>
      <c r="E909" t="inlineStr">
        <is>
          <t>VIMMERBY</t>
        </is>
      </c>
      <c r="G909" t="n">
        <v>4.3</v>
      </c>
      <c r="H909" t="n">
        <v>0</v>
      </c>
      <c r="I909" t="n">
        <v>0</v>
      </c>
      <c r="J909" t="n">
        <v>0</v>
      </c>
      <c r="K909" t="n">
        <v>0</v>
      </c>
      <c r="L909" t="n">
        <v>0</v>
      </c>
      <c r="M909" t="n">
        <v>0</v>
      </c>
      <c r="N909" t="n">
        <v>0</v>
      </c>
      <c r="O909" t="n">
        <v>0</v>
      </c>
      <c r="P909" t="n">
        <v>0</v>
      </c>
      <c r="Q909" t="n">
        <v>0</v>
      </c>
      <c r="R909" s="2" t="inlineStr"/>
    </row>
    <row r="910" ht="15" customHeight="1">
      <c r="A910" t="inlineStr">
        <is>
          <t>A 35846-2023</t>
        </is>
      </c>
      <c r="B910" s="1" t="n">
        <v>45148</v>
      </c>
      <c r="C910" s="1" t="n">
        <v>46107</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35913-2023</t>
        </is>
      </c>
      <c r="B911" s="1" t="n">
        <v>45148</v>
      </c>
      <c r="C911" s="1" t="n">
        <v>46107</v>
      </c>
      <c r="D911" t="inlineStr">
        <is>
          <t>KALMAR LÄN</t>
        </is>
      </c>
      <c r="E911" t="inlineStr">
        <is>
          <t>VIMMERBY</t>
        </is>
      </c>
      <c r="G911" t="n">
        <v>6.9</v>
      </c>
      <c r="H911" t="n">
        <v>0</v>
      </c>
      <c r="I911" t="n">
        <v>0</v>
      </c>
      <c r="J911" t="n">
        <v>0</v>
      </c>
      <c r="K911" t="n">
        <v>0</v>
      </c>
      <c r="L911" t="n">
        <v>0</v>
      </c>
      <c r="M911" t="n">
        <v>0</v>
      </c>
      <c r="N911" t="n">
        <v>0</v>
      </c>
      <c r="O911" t="n">
        <v>0</v>
      </c>
      <c r="P911" t="n">
        <v>0</v>
      </c>
      <c r="Q911" t="n">
        <v>0</v>
      </c>
      <c r="R911" s="2" t="inlineStr"/>
    </row>
    <row r="912" ht="15" customHeight="1">
      <c r="A912" t="inlineStr">
        <is>
          <t>A 38757-2023</t>
        </is>
      </c>
      <c r="B912" s="1" t="n">
        <v>45163.41376157408</v>
      </c>
      <c r="C912" s="1" t="n">
        <v>46107</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20136-2024</t>
        </is>
      </c>
      <c r="B913" s="1" t="n">
        <v>45434.56291666667</v>
      </c>
      <c r="C913" s="1" t="n">
        <v>46107</v>
      </c>
      <c r="D913" t="inlineStr">
        <is>
          <t>KALMAR LÄN</t>
        </is>
      </c>
      <c r="E913" t="inlineStr">
        <is>
          <t>VIMMERBY</t>
        </is>
      </c>
      <c r="F913" t="inlineStr">
        <is>
          <t>Sveaskog</t>
        </is>
      </c>
      <c r="G913" t="n">
        <v>8.4</v>
      </c>
      <c r="H913" t="n">
        <v>0</v>
      </c>
      <c r="I913" t="n">
        <v>0</v>
      </c>
      <c r="J913" t="n">
        <v>0</v>
      </c>
      <c r="K913" t="n">
        <v>0</v>
      </c>
      <c r="L913" t="n">
        <v>0</v>
      </c>
      <c r="M913" t="n">
        <v>0</v>
      </c>
      <c r="N913" t="n">
        <v>0</v>
      </c>
      <c r="O913" t="n">
        <v>0</v>
      </c>
      <c r="P913" t="n">
        <v>0</v>
      </c>
      <c r="Q913" t="n">
        <v>0</v>
      </c>
      <c r="R913" s="2" t="inlineStr"/>
    </row>
    <row r="914" ht="15" customHeight="1">
      <c r="A914" t="inlineStr">
        <is>
          <t>A 24283-2023</t>
        </is>
      </c>
      <c r="B914" s="1" t="n">
        <v>45079.87827546296</v>
      </c>
      <c r="C914" s="1" t="n">
        <v>46107</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59598-2023</t>
        </is>
      </c>
      <c r="B915" s="1" t="n">
        <v>45254.62489583333</v>
      </c>
      <c r="C915" s="1" t="n">
        <v>46107</v>
      </c>
      <c r="D915" t="inlineStr">
        <is>
          <t>KALMAR LÄN</t>
        </is>
      </c>
      <c r="E915" t="inlineStr">
        <is>
          <t>VIMMERBY</t>
        </is>
      </c>
      <c r="F915" t="inlineStr">
        <is>
          <t>Övriga Aktiebolag</t>
        </is>
      </c>
      <c r="G915" t="n">
        <v>4</v>
      </c>
      <c r="H915" t="n">
        <v>0</v>
      </c>
      <c r="I915" t="n">
        <v>0</v>
      </c>
      <c r="J915" t="n">
        <v>0</v>
      </c>
      <c r="K915" t="n">
        <v>0</v>
      </c>
      <c r="L915" t="n">
        <v>0</v>
      </c>
      <c r="M915" t="n">
        <v>0</v>
      </c>
      <c r="N915" t="n">
        <v>0</v>
      </c>
      <c r="O915" t="n">
        <v>0</v>
      </c>
      <c r="P915" t="n">
        <v>0</v>
      </c>
      <c r="Q915" t="n">
        <v>0</v>
      </c>
      <c r="R915" s="2" t="inlineStr"/>
    </row>
    <row r="916" ht="15" customHeight="1">
      <c r="A916" t="inlineStr">
        <is>
          <t>A 30920-2023</t>
        </is>
      </c>
      <c r="B916" s="1" t="n">
        <v>45113.43921296296</v>
      </c>
      <c r="C916" s="1" t="n">
        <v>46107</v>
      </c>
      <c r="D916" t="inlineStr">
        <is>
          <t>KALMAR LÄN</t>
        </is>
      </c>
      <c r="E916" t="inlineStr">
        <is>
          <t>VIMMERBY</t>
        </is>
      </c>
      <c r="G916" t="n">
        <v>3.1</v>
      </c>
      <c r="H916" t="n">
        <v>0</v>
      </c>
      <c r="I916" t="n">
        <v>0</v>
      </c>
      <c r="J916" t="n">
        <v>0</v>
      </c>
      <c r="K916" t="n">
        <v>0</v>
      </c>
      <c r="L916" t="n">
        <v>0</v>
      </c>
      <c r="M916" t="n">
        <v>0</v>
      </c>
      <c r="N916" t="n">
        <v>0</v>
      </c>
      <c r="O916" t="n">
        <v>0</v>
      </c>
      <c r="P916" t="n">
        <v>0</v>
      </c>
      <c r="Q916" t="n">
        <v>0</v>
      </c>
      <c r="R916" s="2" t="inlineStr"/>
    </row>
    <row r="917" ht="15" customHeight="1">
      <c r="A917" t="inlineStr">
        <is>
          <t>A 40929-2022</t>
        </is>
      </c>
      <c r="B917" s="1" t="n">
        <v>44825.4336574074</v>
      </c>
      <c r="C917" s="1" t="n">
        <v>46107</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33380-2023</t>
        </is>
      </c>
      <c r="B918" s="1" t="n">
        <v>45128</v>
      </c>
      <c r="C918" s="1" t="n">
        <v>46107</v>
      </c>
      <c r="D918" t="inlineStr">
        <is>
          <t>KALMAR LÄN</t>
        </is>
      </c>
      <c r="E918" t="inlineStr">
        <is>
          <t>VIMMERBY</t>
        </is>
      </c>
      <c r="G918" t="n">
        <v>5.2</v>
      </c>
      <c r="H918" t="n">
        <v>0</v>
      </c>
      <c r="I918" t="n">
        <v>0</v>
      </c>
      <c r="J918" t="n">
        <v>0</v>
      </c>
      <c r="K918" t="n">
        <v>0</v>
      </c>
      <c r="L918" t="n">
        <v>0</v>
      </c>
      <c r="M918" t="n">
        <v>0</v>
      </c>
      <c r="N918" t="n">
        <v>0</v>
      </c>
      <c r="O918" t="n">
        <v>0</v>
      </c>
      <c r="P918" t="n">
        <v>0</v>
      </c>
      <c r="Q918" t="n">
        <v>0</v>
      </c>
      <c r="R918" s="2" t="inlineStr"/>
    </row>
    <row r="919">
      <c r="A919" t="inlineStr">
        <is>
          <t>A 46144-2023</t>
        </is>
      </c>
      <c r="B919" s="1" t="n">
        <v>45196.57247685185</v>
      </c>
      <c r="C919" s="1" t="n">
        <v>46107</v>
      </c>
      <c r="D919" t="inlineStr">
        <is>
          <t>KALMAR LÄN</t>
        </is>
      </c>
      <c r="E919" t="inlineStr">
        <is>
          <t>VIMMERBY</t>
        </is>
      </c>
      <c r="G919" t="n">
        <v>6.5</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2026-03-26T11:42:56Z</dcterms:created>
  <dcterms:modified xmlns:dcterms="http://purl.org/dc/terms/" xmlns:xsi="http://www.w3.org/2001/XMLSchema-instance" xsi:type="dcterms:W3CDTF">2026-03-26T11:42:57Z</dcterms:modified>
</cp:coreProperties>
</file>