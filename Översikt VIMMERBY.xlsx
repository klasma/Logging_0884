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45935</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45935</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45935</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15808-2025</t>
        </is>
      </c>
      <c r="B11" s="1" t="n">
        <v>45748</v>
      </c>
      <c r="C11" s="1" t="n">
        <v>45935</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45935</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45935</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45935</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45935</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37667-2025</t>
        </is>
      </c>
      <c r="B16" s="1" t="n">
        <v>45880.51413194444</v>
      </c>
      <c r="C16" s="1" t="n">
        <v>45935</v>
      </c>
      <c r="D16" t="inlineStr">
        <is>
          <t>KALMAR LÄN</t>
        </is>
      </c>
      <c r="E16" t="inlineStr">
        <is>
          <t>VIMMERBY</t>
        </is>
      </c>
      <c r="F16" t="inlineStr">
        <is>
          <t>Sveaskog</t>
        </is>
      </c>
      <c r="G16" t="n">
        <v>2.1</v>
      </c>
      <c r="H16" t="n">
        <v>2</v>
      </c>
      <c r="I16" t="n">
        <v>0</v>
      </c>
      <c r="J16" t="n">
        <v>0</v>
      </c>
      <c r="K16" t="n">
        <v>2</v>
      </c>
      <c r="L16" t="n">
        <v>0</v>
      </c>
      <c r="M16" t="n">
        <v>0</v>
      </c>
      <c r="N16" t="n">
        <v>0</v>
      </c>
      <c r="O16" t="n">
        <v>2</v>
      </c>
      <c r="P16" t="n">
        <v>2</v>
      </c>
      <c r="Q16" t="n">
        <v>3</v>
      </c>
      <c r="R16" s="2" t="inlineStr">
        <is>
          <t>Aspfjädermossa
Knärot
Blåsippa</t>
        </is>
      </c>
      <c r="S16">
        <f>HYPERLINK("https://klasma.github.io/Logging_0884/artfynd/A 37667-2025 artfynd.xlsx", "A 37667-2025")</f>
        <v/>
      </c>
      <c r="T16">
        <f>HYPERLINK("https://klasma.github.io/Logging_0884/kartor/A 37667-2025 karta.png", "A 37667-2025")</f>
        <v/>
      </c>
      <c r="U16">
        <f>HYPERLINK("https://klasma.github.io/Logging_0884/knärot/A 37667-2025 karta knärot.png", "A 37667-2025")</f>
        <v/>
      </c>
      <c r="V16">
        <f>HYPERLINK("https://klasma.github.io/Logging_0884/klagomål/A 37667-2025 FSC-klagomål.docx", "A 37667-2025")</f>
        <v/>
      </c>
      <c r="W16">
        <f>HYPERLINK("https://klasma.github.io/Logging_0884/klagomålsmail/A 37667-2025 FSC-klagomål mail.docx", "A 37667-2025")</f>
        <v/>
      </c>
      <c r="X16">
        <f>HYPERLINK("https://klasma.github.io/Logging_0884/tillsyn/A 37667-2025 tillsynsbegäran.docx", "A 37667-2025")</f>
        <v/>
      </c>
      <c r="Y16">
        <f>HYPERLINK("https://klasma.github.io/Logging_0884/tillsynsmail/A 37667-2025 tillsynsbegäran mail.docx", "A 37667-2025")</f>
        <v/>
      </c>
    </row>
    <row r="17" ht="15" customHeight="1">
      <c r="A17" t="inlineStr">
        <is>
          <t>A 14584-2025</t>
        </is>
      </c>
      <c r="B17" s="1" t="n">
        <v>45742</v>
      </c>
      <c r="C17" s="1" t="n">
        <v>45935</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45935</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45935</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45935</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45935</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45935</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42802-2025</t>
        </is>
      </c>
      <c r="B23" s="1" t="n">
        <v>45908</v>
      </c>
      <c r="C23" s="1" t="n">
        <v>45935</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2518-2023</t>
        </is>
      </c>
      <c r="B24" s="1" t="n">
        <v>44943</v>
      </c>
      <c r="C24" s="1" t="n">
        <v>45935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14024-2023</t>
        </is>
      </c>
      <c r="B25" s="1" t="n">
        <v>45008.60878472222</v>
      </c>
      <c r="C25" s="1" t="n">
        <v>45935</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17935-2025</t>
        </is>
      </c>
      <c r="B26" s="1" t="n">
        <v>45760.34877314815</v>
      </c>
      <c r="C26" s="1" t="n">
        <v>45935</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19158-2023</t>
        </is>
      </c>
      <c r="B27" s="1" t="n">
        <v>45048</v>
      </c>
      <c r="C27" s="1" t="n">
        <v>45935</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22396-2025</t>
        </is>
      </c>
      <c r="B28" s="1" t="n">
        <v>45786.52827546297</v>
      </c>
      <c r="C28" s="1" t="n">
        <v>45935</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40684-2025</t>
        </is>
      </c>
      <c r="B29" s="1" t="n">
        <v>45896.86820601852</v>
      </c>
      <c r="C29" s="1" t="n">
        <v>45935</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22825-2023</t>
        </is>
      </c>
      <c r="B30" s="1" t="n">
        <v>45072</v>
      </c>
      <c r="C30" s="1" t="n">
        <v>45935</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32396-2021</t>
        </is>
      </c>
      <c r="B31" s="1" t="n">
        <v>44371</v>
      </c>
      <c r="C31" s="1" t="n">
        <v>45935</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45935</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45935</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23602-2023</t>
        </is>
      </c>
      <c r="B34" s="1" t="n">
        <v>45077</v>
      </c>
      <c r="C34" s="1" t="n">
        <v>45935</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44515-2024</t>
        </is>
      </c>
      <c r="B35" s="1" t="n">
        <v>45574.42767361111</v>
      </c>
      <c r="C35" s="1" t="n">
        <v>45935</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52301-2023</t>
        </is>
      </c>
      <c r="B36" s="1" t="n">
        <v>45224</v>
      </c>
      <c r="C36" s="1" t="n">
        <v>45935</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46824-2025</t>
        </is>
      </c>
      <c r="B37" s="1" t="n">
        <v>45926.90006944445</v>
      </c>
      <c r="C37" s="1" t="n">
        <v>45935</v>
      </c>
      <c r="D37" t="inlineStr">
        <is>
          <t>KALMAR LÄN</t>
        </is>
      </c>
      <c r="E37" t="inlineStr">
        <is>
          <t>VIMMERBY</t>
        </is>
      </c>
      <c r="G37" t="n">
        <v>2.8</v>
      </c>
      <c r="H37" t="n">
        <v>1</v>
      </c>
      <c r="I37" t="n">
        <v>0</v>
      </c>
      <c r="J37" t="n">
        <v>0</v>
      </c>
      <c r="K37" t="n">
        <v>1</v>
      </c>
      <c r="L37" t="n">
        <v>0</v>
      </c>
      <c r="M37" t="n">
        <v>0</v>
      </c>
      <c r="N37" t="n">
        <v>0</v>
      </c>
      <c r="O37" t="n">
        <v>1</v>
      </c>
      <c r="P37" t="n">
        <v>1</v>
      </c>
      <c r="Q37" t="n">
        <v>1</v>
      </c>
      <c r="R37" s="2" t="inlineStr">
        <is>
          <t>Knärot</t>
        </is>
      </c>
      <c r="S37">
        <f>HYPERLINK("https://klasma.github.io/Logging_0884/artfynd/A 46824-2025 artfynd.xlsx", "A 46824-2025")</f>
        <v/>
      </c>
      <c r="T37">
        <f>HYPERLINK("https://klasma.github.io/Logging_0884/kartor/A 46824-2025 karta.png", "A 46824-2025")</f>
        <v/>
      </c>
      <c r="U37">
        <f>HYPERLINK("https://klasma.github.io/Logging_0884/knärot/A 46824-2025 karta knärot.png", "A 46824-2025")</f>
        <v/>
      </c>
      <c r="V37">
        <f>HYPERLINK("https://klasma.github.io/Logging_0884/klagomål/A 46824-2025 FSC-klagomål.docx", "A 46824-2025")</f>
        <v/>
      </c>
      <c r="W37">
        <f>HYPERLINK("https://klasma.github.io/Logging_0884/klagomålsmail/A 46824-2025 FSC-klagomål mail.docx", "A 46824-2025")</f>
        <v/>
      </c>
      <c r="X37">
        <f>HYPERLINK("https://klasma.github.io/Logging_0884/tillsyn/A 46824-2025 tillsynsbegäran.docx", "A 46824-2025")</f>
        <v/>
      </c>
      <c r="Y37">
        <f>HYPERLINK("https://klasma.github.io/Logging_0884/tillsynsmail/A 46824-2025 tillsynsbegäran mail.docx", "A 46824-2025")</f>
        <v/>
      </c>
    </row>
    <row r="38" ht="15" customHeight="1">
      <c r="A38" t="inlineStr">
        <is>
          <t>A 6841-2021</t>
        </is>
      </c>
      <c r="B38" s="1" t="n">
        <v>44236</v>
      </c>
      <c r="C38" s="1" t="n">
        <v>45935</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32985-2023</t>
        </is>
      </c>
      <c r="B39" s="1" t="n">
        <v>45125</v>
      </c>
      <c r="C39" s="1" t="n">
        <v>45935</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38602-2025</t>
        </is>
      </c>
      <c r="B40" s="1" t="n">
        <v>45884.50331018519</v>
      </c>
      <c r="C40" s="1" t="n">
        <v>45935</v>
      </c>
      <c r="D40" t="inlineStr">
        <is>
          <t>KALMAR LÄN</t>
        </is>
      </c>
      <c r="E40" t="inlineStr">
        <is>
          <t>VIMMERBY</t>
        </is>
      </c>
      <c r="F40" t="inlineStr">
        <is>
          <t>Sveaskog</t>
        </is>
      </c>
      <c r="G40" t="n">
        <v>4.9</v>
      </c>
      <c r="H40" t="n">
        <v>1</v>
      </c>
      <c r="I40" t="n">
        <v>0</v>
      </c>
      <c r="J40" t="n">
        <v>0</v>
      </c>
      <c r="K40" t="n">
        <v>1</v>
      </c>
      <c r="L40" t="n">
        <v>0</v>
      </c>
      <c r="M40" t="n">
        <v>0</v>
      </c>
      <c r="N40" t="n">
        <v>0</v>
      </c>
      <c r="O40" t="n">
        <v>1</v>
      </c>
      <c r="P40" t="n">
        <v>1</v>
      </c>
      <c r="Q40" t="n">
        <v>1</v>
      </c>
      <c r="R40" s="2" t="inlineStr">
        <is>
          <t>Knärot</t>
        </is>
      </c>
      <c r="S40">
        <f>HYPERLINK("https://klasma.github.io/Logging_0884/artfynd/A 38602-2025 artfynd.xlsx", "A 38602-2025")</f>
        <v/>
      </c>
      <c r="T40">
        <f>HYPERLINK("https://klasma.github.io/Logging_0884/kartor/A 38602-2025 karta.png", "A 38602-2025")</f>
        <v/>
      </c>
      <c r="U40">
        <f>HYPERLINK("https://klasma.github.io/Logging_0884/knärot/A 38602-2025 karta knärot.png", "A 38602-2025")</f>
        <v/>
      </c>
      <c r="V40">
        <f>HYPERLINK("https://klasma.github.io/Logging_0884/klagomål/A 38602-2025 FSC-klagomål.docx", "A 38602-2025")</f>
        <v/>
      </c>
      <c r="W40">
        <f>HYPERLINK("https://klasma.github.io/Logging_0884/klagomålsmail/A 38602-2025 FSC-klagomål mail.docx", "A 38602-2025")</f>
        <v/>
      </c>
      <c r="X40">
        <f>HYPERLINK("https://klasma.github.io/Logging_0884/tillsyn/A 38602-2025 tillsynsbegäran.docx", "A 38602-2025")</f>
        <v/>
      </c>
      <c r="Y40">
        <f>HYPERLINK("https://klasma.github.io/Logging_0884/tillsynsmail/A 38602-2025 tillsynsbegäran mail.docx", "A 38602-2025")</f>
        <v/>
      </c>
    </row>
    <row r="41" ht="15" customHeight="1">
      <c r="A41" t="inlineStr">
        <is>
          <t>A 40083-2023</t>
        </is>
      </c>
      <c r="B41" s="1" t="n">
        <v>45168</v>
      </c>
      <c r="C41" s="1" t="n">
        <v>45935</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45935</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61860-2024</t>
        </is>
      </c>
      <c r="B43" s="1" t="n">
        <v>45649</v>
      </c>
      <c r="C43" s="1" t="n">
        <v>45935</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15122-2024</t>
        </is>
      </c>
      <c r="B44" s="1" t="n">
        <v>45399.71412037037</v>
      </c>
      <c r="C44" s="1" t="n">
        <v>45935</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1201-2025</t>
        </is>
      </c>
      <c r="B45" s="1" t="n">
        <v>45667</v>
      </c>
      <c r="C45" s="1" t="n">
        <v>45935</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45935</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37930-2021</t>
        </is>
      </c>
      <c r="B47" s="1" t="n">
        <v>44403</v>
      </c>
      <c r="C47" s="1" t="n">
        <v>45935</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45935</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45935</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45935</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45935</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45935</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45935</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45935</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45935</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45935</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45935</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45935</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45935</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45935</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45935</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45935</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45935</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45935</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45935</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45935</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45935</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45935</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45935</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45935</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45935</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45935</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45935</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45935</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45935</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45935</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45935</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45935</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45935</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45935</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45935</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45935</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45935</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45935</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45935</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45935</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45935</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45935</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45935</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45935</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45935</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45935</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45935</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45935</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45935</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45935</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45935</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45935</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45935</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45935</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45935</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45935</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45935</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45935</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45935</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45935</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45935</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45935</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45935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45935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45935</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45935</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45935</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45935</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45935</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45935</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45935</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45935</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45935</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45935</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45935</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45935</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45935</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45935</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52073-2020</t>
        </is>
      </c>
      <c r="B126" s="1" t="n">
        <v>44117</v>
      </c>
      <c r="C126" s="1" t="n">
        <v>45935</v>
      </c>
      <c r="D126" t="inlineStr">
        <is>
          <t>KALMAR LÄN</t>
        </is>
      </c>
      <c r="E126" t="inlineStr">
        <is>
          <t>VIMMERBY</t>
        </is>
      </c>
      <c r="G126" t="n">
        <v>2.3</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45935</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45935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45935</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45935</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45935</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56385-2021</t>
        </is>
      </c>
      <c r="B132" s="1" t="n">
        <v>44480</v>
      </c>
      <c r="C132" s="1" t="n">
        <v>45935</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24738-2021</t>
        </is>
      </c>
      <c r="B133" s="1" t="n">
        <v>44340.58002314815</v>
      </c>
      <c r="C133" s="1" t="n">
        <v>45935</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31053-2022</t>
        </is>
      </c>
      <c r="B134" s="1" t="n">
        <v>44769.45422453704</v>
      </c>
      <c r="C134" s="1" t="n">
        <v>45935</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8454-2022</t>
        </is>
      </c>
      <c r="B135" s="1" t="n">
        <v>44612.86762731482</v>
      </c>
      <c r="C135" s="1" t="n">
        <v>45935</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65887-2021</t>
        </is>
      </c>
      <c r="B136" s="1" t="n">
        <v>44517</v>
      </c>
      <c r="C136" s="1" t="n">
        <v>45935</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39959-2022</t>
        </is>
      </c>
      <c r="B137" s="1" t="n">
        <v>44819</v>
      </c>
      <c r="C137" s="1" t="n">
        <v>45935</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65564-2020</t>
        </is>
      </c>
      <c r="B138" s="1" t="n">
        <v>44172</v>
      </c>
      <c r="C138" s="1" t="n">
        <v>45935</v>
      </c>
      <c r="D138" t="inlineStr">
        <is>
          <t>KALMAR LÄN</t>
        </is>
      </c>
      <c r="E138" t="inlineStr">
        <is>
          <t>VIMMERBY</t>
        </is>
      </c>
      <c r="G138" t="n">
        <v>4.1</v>
      </c>
      <c r="H138" t="n">
        <v>0</v>
      </c>
      <c r="I138" t="n">
        <v>0</v>
      </c>
      <c r="J138" t="n">
        <v>0</v>
      </c>
      <c r="K138" t="n">
        <v>0</v>
      </c>
      <c r="L138" t="n">
        <v>0</v>
      </c>
      <c r="M138" t="n">
        <v>0</v>
      </c>
      <c r="N138" t="n">
        <v>0</v>
      </c>
      <c r="O138" t="n">
        <v>0</v>
      </c>
      <c r="P138" t="n">
        <v>0</v>
      </c>
      <c r="Q138" t="n">
        <v>0</v>
      </c>
      <c r="R138" s="2" t="inlineStr"/>
    </row>
    <row r="139" ht="15" customHeight="1">
      <c r="A139" t="inlineStr">
        <is>
          <t>A 48377-2021</t>
        </is>
      </c>
      <c r="B139" s="1" t="n">
        <v>44451.8375</v>
      </c>
      <c r="C139" s="1" t="n">
        <v>45935</v>
      </c>
      <c r="D139" t="inlineStr">
        <is>
          <t>KALMAR LÄN</t>
        </is>
      </c>
      <c r="E139" t="inlineStr">
        <is>
          <t>VIMMERBY</t>
        </is>
      </c>
      <c r="G139" t="n">
        <v>0.4</v>
      </c>
      <c r="H139" t="n">
        <v>0</v>
      </c>
      <c r="I139" t="n">
        <v>0</v>
      </c>
      <c r="J139" t="n">
        <v>0</v>
      </c>
      <c r="K139" t="n">
        <v>0</v>
      </c>
      <c r="L139" t="n">
        <v>0</v>
      </c>
      <c r="M139" t="n">
        <v>0</v>
      </c>
      <c r="N139" t="n">
        <v>0</v>
      </c>
      <c r="O139" t="n">
        <v>0</v>
      </c>
      <c r="P139" t="n">
        <v>0</v>
      </c>
      <c r="Q139" t="n">
        <v>0</v>
      </c>
      <c r="R139" s="2" t="inlineStr"/>
    </row>
    <row r="140" ht="15" customHeight="1">
      <c r="A140" t="inlineStr">
        <is>
          <t>A 40472-2022</t>
        </is>
      </c>
      <c r="B140" s="1" t="n">
        <v>44823</v>
      </c>
      <c r="C140" s="1" t="n">
        <v>45935</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53145-2022</t>
        </is>
      </c>
      <c r="B141" s="1" t="n">
        <v>44876.48346064815</v>
      </c>
      <c r="C141" s="1" t="n">
        <v>45935</v>
      </c>
      <c r="D141" t="inlineStr">
        <is>
          <t>KALMAR LÄN</t>
        </is>
      </c>
      <c r="E141" t="inlineStr">
        <is>
          <t>VIMMERBY</t>
        </is>
      </c>
      <c r="G141" t="n">
        <v>0.4</v>
      </c>
      <c r="H141" t="n">
        <v>0</v>
      </c>
      <c r="I141" t="n">
        <v>0</v>
      </c>
      <c r="J141" t="n">
        <v>0</v>
      </c>
      <c r="K141" t="n">
        <v>0</v>
      </c>
      <c r="L141" t="n">
        <v>0</v>
      </c>
      <c r="M141" t="n">
        <v>0</v>
      </c>
      <c r="N141" t="n">
        <v>0</v>
      </c>
      <c r="O141" t="n">
        <v>0</v>
      </c>
      <c r="P141" t="n">
        <v>0</v>
      </c>
      <c r="Q141" t="n">
        <v>0</v>
      </c>
      <c r="R141" s="2" t="inlineStr"/>
    </row>
    <row r="142" ht="15" customHeight="1">
      <c r="A142" t="inlineStr">
        <is>
          <t>A 25738-2022</t>
        </is>
      </c>
      <c r="B142" s="1" t="n">
        <v>44733.43092592592</v>
      </c>
      <c r="C142" s="1" t="n">
        <v>45935</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35316-2021</t>
        </is>
      </c>
      <c r="B143" s="1" t="n">
        <v>44384</v>
      </c>
      <c r="C143" s="1" t="n">
        <v>45935</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33831-2022</t>
        </is>
      </c>
      <c r="B144" s="1" t="n">
        <v>44790.48503472222</v>
      </c>
      <c r="C144" s="1" t="n">
        <v>45935</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47708-2022</t>
        </is>
      </c>
      <c r="B145" s="1" t="n">
        <v>44854.59157407407</v>
      </c>
      <c r="C145" s="1" t="n">
        <v>45935</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9918-2022</t>
        </is>
      </c>
      <c r="B146" s="1" t="n">
        <v>44620</v>
      </c>
      <c r="C146" s="1" t="n">
        <v>45935</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45935</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12661-2021</t>
        </is>
      </c>
      <c r="B148" s="1" t="n">
        <v>44270</v>
      </c>
      <c r="C148" s="1" t="n">
        <v>45935</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15191-2021</t>
        </is>
      </c>
      <c r="B149" s="1" t="n">
        <v>44284.42348379629</v>
      </c>
      <c r="C149" s="1" t="n">
        <v>45935</v>
      </c>
      <c r="D149" t="inlineStr">
        <is>
          <t>KALMAR LÄN</t>
        </is>
      </c>
      <c r="E149" t="inlineStr">
        <is>
          <t>VIMMERBY</t>
        </is>
      </c>
      <c r="G149" t="n">
        <v>1.3</v>
      </c>
      <c r="H149" t="n">
        <v>0</v>
      </c>
      <c r="I149" t="n">
        <v>0</v>
      </c>
      <c r="J149" t="n">
        <v>0</v>
      </c>
      <c r="K149" t="n">
        <v>0</v>
      </c>
      <c r="L149" t="n">
        <v>0</v>
      </c>
      <c r="M149" t="n">
        <v>0</v>
      </c>
      <c r="N149" t="n">
        <v>0</v>
      </c>
      <c r="O149" t="n">
        <v>0</v>
      </c>
      <c r="P149" t="n">
        <v>0</v>
      </c>
      <c r="Q149" t="n">
        <v>0</v>
      </c>
      <c r="R149" s="2" t="inlineStr"/>
    </row>
    <row r="150" ht="15" customHeight="1">
      <c r="A150" t="inlineStr">
        <is>
          <t>A 24999-2021</t>
        </is>
      </c>
      <c r="B150" s="1" t="n">
        <v>44341</v>
      </c>
      <c r="C150" s="1" t="n">
        <v>45935</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7917-2022</t>
        </is>
      </c>
      <c r="B151" s="1" t="n">
        <v>44608</v>
      </c>
      <c r="C151" s="1" t="n">
        <v>45935</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47208-2021</t>
        </is>
      </c>
      <c r="B152" s="1" t="n">
        <v>44447.34237268518</v>
      </c>
      <c r="C152" s="1" t="n">
        <v>45935</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40971-2021</t>
        </is>
      </c>
      <c r="B153" s="1" t="n">
        <v>44421</v>
      </c>
      <c r="C153" s="1" t="n">
        <v>45935</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32603-2021</t>
        </is>
      </c>
      <c r="B154" s="1" t="n">
        <v>44375.38789351852</v>
      </c>
      <c r="C154" s="1" t="n">
        <v>45935</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68744-2020</t>
        </is>
      </c>
      <c r="B155" s="1" t="n">
        <v>44186</v>
      </c>
      <c r="C155" s="1" t="n">
        <v>45935</v>
      </c>
      <c r="D155" t="inlineStr">
        <is>
          <t>KALMAR LÄN</t>
        </is>
      </c>
      <c r="E155" t="inlineStr">
        <is>
          <t>VIMMERBY</t>
        </is>
      </c>
      <c r="G155" t="n">
        <v>2.5</v>
      </c>
      <c r="H155" t="n">
        <v>0</v>
      </c>
      <c r="I155" t="n">
        <v>0</v>
      </c>
      <c r="J155" t="n">
        <v>0</v>
      </c>
      <c r="K155" t="n">
        <v>0</v>
      </c>
      <c r="L155" t="n">
        <v>0</v>
      </c>
      <c r="M155" t="n">
        <v>0</v>
      </c>
      <c r="N155" t="n">
        <v>0</v>
      </c>
      <c r="O155" t="n">
        <v>0</v>
      </c>
      <c r="P155" t="n">
        <v>0</v>
      </c>
      <c r="Q155" t="n">
        <v>0</v>
      </c>
      <c r="R155" s="2" t="inlineStr"/>
    </row>
    <row r="156" ht="15" customHeight="1">
      <c r="A156" t="inlineStr">
        <is>
          <t>A 16705-2021</t>
        </is>
      </c>
      <c r="B156" s="1" t="n">
        <v>44294</v>
      </c>
      <c r="C156" s="1" t="n">
        <v>45935</v>
      </c>
      <c r="D156" t="inlineStr">
        <is>
          <t>KALMAR LÄN</t>
        </is>
      </c>
      <c r="E156" t="inlineStr">
        <is>
          <t>VIMMERBY</t>
        </is>
      </c>
      <c r="G156" t="n">
        <v>2.6</v>
      </c>
      <c r="H156" t="n">
        <v>0</v>
      </c>
      <c r="I156" t="n">
        <v>0</v>
      </c>
      <c r="J156" t="n">
        <v>0</v>
      </c>
      <c r="K156" t="n">
        <v>0</v>
      </c>
      <c r="L156" t="n">
        <v>0</v>
      </c>
      <c r="M156" t="n">
        <v>0</v>
      </c>
      <c r="N156" t="n">
        <v>0</v>
      </c>
      <c r="O156" t="n">
        <v>0</v>
      </c>
      <c r="P156" t="n">
        <v>0</v>
      </c>
      <c r="Q156" t="n">
        <v>0</v>
      </c>
      <c r="R156" s="2" t="inlineStr"/>
    </row>
    <row r="157" ht="15" customHeight="1">
      <c r="A157" t="inlineStr">
        <is>
          <t>A 51977-2020</t>
        </is>
      </c>
      <c r="B157" s="1" t="n">
        <v>44116</v>
      </c>
      <c r="C157" s="1" t="n">
        <v>45935</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13457-2021</t>
        </is>
      </c>
      <c r="B158" s="1" t="n">
        <v>44273</v>
      </c>
      <c r="C158" s="1" t="n">
        <v>45935</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45935</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14278-2021</t>
        </is>
      </c>
      <c r="B160" s="1" t="n">
        <v>44278.63479166666</v>
      </c>
      <c r="C160" s="1" t="n">
        <v>45935</v>
      </c>
      <c r="D160" t="inlineStr">
        <is>
          <t>KALMAR LÄN</t>
        </is>
      </c>
      <c r="E160" t="inlineStr">
        <is>
          <t>VIMMERBY</t>
        </is>
      </c>
      <c r="F160" t="inlineStr">
        <is>
          <t>Övriga statliga verk och myndigheter</t>
        </is>
      </c>
      <c r="G160" t="n">
        <v>0.8</v>
      </c>
      <c r="H160" t="n">
        <v>0</v>
      </c>
      <c r="I160" t="n">
        <v>0</v>
      </c>
      <c r="J160" t="n">
        <v>0</v>
      </c>
      <c r="K160" t="n">
        <v>0</v>
      </c>
      <c r="L160" t="n">
        <v>0</v>
      </c>
      <c r="M160" t="n">
        <v>0</v>
      </c>
      <c r="N160" t="n">
        <v>0</v>
      </c>
      <c r="O160" t="n">
        <v>0</v>
      </c>
      <c r="P160" t="n">
        <v>0</v>
      </c>
      <c r="Q160" t="n">
        <v>0</v>
      </c>
      <c r="R160" s="2" t="inlineStr"/>
    </row>
    <row r="161" ht="15" customHeight="1">
      <c r="A161" t="inlineStr">
        <is>
          <t>A 618-2021</t>
        </is>
      </c>
      <c r="B161" s="1" t="n">
        <v>44203</v>
      </c>
      <c r="C161" s="1" t="n">
        <v>45935</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42521-2021</t>
        </is>
      </c>
      <c r="B162" s="1" t="n">
        <v>44427</v>
      </c>
      <c r="C162" s="1" t="n">
        <v>45935</v>
      </c>
      <c r="D162" t="inlineStr">
        <is>
          <t>KALMAR LÄN</t>
        </is>
      </c>
      <c r="E162" t="inlineStr">
        <is>
          <t>VIMMERBY</t>
        </is>
      </c>
      <c r="G162" t="n">
        <v>5.4</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45935</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8453-2022</t>
        </is>
      </c>
      <c r="B164" s="1" t="n">
        <v>44612.86554398148</v>
      </c>
      <c r="C164" s="1" t="n">
        <v>45935</v>
      </c>
      <c r="D164" t="inlineStr">
        <is>
          <t>KALMAR LÄN</t>
        </is>
      </c>
      <c r="E164" t="inlineStr">
        <is>
          <t>VIMMERBY</t>
        </is>
      </c>
      <c r="G164" t="n">
        <v>1.7</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45935</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45935</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44466.34726851852</v>
      </c>
      <c r="C167" s="1" t="n">
        <v>45935</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50621-2022</t>
        </is>
      </c>
      <c r="B168" s="1" t="n">
        <v>44866.81100694444</v>
      </c>
      <c r="C168" s="1" t="n">
        <v>45935</v>
      </c>
      <c r="D168" t="inlineStr">
        <is>
          <t>KALMAR LÄN</t>
        </is>
      </c>
      <c r="E168" t="inlineStr">
        <is>
          <t>VIMMERBY</t>
        </is>
      </c>
      <c r="F168" t="inlineStr">
        <is>
          <t>Övriga Aktiebolag</t>
        </is>
      </c>
      <c r="G168" t="n">
        <v>5.1</v>
      </c>
      <c r="H168" t="n">
        <v>0</v>
      </c>
      <c r="I168" t="n">
        <v>0</v>
      </c>
      <c r="J168" t="n">
        <v>0</v>
      </c>
      <c r="K168" t="n">
        <v>0</v>
      </c>
      <c r="L168" t="n">
        <v>0</v>
      </c>
      <c r="M168" t="n">
        <v>0</v>
      </c>
      <c r="N168" t="n">
        <v>0</v>
      </c>
      <c r="O168" t="n">
        <v>0</v>
      </c>
      <c r="P168" t="n">
        <v>0</v>
      </c>
      <c r="Q168" t="n">
        <v>0</v>
      </c>
      <c r="R168" s="2" t="inlineStr"/>
    </row>
    <row r="169" ht="15" customHeight="1">
      <c r="A169" t="inlineStr">
        <is>
          <t>A 54065-2021</t>
        </is>
      </c>
      <c r="B169" s="1" t="n">
        <v>44470.44232638889</v>
      </c>
      <c r="C169" s="1" t="n">
        <v>45935</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31824-2022</t>
        </is>
      </c>
      <c r="B170" s="1" t="n">
        <v>44776</v>
      </c>
      <c r="C170" s="1" t="n">
        <v>45935</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11733-2022</t>
        </is>
      </c>
      <c r="B171" s="1" t="n">
        <v>44634</v>
      </c>
      <c r="C171" s="1" t="n">
        <v>45935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46964-2022</t>
        </is>
      </c>
      <c r="B172" s="1" t="n">
        <v>44851.95016203704</v>
      </c>
      <c r="C172" s="1" t="n">
        <v>45935</v>
      </c>
      <c r="D172" t="inlineStr">
        <is>
          <t>KALMAR LÄN</t>
        </is>
      </c>
      <c r="E172" t="inlineStr">
        <is>
          <t>VIMMERBY</t>
        </is>
      </c>
      <c r="G172" t="n">
        <v>0.2</v>
      </c>
      <c r="H172" t="n">
        <v>0</v>
      </c>
      <c r="I172" t="n">
        <v>0</v>
      </c>
      <c r="J172" t="n">
        <v>0</v>
      </c>
      <c r="K172" t="n">
        <v>0</v>
      </c>
      <c r="L172" t="n">
        <v>0</v>
      </c>
      <c r="M172" t="n">
        <v>0</v>
      </c>
      <c r="N172" t="n">
        <v>0</v>
      </c>
      <c r="O172" t="n">
        <v>0</v>
      </c>
      <c r="P172" t="n">
        <v>0</v>
      </c>
      <c r="Q172" t="n">
        <v>0</v>
      </c>
      <c r="R172" s="2" t="inlineStr"/>
    </row>
    <row r="173" ht="15" customHeight="1">
      <c r="A173" t="inlineStr">
        <is>
          <t>A 7804-2022</t>
        </is>
      </c>
      <c r="B173" s="1" t="n">
        <v>44608.50458333334</v>
      </c>
      <c r="C173" s="1" t="n">
        <v>45935</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39042-2022</t>
        </is>
      </c>
      <c r="B174" s="1" t="n">
        <v>44817</v>
      </c>
      <c r="C174" s="1" t="n">
        <v>45935</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23825-2022</t>
        </is>
      </c>
      <c r="B175" s="1" t="n">
        <v>44722.48768518519</v>
      </c>
      <c r="C175" s="1" t="n">
        <v>45935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67952-2021</t>
        </is>
      </c>
      <c r="B176" s="1" t="n">
        <v>44525.63913194444</v>
      </c>
      <c r="C176" s="1" t="n">
        <v>45935</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14521-2021</t>
        </is>
      </c>
      <c r="B177" s="1" t="n">
        <v>44279.64934027778</v>
      </c>
      <c r="C177" s="1" t="n">
        <v>45935</v>
      </c>
      <c r="D177" t="inlineStr">
        <is>
          <t>KALMAR LÄN</t>
        </is>
      </c>
      <c r="E177" t="inlineStr">
        <is>
          <t>VIMMERBY</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15533-2022</t>
        </is>
      </c>
      <c r="B178" s="1" t="n">
        <v>44662</v>
      </c>
      <c r="C178" s="1" t="n">
        <v>45935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16288-2021</t>
        </is>
      </c>
      <c r="B179" s="1" t="n">
        <v>44292</v>
      </c>
      <c r="C179" s="1" t="n">
        <v>45935</v>
      </c>
      <c r="D179" t="inlineStr">
        <is>
          <t>KALMAR LÄN</t>
        </is>
      </c>
      <c r="E179" t="inlineStr">
        <is>
          <t>VIMMERBY</t>
        </is>
      </c>
      <c r="F179" t="inlineStr">
        <is>
          <t>Övriga Aktiebolag</t>
        </is>
      </c>
      <c r="G179" t="n">
        <v>27.6</v>
      </c>
      <c r="H179" t="n">
        <v>0</v>
      </c>
      <c r="I179" t="n">
        <v>0</v>
      </c>
      <c r="J179" t="n">
        <v>0</v>
      </c>
      <c r="K179" t="n">
        <v>0</v>
      </c>
      <c r="L179" t="n">
        <v>0</v>
      </c>
      <c r="M179" t="n">
        <v>0</v>
      </c>
      <c r="N179" t="n">
        <v>0</v>
      </c>
      <c r="O179" t="n">
        <v>0</v>
      </c>
      <c r="P179" t="n">
        <v>0</v>
      </c>
      <c r="Q179" t="n">
        <v>0</v>
      </c>
      <c r="R179" s="2" t="inlineStr"/>
    </row>
    <row r="180" ht="15" customHeight="1">
      <c r="A180" t="inlineStr">
        <is>
          <t>A 13180-2022</t>
        </is>
      </c>
      <c r="B180" s="1" t="n">
        <v>44644</v>
      </c>
      <c r="C180" s="1" t="n">
        <v>45935</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4076-2022</t>
        </is>
      </c>
      <c r="B181" s="1" t="n">
        <v>44588.37998842593</v>
      </c>
      <c r="C181" s="1" t="n">
        <v>45935</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4122-2022</t>
        </is>
      </c>
      <c r="B182" s="1" t="n">
        <v>44588</v>
      </c>
      <c r="C182" s="1" t="n">
        <v>45935</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165-2022</t>
        </is>
      </c>
      <c r="B183" s="1" t="n">
        <v>44564</v>
      </c>
      <c r="C183" s="1" t="n">
        <v>45935</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58374-2024</t>
        </is>
      </c>
      <c r="B184" s="1" t="n">
        <v>45632.72635416667</v>
      </c>
      <c r="C184" s="1" t="n">
        <v>45935</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30402-2023</t>
        </is>
      </c>
      <c r="B185" s="1" t="n">
        <v>45111.48395833333</v>
      </c>
      <c r="C185" s="1" t="n">
        <v>45935</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34040-2021</t>
        </is>
      </c>
      <c r="B186" s="1" t="n">
        <v>44379</v>
      </c>
      <c r="C186" s="1" t="n">
        <v>45935</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15200-2021</t>
        </is>
      </c>
      <c r="B187" s="1" t="n">
        <v>44284.44574074074</v>
      </c>
      <c r="C187" s="1" t="n">
        <v>45935</v>
      </c>
      <c r="D187" t="inlineStr">
        <is>
          <t>KALMAR LÄN</t>
        </is>
      </c>
      <c r="E187" t="inlineStr">
        <is>
          <t>VIMMERBY</t>
        </is>
      </c>
      <c r="G187" t="n">
        <v>1.2</v>
      </c>
      <c r="H187" t="n">
        <v>0</v>
      </c>
      <c r="I187" t="n">
        <v>0</v>
      </c>
      <c r="J187" t="n">
        <v>0</v>
      </c>
      <c r="K187" t="n">
        <v>0</v>
      </c>
      <c r="L187" t="n">
        <v>0</v>
      </c>
      <c r="M187" t="n">
        <v>0</v>
      </c>
      <c r="N187" t="n">
        <v>0</v>
      </c>
      <c r="O187" t="n">
        <v>0</v>
      </c>
      <c r="P187" t="n">
        <v>0</v>
      </c>
      <c r="Q187" t="n">
        <v>0</v>
      </c>
      <c r="R187" s="2" t="inlineStr"/>
    </row>
    <row r="188" ht="15" customHeight="1">
      <c r="A188" t="inlineStr">
        <is>
          <t>A 57948-2020</t>
        </is>
      </c>
      <c r="B188" s="1" t="n">
        <v>44142</v>
      </c>
      <c r="C188" s="1" t="n">
        <v>45935</v>
      </c>
      <c r="D188" t="inlineStr">
        <is>
          <t>KALMAR LÄN</t>
        </is>
      </c>
      <c r="E188" t="inlineStr">
        <is>
          <t>VIMMERBY</t>
        </is>
      </c>
      <c r="G188" t="n">
        <v>7.1</v>
      </c>
      <c r="H188" t="n">
        <v>0</v>
      </c>
      <c r="I188" t="n">
        <v>0</v>
      </c>
      <c r="J188" t="n">
        <v>0</v>
      </c>
      <c r="K188" t="n">
        <v>0</v>
      </c>
      <c r="L188" t="n">
        <v>0</v>
      </c>
      <c r="M188" t="n">
        <v>0</v>
      </c>
      <c r="N188" t="n">
        <v>0</v>
      </c>
      <c r="O188" t="n">
        <v>0</v>
      </c>
      <c r="P188" t="n">
        <v>0</v>
      </c>
      <c r="Q188" t="n">
        <v>0</v>
      </c>
      <c r="R188" s="2" t="inlineStr"/>
    </row>
    <row r="189" ht="15" customHeight="1">
      <c r="A189" t="inlineStr">
        <is>
          <t>A 11609-2023</t>
        </is>
      </c>
      <c r="B189" s="1" t="n">
        <v>44994.40635416667</v>
      </c>
      <c r="C189" s="1" t="n">
        <v>45935</v>
      </c>
      <c r="D189" t="inlineStr">
        <is>
          <t>KALMAR LÄN</t>
        </is>
      </c>
      <c r="E189" t="inlineStr">
        <is>
          <t>VIMMERBY</t>
        </is>
      </c>
      <c r="G189" t="n">
        <v>4.9</v>
      </c>
      <c r="H189" t="n">
        <v>0</v>
      </c>
      <c r="I189" t="n">
        <v>0</v>
      </c>
      <c r="J189" t="n">
        <v>0</v>
      </c>
      <c r="K189" t="n">
        <v>0</v>
      </c>
      <c r="L189" t="n">
        <v>0</v>
      </c>
      <c r="M189" t="n">
        <v>0</v>
      </c>
      <c r="N189" t="n">
        <v>0</v>
      </c>
      <c r="O189" t="n">
        <v>0</v>
      </c>
      <c r="P189" t="n">
        <v>0</v>
      </c>
      <c r="Q189" t="n">
        <v>0</v>
      </c>
      <c r="R189" s="2" t="inlineStr"/>
    </row>
    <row r="190" ht="15" customHeight="1">
      <c r="A190" t="inlineStr">
        <is>
          <t>A 42850-2022</t>
        </is>
      </c>
      <c r="B190" s="1" t="n">
        <v>44832.67608796297</v>
      </c>
      <c r="C190" s="1" t="n">
        <v>45935</v>
      </c>
      <c r="D190" t="inlineStr">
        <is>
          <t>KALMAR LÄN</t>
        </is>
      </c>
      <c r="E190" t="inlineStr">
        <is>
          <t>VIMMERBY</t>
        </is>
      </c>
      <c r="G190" t="n">
        <v>5.9</v>
      </c>
      <c r="H190" t="n">
        <v>0</v>
      </c>
      <c r="I190" t="n">
        <v>0</v>
      </c>
      <c r="J190" t="n">
        <v>0</v>
      </c>
      <c r="K190" t="n">
        <v>0</v>
      </c>
      <c r="L190" t="n">
        <v>0</v>
      </c>
      <c r="M190" t="n">
        <v>0</v>
      </c>
      <c r="N190" t="n">
        <v>0</v>
      </c>
      <c r="O190" t="n">
        <v>0</v>
      </c>
      <c r="P190" t="n">
        <v>0</v>
      </c>
      <c r="Q190" t="n">
        <v>0</v>
      </c>
      <c r="R190" s="2" t="inlineStr"/>
    </row>
    <row r="191" ht="15" customHeight="1">
      <c r="A191" t="inlineStr">
        <is>
          <t>A 65961-2020</t>
        </is>
      </c>
      <c r="B191" s="1" t="n">
        <v>44175.39748842592</v>
      </c>
      <c r="C191" s="1" t="n">
        <v>45935</v>
      </c>
      <c r="D191" t="inlineStr">
        <is>
          <t>KALMAR LÄN</t>
        </is>
      </c>
      <c r="E191" t="inlineStr">
        <is>
          <t>VIMMERBY</t>
        </is>
      </c>
      <c r="G191" t="n">
        <v>2.6</v>
      </c>
      <c r="H191" t="n">
        <v>0</v>
      </c>
      <c r="I191" t="n">
        <v>0</v>
      </c>
      <c r="J191" t="n">
        <v>0</v>
      </c>
      <c r="K191" t="n">
        <v>0</v>
      </c>
      <c r="L191" t="n">
        <v>0</v>
      </c>
      <c r="M191" t="n">
        <v>0</v>
      </c>
      <c r="N191" t="n">
        <v>0</v>
      </c>
      <c r="O191" t="n">
        <v>0</v>
      </c>
      <c r="P191" t="n">
        <v>0</v>
      </c>
      <c r="Q191" t="n">
        <v>0</v>
      </c>
      <c r="R191" s="2" t="inlineStr"/>
    </row>
    <row r="192" ht="15" customHeight="1">
      <c r="A192" t="inlineStr">
        <is>
          <t>A 18276-2021</t>
        </is>
      </c>
      <c r="B192" s="1" t="n">
        <v>44305.40046296296</v>
      </c>
      <c r="C192" s="1" t="n">
        <v>45935</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12107-2022</t>
        </is>
      </c>
      <c r="B193" s="1" t="n">
        <v>44636</v>
      </c>
      <c r="C193" s="1" t="n">
        <v>45935</v>
      </c>
      <c r="D193" t="inlineStr">
        <is>
          <t>KALMAR LÄN</t>
        </is>
      </c>
      <c r="E193" t="inlineStr">
        <is>
          <t>VIMMERBY</t>
        </is>
      </c>
      <c r="G193" t="n">
        <v>1.8</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45935</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47473-2021</t>
        </is>
      </c>
      <c r="B195" s="1" t="n">
        <v>44447</v>
      </c>
      <c r="C195" s="1" t="n">
        <v>45935</v>
      </c>
      <c r="D195" t="inlineStr">
        <is>
          <t>KALMAR LÄN</t>
        </is>
      </c>
      <c r="E195" t="inlineStr">
        <is>
          <t>VIMMERBY</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46144-2023</t>
        </is>
      </c>
      <c r="B196" s="1" t="n">
        <v>45196.57247685185</v>
      </c>
      <c r="C196" s="1" t="n">
        <v>45935</v>
      </c>
      <c r="D196" t="inlineStr">
        <is>
          <t>KALMAR LÄN</t>
        </is>
      </c>
      <c r="E196" t="inlineStr">
        <is>
          <t>VIMMERBY</t>
        </is>
      </c>
      <c r="G196" t="n">
        <v>6.5</v>
      </c>
      <c r="H196" t="n">
        <v>0</v>
      </c>
      <c r="I196" t="n">
        <v>0</v>
      </c>
      <c r="J196" t="n">
        <v>0</v>
      </c>
      <c r="K196" t="n">
        <v>0</v>
      </c>
      <c r="L196" t="n">
        <v>0</v>
      </c>
      <c r="M196" t="n">
        <v>0</v>
      </c>
      <c r="N196" t="n">
        <v>0</v>
      </c>
      <c r="O196" t="n">
        <v>0</v>
      </c>
      <c r="P196" t="n">
        <v>0</v>
      </c>
      <c r="Q196" t="n">
        <v>0</v>
      </c>
      <c r="R196" s="2" t="inlineStr"/>
    </row>
    <row r="197" ht="15" customHeight="1">
      <c r="A197" t="inlineStr">
        <is>
          <t>A 39225-2022</t>
        </is>
      </c>
      <c r="B197" s="1" t="n">
        <v>44817.57988425926</v>
      </c>
      <c r="C197" s="1" t="n">
        <v>45935</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45935</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45935</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45935</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41056-2022</t>
        </is>
      </c>
      <c r="B201" s="1" t="n">
        <v>44824</v>
      </c>
      <c r="C201" s="1" t="n">
        <v>45935</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45935</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31660-2021</t>
        </is>
      </c>
      <c r="B203" s="1" t="n">
        <v>44369</v>
      </c>
      <c r="C203" s="1" t="n">
        <v>45935</v>
      </c>
      <c r="D203" t="inlineStr">
        <is>
          <t>KALMAR LÄN</t>
        </is>
      </c>
      <c r="E203" t="inlineStr">
        <is>
          <t>VIMMERBY</t>
        </is>
      </c>
      <c r="G203" t="n">
        <v>4.2</v>
      </c>
      <c r="H203" t="n">
        <v>0</v>
      </c>
      <c r="I203" t="n">
        <v>0</v>
      </c>
      <c r="J203" t="n">
        <v>0</v>
      </c>
      <c r="K203" t="n">
        <v>0</v>
      </c>
      <c r="L203" t="n">
        <v>0</v>
      </c>
      <c r="M203" t="n">
        <v>0</v>
      </c>
      <c r="N203" t="n">
        <v>0</v>
      </c>
      <c r="O203" t="n">
        <v>0</v>
      </c>
      <c r="P203" t="n">
        <v>0</v>
      </c>
      <c r="Q203" t="n">
        <v>0</v>
      </c>
      <c r="R203" s="2" t="inlineStr"/>
    </row>
    <row r="204" ht="15" customHeight="1">
      <c r="A204" t="inlineStr">
        <is>
          <t>A 27455-2022</t>
        </is>
      </c>
      <c r="B204" s="1" t="n">
        <v>44742</v>
      </c>
      <c r="C204" s="1" t="n">
        <v>45935</v>
      </c>
      <c r="D204" t="inlineStr">
        <is>
          <t>KALMAR LÄN</t>
        </is>
      </c>
      <c r="E204" t="inlineStr">
        <is>
          <t>VIMMERBY</t>
        </is>
      </c>
      <c r="G204" t="n">
        <v>1.6</v>
      </c>
      <c r="H204" t="n">
        <v>0</v>
      </c>
      <c r="I204" t="n">
        <v>0</v>
      </c>
      <c r="J204" t="n">
        <v>0</v>
      </c>
      <c r="K204" t="n">
        <v>0</v>
      </c>
      <c r="L204" t="n">
        <v>0</v>
      </c>
      <c r="M204" t="n">
        <v>0</v>
      </c>
      <c r="N204" t="n">
        <v>0</v>
      </c>
      <c r="O204" t="n">
        <v>0</v>
      </c>
      <c r="P204" t="n">
        <v>0</v>
      </c>
      <c r="Q204" t="n">
        <v>0</v>
      </c>
      <c r="R204" s="2" t="inlineStr"/>
    </row>
    <row r="205" ht="15" customHeight="1">
      <c r="A205" t="inlineStr">
        <is>
          <t>A 7167-2022</t>
        </is>
      </c>
      <c r="B205" s="1" t="n">
        <v>44604</v>
      </c>
      <c r="C205" s="1" t="n">
        <v>45935</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56213-2024</t>
        </is>
      </c>
      <c r="B206" s="1" t="n">
        <v>45624.60141203704</v>
      </c>
      <c r="C206" s="1" t="n">
        <v>45935</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18356-2021</t>
        </is>
      </c>
      <c r="B207" s="1" t="n">
        <v>44305</v>
      </c>
      <c r="C207" s="1" t="n">
        <v>45935</v>
      </c>
      <c r="D207" t="inlineStr">
        <is>
          <t>KALMAR LÄN</t>
        </is>
      </c>
      <c r="E207" t="inlineStr">
        <is>
          <t>VIMMERBY</t>
        </is>
      </c>
      <c r="G207" t="n">
        <v>3.4</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45935</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10086-2022</t>
        </is>
      </c>
      <c r="B209" s="1" t="n">
        <v>44621</v>
      </c>
      <c r="C209" s="1" t="n">
        <v>45935</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16825-2024</t>
        </is>
      </c>
      <c r="B210" s="1" t="n">
        <v>45411.47335648148</v>
      </c>
      <c r="C210" s="1" t="n">
        <v>45935</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20126-2024</t>
        </is>
      </c>
      <c r="B211" s="1" t="n">
        <v>45434.55471064815</v>
      </c>
      <c r="C211" s="1" t="n">
        <v>45935</v>
      </c>
      <c r="D211" t="inlineStr">
        <is>
          <t>KALMAR LÄN</t>
        </is>
      </c>
      <c r="E211" t="inlineStr">
        <is>
          <t>VIMMERBY</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20136-2024</t>
        </is>
      </c>
      <c r="B212" s="1" t="n">
        <v>45434.56291666667</v>
      </c>
      <c r="C212" s="1" t="n">
        <v>45935</v>
      </c>
      <c r="D212" t="inlineStr">
        <is>
          <t>KALMAR LÄN</t>
        </is>
      </c>
      <c r="E212" t="inlineStr">
        <is>
          <t>VIMMERBY</t>
        </is>
      </c>
      <c r="F212" t="inlineStr">
        <is>
          <t>Sveaskog</t>
        </is>
      </c>
      <c r="G212" t="n">
        <v>8.4</v>
      </c>
      <c r="H212" t="n">
        <v>0</v>
      </c>
      <c r="I212" t="n">
        <v>0</v>
      </c>
      <c r="J212" t="n">
        <v>0</v>
      </c>
      <c r="K212" t="n">
        <v>0</v>
      </c>
      <c r="L212" t="n">
        <v>0</v>
      </c>
      <c r="M212" t="n">
        <v>0</v>
      </c>
      <c r="N212" t="n">
        <v>0</v>
      </c>
      <c r="O212" t="n">
        <v>0</v>
      </c>
      <c r="P212" t="n">
        <v>0</v>
      </c>
      <c r="Q212" t="n">
        <v>0</v>
      </c>
      <c r="R212" s="2" t="inlineStr"/>
    </row>
    <row r="213" ht="15" customHeight="1">
      <c r="A213" t="inlineStr">
        <is>
          <t>A 7643-2022</t>
        </is>
      </c>
      <c r="B213" s="1" t="n">
        <v>44607</v>
      </c>
      <c r="C213" s="1" t="n">
        <v>45935</v>
      </c>
      <c r="D213" t="inlineStr">
        <is>
          <t>KALMAR LÄN</t>
        </is>
      </c>
      <c r="E213" t="inlineStr">
        <is>
          <t>VIMMERBY</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46921-2023</t>
        </is>
      </c>
      <c r="B214" s="1" t="n">
        <v>45201.39996527778</v>
      </c>
      <c r="C214" s="1" t="n">
        <v>45935</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11027-2023</t>
        </is>
      </c>
      <c r="B215" s="1" t="n">
        <v>44991.89657407408</v>
      </c>
      <c r="C215" s="1" t="n">
        <v>45935</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25236-2023</t>
        </is>
      </c>
      <c r="B216" s="1" t="n">
        <v>45086.63334490741</v>
      </c>
      <c r="C216" s="1" t="n">
        <v>45935</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3330-2021</t>
        </is>
      </c>
      <c r="B217" s="1" t="n">
        <v>44217.79856481482</v>
      </c>
      <c r="C217" s="1" t="n">
        <v>45935</v>
      </c>
      <c r="D217" t="inlineStr">
        <is>
          <t>KALMAR LÄN</t>
        </is>
      </c>
      <c r="E217" t="inlineStr">
        <is>
          <t>VIMMERBY</t>
        </is>
      </c>
      <c r="G217" t="n">
        <v>11.1</v>
      </c>
      <c r="H217" t="n">
        <v>0</v>
      </c>
      <c r="I217" t="n">
        <v>0</v>
      </c>
      <c r="J217" t="n">
        <v>0</v>
      </c>
      <c r="K217" t="n">
        <v>0</v>
      </c>
      <c r="L217" t="n">
        <v>0</v>
      </c>
      <c r="M217" t="n">
        <v>0</v>
      </c>
      <c r="N217" t="n">
        <v>0</v>
      </c>
      <c r="O217" t="n">
        <v>0</v>
      </c>
      <c r="P217" t="n">
        <v>0</v>
      </c>
      <c r="Q217" t="n">
        <v>0</v>
      </c>
      <c r="R217" s="2" t="inlineStr"/>
    </row>
    <row r="218" ht="15" customHeight="1">
      <c r="A218" t="inlineStr">
        <is>
          <t>A 53483-2022</t>
        </is>
      </c>
      <c r="B218" s="1" t="n">
        <v>44879.55940972222</v>
      </c>
      <c r="C218" s="1" t="n">
        <v>45935</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18899-2025</t>
        </is>
      </c>
      <c r="B219" s="1" t="n">
        <v>45764.44931712963</v>
      </c>
      <c r="C219" s="1" t="n">
        <v>45935</v>
      </c>
      <c r="D219" t="inlineStr">
        <is>
          <t>KALMAR LÄN</t>
        </is>
      </c>
      <c r="E219" t="inlineStr">
        <is>
          <t>VIMMERBY</t>
        </is>
      </c>
      <c r="F219" t="inlineStr">
        <is>
          <t>Kommuner</t>
        </is>
      </c>
      <c r="G219" t="n">
        <v>4</v>
      </c>
      <c r="H219" t="n">
        <v>0</v>
      </c>
      <c r="I219" t="n">
        <v>0</v>
      </c>
      <c r="J219" t="n">
        <v>0</v>
      </c>
      <c r="K219" t="n">
        <v>0</v>
      </c>
      <c r="L219" t="n">
        <v>0</v>
      </c>
      <c r="M219" t="n">
        <v>0</v>
      </c>
      <c r="N219" t="n">
        <v>0</v>
      </c>
      <c r="O219" t="n">
        <v>0</v>
      </c>
      <c r="P219" t="n">
        <v>0</v>
      </c>
      <c r="Q219" t="n">
        <v>0</v>
      </c>
      <c r="R219" s="2" t="inlineStr"/>
    </row>
    <row r="220" ht="15" customHeight="1">
      <c r="A220" t="inlineStr">
        <is>
          <t>A 20054-2023</t>
        </is>
      </c>
      <c r="B220" s="1" t="n">
        <v>45054.6750462963</v>
      </c>
      <c r="C220" s="1" t="n">
        <v>45935</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58962-2022</t>
        </is>
      </c>
      <c r="B221" s="1" t="n">
        <v>44903</v>
      </c>
      <c r="C221" s="1" t="n">
        <v>45935</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35001-2021</t>
        </is>
      </c>
      <c r="B222" s="1" t="n">
        <v>44383</v>
      </c>
      <c r="C222" s="1" t="n">
        <v>45935</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1081-2023</t>
        </is>
      </c>
      <c r="B223" s="1" t="n">
        <v>44935</v>
      </c>
      <c r="C223" s="1" t="n">
        <v>45935</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47063-2022</t>
        </is>
      </c>
      <c r="B224" s="1" t="n">
        <v>44852</v>
      </c>
      <c r="C224" s="1" t="n">
        <v>45935</v>
      </c>
      <c r="D224" t="inlineStr">
        <is>
          <t>KALMAR LÄN</t>
        </is>
      </c>
      <c r="E224" t="inlineStr">
        <is>
          <t>VIMMERBY</t>
        </is>
      </c>
      <c r="G224" t="n">
        <v>2.5</v>
      </c>
      <c r="H224" t="n">
        <v>0</v>
      </c>
      <c r="I224" t="n">
        <v>0</v>
      </c>
      <c r="J224" t="n">
        <v>0</v>
      </c>
      <c r="K224" t="n">
        <v>0</v>
      </c>
      <c r="L224" t="n">
        <v>0</v>
      </c>
      <c r="M224" t="n">
        <v>0</v>
      </c>
      <c r="N224" t="n">
        <v>0</v>
      </c>
      <c r="O224" t="n">
        <v>0</v>
      </c>
      <c r="P224" t="n">
        <v>0</v>
      </c>
      <c r="Q224" t="n">
        <v>0</v>
      </c>
      <c r="R224" s="2" t="inlineStr"/>
    </row>
    <row r="225" ht="15" customHeight="1">
      <c r="A225" t="inlineStr">
        <is>
          <t>A 55674-2021</t>
        </is>
      </c>
      <c r="B225" s="1" t="n">
        <v>44476</v>
      </c>
      <c r="C225" s="1" t="n">
        <v>45935</v>
      </c>
      <c r="D225" t="inlineStr">
        <is>
          <t>KALMAR LÄN</t>
        </is>
      </c>
      <c r="E225" t="inlineStr">
        <is>
          <t>VIMMERBY</t>
        </is>
      </c>
      <c r="G225" t="n">
        <v>2.1</v>
      </c>
      <c r="H225" t="n">
        <v>0</v>
      </c>
      <c r="I225" t="n">
        <v>0</v>
      </c>
      <c r="J225" t="n">
        <v>0</v>
      </c>
      <c r="K225" t="n">
        <v>0</v>
      </c>
      <c r="L225" t="n">
        <v>0</v>
      </c>
      <c r="M225" t="n">
        <v>0</v>
      </c>
      <c r="N225" t="n">
        <v>0</v>
      </c>
      <c r="O225" t="n">
        <v>0</v>
      </c>
      <c r="P225" t="n">
        <v>0</v>
      </c>
      <c r="Q225" t="n">
        <v>0</v>
      </c>
      <c r="R225" s="2" t="inlineStr"/>
    </row>
    <row r="226" ht="15" customHeight="1">
      <c r="A226" t="inlineStr">
        <is>
          <t>A 28403-2023</t>
        </is>
      </c>
      <c r="B226" s="1" t="n">
        <v>45100.85270833333</v>
      </c>
      <c r="C226" s="1" t="n">
        <v>45935</v>
      </c>
      <c r="D226" t="inlineStr">
        <is>
          <t>KALMAR LÄN</t>
        </is>
      </c>
      <c r="E226" t="inlineStr">
        <is>
          <t>VIMMERBY</t>
        </is>
      </c>
      <c r="G226" t="n">
        <v>1.8</v>
      </c>
      <c r="H226" t="n">
        <v>0</v>
      </c>
      <c r="I226" t="n">
        <v>0</v>
      </c>
      <c r="J226" t="n">
        <v>0</v>
      </c>
      <c r="K226" t="n">
        <v>0</v>
      </c>
      <c r="L226" t="n">
        <v>0</v>
      </c>
      <c r="M226" t="n">
        <v>0</v>
      </c>
      <c r="N226" t="n">
        <v>0</v>
      </c>
      <c r="O226" t="n">
        <v>0</v>
      </c>
      <c r="P226" t="n">
        <v>0</v>
      </c>
      <c r="Q226" t="n">
        <v>0</v>
      </c>
      <c r="R226" s="2" t="inlineStr"/>
    </row>
    <row r="227" ht="15" customHeight="1">
      <c r="A227" t="inlineStr">
        <is>
          <t>A 10837-2023</t>
        </is>
      </c>
      <c r="B227" s="1" t="n">
        <v>44991.30547453704</v>
      </c>
      <c r="C227" s="1" t="n">
        <v>45935</v>
      </c>
      <c r="D227" t="inlineStr">
        <is>
          <t>KALMAR LÄN</t>
        </is>
      </c>
      <c r="E227" t="inlineStr">
        <is>
          <t>VIMMERBY</t>
        </is>
      </c>
      <c r="G227" t="n">
        <v>7.3</v>
      </c>
      <c r="H227" t="n">
        <v>0</v>
      </c>
      <c r="I227" t="n">
        <v>0</v>
      </c>
      <c r="J227" t="n">
        <v>0</v>
      </c>
      <c r="K227" t="n">
        <v>0</v>
      </c>
      <c r="L227" t="n">
        <v>0</v>
      </c>
      <c r="M227" t="n">
        <v>0</v>
      </c>
      <c r="N227" t="n">
        <v>0</v>
      </c>
      <c r="O227" t="n">
        <v>0</v>
      </c>
      <c r="P227" t="n">
        <v>0</v>
      </c>
      <c r="Q227" t="n">
        <v>0</v>
      </c>
      <c r="R227" s="2" t="inlineStr"/>
    </row>
    <row r="228" ht="15" customHeight="1">
      <c r="A228" t="inlineStr">
        <is>
          <t>A 10838-2023</t>
        </is>
      </c>
      <c r="B228" s="1" t="n">
        <v>44991</v>
      </c>
      <c r="C228" s="1" t="n">
        <v>45935</v>
      </c>
      <c r="D228" t="inlineStr">
        <is>
          <t>KALMAR LÄN</t>
        </is>
      </c>
      <c r="E228" t="inlineStr">
        <is>
          <t>VIMMERBY</t>
        </is>
      </c>
      <c r="G228" t="n">
        <v>5.1</v>
      </c>
      <c r="H228" t="n">
        <v>0</v>
      </c>
      <c r="I228" t="n">
        <v>0</v>
      </c>
      <c r="J228" t="n">
        <v>0</v>
      </c>
      <c r="K228" t="n">
        <v>0</v>
      </c>
      <c r="L228" t="n">
        <v>0</v>
      </c>
      <c r="M228" t="n">
        <v>0</v>
      </c>
      <c r="N228" t="n">
        <v>0</v>
      </c>
      <c r="O228" t="n">
        <v>0</v>
      </c>
      <c r="P228" t="n">
        <v>0</v>
      </c>
      <c r="Q228" t="n">
        <v>0</v>
      </c>
      <c r="R228" s="2" t="inlineStr"/>
    </row>
    <row r="229" ht="15" customHeight="1">
      <c r="A229" t="inlineStr">
        <is>
          <t>A 6082-2022</t>
        </is>
      </c>
      <c r="B229" s="1" t="n">
        <v>44599</v>
      </c>
      <c r="C229" s="1" t="n">
        <v>45935</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33103-2024</t>
        </is>
      </c>
      <c r="B230" s="1" t="n">
        <v>45517.8162037037</v>
      </c>
      <c r="C230" s="1" t="n">
        <v>45935</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40077-2021</t>
        </is>
      </c>
      <c r="B231" s="1" t="n">
        <v>44418</v>
      </c>
      <c r="C231" s="1" t="n">
        <v>45935</v>
      </c>
      <c r="D231" t="inlineStr">
        <is>
          <t>KALMAR LÄN</t>
        </is>
      </c>
      <c r="E231" t="inlineStr">
        <is>
          <t>VIMMERBY</t>
        </is>
      </c>
      <c r="G231" t="n">
        <v>2.9</v>
      </c>
      <c r="H231" t="n">
        <v>0</v>
      </c>
      <c r="I231" t="n">
        <v>0</v>
      </c>
      <c r="J231" t="n">
        <v>0</v>
      </c>
      <c r="K231" t="n">
        <v>0</v>
      </c>
      <c r="L231" t="n">
        <v>0</v>
      </c>
      <c r="M231" t="n">
        <v>0</v>
      </c>
      <c r="N231" t="n">
        <v>0</v>
      </c>
      <c r="O231" t="n">
        <v>0</v>
      </c>
      <c r="P231" t="n">
        <v>0</v>
      </c>
      <c r="Q231" t="n">
        <v>0</v>
      </c>
      <c r="R231" s="2" t="inlineStr"/>
    </row>
    <row r="232" ht="15" customHeight="1">
      <c r="A232" t="inlineStr">
        <is>
          <t>A 2801-2023</t>
        </is>
      </c>
      <c r="B232" s="1" t="n">
        <v>44944.73487268519</v>
      </c>
      <c r="C232" s="1" t="n">
        <v>45935</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5146-2024</t>
        </is>
      </c>
      <c r="B233" s="1" t="n">
        <v>45330</v>
      </c>
      <c r="C233" s="1" t="n">
        <v>45935</v>
      </c>
      <c r="D233" t="inlineStr">
        <is>
          <t>KALMAR LÄN</t>
        </is>
      </c>
      <c r="E233" t="inlineStr">
        <is>
          <t>VIMMERBY</t>
        </is>
      </c>
      <c r="G233" t="n">
        <v>5.3</v>
      </c>
      <c r="H233" t="n">
        <v>0</v>
      </c>
      <c r="I233" t="n">
        <v>0</v>
      </c>
      <c r="J233" t="n">
        <v>0</v>
      </c>
      <c r="K233" t="n">
        <v>0</v>
      </c>
      <c r="L233" t="n">
        <v>0</v>
      </c>
      <c r="M233" t="n">
        <v>0</v>
      </c>
      <c r="N233" t="n">
        <v>0</v>
      </c>
      <c r="O233" t="n">
        <v>0</v>
      </c>
      <c r="P233" t="n">
        <v>0</v>
      </c>
      <c r="Q233" t="n">
        <v>0</v>
      </c>
      <c r="R233" s="2" t="inlineStr"/>
    </row>
    <row r="234" ht="15" customHeight="1">
      <c r="A234" t="inlineStr">
        <is>
          <t>A 5148-2024</t>
        </is>
      </c>
      <c r="B234" s="1" t="n">
        <v>45330</v>
      </c>
      <c r="C234" s="1" t="n">
        <v>45935</v>
      </c>
      <c r="D234" t="inlineStr">
        <is>
          <t>KALMAR LÄN</t>
        </is>
      </c>
      <c r="E234" t="inlineStr">
        <is>
          <t>VIMMERBY</t>
        </is>
      </c>
      <c r="G234" t="n">
        <v>5.6</v>
      </c>
      <c r="H234" t="n">
        <v>0</v>
      </c>
      <c r="I234" t="n">
        <v>0</v>
      </c>
      <c r="J234" t="n">
        <v>0</v>
      </c>
      <c r="K234" t="n">
        <v>0</v>
      </c>
      <c r="L234" t="n">
        <v>0</v>
      </c>
      <c r="M234" t="n">
        <v>0</v>
      </c>
      <c r="N234" t="n">
        <v>0</v>
      </c>
      <c r="O234" t="n">
        <v>0</v>
      </c>
      <c r="P234" t="n">
        <v>0</v>
      </c>
      <c r="Q234" t="n">
        <v>0</v>
      </c>
      <c r="R234" s="2" t="inlineStr"/>
    </row>
    <row r="235" ht="15" customHeight="1">
      <c r="A235" t="inlineStr">
        <is>
          <t>A 47769-2022</t>
        </is>
      </c>
      <c r="B235" s="1" t="n">
        <v>44854</v>
      </c>
      <c r="C235" s="1" t="n">
        <v>45935</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2260-2022</t>
        </is>
      </c>
      <c r="B236" s="1" t="n">
        <v>44578.62943287037</v>
      </c>
      <c r="C236" s="1" t="n">
        <v>45935</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11661-2023</t>
        </is>
      </c>
      <c r="B237" s="1" t="n">
        <v>44994.46908564815</v>
      </c>
      <c r="C237" s="1" t="n">
        <v>45935</v>
      </c>
      <c r="D237" t="inlineStr">
        <is>
          <t>KALMAR LÄN</t>
        </is>
      </c>
      <c r="E237" t="inlineStr">
        <is>
          <t>VIMMERBY</t>
        </is>
      </c>
      <c r="G237" t="n">
        <v>2.7</v>
      </c>
      <c r="H237" t="n">
        <v>0</v>
      </c>
      <c r="I237" t="n">
        <v>0</v>
      </c>
      <c r="J237" t="n">
        <v>0</v>
      </c>
      <c r="K237" t="n">
        <v>0</v>
      </c>
      <c r="L237" t="n">
        <v>0</v>
      </c>
      <c r="M237" t="n">
        <v>0</v>
      </c>
      <c r="N237" t="n">
        <v>0</v>
      </c>
      <c r="O237" t="n">
        <v>0</v>
      </c>
      <c r="P237" t="n">
        <v>0</v>
      </c>
      <c r="Q237" t="n">
        <v>0</v>
      </c>
      <c r="R237" s="2" t="inlineStr"/>
    </row>
    <row r="238" ht="15" customHeight="1">
      <c r="A238" t="inlineStr">
        <is>
          <t>A 58046-2022</t>
        </is>
      </c>
      <c r="B238" s="1" t="n">
        <v>44900.57393518519</v>
      </c>
      <c r="C238" s="1" t="n">
        <v>45935</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45528-2021</t>
        </is>
      </c>
      <c r="B239" s="1" t="n">
        <v>44440.60415509259</v>
      </c>
      <c r="C239" s="1" t="n">
        <v>45935</v>
      </c>
      <c r="D239" t="inlineStr">
        <is>
          <t>KALMAR LÄN</t>
        </is>
      </c>
      <c r="E239" t="inlineStr">
        <is>
          <t>VIMMERBY</t>
        </is>
      </c>
      <c r="G239" t="n">
        <v>2.2</v>
      </c>
      <c r="H239" t="n">
        <v>0</v>
      </c>
      <c r="I239" t="n">
        <v>0</v>
      </c>
      <c r="J239" t="n">
        <v>0</v>
      </c>
      <c r="K239" t="n">
        <v>0</v>
      </c>
      <c r="L239" t="n">
        <v>0</v>
      </c>
      <c r="M239" t="n">
        <v>0</v>
      </c>
      <c r="N239" t="n">
        <v>0</v>
      </c>
      <c r="O239" t="n">
        <v>0</v>
      </c>
      <c r="P239" t="n">
        <v>0</v>
      </c>
      <c r="Q239" t="n">
        <v>0</v>
      </c>
      <c r="R239" s="2" t="inlineStr"/>
    </row>
    <row r="240" ht="15" customHeight="1">
      <c r="A240" t="inlineStr">
        <is>
          <t>A 46979-2023</t>
        </is>
      </c>
      <c r="B240" s="1" t="n">
        <v>45201</v>
      </c>
      <c r="C240" s="1" t="n">
        <v>45935</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6574-2023</t>
        </is>
      </c>
      <c r="B241" s="1" t="n">
        <v>44966</v>
      </c>
      <c r="C241" s="1" t="n">
        <v>45935</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58278-2023</t>
        </is>
      </c>
      <c r="B242" s="1" t="n">
        <v>45250.5278587963</v>
      </c>
      <c r="C242" s="1" t="n">
        <v>45935</v>
      </c>
      <c r="D242" t="inlineStr">
        <is>
          <t>KALMAR LÄN</t>
        </is>
      </c>
      <c r="E242" t="inlineStr">
        <is>
          <t>VIMMERBY</t>
        </is>
      </c>
      <c r="G242" t="n">
        <v>1.8</v>
      </c>
      <c r="H242" t="n">
        <v>0</v>
      </c>
      <c r="I242" t="n">
        <v>0</v>
      </c>
      <c r="J242" t="n">
        <v>0</v>
      </c>
      <c r="K242" t="n">
        <v>0</v>
      </c>
      <c r="L242" t="n">
        <v>0</v>
      </c>
      <c r="M242" t="n">
        <v>0</v>
      </c>
      <c r="N242" t="n">
        <v>0</v>
      </c>
      <c r="O242" t="n">
        <v>0</v>
      </c>
      <c r="P242" t="n">
        <v>0</v>
      </c>
      <c r="Q242" t="n">
        <v>0</v>
      </c>
      <c r="R242" s="2" t="inlineStr"/>
    </row>
    <row r="243" ht="15" customHeight="1">
      <c r="A243" t="inlineStr">
        <is>
          <t>A 13290-2025</t>
        </is>
      </c>
      <c r="B243" s="1" t="n">
        <v>45735.56751157407</v>
      </c>
      <c r="C243" s="1" t="n">
        <v>45935</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22266-2023</t>
        </is>
      </c>
      <c r="B244" s="1" t="n">
        <v>45070</v>
      </c>
      <c r="C244" s="1" t="n">
        <v>45935</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52588-2023</t>
        </is>
      </c>
      <c r="B245" s="1" t="n">
        <v>45225.60192129629</v>
      </c>
      <c r="C245" s="1" t="n">
        <v>45935</v>
      </c>
      <c r="D245" t="inlineStr">
        <is>
          <t>KALMAR LÄN</t>
        </is>
      </c>
      <c r="E245" t="inlineStr">
        <is>
          <t>VIMMERBY</t>
        </is>
      </c>
      <c r="G245" t="n">
        <v>2.9</v>
      </c>
      <c r="H245" t="n">
        <v>0</v>
      </c>
      <c r="I245" t="n">
        <v>0</v>
      </c>
      <c r="J245" t="n">
        <v>0</v>
      </c>
      <c r="K245" t="n">
        <v>0</v>
      </c>
      <c r="L245" t="n">
        <v>0</v>
      </c>
      <c r="M245" t="n">
        <v>0</v>
      </c>
      <c r="N245" t="n">
        <v>0</v>
      </c>
      <c r="O245" t="n">
        <v>0</v>
      </c>
      <c r="P245" t="n">
        <v>0</v>
      </c>
      <c r="Q245" t="n">
        <v>0</v>
      </c>
      <c r="R245" s="2" t="inlineStr"/>
    </row>
    <row r="246" ht="15" customHeight="1">
      <c r="A246" t="inlineStr">
        <is>
          <t>A 19162-2023</t>
        </is>
      </c>
      <c r="B246" s="1" t="n">
        <v>45048.59699074074</v>
      </c>
      <c r="C246" s="1" t="n">
        <v>45935</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9475-2023</t>
        </is>
      </c>
      <c r="B247" s="1" t="n">
        <v>44981.58834490741</v>
      </c>
      <c r="C247" s="1" t="n">
        <v>45935</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6802-2025</t>
        </is>
      </c>
      <c r="B248" s="1" t="n">
        <v>45700.68289351852</v>
      </c>
      <c r="C248" s="1" t="n">
        <v>45935</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71793-2021</t>
        </is>
      </c>
      <c r="B249" s="1" t="n">
        <v>44539</v>
      </c>
      <c r="C249" s="1" t="n">
        <v>45935</v>
      </c>
      <c r="D249" t="inlineStr">
        <is>
          <t>KALMAR LÄN</t>
        </is>
      </c>
      <c r="E249" t="inlineStr">
        <is>
          <t>VIMMERBY</t>
        </is>
      </c>
      <c r="G249" t="n">
        <v>2.7</v>
      </c>
      <c r="H249" t="n">
        <v>0</v>
      </c>
      <c r="I249" t="n">
        <v>0</v>
      </c>
      <c r="J249" t="n">
        <v>0</v>
      </c>
      <c r="K249" t="n">
        <v>0</v>
      </c>
      <c r="L249" t="n">
        <v>0</v>
      </c>
      <c r="M249" t="n">
        <v>0</v>
      </c>
      <c r="N249" t="n">
        <v>0</v>
      </c>
      <c r="O249" t="n">
        <v>0</v>
      </c>
      <c r="P249" t="n">
        <v>0</v>
      </c>
      <c r="Q249" t="n">
        <v>0</v>
      </c>
      <c r="R249" s="2" t="inlineStr"/>
    </row>
    <row r="250" ht="15" customHeight="1">
      <c r="A250" t="inlineStr">
        <is>
          <t>A 4058-2024</t>
        </is>
      </c>
      <c r="B250" s="1" t="n">
        <v>45323.53744212963</v>
      </c>
      <c r="C250" s="1" t="n">
        <v>45935</v>
      </c>
      <c r="D250" t="inlineStr">
        <is>
          <t>KALMAR LÄN</t>
        </is>
      </c>
      <c r="E250" t="inlineStr">
        <is>
          <t>VIMMERBY</t>
        </is>
      </c>
      <c r="G250" t="n">
        <v>6.5</v>
      </c>
      <c r="H250" t="n">
        <v>0</v>
      </c>
      <c r="I250" t="n">
        <v>0</v>
      </c>
      <c r="J250" t="n">
        <v>0</v>
      </c>
      <c r="K250" t="n">
        <v>0</v>
      </c>
      <c r="L250" t="n">
        <v>0</v>
      </c>
      <c r="M250" t="n">
        <v>0</v>
      </c>
      <c r="N250" t="n">
        <v>0</v>
      </c>
      <c r="O250" t="n">
        <v>0</v>
      </c>
      <c r="P250" t="n">
        <v>0</v>
      </c>
      <c r="Q250" t="n">
        <v>0</v>
      </c>
      <c r="R250" s="2" t="inlineStr"/>
    </row>
    <row r="251" ht="15" customHeight="1">
      <c r="A251" t="inlineStr">
        <is>
          <t>A 11946-2025</t>
        </is>
      </c>
      <c r="B251" s="1" t="n">
        <v>45728.54832175926</v>
      </c>
      <c r="C251" s="1" t="n">
        <v>45935</v>
      </c>
      <c r="D251" t="inlineStr">
        <is>
          <t>KALMAR LÄN</t>
        </is>
      </c>
      <c r="E251" t="inlineStr">
        <is>
          <t>VIMMERBY</t>
        </is>
      </c>
      <c r="G251" t="n">
        <v>0.4</v>
      </c>
      <c r="H251" t="n">
        <v>0</v>
      </c>
      <c r="I251" t="n">
        <v>0</v>
      </c>
      <c r="J251" t="n">
        <v>0</v>
      </c>
      <c r="K251" t="n">
        <v>0</v>
      </c>
      <c r="L251" t="n">
        <v>0</v>
      </c>
      <c r="M251" t="n">
        <v>0</v>
      </c>
      <c r="N251" t="n">
        <v>0</v>
      </c>
      <c r="O251" t="n">
        <v>0</v>
      </c>
      <c r="P251" t="n">
        <v>0</v>
      </c>
      <c r="Q251" t="n">
        <v>0</v>
      </c>
      <c r="R251" s="2" t="inlineStr"/>
    </row>
    <row r="252" ht="15" customHeight="1">
      <c r="A252" t="inlineStr">
        <is>
          <t>A 19537-2022</t>
        </is>
      </c>
      <c r="B252" s="1" t="n">
        <v>44693.62822916666</v>
      </c>
      <c r="C252" s="1" t="n">
        <v>45935</v>
      </c>
      <c r="D252" t="inlineStr">
        <is>
          <t>KALMAR LÄN</t>
        </is>
      </c>
      <c r="E252" t="inlineStr">
        <is>
          <t>VIMMERBY</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1978-2024</t>
        </is>
      </c>
      <c r="B253" s="1" t="n">
        <v>45308.59001157407</v>
      </c>
      <c r="C253" s="1" t="n">
        <v>45935</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527-2024</t>
        </is>
      </c>
      <c r="B254" s="1" t="n">
        <v>45299.47513888889</v>
      </c>
      <c r="C254" s="1" t="n">
        <v>45935</v>
      </c>
      <c r="D254" t="inlineStr">
        <is>
          <t>KALMAR LÄN</t>
        </is>
      </c>
      <c r="E254" t="inlineStr">
        <is>
          <t>VIMMERBY</t>
        </is>
      </c>
      <c r="G254" t="n">
        <v>2.2</v>
      </c>
      <c r="H254" t="n">
        <v>0</v>
      </c>
      <c r="I254" t="n">
        <v>0</v>
      </c>
      <c r="J254" t="n">
        <v>0</v>
      </c>
      <c r="K254" t="n">
        <v>0</v>
      </c>
      <c r="L254" t="n">
        <v>0</v>
      </c>
      <c r="M254" t="n">
        <v>0</v>
      </c>
      <c r="N254" t="n">
        <v>0</v>
      </c>
      <c r="O254" t="n">
        <v>0</v>
      </c>
      <c r="P254" t="n">
        <v>0</v>
      </c>
      <c r="Q254" t="n">
        <v>0</v>
      </c>
      <c r="R254" s="2" t="inlineStr"/>
    </row>
    <row r="255" ht="15" customHeight="1">
      <c r="A255" t="inlineStr">
        <is>
          <t>A 30318-2023</t>
        </is>
      </c>
      <c r="B255" s="1" t="n">
        <v>45111.30824074074</v>
      </c>
      <c r="C255" s="1" t="n">
        <v>45935</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44091-2025</t>
        </is>
      </c>
      <c r="B256" s="1" t="n">
        <v>45915.55950231481</v>
      </c>
      <c r="C256" s="1" t="n">
        <v>45935</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25234-2023</t>
        </is>
      </c>
      <c r="B257" s="1" t="n">
        <v>45086.63194444445</v>
      </c>
      <c r="C257" s="1" t="n">
        <v>45935</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60951-2023</t>
        </is>
      </c>
      <c r="B258" s="1" t="n">
        <v>45261.44914351852</v>
      </c>
      <c r="C258" s="1" t="n">
        <v>45935</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60292-2022</t>
        </is>
      </c>
      <c r="B259" s="1" t="n">
        <v>44910.54231481482</v>
      </c>
      <c r="C259" s="1" t="n">
        <v>45935</v>
      </c>
      <c r="D259" t="inlineStr">
        <is>
          <t>KALMAR LÄN</t>
        </is>
      </c>
      <c r="E259" t="inlineStr">
        <is>
          <t>VIMMERBY</t>
        </is>
      </c>
      <c r="G259" t="n">
        <v>4.4</v>
      </c>
      <c r="H259" t="n">
        <v>0</v>
      </c>
      <c r="I259" t="n">
        <v>0</v>
      </c>
      <c r="J259" t="n">
        <v>0</v>
      </c>
      <c r="K259" t="n">
        <v>0</v>
      </c>
      <c r="L259" t="n">
        <v>0</v>
      </c>
      <c r="M259" t="n">
        <v>0</v>
      </c>
      <c r="N259" t="n">
        <v>0</v>
      </c>
      <c r="O259" t="n">
        <v>0</v>
      </c>
      <c r="P259" t="n">
        <v>0</v>
      </c>
      <c r="Q259" t="n">
        <v>0</v>
      </c>
      <c r="R259" s="2" t="inlineStr"/>
    </row>
    <row r="260" ht="15" customHeight="1">
      <c r="A260" t="inlineStr">
        <is>
          <t>A 60230-2022</t>
        </is>
      </c>
      <c r="B260" s="1" t="n">
        <v>44910</v>
      </c>
      <c r="C260" s="1" t="n">
        <v>45935</v>
      </c>
      <c r="D260" t="inlineStr">
        <is>
          <t>KALMAR LÄN</t>
        </is>
      </c>
      <c r="E260" t="inlineStr">
        <is>
          <t>VIMMERBY</t>
        </is>
      </c>
      <c r="G260" t="n">
        <v>11.3</v>
      </c>
      <c r="H260" t="n">
        <v>0</v>
      </c>
      <c r="I260" t="n">
        <v>0</v>
      </c>
      <c r="J260" t="n">
        <v>0</v>
      </c>
      <c r="K260" t="n">
        <v>0</v>
      </c>
      <c r="L260" t="n">
        <v>0</v>
      </c>
      <c r="M260" t="n">
        <v>0</v>
      </c>
      <c r="N260" t="n">
        <v>0</v>
      </c>
      <c r="O260" t="n">
        <v>0</v>
      </c>
      <c r="P260" t="n">
        <v>0</v>
      </c>
      <c r="Q260" t="n">
        <v>0</v>
      </c>
      <c r="R260" s="2" t="inlineStr"/>
    </row>
    <row r="261" ht="15" customHeight="1">
      <c r="A261" t="inlineStr">
        <is>
          <t>A 46078-2023</t>
        </is>
      </c>
      <c r="B261" s="1" t="n">
        <v>45196</v>
      </c>
      <c r="C261" s="1" t="n">
        <v>45935</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7485-2024</t>
        </is>
      </c>
      <c r="B262" s="1" t="n">
        <v>45346.67184027778</v>
      </c>
      <c r="C262" s="1" t="n">
        <v>45935</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5925-2022</t>
        </is>
      </c>
      <c r="B263" s="1" t="n">
        <v>44598.7384837963</v>
      </c>
      <c r="C263" s="1" t="n">
        <v>45935</v>
      </c>
      <c r="D263" t="inlineStr">
        <is>
          <t>KALMAR LÄN</t>
        </is>
      </c>
      <c r="E263" t="inlineStr">
        <is>
          <t>VIMMERBY</t>
        </is>
      </c>
      <c r="G263" t="n">
        <v>2.1</v>
      </c>
      <c r="H263" t="n">
        <v>0</v>
      </c>
      <c r="I263" t="n">
        <v>0</v>
      </c>
      <c r="J263" t="n">
        <v>0</v>
      </c>
      <c r="K263" t="n">
        <v>0</v>
      </c>
      <c r="L263" t="n">
        <v>0</v>
      </c>
      <c r="M263" t="n">
        <v>0</v>
      </c>
      <c r="N263" t="n">
        <v>0</v>
      </c>
      <c r="O263" t="n">
        <v>0</v>
      </c>
      <c r="P263" t="n">
        <v>0</v>
      </c>
      <c r="Q263" t="n">
        <v>0</v>
      </c>
      <c r="R263" s="2" t="inlineStr"/>
    </row>
    <row r="264" ht="15" customHeight="1">
      <c r="A264" t="inlineStr">
        <is>
          <t>A 36603-2025</t>
        </is>
      </c>
      <c r="B264" s="1" t="n">
        <v>45870.52142361111</v>
      </c>
      <c r="C264" s="1" t="n">
        <v>45935</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12590-2025</t>
        </is>
      </c>
      <c r="B265" s="1" t="n">
        <v>45732.79925925926</v>
      </c>
      <c r="C265" s="1" t="n">
        <v>45935</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44095-2025</t>
        </is>
      </c>
      <c r="B266" s="1" t="n">
        <v>45915.56430555556</v>
      </c>
      <c r="C266" s="1" t="n">
        <v>45935</v>
      </c>
      <c r="D266" t="inlineStr">
        <is>
          <t>KALMAR LÄN</t>
        </is>
      </c>
      <c r="E266" t="inlineStr">
        <is>
          <t>VIMMERBY</t>
        </is>
      </c>
      <c r="G266" t="n">
        <v>2.4</v>
      </c>
      <c r="H266" t="n">
        <v>0</v>
      </c>
      <c r="I266" t="n">
        <v>0</v>
      </c>
      <c r="J266" t="n">
        <v>0</v>
      </c>
      <c r="K266" t="n">
        <v>0</v>
      </c>
      <c r="L266" t="n">
        <v>0</v>
      </c>
      <c r="M266" t="n">
        <v>0</v>
      </c>
      <c r="N266" t="n">
        <v>0</v>
      </c>
      <c r="O266" t="n">
        <v>0</v>
      </c>
      <c r="P266" t="n">
        <v>0</v>
      </c>
      <c r="Q266" t="n">
        <v>0</v>
      </c>
      <c r="R266" s="2" t="inlineStr"/>
    </row>
    <row r="267" ht="15" customHeight="1">
      <c r="A267" t="inlineStr">
        <is>
          <t>A 35710-2023</t>
        </is>
      </c>
      <c r="B267" s="1" t="n">
        <v>45147.67096064815</v>
      </c>
      <c r="C267" s="1" t="n">
        <v>45935</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52823-2024</t>
        </is>
      </c>
      <c r="B268" s="1" t="n">
        <v>45610.59094907407</v>
      </c>
      <c r="C268" s="1" t="n">
        <v>45935</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46522-2022</t>
        </is>
      </c>
      <c r="B269" s="1" t="n">
        <v>44848.59133101852</v>
      </c>
      <c r="C269" s="1" t="n">
        <v>45935</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36600-2025</t>
        </is>
      </c>
      <c r="B270" s="1" t="n">
        <v>45870.51958333333</v>
      </c>
      <c r="C270" s="1" t="n">
        <v>45935</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36601-2025</t>
        </is>
      </c>
      <c r="B271" s="1" t="n">
        <v>45870.52005787037</v>
      </c>
      <c r="C271" s="1" t="n">
        <v>45935</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45935</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3609-2024</t>
        </is>
      </c>
      <c r="B273" s="1" t="n">
        <v>45320.89128472222</v>
      </c>
      <c r="C273" s="1" t="n">
        <v>45935</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11147-2023</t>
        </is>
      </c>
      <c r="B274" s="1" t="n">
        <v>44992</v>
      </c>
      <c r="C274" s="1" t="n">
        <v>45935</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10424-2023</t>
        </is>
      </c>
      <c r="B275" s="1" t="n">
        <v>44987.54104166666</v>
      </c>
      <c r="C275" s="1" t="n">
        <v>45935</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52279-2023</t>
        </is>
      </c>
      <c r="B276" s="1" t="n">
        <v>45224</v>
      </c>
      <c r="C276" s="1" t="n">
        <v>45935</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17486-2024</t>
        </is>
      </c>
      <c r="B277" s="1" t="n">
        <v>45415.48979166667</v>
      </c>
      <c r="C277" s="1" t="n">
        <v>45935</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19833-2023</t>
        </is>
      </c>
      <c r="B278" s="1" t="n">
        <v>45052</v>
      </c>
      <c r="C278" s="1" t="n">
        <v>45935</v>
      </c>
      <c r="D278" t="inlineStr">
        <is>
          <t>KALMAR LÄN</t>
        </is>
      </c>
      <c r="E278" t="inlineStr">
        <is>
          <t>VIMMERBY</t>
        </is>
      </c>
      <c r="G278" t="n">
        <v>6.7</v>
      </c>
      <c r="H278" t="n">
        <v>0</v>
      </c>
      <c r="I278" t="n">
        <v>0</v>
      </c>
      <c r="J278" t="n">
        <v>0</v>
      </c>
      <c r="K278" t="n">
        <v>0</v>
      </c>
      <c r="L278" t="n">
        <v>0</v>
      </c>
      <c r="M278" t="n">
        <v>0</v>
      </c>
      <c r="N278" t="n">
        <v>0</v>
      </c>
      <c r="O278" t="n">
        <v>0</v>
      </c>
      <c r="P278" t="n">
        <v>0</v>
      </c>
      <c r="Q278" t="n">
        <v>0</v>
      </c>
      <c r="R278" s="2" t="inlineStr"/>
    </row>
    <row r="279" ht="15" customHeight="1">
      <c r="A279" t="inlineStr">
        <is>
          <t>A 49382-2023</t>
        </is>
      </c>
      <c r="B279" s="1" t="n">
        <v>45208</v>
      </c>
      <c r="C279" s="1" t="n">
        <v>45935</v>
      </c>
      <c r="D279" t="inlineStr">
        <is>
          <t>KALMAR LÄN</t>
        </is>
      </c>
      <c r="E279" t="inlineStr">
        <is>
          <t>VIMMERBY</t>
        </is>
      </c>
      <c r="G279" t="n">
        <v>2.2</v>
      </c>
      <c r="H279" t="n">
        <v>0</v>
      </c>
      <c r="I279" t="n">
        <v>0</v>
      </c>
      <c r="J279" t="n">
        <v>0</v>
      </c>
      <c r="K279" t="n">
        <v>0</v>
      </c>
      <c r="L279" t="n">
        <v>0</v>
      </c>
      <c r="M279" t="n">
        <v>0</v>
      </c>
      <c r="N279" t="n">
        <v>0</v>
      </c>
      <c r="O279" t="n">
        <v>0</v>
      </c>
      <c r="P279" t="n">
        <v>0</v>
      </c>
      <c r="Q279" t="n">
        <v>0</v>
      </c>
      <c r="R279" s="2" t="inlineStr"/>
    </row>
    <row r="280" ht="15" customHeight="1">
      <c r="A280" t="inlineStr">
        <is>
          <t>A 12810-2023</t>
        </is>
      </c>
      <c r="B280" s="1" t="n">
        <v>45001.43854166667</v>
      </c>
      <c r="C280" s="1" t="n">
        <v>45935</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3425-2022</t>
        </is>
      </c>
      <c r="B281" s="1" t="n">
        <v>44585.51060185185</v>
      </c>
      <c r="C281" s="1" t="n">
        <v>45935</v>
      </c>
      <c r="D281" t="inlineStr">
        <is>
          <t>KALMAR LÄN</t>
        </is>
      </c>
      <c r="E281" t="inlineStr">
        <is>
          <t>VIMMERBY</t>
        </is>
      </c>
      <c r="G281" t="n">
        <v>1.3</v>
      </c>
      <c r="H281" t="n">
        <v>0</v>
      </c>
      <c r="I281" t="n">
        <v>0</v>
      </c>
      <c r="J281" t="n">
        <v>0</v>
      </c>
      <c r="K281" t="n">
        <v>0</v>
      </c>
      <c r="L281" t="n">
        <v>0</v>
      </c>
      <c r="M281" t="n">
        <v>0</v>
      </c>
      <c r="N281" t="n">
        <v>0</v>
      </c>
      <c r="O281" t="n">
        <v>0</v>
      </c>
      <c r="P281" t="n">
        <v>0</v>
      </c>
      <c r="Q281" t="n">
        <v>0</v>
      </c>
      <c r="R281" s="2" t="inlineStr"/>
    </row>
    <row r="282" ht="15" customHeight="1">
      <c r="A282" t="inlineStr">
        <is>
          <t>A 60675-2023</t>
        </is>
      </c>
      <c r="B282" s="1" t="n">
        <v>45260.4716550926</v>
      </c>
      <c r="C282" s="1" t="n">
        <v>45935</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2536-2023</t>
        </is>
      </c>
      <c r="B283" s="1" t="n">
        <v>44943.62954861111</v>
      </c>
      <c r="C283" s="1" t="n">
        <v>45935</v>
      </c>
      <c r="D283" t="inlineStr">
        <is>
          <t>KALMAR LÄN</t>
        </is>
      </c>
      <c r="E283" t="inlineStr">
        <is>
          <t>VIMMERBY</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14548-2024</t>
        </is>
      </c>
      <c r="B284" s="1" t="n">
        <v>45394.66887731481</v>
      </c>
      <c r="C284" s="1" t="n">
        <v>45935</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71631-2021</t>
        </is>
      </c>
      <c r="B285" s="1" t="n">
        <v>44542.90072916666</v>
      </c>
      <c r="C285" s="1" t="n">
        <v>45935</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44742-2025</t>
        </is>
      </c>
      <c r="B286" s="1" t="n">
        <v>45917.67054398148</v>
      </c>
      <c r="C286" s="1" t="n">
        <v>45935</v>
      </c>
      <c r="D286" t="inlineStr">
        <is>
          <t>KALMAR LÄN</t>
        </is>
      </c>
      <c r="E286" t="inlineStr">
        <is>
          <t>VIMMERBY</t>
        </is>
      </c>
      <c r="G286" t="n">
        <v>4.7</v>
      </c>
      <c r="H286" t="n">
        <v>0</v>
      </c>
      <c r="I286" t="n">
        <v>0</v>
      </c>
      <c r="J286" t="n">
        <v>0</v>
      </c>
      <c r="K286" t="n">
        <v>0</v>
      </c>
      <c r="L286" t="n">
        <v>0</v>
      </c>
      <c r="M286" t="n">
        <v>0</v>
      </c>
      <c r="N286" t="n">
        <v>0</v>
      </c>
      <c r="O286" t="n">
        <v>0</v>
      </c>
      <c r="P286" t="n">
        <v>0</v>
      </c>
      <c r="Q286" t="n">
        <v>0</v>
      </c>
      <c r="R286" s="2" t="inlineStr"/>
    </row>
    <row r="287" ht="15" customHeight="1">
      <c r="A287" t="inlineStr">
        <is>
          <t>A 11111-2024</t>
        </is>
      </c>
      <c r="B287" s="1" t="n">
        <v>45371.36359953704</v>
      </c>
      <c r="C287" s="1" t="n">
        <v>45935</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585-2024</t>
        </is>
      </c>
      <c r="B288" s="1" t="n">
        <v>45299.62576388889</v>
      </c>
      <c r="C288" s="1" t="n">
        <v>45935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56020-2024</t>
        </is>
      </c>
      <c r="B289" s="1" t="n">
        <v>45623.9525462963</v>
      </c>
      <c r="C289" s="1" t="n">
        <v>45935</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23252-2024</t>
        </is>
      </c>
      <c r="B290" s="1" t="n">
        <v>45453.36067129629</v>
      </c>
      <c r="C290" s="1" t="n">
        <v>45935</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1687-2023</t>
        </is>
      </c>
      <c r="B291" s="1" t="n">
        <v>44938</v>
      </c>
      <c r="C291" s="1" t="n">
        <v>45935</v>
      </c>
      <c r="D291" t="inlineStr">
        <is>
          <t>KALMAR LÄN</t>
        </is>
      </c>
      <c r="E291" t="inlineStr">
        <is>
          <t>VIMMERBY</t>
        </is>
      </c>
      <c r="F291" t="inlineStr">
        <is>
          <t>Kommuner</t>
        </is>
      </c>
      <c r="G291" t="n">
        <v>2.5</v>
      </c>
      <c r="H291" t="n">
        <v>0</v>
      </c>
      <c r="I291" t="n">
        <v>0</v>
      </c>
      <c r="J291" t="n">
        <v>0</v>
      </c>
      <c r="K291" t="n">
        <v>0</v>
      </c>
      <c r="L291" t="n">
        <v>0</v>
      </c>
      <c r="M291" t="n">
        <v>0</v>
      </c>
      <c r="N291" t="n">
        <v>0</v>
      </c>
      <c r="O291" t="n">
        <v>0</v>
      </c>
      <c r="P291" t="n">
        <v>0</v>
      </c>
      <c r="Q291" t="n">
        <v>0</v>
      </c>
      <c r="R291" s="2" t="inlineStr"/>
    </row>
    <row r="292" ht="15" customHeight="1">
      <c r="A292" t="inlineStr">
        <is>
          <t>A 16015-2025</t>
        </is>
      </c>
      <c r="B292" s="1" t="n">
        <v>45749.60487268519</v>
      </c>
      <c r="C292" s="1" t="n">
        <v>45935</v>
      </c>
      <c r="D292" t="inlineStr">
        <is>
          <t>KALMAR LÄN</t>
        </is>
      </c>
      <c r="E292" t="inlineStr">
        <is>
          <t>VIMMERBY</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37088-2025</t>
        </is>
      </c>
      <c r="B293" s="1" t="n">
        <v>45875.45716435185</v>
      </c>
      <c r="C293" s="1" t="n">
        <v>45935</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37102-2025</t>
        </is>
      </c>
      <c r="B294" s="1" t="n">
        <v>45875.47454861111</v>
      </c>
      <c r="C294" s="1" t="n">
        <v>45935</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15550-2023</t>
        </is>
      </c>
      <c r="B295" s="1" t="n">
        <v>45020</v>
      </c>
      <c r="C295" s="1" t="n">
        <v>45935</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37079-2025</t>
        </is>
      </c>
      <c r="B296" s="1" t="n">
        <v>45875.42716435185</v>
      </c>
      <c r="C296" s="1" t="n">
        <v>45935</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11219-2023</t>
        </is>
      </c>
      <c r="B297" s="1" t="n">
        <v>44992.62498842592</v>
      </c>
      <c r="C297" s="1" t="n">
        <v>45935</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44329-2025</t>
        </is>
      </c>
      <c r="B298" s="1" t="n">
        <v>45916.41019675926</v>
      </c>
      <c r="C298" s="1" t="n">
        <v>45935</v>
      </c>
      <c r="D298" t="inlineStr">
        <is>
          <t>KALMAR LÄN</t>
        </is>
      </c>
      <c r="E298" t="inlineStr">
        <is>
          <t>VIMMERBY</t>
        </is>
      </c>
      <c r="G298" t="n">
        <v>4.3</v>
      </c>
      <c r="H298" t="n">
        <v>0</v>
      </c>
      <c r="I298" t="n">
        <v>0</v>
      </c>
      <c r="J298" t="n">
        <v>0</v>
      </c>
      <c r="K298" t="n">
        <v>0</v>
      </c>
      <c r="L298" t="n">
        <v>0</v>
      </c>
      <c r="M298" t="n">
        <v>0</v>
      </c>
      <c r="N298" t="n">
        <v>0</v>
      </c>
      <c r="O298" t="n">
        <v>0</v>
      </c>
      <c r="P298" t="n">
        <v>0</v>
      </c>
      <c r="Q298" t="n">
        <v>0</v>
      </c>
      <c r="R298" s="2" t="inlineStr"/>
    </row>
    <row r="299" ht="15" customHeight="1">
      <c r="A299" t="inlineStr">
        <is>
          <t>A 44517-2025</t>
        </is>
      </c>
      <c r="B299" s="1" t="n">
        <v>45916.7103587963</v>
      </c>
      <c r="C299" s="1" t="n">
        <v>45935</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18411-2021</t>
        </is>
      </c>
      <c r="B300" s="1" t="n">
        <v>44302</v>
      </c>
      <c r="C300" s="1" t="n">
        <v>45935</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47855-2024</t>
        </is>
      </c>
      <c r="B301" s="1" t="n">
        <v>45588.66457175926</v>
      </c>
      <c r="C301" s="1" t="n">
        <v>45935</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36934-2025</t>
        </is>
      </c>
      <c r="B302" s="1" t="n">
        <v>45874.57109953704</v>
      </c>
      <c r="C302" s="1" t="n">
        <v>45935</v>
      </c>
      <c r="D302" t="inlineStr">
        <is>
          <t>KALMAR LÄN</t>
        </is>
      </c>
      <c r="E302" t="inlineStr">
        <is>
          <t>VIMMERBY</t>
        </is>
      </c>
      <c r="G302" t="n">
        <v>4.2</v>
      </c>
      <c r="H302" t="n">
        <v>0</v>
      </c>
      <c r="I302" t="n">
        <v>0</v>
      </c>
      <c r="J302" t="n">
        <v>0</v>
      </c>
      <c r="K302" t="n">
        <v>0</v>
      </c>
      <c r="L302" t="n">
        <v>0</v>
      </c>
      <c r="M302" t="n">
        <v>0</v>
      </c>
      <c r="N302" t="n">
        <v>0</v>
      </c>
      <c r="O302" t="n">
        <v>0</v>
      </c>
      <c r="P302" t="n">
        <v>0</v>
      </c>
      <c r="Q302" t="n">
        <v>0</v>
      </c>
      <c r="R302" s="2" t="inlineStr"/>
    </row>
    <row r="303" ht="15" customHeight="1">
      <c r="A303" t="inlineStr">
        <is>
          <t>A 9694-2023</t>
        </is>
      </c>
      <c r="B303" s="1" t="n">
        <v>44984.45895833334</v>
      </c>
      <c r="C303" s="1" t="n">
        <v>45935</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3494-2023</t>
        </is>
      </c>
      <c r="B304" s="1" t="n">
        <v>44949</v>
      </c>
      <c r="C304" s="1" t="n">
        <v>45935</v>
      </c>
      <c r="D304" t="inlineStr">
        <is>
          <t>KALMAR LÄN</t>
        </is>
      </c>
      <c r="E304" t="inlineStr">
        <is>
          <t>VIMMERBY</t>
        </is>
      </c>
      <c r="F304" t="inlineStr">
        <is>
          <t>Kyrkan</t>
        </is>
      </c>
      <c r="G304" t="n">
        <v>0.8</v>
      </c>
      <c r="H304" t="n">
        <v>0</v>
      </c>
      <c r="I304" t="n">
        <v>0</v>
      </c>
      <c r="J304" t="n">
        <v>0</v>
      </c>
      <c r="K304" t="n">
        <v>0</v>
      </c>
      <c r="L304" t="n">
        <v>0</v>
      </c>
      <c r="M304" t="n">
        <v>0</v>
      </c>
      <c r="N304" t="n">
        <v>0</v>
      </c>
      <c r="O304" t="n">
        <v>0</v>
      </c>
      <c r="P304" t="n">
        <v>0</v>
      </c>
      <c r="Q304" t="n">
        <v>0</v>
      </c>
      <c r="R304" s="2" t="inlineStr"/>
    </row>
    <row r="305" ht="15" customHeight="1">
      <c r="A305" t="inlineStr">
        <is>
          <t>A 22198-2024</t>
        </is>
      </c>
      <c r="B305" s="1" t="n">
        <v>45446.36865740741</v>
      </c>
      <c r="C305" s="1" t="n">
        <v>45935</v>
      </c>
      <c r="D305" t="inlineStr">
        <is>
          <t>KALMAR LÄN</t>
        </is>
      </c>
      <c r="E305" t="inlineStr">
        <is>
          <t>VIMMERBY</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45114-2025</t>
        </is>
      </c>
      <c r="B306" s="1" t="n">
        <v>45919.42387731482</v>
      </c>
      <c r="C306" s="1" t="n">
        <v>45935</v>
      </c>
      <c r="D306" t="inlineStr">
        <is>
          <t>KALMAR LÄN</t>
        </is>
      </c>
      <c r="E306" t="inlineStr">
        <is>
          <t>VIMMERBY</t>
        </is>
      </c>
      <c r="G306" t="n">
        <v>2.7</v>
      </c>
      <c r="H306" t="n">
        <v>0</v>
      </c>
      <c r="I306" t="n">
        <v>0</v>
      </c>
      <c r="J306" t="n">
        <v>0</v>
      </c>
      <c r="K306" t="n">
        <v>0</v>
      </c>
      <c r="L306" t="n">
        <v>0</v>
      </c>
      <c r="M306" t="n">
        <v>0</v>
      </c>
      <c r="N306" t="n">
        <v>0</v>
      </c>
      <c r="O306" t="n">
        <v>0</v>
      </c>
      <c r="P306" t="n">
        <v>0</v>
      </c>
      <c r="Q306" t="n">
        <v>0</v>
      </c>
      <c r="R306" s="2" t="inlineStr"/>
    </row>
    <row r="307" ht="15" customHeight="1">
      <c r="A307" t="inlineStr">
        <is>
          <t>A 172-2022</t>
        </is>
      </c>
      <c r="B307" s="1" t="n">
        <v>44564.62598379629</v>
      </c>
      <c r="C307" s="1" t="n">
        <v>45935</v>
      </c>
      <c r="D307" t="inlineStr">
        <is>
          <t>KALMAR LÄN</t>
        </is>
      </c>
      <c r="E307" t="inlineStr">
        <is>
          <t>VIMMERBY</t>
        </is>
      </c>
      <c r="G307" t="n">
        <v>2.1</v>
      </c>
      <c r="H307" t="n">
        <v>0</v>
      </c>
      <c r="I307" t="n">
        <v>0</v>
      </c>
      <c r="J307" t="n">
        <v>0</v>
      </c>
      <c r="K307" t="n">
        <v>0</v>
      </c>
      <c r="L307" t="n">
        <v>0</v>
      </c>
      <c r="M307" t="n">
        <v>0</v>
      </c>
      <c r="N307" t="n">
        <v>0</v>
      </c>
      <c r="O307" t="n">
        <v>0</v>
      </c>
      <c r="P307" t="n">
        <v>0</v>
      </c>
      <c r="Q307" t="n">
        <v>0</v>
      </c>
      <c r="R307" s="2" t="inlineStr"/>
    </row>
    <row r="308" ht="15" customHeight="1">
      <c r="A308" t="inlineStr">
        <is>
          <t>A 39584-2024</t>
        </is>
      </c>
      <c r="B308" s="1" t="n">
        <v>45552.36759259259</v>
      </c>
      <c r="C308" s="1" t="n">
        <v>45935</v>
      </c>
      <c r="D308" t="inlineStr">
        <is>
          <t>KALMAR LÄN</t>
        </is>
      </c>
      <c r="E308" t="inlineStr">
        <is>
          <t>VIMMERBY</t>
        </is>
      </c>
      <c r="G308" t="n">
        <v>1.9</v>
      </c>
      <c r="H308" t="n">
        <v>0</v>
      </c>
      <c r="I308" t="n">
        <v>0</v>
      </c>
      <c r="J308" t="n">
        <v>0</v>
      </c>
      <c r="K308" t="n">
        <v>0</v>
      </c>
      <c r="L308" t="n">
        <v>0</v>
      </c>
      <c r="M308" t="n">
        <v>0</v>
      </c>
      <c r="N308" t="n">
        <v>0</v>
      </c>
      <c r="O308" t="n">
        <v>0</v>
      </c>
      <c r="P308" t="n">
        <v>0</v>
      </c>
      <c r="Q308" t="n">
        <v>0</v>
      </c>
      <c r="R308" s="2" t="inlineStr"/>
    </row>
    <row r="309" ht="15" customHeight="1">
      <c r="A309" t="inlineStr">
        <is>
          <t>A 57311-2023</t>
        </is>
      </c>
      <c r="B309" s="1" t="n">
        <v>45245.63574074074</v>
      </c>
      <c r="C309" s="1" t="n">
        <v>45935</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12588-2025</t>
        </is>
      </c>
      <c r="B310" s="1" t="n">
        <v>45732.76936342593</v>
      </c>
      <c r="C310" s="1" t="n">
        <v>45935</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15449-2023</t>
        </is>
      </c>
      <c r="B311" s="1" t="n">
        <v>45020</v>
      </c>
      <c r="C311" s="1" t="n">
        <v>45935</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43242-2024</t>
        </is>
      </c>
      <c r="B312" s="1" t="n">
        <v>45568.30189814815</v>
      </c>
      <c r="C312" s="1" t="n">
        <v>45935</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51881-2024</t>
        </is>
      </c>
      <c r="B313" s="1" t="n">
        <v>45607.56773148148</v>
      </c>
      <c r="C313" s="1" t="n">
        <v>45935</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7932-2025</t>
        </is>
      </c>
      <c r="B314" s="1" t="n">
        <v>45707.3793287037</v>
      </c>
      <c r="C314" s="1" t="n">
        <v>45935</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2596-2025</t>
        </is>
      </c>
      <c r="B315" s="1" t="n">
        <v>45674.71810185185</v>
      </c>
      <c r="C315" s="1" t="n">
        <v>45935</v>
      </c>
      <c r="D315" t="inlineStr">
        <is>
          <t>KALMAR LÄN</t>
        </is>
      </c>
      <c r="E315" t="inlineStr">
        <is>
          <t>VIMMERBY</t>
        </is>
      </c>
      <c r="G315" t="n">
        <v>9</v>
      </c>
      <c r="H315" t="n">
        <v>0</v>
      </c>
      <c r="I315" t="n">
        <v>0</v>
      </c>
      <c r="J315" t="n">
        <v>0</v>
      </c>
      <c r="K315" t="n">
        <v>0</v>
      </c>
      <c r="L315" t="n">
        <v>0</v>
      </c>
      <c r="M315" t="n">
        <v>0</v>
      </c>
      <c r="N315" t="n">
        <v>0</v>
      </c>
      <c r="O315" t="n">
        <v>0</v>
      </c>
      <c r="P315" t="n">
        <v>0</v>
      </c>
      <c r="Q315" t="n">
        <v>0</v>
      </c>
      <c r="R315" s="2" t="inlineStr"/>
    </row>
    <row r="316" ht="15" customHeight="1">
      <c r="A316" t="inlineStr">
        <is>
          <t>A 61878-2020</t>
        </is>
      </c>
      <c r="B316" s="1" t="n">
        <v>44159</v>
      </c>
      <c r="C316" s="1" t="n">
        <v>45935</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16734-2023</t>
        </is>
      </c>
      <c r="B317" s="1" t="n">
        <v>45030.71012731481</v>
      </c>
      <c r="C317" s="1" t="n">
        <v>45935</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56853-2022</t>
        </is>
      </c>
      <c r="B318" s="1" t="n">
        <v>44894.49538194444</v>
      </c>
      <c r="C318" s="1" t="n">
        <v>45935</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65049-2020</t>
        </is>
      </c>
      <c r="B319" s="1" t="n">
        <v>44172</v>
      </c>
      <c r="C319" s="1" t="n">
        <v>45935</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37578-2025</t>
        </is>
      </c>
      <c r="B320" s="1" t="n">
        <v>45880.38380787037</v>
      </c>
      <c r="C320" s="1" t="n">
        <v>45935</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2121-2022</t>
        </is>
      </c>
      <c r="B321" s="1" t="n">
        <v>44578.32717592592</v>
      </c>
      <c r="C321" s="1" t="n">
        <v>45935</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45319-2025</t>
        </is>
      </c>
      <c r="B322" s="1" t="n">
        <v>45921.95611111111</v>
      </c>
      <c r="C322" s="1" t="n">
        <v>45935</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34386-2024</t>
        </is>
      </c>
      <c r="B323" s="1" t="n">
        <v>45525.41762731481</v>
      </c>
      <c r="C323" s="1" t="n">
        <v>45935</v>
      </c>
      <c r="D323" t="inlineStr">
        <is>
          <t>KALMAR LÄN</t>
        </is>
      </c>
      <c r="E323" t="inlineStr">
        <is>
          <t>VIMMERBY</t>
        </is>
      </c>
      <c r="G323" t="n">
        <v>0.3</v>
      </c>
      <c r="H323" t="n">
        <v>0</v>
      </c>
      <c r="I323" t="n">
        <v>0</v>
      </c>
      <c r="J323" t="n">
        <v>0</v>
      </c>
      <c r="K323" t="n">
        <v>0</v>
      </c>
      <c r="L323" t="n">
        <v>0</v>
      </c>
      <c r="M323" t="n">
        <v>0</v>
      </c>
      <c r="N323" t="n">
        <v>0</v>
      </c>
      <c r="O323" t="n">
        <v>0</v>
      </c>
      <c r="P323" t="n">
        <v>0</v>
      </c>
      <c r="Q323" t="n">
        <v>0</v>
      </c>
      <c r="R323" s="2" t="inlineStr"/>
    </row>
    <row r="324" ht="15" customHeight="1">
      <c r="A324" t="inlineStr">
        <is>
          <t>A 20129-2024</t>
        </is>
      </c>
      <c r="B324" s="1" t="n">
        <v>45434.55831018519</v>
      </c>
      <c r="C324" s="1" t="n">
        <v>45935</v>
      </c>
      <c r="D324" t="inlineStr">
        <is>
          <t>KALMAR LÄN</t>
        </is>
      </c>
      <c r="E324" t="inlineStr">
        <is>
          <t>VIMMERBY</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20137-2024</t>
        </is>
      </c>
      <c r="B325" s="1" t="n">
        <v>45434.56398148148</v>
      </c>
      <c r="C325" s="1" t="n">
        <v>45935</v>
      </c>
      <c r="D325" t="inlineStr">
        <is>
          <t>KALMAR LÄN</t>
        </is>
      </c>
      <c r="E325" t="inlineStr">
        <is>
          <t>VIMMERBY</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7456-2024</t>
        </is>
      </c>
      <c r="B326" s="1" t="n">
        <v>45345.83557870371</v>
      </c>
      <c r="C326" s="1" t="n">
        <v>45935</v>
      </c>
      <c r="D326" t="inlineStr">
        <is>
          <t>KALMAR LÄN</t>
        </is>
      </c>
      <c r="E326" t="inlineStr">
        <is>
          <t>VIMMERBY</t>
        </is>
      </c>
      <c r="G326" t="n">
        <v>4.1</v>
      </c>
      <c r="H326" t="n">
        <v>0</v>
      </c>
      <c r="I326" t="n">
        <v>0</v>
      </c>
      <c r="J326" t="n">
        <v>0</v>
      </c>
      <c r="K326" t="n">
        <v>0</v>
      </c>
      <c r="L326" t="n">
        <v>0</v>
      </c>
      <c r="M326" t="n">
        <v>0</v>
      </c>
      <c r="N326" t="n">
        <v>0</v>
      </c>
      <c r="O326" t="n">
        <v>0</v>
      </c>
      <c r="P326" t="n">
        <v>0</v>
      </c>
      <c r="Q326" t="n">
        <v>0</v>
      </c>
      <c r="R326" s="2" t="inlineStr"/>
    </row>
    <row r="327" ht="15" customHeight="1">
      <c r="A327" t="inlineStr">
        <is>
          <t>A 6069-2023</t>
        </is>
      </c>
      <c r="B327" s="1" t="n">
        <v>44964.5115162037</v>
      </c>
      <c r="C327" s="1" t="n">
        <v>45935</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33815-2022</t>
        </is>
      </c>
      <c r="B328" s="1" t="n">
        <v>44790.45876157407</v>
      </c>
      <c r="C328" s="1" t="n">
        <v>45935</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33842-2022</t>
        </is>
      </c>
      <c r="B329" s="1" t="n">
        <v>44790.49523148148</v>
      </c>
      <c r="C329" s="1" t="n">
        <v>45935</v>
      </c>
      <c r="D329" t="inlineStr">
        <is>
          <t>KALMAR LÄN</t>
        </is>
      </c>
      <c r="E329" t="inlineStr">
        <is>
          <t>VIMMERBY</t>
        </is>
      </c>
      <c r="G329" t="n">
        <v>1.6</v>
      </c>
      <c r="H329" t="n">
        <v>0</v>
      </c>
      <c r="I329" t="n">
        <v>0</v>
      </c>
      <c r="J329" t="n">
        <v>0</v>
      </c>
      <c r="K329" t="n">
        <v>0</v>
      </c>
      <c r="L329" t="n">
        <v>0</v>
      </c>
      <c r="M329" t="n">
        <v>0</v>
      </c>
      <c r="N329" t="n">
        <v>0</v>
      </c>
      <c r="O329" t="n">
        <v>0</v>
      </c>
      <c r="P329" t="n">
        <v>0</v>
      </c>
      <c r="Q329" t="n">
        <v>0</v>
      </c>
      <c r="R329" s="2" t="inlineStr"/>
    </row>
    <row r="330" ht="15" customHeight="1">
      <c r="A330" t="inlineStr">
        <is>
          <t>A 52324-2023</t>
        </is>
      </c>
      <c r="B330" s="1" t="n">
        <v>45224.64659722222</v>
      </c>
      <c r="C330" s="1" t="n">
        <v>45935</v>
      </c>
      <c r="D330" t="inlineStr">
        <is>
          <t>KALMAR LÄN</t>
        </is>
      </c>
      <c r="E330" t="inlineStr">
        <is>
          <t>VIMMERBY</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32633-2023</t>
        </is>
      </c>
      <c r="B331" s="1" t="n">
        <v>45121.58699074074</v>
      </c>
      <c r="C331" s="1" t="n">
        <v>45935</v>
      </c>
      <c r="D331" t="inlineStr">
        <is>
          <t>KALMAR LÄN</t>
        </is>
      </c>
      <c r="E331" t="inlineStr">
        <is>
          <t>VIMMERBY</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17988-2025</t>
        </is>
      </c>
      <c r="B332" s="1" t="n">
        <v>45761.39600694444</v>
      </c>
      <c r="C332" s="1" t="n">
        <v>45935</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45320-2025</t>
        </is>
      </c>
      <c r="B333" s="1" t="n">
        <v>45921.96395833333</v>
      </c>
      <c r="C333" s="1" t="n">
        <v>45935</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23341-2022</t>
        </is>
      </c>
      <c r="B334" s="1" t="n">
        <v>44720.53898148148</v>
      </c>
      <c r="C334" s="1" t="n">
        <v>45935</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49408-2023</t>
        </is>
      </c>
      <c r="B335" s="1" t="n">
        <v>45211.43555555555</v>
      </c>
      <c r="C335" s="1" t="n">
        <v>45935</v>
      </c>
      <c r="D335" t="inlineStr">
        <is>
          <t>KALMAR LÄN</t>
        </is>
      </c>
      <c r="E335" t="inlineStr">
        <is>
          <t>VIMMERBY</t>
        </is>
      </c>
      <c r="G335" t="n">
        <v>13.1</v>
      </c>
      <c r="H335" t="n">
        <v>0</v>
      </c>
      <c r="I335" t="n">
        <v>0</v>
      </c>
      <c r="J335" t="n">
        <v>0</v>
      </c>
      <c r="K335" t="n">
        <v>0</v>
      </c>
      <c r="L335" t="n">
        <v>0</v>
      </c>
      <c r="M335" t="n">
        <v>0</v>
      </c>
      <c r="N335" t="n">
        <v>0</v>
      </c>
      <c r="O335" t="n">
        <v>0</v>
      </c>
      <c r="P335" t="n">
        <v>0</v>
      </c>
      <c r="Q335" t="n">
        <v>0</v>
      </c>
      <c r="R335" s="2" t="inlineStr"/>
    </row>
    <row r="336" ht="15" customHeight="1">
      <c r="A336" t="inlineStr">
        <is>
          <t>A 49461-2023</t>
        </is>
      </c>
      <c r="B336" s="1" t="n">
        <v>45211.52642361111</v>
      </c>
      <c r="C336" s="1" t="n">
        <v>45935</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56536-2022</t>
        </is>
      </c>
      <c r="B337" s="1" t="n">
        <v>44893</v>
      </c>
      <c r="C337" s="1" t="n">
        <v>45935</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23095-2023</t>
        </is>
      </c>
      <c r="B338" s="1" t="n">
        <v>45075.43059027778</v>
      </c>
      <c r="C338" s="1" t="n">
        <v>45935</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11429-2022</t>
        </is>
      </c>
      <c r="B339" s="1" t="n">
        <v>44630</v>
      </c>
      <c r="C339" s="1" t="n">
        <v>45935</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37028-2024</t>
        </is>
      </c>
      <c r="B340" s="1" t="n">
        <v>45539.38744212963</v>
      </c>
      <c r="C340" s="1" t="n">
        <v>45935</v>
      </c>
      <c r="D340" t="inlineStr">
        <is>
          <t>KALMAR LÄN</t>
        </is>
      </c>
      <c r="E340" t="inlineStr">
        <is>
          <t>VIMMERBY</t>
        </is>
      </c>
      <c r="G340" t="n">
        <v>5.2</v>
      </c>
      <c r="H340" t="n">
        <v>0</v>
      </c>
      <c r="I340" t="n">
        <v>0</v>
      </c>
      <c r="J340" t="n">
        <v>0</v>
      </c>
      <c r="K340" t="n">
        <v>0</v>
      </c>
      <c r="L340" t="n">
        <v>0</v>
      </c>
      <c r="M340" t="n">
        <v>0</v>
      </c>
      <c r="N340" t="n">
        <v>0</v>
      </c>
      <c r="O340" t="n">
        <v>0</v>
      </c>
      <c r="P340" t="n">
        <v>0</v>
      </c>
      <c r="Q340" t="n">
        <v>0</v>
      </c>
      <c r="R340" s="2" t="inlineStr"/>
    </row>
    <row r="341" ht="15" customHeight="1">
      <c r="A341" t="inlineStr">
        <is>
          <t>A 41199-2023</t>
        </is>
      </c>
      <c r="B341" s="1" t="n">
        <v>45174.40454861111</v>
      </c>
      <c r="C341" s="1" t="n">
        <v>45935</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11141-2024</t>
        </is>
      </c>
      <c r="B342" s="1" t="n">
        <v>45371.45865740741</v>
      </c>
      <c r="C342" s="1" t="n">
        <v>45935</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28395-2023</t>
        </is>
      </c>
      <c r="B343" s="1" t="n">
        <v>45100.4062962963</v>
      </c>
      <c r="C343" s="1" t="n">
        <v>45935</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45935</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29168-2024</t>
        </is>
      </c>
      <c r="B345" s="1" t="n">
        <v>45482.49870370371</v>
      </c>
      <c r="C345" s="1" t="n">
        <v>45935</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8086-2021</t>
        </is>
      </c>
      <c r="B346" s="1" t="n">
        <v>44243</v>
      </c>
      <c r="C346" s="1" t="n">
        <v>45935</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55236-2023</t>
        </is>
      </c>
      <c r="B347" s="1" t="n">
        <v>45237.63225694445</v>
      </c>
      <c r="C347" s="1" t="n">
        <v>45935</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55245-2023</t>
        </is>
      </c>
      <c r="B348" s="1" t="n">
        <v>45237.64408564815</v>
      </c>
      <c r="C348" s="1" t="n">
        <v>45935</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34597-2022</t>
        </is>
      </c>
      <c r="B349" s="1" t="n">
        <v>44795</v>
      </c>
      <c r="C349" s="1" t="n">
        <v>45935</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8945-2025</t>
        </is>
      </c>
      <c r="B350" s="1" t="n">
        <v>45713.45311342592</v>
      </c>
      <c r="C350" s="1" t="n">
        <v>45935</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36055-2024</t>
        </is>
      </c>
      <c r="B351" s="1" t="n">
        <v>45533.63056712963</v>
      </c>
      <c r="C351" s="1" t="n">
        <v>45935</v>
      </c>
      <c r="D351" t="inlineStr">
        <is>
          <t>KALMAR LÄN</t>
        </is>
      </c>
      <c r="E351" t="inlineStr">
        <is>
          <t>VIMMERBY</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64428-2023</t>
        </is>
      </c>
      <c r="B352" s="1" t="n">
        <v>45280.66769675926</v>
      </c>
      <c r="C352" s="1" t="n">
        <v>45935</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30588-2023</t>
        </is>
      </c>
      <c r="B353" s="1" t="n">
        <v>45112.33599537037</v>
      </c>
      <c r="C353" s="1" t="n">
        <v>45935</v>
      </c>
      <c r="D353" t="inlineStr">
        <is>
          <t>KALMAR LÄN</t>
        </is>
      </c>
      <c r="E353" t="inlineStr">
        <is>
          <t>VIMMERBY</t>
        </is>
      </c>
      <c r="G353" t="n">
        <v>2.7</v>
      </c>
      <c r="H353" t="n">
        <v>0</v>
      </c>
      <c r="I353" t="n">
        <v>0</v>
      </c>
      <c r="J353" t="n">
        <v>0</v>
      </c>
      <c r="K353" t="n">
        <v>0</v>
      </c>
      <c r="L353" t="n">
        <v>0</v>
      </c>
      <c r="M353" t="n">
        <v>0</v>
      </c>
      <c r="N353" t="n">
        <v>0</v>
      </c>
      <c r="O353" t="n">
        <v>0</v>
      </c>
      <c r="P353" t="n">
        <v>0</v>
      </c>
      <c r="Q353" t="n">
        <v>0</v>
      </c>
      <c r="R353" s="2" t="inlineStr"/>
    </row>
    <row r="354" ht="15" customHeight="1">
      <c r="A354" t="inlineStr">
        <is>
          <t>A 11619-2023</t>
        </is>
      </c>
      <c r="B354" s="1" t="n">
        <v>44994.42113425926</v>
      </c>
      <c r="C354" s="1" t="n">
        <v>45935</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30503-2023</t>
        </is>
      </c>
      <c r="B355" s="1" t="n">
        <v>45111</v>
      </c>
      <c r="C355" s="1" t="n">
        <v>45935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41896-2023</t>
        </is>
      </c>
      <c r="B356" s="1" t="n">
        <v>45176.72427083334</v>
      </c>
      <c r="C356" s="1" t="n">
        <v>45935</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37668-2025</t>
        </is>
      </c>
      <c r="B357" s="1" t="n">
        <v>45880.51550925926</v>
      </c>
      <c r="C357" s="1" t="n">
        <v>45935</v>
      </c>
      <c r="D357" t="inlineStr">
        <is>
          <t>KALMAR LÄN</t>
        </is>
      </c>
      <c r="E357" t="inlineStr">
        <is>
          <t>VIMMERBY</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45924.57697916667</v>
      </c>
      <c r="C358" s="1" t="n">
        <v>45935</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37939-2025</t>
        </is>
      </c>
      <c r="B359" s="1" t="n">
        <v>45881.59877314815</v>
      </c>
      <c r="C359" s="1" t="n">
        <v>45935</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27443-2023</t>
        </is>
      </c>
      <c r="B360" s="1" t="n">
        <v>45097.40524305555</v>
      </c>
      <c r="C360" s="1" t="n">
        <v>45935</v>
      </c>
      <c r="D360" t="inlineStr">
        <is>
          <t>KALMAR LÄN</t>
        </is>
      </c>
      <c r="E360" t="inlineStr">
        <is>
          <t>VIMMERBY</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37866-2025</t>
        </is>
      </c>
      <c r="B361" s="1" t="n">
        <v>45881</v>
      </c>
      <c r="C361" s="1" t="n">
        <v>45935</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17926-2025</t>
        </is>
      </c>
      <c r="B362" s="1" t="n">
        <v>45759.38987268518</v>
      </c>
      <c r="C362" s="1" t="n">
        <v>45935</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46361-2025</t>
        </is>
      </c>
      <c r="B363" s="1" t="n">
        <v>45925.49670138889</v>
      </c>
      <c r="C363" s="1" t="n">
        <v>45935</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845-2023</t>
        </is>
      </c>
      <c r="B364" s="1" t="n">
        <v>44931</v>
      </c>
      <c r="C364" s="1" t="n">
        <v>45935</v>
      </c>
      <c r="D364" t="inlineStr">
        <is>
          <t>KALMAR LÄN</t>
        </is>
      </c>
      <c r="E364" t="inlineStr">
        <is>
          <t>VIMMERBY</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47263-2023</t>
        </is>
      </c>
      <c r="B365" s="1" t="n">
        <v>45202.4209837963</v>
      </c>
      <c r="C365" s="1" t="n">
        <v>45935</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21028-2023</t>
        </is>
      </c>
      <c r="B366" s="1" t="n">
        <v>45061</v>
      </c>
      <c r="C366" s="1" t="n">
        <v>45935</v>
      </c>
      <c r="D366" t="inlineStr">
        <is>
          <t>KALMAR LÄN</t>
        </is>
      </c>
      <c r="E366" t="inlineStr">
        <is>
          <t>VIMMERBY</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45935</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58159-2024</t>
        </is>
      </c>
      <c r="B368" s="1" t="n">
        <v>45632.44886574074</v>
      </c>
      <c r="C368" s="1" t="n">
        <v>45935</v>
      </c>
      <c r="D368" t="inlineStr">
        <is>
          <t>KALMAR LÄN</t>
        </is>
      </c>
      <c r="E368" t="inlineStr">
        <is>
          <t>VIMMERBY</t>
        </is>
      </c>
      <c r="G368" t="n">
        <v>7.5</v>
      </c>
      <c r="H368" t="n">
        <v>0</v>
      </c>
      <c r="I368" t="n">
        <v>0</v>
      </c>
      <c r="J368" t="n">
        <v>0</v>
      </c>
      <c r="K368" t="n">
        <v>0</v>
      </c>
      <c r="L368" t="n">
        <v>0</v>
      </c>
      <c r="M368" t="n">
        <v>0</v>
      </c>
      <c r="N368" t="n">
        <v>0</v>
      </c>
      <c r="O368" t="n">
        <v>0</v>
      </c>
      <c r="P368" t="n">
        <v>0</v>
      </c>
      <c r="Q368" t="n">
        <v>0</v>
      </c>
      <c r="R368" s="2" t="inlineStr"/>
    </row>
    <row r="369" ht="15" customHeight="1">
      <c r="A369" t="inlineStr">
        <is>
          <t>A 57114-2023</t>
        </is>
      </c>
      <c r="B369" s="1" t="n">
        <v>45245.36174768519</v>
      </c>
      <c r="C369" s="1" t="n">
        <v>45935</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3423-2022</t>
        </is>
      </c>
      <c r="B370" s="1" t="n">
        <v>44585.50431712963</v>
      </c>
      <c r="C370" s="1" t="n">
        <v>45935</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19445-2021</t>
        </is>
      </c>
      <c r="B371" s="1" t="n">
        <v>44310</v>
      </c>
      <c r="C371" s="1" t="n">
        <v>45935</v>
      </c>
      <c r="D371" t="inlineStr">
        <is>
          <t>KALMAR LÄN</t>
        </is>
      </c>
      <c r="E371" t="inlineStr">
        <is>
          <t>VIMMERBY</t>
        </is>
      </c>
      <c r="G371" t="n">
        <v>6.8</v>
      </c>
      <c r="H371" t="n">
        <v>0</v>
      </c>
      <c r="I371" t="n">
        <v>0</v>
      </c>
      <c r="J371" t="n">
        <v>0</v>
      </c>
      <c r="K371" t="n">
        <v>0</v>
      </c>
      <c r="L371" t="n">
        <v>0</v>
      </c>
      <c r="M371" t="n">
        <v>0</v>
      </c>
      <c r="N371" t="n">
        <v>0</v>
      </c>
      <c r="O371" t="n">
        <v>0</v>
      </c>
      <c r="P371" t="n">
        <v>0</v>
      </c>
      <c r="Q371" t="n">
        <v>0</v>
      </c>
      <c r="R371" s="2" t="inlineStr"/>
    </row>
    <row r="372" ht="15" customHeight="1">
      <c r="A372" t="inlineStr">
        <is>
          <t>A 27122-2023</t>
        </is>
      </c>
      <c r="B372" s="1" t="n">
        <v>45096.45247685185</v>
      </c>
      <c r="C372" s="1" t="n">
        <v>45935</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40665-2023</t>
        </is>
      </c>
      <c r="B373" s="1" t="n">
        <v>45170</v>
      </c>
      <c r="C373" s="1" t="n">
        <v>45935</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13813-2024</t>
        </is>
      </c>
      <c r="B374" s="1" t="n">
        <v>45391.41310185185</v>
      </c>
      <c r="C374" s="1" t="n">
        <v>45935</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38969-2023</t>
        </is>
      </c>
      <c r="B375" s="1" t="n">
        <v>45163.63621527778</v>
      </c>
      <c r="C375" s="1" t="n">
        <v>45935</v>
      </c>
      <c r="D375" t="inlineStr">
        <is>
          <t>KALMAR LÄN</t>
        </is>
      </c>
      <c r="E375" t="inlineStr">
        <is>
          <t>VIMMERBY</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6321-2023</t>
        </is>
      </c>
      <c r="B376" s="1" t="n">
        <v>44965.4815162037</v>
      </c>
      <c r="C376" s="1" t="n">
        <v>45935</v>
      </c>
      <c r="D376" t="inlineStr">
        <is>
          <t>KALMAR LÄN</t>
        </is>
      </c>
      <c r="E376" t="inlineStr">
        <is>
          <t>VIMMERBY</t>
        </is>
      </c>
      <c r="G376" t="n">
        <v>1.8</v>
      </c>
      <c r="H376" t="n">
        <v>0</v>
      </c>
      <c r="I376" t="n">
        <v>0</v>
      </c>
      <c r="J376" t="n">
        <v>0</v>
      </c>
      <c r="K376" t="n">
        <v>0</v>
      </c>
      <c r="L376" t="n">
        <v>0</v>
      </c>
      <c r="M376" t="n">
        <v>0</v>
      </c>
      <c r="N376" t="n">
        <v>0</v>
      </c>
      <c r="O376" t="n">
        <v>0</v>
      </c>
      <c r="P376" t="n">
        <v>0</v>
      </c>
      <c r="Q376" t="n">
        <v>0</v>
      </c>
      <c r="R376" s="2" t="inlineStr"/>
    </row>
    <row r="377" ht="15" customHeight="1">
      <c r="A377" t="inlineStr">
        <is>
          <t>A 4624-2024</t>
        </is>
      </c>
      <c r="B377" s="1" t="n">
        <v>45328.38755787037</v>
      </c>
      <c r="C377" s="1" t="n">
        <v>45935</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26937-2023</t>
        </is>
      </c>
      <c r="B378" s="1" t="n">
        <v>45093.62777777778</v>
      </c>
      <c r="C378" s="1" t="n">
        <v>45935</v>
      </c>
      <c r="D378" t="inlineStr">
        <is>
          <t>KALMAR LÄN</t>
        </is>
      </c>
      <c r="E378" t="inlineStr">
        <is>
          <t>VIMMERBY</t>
        </is>
      </c>
      <c r="F378" t="inlineStr">
        <is>
          <t>Sveaskog</t>
        </is>
      </c>
      <c r="G378" t="n">
        <v>14.5</v>
      </c>
      <c r="H378" t="n">
        <v>0</v>
      </c>
      <c r="I378" t="n">
        <v>0</v>
      </c>
      <c r="J378" t="n">
        <v>0</v>
      </c>
      <c r="K378" t="n">
        <v>0</v>
      </c>
      <c r="L378" t="n">
        <v>0</v>
      </c>
      <c r="M378" t="n">
        <v>0</v>
      </c>
      <c r="N378" t="n">
        <v>0</v>
      </c>
      <c r="O378" t="n">
        <v>0</v>
      </c>
      <c r="P378" t="n">
        <v>0</v>
      </c>
      <c r="Q378" t="n">
        <v>0</v>
      </c>
      <c r="R378" s="2" t="inlineStr"/>
    </row>
    <row r="379" ht="15" customHeight="1">
      <c r="A379" t="inlineStr">
        <is>
          <t>A 57486-2024</t>
        </is>
      </c>
      <c r="B379" s="1" t="n">
        <v>45630.35827546296</v>
      </c>
      <c r="C379" s="1" t="n">
        <v>45935</v>
      </c>
      <c r="D379" t="inlineStr">
        <is>
          <t>KALMAR LÄN</t>
        </is>
      </c>
      <c r="E379" t="inlineStr">
        <is>
          <t>VIMMERBY</t>
        </is>
      </c>
      <c r="G379" t="n">
        <v>0.4</v>
      </c>
      <c r="H379" t="n">
        <v>0</v>
      </c>
      <c r="I379" t="n">
        <v>0</v>
      </c>
      <c r="J379" t="n">
        <v>0</v>
      </c>
      <c r="K379" t="n">
        <v>0</v>
      </c>
      <c r="L379" t="n">
        <v>0</v>
      </c>
      <c r="M379" t="n">
        <v>0</v>
      </c>
      <c r="N379" t="n">
        <v>0</v>
      </c>
      <c r="O379" t="n">
        <v>0</v>
      </c>
      <c r="P379" t="n">
        <v>0</v>
      </c>
      <c r="Q379" t="n">
        <v>0</v>
      </c>
      <c r="R379" s="2" t="inlineStr"/>
    </row>
    <row r="380" ht="15" customHeight="1">
      <c r="A380" t="inlineStr">
        <is>
          <t>A 43186-2021</t>
        </is>
      </c>
      <c r="B380" s="1" t="n">
        <v>44431.84840277778</v>
      </c>
      <c r="C380" s="1" t="n">
        <v>45935</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1799-2025</t>
        </is>
      </c>
      <c r="B381" s="1" t="n">
        <v>45671.46746527778</v>
      </c>
      <c r="C381" s="1" t="n">
        <v>45935</v>
      </c>
      <c r="D381" t="inlineStr">
        <is>
          <t>KALMAR LÄN</t>
        </is>
      </c>
      <c r="E381" t="inlineStr">
        <is>
          <t>VIMMERBY</t>
        </is>
      </c>
      <c r="G381" t="n">
        <v>3.3</v>
      </c>
      <c r="H381" t="n">
        <v>0</v>
      </c>
      <c r="I381" t="n">
        <v>0</v>
      </c>
      <c r="J381" t="n">
        <v>0</v>
      </c>
      <c r="K381" t="n">
        <v>0</v>
      </c>
      <c r="L381" t="n">
        <v>0</v>
      </c>
      <c r="M381" t="n">
        <v>0</v>
      </c>
      <c r="N381" t="n">
        <v>0</v>
      </c>
      <c r="O381" t="n">
        <v>0</v>
      </c>
      <c r="P381" t="n">
        <v>0</v>
      </c>
      <c r="Q381" t="n">
        <v>0</v>
      </c>
      <c r="R381" s="2" t="inlineStr"/>
    </row>
    <row r="382" ht="15" customHeight="1">
      <c r="A382" t="inlineStr">
        <is>
          <t>A 30063-2023</t>
        </is>
      </c>
      <c r="B382" s="1" t="n">
        <v>45110.4184375</v>
      </c>
      <c r="C382" s="1" t="n">
        <v>45935</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40730-2024</t>
        </is>
      </c>
      <c r="B383" s="1" t="n">
        <v>45558.44914351852</v>
      </c>
      <c r="C383" s="1" t="n">
        <v>45935</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46365-2025</t>
        </is>
      </c>
      <c r="B384" s="1" t="n">
        <v>45925.50075231482</v>
      </c>
      <c r="C384" s="1" t="n">
        <v>45935</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43068-2023</t>
        </is>
      </c>
      <c r="B385" s="1" t="n">
        <v>45182.78834490741</v>
      </c>
      <c r="C385" s="1" t="n">
        <v>45935</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50860-2022</t>
        </is>
      </c>
      <c r="B386" s="1" t="n">
        <v>44867</v>
      </c>
      <c r="C386" s="1" t="n">
        <v>45935</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2157-2024</t>
        </is>
      </c>
      <c r="B387" s="1" t="n">
        <v>45309.59487268519</v>
      </c>
      <c r="C387" s="1" t="n">
        <v>45935</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25370-2022</t>
        </is>
      </c>
      <c r="B388" s="1" t="n">
        <v>44732.3659837963</v>
      </c>
      <c r="C388" s="1" t="n">
        <v>45935</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58577-2024</t>
        </is>
      </c>
      <c r="B389" s="1" t="n">
        <v>45635.4874537037</v>
      </c>
      <c r="C389" s="1" t="n">
        <v>45935</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29440-2024</t>
        </is>
      </c>
      <c r="B390" s="1" t="n">
        <v>45483.82479166667</v>
      </c>
      <c r="C390" s="1" t="n">
        <v>45935</v>
      </c>
      <c r="D390" t="inlineStr">
        <is>
          <t>KALMAR LÄN</t>
        </is>
      </c>
      <c r="E390" t="inlineStr">
        <is>
          <t>VIMMERBY</t>
        </is>
      </c>
      <c r="G390" t="n">
        <v>4.5</v>
      </c>
      <c r="H390" t="n">
        <v>0</v>
      </c>
      <c r="I390" t="n">
        <v>0</v>
      </c>
      <c r="J390" t="n">
        <v>0</v>
      </c>
      <c r="K390" t="n">
        <v>0</v>
      </c>
      <c r="L390" t="n">
        <v>0</v>
      </c>
      <c r="M390" t="n">
        <v>0</v>
      </c>
      <c r="N390" t="n">
        <v>0</v>
      </c>
      <c r="O390" t="n">
        <v>0</v>
      </c>
      <c r="P390" t="n">
        <v>0</v>
      </c>
      <c r="Q390" t="n">
        <v>0</v>
      </c>
      <c r="R390" s="2" t="inlineStr"/>
    </row>
    <row r="391" ht="15" customHeight="1">
      <c r="A391" t="inlineStr">
        <is>
          <t>A 49461-2022</t>
        </is>
      </c>
      <c r="B391" s="1" t="n">
        <v>44861</v>
      </c>
      <c r="C391" s="1" t="n">
        <v>45935</v>
      </c>
      <c r="D391" t="inlineStr">
        <is>
          <t>KALMAR LÄN</t>
        </is>
      </c>
      <c r="E391" t="inlineStr">
        <is>
          <t>VIMMERBY</t>
        </is>
      </c>
      <c r="G391" t="n">
        <v>3.2</v>
      </c>
      <c r="H391" t="n">
        <v>0</v>
      </c>
      <c r="I391" t="n">
        <v>0</v>
      </c>
      <c r="J391" t="n">
        <v>0</v>
      </c>
      <c r="K391" t="n">
        <v>0</v>
      </c>
      <c r="L391" t="n">
        <v>0</v>
      </c>
      <c r="M391" t="n">
        <v>0</v>
      </c>
      <c r="N391" t="n">
        <v>0</v>
      </c>
      <c r="O391" t="n">
        <v>0</v>
      </c>
      <c r="P391" t="n">
        <v>0</v>
      </c>
      <c r="Q391" t="n">
        <v>0</v>
      </c>
      <c r="R391" s="2" t="inlineStr"/>
    </row>
    <row r="392" ht="15" customHeight="1">
      <c r="A392" t="inlineStr">
        <is>
          <t>A 694-2024</t>
        </is>
      </c>
      <c r="B392" s="1" t="n">
        <v>45300.3794212963</v>
      </c>
      <c r="C392" s="1" t="n">
        <v>45935</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18020-2025</t>
        </is>
      </c>
      <c r="B393" s="1" t="n">
        <v>45761.4437962963</v>
      </c>
      <c r="C393" s="1" t="n">
        <v>45935</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33424-2023</t>
        </is>
      </c>
      <c r="B394" s="1" t="n">
        <v>45128.9325</v>
      </c>
      <c r="C394" s="1" t="n">
        <v>45935</v>
      </c>
      <c r="D394" t="inlineStr">
        <is>
          <t>KALMAR LÄN</t>
        </is>
      </c>
      <c r="E394" t="inlineStr">
        <is>
          <t>VIMMERBY</t>
        </is>
      </c>
      <c r="G394" t="n">
        <v>2.4</v>
      </c>
      <c r="H394" t="n">
        <v>0</v>
      </c>
      <c r="I394" t="n">
        <v>0</v>
      </c>
      <c r="J394" t="n">
        <v>0</v>
      </c>
      <c r="K394" t="n">
        <v>0</v>
      </c>
      <c r="L394" t="n">
        <v>0</v>
      </c>
      <c r="M394" t="n">
        <v>0</v>
      </c>
      <c r="N394" t="n">
        <v>0</v>
      </c>
      <c r="O394" t="n">
        <v>0</v>
      </c>
      <c r="P394" t="n">
        <v>0</v>
      </c>
      <c r="Q394" t="n">
        <v>0</v>
      </c>
      <c r="R394" s="2" t="inlineStr"/>
    </row>
    <row r="395" ht="15" customHeight="1">
      <c r="A395" t="inlineStr">
        <is>
          <t>A 33425-2023</t>
        </is>
      </c>
      <c r="B395" s="1" t="n">
        <v>45128.93540509259</v>
      </c>
      <c r="C395" s="1" t="n">
        <v>45935</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12327-2023</t>
        </is>
      </c>
      <c r="B396" s="1" t="n">
        <v>44999.36081018519</v>
      </c>
      <c r="C396" s="1" t="n">
        <v>45935</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43092-2024</t>
        </is>
      </c>
      <c r="B397" s="1" t="n">
        <v>45567</v>
      </c>
      <c r="C397" s="1" t="n">
        <v>45935</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52435-2021</t>
        </is>
      </c>
      <c r="B398" s="1" t="n">
        <v>44466.34962962963</v>
      </c>
      <c r="C398" s="1" t="n">
        <v>45935</v>
      </c>
      <c r="D398" t="inlineStr">
        <is>
          <t>KALMAR LÄN</t>
        </is>
      </c>
      <c r="E398" t="inlineStr">
        <is>
          <t>VIMMERBY</t>
        </is>
      </c>
      <c r="G398" t="n">
        <v>2.8</v>
      </c>
      <c r="H398" t="n">
        <v>0</v>
      </c>
      <c r="I398" t="n">
        <v>0</v>
      </c>
      <c r="J398" t="n">
        <v>0</v>
      </c>
      <c r="K398" t="n">
        <v>0</v>
      </c>
      <c r="L398" t="n">
        <v>0</v>
      </c>
      <c r="M398" t="n">
        <v>0</v>
      </c>
      <c r="N398" t="n">
        <v>0</v>
      </c>
      <c r="O398" t="n">
        <v>0</v>
      </c>
      <c r="P398" t="n">
        <v>0</v>
      </c>
      <c r="Q398" t="n">
        <v>0</v>
      </c>
      <c r="R398" s="2" t="inlineStr"/>
    </row>
    <row r="399" ht="15" customHeight="1">
      <c r="A399" t="inlineStr">
        <is>
          <t>A 59598-2023</t>
        </is>
      </c>
      <c r="B399" s="1" t="n">
        <v>45254.62489583333</v>
      </c>
      <c r="C399" s="1" t="n">
        <v>45935</v>
      </c>
      <c r="D399" t="inlineStr">
        <is>
          <t>KALMAR LÄN</t>
        </is>
      </c>
      <c r="E399" t="inlineStr">
        <is>
          <t>VIMMERBY</t>
        </is>
      </c>
      <c r="F399" t="inlineStr">
        <is>
          <t>Övriga Aktiebolag</t>
        </is>
      </c>
      <c r="G399" t="n">
        <v>4</v>
      </c>
      <c r="H399" t="n">
        <v>0</v>
      </c>
      <c r="I399" t="n">
        <v>0</v>
      </c>
      <c r="J399" t="n">
        <v>0</v>
      </c>
      <c r="K399" t="n">
        <v>0</v>
      </c>
      <c r="L399" t="n">
        <v>0</v>
      </c>
      <c r="M399" t="n">
        <v>0</v>
      </c>
      <c r="N399" t="n">
        <v>0</v>
      </c>
      <c r="O399" t="n">
        <v>0</v>
      </c>
      <c r="P399" t="n">
        <v>0</v>
      </c>
      <c r="Q399" t="n">
        <v>0</v>
      </c>
      <c r="R399" s="2" t="inlineStr"/>
    </row>
    <row r="400" ht="15" customHeight="1">
      <c r="A400" t="inlineStr">
        <is>
          <t>A 7944-2024</t>
        </is>
      </c>
      <c r="B400" s="1" t="n">
        <v>45350.53306712963</v>
      </c>
      <c r="C400" s="1" t="n">
        <v>45935</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9129-2025</t>
        </is>
      </c>
      <c r="B401" s="1" t="n">
        <v>45713.92412037037</v>
      </c>
      <c r="C401" s="1" t="n">
        <v>45935</v>
      </c>
      <c r="D401" t="inlineStr">
        <is>
          <t>KALMAR LÄN</t>
        </is>
      </c>
      <c r="E401" t="inlineStr">
        <is>
          <t>VIMMERBY</t>
        </is>
      </c>
      <c r="G401" t="n">
        <v>2.8</v>
      </c>
      <c r="H401" t="n">
        <v>0</v>
      </c>
      <c r="I401" t="n">
        <v>0</v>
      </c>
      <c r="J401" t="n">
        <v>0</v>
      </c>
      <c r="K401" t="n">
        <v>0</v>
      </c>
      <c r="L401" t="n">
        <v>0</v>
      </c>
      <c r="M401" t="n">
        <v>0</v>
      </c>
      <c r="N401" t="n">
        <v>0</v>
      </c>
      <c r="O401" t="n">
        <v>0</v>
      </c>
      <c r="P401" t="n">
        <v>0</v>
      </c>
      <c r="Q401" t="n">
        <v>0</v>
      </c>
      <c r="R401" s="2" t="inlineStr"/>
    </row>
    <row r="402" ht="15" customHeight="1">
      <c r="A402" t="inlineStr">
        <is>
          <t>A 22197-2024</t>
        </is>
      </c>
      <c r="B402" s="1" t="n">
        <v>45446.36774305555</v>
      </c>
      <c r="C402" s="1" t="n">
        <v>45935</v>
      </c>
      <c r="D402" t="inlineStr">
        <is>
          <t>KALMAR LÄN</t>
        </is>
      </c>
      <c r="E402" t="inlineStr">
        <is>
          <t>VIMMERBY</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53752-2024</t>
        </is>
      </c>
      <c r="B403" s="1" t="n">
        <v>45615.48927083334</v>
      </c>
      <c r="C403" s="1" t="n">
        <v>45935</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21496-2023</t>
        </is>
      </c>
      <c r="B404" s="1" t="n">
        <v>45063.49936342592</v>
      </c>
      <c r="C404" s="1" t="n">
        <v>45935</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38964-2025</t>
        </is>
      </c>
      <c r="B405" s="1" t="n">
        <v>45887.68759259259</v>
      </c>
      <c r="C405" s="1" t="n">
        <v>45935</v>
      </c>
      <c r="D405" t="inlineStr">
        <is>
          <t>KALMAR LÄN</t>
        </is>
      </c>
      <c r="E405" t="inlineStr">
        <is>
          <t>VIMMERBY</t>
        </is>
      </c>
      <c r="G405" t="n">
        <v>7.5</v>
      </c>
      <c r="H405" t="n">
        <v>0</v>
      </c>
      <c r="I405" t="n">
        <v>0</v>
      </c>
      <c r="J405" t="n">
        <v>0</v>
      </c>
      <c r="K405" t="n">
        <v>0</v>
      </c>
      <c r="L405" t="n">
        <v>0</v>
      </c>
      <c r="M405" t="n">
        <v>0</v>
      </c>
      <c r="N405" t="n">
        <v>0</v>
      </c>
      <c r="O405" t="n">
        <v>0</v>
      </c>
      <c r="P405" t="n">
        <v>0</v>
      </c>
      <c r="Q405" t="n">
        <v>0</v>
      </c>
      <c r="R405" s="2" t="inlineStr"/>
    </row>
    <row r="406" ht="15" customHeight="1">
      <c r="A406" t="inlineStr">
        <is>
          <t>A 45856-2025</t>
        </is>
      </c>
      <c r="B406" s="1" t="n">
        <v>45923</v>
      </c>
      <c r="C406" s="1" t="n">
        <v>45935</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35127-2024</t>
        </is>
      </c>
      <c r="B407" s="1" t="n">
        <v>45530.33202546297</v>
      </c>
      <c r="C407" s="1" t="n">
        <v>45935</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42820-2025</t>
        </is>
      </c>
      <c r="B408" s="1" t="n">
        <v>45908</v>
      </c>
      <c r="C408" s="1" t="n">
        <v>45935</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29783-2024</t>
        </is>
      </c>
      <c r="B409" s="1" t="n">
        <v>45485.45778935185</v>
      </c>
      <c r="C409" s="1" t="n">
        <v>45935</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60215-2022</t>
        </is>
      </c>
      <c r="B410" s="1" t="n">
        <v>44910.41346064815</v>
      </c>
      <c r="C410" s="1" t="n">
        <v>45935</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29441-2024</t>
        </is>
      </c>
      <c r="B411" s="1" t="n">
        <v>45483.82834490741</v>
      </c>
      <c r="C411" s="1" t="n">
        <v>45935</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6216-2025</t>
        </is>
      </c>
      <c r="B412" s="1" t="n">
        <v>45698.52806712963</v>
      </c>
      <c r="C412" s="1" t="n">
        <v>45935</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62779-2023</t>
        </is>
      </c>
      <c r="B413" s="1" t="n">
        <v>45271.66576388889</v>
      </c>
      <c r="C413" s="1" t="n">
        <v>45935</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52294-2023</t>
        </is>
      </c>
      <c r="B414" s="1" t="n">
        <v>45224.60075231481</v>
      </c>
      <c r="C414" s="1" t="n">
        <v>45935</v>
      </c>
      <c r="D414" t="inlineStr">
        <is>
          <t>KALMAR LÄN</t>
        </is>
      </c>
      <c r="E414" t="inlineStr">
        <is>
          <t>VIMMERBY</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35198-2023</t>
        </is>
      </c>
      <c r="B415" s="1" t="n">
        <v>45145</v>
      </c>
      <c r="C415" s="1" t="n">
        <v>45935</v>
      </c>
      <c r="D415" t="inlineStr">
        <is>
          <t>KALMAR LÄN</t>
        </is>
      </c>
      <c r="E415" t="inlineStr">
        <is>
          <t>VIMMERBY</t>
        </is>
      </c>
      <c r="G415" t="n">
        <v>1.6</v>
      </c>
      <c r="H415" t="n">
        <v>0</v>
      </c>
      <c r="I415" t="n">
        <v>0</v>
      </c>
      <c r="J415" t="n">
        <v>0</v>
      </c>
      <c r="K415" t="n">
        <v>0</v>
      </c>
      <c r="L415" t="n">
        <v>0</v>
      </c>
      <c r="M415" t="n">
        <v>0</v>
      </c>
      <c r="N415" t="n">
        <v>0</v>
      </c>
      <c r="O415" t="n">
        <v>0</v>
      </c>
      <c r="P415" t="n">
        <v>0</v>
      </c>
      <c r="Q415" t="n">
        <v>0</v>
      </c>
      <c r="R415" s="2" t="inlineStr"/>
    </row>
    <row r="416" ht="15" customHeight="1">
      <c r="A416" t="inlineStr">
        <is>
          <t>A 43853-2023</t>
        </is>
      </c>
      <c r="B416" s="1" t="n">
        <v>45187.60813657408</v>
      </c>
      <c r="C416" s="1" t="n">
        <v>45935</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31013-2023</t>
        </is>
      </c>
      <c r="B417" s="1" t="n">
        <v>45113.56574074074</v>
      </c>
      <c r="C417" s="1" t="n">
        <v>45935</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72067-2021</t>
        </is>
      </c>
      <c r="B418" s="1" t="n">
        <v>44540</v>
      </c>
      <c r="C418" s="1" t="n">
        <v>45935</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61538-2022</t>
        </is>
      </c>
      <c r="B419" s="1" t="n">
        <v>44916.55414351852</v>
      </c>
      <c r="C419" s="1" t="n">
        <v>45935</v>
      </c>
      <c r="D419" t="inlineStr">
        <is>
          <t>KALMAR LÄN</t>
        </is>
      </c>
      <c r="E419" t="inlineStr">
        <is>
          <t>VIMMERBY</t>
        </is>
      </c>
      <c r="G419" t="n">
        <v>1.5</v>
      </c>
      <c r="H419" t="n">
        <v>0</v>
      </c>
      <c r="I419" t="n">
        <v>0</v>
      </c>
      <c r="J419" t="n">
        <v>0</v>
      </c>
      <c r="K419" t="n">
        <v>0</v>
      </c>
      <c r="L419" t="n">
        <v>0</v>
      </c>
      <c r="M419" t="n">
        <v>0</v>
      </c>
      <c r="N419" t="n">
        <v>0</v>
      </c>
      <c r="O419" t="n">
        <v>0</v>
      </c>
      <c r="P419" t="n">
        <v>0</v>
      </c>
      <c r="Q419" t="n">
        <v>0</v>
      </c>
      <c r="R419" s="2" t="inlineStr"/>
    </row>
    <row r="420" ht="15" customHeight="1">
      <c r="A420" t="inlineStr">
        <is>
          <t>A 9511-2023</t>
        </is>
      </c>
      <c r="B420" s="1" t="n">
        <v>44981.64725694444</v>
      </c>
      <c r="C420" s="1" t="n">
        <v>45935</v>
      </c>
      <c r="D420" t="inlineStr">
        <is>
          <t>KALMAR LÄN</t>
        </is>
      </c>
      <c r="E420" t="inlineStr">
        <is>
          <t>VIMMERBY</t>
        </is>
      </c>
      <c r="G420" t="n">
        <v>3.5</v>
      </c>
      <c r="H420" t="n">
        <v>0</v>
      </c>
      <c r="I420" t="n">
        <v>0</v>
      </c>
      <c r="J420" t="n">
        <v>0</v>
      </c>
      <c r="K420" t="n">
        <v>0</v>
      </c>
      <c r="L420" t="n">
        <v>0</v>
      </c>
      <c r="M420" t="n">
        <v>0</v>
      </c>
      <c r="N420" t="n">
        <v>0</v>
      </c>
      <c r="O420" t="n">
        <v>0</v>
      </c>
      <c r="P420" t="n">
        <v>0</v>
      </c>
      <c r="Q420" t="n">
        <v>0</v>
      </c>
      <c r="R420" s="2" t="inlineStr"/>
    </row>
    <row r="421" ht="15" customHeight="1">
      <c r="A421" t="inlineStr">
        <is>
          <t>A 36155-2023</t>
        </is>
      </c>
      <c r="B421" s="1" t="n">
        <v>45149.60917824074</v>
      </c>
      <c r="C421" s="1" t="n">
        <v>45935</v>
      </c>
      <c r="D421" t="inlineStr">
        <is>
          <t>KALMAR LÄN</t>
        </is>
      </c>
      <c r="E421" t="inlineStr">
        <is>
          <t>VIMMERBY</t>
        </is>
      </c>
      <c r="G421" t="n">
        <v>5</v>
      </c>
      <c r="H421" t="n">
        <v>0</v>
      </c>
      <c r="I421" t="n">
        <v>0</v>
      </c>
      <c r="J421" t="n">
        <v>0</v>
      </c>
      <c r="K421" t="n">
        <v>0</v>
      </c>
      <c r="L421" t="n">
        <v>0</v>
      </c>
      <c r="M421" t="n">
        <v>0</v>
      </c>
      <c r="N421" t="n">
        <v>0</v>
      </c>
      <c r="O421" t="n">
        <v>0</v>
      </c>
      <c r="P421" t="n">
        <v>0</v>
      </c>
      <c r="Q421" t="n">
        <v>0</v>
      </c>
      <c r="R421" s="2" t="inlineStr"/>
    </row>
    <row r="422" ht="15" customHeight="1">
      <c r="A422" t="inlineStr">
        <is>
          <t>A 38757-2023</t>
        </is>
      </c>
      <c r="B422" s="1" t="n">
        <v>45163.41376157408</v>
      </c>
      <c r="C422" s="1" t="n">
        <v>45935</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29173-2024</t>
        </is>
      </c>
      <c r="B423" s="1" t="n">
        <v>45482.52887731481</v>
      </c>
      <c r="C423" s="1" t="n">
        <v>45935</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53542-2022</t>
        </is>
      </c>
      <c r="B424" s="1" t="n">
        <v>44879.62173611111</v>
      </c>
      <c r="C424" s="1" t="n">
        <v>45935</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29973-2023</t>
        </is>
      </c>
      <c r="B425" s="1" t="n">
        <v>45108.703125</v>
      </c>
      <c r="C425" s="1" t="n">
        <v>45935</v>
      </c>
      <c r="D425" t="inlineStr">
        <is>
          <t>KALMAR LÄN</t>
        </is>
      </c>
      <c r="E425" t="inlineStr">
        <is>
          <t>VIMMERBY</t>
        </is>
      </c>
      <c r="G425" t="n">
        <v>4</v>
      </c>
      <c r="H425" t="n">
        <v>0</v>
      </c>
      <c r="I425" t="n">
        <v>0</v>
      </c>
      <c r="J425" t="n">
        <v>0</v>
      </c>
      <c r="K425" t="n">
        <v>0</v>
      </c>
      <c r="L425" t="n">
        <v>0</v>
      </c>
      <c r="M425" t="n">
        <v>0</v>
      </c>
      <c r="N425" t="n">
        <v>0</v>
      </c>
      <c r="O425" t="n">
        <v>0</v>
      </c>
      <c r="P425" t="n">
        <v>0</v>
      </c>
      <c r="Q425" t="n">
        <v>0</v>
      </c>
      <c r="R425" s="2" t="inlineStr"/>
    </row>
    <row r="426" ht="15" customHeight="1">
      <c r="A426" t="inlineStr">
        <is>
          <t>A 12121-2025</t>
        </is>
      </c>
      <c r="B426" s="1" t="n">
        <v>45729.36868055556</v>
      </c>
      <c r="C426" s="1" t="n">
        <v>45935</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64143-2021</t>
        </is>
      </c>
      <c r="B427" s="1" t="n">
        <v>44510.52157407408</v>
      </c>
      <c r="C427" s="1" t="n">
        <v>45935</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73938-2021</t>
        </is>
      </c>
      <c r="B428" s="1" t="n">
        <v>44553</v>
      </c>
      <c r="C428" s="1" t="n">
        <v>45935</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7627-2025</t>
        </is>
      </c>
      <c r="B429" s="1" t="n">
        <v>45705.73300925926</v>
      </c>
      <c r="C429" s="1" t="n">
        <v>45935</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9710-2023</t>
        </is>
      </c>
      <c r="B430" s="1" t="n">
        <v>44984</v>
      </c>
      <c r="C430" s="1" t="n">
        <v>45935</v>
      </c>
      <c r="D430" t="inlineStr">
        <is>
          <t>KALMAR LÄN</t>
        </is>
      </c>
      <c r="E430" t="inlineStr">
        <is>
          <t>VIMMERBY</t>
        </is>
      </c>
      <c r="G430" t="n">
        <v>3.7</v>
      </c>
      <c r="H430" t="n">
        <v>0</v>
      </c>
      <c r="I430" t="n">
        <v>0</v>
      </c>
      <c r="J430" t="n">
        <v>0</v>
      </c>
      <c r="K430" t="n">
        <v>0</v>
      </c>
      <c r="L430" t="n">
        <v>0</v>
      </c>
      <c r="M430" t="n">
        <v>0</v>
      </c>
      <c r="N430" t="n">
        <v>0</v>
      </c>
      <c r="O430" t="n">
        <v>0</v>
      </c>
      <c r="P430" t="n">
        <v>0</v>
      </c>
      <c r="Q430" t="n">
        <v>0</v>
      </c>
      <c r="R430" s="2" t="inlineStr"/>
    </row>
    <row r="431" ht="15" customHeight="1">
      <c r="A431" t="inlineStr">
        <is>
          <t>A 40076-2021</t>
        </is>
      </c>
      <c r="B431" s="1" t="n">
        <v>44418</v>
      </c>
      <c r="C431" s="1" t="n">
        <v>45935</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9720-2023</t>
        </is>
      </c>
      <c r="B432" s="1" t="n">
        <v>44984</v>
      </c>
      <c r="C432" s="1" t="n">
        <v>45935</v>
      </c>
      <c r="D432" t="inlineStr">
        <is>
          <t>KALMAR LÄN</t>
        </is>
      </c>
      <c r="E432" t="inlineStr">
        <is>
          <t>VIMMERBY</t>
        </is>
      </c>
      <c r="G432" t="n">
        <v>4.4</v>
      </c>
      <c r="H432" t="n">
        <v>0</v>
      </c>
      <c r="I432" t="n">
        <v>0</v>
      </c>
      <c r="J432" t="n">
        <v>0</v>
      </c>
      <c r="K432" t="n">
        <v>0</v>
      </c>
      <c r="L432" t="n">
        <v>0</v>
      </c>
      <c r="M432" t="n">
        <v>0</v>
      </c>
      <c r="N432" t="n">
        <v>0</v>
      </c>
      <c r="O432" t="n">
        <v>0</v>
      </c>
      <c r="P432" t="n">
        <v>0</v>
      </c>
      <c r="Q432" t="n">
        <v>0</v>
      </c>
      <c r="R432" s="2" t="inlineStr"/>
    </row>
    <row r="433" ht="15" customHeight="1">
      <c r="A433" t="inlineStr">
        <is>
          <t>A 15493-2023</t>
        </is>
      </c>
      <c r="B433" s="1" t="n">
        <v>45018</v>
      </c>
      <c r="C433" s="1" t="n">
        <v>45935</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6807-2025</t>
        </is>
      </c>
      <c r="B434" s="1" t="n">
        <v>45700.68672453704</v>
      </c>
      <c r="C434" s="1" t="n">
        <v>45935</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45935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50648-2023</t>
        </is>
      </c>
      <c r="B436" s="1" t="n">
        <v>45217.47834490741</v>
      </c>
      <c r="C436" s="1" t="n">
        <v>45935</v>
      </c>
      <c r="D436" t="inlineStr">
        <is>
          <t>KALMAR LÄN</t>
        </is>
      </c>
      <c r="E436" t="inlineStr">
        <is>
          <t>VIMMERBY</t>
        </is>
      </c>
      <c r="G436" t="n">
        <v>1.6</v>
      </c>
      <c r="H436" t="n">
        <v>0</v>
      </c>
      <c r="I436" t="n">
        <v>0</v>
      </c>
      <c r="J436" t="n">
        <v>0</v>
      </c>
      <c r="K436" t="n">
        <v>0</v>
      </c>
      <c r="L436" t="n">
        <v>0</v>
      </c>
      <c r="M436" t="n">
        <v>0</v>
      </c>
      <c r="N436" t="n">
        <v>0</v>
      </c>
      <c r="O436" t="n">
        <v>0</v>
      </c>
      <c r="P436" t="n">
        <v>0</v>
      </c>
      <c r="Q436" t="n">
        <v>0</v>
      </c>
      <c r="R436" s="2" t="inlineStr"/>
    </row>
    <row r="437" ht="15" customHeight="1">
      <c r="A437" t="inlineStr">
        <is>
          <t>A 529-2022</t>
        </is>
      </c>
      <c r="B437" s="1" t="n">
        <v>44566</v>
      </c>
      <c r="C437" s="1" t="n">
        <v>45935</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58318-2021</t>
        </is>
      </c>
      <c r="B438" s="1" t="n">
        <v>44488.35878472222</v>
      </c>
      <c r="C438" s="1" t="n">
        <v>45935</v>
      </c>
      <c r="D438" t="inlineStr">
        <is>
          <t>KALMAR LÄN</t>
        </is>
      </c>
      <c r="E438" t="inlineStr">
        <is>
          <t>VIMMERBY</t>
        </is>
      </c>
      <c r="G438" t="n">
        <v>4</v>
      </c>
      <c r="H438" t="n">
        <v>0</v>
      </c>
      <c r="I438" t="n">
        <v>0</v>
      </c>
      <c r="J438" t="n">
        <v>0</v>
      </c>
      <c r="K438" t="n">
        <v>0</v>
      </c>
      <c r="L438" t="n">
        <v>0</v>
      </c>
      <c r="M438" t="n">
        <v>0</v>
      </c>
      <c r="N438" t="n">
        <v>0</v>
      </c>
      <c r="O438" t="n">
        <v>0</v>
      </c>
      <c r="P438" t="n">
        <v>0</v>
      </c>
      <c r="Q438" t="n">
        <v>0</v>
      </c>
      <c r="R438" s="2" t="inlineStr"/>
    </row>
    <row r="439" ht="15" customHeight="1">
      <c r="A439" t="inlineStr">
        <is>
          <t>A 35711-2023</t>
        </is>
      </c>
      <c r="B439" s="1" t="n">
        <v>45147.67172453704</v>
      </c>
      <c r="C439" s="1" t="n">
        <v>45935</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89-2023</t>
        </is>
      </c>
      <c r="B440" s="1" t="n">
        <v>44918</v>
      </c>
      <c r="C440" s="1" t="n">
        <v>45935</v>
      </c>
      <c r="D440" t="inlineStr">
        <is>
          <t>KALMAR LÄN</t>
        </is>
      </c>
      <c r="E440" t="inlineStr">
        <is>
          <t>VIMMERBY</t>
        </is>
      </c>
      <c r="G440" t="n">
        <v>16.1</v>
      </c>
      <c r="H440" t="n">
        <v>0</v>
      </c>
      <c r="I440" t="n">
        <v>0</v>
      </c>
      <c r="J440" t="n">
        <v>0</v>
      </c>
      <c r="K440" t="n">
        <v>0</v>
      </c>
      <c r="L440" t="n">
        <v>0</v>
      </c>
      <c r="M440" t="n">
        <v>0</v>
      </c>
      <c r="N440" t="n">
        <v>0</v>
      </c>
      <c r="O440" t="n">
        <v>0</v>
      </c>
      <c r="P440" t="n">
        <v>0</v>
      </c>
      <c r="Q440" t="n">
        <v>0</v>
      </c>
      <c r="R440" s="2" t="inlineStr"/>
    </row>
    <row r="441" ht="15" customHeight="1">
      <c r="A441" t="inlineStr">
        <is>
          <t>A 5382-2023</t>
        </is>
      </c>
      <c r="B441" s="1" t="n">
        <v>44959.66407407408</v>
      </c>
      <c r="C441" s="1" t="n">
        <v>45935</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23088-2024</t>
        </is>
      </c>
      <c r="B442" s="1" t="n">
        <v>45450.51092592593</v>
      </c>
      <c r="C442" s="1" t="n">
        <v>45935</v>
      </c>
      <c r="D442" t="inlineStr">
        <is>
          <t>KALMAR LÄN</t>
        </is>
      </c>
      <c r="E442" t="inlineStr">
        <is>
          <t>VIMMERBY</t>
        </is>
      </c>
      <c r="G442" t="n">
        <v>1.9</v>
      </c>
      <c r="H442" t="n">
        <v>0</v>
      </c>
      <c r="I442" t="n">
        <v>0</v>
      </c>
      <c r="J442" t="n">
        <v>0</v>
      </c>
      <c r="K442" t="n">
        <v>0</v>
      </c>
      <c r="L442" t="n">
        <v>0</v>
      </c>
      <c r="M442" t="n">
        <v>0</v>
      </c>
      <c r="N442" t="n">
        <v>0</v>
      </c>
      <c r="O442" t="n">
        <v>0</v>
      </c>
      <c r="P442" t="n">
        <v>0</v>
      </c>
      <c r="Q442" t="n">
        <v>0</v>
      </c>
      <c r="R442" s="2" t="inlineStr"/>
    </row>
    <row r="443" ht="15" customHeight="1">
      <c r="A443" t="inlineStr">
        <is>
          <t>A 38851-2023</t>
        </is>
      </c>
      <c r="B443" s="1" t="n">
        <v>45163</v>
      </c>
      <c r="C443" s="1" t="n">
        <v>45935</v>
      </c>
      <c r="D443" t="inlineStr">
        <is>
          <t>KALMAR LÄN</t>
        </is>
      </c>
      <c r="E443" t="inlineStr">
        <is>
          <t>VIMMERBY</t>
        </is>
      </c>
      <c r="G443" t="n">
        <v>4.3</v>
      </c>
      <c r="H443" t="n">
        <v>0</v>
      </c>
      <c r="I443" t="n">
        <v>0</v>
      </c>
      <c r="J443" t="n">
        <v>0</v>
      </c>
      <c r="K443" t="n">
        <v>0</v>
      </c>
      <c r="L443" t="n">
        <v>0</v>
      </c>
      <c r="M443" t="n">
        <v>0</v>
      </c>
      <c r="N443" t="n">
        <v>0</v>
      </c>
      <c r="O443" t="n">
        <v>0</v>
      </c>
      <c r="P443" t="n">
        <v>0</v>
      </c>
      <c r="Q443" t="n">
        <v>0</v>
      </c>
      <c r="R443" s="2" t="inlineStr"/>
    </row>
    <row r="444" ht="15" customHeight="1">
      <c r="A444" t="inlineStr">
        <is>
          <t>A 10759-2023</t>
        </is>
      </c>
      <c r="B444" s="1" t="n">
        <v>44988</v>
      </c>
      <c r="C444" s="1" t="n">
        <v>45935</v>
      </c>
      <c r="D444" t="inlineStr">
        <is>
          <t>KALMAR LÄN</t>
        </is>
      </c>
      <c r="E444" t="inlineStr">
        <is>
          <t>VIMMERBY</t>
        </is>
      </c>
      <c r="G444" t="n">
        <v>0.4</v>
      </c>
      <c r="H444" t="n">
        <v>0</v>
      </c>
      <c r="I444" t="n">
        <v>0</v>
      </c>
      <c r="J444" t="n">
        <v>0</v>
      </c>
      <c r="K444" t="n">
        <v>0</v>
      </c>
      <c r="L444" t="n">
        <v>0</v>
      </c>
      <c r="M444" t="n">
        <v>0</v>
      </c>
      <c r="N444" t="n">
        <v>0</v>
      </c>
      <c r="O444" t="n">
        <v>0</v>
      </c>
      <c r="P444" t="n">
        <v>0</v>
      </c>
      <c r="Q444" t="n">
        <v>0</v>
      </c>
      <c r="R444" s="2" t="inlineStr"/>
    </row>
    <row r="445" ht="15" customHeight="1">
      <c r="A445" t="inlineStr">
        <is>
          <t>A 63583-2023</t>
        </is>
      </c>
      <c r="B445" s="1" t="n">
        <v>45275.41833333333</v>
      </c>
      <c r="C445" s="1" t="n">
        <v>45935</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40823-2023</t>
        </is>
      </c>
      <c r="B446" s="1" t="n">
        <v>45171.77335648148</v>
      </c>
      <c r="C446" s="1" t="n">
        <v>45935</v>
      </c>
      <c r="D446" t="inlineStr">
        <is>
          <t>KALMAR LÄN</t>
        </is>
      </c>
      <c r="E446" t="inlineStr">
        <is>
          <t>VIMMERBY</t>
        </is>
      </c>
      <c r="G446" t="n">
        <v>2.7</v>
      </c>
      <c r="H446" t="n">
        <v>0</v>
      </c>
      <c r="I446" t="n">
        <v>0</v>
      </c>
      <c r="J446" t="n">
        <v>0</v>
      </c>
      <c r="K446" t="n">
        <v>0</v>
      </c>
      <c r="L446" t="n">
        <v>0</v>
      </c>
      <c r="M446" t="n">
        <v>0</v>
      </c>
      <c r="N446" t="n">
        <v>0</v>
      </c>
      <c r="O446" t="n">
        <v>0</v>
      </c>
      <c r="P446" t="n">
        <v>0</v>
      </c>
      <c r="Q446" t="n">
        <v>0</v>
      </c>
      <c r="R446" s="2" t="inlineStr"/>
    </row>
    <row r="447" ht="15" customHeight="1">
      <c r="A447" t="inlineStr">
        <is>
          <t>A 40079-2023</t>
        </is>
      </c>
      <c r="B447" s="1" t="n">
        <v>45168.89298611111</v>
      </c>
      <c r="C447" s="1" t="n">
        <v>45935</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6218-2025</t>
        </is>
      </c>
      <c r="B448" s="1" t="n">
        <v>45698.53336805556</v>
      </c>
      <c r="C448" s="1" t="n">
        <v>45935</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43774-2023</t>
        </is>
      </c>
      <c r="B449" s="1" t="n">
        <v>45187</v>
      </c>
      <c r="C449" s="1" t="n">
        <v>45935</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29093-2023</t>
        </is>
      </c>
      <c r="B450" s="1" t="n">
        <v>45105</v>
      </c>
      <c r="C450" s="1" t="n">
        <v>45935</v>
      </c>
      <c r="D450" t="inlineStr">
        <is>
          <t>KALMAR LÄN</t>
        </is>
      </c>
      <c r="E450" t="inlineStr">
        <is>
          <t>VIMMERBY</t>
        </is>
      </c>
      <c r="G450" t="n">
        <v>2.9</v>
      </c>
      <c r="H450" t="n">
        <v>0</v>
      </c>
      <c r="I450" t="n">
        <v>0</v>
      </c>
      <c r="J450" t="n">
        <v>0</v>
      </c>
      <c r="K450" t="n">
        <v>0</v>
      </c>
      <c r="L450" t="n">
        <v>0</v>
      </c>
      <c r="M450" t="n">
        <v>0</v>
      </c>
      <c r="N450" t="n">
        <v>0</v>
      </c>
      <c r="O450" t="n">
        <v>0</v>
      </c>
      <c r="P450" t="n">
        <v>0</v>
      </c>
      <c r="Q450" t="n">
        <v>0</v>
      </c>
      <c r="R450" s="2" t="inlineStr"/>
    </row>
    <row r="451" ht="15" customHeight="1">
      <c r="A451" t="inlineStr">
        <is>
          <t>A 33352-2022</t>
        </is>
      </c>
      <c r="B451" s="1" t="n">
        <v>44788</v>
      </c>
      <c r="C451" s="1" t="n">
        <v>45935</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29616-2022</t>
        </is>
      </c>
      <c r="B452" s="1" t="n">
        <v>44754</v>
      </c>
      <c r="C452" s="1" t="n">
        <v>45935</v>
      </c>
      <c r="D452" t="inlineStr">
        <is>
          <t>KALMAR LÄN</t>
        </is>
      </c>
      <c r="E452" t="inlineStr">
        <is>
          <t>VIMMERBY</t>
        </is>
      </c>
      <c r="G452" t="n">
        <v>1.1</v>
      </c>
      <c r="H452" t="n">
        <v>0</v>
      </c>
      <c r="I452" t="n">
        <v>0</v>
      </c>
      <c r="J452" t="n">
        <v>0</v>
      </c>
      <c r="K452" t="n">
        <v>0</v>
      </c>
      <c r="L452" t="n">
        <v>0</v>
      </c>
      <c r="M452" t="n">
        <v>0</v>
      </c>
      <c r="N452" t="n">
        <v>0</v>
      </c>
      <c r="O452" t="n">
        <v>0</v>
      </c>
      <c r="P452" t="n">
        <v>0</v>
      </c>
      <c r="Q452" t="n">
        <v>0</v>
      </c>
      <c r="R452" s="2" t="inlineStr"/>
    </row>
    <row r="453" ht="15" customHeight="1">
      <c r="A453" t="inlineStr">
        <is>
          <t>A 10674-2021</t>
        </is>
      </c>
      <c r="B453" s="1" t="n">
        <v>44258</v>
      </c>
      <c r="C453" s="1" t="n">
        <v>45935</v>
      </c>
      <c r="D453" t="inlineStr">
        <is>
          <t>KALMAR LÄN</t>
        </is>
      </c>
      <c r="E453" t="inlineStr">
        <is>
          <t>VIMMERBY</t>
        </is>
      </c>
      <c r="G453" t="n">
        <v>8.4</v>
      </c>
      <c r="H453" t="n">
        <v>0</v>
      </c>
      <c r="I453" t="n">
        <v>0</v>
      </c>
      <c r="J453" t="n">
        <v>0</v>
      </c>
      <c r="K453" t="n">
        <v>0</v>
      </c>
      <c r="L453" t="n">
        <v>0</v>
      </c>
      <c r="M453" t="n">
        <v>0</v>
      </c>
      <c r="N453" t="n">
        <v>0</v>
      </c>
      <c r="O453" t="n">
        <v>0</v>
      </c>
      <c r="P453" t="n">
        <v>0</v>
      </c>
      <c r="Q453" t="n">
        <v>0</v>
      </c>
      <c r="R453" s="2" t="inlineStr"/>
    </row>
    <row r="454" ht="15" customHeight="1">
      <c r="A454" t="inlineStr">
        <is>
          <t>A 30920-2023</t>
        </is>
      </c>
      <c r="B454" s="1" t="n">
        <v>45113.43921296296</v>
      </c>
      <c r="C454" s="1" t="n">
        <v>45935</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22264-2023</t>
        </is>
      </c>
      <c r="B455" s="1" t="n">
        <v>45070.3665625</v>
      </c>
      <c r="C455" s="1" t="n">
        <v>45935</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39578-2024</t>
        </is>
      </c>
      <c r="B456" s="1" t="n">
        <v>45552.36484953704</v>
      </c>
      <c r="C456" s="1" t="n">
        <v>45935</v>
      </c>
      <c r="D456" t="inlineStr">
        <is>
          <t>KALMAR LÄN</t>
        </is>
      </c>
      <c r="E456" t="inlineStr">
        <is>
          <t>VIMMERBY</t>
        </is>
      </c>
      <c r="G456" t="n">
        <v>1.5</v>
      </c>
      <c r="H456" t="n">
        <v>0</v>
      </c>
      <c r="I456" t="n">
        <v>0</v>
      </c>
      <c r="J456" t="n">
        <v>0</v>
      </c>
      <c r="K456" t="n">
        <v>0</v>
      </c>
      <c r="L456" t="n">
        <v>0</v>
      </c>
      <c r="M456" t="n">
        <v>0</v>
      </c>
      <c r="N456" t="n">
        <v>0</v>
      </c>
      <c r="O456" t="n">
        <v>0</v>
      </c>
      <c r="P456" t="n">
        <v>0</v>
      </c>
      <c r="Q456" t="n">
        <v>0</v>
      </c>
      <c r="R456" s="2" t="inlineStr"/>
    </row>
    <row r="457" ht="15" customHeight="1">
      <c r="A457" t="inlineStr">
        <is>
          <t>A 24707-2024</t>
        </is>
      </c>
      <c r="B457" s="1" t="n">
        <v>45460.62172453704</v>
      </c>
      <c r="C457" s="1" t="n">
        <v>45935</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16676-2023</t>
        </is>
      </c>
      <c r="B458" s="1" t="n">
        <v>45028</v>
      </c>
      <c r="C458" s="1" t="n">
        <v>45935</v>
      </c>
      <c r="D458" t="inlineStr">
        <is>
          <t>KALMAR LÄN</t>
        </is>
      </c>
      <c r="E458" t="inlineStr">
        <is>
          <t>VIMMERBY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6857-2023</t>
        </is>
      </c>
      <c r="B459" s="1" t="n">
        <v>44967.45122685185</v>
      </c>
      <c r="C459" s="1" t="n">
        <v>45935</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6220-2025</t>
        </is>
      </c>
      <c r="B460" s="1" t="n">
        <v>45698.53725694444</v>
      </c>
      <c r="C460" s="1" t="n">
        <v>45935</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24096-2024</t>
        </is>
      </c>
      <c r="B461" s="1" t="n">
        <v>45456.59289351852</v>
      </c>
      <c r="C461" s="1" t="n">
        <v>45935</v>
      </c>
      <c r="D461" t="inlineStr">
        <is>
          <t>KALMAR LÄN</t>
        </is>
      </c>
      <c r="E461" t="inlineStr">
        <is>
          <t>VIMMERBY</t>
        </is>
      </c>
      <c r="G461" t="n">
        <v>2.3</v>
      </c>
      <c r="H461" t="n">
        <v>0</v>
      </c>
      <c r="I461" t="n">
        <v>0</v>
      </c>
      <c r="J461" t="n">
        <v>0</v>
      </c>
      <c r="K461" t="n">
        <v>0</v>
      </c>
      <c r="L461" t="n">
        <v>0</v>
      </c>
      <c r="M461" t="n">
        <v>0</v>
      </c>
      <c r="N461" t="n">
        <v>0</v>
      </c>
      <c r="O461" t="n">
        <v>0</v>
      </c>
      <c r="P461" t="n">
        <v>0</v>
      </c>
      <c r="Q461" t="n">
        <v>0</v>
      </c>
      <c r="R461" s="2" t="inlineStr"/>
    </row>
    <row r="462" ht="15" customHeight="1">
      <c r="A462" t="inlineStr">
        <is>
          <t>A 29013-2024</t>
        </is>
      </c>
      <c r="B462" s="1" t="n">
        <v>45481.55984953704</v>
      </c>
      <c r="C462" s="1" t="n">
        <v>45935</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31056-2022</t>
        </is>
      </c>
      <c r="B463" s="1" t="n">
        <v>44769.45805555556</v>
      </c>
      <c r="C463" s="1" t="n">
        <v>45935</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33383-2023</t>
        </is>
      </c>
      <c r="B464" s="1" t="n">
        <v>45128.58414351852</v>
      </c>
      <c r="C464" s="1" t="n">
        <v>45935</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6066-2023</t>
        </is>
      </c>
      <c r="B465" s="1" t="n">
        <v>44964.50894675926</v>
      </c>
      <c r="C465" s="1" t="n">
        <v>45935</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59955-2023</t>
        </is>
      </c>
      <c r="B466" s="1" t="n">
        <v>45257.70313657408</v>
      </c>
      <c r="C466" s="1" t="n">
        <v>45935</v>
      </c>
      <c r="D466" t="inlineStr">
        <is>
          <t>KALMAR LÄN</t>
        </is>
      </c>
      <c r="E466" t="inlineStr">
        <is>
          <t>VIMMERBY</t>
        </is>
      </c>
      <c r="G466" t="n">
        <v>13.8</v>
      </c>
      <c r="H466" t="n">
        <v>0</v>
      </c>
      <c r="I466" t="n">
        <v>0</v>
      </c>
      <c r="J466" t="n">
        <v>0</v>
      </c>
      <c r="K466" t="n">
        <v>0</v>
      </c>
      <c r="L466" t="n">
        <v>0</v>
      </c>
      <c r="M466" t="n">
        <v>0</v>
      </c>
      <c r="N466" t="n">
        <v>0</v>
      </c>
      <c r="O466" t="n">
        <v>0</v>
      </c>
      <c r="P466" t="n">
        <v>0</v>
      </c>
      <c r="Q466" t="n">
        <v>0</v>
      </c>
      <c r="R466" s="2" t="inlineStr"/>
    </row>
    <row r="467" ht="15" customHeight="1">
      <c r="A467" t="inlineStr">
        <is>
          <t>A 40828-2023</t>
        </is>
      </c>
      <c r="B467" s="1" t="n">
        <v>45171.96248842592</v>
      </c>
      <c r="C467" s="1" t="n">
        <v>45935</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36040-2024</t>
        </is>
      </c>
      <c r="B468" s="1" t="n">
        <v>45533.60232638889</v>
      </c>
      <c r="C468" s="1" t="n">
        <v>45935</v>
      </c>
      <c r="D468" t="inlineStr">
        <is>
          <t>KALMAR LÄN</t>
        </is>
      </c>
      <c r="E468" t="inlineStr">
        <is>
          <t>VIMMERBY</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36043-2024</t>
        </is>
      </c>
      <c r="B469" s="1" t="n">
        <v>45533.60770833334</v>
      </c>
      <c r="C469" s="1" t="n">
        <v>45935</v>
      </c>
      <c r="D469" t="inlineStr">
        <is>
          <t>KALMAR LÄN</t>
        </is>
      </c>
      <c r="E469" t="inlineStr">
        <is>
          <t>VIMMERBY</t>
        </is>
      </c>
      <c r="F469" t="inlineStr">
        <is>
          <t>Kommuner</t>
        </is>
      </c>
      <c r="G469" t="n">
        <v>1.5</v>
      </c>
      <c r="H469" t="n">
        <v>0</v>
      </c>
      <c r="I469" t="n">
        <v>0</v>
      </c>
      <c r="J469" t="n">
        <v>0</v>
      </c>
      <c r="K469" t="n">
        <v>0</v>
      </c>
      <c r="L469" t="n">
        <v>0</v>
      </c>
      <c r="M469" t="n">
        <v>0</v>
      </c>
      <c r="N469" t="n">
        <v>0</v>
      </c>
      <c r="O469" t="n">
        <v>0</v>
      </c>
      <c r="P469" t="n">
        <v>0</v>
      </c>
      <c r="Q469" t="n">
        <v>0</v>
      </c>
      <c r="R469" s="2" t="inlineStr"/>
    </row>
    <row r="470" ht="15" customHeight="1">
      <c r="A470" t="inlineStr">
        <is>
          <t>A 5792-2023</t>
        </is>
      </c>
      <c r="B470" s="1" t="n">
        <v>44963.44769675926</v>
      </c>
      <c r="C470" s="1" t="n">
        <v>45935</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12890-2023</t>
        </is>
      </c>
      <c r="B471" s="1" t="n">
        <v>45001.59209490741</v>
      </c>
      <c r="C471" s="1" t="n">
        <v>45935</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10303-2025</t>
        </is>
      </c>
      <c r="B472" s="1" t="n">
        <v>45720.44217592593</v>
      </c>
      <c r="C472" s="1" t="n">
        <v>45935</v>
      </c>
      <c r="D472" t="inlineStr">
        <is>
          <t>KALMAR LÄN</t>
        </is>
      </c>
      <c r="E472" t="inlineStr">
        <is>
          <t>VIMMERBY</t>
        </is>
      </c>
      <c r="G472" t="n">
        <v>0.9</v>
      </c>
      <c r="H472" t="n">
        <v>0</v>
      </c>
      <c r="I472" t="n">
        <v>0</v>
      </c>
      <c r="J472" t="n">
        <v>0</v>
      </c>
      <c r="K472" t="n">
        <v>0</v>
      </c>
      <c r="L472" t="n">
        <v>0</v>
      </c>
      <c r="M472" t="n">
        <v>0</v>
      </c>
      <c r="N472" t="n">
        <v>0</v>
      </c>
      <c r="O472" t="n">
        <v>0</v>
      </c>
      <c r="P472" t="n">
        <v>0</v>
      </c>
      <c r="Q472" t="n">
        <v>0</v>
      </c>
      <c r="R472" s="2" t="inlineStr"/>
    </row>
    <row r="473" ht="15" customHeight="1">
      <c r="A473" t="inlineStr">
        <is>
          <t>A 43594-2024</t>
        </is>
      </c>
      <c r="B473" s="1" t="n">
        <v>45569.44295138889</v>
      </c>
      <c r="C473" s="1" t="n">
        <v>45935</v>
      </c>
      <c r="D473" t="inlineStr">
        <is>
          <t>KALMAR LÄN</t>
        </is>
      </c>
      <c r="E473" t="inlineStr">
        <is>
          <t>VIMMERBY</t>
        </is>
      </c>
      <c r="G473" t="n">
        <v>3.9</v>
      </c>
      <c r="H473" t="n">
        <v>0</v>
      </c>
      <c r="I473" t="n">
        <v>0</v>
      </c>
      <c r="J473" t="n">
        <v>0</v>
      </c>
      <c r="K473" t="n">
        <v>0</v>
      </c>
      <c r="L473" t="n">
        <v>0</v>
      </c>
      <c r="M473" t="n">
        <v>0</v>
      </c>
      <c r="N473" t="n">
        <v>0</v>
      </c>
      <c r="O473" t="n">
        <v>0</v>
      </c>
      <c r="P473" t="n">
        <v>0</v>
      </c>
      <c r="Q473" t="n">
        <v>0</v>
      </c>
      <c r="R473" s="2" t="inlineStr"/>
    </row>
    <row r="474" ht="15" customHeight="1">
      <c r="A474" t="inlineStr">
        <is>
          <t>A 61861-2024</t>
        </is>
      </c>
      <c r="B474" s="1" t="n">
        <v>45650.37370370371</v>
      </c>
      <c r="C474" s="1" t="n">
        <v>45935</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60110-2022</t>
        </is>
      </c>
      <c r="B475" s="1" t="n">
        <v>44909</v>
      </c>
      <c r="C475" s="1" t="n">
        <v>45935</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53482-2022</t>
        </is>
      </c>
      <c r="B476" s="1" t="n">
        <v>44879</v>
      </c>
      <c r="C476" s="1" t="n">
        <v>45935</v>
      </c>
      <c r="D476" t="inlineStr">
        <is>
          <t>KALMAR LÄN</t>
        </is>
      </c>
      <c r="E476" t="inlineStr">
        <is>
          <t>VIMMERBY</t>
        </is>
      </c>
      <c r="G476" t="n">
        <v>10.1</v>
      </c>
      <c r="H476" t="n">
        <v>0</v>
      </c>
      <c r="I476" t="n">
        <v>0</v>
      </c>
      <c r="J476" t="n">
        <v>0</v>
      </c>
      <c r="K476" t="n">
        <v>0</v>
      </c>
      <c r="L476" t="n">
        <v>0</v>
      </c>
      <c r="M476" t="n">
        <v>0</v>
      </c>
      <c r="N476" t="n">
        <v>0</v>
      </c>
      <c r="O476" t="n">
        <v>0</v>
      </c>
      <c r="P476" t="n">
        <v>0</v>
      </c>
      <c r="Q476" t="n">
        <v>0</v>
      </c>
      <c r="R476" s="2" t="inlineStr"/>
    </row>
    <row r="477" ht="15" customHeight="1">
      <c r="A477" t="inlineStr">
        <is>
          <t>A 8650-2022</t>
        </is>
      </c>
      <c r="B477" s="1" t="n">
        <v>44613</v>
      </c>
      <c r="C477" s="1" t="n">
        <v>45935</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15394-2025</t>
        </is>
      </c>
      <c r="B478" s="1" t="n">
        <v>45747.43196759259</v>
      </c>
      <c r="C478" s="1" t="n">
        <v>45935</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33340-2023</t>
        </is>
      </c>
      <c r="B479" s="1" t="n">
        <v>45128.37305555555</v>
      </c>
      <c r="C479" s="1" t="n">
        <v>45935</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15388-2025</t>
        </is>
      </c>
      <c r="B480" s="1" t="n">
        <v>45747.42633101852</v>
      </c>
      <c r="C480" s="1" t="n">
        <v>45935</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15391-2025</t>
        </is>
      </c>
      <c r="B481" s="1" t="n">
        <v>45747.42958333333</v>
      </c>
      <c r="C481" s="1" t="n">
        <v>45935</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44423-2023</t>
        </is>
      </c>
      <c r="B482" s="1" t="n">
        <v>45189</v>
      </c>
      <c r="C482" s="1" t="n">
        <v>45935</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6474-2025</t>
        </is>
      </c>
      <c r="B483" s="1" t="n">
        <v>45699.60055555555</v>
      </c>
      <c r="C483" s="1" t="n">
        <v>45935</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32919-2022</t>
        </is>
      </c>
      <c r="B484" s="1" t="n">
        <v>44784.62724537037</v>
      </c>
      <c r="C484" s="1" t="n">
        <v>45935</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27761-2024</t>
        </is>
      </c>
      <c r="B485" s="1" t="n">
        <v>45475.49018518518</v>
      </c>
      <c r="C485" s="1" t="n">
        <v>45935</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64203-2021</t>
        </is>
      </c>
      <c r="B486" s="1" t="n">
        <v>44510.60921296296</v>
      </c>
      <c r="C486" s="1" t="n">
        <v>45935</v>
      </c>
      <c r="D486" t="inlineStr">
        <is>
          <t>KALMAR LÄN</t>
        </is>
      </c>
      <c r="E486" t="inlineStr">
        <is>
          <t>VIMMERBY</t>
        </is>
      </c>
      <c r="F486" t="inlineStr">
        <is>
          <t>Övriga Aktiebolag</t>
        </is>
      </c>
      <c r="G486" t="n">
        <v>5.4</v>
      </c>
      <c r="H486" t="n">
        <v>0</v>
      </c>
      <c r="I486" t="n">
        <v>0</v>
      </c>
      <c r="J486" t="n">
        <v>0</v>
      </c>
      <c r="K486" t="n">
        <v>0</v>
      </c>
      <c r="L486" t="n">
        <v>0</v>
      </c>
      <c r="M486" t="n">
        <v>0</v>
      </c>
      <c r="N486" t="n">
        <v>0</v>
      </c>
      <c r="O486" t="n">
        <v>0</v>
      </c>
      <c r="P486" t="n">
        <v>0</v>
      </c>
      <c r="Q486" t="n">
        <v>0</v>
      </c>
      <c r="R486" s="2" t="inlineStr"/>
    </row>
    <row r="487" ht="15" customHeight="1">
      <c r="A487" t="inlineStr">
        <is>
          <t>A 37323-2024</t>
        </is>
      </c>
      <c r="B487" s="1" t="n">
        <v>45540.50098379629</v>
      </c>
      <c r="C487" s="1" t="n">
        <v>45935</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5720-2023</t>
        </is>
      </c>
      <c r="B488" s="1" t="n">
        <v>44961</v>
      </c>
      <c r="C488" s="1" t="n">
        <v>45935</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9643-2023</t>
        </is>
      </c>
      <c r="B489" s="1" t="n">
        <v>44984</v>
      </c>
      <c r="C489" s="1" t="n">
        <v>45935</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25728-2023</t>
        </is>
      </c>
      <c r="B490" s="1" t="n">
        <v>45090.38012731481</v>
      </c>
      <c r="C490" s="1" t="n">
        <v>45935</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56659-2023</t>
        </is>
      </c>
      <c r="B491" s="1" t="n">
        <v>45243.84869212963</v>
      </c>
      <c r="C491" s="1" t="n">
        <v>45935</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13015-2022</t>
        </is>
      </c>
      <c r="B492" s="1" t="n">
        <v>44643</v>
      </c>
      <c r="C492" s="1" t="n">
        <v>45935</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18501-2024</t>
        </is>
      </c>
      <c r="B493" s="1" t="n">
        <v>45425.57538194444</v>
      </c>
      <c r="C493" s="1" t="n">
        <v>45935</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38604-2025</t>
        </is>
      </c>
      <c r="B494" s="1" t="n">
        <v>45884.50613425926</v>
      </c>
      <c r="C494" s="1" t="n">
        <v>45935</v>
      </c>
      <c r="D494" t="inlineStr">
        <is>
          <t>KALMAR LÄN</t>
        </is>
      </c>
      <c r="E494" t="inlineStr">
        <is>
          <t>VIMMERBY</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41311-2023</t>
        </is>
      </c>
      <c r="B495" s="1" t="n">
        <v>45174</v>
      </c>
      <c r="C495" s="1" t="n">
        <v>45935</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17968-2025</t>
        </is>
      </c>
      <c r="B496" s="1" t="n">
        <v>45761.35990740741</v>
      </c>
      <c r="C496" s="1" t="n">
        <v>45935</v>
      </c>
      <c r="D496" t="inlineStr">
        <is>
          <t>KALMAR LÄN</t>
        </is>
      </c>
      <c r="E496" t="inlineStr">
        <is>
          <t>VIMMERBY</t>
        </is>
      </c>
      <c r="G496" t="n">
        <v>3.3</v>
      </c>
      <c r="H496" t="n">
        <v>0</v>
      </c>
      <c r="I496" t="n">
        <v>0</v>
      </c>
      <c r="J496" t="n">
        <v>0</v>
      </c>
      <c r="K496" t="n">
        <v>0</v>
      </c>
      <c r="L496" t="n">
        <v>0</v>
      </c>
      <c r="M496" t="n">
        <v>0</v>
      </c>
      <c r="N496" t="n">
        <v>0</v>
      </c>
      <c r="O496" t="n">
        <v>0</v>
      </c>
      <c r="P496" t="n">
        <v>0</v>
      </c>
      <c r="Q496" t="n">
        <v>0</v>
      </c>
      <c r="R496" s="2" t="inlineStr"/>
    </row>
    <row r="497" ht="15" customHeight="1">
      <c r="A497" t="inlineStr">
        <is>
          <t>A 26318-2023</t>
        </is>
      </c>
      <c r="B497" s="1" t="n">
        <v>45091.67936342592</v>
      </c>
      <c r="C497" s="1" t="n">
        <v>45935</v>
      </c>
      <c r="D497" t="inlineStr">
        <is>
          <t>KALMAR LÄN</t>
        </is>
      </c>
      <c r="E497" t="inlineStr">
        <is>
          <t>VIMMERBY</t>
        </is>
      </c>
      <c r="G497" t="n">
        <v>3.8</v>
      </c>
      <c r="H497" t="n">
        <v>0</v>
      </c>
      <c r="I497" t="n">
        <v>0</v>
      </c>
      <c r="J497" t="n">
        <v>0</v>
      </c>
      <c r="K497" t="n">
        <v>0</v>
      </c>
      <c r="L497" t="n">
        <v>0</v>
      </c>
      <c r="M497" t="n">
        <v>0</v>
      </c>
      <c r="N497" t="n">
        <v>0</v>
      </c>
      <c r="O497" t="n">
        <v>0</v>
      </c>
      <c r="P497" t="n">
        <v>0</v>
      </c>
      <c r="Q497" t="n">
        <v>0</v>
      </c>
      <c r="R497" s="2" t="inlineStr"/>
    </row>
    <row r="498" ht="15" customHeight="1">
      <c r="A498" t="inlineStr">
        <is>
          <t>A 6028-2023</t>
        </is>
      </c>
      <c r="B498" s="1" t="n">
        <v>44964.44356481481</v>
      </c>
      <c r="C498" s="1" t="n">
        <v>45935</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55436-2023</t>
        </is>
      </c>
      <c r="B499" s="1" t="n">
        <v>45238.4328587963</v>
      </c>
      <c r="C499" s="1" t="n">
        <v>45935</v>
      </c>
      <c r="D499" t="inlineStr">
        <is>
          <t>KALMAR LÄN</t>
        </is>
      </c>
      <c r="E499" t="inlineStr">
        <is>
          <t>VIMMERBY</t>
        </is>
      </c>
      <c r="G499" t="n">
        <v>5.6</v>
      </c>
      <c r="H499" t="n">
        <v>0</v>
      </c>
      <c r="I499" t="n">
        <v>0</v>
      </c>
      <c r="J499" t="n">
        <v>0</v>
      </c>
      <c r="K499" t="n">
        <v>0</v>
      </c>
      <c r="L499" t="n">
        <v>0</v>
      </c>
      <c r="M499" t="n">
        <v>0</v>
      </c>
      <c r="N499" t="n">
        <v>0</v>
      </c>
      <c r="O499" t="n">
        <v>0</v>
      </c>
      <c r="P499" t="n">
        <v>0</v>
      </c>
      <c r="Q499" t="n">
        <v>0</v>
      </c>
      <c r="R499" s="2" t="inlineStr"/>
    </row>
    <row r="500" ht="15" customHeight="1">
      <c r="A500" t="inlineStr">
        <is>
          <t>A 27758-2024</t>
        </is>
      </c>
      <c r="B500" s="1" t="n">
        <v>45475.48303240741</v>
      </c>
      <c r="C500" s="1" t="n">
        <v>45935</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13307-2025</t>
        </is>
      </c>
      <c r="B501" s="1" t="n">
        <v>45735.58024305556</v>
      </c>
      <c r="C501" s="1" t="n">
        <v>45935</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56582-2022</t>
        </is>
      </c>
      <c r="B502" s="1" t="n">
        <v>44893</v>
      </c>
      <c r="C502" s="1" t="n">
        <v>45935</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20-2025</t>
        </is>
      </c>
      <c r="B503" s="1" t="n">
        <v>45658.80232638889</v>
      </c>
      <c r="C503" s="1" t="n">
        <v>45935</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23-2025</t>
        </is>
      </c>
      <c r="B504" s="1" t="n">
        <v>45658.80827546296</v>
      </c>
      <c r="C504" s="1" t="n">
        <v>45935</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43962-2024</t>
        </is>
      </c>
      <c r="B505" s="1" t="n">
        <v>45572.48293981481</v>
      </c>
      <c r="C505" s="1" t="n">
        <v>45935</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61355-2024</t>
        </is>
      </c>
      <c r="B506" s="1" t="n">
        <v>45646.38200231481</v>
      </c>
      <c r="C506" s="1" t="n">
        <v>45935</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35713-2023</t>
        </is>
      </c>
      <c r="B507" s="1" t="n">
        <v>45147</v>
      </c>
      <c r="C507" s="1" t="n">
        <v>45935</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55716-2023</t>
        </is>
      </c>
      <c r="B508" s="1" t="n">
        <v>45232</v>
      </c>
      <c r="C508" s="1" t="n">
        <v>45935</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46887-2025</t>
        </is>
      </c>
      <c r="B509" s="1" t="n">
        <v>45929.3672337963</v>
      </c>
      <c r="C509" s="1" t="n">
        <v>45935</v>
      </c>
      <c r="D509" t="inlineStr">
        <is>
          <t>KALMAR LÄN</t>
        </is>
      </c>
      <c r="E509" t="inlineStr">
        <is>
          <t>VIMMERBY</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18329-2023</t>
        </is>
      </c>
      <c r="B510" s="1" t="n">
        <v>45041.63380787037</v>
      </c>
      <c r="C510" s="1" t="n">
        <v>45935</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45854-2025</t>
        </is>
      </c>
      <c r="B511" s="1" t="n">
        <v>45923</v>
      </c>
      <c r="C511" s="1" t="n">
        <v>45935</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45855-2025</t>
        </is>
      </c>
      <c r="B512" s="1" t="n">
        <v>45923</v>
      </c>
      <c r="C512" s="1" t="n">
        <v>45935</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36802-2021</t>
        </is>
      </c>
      <c r="B513" s="1" t="n">
        <v>44392</v>
      </c>
      <c r="C513" s="1" t="n">
        <v>45935</v>
      </c>
      <c r="D513" t="inlineStr">
        <is>
          <t>KALMAR LÄN</t>
        </is>
      </c>
      <c r="E513" t="inlineStr">
        <is>
          <t>VIMMERBY</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40147-2023</t>
        </is>
      </c>
      <c r="B514" s="1" t="n">
        <v>45169</v>
      </c>
      <c r="C514" s="1" t="n">
        <v>45935</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13015-2023</t>
        </is>
      </c>
      <c r="B515" s="1" t="n">
        <v>45002</v>
      </c>
      <c r="C515" s="1" t="n">
        <v>45935</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50995-2022</t>
        </is>
      </c>
      <c r="B516" s="1" t="n">
        <v>44867</v>
      </c>
      <c r="C516" s="1" t="n">
        <v>45935</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38198-2024</t>
        </is>
      </c>
      <c r="B517" s="1" t="n">
        <v>45545.49508101852</v>
      </c>
      <c r="C517" s="1" t="n">
        <v>45935</v>
      </c>
      <c r="D517" t="inlineStr">
        <is>
          <t>KALMAR LÄN</t>
        </is>
      </c>
      <c r="E517" t="inlineStr">
        <is>
          <t>VIMMERBY</t>
        </is>
      </c>
      <c r="G517" t="n">
        <v>7.9</v>
      </c>
      <c r="H517" t="n">
        <v>0</v>
      </c>
      <c r="I517" t="n">
        <v>0</v>
      </c>
      <c r="J517" t="n">
        <v>0</v>
      </c>
      <c r="K517" t="n">
        <v>0</v>
      </c>
      <c r="L517" t="n">
        <v>0</v>
      </c>
      <c r="M517" t="n">
        <v>0</v>
      </c>
      <c r="N517" t="n">
        <v>0</v>
      </c>
      <c r="O517" t="n">
        <v>0</v>
      </c>
      <c r="P517" t="n">
        <v>0</v>
      </c>
      <c r="Q517" t="n">
        <v>0</v>
      </c>
      <c r="R517" s="2" t="inlineStr"/>
    </row>
    <row r="518" ht="15" customHeight="1">
      <c r="A518" t="inlineStr">
        <is>
          <t>A 9623-2024</t>
        </is>
      </c>
      <c r="B518" s="1" t="n">
        <v>45361.87975694444</v>
      </c>
      <c r="C518" s="1" t="n">
        <v>45935</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47227-2025</t>
        </is>
      </c>
      <c r="B519" s="1" t="n">
        <v>45930.39769675926</v>
      </c>
      <c r="C519" s="1" t="n">
        <v>45935</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58967-2022</t>
        </is>
      </c>
      <c r="B520" s="1" t="n">
        <v>44896</v>
      </c>
      <c r="C520" s="1" t="n">
        <v>45935</v>
      </c>
      <c r="D520" t="inlineStr">
        <is>
          <t>KALMAR LÄN</t>
        </is>
      </c>
      <c r="E520" t="inlineStr">
        <is>
          <t>VIMMERBY</t>
        </is>
      </c>
      <c r="G520" t="n">
        <v>5</v>
      </c>
      <c r="H520" t="n">
        <v>0</v>
      </c>
      <c r="I520" t="n">
        <v>0</v>
      </c>
      <c r="J520" t="n">
        <v>0</v>
      </c>
      <c r="K520" t="n">
        <v>0</v>
      </c>
      <c r="L520" t="n">
        <v>0</v>
      </c>
      <c r="M520" t="n">
        <v>0</v>
      </c>
      <c r="N520" t="n">
        <v>0</v>
      </c>
      <c r="O520" t="n">
        <v>0</v>
      </c>
      <c r="P520" t="n">
        <v>0</v>
      </c>
      <c r="Q520" t="n">
        <v>0</v>
      </c>
      <c r="R520" s="2" t="inlineStr"/>
    </row>
    <row r="521" ht="15" customHeight="1">
      <c r="A521" t="inlineStr">
        <is>
          <t>A 50764-2020</t>
        </is>
      </c>
      <c r="B521" s="1" t="n">
        <v>44111</v>
      </c>
      <c r="C521" s="1" t="n">
        <v>45935</v>
      </c>
      <c r="D521" t="inlineStr">
        <is>
          <t>KALMAR LÄN</t>
        </is>
      </c>
      <c r="E521" t="inlineStr">
        <is>
          <t>VIMMERBY</t>
        </is>
      </c>
      <c r="G521" t="n">
        <v>2.3</v>
      </c>
      <c r="H521" t="n">
        <v>0</v>
      </c>
      <c r="I521" t="n">
        <v>0</v>
      </c>
      <c r="J521" t="n">
        <v>0</v>
      </c>
      <c r="K521" t="n">
        <v>0</v>
      </c>
      <c r="L521" t="n">
        <v>0</v>
      </c>
      <c r="M521" t="n">
        <v>0</v>
      </c>
      <c r="N521" t="n">
        <v>0</v>
      </c>
      <c r="O521" t="n">
        <v>0</v>
      </c>
      <c r="P521" t="n">
        <v>0</v>
      </c>
      <c r="Q521" t="n">
        <v>0</v>
      </c>
      <c r="R521" s="2" t="inlineStr"/>
    </row>
    <row r="522" ht="15" customHeight="1">
      <c r="A522" t="inlineStr">
        <is>
          <t>A 29186-2024</t>
        </is>
      </c>
      <c r="B522" s="1" t="n">
        <v>45482.54844907407</v>
      </c>
      <c r="C522" s="1" t="n">
        <v>45935</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50993-2022</t>
        </is>
      </c>
      <c r="B523" s="1" t="n">
        <v>44867</v>
      </c>
      <c r="C523" s="1" t="n">
        <v>45935</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6399-2025</t>
        </is>
      </c>
      <c r="B524" s="1" t="n">
        <v>45699.44291666667</v>
      </c>
      <c r="C524" s="1" t="n">
        <v>45935</v>
      </c>
      <c r="D524" t="inlineStr">
        <is>
          <t>KALMAR LÄN</t>
        </is>
      </c>
      <c r="E524" t="inlineStr">
        <is>
          <t>VIMMERBY</t>
        </is>
      </c>
      <c r="G524" t="n">
        <v>3.1</v>
      </c>
      <c r="H524" t="n">
        <v>0</v>
      </c>
      <c r="I524" t="n">
        <v>0</v>
      </c>
      <c r="J524" t="n">
        <v>0</v>
      </c>
      <c r="K524" t="n">
        <v>0</v>
      </c>
      <c r="L524" t="n">
        <v>0</v>
      </c>
      <c r="M524" t="n">
        <v>0</v>
      </c>
      <c r="N524" t="n">
        <v>0</v>
      </c>
      <c r="O524" t="n">
        <v>0</v>
      </c>
      <c r="P524" t="n">
        <v>0</v>
      </c>
      <c r="Q524" t="n">
        <v>0</v>
      </c>
      <c r="R524" s="2" t="inlineStr"/>
    </row>
    <row r="525" ht="15" customHeight="1">
      <c r="A525" t="inlineStr">
        <is>
          <t>A 31355-2023</t>
        </is>
      </c>
      <c r="B525" s="1" t="n">
        <v>45114.49505787037</v>
      </c>
      <c r="C525" s="1" t="n">
        <v>45935</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27993-2022</t>
        </is>
      </c>
      <c r="B526" s="1" t="n">
        <v>44745.84396990741</v>
      </c>
      <c r="C526" s="1" t="n">
        <v>45935</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66295-2020</t>
        </is>
      </c>
      <c r="B527" s="1" t="n">
        <v>44176</v>
      </c>
      <c r="C527" s="1" t="n">
        <v>45935</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54787-2023</t>
        </is>
      </c>
      <c r="B528" s="1" t="n">
        <v>45236</v>
      </c>
      <c r="C528" s="1" t="n">
        <v>45935</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30400-2023</t>
        </is>
      </c>
      <c r="B529" s="1" t="n">
        <v>45111.48225694444</v>
      </c>
      <c r="C529" s="1" t="n">
        <v>45935</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32614-2023</t>
        </is>
      </c>
      <c r="B530" s="1" t="n">
        <v>45121</v>
      </c>
      <c r="C530" s="1" t="n">
        <v>45935</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30404-2023</t>
        </is>
      </c>
      <c r="B531" s="1" t="n">
        <v>45111.48636574074</v>
      </c>
      <c r="C531" s="1" t="n">
        <v>45935</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6850-2023</t>
        </is>
      </c>
      <c r="B532" s="1" t="n">
        <v>44967.44255787037</v>
      </c>
      <c r="C532" s="1" t="n">
        <v>45935</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58750-2022</t>
        </is>
      </c>
      <c r="B533" s="1" t="n">
        <v>44903.33363425926</v>
      </c>
      <c r="C533" s="1" t="n">
        <v>45935</v>
      </c>
      <c r="D533" t="inlineStr">
        <is>
          <t>KALMAR LÄN</t>
        </is>
      </c>
      <c r="E533" t="inlineStr">
        <is>
          <t>VIMMERBY</t>
        </is>
      </c>
      <c r="G533" t="n">
        <v>3.3</v>
      </c>
      <c r="H533" t="n">
        <v>0</v>
      </c>
      <c r="I533" t="n">
        <v>0</v>
      </c>
      <c r="J533" t="n">
        <v>0</v>
      </c>
      <c r="K533" t="n">
        <v>0</v>
      </c>
      <c r="L533" t="n">
        <v>0</v>
      </c>
      <c r="M533" t="n">
        <v>0</v>
      </c>
      <c r="N533" t="n">
        <v>0</v>
      </c>
      <c r="O533" t="n">
        <v>0</v>
      </c>
      <c r="P533" t="n">
        <v>0</v>
      </c>
      <c r="Q533" t="n">
        <v>0</v>
      </c>
      <c r="R533" s="2" t="inlineStr"/>
    </row>
    <row r="534" ht="15" customHeight="1">
      <c r="A534" t="inlineStr">
        <is>
          <t>A 41158-2023</t>
        </is>
      </c>
      <c r="B534" s="1" t="n">
        <v>45174.31395833333</v>
      </c>
      <c r="C534" s="1" t="n">
        <v>45935</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2510-2023</t>
        </is>
      </c>
      <c r="B535" s="1" t="n">
        <v>44943.57309027778</v>
      </c>
      <c r="C535" s="1" t="n">
        <v>45935</v>
      </c>
      <c r="D535" t="inlineStr">
        <is>
          <t>KALMAR LÄN</t>
        </is>
      </c>
      <c r="E535" t="inlineStr">
        <is>
          <t>VIMMERBY</t>
        </is>
      </c>
      <c r="G535" t="n">
        <v>8.6</v>
      </c>
      <c r="H535" t="n">
        <v>0</v>
      </c>
      <c r="I535" t="n">
        <v>0</v>
      </c>
      <c r="J535" t="n">
        <v>0</v>
      </c>
      <c r="K535" t="n">
        <v>0</v>
      </c>
      <c r="L535" t="n">
        <v>0</v>
      </c>
      <c r="M535" t="n">
        <v>0</v>
      </c>
      <c r="N535" t="n">
        <v>0</v>
      </c>
      <c r="O535" t="n">
        <v>0</v>
      </c>
      <c r="P535" t="n">
        <v>0</v>
      </c>
      <c r="Q535" t="n">
        <v>0</v>
      </c>
      <c r="R535" s="2" t="inlineStr"/>
    </row>
    <row r="536" ht="15" customHeight="1">
      <c r="A536" t="inlineStr">
        <is>
          <t>A 27705-2023</t>
        </is>
      </c>
      <c r="B536" s="1" t="n">
        <v>45098.30535879629</v>
      </c>
      <c r="C536" s="1" t="n">
        <v>45935</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57555-2024</t>
        </is>
      </c>
      <c r="B537" s="1" t="n">
        <v>45630.45069444444</v>
      </c>
      <c r="C537" s="1" t="n">
        <v>45935</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29726-2025</t>
        </is>
      </c>
      <c r="B538" s="1" t="n">
        <v>45825.57805555555</v>
      </c>
      <c r="C538" s="1" t="n">
        <v>45935</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3269-2024</t>
        </is>
      </c>
      <c r="B539" s="1" t="n">
        <v>45317.40372685185</v>
      </c>
      <c r="C539" s="1" t="n">
        <v>45935</v>
      </c>
      <c r="D539" t="inlineStr">
        <is>
          <t>KALMAR LÄN</t>
        </is>
      </c>
      <c r="E539" t="inlineStr">
        <is>
          <t>VIMMERBY</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45935</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6368-2023</t>
        </is>
      </c>
      <c r="B541" s="1" t="n">
        <v>44965</v>
      </c>
      <c r="C541" s="1" t="n">
        <v>45935</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36843-2023</t>
        </is>
      </c>
      <c r="B542" s="1" t="n">
        <v>45154.49831018518</v>
      </c>
      <c r="C542" s="1" t="n">
        <v>45935</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9416-2024</t>
        </is>
      </c>
      <c r="B543" s="1" t="n">
        <v>45359.44837962963</v>
      </c>
      <c r="C543" s="1" t="n">
        <v>45935</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10785-2025</t>
        </is>
      </c>
      <c r="B544" s="1" t="n">
        <v>45722.48634259259</v>
      </c>
      <c r="C544" s="1" t="n">
        <v>45935</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29017-2024</t>
        </is>
      </c>
      <c r="B545" s="1" t="n">
        <v>45481.56722222222</v>
      </c>
      <c r="C545" s="1" t="n">
        <v>45935</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36014-2024</t>
        </is>
      </c>
      <c r="B546" s="1" t="n">
        <v>45533.56108796296</v>
      </c>
      <c r="C546" s="1" t="n">
        <v>45935</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36030-2024</t>
        </is>
      </c>
      <c r="B547" s="1" t="n">
        <v>45533.58302083334</v>
      </c>
      <c r="C547" s="1" t="n">
        <v>45935</v>
      </c>
      <c r="D547" t="inlineStr">
        <is>
          <t>KALMAR LÄN</t>
        </is>
      </c>
      <c r="E547" t="inlineStr">
        <is>
          <t>VIMMERBY</t>
        </is>
      </c>
      <c r="F547" t="inlineStr">
        <is>
          <t>Kommuner</t>
        </is>
      </c>
      <c r="G547" t="n">
        <v>4</v>
      </c>
      <c r="H547" t="n">
        <v>0</v>
      </c>
      <c r="I547" t="n">
        <v>0</v>
      </c>
      <c r="J547" t="n">
        <v>0</v>
      </c>
      <c r="K547" t="n">
        <v>0</v>
      </c>
      <c r="L547" t="n">
        <v>0</v>
      </c>
      <c r="M547" t="n">
        <v>0</v>
      </c>
      <c r="N547" t="n">
        <v>0</v>
      </c>
      <c r="O547" t="n">
        <v>0</v>
      </c>
      <c r="P547" t="n">
        <v>0</v>
      </c>
      <c r="Q547" t="n">
        <v>0</v>
      </c>
      <c r="R547" s="2" t="inlineStr"/>
    </row>
    <row r="548" ht="15" customHeight="1">
      <c r="A548" t="inlineStr">
        <is>
          <t>A 2797-2023</t>
        </is>
      </c>
      <c r="B548" s="1" t="n">
        <v>44944.71386574074</v>
      </c>
      <c r="C548" s="1" t="n">
        <v>45935</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2799-2023</t>
        </is>
      </c>
      <c r="B549" s="1" t="n">
        <v>44944.72100694444</v>
      </c>
      <c r="C549" s="1" t="n">
        <v>45935</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23263-2024</t>
        </is>
      </c>
      <c r="B550" s="1" t="n">
        <v>45453.36854166666</v>
      </c>
      <c r="C550" s="1" t="n">
        <v>45935</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11074-2023</t>
        </is>
      </c>
      <c r="B551" s="1" t="n">
        <v>44992.34151620371</v>
      </c>
      <c r="C551" s="1" t="n">
        <v>45935</v>
      </c>
      <c r="D551" t="inlineStr">
        <is>
          <t>KALMAR LÄN</t>
        </is>
      </c>
      <c r="E551" t="inlineStr">
        <is>
          <t>VIMMERBY</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32865-2023</t>
        </is>
      </c>
      <c r="B552" s="1" t="n">
        <v>45124</v>
      </c>
      <c r="C552" s="1" t="n">
        <v>45935</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61939-2021</t>
        </is>
      </c>
      <c r="B553" s="1" t="n">
        <v>44502</v>
      </c>
      <c r="C553" s="1" t="n">
        <v>45935</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12215-2024</t>
        </is>
      </c>
      <c r="B554" s="1" t="n">
        <v>45378.32185185186</v>
      </c>
      <c r="C554" s="1" t="n">
        <v>45935</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25987-2024</t>
        </is>
      </c>
      <c r="B555" s="1" t="n">
        <v>45467.74417824074</v>
      </c>
      <c r="C555" s="1" t="n">
        <v>45935</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22194-2024</t>
        </is>
      </c>
      <c r="B556" s="1" t="n">
        <v>45446.36482638889</v>
      </c>
      <c r="C556" s="1" t="n">
        <v>45935</v>
      </c>
      <c r="D556" t="inlineStr">
        <is>
          <t>KALMAR LÄN</t>
        </is>
      </c>
      <c r="E556" t="inlineStr">
        <is>
          <t>VIMMERBY</t>
        </is>
      </c>
      <c r="F556" t="inlineStr">
        <is>
          <t>Sveaskog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11303-2025</t>
        </is>
      </c>
      <c r="B557" s="1" t="n">
        <v>45726.44471064815</v>
      </c>
      <c r="C557" s="1" t="n">
        <v>45935</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19865-2021</t>
        </is>
      </c>
      <c r="B558" s="1" t="n">
        <v>44312</v>
      </c>
      <c r="C558" s="1" t="n">
        <v>45935</v>
      </c>
      <c r="D558" t="inlineStr">
        <is>
          <t>KALMAR LÄN</t>
        </is>
      </c>
      <c r="E558" t="inlineStr">
        <is>
          <t>VIMMERBY</t>
        </is>
      </c>
      <c r="G558" t="n">
        <v>8.6</v>
      </c>
      <c r="H558" t="n">
        <v>0</v>
      </c>
      <c r="I558" t="n">
        <v>0</v>
      </c>
      <c r="J558" t="n">
        <v>0</v>
      </c>
      <c r="K558" t="n">
        <v>0</v>
      </c>
      <c r="L558" t="n">
        <v>0</v>
      </c>
      <c r="M558" t="n">
        <v>0</v>
      </c>
      <c r="N558" t="n">
        <v>0</v>
      </c>
      <c r="O558" t="n">
        <v>0</v>
      </c>
      <c r="P558" t="n">
        <v>0</v>
      </c>
      <c r="Q558" t="n">
        <v>0</v>
      </c>
      <c r="R558" s="2" t="inlineStr"/>
    </row>
    <row r="559" ht="15" customHeight="1">
      <c r="A559" t="inlineStr">
        <is>
          <t>A 12033-2024</t>
        </is>
      </c>
      <c r="B559" s="1" t="n">
        <v>45377.40043981482</v>
      </c>
      <c r="C559" s="1" t="n">
        <v>45935</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51408-2023</t>
        </is>
      </c>
      <c r="B560" s="1" t="n">
        <v>45219.69356481481</v>
      </c>
      <c r="C560" s="1" t="n">
        <v>45935</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42918-2021</t>
        </is>
      </c>
      <c r="B561" s="1" t="n">
        <v>44431</v>
      </c>
      <c r="C561" s="1" t="n">
        <v>45935</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12630-2023</t>
        </is>
      </c>
      <c r="B562" s="1" t="n">
        <v>45000.47998842593</v>
      </c>
      <c r="C562" s="1" t="n">
        <v>45935</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49488-2023</t>
        </is>
      </c>
      <c r="B563" s="1" t="n">
        <v>45211.55472222222</v>
      </c>
      <c r="C563" s="1" t="n">
        <v>45935</v>
      </c>
      <c r="D563" t="inlineStr">
        <is>
          <t>KALMAR LÄN</t>
        </is>
      </c>
      <c r="E563" t="inlineStr">
        <is>
          <t>VIMMERBY</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21109-2024</t>
        </is>
      </c>
      <c r="B564" s="1" t="n">
        <v>45440.28329861111</v>
      </c>
      <c r="C564" s="1" t="n">
        <v>45935</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22643-2023</t>
        </is>
      </c>
      <c r="B565" s="1" t="n">
        <v>45071</v>
      </c>
      <c r="C565" s="1" t="n">
        <v>45935</v>
      </c>
      <c r="D565" t="inlineStr">
        <is>
          <t>KALMAR LÄN</t>
        </is>
      </c>
      <c r="E565" t="inlineStr">
        <is>
          <t>VIMMERBY</t>
        </is>
      </c>
      <c r="G565" t="n">
        <v>3.9</v>
      </c>
      <c r="H565" t="n">
        <v>0</v>
      </c>
      <c r="I565" t="n">
        <v>0</v>
      </c>
      <c r="J565" t="n">
        <v>0</v>
      </c>
      <c r="K565" t="n">
        <v>0</v>
      </c>
      <c r="L565" t="n">
        <v>0</v>
      </c>
      <c r="M565" t="n">
        <v>0</v>
      </c>
      <c r="N565" t="n">
        <v>0</v>
      </c>
      <c r="O565" t="n">
        <v>0</v>
      </c>
      <c r="P565" t="n">
        <v>0</v>
      </c>
      <c r="Q565" t="n">
        <v>0</v>
      </c>
      <c r="R565" s="2" t="inlineStr"/>
    </row>
    <row r="566" ht="15" customHeight="1">
      <c r="A566" t="inlineStr">
        <is>
          <t>A 30634-2024</t>
        </is>
      </c>
      <c r="B566" s="1" t="n">
        <v>45495</v>
      </c>
      <c r="C566" s="1" t="n">
        <v>45935</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40260-2024</t>
        </is>
      </c>
      <c r="B567" s="1" t="n">
        <v>45554.63225694445</v>
      </c>
      <c r="C567" s="1" t="n">
        <v>45935</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18669-2025</t>
        </is>
      </c>
      <c r="B568" s="1" t="n">
        <v>45763.59436342592</v>
      </c>
      <c r="C568" s="1" t="n">
        <v>45935</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8410-2023</t>
        </is>
      </c>
      <c r="B569" s="1" t="n">
        <v>44977</v>
      </c>
      <c r="C569" s="1" t="n">
        <v>45935</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38780-2021</t>
        </is>
      </c>
      <c r="B570" s="1" t="n">
        <v>44410</v>
      </c>
      <c r="C570" s="1" t="n">
        <v>45935</v>
      </c>
      <c r="D570" t="inlineStr">
        <is>
          <t>KALMAR LÄN</t>
        </is>
      </c>
      <c r="E570" t="inlineStr">
        <is>
          <t>VIMMERBY</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59943-2023</t>
        </is>
      </c>
      <c r="B571" s="1" t="n">
        <v>45257.67958333333</v>
      </c>
      <c r="C571" s="1" t="n">
        <v>45935</v>
      </c>
      <c r="D571" t="inlineStr">
        <is>
          <t>KALMAR LÄN</t>
        </is>
      </c>
      <c r="E571" t="inlineStr">
        <is>
          <t>VIMMERBY</t>
        </is>
      </c>
      <c r="G571" t="n">
        <v>6.4</v>
      </c>
      <c r="H571" t="n">
        <v>0</v>
      </c>
      <c r="I571" t="n">
        <v>0</v>
      </c>
      <c r="J571" t="n">
        <v>0</v>
      </c>
      <c r="K571" t="n">
        <v>0</v>
      </c>
      <c r="L571" t="n">
        <v>0</v>
      </c>
      <c r="M571" t="n">
        <v>0</v>
      </c>
      <c r="N571" t="n">
        <v>0</v>
      </c>
      <c r="O571" t="n">
        <v>0</v>
      </c>
      <c r="P571" t="n">
        <v>0</v>
      </c>
      <c r="Q571" t="n">
        <v>0</v>
      </c>
      <c r="R571" s="2" t="inlineStr"/>
    </row>
    <row r="572" ht="15" customHeight="1">
      <c r="A572" t="inlineStr">
        <is>
          <t>A 39801-2025</t>
        </is>
      </c>
      <c r="B572" s="1" t="n">
        <v>45891.50216435185</v>
      </c>
      <c r="C572" s="1" t="n">
        <v>45935</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30920-2024</t>
        </is>
      </c>
      <c r="B573" s="1" t="n">
        <v>45498.673125</v>
      </c>
      <c r="C573" s="1" t="n">
        <v>45935</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47955-2025</t>
        </is>
      </c>
      <c r="B574" s="1" t="n">
        <v>45932.58896990741</v>
      </c>
      <c r="C574" s="1" t="n">
        <v>45935</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29020-2024</t>
        </is>
      </c>
      <c r="B575" s="1" t="n">
        <v>45481.58048611111</v>
      </c>
      <c r="C575" s="1" t="n">
        <v>45935</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30406-2023</t>
        </is>
      </c>
      <c r="B576" s="1" t="n">
        <v>45111.48787037037</v>
      </c>
      <c r="C576" s="1" t="n">
        <v>45935</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5527-2022</t>
        </is>
      </c>
      <c r="B577" s="1" t="n">
        <v>44595.583125</v>
      </c>
      <c r="C577" s="1" t="n">
        <v>45935</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13817-2024</t>
        </is>
      </c>
      <c r="B578" s="1" t="n">
        <v>45391.41976851852</v>
      </c>
      <c r="C578" s="1" t="n">
        <v>45935</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12325-2023</t>
        </is>
      </c>
      <c r="B579" s="1" t="n">
        <v>44999.35858796296</v>
      </c>
      <c r="C579" s="1" t="n">
        <v>45935</v>
      </c>
      <c r="D579" t="inlineStr">
        <is>
          <t>KALMAR LÄN</t>
        </is>
      </c>
      <c r="E579" t="inlineStr">
        <is>
          <t>VIMMERBY</t>
        </is>
      </c>
      <c r="G579" t="n">
        <v>3.4</v>
      </c>
      <c r="H579" t="n">
        <v>0</v>
      </c>
      <c r="I579" t="n">
        <v>0</v>
      </c>
      <c r="J579" t="n">
        <v>0</v>
      </c>
      <c r="K579" t="n">
        <v>0</v>
      </c>
      <c r="L579" t="n">
        <v>0</v>
      </c>
      <c r="M579" t="n">
        <v>0</v>
      </c>
      <c r="N579" t="n">
        <v>0</v>
      </c>
      <c r="O579" t="n">
        <v>0</v>
      </c>
      <c r="P579" t="n">
        <v>0</v>
      </c>
      <c r="Q579" t="n">
        <v>0</v>
      </c>
      <c r="R579" s="2" t="inlineStr"/>
    </row>
    <row r="580" ht="15" customHeight="1">
      <c r="A580" t="inlineStr">
        <is>
          <t>A 1016-2024</t>
        </is>
      </c>
      <c r="B580" s="1" t="n">
        <v>45301</v>
      </c>
      <c r="C580" s="1" t="n">
        <v>45935</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39807-2025</t>
        </is>
      </c>
      <c r="B581" s="1" t="n">
        <v>45891.50986111111</v>
      </c>
      <c r="C581" s="1" t="n">
        <v>45935</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39736-2025</t>
        </is>
      </c>
      <c r="B582" s="1" t="n">
        <v>45891</v>
      </c>
      <c r="C582" s="1" t="n">
        <v>45935</v>
      </c>
      <c r="D582" t="inlineStr">
        <is>
          <t>KALMAR LÄN</t>
        </is>
      </c>
      <c r="E582" t="inlineStr">
        <is>
          <t>VIMMERBY</t>
        </is>
      </c>
      <c r="G582" t="n">
        <v>12.8</v>
      </c>
      <c r="H582" t="n">
        <v>0</v>
      </c>
      <c r="I582" t="n">
        <v>0</v>
      </c>
      <c r="J582" t="n">
        <v>0</v>
      </c>
      <c r="K582" t="n">
        <v>0</v>
      </c>
      <c r="L582" t="n">
        <v>0</v>
      </c>
      <c r="M582" t="n">
        <v>0</v>
      </c>
      <c r="N582" t="n">
        <v>0</v>
      </c>
      <c r="O582" t="n">
        <v>0</v>
      </c>
      <c r="P582" t="n">
        <v>0</v>
      </c>
      <c r="Q582" t="n">
        <v>0</v>
      </c>
      <c r="R582" s="2" t="inlineStr"/>
    </row>
    <row r="583" ht="15" customHeight="1">
      <c r="A583" t="inlineStr">
        <is>
          <t>A 40929-2022</t>
        </is>
      </c>
      <c r="B583" s="1" t="n">
        <v>44825.4336574074</v>
      </c>
      <c r="C583" s="1" t="n">
        <v>45935</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50091-2023</t>
        </is>
      </c>
      <c r="B584" s="1" t="n">
        <v>45215.60199074074</v>
      </c>
      <c r="C584" s="1" t="n">
        <v>45935</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36008-2024</t>
        </is>
      </c>
      <c r="B585" s="1" t="n">
        <v>45533.55362268518</v>
      </c>
      <c r="C585" s="1" t="n">
        <v>45935</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33681-2022</t>
        </is>
      </c>
      <c r="B586" s="1" t="n">
        <v>44789</v>
      </c>
      <c r="C586" s="1" t="n">
        <v>45935</v>
      </c>
      <c r="D586" t="inlineStr">
        <is>
          <t>KALMAR LÄN</t>
        </is>
      </c>
      <c r="E586" t="inlineStr">
        <is>
          <t>VIMMERBY</t>
        </is>
      </c>
      <c r="G586" t="n">
        <v>3.2</v>
      </c>
      <c r="H586" t="n">
        <v>0</v>
      </c>
      <c r="I586" t="n">
        <v>0</v>
      </c>
      <c r="J586" t="n">
        <v>0</v>
      </c>
      <c r="K586" t="n">
        <v>0</v>
      </c>
      <c r="L586" t="n">
        <v>0</v>
      </c>
      <c r="M586" t="n">
        <v>0</v>
      </c>
      <c r="N586" t="n">
        <v>0</v>
      </c>
      <c r="O586" t="n">
        <v>0</v>
      </c>
      <c r="P586" t="n">
        <v>0</v>
      </c>
      <c r="Q586" t="n">
        <v>0</v>
      </c>
      <c r="R586" s="2" t="inlineStr"/>
    </row>
    <row r="587" ht="15" customHeight="1">
      <c r="A587" t="inlineStr">
        <is>
          <t>A 16622-2025</t>
        </is>
      </c>
      <c r="B587" s="1" t="n">
        <v>45754.33641203704</v>
      </c>
      <c r="C587" s="1" t="n">
        <v>45935</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17511-2024</t>
        </is>
      </c>
      <c r="B588" s="1" t="n">
        <v>45415.57682870371</v>
      </c>
      <c r="C588" s="1" t="n">
        <v>45935</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43705-2023</t>
        </is>
      </c>
      <c r="B589" s="1" t="n">
        <v>45187.42854166667</v>
      </c>
      <c r="C589" s="1" t="n">
        <v>45935</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47965-2025</t>
        </is>
      </c>
      <c r="B590" s="1" t="n">
        <v>45932.59597222223</v>
      </c>
      <c r="C590" s="1" t="n">
        <v>45935</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5074-2023</t>
        </is>
      </c>
      <c r="B591" s="1" t="n">
        <v>44958.61047453704</v>
      </c>
      <c r="C591" s="1" t="n">
        <v>45935</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55300-2021</t>
        </is>
      </c>
      <c r="B592" s="1" t="n">
        <v>44475</v>
      </c>
      <c r="C592" s="1" t="n">
        <v>45935</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51187-2023</t>
        </is>
      </c>
      <c r="B593" s="1" t="n">
        <v>45219.40528935185</v>
      </c>
      <c r="C593" s="1" t="n">
        <v>45935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48299-2025</t>
        </is>
      </c>
      <c r="B594" s="1" t="n">
        <v>45933.60982638889</v>
      </c>
      <c r="C594" s="1" t="n">
        <v>45935</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44179-2022</t>
        </is>
      </c>
      <c r="B595" s="1" t="n">
        <v>44839.4528125</v>
      </c>
      <c r="C595" s="1" t="n">
        <v>45935</v>
      </c>
      <c r="D595" t="inlineStr">
        <is>
          <t>KALMAR LÄN</t>
        </is>
      </c>
      <c r="E595" t="inlineStr">
        <is>
          <t>VIMMERBY</t>
        </is>
      </c>
      <c r="G595" t="n">
        <v>2.8</v>
      </c>
      <c r="H595" t="n">
        <v>0</v>
      </c>
      <c r="I595" t="n">
        <v>0</v>
      </c>
      <c r="J595" t="n">
        <v>0</v>
      </c>
      <c r="K595" t="n">
        <v>0</v>
      </c>
      <c r="L595" t="n">
        <v>0</v>
      </c>
      <c r="M595" t="n">
        <v>0</v>
      </c>
      <c r="N595" t="n">
        <v>0</v>
      </c>
      <c r="O595" t="n">
        <v>0</v>
      </c>
      <c r="P595" t="n">
        <v>0</v>
      </c>
      <c r="Q595" t="n">
        <v>0</v>
      </c>
      <c r="R595" s="2" t="inlineStr"/>
    </row>
    <row r="596" ht="15" customHeight="1">
      <c r="A596" t="inlineStr">
        <is>
          <t>A 52755-2022</t>
        </is>
      </c>
      <c r="B596" s="1" t="n">
        <v>44875.27736111111</v>
      </c>
      <c r="C596" s="1" t="n">
        <v>45935</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15715-2022</t>
        </is>
      </c>
      <c r="B597" s="1" t="n">
        <v>44663</v>
      </c>
      <c r="C597" s="1" t="n">
        <v>45935</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35998-2024</t>
        </is>
      </c>
      <c r="B598" s="1" t="n">
        <v>45533.54429398148</v>
      </c>
      <c r="C598" s="1" t="n">
        <v>45935</v>
      </c>
      <c r="D598" t="inlineStr">
        <is>
          <t>KALMAR LÄN</t>
        </is>
      </c>
      <c r="E598" t="inlineStr">
        <is>
          <t>VIMMERBY</t>
        </is>
      </c>
      <c r="G598" t="n">
        <v>8.6</v>
      </c>
      <c r="H598" t="n">
        <v>0</v>
      </c>
      <c r="I598" t="n">
        <v>0</v>
      </c>
      <c r="J598" t="n">
        <v>0</v>
      </c>
      <c r="K598" t="n">
        <v>0</v>
      </c>
      <c r="L598" t="n">
        <v>0</v>
      </c>
      <c r="M598" t="n">
        <v>0</v>
      </c>
      <c r="N598" t="n">
        <v>0</v>
      </c>
      <c r="O598" t="n">
        <v>0</v>
      </c>
      <c r="P598" t="n">
        <v>0</v>
      </c>
      <c r="Q598" t="n">
        <v>0</v>
      </c>
      <c r="R598" s="2" t="inlineStr"/>
    </row>
    <row r="599" ht="15" customHeight="1">
      <c r="A599" t="inlineStr">
        <is>
          <t>A 39803-2025</t>
        </is>
      </c>
      <c r="B599" s="1" t="n">
        <v>45891.50525462963</v>
      </c>
      <c r="C599" s="1" t="n">
        <v>45935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43093-2024</t>
        </is>
      </c>
      <c r="B600" s="1" t="n">
        <v>45567</v>
      </c>
      <c r="C600" s="1" t="n">
        <v>45935</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56022-2024</t>
        </is>
      </c>
      <c r="B601" s="1" t="n">
        <v>45623.95947916667</v>
      </c>
      <c r="C601" s="1" t="n">
        <v>45935</v>
      </c>
      <c r="D601" t="inlineStr">
        <is>
          <t>KALMAR LÄN</t>
        </is>
      </c>
      <c r="E601" t="inlineStr">
        <is>
          <t>VIMMERBY</t>
        </is>
      </c>
      <c r="G601" t="n">
        <v>0.3</v>
      </c>
      <c r="H601" t="n">
        <v>0</v>
      </c>
      <c r="I601" t="n">
        <v>0</v>
      </c>
      <c r="J601" t="n">
        <v>0</v>
      </c>
      <c r="K601" t="n">
        <v>0</v>
      </c>
      <c r="L601" t="n">
        <v>0</v>
      </c>
      <c r="M601" t="n">
        <v>0</v>
      </c>
      <c r="N601" t="n">
        <v>0</v>
      </c>
      <c r="O601" t="n">
        <v>0</v>
      </c>
      <c r="P601" t="n">
        <v>0</v>
      </c>
      <c r="Q601" t="n">
        <v>0</v>
      </c>
      <c r="R601" s="2" t="inlineStr"/>
    </row>
    <row r="602" ht="15" customHeight="1">
      <c r="A602" t="inlineStr">
        <is>
          <t>A 7797-2023</t>
        </is>
      </c>
      <c r="B602" s="1" t="n">
        <v>44973.43075231482</v>
      </c>
      <c r="C602" s="1" t="n">
        <v>45935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39889-2025</t>
        </is>
      </c>
      <c r="B603" s="1" t="n">
        <v>45891</v>
      </c>
      <c r="C603" s="1" t="n">
        <v>45935</v>
      </c>
      <c r="D603" t="inlineStr">
        <is>
          <t>KALMAR LÄN</t>
        </is>
      </c>
      <c r="E603" t="inlineStr">
        <is>
          <t>VIMMERBY</t>
        </is>
      </c>
      <c r="G603" t="n">
        <v>4.5</v>
      </c>
      <c r="H603" t="n">
        <v>0</v>
      </c>
      <c r="I603" t="n">
        <v>0</v>
      </c>
      <c r="J603" t="n">
        <v>0</v>
      </c>
      <c r="K603" t="n">
        <v>0</v>
      </c>
      <c r="L603" t="n">
        <v>0</v>
      </c>
      <c r="M603" t="n">
        <v>0</v>
      </c>
      <c r="N603" t="n">
        <v>0</v>
      </c>
      <c r="O603" t="n">
        <v>0</v>
      </c>
      <c r="P603" t="n">
        <v>0</v>
      </c>
      <c r="Q603" t="n">
        <v>0</v>
      </c>
      <c r="R603" s="2" t="inlineStr"/>
    </row>
    <row r="604" ht="15" customHeight="1">
      <c r="A604" t="inlineStr">
        <is>
          <t>A 18330-2023</t>
        </is>
      </c>
      <c r="B604" s="1" t="n">
        <v>45041</v>
      </c>
      <c r="C604" s="1" t="n">
        <v>45935</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29351-2023</t>
        </is>
      </c>
      <c r="B605" s="1" t="n">
        <v>45106.2610300926</v>
      </c>
      <c r="C605" s="1" t="n">
        <v>45935</v>
      </c>
      <c r="D605" t="inlineStr">
        <is>
          <t>KALMAR LÄN</t>
        </is>
      </c>
      <c r="E605" t="inlineStr">
        <is>
          <t>VIMMERBY</t>
        </is>
      </c>
      <c r="G605" t="n">
        <v>0.4</v>
      </c>
      <c r="H605" t="n">
        <v>0</v>
      </c>
      <c r="I605" t="n">
        <v>0</v>
      </c>
      <c r="J605" t="n">
        <v>0</v>
      </c>
      <c r="K605" t="n">
        <v>0</v>
      </c>
      <c r="L605" t="n">
        <v>0</v>
      </c>
      <c r="M605" t="n">
        <v>0</v>
      </c>
      <c r="N605" t="n">
        <v>0</v>
      </c>
      <c r="O605" t="n">
        <v>0</v>
      </c>
      <c r="P605" t="n">
        <v>0</v>
      </c>
      <c r="Q605" t="n">
        <v>0</v>
      </c>
      <c r="R605" s="2" t="inlineStr"/>
    </row>
    <row r="606" ht="15" customHeight="1">
      <c r="A606" t="inlineStr">
        <is>
          <t>A 7630-2025</t>
        </is>
      </c>
      <c r="B606" s="1" t="n">
        <v>45705.74418981482</v>
      </c>
      <c r="C606" s="1" t="n">
        <v>45935</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1024-2024</t>
        </is>
      </c>
      <c r="B607" s="1" t="n">
        <v>45301.68237268519</v>
      </c>
      <c r="C607" s="1" t="n">
        <v>45935</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10787-2025</t>
        </is>
      </c>
      <c r="B608" s="1" t="n">
        <v>45722.48915509259</v>
      </c>
      <c r="C608" s="1" t="n">
        <v>45935</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45935</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22397-2025</t>
        </is>
      </c>
      <c r="B610" s="1" t="n">
        <v>45786.52878472222</v>
      </c>
      <c r="C610" s="1" t="n">
        <v>45935</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25582-2024</t>
        </is>
      </c>
      <c r="B611" s="1" t="n">
        <v>45463</v>
      </c>
      <c r="C611" s="1" t="n">
        <v>45935</v>
      </c>
      <c r="D611" t="inlineStr">
        <is>
          <t>KALMAR LÄN</t>
        </is>
      </c>
      <c r="E611" t="inlineStr">
        <is>
          <t>VIMMERBY</t>
        </is>
      </c>
      <c r="G611" t="n">
        <v>1.4</v>
      </c>
      <c r="H611" t="n">
        <v>0</v>
      </c>
      <c r="I611" t="n">
        <v>0</v>
      </c>
      <c r="J611" t="n">
        <v>0</v>
      </c>
      <c r="K611" t="n">
        <v>0</v>
      </c>
      <c r="L611" t="n">
        <v>0</v>
      </c>
      <c r="M611" t="n">
        <v>0</v>
      </c>
      <c r="N611" t="n">
        <v>0</v>
      </c>
      <c r="O611" t="n">
        <v>0</v>
      </c>
      <c r="P611" t="n">
        <v>0</v>
      </c>
      <c r="Q611" t="n">
        <v>0</v>
      </c>
      <c r="R611" s="2" t="inlineStr"/>
    </row>
    <row r="612" ht="15" customHeight="1">
      <c r="A612" t="inlineStr">
        <is>
          <t>A 29350-2023</t>
        </is>
      </c>
      <c r="B612" s="1" t="n">
        <v>45106</v>
      </c>
      <c r="C612" s="1" t="n">
        <v>45935</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14855-2025</t>
        </is>
      </c>
      <c r="B613" s="1" t="n">
        <v>45743.41148148148</v>
      </c>
      <c r="C613" s="1" t="n">
        <v>45935</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43601-2024</t>
        </is>
      </c>
      <c r="B614" s="1" t="n">
        <v>45569.44684027778</v>
      </c>
      <c r="C614" s="1" t="n">
        <v>45935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35913-2023</t>
        </is>
      </c>
      <c r="B615" s="1" t="n">
        <v>45148</v>
      </c>
      <c r="C615" s="1" t="n">
        <v>45935</v>
      </c>
      <c r="D615" t="inlineStr">
        <is>
          <t>KALMAR LÄN</t>
        </is>
      </c>
      <c r="E615" t="inlineStr">
        <is>
          <t>VIMMERBY</t>
        </is>
      </c>
      <c r="G615" t="n">
        <v>6.9</v>
      </c>
      <c r="H615" t="n">
        <v>0</v>
      </c>
      <c r="I615" t="n">
        <v>0</v>
      </c>
      <c r="J615" t="n">
        <v>0</v>
      </c>
      <c r="K615" t="n">
        <v>0</v>
      </c>
      <c r="L615" t="n">
        <v>0</v>
      </c>
      <c r="M615" t="n">
        <v>0</v>
      </c>
      <c r="N615" t="n">
        <v>0</v>
      </c>
      <c r="O615" t="n">
        <v>0</v>
      </c>
      <c r="P615" t="n">
        <v>0</v>
      </c>
      <c r="Q615" t="n">
        <v>0</v>
      </c>
      <c r="R615" s="2" t="inlineStr"/>
    </row>
    <row r="616" ht="15" customHeight="1">
      <c r="A616" t="inlineStr">
        <is>
          <t>A 9624-2024</t>
        </is>
      </c>
      <c r="B616" s="1" t="n">
        <v>45361.90282407407</v>
      </c>
      <c r="C616" s="1" t="n">
        <v>45935</v>
      </c>
      <c r="D616" t="inlineStr">
        <is>
          <t>KALMAR LÄN</t>
        </is>
      </c>
      <c r="E616" t="inlineStr">
        <is>
          <t>VIMMERBY</t>
        </is>
      </c>
      <c r="G616" t="n">
        <v>3.8</v>
      </c>
      <c r="H616" t="n">
        <v>0</v>
      </c>
      <c r="I616" t="n">
        <v>0</v>
      </c>
      <c r="J616" t="n">
        <v>0</v>
      </c>
      <c r="K616" t="n">
        <v>0</v>
      </c>
      <c r="L616" t="n">
        <v>0</v>
      </c>
      <c r="M616" t="n">
        <v>0</v>
      </c>
      <c r="N616" t="n">
        <v>0</v>
      </c>
      <c r="O616" t="n">
        <v>0</v>
      </c>
      <c r="P616" t="n">
        <v>0</v>
      </c>
      <c r="Q616" t="n">
        <v>0</v>
      </c>
      <c r="R616" s="2" t="inlineStr"/>
    </row>
    <row r="617" ht="15" customHeight="1">
      <c r="A617" t="inlineStr">
        <is>
          <t>A 3938-2023</t>
        </is>
      </c>
      <c r="B617" s="1" t="n">
        <v>44952.35775462963</v>
      </c>
      <c r="C617" s="1" t="n">
        <v>45935</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39053-2024</t>
        </is>
      </c>
      <c r="B618" s="1" t="n">
        <v>45548</v>
      </c>
      <c r="C618" s="1" t="n">
        <v>45935</v>
      </c>
      <c r="D618" t="inlineStr">
        <is>
          <t>KALMAR LÄN</t>
        </is>
      </c>
      <c r="E618" t="inlineStr">
        <is>
          <t>VIMMERBY</t>
        </is>
      </c>
      <c r="G618" t="n">
        <v>5</v>
      </c>
      <c r="H618" t="n">
        <v>0</v>
      </c>
      <c r="I618" t="n">
        <v>0</v>
      </c>
      <c r="J618" t="n">
        <v>0</v>
      </c>
      <c r="K618" t="n">
        <v>0</v>
      </c>
      <c r="L618" t="n">
        <v>0</v>
      </c>
      <c r="M618" t="n">
        <v>0</v>
      </c>
      <c r="N618" t="n">
        <v>0</v>
      </c>
      <c r="O618" t="n">
        <v>0</v>
      </c>
      <c r="P618" t="n">
        <v>0</v>
      </c>
      <c r="Q618" t="n">
        <v>0</v>
      </c>
      <c r="R618" s="2" t="inlineStr"/>
    </row>
    <row r="619" ht="15" customHeight="1">
      <c r="A619" t="inlineStr">
        <is>
          <t>A 57578-2024</t>
        </is>
      </c>
      <c r="B619" s="1" t="n">
        <v>45630.47564814815</v>
      </c>
      <c r="C619" s="1" t="n">
        <v>45935</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14451-2024</t>
        </is>
      </c>
      <c r="B620" s="1" t="n">
        <v>45394.50028935185</v>
      </c>
      <c r="C620" s="1" t="n">
        <v>45935</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34205-2023</t>
        </is>
      </c>
      <c r="B621" s="1" t="n">
        <v>45138</v>
      </c>
      <c r="C621" s="1" t="n">
        <v>45935</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6307-2025</t>
        </is>
      </c>
      <c r="B622" s="1" t="n">
        <v>45698.69016203703</v>
      </c>
      <c r="C622" s="1" t="n">
        <v>45935</v>
      </c>
      <c r="D622" t="inlineStr">
        <is>
          <t>KALMAR LÄN</t>
        </is>
      </c>
      <c r="E622" t="inlineStr">
        <is>
          <t>VIMMERBY</t>
        </is>
      </c>
      <c r="G622" t="n">
        <v>3</v>
      </c>
      <c r="H622" t="n">
        <v>0</v>
      </c>
      <c r="I622" t="n">
        <v>0</v>
      </c>
      <c r="J622" t="n">
        <v>0</v>
      </c>
      <c r="K622" t="n">
        <v>0</v>
      </c>
      <c r="L622" t="n">
        <v>0</v>
      </c>
      <c r="M622" t="n">
        <v>0</v>
      </c>
      <c r="N622" t="n">
        <v>0</v>
      </c>
      <c r="O622" t="n">
        <v>0</v>
      </c>
      <c r="P622" t="n">
        <v>0</v>
      </c>
      <c r="Q622" t="n">
        <v>0</v>
      </c>
      <c r="R622" s="2" t="inlineStr"/>
    </row>
    <row r="623" ht="15" customHeight="1">
      <c r="A623" t="inlineStr">
        <is>
          <t>A 11442-2025</t>
        </is>
      </c>
      <c r="B623" s="1" t="n">
        <v>45726.62721064815</v>
      </c>
      <c r="C623" s="1" t="n">
        <v>45935</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3268-2024</t>
        </is>
      </c>
      <c r="B624" s="1" t="n">
        <v>45317</v>
      </c>
      <c r="C624" s="1" t="n">
        <v>45935</v>
      </c>
      <c r="D624" t="inlineStr">
        <is>
          <t>KALMAR LÄN</t>
        </is>
      </c>
      <c r="E624" t="inlineStr">
        <is>
          <t>VIMMERBY</t>
        </is>
      </c>
      <c r="F624" t="inlineStr">
        <is>
          <t>Övriga Aktiebolag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12819-2024</t>
        </is>
      </c>
      <c r="B625" s="1" t="n">
        <v>45384.66917824074</v>
      </c>
      <c r="C625" s="1" t="n">
        <v>45935</v>
      </c>
      <c r="D625" t="inlineStr">
        <is>
          <t>KALMAR LÄN</t>
        </is>
      </c>
      <c r="E625" t="inlineStr">
        <is>
          <t>VIMMERBY</t>
        </is>
      </c>
      <c r="G625" t="n">
        <v>5.1</v>
      </c>
      <c r="H625" t="n">
        <v>0</v>
      </c>
      <c r="I625" t="n">
        <v>0</v>
      </c>
      <c r="J625" t="n">
        <v>0</v>
      </c>
      <c r="K625" t="n">
        <v>0</v>
      </c>
      <c r="L625" t="n">
        <v>0</v>
      </c>
      <c r="M625" t="n">
        <v>0</v>
      </c>
      <c r="N625" t="n">
        <v>0</v>
      </c>
      <c r="O625" t="n">
        <v>0</v>
      </c>
      <c r="P625" t="n">
        <v>0</v>
      </c>
      <c r="Q625" t="n">
        <v>0</v>
      </c>
      <c r="R625" s="2" t="inlineStr"/>
    </row>
    <row r="626" ht="15" customHeight="1">
      <c r="A626" t="inlineStr">
        <is>
          <t>A 6214-2025</t>
        </is>
      </c>
      <c r="B626" s="1" t="n">
        <v>45698.51711805556</v>
      </c>
      <c r="C626" s="1" t="n">
        <v>45935</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32569-2024</t>
        </is>
      </c>
      <c r="B627" s="1" t="n">
        <v>45513.55840277778</v>
      </c>
      <c r="C627" s="1" t="n">
        <v>45935</v>
      </c>
      <c r="D627" t="inlineStr">
        <is>
          <t>KALMAR LÄN</t>
        </is>
      </c>
      <c r="E627" t="inlineStr">
        <is>
          <t>VIMMERBY</t>
        </is>
      </c>
      <c r="G627" t="n">
        <v>3.7</v>
      </c>
      <c r="H627" t="n">
        <v>0</v>
      </c>
      <c r="I627" t="n">
        <v>0</v>
      </c>
      <c r="J627" t="n">
        <v>0</v>
      </c>
      <c r="K627" t="n">
        <v>0</v>
      </c>
      <c r="L627" t="n">
        <v>0</v>
      </c>
      <c r="M627" t="n">
        <v>0</v>
      </c>
      <c r="N627" t="n">
        <v>0</v>
      </c>
      <c r="O627" t="n">
        <v>0</v>
      </c>
      <c r="P627" t="n">
        <v>0</v>
      </c>
      <c r="Q627" t="n">
        <v>0</v>
      </c>
      <c r="R627" s="2" t="inlineStr"/>
    </row>
    <row r="628" ht="15" customHeight="1">
      <c r="A628" t="inlineStr">
        <is>
          <t>A 32575-2024</t>
        </is>
      </c>
      <c r="B628" s="1" t="n">
        <v>45513.56527777778</v>
      </c>
      <c r="C628" s="1" t="n">
        <v>45935</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23394-2025</t>
        </is>
      </c>
      <c r="B629" s="1" t="n">
        <v>45791.89865740741</v>
      </c>
      <c r="C629" s="1" t="n">
        <v>45935</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59300-2024</t>
        </is>
      </c>
      <c r="B630" s="1" t="n">
        <v>45637.66542824074</v>
      </c>
      <c r="C630" s="1" t="n">
        <v>45935</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59768-2024</t>
        </is>
      </c>
      <c r="B631" s="1" t="n">
        <v>45639.56185185185</v>
      </c>
      <c r="C631" s="1" t="n">
        <v>45935</v>
      </c>
      <c r="D631" t="inlineStr">
        <is>
          <t>KALMAR LÄN</t>
        </is>
      </c>
      <c r="E631" t="inlineStr">
        <is>
          <t>VIMMERBY</t>
        </is>
      </c>
      <c r="G631" t="n">
        <v>5.9</v>
      </c>
      <c r="H631" t="n">
        <v>0</v>
      </c>
      <c r="I631" t="n">
        <v>0</v>
      </c>
      <c r="J631" t="n">
        <v>0</v>
      </c>
      <c r="K631" t="n">
        <v>0</v>
      </c>
      <c r="L631" t="n">
        <v>0</v>
      </c>
      <c r="M631" t="n">
        <v>0</v>
      </c>
      <c r="N631" t="n">
        <v>0</v>
      </c>
      <c r="O631" t="n">
        <v>0</v>
      </c>
      <c r="P631" t="n">
        <v>0</v>
      </c>
      <c r="Q631" t="n">
        <v>0</v>
      </c>
      <c r="R631" s="2" t="inlineStr"/>
    </row>
    <row r="632" ht="15" customHeight="1">
      <c r="A632" t="inlineStr">
        <is>
          <t>A 36526-2023</t>
        </is>
      </c>
      <c r="B632" s="1" t="n">
        <v>45153.32778935185</v>
      </c>
      <c r="C632" s="1" t="n">
        <v>45935</v>
      </c>
      <c r="D632" t="inlineStr">
        <is>
          <t>KALMAR LÄN</t>
        </is>
      </c>
      <c r="E632" t="inlineStr">
        <is>
          <t>VIMMERBY</t>
        </is>
      </c>
      <c r="G632" t="n">
        <v>2.7</v>
      </c>
      <c r="H632" t="n">
        <v>0</v>
      </c>
      <c r="I632" t="n">
        <v>0</v>
      </c>
      <c r="J632" t="n">
        <v>0</v>
      </c>
      <c r="K632" t="n">
        <v>0</v>
      </c>
      <c r="L632" t="n">
        <v>0</v>
      </c>
      <c r="M632" t="n">
        <v>0</v>
      </c>
      <c r="N632" t="n">
        <v>0</v>
      </c>
      <c r="O632" t="n">
        <v>0</v>
      </c>
      <c r="P632" t="n">
        <v>0</v>
      </c>
      <c r="Q632" t="n">
        <v>0</v>
      </c>
      <c r="R632" s="2" t="inlineStr"/>
    </row>
    <row r="633" ht="15" customHeight="1">
      <c r="A633" t="inlineStr">
        <is>
          <t>A 23984-2025</t>
        </is>
      </c>
      <c r="B633" s="1" t="n">
        <v>45796</v>
      </c>
      <c r="C633" s="1" t="n">
        <v>45935</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58728-2024</t>
        </is>
      </c>
      <c r="B634" s="1" t="n">
        <v>45635.66695601852</v>
      </c>
      <c r="C634" s="1" t="n">
        <v>45935</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49474-2023</t>
        </is>
      </c>
      <c r="B635" s="1" t="n">
        <v>45211.541875</v>
      </c>
      <c r="C635" s="1" t="n">
        <v>45935</v>
      </c>
      <c r="D635" t="inlineStr">
        <is>
          <t>KALMAR LÄN</t>
        </is>
      </c>
      <c r="E635" t="inlineStr">
        <is>
          <t>VIMMERBY</t>
        </is>
      </c>
      <c r="G635" t="n">
        <v>3.6</v>
      </c>
      <c r="H635" t="n">
        <v>0</v>
      </c>
      <c r="I635" t="n">
        <v>0</v>
      </c>
      <c r="J635" t="n">
        <v>0</v>
      </c>
      <c r="K635" t="n">
        <v>0</v>
      </c>
      <c r="L635" t="n">
        <v>0</v>
      </c>
      <c r="M635" t="n">
        <v>0</v>
      </c>
      <c r="N635" t="n">
        <v>0</v>
      </c>
      <c r="O635" t="n">
        <v>0</v>
      </c>
      <c r="P635" t="n">
        <v>0</v>
      </c>
      <c r="Q635" t="n">
        <v>0</v>
      </c>
      <c r="R635" s="2" t="inlineStr"/>
    </row>
    <row r="636" ht="15" customHeight="1">
      <c r="A636" t="inlineStr">
        <is>
          <t>A 57682-2022</t>
        </is>
      </c>
      <c r="B636" s="1" t="n">
        <v>44890</v>
      </c>
      <c r="C636" s="1" t="n">
        <v>45935</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14220-2021</t>
        </is>
      </c>
      <c r="B637" s="1" t="n">
        <v>44278.54855324074</v>
      </c>
      <c r="C637" s="1" t="n">
        <v>45935</v>
      </c>
      <c r="D637" t="inlineStr">
        <is>
          <t>KALMAR LÄN</t>
        </is>
      </c>
      <c r="E637" t="inlineStr">
        <is>
          <t>VIMMERBY</t>
        </is>
      </c>
      <c r="G637" t="n">
        <v>0.3</v>
      </c>
      <c r="H637" t="n">
        <v>0</v>
      </c>
      <c r="I637" t="n">
        <v>0</v>
      </c>
      <c r="J637" t="n">
        <v>0</v>
      </c>
      <c r="K637" t="n">
        <v>0</v>
      </c>
      <c r="L637" t="n">
        <v>0</v>
      </c>
      <c r="M637" t="n">
        <v>0</v>
      </c>
      <c r="N637" t="n">
        <v>0</v>
      </c>
      <c r="O637" t="n">
        <v>0</v>
      </c>
      <c r="P637" t="n">
        <v>0</v>
      </c>
      <c r="Q637" t="n">
        <v>0</v>
      </c>
      <c r="R637" s="2" t="inlineStr"/>
    </row>
    <row r="638" ht="15" customHeight="1">
      <c r="A638" t="inlineStr">
        <is>
          <t>A 63950-2023</t>
        </is>
      </c>
      <c r="B638" s="1" t="n">
        <v>45278</v>
      </c>
      <c r="C638" s="1" t="n">
        <v>45935</v>
      </c>
      <c r="D638" t="inlineStr">
        <is>
          <t>KALMAR LÄN</t>
        </is>
      </c>
      <c r="E638" t="inlineStr">
        <is>
          <t>VIMMERBY</t>
        </is>
      </c>
      <c r="F638" t="inlineStr">
        <is>
          <t>Kyrkan</t>
        </is>
      </c>
      <c r="G638" t="n">
        <v>2.7</v>
      </c>
      <c r="H638" t="n">
        <v>0</v>
      </c>
      <c r="I638" t="n">
        <v>0</v>
      </c>
      <c r="J638" t="n">
        <v>0</v>
      </c>
      <c r="K638" t="n">
        <v>0</v>
      </c>
      <c r="L638" t="n">
        <v>0</v>
      </c>
      <c r="M638" t="n">
        <v>0</v>
      </c>
      <c r="N638" t="n">
        <v>0</v>
      </c>
      <c r="O638" t="n">
        <v>0</v>
      </c>
      <c r="P638" t="n">
        <v>0</v>
      </c>
      <c r="Q638" t="n">
        <v>0</v>
      </c>
      <c r="R638" s="2" t="inlineStr"/>
    </row>
    <row r="639" ht="15" customHeight="1">
      <c r="A639" t="inlineStr">
        <is>
          <t>A 16516-2023</t>
        </is>
      </c>
      <c r="B639" s="1" t="n">
        <v>45029</v>
      </c>
      <c r="C639" s="1" t="n">
        <v>45935</v>
      </c>
      <c r="D639" t="inlineStr">
        <is>
          <t>KALMAR LÄN</t>
        </is>
      </c>
      <c r="E639" t="inlineStr">
        <is>
          <t>VIMMERBY</t>
        </is>
      </c>
      <c r="G639" t="n">
        <v>4.3</v>
      </c>
      <c r="H639" t="n">
        <v>0</v>
      </c>
      <c r="I639" t="n">
        <v>0</v>
      </c>
      <c r="J639" t="n">
        <v>0</v>
      </c>
      <c r="K639" t="n">
        <v>0</v>
      </c>
      <c r="L639" t="n">
        <v>0</v>
      </c>
      <c r="M639" t="n">
        <v>0</v>
      </c>
      <c r="N639" t="n">
        <v>0</v>
      </c>
      <c r="O639" t="n">
        <v>0</v>
      </c>
      <c r="P639" t="n">
        <v>0</v>
      </c>
      <c r="Q639" t="n">
        <v>0</v>
      </c>
      <c r="R639" s="2" t="inlineStr"/>
    </row>
    <row r="640" ht="15" customHeight="1">
      <c r="A640" t="inlineStr">
        <is>
          <t>A 47842-2024</t>
        </is>
      </c>
      <c r="B640" s="1" t="n">
        <v>45588.65545138889</v>
      </c>
      <c r="C640" s="1" t="n">
        <v>45935</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6408-2025</t>
        </is>
      </c>
      <c r="B641" s="1" t="n">
        <v>45699.45671296296</v>
      </c>
      <c r="C641" s="1" t="n">
        <v>45935</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45935</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25109-2023</t>
        </is>
      </c>
      <c r="B643" s="1" t="n">
        <v>45086</v>
      </c>
      <c r="C643" s="1" t="n">
        <v>45935</v>
      </c>
      <c r="D643" t="inlineStr">
        <is>
          <t>KALMAR LÄN</t>
        </is>
      </c>
      <c r="E643" t="inlineStr">
        <is>
          <t>VIMMERBY</t>
        </is>
      </c>
      <c r="G643" t="n">
        <v>1.5</v>
      </c>
      <c r="H643" t="n">
        <v>0</v>
      </c>
      <c r="I643" t="n">
        <v>0</v>
      </c>
      <c r="J643" t="n">
        <v>0</v>
      </c>
      <c r="K643" t="n">
        <v>0</v>
      </c>
      <c r="L643" t="n">
        <v>0</v>
      </c>
      <c r="M643" t="n">
        <v>0</v>
      </c>
      <c r="N643" t="n">
        <v>0</v>
      </c>
      <c r="O643" t="n">
        <v>0</v>
      </c>
      <c r="P643" t="n">
        <v>0</v>
      </c>
      <c r="Q643" t="n">
        <v>0</v>
      </c>
      <c r="R643" s="2" t="inlineStr"/>
    </row>
    <row r="644" ht="15" customHeight="1">
      <c r="A644" t="inlineStr">
        <is>
          <t>A 33380-2023</t>
        </is>
      </c>
      <c r="B644" s="1" t="n">
        <v>45128</v>
      </c>
      <c r="C644" s="1" t="n">
        <v>45935</v>
      </c>
      <c r="D644" t="inlineStr">
        <is>
          <t>KALMAR LÄN</t>
        </is>
      </c>
      <c r="E644" t="inlineStr">
        <is>
          <t>VIMMERBY</t>
        </is>
      </c>
      <c r="G644" t="n">
        <v>5.2</v>
      </c>
      <c r="H644" t="n">
        <v>0</v>
      </c>
      <c r="I644" t="n">
        <v>0</v>
      </c>
      <c r="J644" t="n">
        <v>0</v>
      </c>
      <c r="K644" t="n">
        <v>0</v>
      </c>
      <c r="L644" t="n">
        <v>0</v>
      </c>
      <c r="M644" t="n">
        <v>0</v>
      </c>
      <c r="N644" t="n">
        <v>0</v>
      </c>
      <c r="O644" t="n">
        <v>0</v>
      </c>
      <c r="P644" t="n">
        <v>0</v>
      </c>
      <c r="Q644" t="n">
        <v>0</v>
      </c>
      <c r="R644" s="2" t="inlineStr"/>
    </row>
    <row r="645" ht="15" customHeight="1">
      <c r="A645" t="inlineStr">
        <is>
          <t>A 32639-2023</t>
        </is>
      </c>
      <c r="B645" s="1" t="n">
        <v>45121.5965162037</v>
      </c>
      <c r="C645" s="1" t="n">
        <v>45935</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32642-2023</t>
        </is>
      </c>
      <c r="B646" s="1" t="n">
        <v>45121.59954861111</v>
      </c>
      <c r="C646" s="1" t="n">
        <v>45935</v>
      </c>
      <c r="D646" t="inlineStr">
        <is>
          <t>KALMAR LÄN</t>
        </is>
      </c>
      <c r="E646" t="inlineStr">
        <is>
          <t>VIMMERBY</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32651-2023</t>
        </is>
      </c>
      <c r="B647" s="1" t="n">
        <v>45121.6096875</v>
      </c>
      <c r="C647" s="1" t="n">
        <v>45935</v>
      </c>
      <c r="D647" t="inlineStr">
        <is>
          <t>KALMAR LÄN</t>
        </is>
      </c>
      <c r="E647" t="inlineStr">
        <is>
          <t>VIMMERBY</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51278-2024</t>
        </is>
      </c>
      <c r="B648" s="1" t="n">
        <v>45603.74959490741</v>
      </c>
      <c r="C648" s="1" t="n">
        <v>45935</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11928-2022</t>
        </is>
      </c>
      <c r="B649" s="1" t="n">
        <v>44635</v>
      </c>
      <c r="C649" s="1" t="n">
        <v>45935</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9456-2025</t>
        </is>
      </c>
      <c r="B650" s="1" t="n">
        <v>45715.44159722222</v>
      </c>
      <c r="C650" s="1" t="n">
        <v>45935</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11111-2023</t>
        </is>
      </c>
      <c r="B651" s="1" t="n">
        <v>44992.4255787037</v>
      </c>
      <c r="C651" s="1" t="n">
        <v>45935</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7068-2024</t>
        </is>
      </c>
      <c r="B652" s="1" t="n">
        <v>45343.68038194445</v>
      </c>
      <c r="C652" s="1" t="n">
        <v>45935</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46234-2024</t>
        </is>
      </c>
      <c r="B653" s="1" t="n">
        <v>45581.57958333333</v>
      </c>
      <c r="C653" s="1" t="n">
        <v>45935</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37187-2024</t>
        </is>
      </c>
      <c r="B654" s="1" t="n">
        <v>45539.65212962963</v>
      </c>
      <c r="C654" s="1" t="n">
        <v>45935</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1021-2024</t>
        </is>
      </c>
      <c r="B655" s="1" t="n">
        <v>45301.67736111111</v>
      </c>
      <c r="C655" s="1" t="n">
        <v>45935</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44582-2024</t>
        </is>
      </c>
      <c r="B656" s="1" t="n">
        <v>45574.49298611111</v>
      </c>
      <c r="C656" s="1" t="n">
        <v>45935</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15494-2024</t>
        </is>
      </c>
      <c r="B657" s="1" t="n">
        <v>45401.53033564815</v>
      </c>
      <c r="C657" s="1" t="n">
        <v>45935</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72701-2021</t>
        </is>
      </c>
      <c r="B658" s="1" t="n">
        <v>44546</v>
      </c>
      <c r="C658" s="1" t="n">
        <v>45935</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19111-2025</t>
        </is>
      </c>
      <c r="B659" s="1" t="n">
        <v>45768.65611111111</v>
      </c>
      <c r="C659" s="1" t="n">
        <v>45935</v>
      </c>
      <c r="D659" t="inlineStr">
        <is>
          <t>KALMAR LÄN</t>
        </is>
      </c>
      <c r="E659" t="inlineStr">
        <is>
          <t>VIMMERBY</t>
        </is>
      </c>
      <c r="G659" t="n">
        <v>6.2</v>
      </c>
      <c r="H659" t="n">
        <v>0</v>
      </c>
      <c r="I659" t="n">
        <v>0</v>
      </c>
      <c r="J659" t="n">
        <v>0</v>
      </c>
      <c r="K659" t="n">
        <v>0</v>
      </c>
      <c r="L659" t="n">
        <v>0</v>
      </c>
      <c r="M659" t="n">
        <v>0</v>
      </c>
      <c r="N659" t="n">
        <v>0</v>
      </c>
      <c r="O659" t="n">
        <v>0</v>
      </c>
      <c r="P659" t="n">
        <v>0</v>
      </c>
      <c r="Q659" t="n">
        <v>0</v>
      </c>
      <c r="R659" s="2" t="inlineStr"/>
    </row>
    <row r="660" ht="15" customHeight="1">
      <c r="A660" t="inlineStr">
        <is>
          <t>A 33374-2021</t>
        </is>
      </c>
      <c r="B660" s="1" t="n">
        <v>44377</v>
      </c>
      <c r="C660" s="1" t="n">
        <v>45935</v>
      </c>
      <c r="D660" t="inlineStr">
        <is>
          <t>KALMAR LÄN</t>
        </is>
      </c>
      <c r="E660" t="inlineStr">
        <is>
          <t>VIMMERBY</t>
        </is>
      </c>
      <c r="G660" t="n">
        <v>3.3</v>
      </c>
      <c r="H660" t="n">
        <v>0</v>
      </c>
      <c r="I660" t="n">
        <v>0</v>
      </c>
      <c r="J660" t="n">
        <v>0</v>
      </c>
      <c r="K660" t="n">
        <v>0</v>
      </c>
      <c r="L660" t="n">
        <v>0</v>
      </c>
      <c r="M660" t="n">
        <v>0</v>
      </c>
      <c r="N660" t="n">
        <v>0</v>
      </c>
      <c r="O660" t="n">
        <v>0</v>
      </c>
      <c r="P660" t="n">
        <v>0</v>
      </c>
      <c r="Q660" t="n">
        <v>0</v>
      </c>
      <c r="R660" s="2" t="inlineStr"/>
    </row>
    <row r="661" ht="15" customHeight="1">
      <c r="A661" t="inlineStr">
        <is>
          <t>A 10807-2024</t>
        </is>
      </c>
      <c r="B661" s="1" t="n">
        <v>45369.62780092593</v>
      </c>
      <c r="C661" s="1" t="n">
        <v>45935</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33359-2021</t>
        </is>
      </c>
      <c r="B662" s="1" t="n">
        <v>44377.49684027778</v>
      </c>
      <c r="C662" s="1" t="n">
        <v>45935</v>
      </c>
      <c r="D662" t="inlineStr">
        <is>
          <t>KALMAR LÄN</t>
        </is>
      </c>
      <c r="E662" t="inlineStr">
        <is>
          <t>VIMMERBY</t>
        </is>
      </c>
      <c r="F662" t="inlineStr">
        <is>
          <t>Kommuner</t>
        </is>
      </c>
      <c r="G662" t="n">
        <v>8</v>
      </c>
      <c r="H662" t="n">
        <v>0</v>
      </c>
      <c r="I662" t="n">
        <v>0</v>
      </c>
      <c r="J662" t="n">
        <v>0</v>
      </c>
      <c r="K662" t="n">
        <v>0</v>
      </c>
      <c r="L662" t="n">
        <v>0</v>
      </c>
      <c r="M662" t="n">
        <v>0</v>
      </c>
      <c r="N662" t="n">
        <v>0</v>
      </c>
      <c r="O662" t="n">
        <v>0</v>
      </c>
      <c r="P662" t="n">
        <v>0</v>
      </c>
      <c r="Q662" t="n">
        <v>0</v>
      </c>
      <c r="R662" s="2" t="inlineStr"/>
    </row>
    <row r="663" ht="15" customHeight="1">
      <c r="A663" t="inlineStr">
        <is>
          <t>A 34588-2024</t>
        </is>
      </c>
      <c r="B663" s="1" t="n">
        <v>45526.3865625</v>
      </c>
      <c r="C663" s="1" t="n">
        <v>45935</v>
      </c>
      <c r="D663" t="inlineStr">
        <is>
          <t>KALMAR LÄN</t>
        </is>
      </c>
      <c r="E663" t="inlineStr">
        <is>
          <t>VIMMERBY</t>
        </is>
      </c>
      <c r="F663" t="inlineStr">
        <is>
          <t>Övriga Aktiebolag</t>
        </is>
      </c>
      <c r="G663" t="n">
        <v>3.3</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45935</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33161-2024</t>
        </is>
      </c>
      <c r="B665" s="1" t="n">
        <v>45518.40657407408</v>
      </c>
      <c r="C665" s="1" t="n">
        <v>45935</v>
      </c>
      <c r="D665" t="inlineStr">
        <is>
          <t>KALMAR LÄN</t>
        </is>
      </c>
      <c r="E665" t="inlineStr">
        <is>
          <t>VIMMERBY</t>
        </is>
      </c>
      <c r="G665" t="n">
        <v>4.7</v>
      </c>
      <c r="H665" t="n">
        <v>0</v>
      </c>
      <c r="I665" t="n">
        <v>0</v>
      </c>
      <c r="J665" t="n">
        <v>0</v>
      </c>
      <c r="K665" t="n">
        <v>0</v>
      </c>
      <c r="L665" t="n">
        <v>0</v>
      </c>
      <c r="M665" t="n">
        <v>0</v>
      </c>
      <c r="N665" t="n">
        <v>0</v>
      </c>
      <c r="O665" t="n">
        <v>0</v>
      </c>
      <c r="P665" t="n">
        <v>0</v>
      </c>
      <c r="Q665" t="n">
        <v>0</v>
      </c>
      <c r="R665" s="2" t="inlineStr"/>
    </row>
    <row r="666" ht="15" customHeight="1">
      <c r="A666" t="inlineStr">
        <is>
          <t>A 14359-2025</t>
        </is>
      </c>
      <c r="B666" s="1" t="n">
        <v>45741.37270833334</v>
      </c>
      <c r="C666" s="1" t="n">
        <v>45935</v>
      </c>
      <c r="D666" t="inlineStr">
        <is>
          <t>KALMAR LÄN</t>
        </is>
      </c>
      <c r="E666" t="inlineStr">
        <is>
          <t>VIMMERBY</t>
        </is>
      </c>
      <c r="G666" t="n">
        <v>2</v>
      </c>
      <c r="H666" t="n">
        <v>0</v>
      </c>
      <c r="I666" t="n">
        <v>0</v>
      </c>
      <c r="J666" t="n">
        <v>0</v>
      </c>
      <c r="K666" t="n">
        <v>0</v>
      </c>
      <c r="L666" t="n">
        <v>0</v>
      </c>
      <c r="M666" t="n">
        <v>0</v>
      </c>
      <c r="N666" t="n">
        <v>0</v>
      </c>
      <c r="O666" t="n">
        <v>0</v>
      </c>
      <c r="P666" t="n">
        <v>0</v>
      </c>
      <c r="Q666" t="n">
        <v>0</v>
      </c>
      <c r="R666" s="2" t="inlineStr"/>
    </row>
    <row r="667" ht="15" customHeight="1">
      <c r="A667" t="inlineStr">
        <is>
          <t>A 58724-2024</t>
        </is>
      </c>
      <c r="B667" s="1" t="n">
        <v>45635.66409722222</v>
      </c>
      <c r="C667" s="1" t="n">
        <v>45935</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25792-2025</t>
        </is>
      </c>
      <c r="B668" s="1" t="n">
        <v>45804.39141203704</v>
      </c>
      <c r="C668" s="1" t="n">
        <v>45935</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26039-2025</t>
        </is>
      </c>
      <c r="B669" s="1" t="n">
        <v>45804.6953587963</v>
      </c>
      <c r="C669" s="1" t="n">
        <v>45935</v>
      </c>
      <c r="D669" t="inlineStr">
        <is>
          <t>KALMAR LÄN</t>
        </is>
      </c>
      <c r="E669" t="inlineStr">
        <is>
          <t>VIMMERBY</t>
        </is>
      </c>
      <c r="F669" t="inlineStr">
        <is>
          <t>Sveaskog</t>
        </is>
      </c>
      <c r="G669" t="n">
        <v>5.2</v>
      </c>
      <c r="H669" t="n">
        <v>0</v>
      </c>
      <c r="I669" t="n">
        <v>0</v>
      </c>
      <c r="J669" t="n">
        <v>0</v>
      </c>
      <c r="K669" t="n">
        <v>0</v>
      </c>
      <c r="L669" t="n">
        <v>0</v>
      </c>
      <c r="M669" t="n">
        <v>0</v>
      </c>
      <c r="N669" t="n">
        <v>0</v>
      </c>
      <c r="O669" t="n">
        <v>0</v>
      </c>
      <c r="P669" t="n">
        <v>0</v>
      </c>
      <c r="Q669" t="n">
        <v>0</v>
      </c>
      <c r="R669" s="2" t="inlineStr"/>
    </row>
    <row r="670" ht="15" customHeight="1">
      <c r="A670" t="inlineStr">
        <is>
          <t>A 7075-2021</t>
        </is>
      </c>
      <c r="B670" s="1" t="n">
        <v>44237</v>
      </c>
      <c r="C670" s="1" t="n">
        <v>45935</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55605-2024</t>
        </is>
      </c>
      <c r="B671" s="1" t="n">
        <v>45622</v>
      </c>
      <c r="C671" s="1" t="n">
        <v>45935</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44464-2024</t>
        </is>
      </c>
      <c r="B672" s="1" t="n">
        <v>45574.35809027778</v>
      </c>
      <c r="C672" s="1" t="n">
        <v>45935</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36049-2024</t>
        </is>
      </c>
      <c r="B673" s="1" t="n">
        <v>45533.61996527778</v>
      </c>
      <c r="C673" s="1" t="n">
        <v>45935</v>
      </c>
      <c r="D673" t="inlineStr">
        <is>
          <t>KALMAR LÄN</t>
        </is>
      </c>
      <c r="E673" t="inlineStr">
        <is>
          <t>VIMMERBY</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4297-2022</t>
        </is>
      </c>
      <c r="B674" s="1" t="n">
        <v>44588</v>
      </c>
      <c r="C674" s="1" t="n">
        <v>45935</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26046-2025</t>
        </is>
      </c>
      <c r="B675" s="1" t="n">
        <v>45804.708125</v>
      </c>
      <c r="C675" s="1" t="n">
        <v>45935</v>
      </c>
      <c r="D675" t="inlineStr">
        <is>
          <t>KALMAR LÄN</t>
        </is>
      </c>
      <c r="E675" t="inlineStr">
        <is>
          <t>VIMMERBY</t>
        </is>
      </c>
      <c r="F675" t="inlineStr">
        <is>
          <t>Sveaskog</t>
        </is>
      </c>
      <c r="G675" t="n">
        <v>5.1</v>
      </c>
      <c r="H675" t="n">
        <v>0</v>
      </c>
      <c r="I675" t="n">
        <v>0</v>
      </c>
      <c r="J675" t="n">
        <v>0</v>
      </c>
      <c r="K675" t="n">
        <v>0</v>
      </c>
      <c r="L675" t="n">
        <v>0</v>
      </c>
      <c r="M675" t="n">
        <v>0</v>
      </c>
      <c r="N675" t="n">
        <v>0</v>
      </c>
      <c r="O675" t="n">
        <v>0</v>
      </c>
      <c r="P675" t="n">
        <v>0</v>
      </c>
      <c r="Q675" t="n">
        <v>0</v>
      </c>
      <c r="R675" s="2" t="inlineStr"/>
    </row>
    <row r="676" ht="15" customHeight="1">
      <c r="A676" t="inlineStr">
        <is>
          <t>A 46399-2024</t>
        </is>
      </c>
      <c r="B676" s="1" t="n">
        <v>45582.41200231481</v>
      </c>
      <c r="C676" s="1" t="n">
        <v>45935</v>
      </c>
      <c r="D676" t="inlineStr">
        <is>
          <t>KALMAR LÄN</t>
        </is>
      </c>
      <c r="E676" t="inlineStr">
        <is>
          <t>VIMMERBY</t>
        </is>
      </c>
      <c r="G676" t="n">
        <v>4.6</v>
      </c>
      <c r="H676" t="n">
        <v>0</v>
      </c>
      <c r="I676" t="n">
        <v>0</v>
      </c>
      <c r="J676" t="n">
        <v>0</v>
      </c>
      <c r="K676" t="n">
        <v>0</v>
      </c>
      <c r="L676" t="n">
        <v>0</v>
      </c>
      <c r="M676" t="n">
        <v>0</v>
      </c>
      <c r="N676" t="n">
        <v>0</v>
      </c>
      <c r="O676" t="n">
        <v>0</v>
      </c>
      <c r="P676" t="n">
        <v>0</v>
      </c>
      <c r="Q676" t="n">
        <v>0</v>
      </c>
      <c r="R676" s="2" t="inlineStr"/>
    </row>
    <row r="677" ht="15" customHeight="1">
      <c r="A677" t="inlineStr">
        <is>
          <t>A 26124-2025</t>
        </is>
      </c>
      <c r="B677" s="1" t="n">
        <v>45805.39247685186</v>
      </c>
      <c r="C677" s="1" t="n">
        <v>45935</v>
      </c>
      <c r="D677" t="inlineStr">
        <is>
          <t>KALMAR LÄN</t>
        </is>
      </c>
      <c r="E677" t="inlineStr">
        <is>
          <t>VIMMERBY</t>
        </is>
      </c>
      <c r="G677" t="n">
        <v>6.6</v>
      </c>
      <c r="H677" t="n">
        <v>0</v>
      </c>
      <c r="I677" t="n">
        <v>0</v>
      </c>
      <c r="J677" t="n">
        <v>0</v>
      </c>
      <c r="K677" t="n">
        <v>0</v>
      </c>
      <c r="L677" t="n">
        <v>0</v>
      </c>
      <c r="M677" t="n">
        <v>0</v>
      </c>
      <c r="N677" t="n">
        <v>0</v>
      </c>
      <c r="O677" t="n">
        <v>0</v>
      </c>
      <c r="P677" t="n">
        <v>0</v>
      </c>
      <c r="Q677" t="n">
        <v>0</v>
      </c>
      <c r="R677" s="2" t="inlineStr"/>
    </row>
    <row r="678" ht="15" customHeight="1">
      <c r="A678" t="inlineStr">
        <is>
          <t>A 26207-2025</t>
        </is>
      </c>
      <c r="B678" s="1" t="n">
        <v>45805.52983796296</v>
      </c>
      <c r="C678" s="1" t="n">
        <v>45935</v>
      </c>
      <c r="D678" t="inlineStr">
        <is>
          <t>KALMAR LÄN</t>
        </is>
      </c>
      <c r="E678" t="inlineStr">
        <is>
          <t>VIMMERBY</t>
        </is>
      </c>
      <c r="G678" t="n">
        <v>0.7</v>
      </c>
      <c r="H678" t="n">
        <v>0</v>
      </c>
      <c r="I678" t="n">
        <v>0</v>
      </c>
      <c r="J678" t="n">
        <v>0</v>
      </c>
      <c r="K678" t="n">
        <v>0</v>
      </c>
      <c r="L678" t="n">
        <v>0</v>
      </c>
      <c r="M678" t="n">
        <v>0</v>
      </c>
      <c r="N678" t="n">
        <v>0</v>
      </c>
      <c r="O678" t="n">
        <v>0</v>
      </c>
      <c r="P678" t="n">
        <v>0</v>
      </c>
      <c r="Q678" t="n">
        <v>0</v>
      </c>
      <c r="R678" s="2" t="inlineStr"/>
    </row>
    <row r="679" ht="15" customHeight="1">
      <c r="A679" t="inlineStr">
        <is>
          <t>A 25830-2025</t>
        </is>
      </c>
      <c r="B679" s="1" t="n">
        <v>45804.44519675926</v>
      </c>
      <c r="C679" s="1" t="n">
        <v>45935</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13532-2025</t>
        </is>
      </c>
      <c r="B680" s="1" t="n">
        <v>45736.50743055555</v>
      </c>
      <c r="C680" s="1" t="n">
        <v>45935</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26254-2025</t>
        </is>
      </c>
      <c r="B681" s="1" t="n">
        <v>45805</v>
      </c>
      <c r="C681" s="1" t="n">
        <v>45935</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44833.60123842592</v>
      </c>
      <c r="C682" s="1" t="n">
        <v>45935</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12596-2021</t>
        </is>
      </c>
      <c r="B683" s="1" t="n">
        <v>44270.39765046296</v>
      </c>
      <c r="C683" s="1" t="n">
        <v>45935</v>
      </c>
      <c r="D683" t="inlineStr">
        <is>
          <t>KALMAR LÄN</t>
        </is>
      </c>
      <c r="E683" t="inlineStr">
        <is>
          <t>VIMMERBY</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57799-2022</t>
        </is>
      </c>
      <c r="B684" s="1" t="n">
        <v>44897</v>
      </c>
      <c r="C684" s="1" t="n">
        <v>45935</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30921-2024</t>
        </is>
      </c>
      <c r="B685" s="1" t="n">
        <v>45498</v>
      </c>
      <c r="C685" s="1" t="n">
        <v>45935</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14137-2023</t>
        </is>
      </c>
      <c r="B686" s="1" t="n">
        <v>45009.4671875</v>
      </c>
      <c r="C686" s="1" t="n">
        <v>45935</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11152-2023</t>
        </is>
      </c>
      <c r="B687" s="1" t="n">
        <v>44992</v>
      </c>
      <c r="C687" s="1" t="n">
        <v>45935</v>
      </c>
      <c r="D687" t="inlineStr">
        <is>
          <t>KALMAR LÄN</t>
        </is>
      </c>
      <c r="E687" t="inlineStr">
        <is>
          <t>VIMMERBY</t>
        </is>
      </c>
      <c r="G687" t="n">
        <v>10.6</v>
      </c>
      <c r="H687" t="n">
        <v>0</v>
      </c>
      <c r="I687" t="n">
        <v>0</v>
      </c>
      <c r="J687" t="n">
        <v>0</v>
      </c>
      <c r="K687" t="n">
        <v>0</v>
      </c>
      <c r="L687" t="n">
        <v>0</v>
      </c>
      <c r="M687" t="n">
        <v>0</v>
      </c>
      <c r="N687" t="n">
        <v>0</v>
      </c>
      <c r="O687" t="n">
        <v>0</v>
      </c>
      <c r="P687" t="n">
        <v>0</v>
      </c>
      <c r="Q687" t="n">
        <v>0</v>
      </c>
      <c r="R687" s="2" t="inlineStr"/>
    </row>
    <row r="688" ht="15" customHeight="1">
      <c r="A688" t="inlineStr">
        <is>
          <t>A 27718-2025</t>
        </is>
      </c>
      <c r="B688" s="1" t="n">
        <v>45814.38221064815</v>
      </c>
      <c r="C688" s="1" t="n">
        <v>45935</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12499-2023</t>
        </is>
      </c>
      <c r="B689" s="1" t="n">
        <v>44999.86172453704</v>
      </c>
      <c r="C689" s="1" t="n">
        <v>45935</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12500-2023</t>
        </is>
      </c>
      <c r="B690" s="1" t="n">
        <v>44999.8625</v>
      </c>
      <c r="C690" s="1" t="n">
        <v>45935</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35846-2023</t>
        </is>
      </c>
      <c r="B691" s="1" t="n">
        <v>45148</v>
      </c>
      <c r="C691" s="1" t="n">
        <v>45935</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49039-2021</t>
        </is>
      </c>
      <c r="B692" s="1" t="n">
        <v>44453.56578703703</v>
      </c>
      <c r="C692" s="1" t="n">
        <v>45935</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27719-2025</t>
        </is>
      </c>
      <c r="B693" s="1" t="n">
        <v>45814.3865625</v>
      </c>
      <c r="C693" s="1" t="n">
        <v>45935</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28286-2025</t>
        </is>
      </c>
      <c r="B694" s="1" t="n">
        <v>45818.58993055556</v>
      </c>
      <c r="C694" s="1" t="n">
        <v>45935</v>
      </c>
      <c r="D694" t="inlineStr">
        <is>
          <t>KALMAR LÄN</t>
        </is>
      </c>
      <c r="E694" t="inlineStr">
        <is>
          <t>VIMMERBY</t>
        </is>
      </c>
      <c r="F694" t="inlineStr">
        <is>
          <t>Sveaskog</t>
        </is>
      </c>
      <c r="G694" t="n">
        <v>8</v>
      </c>
      <c r="H694" t="n">
        <v>0</v>
      </c>
      <c r="I694" t="n">
        <v>0</v>
      </c>
      <c r="J694" t="n">
        <v>0</v>
      </c>
      <c r="K694" t="n">
        <v>0</v>
      </c>
      <c r="L694" t="n">
        <v>0</v>
      </c>
      <c r="M694" t="n">
        <v>0</v>
      </c>
      <c r="N694" t="n">
        <v>0</v>
      </c>
      <c r="O694" t="n">
        <v>0</v>
      </c>
      <c r="P694" t="n">
        <v>0</v>
      </c>
      <c r="Q694" t="n">
        <v>0</v>
      </c>
      <c r="R694" s="2" t="inlineStr"/>
    </row>
    <row r="695" ht="15" customHeight="1">
      <c r="A695" t="inlineStr">
        <is>
          <t>A 28282-2025</t>
        </is>
      </c>
      <c r="B695" s="1" t="n">
        <v>45818.58769675926</v>
      </c>
      <c r="C695" s="1" t="n">
        <v>45935</v>
      </c>
      <c r="D695" t="inlineStr">
        <is>
          <t>KALMAR LÄN</t>
        </is>
      </c>
      <c r="E695" t="inlineStr">
        <is>
          <t>VIMMERBY</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28294-2025</t>
        </is>
      </c>
      <c r="B696" s="1" t="n">
        <v>45818.595625</v>
      </c>
      <c r="C696" s="1" t="n">
        <v>45935</v>
      </c>
      <c r="D696" t="inlineStr">
        <is>
          <t>KALMAR LÄN</t>
        </is>
      </c>
      <c r="E696" t="inlineStr">
        <is>
          <t>VIMMERBY</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28290-2025</t>
        </is>
      </c>
      <c r="B697" s="1" t="n">
        <v>45818.59261574074</v>
      </c>
      <c r="C697" s="1" t="n">
        <v>45935</v>
      </c>
      <c r="D697" t="inlineStr">
        <is>
          <t>KALMAR LÄN</t>
        </is>
      </c>
      <c r="E697" t="inlineStr">
        <is>
          <t>VIMMERBY</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28280-2025</t>
        </is>
      </c>
      <c r="B698" s="1" t="n">
        <v>45818.5862037037</v>
      </c>
      <c r="C698" s="1" t="n">
        <v>45935</v>
      </c>
      <c r="D698" t="inlineStr">
        <is>
          <t>KALMAR LÄN</t>
        </is>
      </c>
      <c r="E698" t="inlineStr">
        <is>
          <t>VIMMERBY</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46224-2024</t>
        </is>
      </c>
      <c r="B699" s="1" t="n">
        <v>45581.57016203704</v>
      </c>
      <c r="C699" s="1" t="n">
        <v>45935</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46238-2024</t>
        </is>
      </c>
      <c r="B700" s="1" t="n">
        <v>45581.58418981481</v>
      </c>
      <c r="C700" s="1" t="n">
        <v>45935</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30633-2024</t>
        </is>
      </c>
      <c r="B701" s="1" t="n">
        <v>45495</v>
      </c>
      <c r="C701" s="1" t="n">
        <v>45935</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28620-2025</t>
        </is>
      </c>
      <c r="B702" s="1" t="n">
        <v>45819.61060185185</v>
      </c>
      <c r="C702" s="1" t="n">
        <v>45935</v>
      </c>
      <c r="D702" t="inlineStr">
        <is>
          <t>KALMAR LÄN</t>
        </is>
      </c>
      <c r="E702" t="inlineStr">
        <is>
          <t>VIMMERBY</t>
        </is>
      </c>
      <c r="G702" t="n">
        <v>5.6</v>
      </c>
      <c r="H702" t="n">
        <v>0</v>
      </c>
      <c r="I702" t="n">
        <v>0</v>
      </c>
      <c r="J702" t="n">
        <v>0</v>
      </c>
      <c r="K702" t="n">
        <v>0</v>
      </c>
      <c r="L702" t="n">
        <v>0</v>
      </c>
      <c r="M702" t="n">
        <v>0</v>
      </c>
      <c r="N702" t="n">
        <v>0</v>
      </c>
      <c r="O702" t="n">
        <v>0</v>
      </c>
      <c r="P702" t="n">
        <v>0</v>
      </c>
      <c r="Q702" t="n">
        <v>0</v>
      </c>
      <c r="R702" s="2" t="inlineStr"/>
    </row>
    <row r="703" ht="15" customHeight="1">
      <c r="A703" t="inlineStr">
        <is>
          <t>A 54838-2024</t>
        </is>
      </c>
      <c r="B703" s="1" t="n">
        <v>45618.56787037037</v>
      </c>
      <c r="C703" s="1" t="n">
        <v>45935</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6405-2025</t>
        </is>
      </c>
      <c r="B704" s="1" t="n">
        <v>45699.45392361111</v>
      </c>
      <c r="C704" s="1" t="n">
        <v>45935</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28712-2025</t>
        </is>
      </c>
      <c r="B705" s="1" t="n">
        <v>45820.33708333333</v>
      </c>
      <c r="C705" s="1" t="n">
        <v>45935</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28714-2025</t>
        </is>
      </c>
      <c r="B706" s="1" t="n">
        <v>45820.34128472222</v>
      </c>
      <c r="C706" s="1" t="n">
        <v>45935</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54917-2020</t>
        </is>
      </c>
      <c r="B707" s="1" t="n">
        <v>44127</v>
      </c>
      <c r="C707" s="1" t="n">
        <v>45935</v>
      </c>
      <c r="D707" t="inlineStr">
        <is>
          <t>KALMAR LÄN</t>
        </is>
      </c>
      <c r="E707" t="inlineStr">
        <is>
          <t>VIMMERBY</t>
        </is>
      </c>
      <c r="G707" t="n">
        <v>9.5</v>
      </c>
      <c r="H707" t="n">
        <v>0</v>
      </c>
      <c r="I707" t="n">
        <v>0</v>
      </c>
      <c r="J707" t="n">
        <v>0</v>
      </c>
      <c r="K707" t="n">
        <v>0</v>
      </c>
      <c r="L707" t="n">
        <v>0</v>
      </c>
      <c r="M707" t="n">
        <v>0</v>
      </c>
      <c r="N707" t="n">
        <v>0</v>
      </c>
      <c r="O707" t="n">
        <v>0</v>
      </c>
      <c r="P707" t="n">
        <v>0</v>
      </c>
      <c r="Q707" t="n">
        <v>0</v>
      </c>
      <c r="R707" s="2" t="inlineStr"/>
    </row>
    <row r="708" ht="15" customHeight="1">
      <c r="A708" t="inlineStr">
        <is>
          <t>A 28713-2025</t>
        </is>
      </c>
      <c r="B708" s="1" t="n">
        <v>45820.33930555556</v>
      </c>
      <c r="C708" s="1" t="n">
        <v>45935</v>
      </c>
      <c r="D708" t="inlineStr">
        <is>
          <t>KALMAR LÄN</t>
        </is>
      </c>
      <c r="E708" t="inlineStr">
        <is>
          <t>VIMMERBY</t>
        </is>
      </c>
      <c r="G708" t="n">
        <v>2.3</v>
      </c>
      <c r="H708" t="n">
        <v>0</v>
      </c>
      <c r="I708" t="n">
        <v>0</v>
      </c>
      <c r="J708" t="n">
        <v>0</v>
      </c>
      <c r="K708" t="n">
        <v>0</v>
      </c>
      <c r="L708" t="n">
        <v>0</v>
      </c>
      <c r="M708" t="n">
        <v>0</v>
      </c>
      <c r="N708" t="n">
        <v>0</v>
      </c>
      <c r="O708" t="n">
        <v>0</v>
      </c>
      <c r="P708" t="n">
        <v>0</v>
      </c>
      <c r="Q708" t="n">
        <v>0</v>
      </c>
      <c r="R708" s="2" t="inlineStr"/>
    </row>
    <row r="709" ht="15" customHeight="1">
      <c r="A709" t="inlineStr">
        <is>
          <t>A 60437-2023</t>
        </is>
      </c>
      <c r="B709" s="1" t="n">
        <v>45259.51916666667</v>
      </c>
      <c r="C709" s="1" t="n">
        <v>45935</v>
      </c>
      <c r="D709" t="inlineStr">
        <is>
          <t>KALMAR LÄN</t>
        </is>
      </c>
      <c r="E709" t="inlineStr">
        <is>
          <t>VIMMERBY</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60438-2023</t>
        </is>
      </c>
      <c r="B710" s="1" t="n">
        <v>45259.52020833334</v>
      </c>
      <c r="C710" s="1" t="n">
        <v>45935</v>
      </c>
      <c r="D710" t="inlineStr">
        <is>
          <t>KALMAR LÄN</t>
        </is>
      </c>
      <c r="E710" t="inlineStr">
        <is>
          <t>VIMMERBY</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42165-2024</t>
        </is>
      </c>
      <c r="B711" s="1" t="n">
        <v>45562.46342592593</v>
      </c>
      <c r="C711" s="1" t="n">
        <v>45935</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29737-2025</t>
        </is>
      </c>
      <c r="B712" s="1" t="n">
        <v>45825.58672453704</v>
      </c>
      <c r="C712" s="1" t="n">
        <v>45935</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45935</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29727-2025</t>
        </is>
      </c>
      <c r="B714" s="1" t="n">
        <v>45825.5796875</v>
      </c>
      <c r="C714" s="1" t="n">
        <v>45935</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66022-2021</t>
        </is>
      </c>
      <c r="B715" s="1" t="n">
        <v>44517</v>
      </c>
      <c r="C715" s="1" t="n">
        <v>45935</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35895-2024</t>
        </is>
      </c>
      <c r="B716" s="1" t="n">
        <v>45533.38870370371</v>
      </c>
      <c r="C716" s="1" t="n">
        <v>45935</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11073-2023</t>
        </is>
      </c>
      <c r="B717" s="1" t="n">
        <v>44992</v>
      </c>
      <c r="C717" s="1" t="n">
        <v>45935</v>
      </c>
      <c r="D717" t="inlineStr">
        <is>
          <t>KALMAR LÄN</t>
        </is>
      </c>
      <c r="E717" t="inlineStr">
        <is>
          <t>VIMMERBY</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29724-2025</t>
        </is>
      </c>
      <c r="B718" s="1" t="n">
        <v>45825.57680555555</v>
      </c>
      <c r="C718" s="1" t="n">
        <v>45935</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17-2025</t>
        </is>
      </c>
      <c r="B719" s="1" t="n">
        <v>45658.78774305555</v>
      </c>
      <c r="C719" s="1" t="n">
        <v>45935</v>
      </c>
      <c r="D719" t="inlineStr">
        <is>
          <t>KALMAR LÄN</t>
        </is>
      </c>
      <c r="E719" t="inlineStr">
        <is>
          <t>VIMMERBY</t>
        </is>
      </c>
      <c r="G719" t="n">
        <v>4.4</v>
      </c>
      <c r="H719" t="n">
        <v>0</v>
      </c>
      <c r="I719" t="n">
        <v>0</v>
      </c>
      <c r="J719" t="n">
        <v>0</v>
      </c>
      <c r="K719" t="n">
        <v>0</v>
      </c>
      <c r="L719" t="n">
        <v>0</v>
      </c>
      <c r="M719" t="n">
        <v>0</v>
      </c>
      <c r="N719" t="n">
        <v>0</v>
      </c>
      <c r="O719" t="n">
        <v>0</v>
      </c>
      <c r="P719" t="n">
        <v>0</v>
      </c>
      <c r="Q719" t="n">
        <v>0</v>
      </c>
      <c r="R719" s="2" t="inlineStr"/>
    </row>
    <row r="720" ht="15" customHeight="1">
      <c r="A720" t="inlineStr">
        <is>
          <t>A 32655-2023</t>
        </is>
      </c>
      <c r="B720" s="1" t="n">
        <v>45121.61318287037</v>
      </c>
      <c r="C720" s="1" t="n">
        <v>45935</v>
      </c>
      <c r="D720" t="inlineStr">
        <is>
          <t>KALMAR LÄN</t>
        </is>
      </c>
      <c r="E720" t="inlineStr">
        <is>
          <t>VIMMERBY</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63541-2023</t>
        </is>
      </c>
      <c r="B721" s="1" t="n">
        <v>45275.32266203704</v>
      </c>
      <c r="C721" s="1" t="n">
        <v>45935</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30293-2025</t>
        </is>
      </c>
      <c r="B722" s="1" t="n">
        <v>45827</v>
      </c>
      <c r="C722" s="1" t="n">
        <v>45935</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30290-2025</t>
        </is>
      </c>
      <c r="B723" s="1" t="n">
        <v>45827</v>
      </c>
      <c r="C723" s="1" t="n">
        <v>45935</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28034-2022</t>
        </is>
      </c>
      <c r="B724" s="1" t="n">
        <v>44746.38834490741</v>
      </c>
      <c r="C724" s="1" t="n">
        <v>45935</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5938-2022</t>
        </is>
      </c>
      <c r="B725" s="1" t="n">
        <v>44598</v>
      </c>
      <c r="C725" s="1" t="n">
        <v>45935</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30850-2025</t>
        </is>
      </c>
      <c r="B726" s="1" t="n">
        <v>45831</v>
      </c>
      <c r="C726" s="1" t="n">
        <v>45935</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24283-2023</t>
        </is>
      </c>
      <c r="B727" s="1" t="n">
        <v>45079.87827546296</v>
      </c>
      <c r="C727" s="1" t="n">
        <v>45935</v>
      </c>
      <c r="D727" t="inlineStr">
        <is>
          <t>KALMAR LÄN</t>
        </is>
      </c>
      <c r="E727" t="inlineStr">
        <is>
          <t>VIMMERBY</t>
        </is>
      </c>
      <c r="G727" t="n">
        <v>2</v>
      </c>
      <c r="H727" t="n">
        <v>0</v>
      </c>
      <c r="I727" t="n">
        <v>0</v>
      </c>
      <c r="J727" t="n">
        <v>0</v>
      </c>
      <c r="K727" t="n">
        <v>0</v>
      </c>
      <c r="L727" t="n">
        <v>0</v>
      </c>
      <c r="M727" t="n">
        <v>0</v>
      </c>
      <c r="N727" t="n">
        <v>0</v>
      </c>
      <c r="O727" t="n">
        <v>0</v>
      </c>
      <c r="P727" t="n">
        <v>0</v>
      </c>
      <c r="Q727" t="n">
        <v>0</v>
      </c>
      <c r="R727" s="2" t="inlineStr"/>
    </row>
    <row r="728" ht="15" customHeight="1">
      <c r="A728" t="inlineStr">
        <is>
          <t>A 2462-2022</t>
        </is>
      </c>
      <c r="B728" s="1" t="n">
        <v>44579.62225694444</v>
      </c>
      <c r="C728" s="1" t="n">
        <v>45935</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60228-2021</t>
        </is>
      </c>
      <c r="B729" s="1" t="n">
        <v>44495</v>
      </c>
      <c r="C729" s="1" t="n">
        <v>45935</v>
      </c>
      <c r="D729" t="inlineStr">
        <is>
          <t>KALMAR LÄN</t>
        </is>
      </c>
      <c r="E729" t="inlineStr">
        <is>
          <t>VIMMERBY</t>
        </is>
      </c>
      <c r="G729" t="n">
        <v>4.1</v>
      </c>
      <c r="H729" t="n">
        <v>0</v>
      </c>
      <c r="I729" t="n">
        <v>0</v>
      </c>
      <c r="J729" t="n">
        <v>0</v>
      </c>
      <c r="K729" t="n">
        <v>0</v>
      </c>
      <c r="L729" t="n">
        <v>0</v>
      </c>
      <c r="M729" t="n">
        <v>0</v>
      </c>
      <c r="N729" t="n">
        <v>0</v>
      </c>
      <c r="O729" t="n">
        <v>0</v>
      </c>
      <c r="P729" t="n">
        <v>0</v>
      </c>
      <c r="Q729" t="n">
        <v>0</v>
      </c>
      <c r="R729" s="2" t="inlineStr"/>
    </row>
    <row r="730" ht="15" customHeight="1">
      <c r="A730" t="inlineStr">
        <is>
          <t>A 31552-2025</t>
        </is>
      </c>
      <c r="B730" s="1" t="n">
        <v>45833.64563657407</v>
      </c>
      <c r="C730" s="1" t="n">
        <v>45935</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31555-2025</t>
        </is>
      </c>
      <c r="B731" s="1" t="n">
        <v>45833.64814814815</v>
      </c>
      <c r="C731" s="1" t="n">
        <v>45935</v>
      </c>
      <c r="D731" t="inlineStr">
        <is>
          <t>KALMAR LÄN</t>
        </is>
      </c>
      <c r="E731" t="inlineStr">
        <is>
          <t>VIMMERBY</t>
        </is>
      </c>
      <c r="G731" t="n">
        <v>1.8</v>
      </c>
      <c r="H731" t="n">
        <v>0</v>
      </c>
      <c r="I731" t="n">
        <v>0</v>
      </c>
      <c r="J731" t="n">
        <v>0</v>
      </c>
      <c r="K731" t="n">
        <v>0</v>
      </c>
      <c r="L731" t="n">
        <v>0</v>
      </c>
      <c r="M731" t="n">
        <v>0</v>
      </c>
      <c r="N731" t="n">
        <v>0</v>
      </c>
      <c r="O731" t="n">
        <v>0</v>
      </c>
      <c r="P731" t="n">
        <v>0</v>
      </c>
      <c r="Q731" t="n">
        <v>0</v>
      </c>
      <c r="R731" s="2" t="inlineStr"/>
    </row>
    <row r="732" ht="15" customHeight="1">
      <c r="A732" t="inlineStr">
        <is>
          <t>A 25979-2023</t>
        </is>
      </c>
      <c r="B732" s="1" t="n">
        <v>45090.89653935185</v>
      </c>
      <c r="C732" s="1" t="n">
        <v>45935</v>
      </c>
      <c r="D732" t="inlineStr">
        <is>
          <t>KALMAR LÄN</t>
        </is>
      </c>
      <c r="E732" t="inlineStr">
        <is>
          <t>VIMMERBY</t>
        </is>
      </c>
      <c r="G732" t="n">
        <v>2</v>
      </c>
      <c r="H732" t="n">
        <v>0</v>
      </c>
      <c r="I732" t="n">
        <v>0</v>
      </c>
      <c r="J732" t="n">
        <v>0</v>
      </c>
      <c r="K732" t="n">
        <v>0</v>
      </c>
      <c r="L732" t="n">
        <v>0</v>
      </c>
      <c r="M732" t="n">
        <v>0</v>
      </c>
      <c r="N732" t="n">
        <v>0</v>
      </c>
      <c r="O732" t="n">
        <v>0</v>
      </c>
      <c r="P732" t="n">
        <v>0</v>
      </c>
      <c r="Q732" t="n">
        <v>0</v>
      </c>
      <c r="R732" s="2" t="inlineStr"/>
    </row>
    <row r="733" ht="15" customHeight="1">
      <c r="A733" t="inlineStr">
        <is>
          <t>A 25980-2023</t>
        </is>
      </c>
      <c r="B733" s="1" t="n">
        <v>45090.89880787037</v>
      </c>
      <c r="C733" s="1" t="n">
        <v>45935</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44638.55256944444</v>
      </c>
      <c r="C734" s="1" t="n">
        <v>45935</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6358-2022</t>
        </is>
      </c>
      <c r="B735" s="1" t="n">
        <v>44600</v>
      </c>
      <c r="C735" s="1" t="n">
        <v>45935</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30971-2025</t>
        </is>
      </c>
      <c r="B736" s="1" t="n">
        <v>45832.46146990741</v>
      </c>
      <c r="C736" s="1" t="n">
        <v>45935</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31551-2025</t>
        </is>
      </c>
      <c r="B737" s="1" t="n">
        <v>45833.64237268519</v>
      </c>
      <c r="C737" s="1" t="n">
        <v>45935</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30882-2025</t>
        </is>
      </c>
      <c r="B738" s="1" t="n">
        <v>45832.34540509259</v>
      </c>
      <c r="C738" s="1" t="n">
        <v>45935</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31872-2025</t>
        </is>
      </c>
      <c r="B739" s="1" t="n">
        <v>45834.65040509259</v>
      </c>
      <c r="C739" s="1" t="n">
        <v>45935</v>
      </c>
      <c r="D739" t="inlineStr">
        <is>
          <t>KALMAR LÄN</t>
        </is>
      </c>
      <c r="E739" t="inlineStr">
        <is>
          <t>VIMMERBY</t>
        </is>
      </c>
      <c r="F739" t="inlineStr">
        <is>
          <t>Sveaskog</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8559-2025</t>
        </is>
      </c>
      <c r="B740" s="1" t="n">
        <v>45709.62280092593</v>
      </c>
      <c r="C740" s="1" t="n">
        <v>45935</v>
      </c>
      <c r="D740" t="inlineStr">
        <is>
          <t>KALMAR LÄN</t>
        </is>
      </c>
      <c r="E740" t="inlineStr">
        <is>
          <t>VIMMERBY</t>
        </is>
      </c>
      <c r="G740" t="n">
        <v>8.9</v>
      </c>
      <c r="H740" t="n">
        <v>0</v>
      </c>
      <c r="I740" t="n">
        <v>0</v>
      </c>
      <c r="J740" t="n">
        <v>0</v>
      </c>
      <c r="K740" t="n">
        <v>0</v>
      </c>
      <c r="L740" t="n">
        <v>0</v>
      </c>
      <c r="M740" t="n">
        <v>0</v>
      </c>
      <c r="N740" t="n">
        <v>0</v>
      </c>
      <c r="O740" t="n">
        <v>0</v>
      </c>
      <c r="P740" t="n">
        <v>0</v>
      </c>
      <c r="Q740" t="n">
        <v>0</v>
      </c>
      <c r="R740" s="2" t="inlineStr"/>
    </row>
    <row r="741" ht="15" customHeight="1">
      <c r="A741" t="inlineStr">
        <is>
          <t>A 32064-2025</t>
        </is>
      </c>
      <c r="B741" s="1" t="n">
        <v>45835.44709490741</v>
      </c>
      <c r="C741" s="1" t="n">
        <v>45935</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32109-2025</t>
        </is>
      </c>
      <c r="B742" s="1" t="n">
        <v>45835.48267361111</v>
      </c>
      <c r="C742" s="1" t="n">
        <v>45935</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32113-2025</t>
        </is>
      </c>
      <c r="B743" s="1" t="n">
        <v>45835.48445601852</v>
      </c>
      <c r="C743" s="1" t="n">
        <v>45935</v>
      </c>
      <c r="D743" t="inlineStr">
        <is>
          <t>KALMAR LÄN</t>
        </is>
      </c>
      <c r="E743" t="inlineStr">
        <is>
          <t>VIMMERBY</t>
        </is>
      </c>
      <c r="G743" t="n">
        <v>3.5</v>
      </c>
      <c r="H743" t="n">
        <v>0</v>
      </c>
      <c r="I743" t="n">
        <v>0</v>
      </c>
      <c r="J743" t="n">
        <v>0</v>
      </c>
      <c r="K743" t="n">
        <v>0</v>
      </c>
      <c r="L743" t="n">
        <v>0</v>
      </c>
      <c r="M743" t="n">
        <v>0</v>
      </c>
      <c r="N743" t="n">
        <v>0</v>
      </c>
      <c r="O743" t="n">
        <v>0</v>
      </c>
      <c r="P743" t="n">
        <v>0</v>
      </c>
      <c r="Q743" t="n">
        <v>0</v>
      </c>
      <c r="R743" s="2" t="inlineStr"/>
    </row>
    <row r="744" ht="15" customHeight="1">
      <c r="A744" t="inlineStr">
        <is>
          <t>A 32116-2025</t>
        </is>
      </c>
      <c r="B744" s="1" t="n">
        <v>45835.48862268519</v>
      </c>
      <c r="C744" s="1" t="n">
        <v>45935</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31870-2025</t>
        </is>
      </c>
      <c r="B745" s="1" t="n">
        <v>45834.64667824074</v>
      </c>
      <c r="C745" s="1" t="n">
        <v>45935</v>
      </c>
      <c r="D745" t="inlineStr">
        <is>
          <t>KALMAR LÄN</t>
        </is>
      </c>
      <c r="E745" t="inlineStr">
        <is>
          <t>VIMMERBY</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32065-2025</t>
        </is>
      </c>
      <c r="B746" s="1" t="n">
        <v>45835.44732638889</v>
      </c>
      <c r="C746" s="1" t="n">
        <v>45935</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31987-2025</t>
        </is>
      </c>
      <c r="B747" s="1" t="n">
        <v>45835.36229166666</v>
      </c>
      <c r="C747" s="1" t="n">
        <v>45935</v>
      </c>
      <c r="D747" t="inlineStr">
        <is>
          <t>KALMAR LÄN</t>
        </is>
      </c>
      <c r="E747" t="inlineStr">
        <is>
          <t>VIMMERBY</t>
        </is>
      </c>
      <c r="F747" t="inlineStr">
        <is>
          <t>Kyrkan</t>
        </is>
      </c>
      <c r="G747" t="n">
        <v>1.2</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45935</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45935</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31876-2025</t>
        </is>
      </c>
      <c r="B750" s="1" t="n">
        <v>45834.65197916667</v>
      </c>
      <c r="C750" s="1" t="n">
        <v>45935</v>
      </c>
      <c r="D750" t="inlineStr">
        <is>
          <t>KALMAR LÄN</t>
        </is>
      </c>
      <c r="E750" t="inlineStr">
        <is>
          <t>VIMMERBY</t>
        </is>
      </c>
      <c r="F750" t="inlineStr">
        <is>
          <t>Sveaskog</t>
        </is>
      </c>
      <c r="G750" t="n">
        <v>3.3</v>
      </c>
      <c r="H750" t="n">
        <v>0</v>
      </c>
      <c r="I750" t="n">
        <v>0</v>
      </c>
      <c r="J750" t="n">
        <v>0</v>
      </c>
      <c r="K750" t="n">
        <v>0</v>
      </c>
      <c r="L750" t="n">
        <v>0</v>
      </c>
      <c r="M750" t="n">
        <v>0</v>
      </c>
      <c r="N750" t="n">
        <v>0</v>
      </c>
      <c r="O750" t="n">
        <v>0</v>
      </c>
      <c r="P750" t="n">
        <v>0</v>
      </c>
      <c r="Q750" t="n">
        <v>0</v>
      </c>
      <c r="R750" s="2" t="inlineStr"/>
    </row>
    <row r="751" ht="15" customHeight="1">
      <c r="A751" t="inlineStr">
        <is>
          <t>A 48373-2021</t>
        </is>
      </c>
      <c r="B751" s="1" t="n">
        <v>44451</v>
      </c>
      <c r="C751" s="1" t="n">
        <v>45935</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57256-2023</t>
        </is>
      </c>
      <c r="B752" s="1" t="n">
        <v>45245.5735300926</v>
      </c>
      <c r="C752" s="1" t="n">
        <v>45935</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17482-2024</t>
        </is>
      </c>
      <c r="B753" s="1" t="n">
        <v>45415.47848379629</v>
      </c>
      <c r="C753" s="1" t="n">
        <v>45935</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32380-2025</t>
        </is>
      </c>
      <c r="B754" s="1" t="n">
        <v>45837.77701388889</v>
      </c>
      <c r="C754" s="1" t="n">
        <v>45935</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33186-2025</t>
        </is>
      </c>
      <c r="B755" s="1" t="n">
        <v>45840.59474537037</v>
      </c>
      <c r="C755" s="1" t="n">
        <v>45935</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33695-2025</t>
        </is>
      </c>
      <c r="B756" s="1" t="n">
        <v>45841.70569444444</v>
      </c>
      <c r="C756" s="1" t="n">
        <v>45935</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33698-2025</t>
        </is>
      </c>
      <c r="B757" s="1" t="n">
        <v>45841.70868055556</v>
      </c>
      <c r="C757" s="1" t="n">
        <v>45935</v>
      </c>
      <c r="D757" t="inlineStr">
        <is>
          <t>KALMAR LÄN</t>
        </is>
      </c>
      <c r="E757" t="inlineStr">
        <is>
          <t>VIMMERBY</t>
        </is>
      </c>
      <c r="G757" t="n">
        <v>3.7</v>
      </c>
      <c r="H757" t="n">
        <v>0</v>
      </c>
      <c r="I757" t="n">
        <v>0</v>
      </c>
      <c r="J757" t="n">
        <v>0</v>
      </c>
      <c r="K757" t="n">
        <v>0</v>
      </c>
      <c r="L757" t="n">
        <v>0</v>
      </c>
      <c r="M757" t="n">
        <v>0</v>
      </c>
      <c r="N757" t="n">
        <v>0</v>
      </c>
      <c r="O757" t="n">
        <v>0</v>
      </c>
      <c r="P757" t="n">
        <v>0</v>
      </c>
      <c r="Q757" t="n">
        <v>0</v>
      </c>
      <c r="R757" s="2" t="inlineStr"/>
    </row>
    <row r="758" ht="15" customHeight="1">
      <c r="A758" t="inlineStr">
        <is>
          <t>A 55123-2024</t>
        </is>
      </c>
      <c r="B758" s="1" t="n">
        <v>45621.46103009259</v>
      </c>
      <c r="C758" s="1" t="n">
        <v>45935</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30977-2025</t>
        </is>
      </c>
      <c r="B759" s="1" t="n">
        <v>45832.46649305556</v>
      </c>
      <c r="C759" s="1" t="n">
        <v>45935</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33696-2025</t>
        </is>
      </c>
      <c r="B760" s="1" t="n">
        <v>45841.7072337963</v>
      </c>
      <c r="C760" s="1" t="n">
        <v>45935</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49313-2022</t>
        </is>
      </c>
      <c r="B761" s="1" t="n">
        <v>44861.52505787037</v>
      </c>
      <c r="C761" s="1" t="n">
        <v>45935</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1987-2024</t>
        </is>
      </c>
      <c r="B762" s="1" t="n">
        <v>45308.61152777778</v>
      </c>
      <c r="C762" s="1" t="n">
        <v>45935</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ht="15" customHeight="1">
      <c r="A763" t="inlineStr">
        <is>
          <t>A 26956-2025</t>
        </is>
      </c>
      <c r="B763" s="1" t="n">
        <v>45811.45460648148</v>
      </c>
      <c r="C763" s="1" t="n">
        <v>45935</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21507-2023</t>
        </is>
      </c>
      <c r="B764" s="1" t="n">
        <v>45063.508125</v>
      </c>
      <c r="C764" s="1" t="n">
        <v>45935</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57189-2022</t>
        </is>
      </c>
      <c r="B765" s="1" t="n">
        <v>44895.62296296296</v>
      </c>
      <c r="C765" s="1" t="n">
        <v>45935</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48673-2021</t>
        </is>
      </c>
      <c r="B766" s="1" t="n">
        <v>44452</v>
      </c>
      <c r="C766" s="1" t="n">
        <v>45935</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14248-2023</t>
        </is>
      </c>
      <c r="B767" s="1" t="n">
        <v>45009</v>
      </c>
      <c r="C767" s="1" t="n">
        <v>45935</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12480-2024</t>
        </is>
      </c>
      <c r="B768" s="1" t="n">
        <v>45379</v>
      </c>
      <c r="C768" s="1" t="n">
        <v>45935</v>
      </c>
      <c r="D768" t="inlineStr">
        <is>
          <t>KALMAR LÄN</t>
        </is>
      </c>
      <c r="E768" t="inlineStr">
        <is>
          <t>VIMMERBY</t>
        </is>
      </c>
      <c r="G768" t="n">
        <v>2.8</v>
      </c>
      <c r="H768" t="n">
        <v>0</v>
      </c>
      <c r="I768" t="n">
        <v>0</v>
      </c>
      <c r="J768" t="n">
        <v>0</v>
      </c>
      <c r="K768" t="n">
        <v>0</v>
      </c>
      <c r="L768" t="n">
        <v>0</v>
      </c>
      <c r="M768" t="n">
        <v>0</v>
      </c>
      <c r="N768" t="n">
        <v>0</v>
      </c>
      <c r="O768" t="n">
        <v>0</v>
      </c>
      <c r="P768" t="n">
        <v>0</v>
      </c>
      <c r="Q768" t="n">
        <v>0</v>
      </c>
      <c r="R768" s="2" t="inlineStr"/>
    </row>
    <row r="769" ht="15" customHeight="1">
      <c r="A769" t="inlineStr">
        <is>
          <t>A 34060-2025</t>
        </is>
      </c>
      <c r="B769" s="1" t="n">
        <v>45845.42015046296</v>
      </c>
      <c r="C769" s="1" t="n">
        <v>45935</v>
      </c>
      <c r="D769" t="inlineStr">
        <is>
          <t>KALMAR LÄN</t>
        </is>
      </c>
      <c r="E769" t="inlineStr">
        <is>
          <t>VIMMERBY</t>
        </is>
      </c>
      <c r="G769" t="n">
        <v>5.7</v>
      </c>
      <c r="H769" t="n">
        <v>0</v>
      </c>
      <c r="I769" t="n">
        <v>0</v>
      </c>
      <c r="J769" t="n">
        <v>0</v>
      </c>
      <c r="K769" t="n">
        <v>0</v>
      </c>
      <c r="L769" t="n">
        <v>0</v>
      </c>
      <c r="M769" t="n">
        <v>0</v>
      </c>
      <c r="N769" t="n">
        <v>0</v>
      </c>
      <c r="O769" t="n">
        <v>0</v>
      </c>
      <c r="P769" t="n">
        <v>0</v>
      </c>
      <c r="Q769" t="n">
        <v>0</v>
      </c>
      <c r="R769" s="2" t="inlineStr"/>
    </row>
    <row r="770" ht="15" customHeight="1">
      <c r="A770" t="inlineStr">
        <is>
          <t>A 34071-2025</t>
        </is>
      </c>
      <c r="B770" s="1" t="n">
        <v>45845.43803240741</v>
      </c>
      <c r="C770" s="1" t="n">
        <v>45935</v>
      </c>
      <c r="D770" t="inlineStr">
        <is>
          <t>KALMAR LÄN</t>
        </is>
      </c>
      <c r="E770" t="inlineStr">
        <is>
          <t>VIMMERBY</t>
        </is>
      </c>
      <c r="G770" t="n">
        <v>6.8</v>
      </c>
      <c r="H770" t="n">
        <v>0</v>
      </c>
      <c r="I770" t="n">
        <v>0</v>
      </c>
      <c r="J770" t="n">
        <v>0</v>
      </c>
      <c r="K770" t="n">
        <v>0</v>
      </c>
      <c r="L770" t="n">
        <v>0</v>
      </c>
      <c r="M770" t="n">
        <v>0</v>
      </c>
      <c r="N770" t="n">
        <v>0</v>
      </c>
      <c r="O770" t="n">
        <v>0</v>
      </c>
      <c r="P770" t="n">
        <v>0</v>
      </c>
      <c r="Q770" t="n">
        <v>0</v>
      </c>
      <c r="R770" s="2" t="inlineStr"/>
    </row>
    <row r="771" ht="15" customHeight="1">
      <c r="A771" t="inlineStr">
        <is>
          <t>A 34106-2025</t>
        </is>
      </c>
      <c r="B771" s="1" t="n">
        <v>45845.49414351852</v>
      </c>
      <c r="C771" s="1" t="n">
        <v>45935</v>
      </c>
      <c r="D771" t="inlineStr">
        <is>
          <t>KALMAR LÄN</t>
        </is>
      </c>
      <c r="E771" t="inlineStr">
        <is>
          <t>VIMMERBY</t>
        </is>
      </c>
      <c r="G771" t="n">
        <v>6</v>
      </c>
      <c r="H771" t="n">
        <v>0</v>
      </c>
      <c r="I771" t="n">
        <v>0</v>
      </c>
      <c r="J771" t="n">
        <v>0</v>
      </c>
      <c r="K771" t="n">
        <v>0</v>
      </c>
      <c r="L771" t="n">
        <v>0</v>
      </c>
      <c r="M771" t="n">
        <v>0</v>
      </c>
      <c r="N771" t="n">
        <v>0</v>
      </c>
      <c r="O771" t="n">
        <v>0</v>
      </c>
      <c r="P771" t="n">
        <v>0</v>
      </c>
      <c r="Q771" t="n">
        <v>0</v>
      </c>
      <c r="R771" s="2" t="inlineStr"/>
    </row>
    <row r="772" ht="15" customHeight="1">
      <c r="A772" t="inlineStr">
        <is>
          <t>A 28702-2025</t>
        </is>
      </c>
      <c r="B772" s="1" t="n">
        <v>45820.03976851852</v>
      </c>
      <c r="C772" s="1" t="n">
        <v>45935</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40095-2022</t>
        </is>
      </c>
      <c r="B773" s="1" t="n">
        <v>44820</v>
      </c>
      <c r="C773" s="1" t="n">
        <v>45935</v>
      </c>
      <c r="D773" t="inlineStr">
        <is>
          <t>KALMAR LÄN</t>
        </is>
      </c>
      <c r="E773" t="inlineStr">
        <is>
          <t>VIMMERBY</t>
        </is>
      </c>
      <c r="G773" t="n">
        <v>2.4</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45935</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50087-2023</t>
        </is>
      </c>
      <c r="B775" s="1" t="n">
        <v>45215.59743055556</v>
      </c>
      <c r="C775" s="1" t="n">
        <v>45935</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8167-2024</t>
        </is>
      </c>
      <c r="B776" s="1" t="n">
        <v>45351.6062962963</v>
      </c>
      <c r="C776" s="1" t="n">
        <v>45935</v>
      </c>
      <c r="D776" t="inlineStr">
        <is>
          <t>KALMAR LÄN</t>
        </is>
      </c>
      <c r="E776" t="inlineStr">
        <is>
          <t>VIMMERBY</t>
        </is>
      </c>
      <c r="G776" t="n">
        <v>3.8</v>
      </c>
      <c r="H776" t="n">
        <v>0</v>
      </c>
      <c r="I776" t="n">
        <v>0</v>
      </c>
      <c r="J776" t="n">
        <v>0</v>
      </c>
      <c r="K776" t="n">
        <v>0</v>
      </c>
      <c r="L776" t="n">
        <v>0</v>
      </c>
      <c r="M776" t="n">
        <v>0</v>
      </c>
      <c r="N776" t="n">
        <v>0</v>
      </c>
      <c r="O776" t="n">
        <v>0</v>
      </c>
      <c r="P776" t="n">
        <v>0</v>
      </c>
      <c r="Q776" t="n">
        <v>0</v>
      </c>
      <c r="R776" s="2" t="inlineStr"/>
    </row>
    <row r="777" ht="15" customHeight="1">
      <c r="A777" t="inlineStr">
        <is>
          <t>A 2604-2025</t>
        </is>
      </c>
      <c r="B777" s="1" t="n">
        <v>45674.74094907408</v>
      </c>
      <c r="C777" s="1" t="n">
        <v>45935</v>
      </c>
      <c r="D777" t="inlineStr">
        <is>
          <t>KALMAR LÄN</t>
        </is>
      </c>
      <c r="E777" t="inlineStr">
        <is>
          <t>VIMMERBY</t>
        </is>
      </c>
      <c r="G777" t="n">
        <v>7.6</v>
      </c>
      <c r="H777" t="n">
        <v>0</v>
      </c>
      <c r="I777" t="n">
        <v>0</v>
      </c>
      <c r="J777" t="n">
        <v>0</v>
      </c>
      <c r="K777" t="n">
        <v>0</v>
      </c>
      <c r="L777" t="n">
        <v>0</v>
      </c>
      <c r="M777" t="n">
        <v>0</v>
      </c>
      <c r="N777" t="n">
        <v>0</v>
      </c>
      <c r="O777" t="n">
        <v>0</v>
      </c>
      <c r="P777" t="n">
        <v>0</v>
      </c>
      <c r="Q777" t="n">
        <v>0</v>
      </c>
      <c r="R777" s="2" t="inlineStr"/>
    </row>
    <row r="778" ht="15" customHeight="1">
      <c r="A778" t="inlineStr">
        <is>
          <t>A 37192-2024</t>
        </is>
      </c>
      <c r="B778" s="1" t="n">
        <v>45539.66027777778</v>
      </c>
      <c r="C778" s="1" t="n">
        <v>45935</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42429-2024</t>
        </is>
      </c>
      <c r="B779" s="1" t="n">
        <v>45565.40657407408</v>
      </c>
      <c r="C779" s="1" t="n">
        <v>45935</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29180-2024</t>
        </is>
      </c>
      <c r="B780" s="1" t="n">
        <v>45482.54108796296</v>
      </c>
      <c r="C780" s="1" t="n">
        <v>45935</v>
      </c>
      <c r="D780" t="inlineStr">
        <is>
          <t>KALMAR LÄN</t>
        </is>
      </c>
      <c r="E780" t="inlineStr">
        <is>
          <t>VIMMERBY</t>
        </is>
      </c>
      <c r="G780" t="n">
        <v>3.8</v>
      </c>
      <c r="H780" t="n">
        <v>0</v>
      </c>
      <c r="I780" t="n">
        <v>0</v>
      </c>
      <c r="J780" t="n">
        <v>0</v>
      </c>
      <c r="K780" t="n">
        <v>0</v>
      </c>
      <c r="L780" t="n">
        <v>0</v>
      </c>
      <c r="M780" t="n">
        <v>0</v>
      </c>
      <c r="N780" t="n">
        <v>0</v>
      </c>
      <c r="O780" t="n">
        <v>0</v>
      </c>
      <c r="P780" t="n">
        <v>0</v>
      </c>
      <c r="Q780" t="n">
        <v>0</v>
      </c>
      <c r="R780" s="2" t="inlineStr"/>
    </row>
    <row r="781" ht="15" customHeight="1">
      <c r="A781" t="inlineStr">
        <is>
          <t>A 45846-2023</t>
        </is>
      </c>
      <c r="B781" s="1" t="n">
        <v>45195.58452546296</v>
      </c>
      <c r="C781" s="1" t="n">
        <v>45935</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34628-2025</t>
        </is>
      </c>
      <c r="B782" s="1" t="n">
        <v>45847.91280092593</v>
      </c>
      <c r="C782" s="1" t="n">
        <v>45935</v>
      </c>
      <c r="D782" t="inlineStr">
        <is>
          <t>KALMAR LÄN</t>
        </is>
      </c>
      <c r="E782" t="inlineStr">
        <is>
          <t>VIMMERBY</t>
        </is>
      </c>
      <c r="G782" t="n">
        <v>4.2</v>
      </c>
      <c r="H782" t="n">
        <v>0</v>
      </c>
      <c r="I782" t="n">
        <v>0</v>
      </c>
      <c r="J782" t="n">
        <v>0</v>
      </c>
      <c r="K782" t="n">
        <v>0</v>
      </c>
      <c r="L782" t="n">
        <v>0</v>
      </c>
      <c r="M782" t="n">
        <v>0</v>
      </c>
      <c r="N782" t="n">
        <v>0</v>
      </c>
      <c r="O782" t="n">
        <v>0</v>
      </c>
      <c r="P782" t="n">
        <v>0</v>
      </c>
      <c r="Q782" t="n">
        <v>0</v>
      </c>
      <c r="R782" s="2" t="inlineStr"/>
    </row>
    <row r="783" ht="15" customHeight="1">
      <c r="A783" t="inlineStr">
        <is>
          <t>A 16020-2023</t>
        </is>
      </c>
      <c r="B783" s="1" t="n">
        <v>45026.82216435186</v>
      </c>
      <c r="C783" s="1" t="n">
        <v>45935</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61820-2023</t>
        </is>
      </c>
      <c r="B784" s="1" t="n">
        <v>45266.32614583334</v>
      </c>
      <c r="C784" s="1" t="n">
        <v>45935</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45560-2021</t>
        </is>
      </c>
      <c r="B785" s="1" t="n">
        <v>44440</v>
      </c>
      <c r="C785" s="1" t="n">
        <v>45935</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40256-2024</t>
        </is>
      </c>
      <c r="B786" s="1" t="n">
        <v>45554.62944444444</v>
      </c>
      <c r="C786" s="1" t="n">
        <v>45935</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58104-2024</t>
        </is>
      </c>
      <c r="B787" s="1" t="n">
        <v>45632.37459490741</v>
      </c>
      <c r="C787" s="1" t="n">
        <v>45935</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40925-2025</t>
        </is>
      </c>
      <c r="B788" s="1" t="n">
        <v>45897.64208333333</v>
      </c>
      <c r="C788" s="1" t="n">
        <v>45935</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45935</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43034-2024</t>
        </is>
      </c>
      <c r="B790" s="1" t="n">
        <v>45567.42011574074</v>
      </c>
      <c r="C790" s="1" t="n">
        <v>45935</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3902-2022</t>
        </is>
      </c>
      <c r="B791" s="1" t="n">
        <v>44587.48847222222</v>
      </c>
      <c r="C791" s="1" t="n">
        <v>45935</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30070-2023</t>
        </is>
      </c>
      <c r="B792" s="1" t="n">
        <v>45110.4275</v>
      </c>
      <c r="C792" s="1" t="n">
        <v>45935</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31209-2024</t>
        </is>
      </c>
      <c r="B793" s="1" t="n">
        <v>45503.5658912037</v>
      </c>
      <c r="C793" s="1" t="n">
        <v>45935</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40973-2025</t>
        </is>
      </c>
      <c r="B794" s="1" t="n">
        <v>45897.89737268518</v>
      </c>
      <c r="C794" s="1" t="n">
        <v>45935</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35270-2025</t>
        </is>
      </c>
      <c r="B795" s="1" t="n">
        <v>45853.87112268519</v>
      </c>
      <c r="C795" s="1" t="n">
        <v>45935</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35271-2025</t>
        </is>
      </c>
      <c r="B796" s="1" t="n">
        <v>45853.87599537037</v>
      </c>
      <c r="C796" s="1" t="n">
        <v>45935</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35272-2025</t>
        </is>
      </c>
      <c r="B797" s="1" t="n">
        <v>45853.88070601852</v>
      </c>
      <c r="C797" s="1" t="n">
        <v>45935</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4527-2023</t>
        </is>
      </c>
      <c r="B798" s="1" t="n">
        <v>44956</v>
      </c>
      <c r="C798" s="1" t="n">
        <v>45935</v>
      </c>
      <c r="D798" t="inlineStr">
        <is>
          <t>KALMAR LÄN</t>
        </is>
      </c>
      <c r="E798" t="inlineStr">
        <is>
          <t>VIMMERBY</t>
        </is>
      </c>
      <c r="F798" t="inlineStr">
        <is>
          <t>Kommuner</t>
        </is>
      </c>
      <c r="G798" t="n">
        <v>8.5</v>
      </c>
      <c r="H798" t="n">
        <v>0</v>
      </c>
      <c r="I798" t="n">
        <v>0</v>
      </c>
      <c r="J798" t="n">
        <v>0</v>
      </c>
      <c r="K798" t="n">
        <v>0</v>
      </c>
      <c r="L798" t="n">
        <v>0</v>
      </c>
      <c r="M798" t="n">
        <v>0</v>
      </c>
      <c r="N798" t="n">
        <v>0</v>
      </c>
      <c r="O798" t="n">
        <v>0</v>
      </c>
      <c r="P798" t="n">
        <v>0</v>
      </c>
      <c r="Q798" t="n">
        <v>0</v>
      </c>
      <c r="R798" s="2" t="inlineStr"/>
    </row>
    <row r="799" ht="15" customHeight="1">
      <c r="A799" t="inlineStr">
        <is>
          <t>A 12586-2021</t>
        </is>
      </c>
      <c r="B799" s="1" t="n">
        <v>44270.38002314815</v>
      </c>
      <c r="C799" s="1" t="n">
        <v>45935</v>
      </c>
      <c r="D799" t="inlineStr">
        <is>
          <t>KALMAR LÄN</t>
        </is>
      </c>
      <c r="E799" t="inlineStr">
        <is>
          <t>VIMMERBY</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40971-2025</t>
        </is>
      </c>
      <c r="B800" s="1" t="n">
        <v>45897.88836805556</v>
      </c>
      <c r="C800" s="1" t="n">
        <v>45935</v>
      </c>
      <c r="D800" t="inlineStr">
        <is>
          <t>KALMAR LÄN</t>
        </is>
      </c>
      <c r="E800" t="inlineStr">
        <is>
          <t>VIMMERBY</t>
        </is>
      </c>
      <c r="G800" t="n">
        <v>1.5</v>
      </c>
      <c r="H800" t="n">
        <v>0</v>
      </c>
      <c r="I800" t="n">
        <v>0</v>
      </c>
      <c r="J800" t="n">
        <v>0</v>
      </c>
      <c r="K800" t="n">
        <v>0</v>
      </c>
      <c r="L800" t="n">
        <v>0</v>
      </c>
      <c r="M800" t="n">
        <v>0</v>
      </c>
      <c r="N800" t="n">
        <v>0</v>
      </c>
      <c r="O800" t="n">
        <v>0</v>
      </c>
      <c r="P800" t="n">
        <v>0</v>
      </c>
      <c r="Q800" t="n">
        <v>0</v>
      </c>
      <c r="R800" s="2" t="inlineStr"/>
    </row>
    <row r="801" ht="15" customHeight="1">
      <c r="A801" t="inlineStr">
        <is>
          <t>A 40970-2025</t>
        </is>
      </c>
      <c r="B801" s="1" t="n">
        <v>45897.88706018519</v>
      </c>
      <c r="C801" s="1" t="n">
        <v>45935</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5864-2022</t>
        </is>
      </c>
      <c r="B802" s="1" t="n">
        <v>44596</v>
      </c>
      <c r="C802" s="1" t="n">
        <v>45935</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40921-2025</t>
        </is>
      </c>
      <c r="B803" s="1" t="n">
        <v>45897.63520833333</v>
      </c>
      <c r="C803" s="1" t="n">
        <v>45935</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45935</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35596-2025</t>
        </is>
      </c>
      <c r="B805" s="1" t="n">
        <v>45858.60641203704</v>
      </c>
      <c r="C805" s="1" t="n">
        <v>45935</v>
      </c>
      <c r="D805" t="inlineStr">
        <is>
          <t>KALMAR LÄN</t>
        </is>
      </c>
      <c r="E805" t="inlineStr">
        <is>
          <t>VIMMERBY</t>
        </is>
      </c>
      <c r="G805" t="n">
        <v>2.8</v>
      </c>
      <c r="H805" t="n">
        <v>0</v>
      </c>
      <c r="I805" t="n">
        <v>0</v>
      </c>
      <c r="J805" t="n">
        <v>0</v>
      </c>
      <c r="K805" t="n">
        <v>0</v>
      </c>
      <c r="L805" t="n">
        <v>0</v>
      </c>
      <c r="M805" t="n">
        <v>0</v>
      </c>
      <c r="N805" t="n">
        <v>0</v>
      </c>
      <c r="O805" t="n">
        <v>0</v>
      </c>
      <c r="P805" t="n">
        <v>0</v>
      </c>
      <c r="Q805" t="n">
        <v>0</v>
      </c>
      <c r="R805" s="2" t="inlineStr"/>
    </row>
    <row r="806" ht="15" customHeight="1">
      <c r="A806" t="inlineStr">
        <is>
          <t>A 41589-2025</t>
        </is>
      </c>
      <c r="B806" s="1" t="n">
        <v>45901.63219907408</v>
      </c>
      <c r="C806" s="1" t="n">
        <v>45935</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41591-2025</t>
        </is>
      </c>
      <c r="B807" s="1" t="n">
        <v>45901.6327662037</v>
      </c>
      <c r="C807" s="1" t="n">
        <v>45935</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30912-2023</t>
        </is>
      </c>
      <c r="B808" s="1" t="n">
        <v>45113.41633101852</v>
      </c>
      <c r="C808" s="1" t="n">
        <v>45935</v>
      </c>
      <c r="D808" t="inlineStr">
        <is>
          <t>KALMAR LÄN</t>
        </is>
      </c>
      <c r="E808" t="inlineStr">
        <is>
          <t>VIMMERBY</t>
        </is>
      </c>
      <c r="G808" t="n">
        <v>5</v>
      </c>
      <c r="H808" t="n">
        <v>0</v>
      </c>
      <c r="I808" t="n">
        <v>0</v>
      </c>
      <c r="J808" t="n">
        <v>0</v>
      </c>
      <c r="K808" t="n">
        <v>0</v>
      </c>
      <c r="L808" t="n">
        <v>0</v>
      </c>
      <c r="M808" t="n">
        <v>0</v>
      </c>
      <c r="N808" t="n">
        <v>0</v>
      </c>
      <c r="O808" t="n">
        <v>0</v>
      </c>
      <c r="P808" t="n">
        <v>0</v>
      </c>
      <c r="Q808" t="n">
        <v>0</v>
      </c>
      <c r="R808" s="2" t="inlineStr"/>
    </row>
    <row r="809" ht="15" customHeight="1">
      <c r="A809" t="inlineStr">
        <is>
          <t>A 1146-2025</t>
        </is>
      </c>
      <c r="B809" s="1" t="n">
        <v>45666</v>
      </c>
      <c r="C809" s="1" t="n">
        <v>45935</v>
      </c>
      <c r="D809" t="inlineStr">
        <is>
          <t>KALMAR LÄN</t>
        </is>
      </c>
      <c r="E809" t="inlineStr">
        <is>
          <t>VIMMERBY</t>
        </is>
      </c>
      <c r="G809" t="n">
        <v>4</v>
      </c>
      <c r="H809" t="n">
        <v>0</v>
      </c>
      <c r="I809" t="n">
        <v>0</v>
      </c>
      <c r="J809" t="n">
        <v>0</v>
      </c>
      <c r="K809" t="n">
        <v>0</v>
      </c>
      <c r="L809" t="n">
        <v>0</v>
      </c>
      <c r="M809" t="n">
        <v>0</v>
      </c>
      <c r="N809" t="n">
        <v>0</v>
      </c>
      <c r="O809" t="n">
        <v>0</v>
      </c>
      <c r="P809" t="n">
        <v>0</v>
      </c>
      <c r="Q809" t="n">
        <v>0</v>
      </c>
      <c r="R809" s="2" t="inlineStr"/>
    </row>
    <row r="810" ht="15" customHeight="1">
      <c r="A810" t="inlineStr">
        <is>
          <t>A 35597-2025</t>
        </is>
      </c>
      <c r="B810" s="1" t="n">
        <v>45858.66019675926</v>
      </c>
      <c r="C810" s="1" t="n">
        <v>45935</v>
      </c>
      <c r="D810" t="inlineStr">
        <is>
          <t>KALMAR LÄN</t>
        </is>
      </c>
      <c r="E810" t="inlineStr">
        <is>
          <t>VIMMERBY</t>
        </is>
      </c>
      <c r="G810" t="n">
        <v>6.4</v>
      </c>
      <c r="H810" t="n">
        <v>0</v>
      </c>
      <c r="I810" t="n">
        <v>0</v>
      </c>
      <c r="J810" t="n">
        <v>0</v>
      </c>
      <c r="K810" t="n">
        <v>0</v>
      </c>
      <c r="L810" t="n">
        <v>0</v>
      </c>
      <c r="M810" t="n">
        <v>0</v>
      </c>
      <c r="N810" t="n">
        <v>0</v>
      </c>
      <c r="O810" t="n">
        <v>0</v>
      </c>
      <c r="P810" t="n">
        <v>0</v>
      </c>
      <c r="Q810" t="n">
        <v>0</v>
      </c>
      <c r="R810" s="2" t="inlineStr"/>
    </row>
    <row r="811" ht="15" customHeight="1">
      <c r="A811" t="inlineStr">
        <is>
          <t>A 62023-2022</t>
        </is>
      </c>
      <c r="B811" s="1" t="n">
        <v>44918.50106481482</v>
      </c>
      <c r="C811" s="1" t="n">
        <v>45935</v>
      </c>
      <c r="D811" t="inlineStr">
        <is>
          <t>KALMAR LÄN</t>
        </is>
      </c>
      <c r="E811" t="inlineStr">
        <is>
          <t>VIMMERBY</t>
        </is>
      </c>
      <c r="G811" t="n">
        <v>0.3</v>
      </c>
      <c r="H811" t="n">
        <v>0</v>
      </c>
      <c r="I811" t="n">
        <v>0</v>
      </c>
      <c r="J811" t="n">
        <v>0</v>
      </c>
      <c r="K811" t="n">
        <v>0</v>
      </c>
      <c r="L811" t="n">
        <v>0</v>
      </c>
      <c r="M811" t="n">
        <v>0</v>
      </c>
      <c r="N811" t="n">
        <v>0</v>
      </c>
      <c r="O811" t="n">
        <v>0</v>
      </c>
      <c r="P811" t="n">
        <v>0</v>
      </c>
      <c r="Q811" t="n">
        <v>0</v>
      </c>
      <c r="R811" s="2" t="inlineStr"/>
    </row>
    <row r="812" ht="15" customHeight="1">
      <c r="A812" t="inlineStr">
        <is>
          <t>A 41224-2025</t>
        </is>
      </c>
      <c r="B812" s="1" t="n">
        <v>45898.58861111111</v>
      </c>
      <c r="C812" s="1" t="n">
        <v>45935</v>
      </c>
      <c r="D812" t="inlineStr">
        <is>
          <t>KALMAR LÄN</t>
        </is>
      </c>
      <c r="E812" t="inlineStr">
        <is>
          <t>VIMMERBY</t>
        </is>
      </c>
      <c r="G812" t="n">
        <v>4.4</v>
      </c>
      <c r="H812" t="n">
        <v>0</v>
      </c>
      <c r="I812" t="n">
        <v>0</v>
      </c>
      <c r="J812" t="n">
        <v>0</v>
      </c>
      <c r="K812" t="n">
        <v>0</v>
      </c>
      <c r="L812" t="n">
        <v>0</v>
      </c>
      <c r="M812" t="n">
        <v>0</v>
      </c>
      <c r="N812" t="n">
        <v>0</v>
      </c>
      <c r="O812" t="n">
        <v>0</v>
      </c>
      <c r="P812" t="n">
        <v>0</v>
      </c>
      <c r="Q812" t="n">
        <v>0</v>
      </c>
      <c r="R812" s="2" t="inlineStr"/>
    </row>
    <row r="813" ht="15" customHeight="1">
      <c r="A813" t="inlineStr">
        <is>
          <t>A 16119-2023</t>
        </is>
      </c>
      <c r="B813" s="1" t="n">
        <v>45027.59450231482</v>
      </c>
      <c r="C813" s="1" t="n">
        <v>45935</v>
      </c>
      <c r="D813" t="inlineStr">
        <is>
          <t>KALMAR LÄN</t>
        </is>
      </c>
      <c r="E813" t="inlineStr">
        <is>
          <t>VIMMERBY</t>
        </is>
      </c>
      <c r="F813" t="inlineStr">
        <is>
          <t>Kommuner</t>
        </is>
      </c>
      <c r="G813" t="n">
        <v>4.4</v>
      </c>
      <c r="H813" t="n">
        <v>0</v>
      </c>
      <c r="I813" t="n">
        <v>0</v>
      </c>
      <c r="J813" t="n">
        <v>0</v>
      </c>
      <c r="K813" t="n">
        <v>0</v>
      </c>
      <c r="L813" t="n">
        <v>0</v>
      </c>
      <c r="M813" t="n">
        <v>0</v>
      </c>
      <c r="N813" t="n">
        <v>0</v>
      </c>
      <c r="O813" t="n">
        <v>0</v>
      </c>
      <c r="P813" t="n">
        <v>0</v>
      </c>
      <c r="Q813" t="n">
        <v>0</v>
      </c>
      <c r="R813" s="2" t="inlineStr"/>
    </row>
    <row r="814" ht="15" customHeight="1">
      <c r="A814" t="inlineStr">
        <is>
          <t>A 52327-2023</t>
        </is>
      </c>
      <c r="B814" s="1" t="n">
        <v>45224.6515162037</v>
      </c>
      <c r="C814" s="1" t="n">
        <v>45935</v>
      </c>
      <c r="D814" t="inlineStr">
        <is>
          <t>KALMAR LÄN</t>
        </is>
      </c>
      <c r="E814" t="inlineStr">
        <is>
          <t>VIMMERBY</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12075-2024</t>
        </is>
      </c>
      <c r="B815" s="1" t="n">
        <v>45377</v>
      </c>
      <c r="C815" s="1" t="n">
        <v>45935</v>
      </c>
      <c r="D815" t="inlineStr">
        <is>
          <t>KALMAR LÄN</t>
        </is>
      </c>
      <c r="E815" t="inlineStr">
        <is>
          <t>VIMMERBY</t>
        </is>
      </c>
      <c r="G815" t="n">
        <v>3.7</v>
      </c>
      <c r="H815" t="n">
        <v>0</v>
      </c>
      <c r="I815" t="n">
        <v>0</v>
      </c>
      <c r="J815" t="n">
        <v>0</v>
      </c>
      <c r="K815" t="n">
        <v>0</v>
      </c>
      <c r="L815" t="n">
        <v>0</v>
      </c>
      <c r="M815" t="n">
        <v>0</v>
      </c>
      <c r="N815" t="n">
        <v>0</v>
      </c>
      <c r="O815" t="n">
        <v>0</v>
      </c>
      <c r="P815" t="n">
        <v>0</v>
      </c>
      <c r="Q815" t="n">
        <v>0</v>
      </c>
      <c r="R815" s="2" t="inlineStr"/>
    </row>
    <row r="816" ht="15" customHeight="1">
      <c r="A816" t="inlineStr">
        <is>
          <t>A 29348-2023</t>
        </is>
      </c>
      <c r="B816" s="1" t="n">
        <v>45106.25025462963</v>
      </c>
      <c r="C816" s="1" t="n">
        <v>45935</v>
      </c>
      <c r="D816" t="inlineStr">
        <is>
          <t>KALMAR LÄN</t>
        </is>
      </c>
      <c r="E816" t="inlineStr">
        <is>
          <t>VIMMERBY</t>
        </is>
      </c>
      <c r="G816" t="n">
        <v>2.4</v>
      </c>
      <c r="H816" t="n">
        <v>0</v>
      </c>
      <c r="I816" t="n">
        <v>0</v>
      </c>
      <c r="J816" t="n">
        <v>0</v>
      </c>
      <c r="K816" t="n">
        <v>0</v>
      </c>
      <c r="L816" t="n">
        <v>0</v>
      </c>
      <c r="M816" t="n">
        <v>0</v>
      </c>
      <c r="N816" t="n">
        <v>0</v>
      </c>
      <c r="O816" t="n">
        <v>0</v>
      </c>
      <c r="P816" t="n">
        <v>0</v>
      </c>
      <c r="Q816" t="n">
        <v>0</v>
      </c>
      <c r="R816" s="2" t="inlineStr"/>
    </row>
    <row r="817" ht="15" customHeight="1">
      <c r="A817" t="inlineStr">
        <is>
          <t>A 31340-2023</t>
        </is>
      </c>
      <c r="B817" s="1" t="n">
        <v>45114.47895833333</v>
      </c>
      <c r="C817" s="1" t="n">
        <v>45935</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41735-2025</t>
        </is>
      </c>
      <c r="B818" s="1" t="n">
        <v>45902.47164351852</v>
      </c>
      <c r="C818" s="1" t="n">
        <v>45935</v>
      </c>
      <c r="D818" t="inlineStr">
        <is>
          <t>KALMAR LÄN</t>
        </is>
      </c>
      <c r="E818" t="inlineStr">
        <is>
          <t>VIMMERBY</t>
        </is>
      </c>
      <c r="G818" t="n">
        <v>3</v>
      </c>
      <c r="H818" t="n">
        <v>0</v>
      </c>
      <c r="I818" t="n">
        <v>0</v>
      </c>
      <c r="J818" t="n">
        <v>0</v>
      </c>
      <c r="K818" t="n">
        <v>0</v>
      </c>
      <c r="L818" t="n">
        <v>0</v>
      </c>
      <c r="M818" t="n">
        <v>0</v>
      </c>
      <c r="N818" t="n">
        <v>0</v>
      </c>
      <c r="O818" t="n">
        <v>0</v>
      </c>
      <c r="P818" t="n">
        <v>0</v>
      </c>
      <c r="Q818" t="n">
        <v>0</v>
      </c>
      <c r="R818" s="2" t="inlineStr"/>
    </row>
    <row r="819" ht="15" customHeight="1">
      <c r="A819" t="inlineStr">
        <is>
          <t>A 41896-2025</t>
        </is>
      </c>
      <c r="B819" s="1" t="n">
        <v>45903.38800925926</v>
      </c>
      <c r="C819" s="1" t="n">
        <v>45935</v>
      </c>
      <c r="D819" t="inlineStr">
        <is>
          <t>KALMAR LÄN</t>
        </is>
      </c>
      <c r="E819" t="inlineStr">
        <is>
          <t>VIMMERBY</t>
        </is>
      </c>
      <c r="G819" t="n">
        <v>2.9</v>
      </c>
      <c r="H819" t="n">
        <v>0</v>
      </c>
      <c r="I819" t="n">
        <v>0</v>
      </c>
      <c r="J819" t="n">
        <v>0</v>
      </c>
      <c r="K819" t="n">
        <v>0</v>
      </c>
      <c r="L819" t="n">
        <v>0</v>
      </c>
      <c r="M819" t="n">
        <v>0</v>
      </c>
      <c r="N819" t="n">
        <v>0</v>
      </c>
      <c r="O819" t="n">
        <v>0</v>
      </c>
      <c r="P819" t="n">
        <v>0</v>
      </c>
      <c r="Q819" t="n">
        <v>0</v>
      </c>
      <c r="R819" s="2" t="inlineStr"/>
    </row>
    <row r="820" ht="15" customHeight="1">
      <c r="A820" t="inlineStr">
        <is>
          <t>A 7758-2024</t>
        </is>
      </c>
      <c r="B820" s="1" t="n">
        <v>45349.54434027777</v>
      </c>
      <c r="C820" s="1" t="n">
        <v>45935</v>
      </c>
      <c r="D820" t="inlineStr">
        <is>
          <t>KALMAR LÄN</t>
        </is>
      </c>
      <c r="E820" t="inlineStr">
        <is>
          <t>VIMMERBY</t>
        </is>
      </c>
      <c r="G820" t="n">
        <v>3.5</v>
      </c>
      <c r="H820" t="n">
        <v>0</v>
      </c>
      <c r="I820" t="n">
        <v>0</v>
      </c>
      <c r="J820" t="n">
        <v>0</v>
      </c>
      <c r="K820" t="n">
        <v>0</v>
      </c>
      <c r="L820" t="n">
        <v>0</v>
      </c>
      <c r="M820" t="n">
        <v>0</v>
      </c>
      <c r="N820" t="n">
        <v>0</v>
      </c>
      <c r="O820" t="n">
        <v>0</v>
      </c>
      <c r="P820" t="n">
        <v>0</v>
      </c>
      <c r="Q820" t="n">
        <v>0</v>
      </c>
      <c r="R820" s="2" t="inlineStr"/>
    </row>
    <row r="821" ht="15" customHeight="1">
      <c r="A821" t="inlineStr">
        <is>
          <t>A 36226-2025</t>
        </is>
      </c>
      <c r="B821" s="1" t="n">
        <v>45867.51630787037</v>
      </c>
      <c r="C821" s="1" t="n">
        <v>45935</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36273-2025</t>
        </is>
      </c>
      <c r="B822" s="1" t="n">
        <v>45867.63094907408</v>
      </c>
      <c r="C822" s="1" t="n">
        <v>45935</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5701-2024</t>
        </is>
      </c>
      <c r="B823" s="1" t="n">
        <v>45334.78826388889</v>
      </c>
      <c r="C823" s="1" t="n">
        <v>45935</v>
      </c>
      <c r="D823" t="inlineStr">
        <is>
          <t>KALMAR LÄN</t>
        </is>
      </c>
      <c r="E823" t="inlineStr">
        <is>
          <t>VIMMERBY</t>
        </is>
      </c>
      <c r="G823" t="n">
        <v>2.3</v>
      </c>
      <c r="H823" t="n">
        <v>0</v>
      </c>
      <c r="I823" t="n">
        <v>0</v>
      </c>
      <c r="J823" t="n">
        <v>0</v>
      </c>
      <c r="K823" t="n">
        <v>0</v>
      </c>
      <c r="L823" t="n">
        <v>0</v>
      </c>
      <c r="M823" t="n">
        <v>0</v>
      </c>
      <c r="N823" t="n">
        <v>0</v>
      </c>
      <c r="O823" t="n">
        <v>0</v>
      </c>
      <c r="P823" t="n">
        <v>0</v>
      </c>
      <c r="Q823" t="n">
        <v>0</v>
      </c>
      <c r="R823" s="2" t="inlineStr"/>
    </row>
    <row r="824" ht="15" customHeight="1">
      <c r="A824" t="inlineStr">
        <is>
          <t>A 36282-2025</t>
        </is>
      </c>
      <c r="B824" s="1" t="n">
        <v>45867.64663194444</v>
      </c>
      <c r="C824" s="1" t="n">
        <v>45935</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36246-2025</t>
        </is>
      </c>
      <c r="B825" s="1" t="n">
        <v>45867.56320601852</v>
      </c>
      <c r="C825" s="1" t="n">
        <v>45935</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36297-2025</t>
        </is>
      </c>
      <c r="B826" s="1" t="n">
        <v>45867.68625</v>
      </c>
      <c r="C826" s="1" t="n">
        <v>45935</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42828-2025</t>
        </is>
      </c>
      <c r="B827" s="1" t="n">
        <v>45908.57716435185</v>
      </c>
      <c r="C827" s="1" t="n">
        <v>45935</v>
      </c>
      <c r="D827" t="inlineStr">
        <is>
          <t>KALMAR LÄN</t>
        </is>
      </c>
      <c r="E827" t="inlineStr">
        <is>
          <t>VIMMERBY</t>
        </is>
      </c>
      <c r="G827" t="n">
        <v>5.2</v>
      </c>
      <c r="H827" t="n">
        <v>0</v>
      </c>
      <c r="I827" t="n">
        <v>0</v>
      </c>
      <c r="J827" t="n">
        <v>0</v>
      </c>
      <c r="K827" t="n">
        <v>0</v>
      </c>
      <c r="L827" t="n">
        <v>0</v>
      </c>
      <c r="M827" t="n">
        <v>0</v>
      </c>
      <c r="N827" t="n">
        <v>0</v>
      </c>
      <c r="O827" t="n">
        <v>0</v>
      </c>
      <c r="P827" t="n">
        <v>0</v>
      </c>
      <c r="Q827" t="n">
        <v>0</v>
      </c>
      <c r="R827" s="2" t="inlineStr"/>
    </row>
    <row r="828" ht="15" customHeight="1">
      <c r="A828" t="inlineStr">
        <is>
          <t>A 31405-2023</t>
        </is>
      </c>
      <c r="B828" s="1" t="n">
        <v>45114.58148148148</v>
      </c>
      <c r="C828" s="1" t="n">
        <v>45935</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6355-2022</t>
        </is>
      </c>
      <c r="B829" s="1" t="n">
        <v>44600</v>
      </c>
      <c r="C829" s="1" t="n">
        <v>45935</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46225-2024</t>
        </is>
      </c>
      <c r="B830" s="1" t="n">
        <v>45581.57333333333</v>
      </c>
      <c r="C830" s="1" t="n">
        <v>45935</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36221-2025</t>
        </is>
      </c>
      <c r="B831" s="1" t="n">
        <v>45867.50792824074</v>
      </c>
      <c r="C831" s="1" t="n">
        <v>45935</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9418-2024</t>
        </is>
      </c>
      <c r="B832" s="1" t="n">
        <v>45359.45038194444</v>
      </c>
      <c r="C832" s="1" t="n">
        <v>45935</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19502-2025</t>
        </is>
      </c>
      <c r="B833" s="1" t="n">
        <v>45769</v>
      </c>
      <c r="C833" s="1" t="n">
        <v>45935</v>
      </c>
      <c r="D833" t="inlineStr">
        <is>
          <t>KALMAR LÄN</t>
        </is>
      </c>
      <c r="E833" t="inlineStr">
        <is>
          <t>VIMMERBY</t>
        </is>
      </c>
      <c r="G833" t="n">
        <v>1.9</v>
      </c>
      <c r="H833" t="n">
        <v>0</v>
      </c>
      <c r="I833" t="n">
        <v>0</v>
      </c>
      <c r="J833" t="n">
        <v>0</v>
      </c>
      <c r="K833" t="n">
        <v>0</v>
      </c>
      <c r="L833" t="n">
        <v>0</v>
      </c>
      <c r="M833" t="n">
        <v>0</v>
      </c>
      <c r="N833" t="n">
        <v>0</v>
      </c>
      <c r="O833" t="n">
        <v>0</v>
      </c>
      <c r="P833" t="n">
        <v>0</v>
      </c>
      <c r="Q833" t="n">
        <v>0</v>
      </c>
      <c r="R833" s="2" t="inlineStr"/>
    </row>
    <row r="834" ht="15" customHeight="1">
      <c r="A834" t="inlineStr">
        <is>
          <t>A 57091-2022</t>
        </is>
      </c>
      <c r="B834" s="1" t="n">
        <v>44895.46524305556</v>
      </c>
      <c r="C834" s="1" t="n">
        <v>45935</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3816-2022</t>
        </is>
      </c>
      <c r="B835" s="1" t="n">
        <v>44587</v>
      </c>
      <c r="C835" s="1" t="n">
        <v>45935</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43606-2024</t>
        </is>
      </c>
      <c r="B836" s="1" t="n">
        <v>45569.45017361111</v>
      </c>
      <c r="C836" s="1" t="n">
        <v>45935</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43617-2024</t>
        </is>
      </c>
      <c r="B837" s="1" t="n">
        <v>45569.47494212963</v>
      </c>
      <c r="C837" s="1" t="n">
        <v>45935</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36299-2025</t>
        </is>
      </c>
      <c r="B838" s="1" t="n">
        <v>45867.69346064814</v>
      </c>
      <c r="C838" s="1" t="n">
        <v>45935</v>
      </c>
      <c r="D838" t="inlineStr">
        <is>
          <t>KALMAR LÄN</t>
        </is>
      </c>
      <c r="E838" t="inlineStr">
        <is>
          <t>VIMMERBY</t>
        </is>
      </c>
      <c r="G838" t="n">
        <v>7.6</v>
      </c>
      <c r="H838" t="n">
        <v>0</v>
      </c>
      <c r="I838" t="n">
        <v>0</v>
      </c>
      <c r="J838" t="n">
        <v>0</v>
      </c>
      <c r="K838" t="n">
        <v>0</v>
      </c>
      <c r="L838" t="n">
        <v>0</v>
      </c>
      <c r="M838" t="n">
        <v>0</v>
      </c>
      <c r="N838" t="n">
        <v>0</v>
      </c>
      <c r="O838" t="n">
        <v>0</v>
      </c>
      <c r="P838" t="n">
        <v>0</v>
      </c>
      <c r="Q838" t="n">
        <v>0</v>
      </c>
      <c r="R838" s="2" t="inlineStr"/>
    </row>
    <row r="839" ht="15" customHeight="1">
      <c r="A839" t="inlineStr">
        <is>
          <t>A 47859-2024</t>
        </is>
      </c>
      <c r="B839" s="1" t="n">
        <v>45588.67070601852</v>
      </c>
      <c r="C839" s="1" t="n">
        <v>45935</v>
      </c>
      <c r="D839" t="inlineStr">
        <is>
          <t>KALMAR LÄN</t>
        </is>
      </c>
      <c r="E839" t="inlineStr">
        <is>
          <t>VIMMERBY</t>
        </is>
      </c>
      <c r="G839" t="n">
        <v>1.7</v>
      </c>
      <c r="H839" t="n">
        <v>0</v>
      </c>
      <c r="I839" t="n">
        <v>0</v>
      </c>
      <c r="J839" t="n">
        <v>0</v>
      </c>
      <c r="K839" t="n">
        <v>0</v>
      </c>
      <c r="L839" t="n">
        <v>0</v>
      </c>
      <c r="M839" t="n">
        <v>0</v>
      </c>
      <c r="N839" t="n">
        <v>0</v>
      </c>
      <c r="O839" t="n">
        <v>0</v>
      </c>
      <c r="P839" t="n">
        <v>0</v>
      </c>
      <c r="Q839" t="n">
        <v>0</v>
      </c>
      <c r="R839" s="2" t="inlineStr"/>
    </row>
    <row r="840" ht="15" customHeight="1">
      <c r="A840" t="inlineStr">
        <is>
          <t>A 8540-2024</t>
        </is>
      </c>
      <c r="B840" s="1" t="n">
        <v>45355.54138888889</v>
      </c>
      <c r="C840" s="1" t="n">
        <v>45935</v>
      </c>
      <c r="D840" t="inlineStr">
        <is>
          <t>KALMAR LÄN</t>
        </is>
      </c>
      <c r="E840" t="inlineStr">
        <is>
          <t>VIMMERBY</t>
        </is>
      </c>
      <c r="G840" t="n">
        <v>1.9</v>
      </c>
      <c r="H840" t="n">
        <v>0</v>
      </c>
      <c r="I840" t="n">
        <v>0</v>
      </c>
      <c r="J840" t="n">
        <v>0</v>
      </c>
      <c r="K840" t="n">
        <v>0</v>
      </c>
      <c r="L840" t="n">
        <v>0</v>
      </c>
      <c r="M840" t="n">
        <v>0</v>
      </c>
      <c r="N840" t="n">
        <v>0</v>
      </c>
      <c r="O840" t="n">
        <v>0</v>
      </c>
      <c r="P840" t="n">
        <v>0</v>
      </c>
      <c r="Q840" t="n">
        <v>0</v>
      </c>
      <c r="R840" s="2" t="inlineStr"/>
    </row>
    <row r="841" ht="15" customHeight="1">
      <c r="A841" t="inlineStr">
        <is>
          <t>A 3331-2023</t>
        </is>
      </c>
      <c r="B841" s="1" t="n">
        <v>44949</v>
      </c>
      <c r="C841" s="1" t="n">
        <v>45935</v>
      </c>
      <c r="D841" t="inlineStr">
        <is>
          <t>KALMAR LÄN</t>
        </is>
      </c>
      <c r="E841" t="inlineStr">
        <is>
          <t>VIMMERBY</t>
        </is>
      </c>
      <c r="G841" t="n">
        <v>6.2</v>
      </c>
      <c r="H841" t="n">
        <v>0</v>
      </c>
      <c r="I841" t="n">
        <v>0</v>
      </c>
      <c r="J841" t="n">
        <v>0</v>
      </c>
      <c r="K841" t="n">
        <v>0</v>
      </c>
      <c r="L841" t="n">
        <v>0</v>
      </c>
      <c r="M841" t="n">
        <v>0</v>
      </c>
      <c r="N841" t="n">
        <v>0</v>
      </c>
      <c r="O841" t="n">
        <v>0</v>
      </c>
      <c r="P841" t="n">
        <v>0</v>
      </c>
      <c r="Q841" t="n">
        <v>0</v>
      </c>
      <c r="R841" s="2" t="inlineStr"/>
    </row>
    <row r="842" ht="15" customHeight="1">
      <c r="A842" t="inlineStr">
        <is>
          <t>A 43617-2025</t>
        </is>
      </c>
      <c r="B842" s="1" t="n">
        <v>45911.67798611111</v>
      </c>
      <c r="C842" s="1" t="n">
        <v>45935</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598-2025</t>
        </is>
      </c>
      <c r="B843" s="1" t="n">
        <v>45660</v>
      </c>
      <c r="C843" s="1" t="n">
        <v>45935</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36538-2025</t>
        </is>
      </c>
      <c r="B844" s="1" t="n">
        <v>45869.62276620371</v>
      </c>
      <c r="C844" s="1" t="n">
        <v>45935</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25799-2023</t>
        </is>
      </c>
      <c r="B845" s="1" t="n">
        <v>45090</v>
      </c>
      <c r="C845" s="1" t="n">
        <v>45935</v>
      </c>
      <c r="D845" t="inlineStr">
        <is>
          <t>KALMAR LÄN</t>
        </is>
      </c>
      <c r="E845" t="inlineStr">
        <is>
          <t>VIMMERBY</t>
        </is>
      </c>
      <c r="G845" t="n">
        <v>7.7</v>
      </c>
      <c r="H845" t="n">
        <v>0</v>
      </c>
      <c r="I845" t="n">
        <v>0</v>
      </c>
      <c r="J845" t="n">
        <v>0</v>
      </c>
      <c r="K845" t="n">
        <v>0</v>
      </c>
      <c r="L845" t="n">
        <v>0</v>
      </c>
      <c r="M845" t="n">
        <v>0</v>
      </c>
      <c r="N845" t="n">
        <v>0</v>
      </c>
      <c r="O845" t="n">
        <v>0</v>
      </c>
      <c r="P845" t="n">
        <v>0</v>
      </c>
      <c r="Q845" t="n">
        <v>0</v>
      </c>
      <c r="R845" s="2" t="inlineStr"/>
    </row>
    <row r="846" ht="15" customHeight="1">
      <c r="A846" t="inlineStr">
        <is>
          <t>A 53083-2021</t>
        </is>
      </c>
      <c r="B846" s="1" t="n">
        <v>44467.83386574074</v>
      </c>
      <c r="C846" s="1" t="n">
        <v>45935</v>
      </c>
      <c r="D846" t="inlineStr">
        <is>
          <t>KALMAR LÄN</t>
        </is>
      </c>
      <c r="E846" t="inlineStr">
        <is>
          <t>VIMMERBY</t>
        </is>
      </c>
      <c r="G846" t="n">
        <v>6.8</v>
      </c>
      <c r="H846" t="n">
        <v>0</v>
      </c>
      <c r="I846" t="n">
        <v>0</v>
      </c>
      <c r="J846" t="n">
        <v>0</v>
      </c>
      <c r="K846" t="n">
        <v>0</v>
      </c>
      <c r="L846" t="n">
        <v>0</v>
      </c>
      <c r="M846" t="n">
        <v>0</v>
      </c>
      <c r="N846" t="n">
        <v>0</v>
      </c>
      <c r="O846" t="n">
        <v>0</v>
      </c>
      <c r="P846" t="n">
        <v>0</v>
      </c>
      <c r="Q846" t="n">
        <v>0</v>
      </c>
      <c r="R846" s="2" t="inlineStr"/>
    </row>
    <row r="847" ht="15" customHeight="1">
      <c r="A847" t="inlineStr">
        <is>
          <t>A 43465-2025</t>
        </is>
      </c>
      <c r="B847" s="1" t="n">
        <v>45911.47138888889</v>
      </c>
      <c r="C847" s="1" t="n">
        <v>45935</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24655-2021</t>
        </is>
      </c>
      <c r="B848" s="1" t="n">
        <v>44340</v>
      </c>
      <c r="C848" s="1" t="n">
        <v>45935</v>
      </c>
      <c r="D848" t="inlineStr">
        <is>
          <t>KALMAR LÄN</t>
        </is>
      </c>
      <c r="E848" t="inlineStr">
        <is>
          <t>VIMMERBY</t>
        </is>
      </c>
      <c r="G848" t="n">
        <v>14.9</v>
      </c>
      <c r="H848" t="n">
        <v>0</v>
      </c>
      <c r="I848" t="n">
        <v>0</v>
      </c>
      <c r="J848" t="n">
        <v>0</v>
      </c>
      <c r="K848" t="n">
        <v>0</v>
      </c>
      <c r="L848" t="n">
        <v>0</v>
      </c>
      <c r="M848" t="n">
        <v>0</v>
      </c>
      <c r="N848" t="n">
        <v>0</v>
      </c>
      <c r="O848" t="n">
        <v>0</v>
      </c>
      <c r="P848" t="n">
        <v>0</v>
      </c>
      <c r="Q848" t="n">
        <v>0</v>
      </c>
      <c r="R848" s="2" t="inlineStr"/>
    </row>
    <row r="849" ht="15" customHeight="1">
      <c r="A849" t="inlineStr">
        <is>
          <t>A 42794-2025</t>
        </is>
      </c>
      <c r="B849" s="1" t="n">
        <v>45908</v>
      </c>
      <c r="C849" s="1" t="n">
        <v>45935</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34090-2025</t>
        </is>
      </c>
      <c r="B850" s="1" t="n">
        <v>45845</v>
      </c>
      <c r="C850" s="1" t="n">
        <v>45935</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36598-2025</t>
        </is>
      </c>
      <c r="B851" s="1" t="n">
        <v>45870.51708333333</v>
      </c>
      <c r="C851" s="1" t="n">
        <v>45935</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36602-2025</t>
        </is>
      </c>
      <c r="B852" s="1" t="n">
        <v>45870.52111111111</v>
      </c>
      <c r="C852" s="1" t="n">
        <v>45935</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33838-2022</t>
        </is>
      </c>
      <c r="B853" s="1" t="n">
        <v>44790.49040509259</v>
      </c>
      <c r="C853" s="1" t="n">
        <v>45935</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c r="A854" t="inlineStr">
        <is>
          <t>A 32835-2022</t>
        </is>
      </c>
      <c r="B854" s="1" t="n">
        <v>44784.42528935185</v>
      </c>
      <c r="C854" s="1" t="n">
        <v>45935</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2025-10-05T12:40:43Z</dcterms:created>
  <dcterms:modified xmlns:dcterms="http://purl.org/dc/terms/" xmlns:xsi="http://www.w3.org/2001/XMLSchema-instance" xsi:type="dcterms:W3CDTF">2025-10-05T12:40:44Z</dcterms:modified>
</cp:coreProperties>
</file>