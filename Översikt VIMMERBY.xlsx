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46103</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46103</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46103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46103</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46103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46103</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46103</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55604-2025</t>
        </is>
      </c>
      <c r="B14" s="1" t="n">
        <v>45971</v>
      </c>
      <c r="C14" s="1" t="n">
        <v>46103</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58997-2025</t>
        </is>
      </c>
      <c r="B15" s="1" t="n">
        <v>45987</v>
      </c>
      <c r="C15" s="1" t="n">
        <v>46103</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7040-2026</t>
        </is>
      </c>
      <c r="B16" s="1" t="n">
        <v>46057.69520833333</v>
      </c>
      <c r="C16" s="1" t="n">
        <v>46103</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15808-2025</t>
        </is>
      </c>
      <c r="B17" s="1" t="n">
        <v>45748</v>
      </c>
      <c r="C17" s="1" t="n">
        <v>46103</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32645-2023</t>
        </is>
      </c>
      <c r="B18" s="1" t="n">
        <v>45121.60543981481</v>
      </c>
      <c r="C18" s="1" t="n">
        <v>46103</v>
      </c>
      <c r="D18" t="inlineStr">
        <is>
          <t>KALMAR LÄN</t>
        </is>
      </c>
      <c r="E18" t="inlineStr">
        <is>
          <t>VIMMERBY</t>
        </is>
      </c>
      <c r="F18" t="inlineStr">
        <is>
          <t>Sveaskog</t>
        </is>
      </c>
      <c r="G18" t="n">
        <v>1.5</v>
      </c>
      <c r="H18" t="n">
        <v>2</v>
      </c>
      <c r="I18" t="n">
        <v>1</v>
      </c>
      <c r="J18" t="n">
        <v>3</v>
      </c>
      <c r="K18" t="n">
        <v>0</v>
      </c>
      <c r="L18" t="n">
        <v>0</v>
      </c>
      <c r="M18" t="n">
        <v>0</v>
      </c>
      <c r="N18" t="n">
        <v>0</v>
      </c>
      <c r="O18" t="n">
        <v>3</v>
      </c>
      <c r="P18" t="n">
        <v>0</v>
      </c>
      <c r="Q18" t="n">
        <v>4</v>
      </c>
      <c r="R18" s="2" t="inlineStr">
        <is>
          <t>Dvärgbägarlav
Spillkråka
Talltita
Mindre märgborre</t>
        </is>
      </c>
      <c r="S18">
        <f>HYPERLINK("https://klasma.github.io/Logging_0884/artfynd/A 32645-2023 artfynd.xlsx", "A 32645-2023")</f>
        <v/>
      </c>
      <c r="T18">
        <f>HYPERLINK("https://klasma.github.io/Logging_0884/kartor/A 32645-2023 karta.png", "A 32645-2023")</f>
        <v/>
      </c>
      <c r="V18">
        <f>HYPERLINK("https://klasma.github.io/Logging_0884/klagomål/A 32645-2023 FSC-klagomål.docx", "A 32645-2023")</f>
        <v/>
      </c>
      <c r="W18">
        <f>HYPERLINK("https://klasma.github.io/Logging_0884/klagomålsmail/A 32645-2023 FSC-klagomål mail.docx", "A 32645-2023")</f>
        <v/>
      </c>
      <c r="X18">
        <f>HYPERLINK("https://klasma.github.io/Logging_0884/tillsyn/A 32645-2023 tillsynsbegäran.docx", "A 32645-2023")</f>
        <v/>
      </c>
      <c r="Y18">
        <f>HYPERLINK("https://klasma.github.io/Logging_0884/tillsynsmail/A 32645-2023 tillsynsbegäran mail.docx", "A 32645-2023")</f>
        <v/>
      </c>
      <c r="Z18">
        <f>HYPERLINK("https://klasma.github.io/Logging_0884/fåglar/A 32645-2023 prioriterade fågelarter.docx", "A 32645-2023")</f>
        <v/>
      </c>
    </row>
    <row r="19" ht="15" customHeight="1">
      <c r="A19" t="inlineStr">
        <is>
          <t>A 37901-2022</t>
        </is>
      </c>
      <c r="B19" s="1" t="n">
        <v>44811</v>
      </c>
      <c r="C19" s="1" t="n">
        <v>46103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46103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46103</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46103</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46103</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46103</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46103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14426-2026</t>
        </is>
      </c>
      <c r="B32" s="1" t="n">
        <v>46100.46956018519</v>
      </c>
      <c r="C32" s="1" t="n">
        <v>46103</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14024-2023</t>
        </is>
      </c>
      <c r="B33" s="1" t="n">
        <v>45008.60878472222</v>
      </c>
      <c r="C33" s="1" t="n">
        <v>46103</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17935-2025</t>
        </is>
      </c>
      <c r="B34" s="1" t="n">
        <v>45760.34877314815</v>
      </c>
      <c r="C34" s="1" t="n">
        <v>46103</v>
      </c>
      <c r="D34" t="inlineStr">
        <is>
          <t>KALMAR LÄN</t>
        </is>
      </c>
      <c r="E34" t="inlineStr">
        <is>
          <t>VIMMERBY</t>
        </is>
      </c>
      <c r="G34" t="n">
        <v>2.2</v>
      </c>
      <c r="H34" t="n">
        <v>1</v>
      </c>
      <c r="I34" t="n">
        <v>1</v>
      </c>
      <c r="J34" t="n">
        <v>0</v>
      </c>
      <c r="K34" t="n">
        <v>0</v>
      </c>
      <c r="L34" t="n">
        <v>0</v>
      </c>
      <c r="M34" t="n">
        <v>0</v>
      </c>
      <c r="N34" t="n">
        <v>0</v>
      </c>
      <c r="O34" t="n">
        <v>0</v>
      </c>
      <c r="P34" t="n">
        <v>0</v>
      </c>
      <c r="Q34" t="n">
        <v>2</v>
      </c>
      <c r="R34" s="2" t="inlineStr">
        <is>
          <t>Gräsull
Fläcknycklar</t>
        </is>
      </c>
      <c r="S34">
        <f>HYPERLINK("https://klasma.github.io/Logging_0884/artfynd/A 17935-2025 artfynd.xlsx", "A 17935-2025")</f>
        <v/>
      </c>
      <c r="T34">
        <f>HYPERLINK("https://klasma.github.io/Logging_0884/kartor/A 17935-2025 karta.png", "A 17935-2025")</f>
        <v/>
      </c>
      <c r="V34">
        <f>HYPERLINK("https://klasma.github.io/Logging_0884/klagomål/A 17935-2025 FSC-klagomål.docx", "A 17935-2025")</f>
        <v/>
      </c>
      <c r="W34">
        <f>HYPERLINK("https://klasma.github.io/Logging_0884/klagomålsmail/A 17935-2025 FSC-klagomål mail.docx", "A 17935-2025")</f>
        <v/>
      </c>
      <c r="X34">
        <f>HYPERLINK("https://klasma.github.io/Logging_0884/tillsyn/A 17935-2025 tillsynsbegäran.docx", "A 17935-2025")</f>
        <v/>
      </c>
      <c r="Y34">
        <f>HYPERLINK("https://klasma.github.io/Logging_0884/tillsynsmail/A 17935-2025 tillsynsbegäran mail.docx", "A 17935-2025")</f>
        <v/>
      </c>
    </row>
    <row r="35" ht="15" customHeight="1">
      <c r="A35" t="inlineStr">
        <is>
          <t>A 19158-2023</t>
        </is>
      </c>
      <c r="B35" s="1" t="n">
        <v>45048</v>
      </c>
      <c r="C35" s="1" t="n">
        <v>46103</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32396-2021</t>
        </is>
      </c>
      <c r="B36" s="1" t="n">
        <v>44371</v>
      </c>
      <c r="C36" s="1" t="n">
        <v>46103</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9067-2025</t>
        </is>
      </c>
      <c r="B37" s="1" t="n">
        <v>45713</v>
      </c>
      <c r="C37" s="1" t="n">
        <v>46103</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9067-2025 artfynd.xlsx", "A 9067-2025")</f>
        <v/>
      </c>
      <c r="T37">
        <f>HYPERLINK("https://klasma.github.io/Logging_0884/kartor/A 9067-2025 karta.png", "A 9067-2025")</f>
        <v/>
      </c>
      <c r="V37">
        <f>HYPERLINK("https://klasma.github.io/Logging_0884/klagomål/A 9067-2025 FSC-klagomål.docx", "A 9067-2025")</f>
        <v/>
      </c>
      <c r="W37">
        <f>HYPERLINK("https://klasma.github.io/Logging_0884/klagomålsmail/A 9067-2025 FSC-klagomål mail.docx", "A 9067-2025")</f>
        <v/>
      </c>
      <c r="X37">
        <f>HYPERLINK("https://klasma.github.io/Logging_0884/tillsyn/A 9067-2025 tillsynsbegäran.docx", "A 9067-2025")</f>
        <v/>
      </c>
      <c r="Y37">
        <f>HYPERLINK("https://klasma.github.io/Logging_0884/tillsynsmail/A 9067-2025 tillsynsbegäran mail.docx", "A 9067-2025")</f>
        <v/>
      </c>
    </row>
    <row r="38" ht="15" customHeight="1">
      <c r="A38" t="inlineStr">
        <is>
          <t>A 57062-2025</t>
        </is>
      </c>
      <c r="B38" s="1" t="n">
        <v>45979.37598379629</v>
      </c>
      <c r="C38" s="1" t="n">
        <v>46103</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28852-2023</t>
        </is>
      </c>
      <c r="B39" s="1" t="n">
        <v>45104</v>
      </c>
      <c r="C39" s="1" t="n">
        <v>46103</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61860-2024</t>
        </is>
      </c>
      <c r="B40" s="1" t="n">
        <v>45649</v>
      </c>
      <c r="C40" s="1" t="n">
        <v>46103</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52301-2023</t>
        </is>
      </c>
      <c r="B41" s="1" t="n">
        <v>45224</v>
      </c>
      <c r="C41" s="1" t="n">
        <v>46103</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40083-2023</t>
        </is>
      </c>
      <c r="B42" s="1" t="n">
        <v>45168</v>
      </c>
      <c r="C42" s="1" t="n">
        <v>46103</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46103</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53404-2025</t>
        </is>
      </c>
      <c r="B44" s="1" t="n">
        <v>45959.57126157408</v>
      </c>
      <c r="C44" s="1" t="n">
        <v>46103</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46103</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1201-2025</t>
        </is>
      </c>
      <c r="B46" s="1" t="n">
        <v>45667</v>
      </c>
      <c r="C46" s="1" t="n">
        <v>46103</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55384-2025</t>
        </is>
      </c>
      <c r="B47" s="1" t="n">
        <v>45971.43178240741</v>
      </c>
      <c r="C47" s="1" t="n">
        <v>46103</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23602-2023</t>
        </is>
      </c>
      <c r="B48" s="1" t="n">
        <v>45077</v>
      </c>
      <c r="C48" s="1" t="n">
        <v>46103</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29183-2025</t>
        </is>
      </c>
      <c r="B49" s="1" t="n">
        <v>45821</v>
      </c>
      <c r="C49" s="1" t="n">
        <v>46103</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32985-2023</t>
        </is>
      </c>
      <c r="B50" s="1" t="n">
        <v>45125</v>
      </c>
      <c r="C50" s="1" t="n">
        <v>46103</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46103</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46103</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46103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46103</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46103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46103</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46103</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46103</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46103</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46103</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46103</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46103</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15903-2021</t>
        </is>
      </c>
      <c r="B64" s="1" t="n">
        <v>44287.33261574074</v>
      </c>
      <c r="C64" s="1" t="n">
        <v>46103</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46103</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46103</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46103</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46103</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46103</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46103</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46103</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46103</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46103</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46103</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46103</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46103</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46103</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46103</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46103</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46103</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46103</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46103</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46103</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46103</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46103</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46103</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46103</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46103</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46103</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46103</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46103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46103</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46103</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46103</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46103</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46103</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46103</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46103</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46103</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31533-2022</t>
        </is>
      </c>
      <c r="B104" s="1" t="n">
        <v>44774</v>
      </c>
      <c r="C104" s="1" t="n">
        <v>46103</v>
      </c>
      <c r="D104" t="inlineStr">
        <is>
          <t>KALMAR LÄN</t>
        </is>
      </c>
      <c r="E104" t="inlineStr">
        <is>
          <t>VIMMERBY</t>
        </is>
      </c>
      <c r="G104" t="n">
        <v>2.5</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46103</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46103</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32386-2021</t>
        </is>
      </c>
      <c r="B107" s="1" t="n">
        <v>44371.62743055556</v>
      </c>
      <c r="C107" s="1" t="n">
        <v>46103</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46103</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46103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24369-2021</t>
        </is>
      </c>
      <c r="B110" s="1" t="n">
        <v>44337</v>
      </c>
      <c r="C110" s="1" t="n">
        <v>46103</v>
      </c>
      <c r="D110" t="inlineStr">
        <is>
          <t>KALMAR LÄN</t>
        </is>
      </c>
      <c r="E110" t="inlineStr">
        <is>
          <t>VIMMERBY</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46103</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33690-2022</t>
        </is>
      </c>
      <c r="B112" s="1" t="n">
        <v>44789</v>
      </c>
      <c r="C112" s="1" t="n">
        <v>46103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35198-2021</t>
        </is>
      </c>
      <c r="B113" s="1" t="n">
        <v>44377</v>
      </c>
      <c r="C113" s="1" t="n">
        <v>46103</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34036-2021</t>
        </is>
      </c>
      <c r="B114" s="1" t="n">
        <v>44379</v>
      </c>
      <c r="C114" s="1" t="n">
        <v>46103</v>
      </c>
      <c r="D114" t="inlineStr">
        <is>
          <t>KALMAR LÄN</t>
        </is>
      </c>
      <c r="E114" t="inlineStr">
        <is>
          <t>VIMMERBY</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51972-2021</t>
        </is>
      </c>
      <c r="B115" s="1" t="n">
        <v>44463.29439814815</v>
      </c>
      <c r="C115" s="1" t="n">
        <v>46103</v>
      </c>
      <c r="D115" t="inlineStr">
        <is>
          <t>KALMAR LÄN</t>
        </is>
      </c>
      <c r="E115" t="inlineStr">
        <is>
          <t>VIMMERBY</t>
        </is>
      </c>
      <c r="G115" t="n">
        <v>4.5</v>
      </c>
      <c r="H115" t="n">
        <v>0</v>
      </c>
      <c r="I115" t="n">
        <v>0</v>
      </c>
      <c r="J115" t="n">
        <v>0</v>
      </c>
      <c r="K115" t="n">
        <v>0</v>
      </c>
      <c r="L115" t="n">
        <v>0</v>
      </c>
      <c r="M115" t="n">
        <v>0</v>
      </c>
      <c r="N115" t="n">
        <v>0</v>
      </c>
      <c r="O115" t="n">
        <v>0</v>
      </c>
      <c r="P115" t="n">
        <v>0</v>
      </c>
      <c r="Q115" t="n">
        <v>0</v>
      </c>
      <c r="R115" s="2" t="inlineStr"/>
    </row>
    <row r="116" ht="15" customHeight="1">
      <c r="A116" t="inlineStr">
        <is>
          <t>A 63244-2021</t>
        </is>
      </c>
      <c r="B116" s="1" t="n">
        <v>44508</v>
      </c>
      <c r="C116" s="1" t="n">
        <v>46103</v>
      </c>
      <c r="D116" t="inlineStr">
        <is>
          <t>KALMAR LÄN</t>
        </is>
      </c>
      <c r="E116" t="inlineStr">
        <is>
          <t>VIMMERBY</t>
        </is>
      </c>
      <c r="F116" t="inlineStr">
        <is>
          <t>Övriga statliga verk och myndigheter</t>
        </is>
      </c>
      <c r="G116" t="n">
        <v>0.6</v>
      </c>
      <c r="H116" t="n">
        <v>0</v>
      </c>
      <c r="I116" t="n">
        <v>0</v>
      </c>
      <c r="J116" t="n">
        <v>0</v>
      </c>
      <c r="K116" t="n">
        <v>0</v>
      </c>
      <c r="L116" t="n">
        <v>0</v>
      </c>
      <c r="M116" t="n">
        <v>0</v>
      </c>
      <c r="N116" t="n">
        <v>0</v>
      </c>
      <c r="O116" t="n">
        <v>0</v>
      </c>
      <c r="P116" t="n">
        <v>0</v>
      </c>
      <c r="Q116" t="n">
        <v>0</v>
      </c>
      <c r="R116" s="2" t="inlineStr"/>
    </row>
    <row r="117" ht="15" customHeight="1">
      <c r="A117" t="inlineStr">
        <is>
          <t>A 11814-2022</t>
        </is>
      </c>
      <c r="B117" s="1" t="n">
        <v>44634.69703703704</v>
      </c>
      <c r="C117" s="1" t="n">
        <v>46103</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56385-2021</t>
        </is>
      </c>
      <c r="B118" s="1" t="n">
        <v>44480</v>
      </c>
      <c r="C118" s="1" t="n">
        <v>46103</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24738-2021</t>
        </is>
      </c>
      <c r="B119" s="1" t="n">
        <v>44340.58002314815</v>
      </c>
      <c r="C119" s="1" t="n">
        <v>46103</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46103</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46103</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46103</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46103</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24999-2021</t>
        </is>
      </c>
      <c r="B124" s="1" t="n">
        <v>44341</v>
      </c>
      <c r="C124" s="1" t="n">
        <v>46103</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7917-2022</t>
        </is>
      </c>
      <c r="B125" s="1" t="n">
        <v>44608</v>
      </c>
      <c r="C125" s="1" t="n">
        <v>46103</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47208-2021</t>
        </is>
      </c>
      <c r="B126" s="1" t="n">
        <v>44447.34237268518</v>
      </c>
      <c r="C126" s="1" t="n">
        <v>46103</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16705-2021</t>
        </is>
      </c>
      <c r="B127" s="1" t="n">
        <v>44294</v>
      </c>
      <c r="C127" s="1" t="n">
        <v>46103</v>
      </c>
      <c r="D127" t="inlineStr">
        <is>
          <t>KALMAR LÄN</t>
        </is>
      </c>
      <c r="E127" t="inlineStr">
        <is>
          <t>VIMMERBY</t>
        </is>
      </c>
      <c r="G127" t="n">
        <v>2.6</v>
      </c>
      <c r="H127" t="n">
        <v>0</v>
      </c>
      <c r="I127" t="n">
        <v>0</v>
      </c>
      <c r="J127" t="n">
        <v>0</v>
      </c>
      <c r="K127" t="n">
        <v>0</v>
      </c>
      <c r="L127" t="n">
        <v>0</v>
      </c>
      <c r="M127" t="n">
        <v>0</v>
      </c>
      <c r="N127" t="n">
        <v>0</v>
      </c>
      <c r="O127" t="n">
        <v>0</v>
      </c>
      <c r="P127" t="n">
        <v>0</v>
      </c>
      <c r="Q127" t="n">
        <v>0</v>
      </c>
      <c r="R127" s="2" t="inlineStr"/>
    </row>
    <row r="128" ht="15" customHeight="1">
      <c r="A128" t="inlineStr">
        <is>
          <t>A 56389-2021</t>
        </is>
      </c>
      <c r="B128" s="1" t="n">
        <v>44480</v>
      </c>
      <c r="C128" s="1" t="n">
        <v>46103</v>
      </c>
      <c r="D128" t="inlineStr">
        <is>
          <t>KALMAR LÄN</t>
        </is>
      </c>
      <c r="E128" t="inlineStr">
        <is>
          <t>VIMMERBY</t>
        </is>
      </c>
      <c r="G128" t="n">
        <v>0.9</v>
      </c>
      <c r="H128" t="n">
        <v>0</v>
      </c>
      <c r="I128" t="n">
        <v>0</v>
      </c>
      <c r="J128" t="n">
        <v>0</v>
      </c>
      <c r="K128" t="n">
        <v>0</v>
      </c>
      <c r="L128" t="n">
        <v>0</v>
      </c>
      <c r="M128" t="n">
        <v>0</v>
      </c>
      <c r="N128" t="n">
        <v>0</v>
      </c>
      <c r="O128" t="n">
        <v>0</v>
      </c>
      <c r="P128" t="n">
        <v>0</v>
      </c>
      <c r="Q128" t="n">
        <v>0</v>
      </c>
      <c r="R128" s="2" t="inlineStr"/>
    </row>
    <row r="129" ht="15" customHeight="1">
      <c r="A129" t="inlineStr">
        <is>
          <t>A 67952-2021</t>
        </is>
      </c>
      <c r="B129" s="1" t="n">
        <v>44525.63913194444</v>
      </c>
      <c r="C129" s="1" t="n">
        <v>46103</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14521-2021</t>
        </is>
      </c>
      <c r="B130" s="1" t="n">
        <v>44279.64934027778</v>
      </c>
      <c r="C130" s="1" t="n">
        <v>46103</v>
      </c>
      <c r="D130" t="inlineStr">
        <is>
          <t>KALMAR LÄN</t>
        </is>
      </c>
      <c r="E130" t="inlineStr">
        <is>
          <t>VIMMERBY</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15533-2022</t>
        </is>
      </c>
      <c r="B131" s="1" t="n">
        <v>44662</v>
      </c>
      <c r="C131" s="1" t="n">
        <v>46103</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46103</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46103</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12107-2022</t>
        </is>
      </c>
      <c r="B134" s="1" t="n">
        <v>44636</v>
      </c>
      <c r="C134" s="1" t="n">
        <v>46103</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39225-2022</t>
        </is>
      </c>
      <c r="B135" s="1" t="n">
        <v>44817.57988425926</v>
      </c>
      <c r="C135" s="1" t="n">
        <v>46103</v>
      </c>
      <c r="D135" t="inlineStr">
        <is>
          <t>KALMAR LÄN</t>
        </is>
      </c>
      <c r="E135" t="inlineStr">
        <is>
          <t>VIMMERBY</t>
        </is>
      </c>
      <c r="G135" t="n">
        <v>2.2</v>
      </c>
      <c r="H135" t="n">
        <v>0</v>
      </c>
      <c r="I135" t="n">
        <v>0</v>
      </c>
      <c r="J135" t="n">
        <v>0</v>
      </c>
      <c r="K135" t="n">
        <v>0</v>
      </c>
      <c r="L135" t="n">
        <v>0</v>
      </c>
      <c r="M135" t="n">
        <v>0</v>
      </c>
      <c r="N135" t="n">
        <v>0</v>
      </c>
      <c r="O135" t="n">
        <v>0</v>
      </c>
      <c r="P135" t="n">
        <v>0</v>
      </c>
      <c r="Q135" t="n">
        <v>0</v>
      </c>
      <c r="R135" s="2" t="inlineStr"/>
    </row>
    <row r="136" ht="15" customHeight="1">
      <c r="A136" t="inlineStr">
        <is>
          <t>A 16602-2021</t>
        </is>
      </c>
      <c r="B136" s="1" t="n">
        <v>44294</v>
      </c>
      <c r="C136" s="1" t="n">
        <v>46103</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16607-2021</t>
        </is>
      </c>
      <c r="B137" s="1" t="n">
        <v>44294</v>
      </c>
      <c r="C137" s="1" t="n">
        <v>46103</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17029-2022</t>
        </is>
      </c>
      <c r="B138" s="1" t="n">
        <v>44676.85248842592</v>
      </c>
      <c r="C138" s="1" t="n">
        <v>46103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7167-2022</t>
        </is>
      </c>
      <c r="B139" s="1" t="n">
        <v>44604</v>
      </c>
      <c r="C139" s="1" t="n">
        <v>46103</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18356-2021</t>
        </is>
      </c>
      <c r="B140" s="1" t="n">
        <v>44305</v>
      </c>
      <c r="C140" s="1" t="n">
        <v>46103</v>
      </c>
      <c r="D140" t="inlineStr">
        <is>
          <t>KALMAR LÄN</t>
        </is>
      </c>
      <c r="E140" t="inlineStr">
        <is>
          <t>VIMMERBY</t>
        </is>
      </c>
      <c r="G140" t="n">
        <v>3.4</v>
      </c>
      <c r="H140" t="n">
        <v>0</v>
      </c>
      <c r="I140" t="n">
        <v>0</v>
      </c>
      <c r="J140" t="n">
        <v>0</v>
      </c>
      <c r="K140" t="n">
        <v>0</v>
      </c>
      <c r="L140" t="n">
        <v>0</v>
      </c>
      <c r="M140" t="n">
        <v>0</v>
      </c>
      <c r="N140" t="n">
        <v>0</v>
      </c>
      <c r="O140" t="n">
        <v>0</v>
      </c>
      <c r="P140" t="n">
        <v>0</v>
      </c>
      <c r="Q140" t="n">
        <v>0</v>
      </c>
      <c r="R140" s="2" t="inlineStr"/>
    </row>
    <row r="141" ht="15" customHeight="1">
      <c r="A141" t="inlineStr">
        <is>
          <t>A 15200-2021</t>
        </is>
      </c>
      <c r="B141" s="1" t="n">
        <v>44284.44574074074</v>
      </c>
      <c r="C141" s="1" t="n">
        <v>46103</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46103</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46103</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46103</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46103</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48377-2021</t>
        </is>
      </c>
      <c r="B146" s="1" t="n">
        <v>44451.8375</v>
      </c>
      <c r="C146" s="1" t="n">
        <v>46103</v>
      </c>
      <c r="D146" t="inlineStr">
        <is>
          <t>KALMAR LÄN</t>
        </is>
      </c>
      <c r="E146" t="inlineStr">
        <is>
          <t>VIMMERBY</t>
        </is>
      </c>
      <c r="G146" t="n">
        <v>0.4</v>
      </c>
      <c r="H146" t="n">
        <v>0</v>
      </c>
      <c r="I146" t="n">
        <v>0</v>
      </c>
      <c r="J146" t="n">
        <v>0</v>
      </c>
      <c r="K146" t="n">
        <v>0</v>
      </c>
      <c r="L146" t="n">
        <v>0</v>
      </c>
      <c r="M146" t="n">
        <v>0</v>
      </c>
      <c r="N146" t="n">
        <v>0</v>
      </c>
      <c r="O146" t="n">
        <v>0</v>
      </c>
      <c r="P146" t="n">
        <v>0</v>
      </c>
      <c r="Q146" t="n">
        <v>0</v>
      </c>
      <c r="R146" s="2" t="inlineStr"/>
    </row>
    <row r="147" ht="15" customHeight="1">
      <c r="A147" t="inlineStr">
        <is>
          <t>A 35316-2021</t>
        </is>
      </c>
      <c r="B147" s="1" t="n">
        <v>44384</v>
      </c>
      <c r="C147" s="1" t="n">
        <v>46103</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33831-2022</t>
        </is>
      </c>
      <c r="B148" s="1" t="n">
        <v>44790.48503472222</v>
      </c>
      <c r="C148" s="1" t="n">
        <v>46103</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47708-2022</t>
        </is>
      </c>
      <c r="B149" s="1" t="n">
        <v>44854.59157407407</v>
      </c>
      <c r="C149" s="1" t="n">
        <v>46103</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46103</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46103</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46103</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46103</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46103</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41056-2022</t>
        </is>
      </c>
      <c r="B155" s="1" t="n">
        <v>44824</v>
      </c>
      <c r="C155" s="1" t="n">
        <v>46103</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31660-2021</t>
        </is>
      </c>
      <c r="B156" s="1" t="n">
        <v>44369</v>
      </c>
      <c r="C156" s="1" t="n">
        <v>46103</v>
      </c>
      <c r="D156" t="inlineStr">
        <is>
          <t>KALMAR LÄN</t>
        </is>
      </c>
      <c r="E156" t="inlineStr">
        <is>
          <t>VIMMERBY</t>
        </is>
      </c>
      <c r="G156" t="n">
        <v>4.2</v>
      </c>
      <c r="H156" t="n">
        <v>0</v>
      </c>
      <c r="I156" t="n">
        <v>0</v>
      </c>
      <c r="J156" t="n">
        <v>0</v>
      </c>
      <c r="K156" t="n">
        <v>0</v>
      </c>
      <c r="L156" t="n">
        <v>0</v>
      </c>
      <c r="M156" t="n">
        <v>0</v>
      </c>
      <c r="N156" t="n">
        <v>0</v>
      </c>
      <c r="O156" t="n">
        <v>0</v>
      </c>
      <c r="P156" t="n">
        <v>0</v>
      </c>
      <c r="Q156" t="n">
        <v>0</v>
      </c>
      <c r="R156" s="2" t="inlineStr"/>
    </row>
    <row r="157" ht="15" customHeight="1">
      <c r="A157" t="inlineStr">
        <is>
          <t>A 27455-2022</t>
        </is>
      </c>
      <c r="B157" s="1" t="n">
        <v>44742</v>
      </c>
      <c r="C157" s="1" t="n">
        <v>46103</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32603-2021</t>
        </is>
      </c>
      <c r="B158" s="1" t="n">
        <v>44375.38789351852</v>
      </c>
      <c r="C158" s="1" t="n">
        <v>46103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46103</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42521-2021</t>
        </is>
      </c>
      <c r="B160" s="1" t="n">
        <v>44427</v>
      </c>
      <c r="C160" s="1" t="n">
        <v>46103</v>
      </c>
      <c r="D160" t="inlineStr">
        <is>
          <t>KALMAR LÄN</t>
        </is>
      </c>
      <c r="E160" t="inlineStr">
        <is>
          <t>VIMMERBY</t>
        </is>
      </c>
      <c r="G160" t="n">
        <v>5.4</v>
      </c>
      <c r="H160" t="n">
        <v>0</v>
      </c>
      <c r="I160" t="n">
        <v>0</v>
      </c>
      <c r="J160" t="n">
        <v>0</v>
      </c>
      <c r="K160" t="n">
        <v>0</v>
      </c>
      <c r="L160" t="n">
        <v>0</v>
      </c>
      <c r="M160" t="n">
        <v>0</v>
      </c>
      <c r="N160" t="n">
        <v>0</v>
      </c>
      <c r="O160" t="n">
        <v>0</v>
      </c>
      <c r="P160" t="n">
        <v>0</v>
      </c>
      <c r="Q160" t="n">
        <v>0</v>
      </c>
      <c r="R160" s="2" t="inlineStr"/>
    </row>
    <row r="161" ht="15" customHeight="1">
      <c r="A161" t="inlineStr">
        <is>
          <t>A 46964-2022</t>
        </is>
      </c>
      <c r="B161" s="1" t="n">
        <v>44851.95016203704</v>
      </c>
      <c r="C161" s="1" t="n">
        <v>46103</v>
      </c>
      <c r="D161" t="inlineStr">
        <is>
          <t>KALMAR LÄN</t>
        </is>
      </c>
      <c r="E161" t="inlineStr">
        <is>
          <t>VIMMERBY</t>
        </is>
      </c>
      <c r="G161" t="n">
        <v>0.2</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46103</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46103</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46103</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46103</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46103</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46103</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46103</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40971-2021</t>
        </is>
      </c>
      <c r="B169" s="1" t="n">
        <v>44421</v>
      </c>
      <c r="C169" s="1" t="n">
        <v>46103</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8453-2022</t>
        </is>
      </c>
      <c r="B170" s="1" t="n">
        <v>44612.86554398148</v>
      </c>
      <c r="C170" s="1" t="n">
        <v>46103</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52433-2021</t>
        </is>
      </c>
      <c r="B171" s="1" t="n">
        <v>44466.34726851852</v>
      </c>
      <c r="C171" s="1" t="n">
        <v>46103</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50621-2022</t>
        </is>
      </c>
      <c r="B172" s="1" t="n">
        <v>44866.81100694444</v>
      </c>
      <c r="C172" s="1" t="n">
        <v>46103</v>
      </c>
      <c r="D172" t="inlineStr">
        <is>
          <t>KALMAR LÄN</t>
        </is>
      </c>
      <c r="E172" t="inlineStr">
        <is>
          <t>VIMMERBY</t>
        </is>
      </c>
      <c r="F172" t="inlineStr">
        <is>
          <t>Övriga Aktiebolag</t>
        </is>
      </c>
      <c r="G172" t="n">
        <v>5.1</v>
      </c>
      <c r="H172" t="n">
        <v>0</v>
      </c>
      <c r="I172" t="n">
        <v>0</v>
      </c>
      <c r="J172" t="n">
        <v>0</v>
      </c>
      <c r="K172" t="n">
        <v>0</v>
      </c>
      <c r="L172" t="n">
        <v>0</v>
      </c>
      <c r="M172" t="n">
        <v>0</v>
      </c>
      <c r="N172" t="n">
        <v>0</v>
      </c>
      <c r="O172" t="n">
        <v>0</v>
      </c>
      <c r="P172" t="n">
        <v>0</v>
      </c>
      <c r="Q172" t="n">
        <v>0</v>
      </c>
      <c r="R172" s="2" t="inlineStr"/>
    </row>
    <row r="173" ht="15" customHeight="1">
      <c r="A173" t="inlineStr">
        <is>
          <t>A 54065-2021</t>
        </is>
      </c>
      <c r="B173" s="1" t="n">
        <v>44470.44232638889</v>
      </c>
      <c r="C173" s="1" t="n">
        <v>46103</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46103</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11733-2022</t>
        </is>
      </c>
      <c r="B175" s="1" t="n">
        <v>44634</v>
      </c>
      <c r="C175" s="1" t="n">
        <v>46103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39042-2022</t>
        </is>
      </c>
      <c r="B176" s="1" t="n">
        <v>44817</v>
      </c>
      <c r="C176" s="1" t="n">
        <v>46103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7804-2022</t>
        </is>
      </c>
      <c r="B177" s="1" t="n">
        <v>44608.50458333334</v>
      </c>
      <c r="C177" s="1" t="n">
        <v>46103</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46103</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4076-2022</t>
        </is>
      </c>
      <c r="B179" s="1" t="n">
        <v>44588.37998842593</v>
      </c>
      <c r="C179" s="1" t="n">
        <v>46103</v>
      </c>
      <c r="D179" t="inlineStr">
        <is>
          <t>KALMAR LÄN</t>
        </is>
      </c>
      <c r="E179" t="inlineStr">
        <is>
          <t>VIMMERBY</t>
        </is>
      </c>
      <c r="G179" t="n">
        <v>3</v>
      </c>
      <c r="H179" t="n">
        <v>0</v>
      </c>
      <c r="I179" t="n">
        <v>0</v>
      </c>
      <c r="J179" t="n">
        <v>0</v>
      </c>
      <c r="K179" t="n">
        <v>0</v>
      </c>
      <c r="L179" t="n">
        <v>0</v>
      </c>
      <c r="M179" t="n">
        <v>0</v>
      </c>
      <c r="N179" t="n">
        <v>0</v>
      </c>
      <c r="O179" t="n">
        <v>0</v>
      </c>
      <c r="P179" t="n">
        <v>0</v>
      </c>
      <c r="Q179" t="n">
        <v>0</v>
      </c>
      <c r="R179" s="2" t="inlineStr"/>
    </row>
    <row r="180" ht="15" customHeight="1">
      <c r="A180" t="inlineStr">
        <is>
          <t>A 4122-2022</t>
        </is>
      </c>
      <c r="B180" s="1" t="n">
        <v>44588</v>
      </c>
      <c r="C180" s="1" t="n">
        <v>46103</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58374-2024</t>
        </is>
      </c>
      <c r="B181" s="1" t="n">
        <v>45632.72635416667</v>
      </c>
      <c r="C181" s="1" t="n">
        <v>46103</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30402-2023</t>
        </is>
      </c>
      <c r="B182" s="1" t="n">
        <v>45111.48395833333</v>
      </c>
      <c r="C182" s="1" t="n">
        <v>46103</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46103</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56213-2024</t>
        </is>
      </c>
      <c r="B184" s="1" t="n">
        <v>45624.60141203704</v>
      </c>
      <c r="C184" s="1" t="n">
        <v>46103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54409-2024</t>
        </is>
      </c>
      <c r="B185" s="1" t="n">
        <v>45617.47570601852</v>
      </c>
      <c r="C185" s="1" t="n">
        <v>46103</v>
      </c>
      <c r="D185" t="inlineStr">
        <is>
          <t>KALMAR LÄN</t>
        </is>
      </c>
      <c r="E185" t="inlineStr">
        <is>
          <t>VIMMERBY</t>
        </is>
      </c>
      <c r="G185" t="n">
        <v>4.3</v>
      </c>
      <c r="H185" t="n">
        <v>0</v>
      </c>
      <c r="I185" t="n">
        <v>0</v>
      </c>
      <c r="J185" t="n">
        <v>0</v>
      </c>
      <c r="K185" t="n">
        <v>0</v>
      </c>
      <c r="L185" t="n">
        <v>0</v>
      </c>
      <c r="M185" t="n">
        <v>0</v>
      </c>
      <c r="N185" t="n">
        <v>0</v>
      </c>
      <c r="O185" t="n">
        <v>0</v>
      </c>
      <c r="P185" t="n">
        <v>0</v>
      </c>
      <c r="Q185" t="n">
        <v>0</v>
      </c>
      <c r="R185" s="2" t="inlineStr"/>
    </row>
    <row r="186" ht="15" customHeight="1">
      <c r="A186" t="inlineStr">
        <is>
          <t>A 11609-2023</t>
        </is>
      </c>
      <c r="B186" s="1" t="n">
        <v>44994.40635416667</v>
      </c>
      <c r="C186" s="1" t="n">
        <v>46103</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7643-2022</t>
        </is>
      </c>
      <c r="B187" s="1" t="n">
        <v>44607</v>
      </c>
      <c r="C187" s="1" t="n">
        <v>46103</v>
      </c>
      <c r="D187" t="inlineStr">
        <is>
          <t>KALMAR LÄN</t>
        </is>
      </c>
      <c r="E187" t="inlineStr">
        <is>
          <t>VIMMERBY</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16825-2024</t>
        </is>
      </c>
      <c r="B188" s="1" t="n">
        <v>45411.47335648148</v>
      </c>
      <c r="C188" s="1" t="n">
        <v>46103</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11027-2023</t>
        </is>
      </c>
      <c r="B189" s="1" t="n">
        <v>44991.89657407408</v>
      </c>
      <c r="C189" s="1" t="n">
        <v>46103</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58962-2022</t>
        </is>
      </c>
      <c r="B190" s="1" t="n">
        <v>44903</v>
      </c>
      <c r="C190" s="1" t="n">
        <v>46103</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31382-2023</t>
        </is>
      </c>
      <c r="B191" s="1" t="n">
        <v>45114.55136574074</v>
      </c>
      <c r="C191" s="1" t="n">
        <v>46103</v>
      </c>
      <c r="D191" t="inlineStr">
        <is>
          <t>KALMAR LÄN</t>
        </is>
      </c>
      <c r="E191" t="inlineStr">
        <is>
          <t>VIMMERBY</t>
        </is>
      </c>
      <c r="G191" t="n">
        <v>3.7</v>
      </c>
      <c r="H191" t="n">
        <v>0</v>
      </c>
      <c r="I191" t="n">
        <v>0</v>
      </c>
      <c r="J191" t="n">
        <v>0</v>
      </c>
      <c r="K191" t="n">
        <v>0</v>
      </c>
      <c r="L191" t="n">
        <v>0</v>
      </c>
      <c r="M191" t="n">
        <v>0</v>
      </c>
      <c r="N191" t="n">
        <v>0</v>
      </c>
      <c r="O191" t="n">
        <v>0</v>
      </c>
      <c r="P191" t="n">
        <v>0</v>
      </c>
      <c r="Q191" t="n">
        <v>0</v>
      </c>
      <c r="R191" s="2" t="inlineStr"/>
    </row>
    <row r="192" ht="15" customHeight="1">
      <c r="A192" t="inlineStr">
        <is>
          <t>A 10837-2023</t>
        </is>
      </c>
      <c r="B192" s="1" t="n">
        <v>44991.30547453704</v>
      </c>
      <c r="C192" s="1" t="n">
        <v>46103</v>
      </c>
      <c r="D192" t="inlineStr">
        <is>
          <t>KALMAR LÄN</t>
        </is>
      </c>
      <c r="E192" t="inlineStr">
        <is>
          <t>VIMMERBY</t>
        </is>
      </c>
      <c r="G192" t="n">
        <v>7.3</v>
      </c>
      <c r="H192" t="n">
        <v>0</v>
      </c>
      <c r="I192" t="n">
        <v>0</v>
      </c>
      <c r="J192" t="n">
        <v>0</v>
      </c>
      <c r="K192" t="n">
        <v>0</v>
      </c>
      <c r="L192" t="n">
        <v>0</v>
      </c>
      <c r="M192" t="n">
        <v>0</v>
      </c>
      <c r="N192" t="n">
        <v>0</v>
      </c>
      <c r="O192" t="n">
        <v>0</v>
      </c>
      <c r="P192" t="n">
        <v>0</v>
      </c>
      <c r="Q192" t="n">
        <v>0</v>
      </c>
      <c r="R192" s="2" t="inlineStr"/>
    </row>
    <row r="193" ht="15" customHeight="1">
      <c r="A193" t="inlineStr">
        <is>
          <t>A 10838-2023</t>
        </is>
      </c>
      <c r="B193" s="1" t="n">
        <v>44991</v>
      </c>
      <c r="C193" s="1" t="n">
        <v>46103</v>
      </c>
      <c r="D193" t="inlineStr">
        <is>
          <t>KALMAR LÄN</t>
        </is>
      </c>
      <c r="E193" t="inlineStr">
        <is>
          <t>VIMMERBY</t>
        </is>
      </c>
      <c r="G193" t="n">
        <v>5.1</v>
      </c>
      <c r="H193" t="n">
        <v>0</v>
      </c>
      <c r="I193" t="n">
        <v>0</v>
      </c>
      <c r="J193" t="n">
        <v>0</v>
      </c>
      <c r="K193" t="n">
        <v>0</v>
      </c>
      <c r="L193" t="n">
        <v>0</v>
      </c>
      <c r="M193" t="n">
        <v>0</v>
      </c>
      <c r="N193" t="n">
        <v>0</v>
      </c>
      <c r="O193" t="n">
        <v>0</v>
      </c>
      <c r="P193" t="n">
        <v>0</v>
      </c>
      <c r="Q193" t="n">
        <v>0</v>
      </c>
      <c r="R193" s="2" t="inlineStr"/>
    </row>
    <row r="194" ht="15" customHeight="1">
      <c r="A194" t="inlineStr">
        <is>
          <t>A 53483-2022</t>
        </is>
      </c>
      <c r="B194" s="1" t="n">
        <v>44879.55940972222</v>
      </c>
      <c r="C194" s="1" t="n">
        <v>46103</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18899-2025</t>
        </is>
      </c>
      <c r="B195" s="1" t="n">
        <v>45764.44931712963</v>
      </c>
      <c r="C195" s="1" t="n">
        <v>46103</v>
      </c>
      <c r="D195" t="inlineStr">
        <is>
          <t>KALMAR LÄN</t>
        </is>
      </c>
      <c r="E195" t="inlineStr">
        <is>
          <t>VIMMERBY</t>
        </is>
      </c>
      <c r="F195" t="inlineStr">
        <is>
          <t>Kommuner</t>
        </is>
      </c>
      <c r="G195" t="n">
        <v>4</v>
      </c>
      <c r="H195" t="n">
        <v>0</v>
      </c>
      <c r="I195" t="n">
        <v>0</v>
      </c>
      <c r="J195" t="n">
        <v>0</v>
      </c>
      <c r="K195" t="n">
        <v>0</v>
      </c>
      <c r="L195" t="n">
        <v>0</v>
      </c>
      <c r="M195" t="n">
        <v>0</v>
      </c>
      <c r="N195" t="n">
        <v>0</v>
      </c>
      <c r="O195" t="n">
        <v>0</v>
      </c>
      <c r="P195" t="n">
        <v>0</v>
      </c>
      <c r="Q195" t="n">
        <v>0</v>
      </c>
      <c r="R195" s="2" t="inlineStr"/>
    </row>
    <row r="196" ht="15" customHeight="1">
      <c r="A196" t="inlineStr">
        <is>
          <t>A 20054-2023</t>
        </is>
      </c>
      <c r="B196" s="1" t="n">
        <v>45054.6750462963</v>
      </c>
      <c r="C196" s="1" t="n">
        <v>46103</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13290-2025</t>
        </is>
      </c>
      <c r="B197" s="1" t="n">
        <v>45735.56751157407</v>
      </c>
      <c r="C197" s="1" t="n">
        <v>46103</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11946-2025</t>
        </is>
      </c>
      <c r="B198" s="1" t="n">
        <v>45728.54832175926</v>
      </c>
      <c r="C198" s="1" t="n">
        <v>46103</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19537-2022</t>
        </is>
      </c>
      <c r="B199" s="1" t="n">
        <v>44693.62822916666</v>
      </c>
      <c r="C199" s="1" t="n">
        <v>46103</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19162-2023</t>
        </is>
      </c>
      <c r="B200" s="1" t="n">
        <v>45048.59699074074</v>
      </c>
      <c r="C200" s="1" t="n">
        <v>46103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60951-2023</t>
        </is>
      </c>
      <c r="B201" s="1" t="n">
        <v>45261.44914351852</v>
      </c>
      <c r="C201" s="1" t="n">
        <v>46103</v>
      </c>
      <c r="D201" t="inlineStr">
        <is>
          <t>KALMAR LÄN</t>
        </is>
      </c>
      <c r="E201" t="inlineStr">
        <is>
          <t>VIMMERBY</t>
        </is>
      </c>
      <c r="G201" t="n">
        <v>4.3</v>
      </c>
      <c r="H201" t="n">
        <v>0</v>
      </c>
      <c r="I201" t="n">
        <v>0</v>
      </c>
      <c r="J201" t="n">
        <v>0</v>
      </c>
      <c r="K201" t="n">
        <v>0</v>
      </c>
      <c r="L201" t="n">
        <v>0</v>
      </c>
      <c r="M201" t="n">
        <v>0</v>
      </c>
      <c r="N201" t="n">
        <v>0</v>
      </c>
      <c r="O201" t="n">
        <v>0</v>
      </c>
      <c r="P201" t="n">
        <v>0</v>
      </c>
      <c r="Q201" t="n">
        <v>0</v>
      </c>
      <c r="R201" s="2" t="inlineStr"/>
    </row>
    <row r="202" ht="15" customHeight="1">
      <c r="A202" t="inlineStr">
        <is>
          <t>A 60292-2022</t>
        </is>
      </c>
      <c r="B202" s="1" t="n">
        <v>44910.54231481482</v>
      </c>
      <c r="C202" s="1" t="n">
        <v>46103</v>
      </c>
      <c r="D202" t="inlineStr">
        <is>
          <t>KALMAR LÄN</t>
        </is>
      </c>
      <c r="E202" t="inlineStr">
        <is>
          <t>VIMMERBY</t>
        </is>
      </c>
      <c r="G202" t="n">
        <v>4.4</v>
      </c>
      <c r="H202" t="n">
        <v>0</v>
      </c>
      <c r="I202" t="n">
        <v>0</v>
      </c>
      <c r="J202" t="n">
        <v>0</v>
      </c>
      <c r="K202" t="n">
        <v>0</v>
      </c>
      <c r="L202" t="n">
        <v>0</v>
      </c>
      <c r="M202" t="n">
        <v>0</v>
      </c>
      <c r="N202" t="n">
        <v>0</v>
      </c>
      <c r="O202" t="n">
        <v>0</v>
      </c>
      <c r="P202" t="n">
        <v>0</v>
      </c>
      <c r="Q202" t="n">
        <v>0</v>
      </c>
      <c r="R202" s="2" t="inlineStr"/>
    </row>
    <row r="203" ht="15" customHeight="1">
      <c r="A203" t="inlineStr">
        <is>
          <t>A 9475-2023</t>
        </is>
      </c>
      <c r="B203" s="1" t="n">
        <v>44981.58834490741</v>
      </c>
      <c r="C203" s="1" t="n">
        <v>46103</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46103</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7485-2024</t>
        </is>
      </c>
      <c r="B205" s="1" t="n">
        <v>45346.67184027778</v>
      </c>
      <c r="C205" s="1" t="n">
        <v>46103</v>
      </c>
      <c r="D205" t="inlineStr">
        <is>
          <t>KALMAR LÄN</t>
        </is>
      </c>
      <c r="E205" t="inlineStr">
        <is>
          <t>VIMMERBY</t>
        </is>
      </c>
      <c r="G205" t="n">
        <v>1.9</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46103</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12590-2025</t>
        </is>
      </c>
      <c r="B207" s="1" t="n">
        <v>45732.79925925926</v>
      </c>
      <c r="C207" s="1" t="n">
        <v>46103</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35710-2023</t>
        </is>
      </c>
      <c r="B208" s="1" t="n">
        <v>45147.67096064815</v>
      </c>
      <c r="C208" s="1" t="n">
        <v>46103</v>
      </c>
      <c r="D208" t="inlineStr">
        <is>
          <t>KALMAR LÄN</t>
        </is>
      </c>
      <c r="E208" t="inlineStr">
        <is>
          <t>VIMMERBY</t>
        </is>
      </c>
      <c r="G208" t="n">
        <v>3.1</v>
      </c>
      <c r="H208" t="n">
        <v>0</v>
      </c>
      <c r="I208" t="n">
        <v>0</v>
      </c>
      <c r="J208" t="n">
        <v>0</v>
      </c>
      <c r="K208" t="n">
        <v>0</v>
      </c>
      <c r="L208" t="n">
        <v>0</v>
      </c>
      <c r="M208" t="n">
        <v>0</v>
      </c>
      <c r="N208" t="n">
        <v>0</v>
      </c>
      <c r="O208" t="n">
        <v>0</v>
      </c>
      <c r="P208" t="n">
        <v>0</v>
      </c>
      <c r="Q208" t="n">
        <v>0</v>
      </c>
      <c r="R208" s="2" t="inlineStr"/>
    </row>
    <row r="209" ht="15" customHeight="1">
      <c r="A209" t="inlineStr">
        <is>
          <t>A 52823-2024</t>
        </is>
      </c>
      <c r="B209" s="1" t="n">
        <v>45610.59094907407</v>
      </c>
      <c r="C209" s="1" t="n">
        <v>46103</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14548-2024</t>
        </is>
      </c>
      <c r="B210" s="1" t="n">
        <v>45394.66887731481</v>
      </c>
      <c r="C210" s="1" t="n">
        <v>46103</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11147-2023</t>
        </is>
      </c>
      <c r="B211" s="1" t="n">
        <v>44992</v>
      </c>
      <c r="C211" s="1" t="n">
        <v>46103</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19833-2023</t>
        </is>
      </c>
      <c r="B212" s="1" t="n">
        <v>45052</v>
      </c>
      <c r="C212" s="1" t="n">
        <v>46103</v>
      </c>
      <c r="D212" t="inlineStr">
        <is>
          <t>KALMAR LÄN</t>
        </is>
      </c>
      <c r="E212" t="inlineStr">
        <is>
          <t>VIMMERBY</t>
        </is>
      </c>
      <c r="G212" t="n">
        <v>6.7</v>
      </c>
      <c r="H212" t="n">
        <v>0</v>
      </c>
      <c r="I212" t="n">
        <v>0</v>
      </c>
      <c r="J212" t="n">
        <v>0</v>
      </c>
      <c r="K212" t="n">
        <v>0</v>
      </c>
      <c r="L212" t="n">
        <v>0</v>
      </c>
      <c r="M212" t="n">
        <v>0</v>
      </c>
      <c r="N212" t="n">
        <v>0</v>
      </c>
      <c r="O212" t="n">
        <v>0</v>
      </c>
      <c r="P212" t="n">
        <v>0</v>
      </c>
      <c r="Q212" t="n">
        <v>0</v>
      </c>
      <c r="R212" s="2" t="inlineStr"/>
    </row>
    <row r="213" ht="15" customHeight="1">
      <c r="A213" t="inlineStr">
        <is>
          <t>A 585-2024</t>
        </is>
      </c>
      <c r="B213" s="1" t="n">
        <v>45299.62576388889</v>
      </c>
      <c r="C213" s="1" t="n">
        <v>46103</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23252-2024</t>
        </is>
      </c>
      <c r="B214" s="1" t="n">
        <v>45453.36067129629</v>
      </c>
      <c r="C214" s="1" t="n">
        <v>46103</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56020-2024</t>
        </is>
      </c>
      <c r="B215" s="1" t="n">
        <v>45623.9525462963</v>
      </c>
      <c r="C215" s="1" t="n">
        <v>46103</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22399-2025</t>
        </is>
      </c>
      <c r="B216" s="1" t="n">
        <v>45786.52996527778</v>
      </c>
      <c r="C216" s="1" t="n">
        <v>46103</v>
      </c>
      <c r="D216" t="inlineStr">
        <is>
          <t>KALMAR LÄN</t>
        </is>
      </c>
      <c r="E216" t="inlineStr">
        <is>
          <t>VIMMERBY</t>
        </is>
      </c>
      <c r="G216" t="n">
        <v>2.1</v>
      </c>
      <c r="H216" t="n">
        <v>0</v>
      </c>
      <c r="I216" t="n">
        <v>0</v>
      </c>
      <c r="J216" t="n">
        <v>0</v>
      </c>
      <c r="K216" t="n">
        <v>0</v>
      </c>
      <c r="L216" t="n">
        <v>0</v>
      </c>
      <c r="M216" t="n">
        <v>0</v>
      </c>
      <c r="N216" t="n">
        <v>0</v>
      </c>
      <c r="O216" t="n">
        <v>0</v>
      </c>
      <c r="P216" t="n">
        <v>0</v>
      </c>
      <c r="Q216" t="n">
        <v>0</v>
      </c>
      <c r="R216" s="2" t="inlineStr"/>
    </row>
    <row r="217" ht="15" customHeight="1">
      <c r="A217" t="inlineStr">
        <is>
          <t>A 22397-2025</t>
        </is>
      </c>
      <c r="B217" s="1" t="n">
        <v>45786.52878472222</v>
      </c>
      <c r="C217" s="1" t="n">
        <v>46103</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25582-2024</t>
        </is>
      </c>
      <c r="B218" s="1" t="n">
        <v>45463</v>
      </c>
      <c r="C218" s="1" t="n">
        <v>46103</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15550-2023</t>
        </is>
      </c>
      <c r="B219" s="1" t="n">
        <v>45020</v>
      </c>
      <c r="C219" s="1" t="n">
        <v>46103</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55603-2025</t>
        </is>
      </c>
      <c r="B220" s="1" t="n">
        <v>45971</v>
      </c>
      <c r="C220" s="1" t="n">
        <v>46103</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55605-2025</t>
        </is>
      </c>
      <c r="B221" s="1" t="n">
        <v>45971</v>
      </c>
      <c r="C221" s="1" t="n">
        <v>46103</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11219-2023</t>
        </is>
      </c>
      <c r="B222" s="1" t="n">
        <v>44992.62498842592</v>
      </c>
      <c r="C222" s="1" t="n">
        <v>46103</v>
      </c>
      <c r="D222" t="inlineStr">
        <is>
          <t>KALMAR LÄN</t>
        </is>
      </c>
      <c r="E222" t="inlineStr">
        <is>
          <t>VIMMERBY</t>
        </is>
      </c>
      <c r="G222" t="n">
        <v>2.5</v>
      </c>
      <c r="H222" t="n">
        <v>0</v>
      </c>
      <c r="I222" t="n">
        <v>0</v>
      </c>
      <c r="J222" t="n">
        <v>0</v>
      </c>
      <c r="K222" t="n">
        <v>0</v>
      </c>
      <c r="L222" t="n">
        <v>0</v>
      </c>
      <c r="M222" t="n">
        <v>0</v>
      </c>
      <c r="N222" t="n">
        <v>0</v>
      </c>
      <c r="O222" t="n">
        <v>0</v>
      </c>
      <c r="P222" t="n">
        <v>0</v>
      </c>
      <c r="Q222" t="n">
        <v>0</v>
      </c>
      <c r="R222" s="2" t="inlineStr"/>
    </row>
    <row r="223" ht="15" customHeight="1">
      <c r="A223" t="inlineStr">
        <is>
          <t>A 55385-2025</t>
        </is>
      </c>
      <c r="B223" s="1" t="n">
        <v>45971.43350694444</v>
      </c>
      <c r="C223" s="1" t="n">
        <v>46103</v>
      </c>
      <c r="D223" t="inlineStr">
        <is>
          <t>KALMAR LÄN</t>
        </is>
      </c>
      <c r="E223" t="inlineStr">
        <is>
          <t>VIMMERBY</t>
        </is>
      </c>
      <c r="G223" t="n">
        <v>5</v>
      </c>
      <c r="H223" t="n">
        <v>0</v>
      </c>
      <c r="I223" t="n">
        <v>0</v>
      </c>
      <c r="J223" t="n">
        <v>0</v>
      </c>
      <c r="K223" t="n">
        <v>0</v>
      </c>
      <c r="L223" t="n">
        <v>0</v>
      </c>
      <c r="M223" t="n">
        <v>0</v>
      </c>
      <c r="N223" t="n">
        <v>0</v>
      </c>
      <c r="O223" t="n">
        <v>0</v>
      </c>
      <c r="P223" t="n">
        <v>0</v>
      </c>
      <c r="Q223" t="n">
        <v>0</v>
      </c>
      <c r="R223" s="2" t="inlineStr"/>
    </row>
    <row r="224" ht="15" customHeight="1">
      <c r="A224" t="inlineStr">
        <is>
          <t>A 18411-2021</t>
        </is>
      </c>
      <c r="B224" s="1" t="n">
        <v>44302</v>
      </c>
      <c r="C224" s="1" t="n">
        <v>46103</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47855-2024</t>
        </is>
      </c>
      <c r="B225" s="1" t="n">
        <v>45588.66457175926</v>
      </c>
      <c r="C225" s="1" t="n">
        <v>46103</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172-2022</t>
        </is>
      </c>
      <c r="B226" s="1" t="n">
        <v>44564.62598379629</v>
      </c>
      <c r="C226" s="1" t="n">
        <v>46103</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39584-2024</t>
        </is>
      </c>
      <c r="B227" s="1" t="n">
        <v>45552.36759259259</v>
      </c>
      <c r="C227" s="1" t="n">
        <v>46103</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57578-2024</t>
        </is>
      </c>
      <c r="B228" s="1" t="n">
        <v>45630.47564814815</v>
      </c>
      <c r="C228" s="1" t="n">
        <v>46103</v>
      </c>
      <c r="D228" t="inlineStr">
        <is>
          <t>KALMAR LÄN</t>
        </is>
      </c>
      <c r="E228" t="inlineStr">
        <is>
          <t>VIMMERBY</t>
        </is>
      </c>
      <c r="G228" t="n">
        <v>2.6</v>
      </c>
      <c r="H228" t="n">
        <v>0</v>
      </c>
      <c r="I228" t="n">
        <v>0</v>
      </c>
      <c r="J228" t="n">
        <v>0</v>
      </c>
      <c r="K228" t="n">
        <v>0</v>
      </c>
      <c r="L228" t="n">
        <v>0</v>
      </c>
      <c r="M228" t="n">
        <v>0</v>
      </c>
      <c r="N228" t="n">
        <v>0</v>
      </c>
      <c r="O228" t="n">
        <v>0</v>
      </c>
      <c r="P228" t="n">
        <v>0</v>
      </c>
      <c r="Q228" t="n">
        <v>0</v>
      </c>
      <c r="R228" s="2" t="inlineStr"/>
    </row>
    <row r="229" ht="15" customHeight="1">
      <c r="A229" t="inlineStr">
        <is>
          <t>A 51881-2024</t>
        </is>
      </c>
      <c r="B229" s="1" t="n">
        <v>45607.56773148148</v>
      </c>
      <c r="C229" s="1" t="n">
        <v>46103</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46103</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16734-2023</t>
        </is>
      </c>
      <c r="B231" s="1" t="n">
        <v>45030.71012731481</v>
      </c>
      <c r="C231" s="1" t="n">
        <v>46103</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20129-2024</t>
        </is>
      </c>
      <c r="B232" s="1" t="n">
        <v>45434.55831018519</v>
      </c>
      <c r="C232" s="1" t="n">
        <v>46103</v>
      </c>
      <c r="D232" t="inlineStr">
        <is>
          <t>KALMAR LÄN</t>
        </is>
      </c>
      <c r="E232" t="inlineStr">
        <is>
          <t>VIMMERBY</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20137-2024</t>
        </is>
      </c>
      <c r="B233" s="1" t="n">
        <v>45434.56398148148</v>
      </c>
      <c r="C233" s="1" t="n">
        <v>46103</v>
      </c>
      <c r="D233" t="inlineStr">
        <is>
          <t>KALMAR LÄN</t>
        </is>
      </c>
      <c r="E233" t="inlineStr">
        <is>
          <t>VIMMERBY</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7456-2024</t>
        </is>
      </c>
      <c r="B234" s="1" t="n">
        <v>45345.83557870371</v>
      </c>
      <c r="C234" s="1" t="n">
        <v>46103</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6307-2025</t>
        </is>
      </c>
      <c r="B235" s="1" t="n">
        <v>45698.69016203703</v>
      </c>
      <c r="C235" s="1" t="n">
        <v>46103</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38604-2025</t>
        </is>
      </c>
      <c r="B236" s="1" t="n">
        <v>45884.50613425926</v>
      </c>
      <c r="C236" s="1" t="n">
        <v>46103</v>
      </c>
      <c r="D236" t="inlineStr">
        <is>
          <t>KALMAR LÄN</t>
        </is>
      </c>
      <c r="E236" t="inlineStr">
        <is>
          <t>VIMMERBY</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52324-2023</t>
        </is>
      </c>
      <c r="B237" s="1" t="n">
        <v>45224.64659722222</v>
      </c>
      <c r="C237" s="1" t="n">
        <v>46103</v>
      </c>
      <c r="D237" t="inlineStr">
        <is>
          <t>KALMAR LÄN</t>
        </is>
      </c>
      <c r="E237" t="inlineStr">
        <is>
          <t>VIMMERBY</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17988-2025</t>
        </is>
      </c>
      <c r="B238" s="1" t="n">
        <v>45761.39600694444</v>
      </c>
      <c r="C238" s="1" t="n">
        <v>46103</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11442-2025</t>
        </is>
      </c>
      <c r="B239" s="1" t="n">
        <v>45726.62721064815</v>
      </c>
      <c r="C239" s="1" t="n">
        <v>46103</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46103</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37028-2024</t>
        </is>
      </c>
      <c r="B241" s="1" t="n">
        <v>45539.38744212963</v>
      </c>
      <c r="C241" s="1" t="n">
        <v>46103</v>
      </c>
      <c r="D241" t="inlineStr">
        <is>
          <t>KALMAR LÄN</t>
        </is>
      </c>
      <c r="E241" t="inlineStr">
        <is>
          <t>VIMMERBY</t>
        </is>
      </c>
      <c r="G241" t="n">
        <v>5.2</v>
      </c>
      <c r="H241" t="n">
        <v>0</v>
      </c>
      <c r="I241" t="n">
        <v>0</v>
      </c>
      <c r="J241" t="n">
        <v>0</v>
      </c>
      <c r="K241" t="n">
        <v>0</v>
      </c>
      <c r="L241" t="n">
        <v>0</v>
      </c>
      <c r="M241" t="n">
        <v>0</v>
      </c>
      <c r="N241" t="n">
        <v>0</v>
      </c>
      <c r="O241" t="n">
        <v>0</v>
      </c>
      <c r="P241" t="n">
        <v>0</v>
      </c>
      <c r="Q241" t="n">
        <v>0</v>
      </c>
      <c r="R241" s="2" t="inlineStr"/>
    </row>
    <row r="242" ht="15" customHeight="1">
      <c r="A242" t="inlineStr">
        <is>
          <t>A 6668-2023</t>
        </is>
      </c>
      <c r="B242" s="1" t="n">
        <v>44966</v>
      </c>
      <c r="C242" s="1" t="n">
        <v>46103</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29168-2024</t>
        </is>
      </c>
      <c r="B243" s="1" t="n">
        <v>45482.49870370371</v>
      </c>
      <c r="C243" s="1" t="n">
        <v>46103</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55236-2023</t>
        </is>
      </c>
      <c r="B244" s="1" t="n">
        <v>45237.63225694445</v>
      </c>
      <c r="C244" s="1" t="n">
        <v>46103</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55245-2023</t>
        </is>
      </c>
      <c r="B245" s="1" t="n">
        <v>45237.64408564815</v>
      </c>
      <c r="C245" s="1" t="n">
        <v>46103</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57728-2025</t>
        </is>
      </c>
      <c r="B246" s="1" t="n">
        <v>45981</v>
      </c>
      <c r="C246" s="1" t="n">
        <v>46103</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36055-2024</t>
        </is>
      </c>
      <c r="B247" s="1" t="n">
        <v>45533.63056712963</v>
      </c>
      <c r="C247" s="1" t="n">
        <v>46103</v>
      </c>
      <c r="D247" t="inlineStr">
        <is>
          <t>KALMAR LÄN</t>
        </is>
      </c>
      <c r="E247" t="inlineStr">
        <is>
          <t>VIMMERBY</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29726-2025</t>
        </is>
      </c>
      <c r="B248" s="1" t="n">
        <v>45825.57805555555</v>
      </c>
      <c r="C248" s="1" t="n">
        <v>46103</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58503-2025</t>
        </is>
      </c>
      <c r="B249" s="1" t="n">
        <v>45985.69509259259</v>
      </c>
      <c r="C249" s="1" t="n">
        <v>46103</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58498-2025</t>
        </is>
      </c>
      <c r="B250" s="1" t="n">
        <v>45985.68671296296</v>
      </c>
      <c r="C250" s="1" t="n">
        <v>46103</v>
      </c>
      <c r="D250" t="inlineStr">
        <is>
          <t>KALMAR LÄN</t>
        </is>
      </c>
      <c r="E250" t="inlineStr">
        <is>
          <t>VIMMERBY</t>
        </is>
      </c>
      <c r="G250" t="n">
        <v>2.1</v>
      </c>
      <c r="H250" t="n">
        <v>0</v>
      </c>
      <c r="I250" t="n">
        <v>0</v>
      </c>
      <c r="J250" t="n">
        <v>0</v>
      </c>
      <c r="K250" t="n">
        <v>0</v>
      </c>
      <c r="L250" t="n">
        <v>0</v>
      </c>
      <c r="M250" t="n">
        <v>0</v>
      </c>
      <c r="N250" t="n">
        <v>0</v>
      </c>
      <c r="O250" t="n">
        <v>0</v>
      </c>
      <c r="P250" t="n">
        <v>0</v>
      </c>
      <c r="Q250" t="n">
        <v>0</v>
      </c>
      <c r="R250" s="2" t="inlineStr"/>
    </row>
    <row r="251" ht="15" customHeight="1">
      <c r="A251" t="inlineStr">
        <is>
          <t>A 58501-2025</t>
        </is>
      </c>
      <c r="B251" s="1" t="n">
        <v>45985.69153935185</v>
      </c>
      <c r="C251" s="1" t="n">
        <v>46103</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58514-2025</t>
        </is>
      </c>
      <c r="B252" s="1" t="n">
        <v>45985.70513888889</v>
      </c>
      <c r="C252" s="1" t="n">
        <v>46103</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58442-2025</t>
        </is>
      </c>
      <c r="B253" s="1" t="n">
        <v>45985.61635416667</v>
      </c>
      <c r="C253" s="1" t="n">
        <v>46103</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58435-2025</t>
        </is>
      </c>
      <c r="B254" s="1" t="n">
        <v>45985.61501157407</v>
      </c>
      <c r="C254" s="1" t="n">
        <v>46103</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58446-2025</t>
        </is>
      </c>
      <c r="B255" s="1" t="n">
        <v>45985.62168981481</v>
      </c>
      <c r="C255" s="1" t="n">
        <v>46103</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27443-2023</t>
        </is>
      </c>
      <c r="B256" s="1" t="n">
        <v>45097.40524305555</v>
      </c>
      <c r="C256" s="1" t="n">
        <v>46103</v>
      </c>
      <c r="D256" t="inlineStr">
        <is>
          <t>KALMAR LÄN</t>
        </is>
      </c>
      <c r="E256" t="inlineStr">
        <is>
          <t>VIMMERBY</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845-2023</t>
        </is>
      </c>
      <c r="B257" s="1" t="n">
        <v>44931</v>
      </c>
      <c r="C257" s="1" t="n">
        <v>46103</v>
      </c>
      <c r="D257" t="inlineStr">
        <is>
          <t>KALMAR LÄN</t>
        </is>
      </c>
      <c r="E257" t="inlineStr">
        <is>
          <t>VIMMERBY</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58500-2025</t>
        </is>
      </c>
      <c r="B258" s="1" t="n">
        <v>45985.69008101852</v>
      </c>
      <c r="C258" s="1" t="n">
        <v>46103</v>
      </c>
      <c r="D258" t="inlineStr">
        <is>
          <t>KALMAR LÄN</t>
        </is>
      </c>
      <c r="E258" t="inlineStr">
        <is>
          <t>VIMMERBY</t>
        </is>
      </c>
      <c r="G258" t="n">
        <v>1.8</v>
      </c>
      <c r="H258" t="n">
        <v>0</v>
      </c>
      <c r="I258" t="n">
        <v>0</v>
      </c>
      <c r="J258" t="n">
        <v>0</v>
      </c>
      <c r="K258" t="n">
        <v>0</v>
      </c>
      <c r="L258" t="n">
        <v>0</v>
      </c>
      <c r="M258" t="n">
        <v>0</v>
      </c>
      <c r="N258" t="n">
        <v>0</v>
      </c>
      <c r="O258" t="n">
        <v>0</v>
      </c>
      <c r="P258" t="n">
        <v>0</v>
      </c>
      <c r="Q258" t="n">
        <v>0</v>
      </c>
      <c r="R258" s="2" t="inlineStr"/>
    </row>
    <row r="259" ht="15" customHeight="1">
      <c r="A259" t="inlineStr">
        <is>
          <t>A 39801-2025</t>
        </is>
      </c>
      <c r="B259" s="1" t="n">
        <v>45891.50216435185</v>
      </c>
      <c r="C259" s="1" t="n">
        <v>46103</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58841-2025</t>
        </is>
      </c>
      <c r="B260" s="1" t="n">
        <v>45987.36275462963</v>
      </c>
      <c r="C260" s="1" t="n">
        <v>46103</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39807-2025</t>
        </is>
      </c>
      <c r="B261" s="1" t="n">
        <v>45891.50986111111</v>
      </c>
      <c r="C261" s="1" t="n">
        <v>46103</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39736-2025</t>
        </is>
      </c>
      <c r="B262" s="1" t="n">
        <v>45891</v>
      </c>
      <c r="C262" s="1" t="n">
        <v>46103</v>
      </c>
      <c r="D262" t="inlineStr">
        <is>
          <t>KALMAR LÄN</t>
        </is>
      </c>
      <c r="E262" t="inlineStr">
        <is>
          <t>VIMMERBY</t>
        </is>
      </c>
      <c r="G262" t="n">
        <v>12.8</v>
      </c>
      <c r="H262" t="n">
        <v>0</v>
      </c>
      <c r="I262" t="n">
        <v>0</v>
      </c>
      <c r="J262" t="n">
        <v>0</v>
      </c>
      <c r="K262" t="n">
        <v>0</v>
      </c>
      <c r="L262" t="n">
        <v>0</v>
      </c>
      <c r="M262" t="n">
        <v>0</v>
      </c>
      <c r="N262" t="n">
        <v>0</v>
      </c>
      <c r="O262" t="n">
        <v>0</v>
      </c>
      <c r="P262" t="n">
        <v>0</v>
      </c>
      <c r="Q262" t="n">
        <v>0</v>
      </c>
      <c r="R262" s="2" t="inlineStr"/>
    </row>
    <row r="263" ht="15" customHeight="1">
      <c r="A263" t="inlineStr">
        <is>
          <t>A 58858-2025</t>
        </is>
      </c>
      <c r="B263" s="1" t="n">
        <v>45987.4243287037</v>
      </c>
      <c r="C263" s="1" t="n">
        <v>46103</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39803-2025</t>
        </is>
      </c>
      <c r="B264" s="1" t="n">
        <v>45891.50525462963</v>
      </c>
      <c r="C264" s="1" t="n">
        <v>46103</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39889-2025</t>
        </is>
      </c>
      <c r="B265" s="1" t="n">
        <v>45891</v>
      </c>
      <c r="C265" s="1" t="n">
        <v>46103</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6321-2023</t>
        </is>
      </c>
      <c r="B266" s="1" t="n">
        <v>44965.4815162037</v>
      </c>
      <c r="C266" s="1" t="n">
        <v>46103</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4624-2024</t>
        </is>
      </c>
      <c r="B267" s="1" t="n">
        <v>45328.38755787037</v>
      </c>
      <c r="C267" s="1" t="n">
        <v>46103</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40730-2024</t>
        </is>
      </c>
      <c r="B268" s="1" t="n">
        <v>45558.44914351852</v>
      </c>
      <c r="C268" s="1" t="n">
        <v>46103</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59039-2025</t>
        </is>
      </c>
      <c r="B269" s="1" t="n">
        <v>45988.36790509259</v>
      </c>
      <c r="C269" s="1" t="n">
        <v>46103</v>
      </c>
      <c r="D269" t="inlineStr">
        <is>
          <t>KALMAR LÄN</t>
        </is>
      </c>
      <c r="E269" t="inlineStr">
        <is>
          <t>VIMMERBY</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2157-2024</t>
        </is>
      </c>
      <c r="B270" s="1" t="n">
        <v>45309.59487268519</v>
      </c>
      <c r="C270" s="1" t="n">
        <v>46103</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49461-2022</t>
        </is>
      </c>
      <c r="B271" s="1" t="n">
        <v>44861</v>
      </c>
      <c r="C271" s="1" t="n">
        <v>46103</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59034-2025</t>
        </is>
      </c>
      <c r="B272" s="1" t="n">
        <v>45988.36243055556</v>
      </c>
      <c r="C272" s="1" t="n">
        <v>46103</v>
      </c>
      <c r="D272" t="inlineStr">
        <is>
          <t>KALMAR LÄN</t>
        </is>
      </c>
      <c r="E272" t="inlineStr">
        <is>
          <t>VIMMERBY</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694-2024</t>
        </is>
      </c>
      <c r="B273" s="1" t="n">
        <v>45300.3794212963</v>
      </c>
      <c r="C273" s="1" t="n">
        <v>46103</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23394-2025</t>
        </is>
      </c>
      <c r="B274" s="1" t="n">
        <v>45791.89865740741</v>
      </c>
      <c r="C274" s="1" t="n">
        <v>46103</v>
      </c>
      <c r="D274" t="inlineStr">
        <is>
          <t>KALMAR LÄN</t>
        </is>
      </c>
      <c r="E274" t="inlineStr">
        <is>
          <t>VIMMERBY</t>
        </is>
      </c>
      <c r="G274" t="n">
        <v>3.1</v>
      </c>
      <c r="H274" t="n">
        <v>0</v>
      </c>
      <c r="I274" t="n">
        <v>0</v>
      </c>
      <c r="J274" t="n">
        <v>0</v>
      </c>
      <c r="K274" t="n">
        <v>0</v>
      </c>
      <c r="L274" t="n">
        <v>0</v>
      </c>
      <c r="M274" t="n">
        <v>0</v>
      </c>
      <c r="N274" t="n">
        <v>0</v>
      </c>
      <c r="O274" t="n">
        <v>0</v>
      </c>
      <c r="P274" t="n">
        <v>0</v>
      </c>
      <c r="Q274" t="n">
        <v>0</v>
      </c>
      <c r="R274" s="2" t="inlineStr"/>
    </row>
    <row r="275" ht="15" customHeight="1">
      <c r="A275" t="inlineStr">
        <is>
          <t>A 40925-2025</t>
        </is>
      </c>
      <c r="B275" s="1" t="n">
        <v>45897.64208333333</v>
      </c>
      <c r="C275" s="1" t="n">
        <v>46103</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59037-2025</t>
        </is>
      </c>
      <c r="B276" s="1" t="n">
        <v>45988.36508101852</v>
      </c>
      <c r="C276" s="1" t="n">
        <v>46103</v>
      </c>
      <c r="D276" t="inlineStr">
        <is>
          <t>KALMAR LÄN</t>
        </is>
      </c>
      <c r="E276" t="inlineStr">
        <is>
          <t>VIMMERBY</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40921-2025</t>
        </is>
      </c>
      <c r="B277" s="1" t="n">
        <v>45897.63520833333</v>
      </c>
      <c r="C277" s="1" t="n">
        <v>46103</v>
      </c>
      <c r="D277" t="inlineStr">
        <is>
          <t>KALMAR LÄN</t>
        </is>
      </c>
      <c r="E277" t="inlineStr">
        <is>
          <t>VIMMERBY</t>
        </is>
      </c>
      <c r="G277" t="n">
        <v>4.2</v>
      </c>
      <c r="H277" t="n">
        <v>0</v>
      </c>
      <c r="I277" t="n">
        <v>0</v>
      </c>
      <c r="J277" t="n">
        <v>0</v>
      </c>
      <c r="K277" t="n">
        <v>0</v>
      </c>
      <c r="L277" t="n">
        <v>0</v>
      </c>
      <c r="M277" t="n">
        <v>0</v>
      </c>
      <c r="N277" t="n">
        <v>0</v>
      </c>
      <c r="O277" t="n">
        <v>0</v>
      </c>
      <c r="P277" t="n">
        <v>0</v>
      </c>
      <c r="Q277" t="n">
        <v>0</v>
      </c>
      <c r="R277" s="2" t="inlineStr"/>
    </row>
    <row r="278" ht="15" customHeight="1">
      <c r="A278" t="inlineStr">
        <is>
          <t>A 59068-2025</t>
        </is>
      </c>
      <c r="B278" s="1" t="n">
        <v>45988.41725694444</v>
      </c>
      <c r="C278" s="1" t="n">
        <v>46103</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59598-2023</t>
        </is>
      </c>
      <c r="B279" s="1" t="n">
        <v>45254.62489583333</v>
      </c>
      <c r="C279" s="1" t="n">
        <v>46103</v>
      </c>
      <c r="D279" t="inlineStr">
        <is>
          <t>KALMAR LÄN</t>
        </is>
      </c>
      <c r="E279" t="inlineStr">
        <is>
          <t>VIMMERBY</t>
        </is>
      </c>
      <c r="F279" t="inlineStr">
        <is>
          <t>Övriga Aktiebolag</t>
        </is>
      </c>
      <c r="G279" t="n">
        <v>4</v>
      </c>
      <c r="H279" t="n">
        <v>0</v>
      </c>
      <c r="I279" t="n">
        <v>0</v>
      </c>
      <c r="J279" t="n">
        <v>0</v>
      </c>
      <c r="K279" t="n">
        <v>0</v>
      </c>
      <c r="L279" t="n">
        <v>0</v>
      </c>
      <c r="M279" t="n">
        <v>0</v>
      </c>
      <c r="N279" t="n">
        <v>0</v>
      </c>
      <c r="O279" t="n">
        <v>0</v>
      </c>
      <c r="P279" t="n">
        <v>0</v>
      </c>
      <c r="Q279" t="n">
        <v>0</v>
      </c>
      <c r="R279" s="2" t="inlineStr"/>
    </row>
    <row r="280" ht="15" customHeight="1">
      <c r="A280" t="inlineStr">
        <is>
          <t>A 7944-2024</t>
        </is>
      </c>
      <c r="B280" s="1" t="n">
        <v>45350.53306712963</v>
      </c>
      <c r="C280" s="1" t="n">
        <v>46103</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21496-2023</t>
        </is>
      </c>
      <c r="B281" s="1" t="n">
        <v>45063.49936342592</v>
      </c>
      <c r="C281" s="1" t="n">
        <v>46103</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59579-2025</t>
        </is>
      </c>
      <c r="B282" s="1" t="n">
        <v>45992.30569444445</v>
      </c>
      <c r="C282" s="1" t="n">
        <v>46103</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41224-2025</t>
        </is>
      </c>
      <c r="B283" s="1" t="n">
        <v>45898.58861111111</v>
      </c>
      <c r="C283" s="1" t="n">
        <v>46103</v>
      </c>
      <c r="D283" t="inlineStr">
        <is>
          <t>KALMAR LÄN</t>
        </is>
      </c>
      <c r="E283" t="inlineStr">
        <is>
          <t>VIMMERBY</t>
        </is>
      </c>
      <c r="G283" t="n">
        <v>4.4</v>
      </c>
      <c r="H283" t="n">
        <v>0</v>
      </c>
      <c r="I283" t="n">
        <v>0</v>
      </c>
      <c r="J283" t="n">
        <v>0</v>
      </c>
      <c r="K283" t="n">
        <v>0</v>
      </c>
      <c r="L283" t="n">
        <v>0</v>
      </c>
      <c r="M283" t="n">
        <v>0</v>
      </c>
      <c r="N283" t="n">
        <v>0</v>
      </c>
      <c r="O283" t="n">
        <v>0</v>
      </c>
      <c r="P283" t="n">
        <v>0</v>
      </c>
      <c r="Q283" t="n">
        <v>0</v>
      </c>
      <c r="R283" s="2" t="inlineStr"/>
    </row>
    <row r="284" ht="15" customHeight="1">
      <c r="A284" t="inlineStr">
        <is>
          <t>A 41591-2025</t>
        </is>
      </c>
      <c r="B284" s="1" t="n">
        <v>45901.6327662037</v>
      </c>
      <c r="C284" s="1" t="n">
        <v>46103</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40971-2025</t>
        </is>
      </c>
      <c r="B285" s="1" t="n">
        <v>45897.88836805556</v>
      </c>
      <c r="C285" s="1" t="n">
        <v>46103</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41589-2025</t>
        </is>
      </c>
      <c r="B286" s="1" t="n">
        <v>45901.63219907408</v>
      </c>
      <c r="C286" s="1" t="n">
        <v>46103</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29783-2024</t>
        </is>
      </c>
      <c r="B287" s="1" t="n">
        <v>45485.45778935185</v>
      </c>
      <c r="C287" s="1" t="n">
        <v>46103</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40970-2025</t>
        </is>
      </c>
      <c r="B288" s="1" t="n">
        <v>45897.88706018519</v>
      </c>
      <c r="C288" s="1" t="n">
        <v>46103</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40973-2025</t>
        </is>
      </c>
      <c r="B289" s="1" t="n">
        <v>45897.89737268518</v>
      </c>
      <c r="C289" s="1" t="n">
        <v>46103</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34090-2025</t>
        </is>
      </c>
      <c r="B290" s="1" t="n">
        <v>45845</v>
      </c>
      <c r="C290" s="1" t="n">
        <v>46103</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60180-2025</t>
        </is>
      </c>
      <c r="B291" s="1" t="n">
        <v>45994.46428240741</v>
      </c>
      <c r="C291" s="1" t="n">
        <v>46103</v>
      </c>
      <c r="D291" t="inlineStr">
        <is>
          <t>KALMAR LÄN</t>
        </is>
      </c>
      <c r="E291" t="inlineStr">
        <is>
          <t>VIMMERBY</t>
        </is>
      </c>
      <c r="G291" t="n">
        <v>6.8</v>
      </c>
      <c r="H291" t="n">
        <v>0</v>
      </c>
      <c r="I291" t="n">
        <v>0</v>
      </c>
      <c r="J291" t="n">
        <v>0</v>
      </c>
      <c r="K291" t="n">
        <v>0</v>
      </c>
      <c r="L291" t="n">
        <v>0</v>
      </c>
      <c r="M291" t="n">
        <v>0</v>
      </c>
      <c r="N291" t="n">
        <v>0</v>
      </c>
      <c r="O291" t="n">
        <v>0</v>
      </c>
      <c r="P291" t="n">
        <v>0</v>
      </c>
      <c r="Q291" t="n">
        <v>0</v>
      </c>
      <c r="R291" s="2" t="inlineStr"/>
    </row>
    <row r="292" ht="15" customHeight="1">
      <c r="A292" t="inlineStr">
        <is>
          <t>A 35198-2023</t>
        </is>
      </c>
      <c r="B292" s="1" t="n">
        <v>45145</v>
      </c>
      <c r="C292" s="1" t="n">
        <v>46103</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60297-2025</t>
        </is>
      </c>
      <c r="B293" s="1" t="n">
        <v>45994</v>
      </c>
      <c r="C293" s="1" t="n">
        <v>46103</v>
      </c>
      <c r="D293" t="inlineStr">
        <is>
          <t>KALMAR LÄN</t>
        </is>
      </c>
      <c r="E293" t="inlineStr">
        <is>
          <t>VIMMERBY</t>
        </is>
      </c>
      <c r="G293" t="n">
        <v>4.2</v>
      </c>
      <c r="H293" t="n">
        <v>0</v>
      </c>
      <c r="I293" t="n">
        <v>0</v>
      </c>
      <c r="J293" t="n">
        <v>0</v>
      </c>
      <c r="K293" t="n">
        <v>0</v>
      </c>
      <c r="L293" t="n">
        <v>0</v>
      </c>
      <c r="M293" t="n">
        <v>0</v>
      </c>
      <c r="N293" t="n">
        <v>0</v>
      </c>
      <c r="O293" t="n">
        <v>0</v>
      </c>
      <c r="P293" t="n">
        <v>0</v>
      </c>
      <c r="Q293" t="n">
        <v>0</v>
      </c>
      <c r="R293" s="2" t="inlineStr"/>
    </row>
    <row r="294" ht="15" customHeight="1">
      <c r="A294" t="inlineStr">
        <is>
          <t>A 43853-2023</t>
        </is>
      </c>
      <c r="B294" s="1" t="n">
        <v>45187.60813657408</v>
      </c>
      <c r="C294" s="1" t="n">
        <v>46103</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41735-2025</t>
        </is>
      </c>
      <c r="B295" s="1" t="n">
        <v>45902.47164351852</v>
      </c>
      <c r="C295" s="1" t="n">
        <v>46103</v>
      </c>
      <c r="D295" t="inlineStr">
        <is>
          <t>KALMAR LÄN</t>
        </is>
      </c>
      <c r="E295" t="inlineStr">
        <is>
          <t>VIMMERBY</t>
        </is>
      </c>
      <c r="G295" t="n">
        <v>3</v>
      </c>
      <c r="H295" t="n">
        <v>0</v>
      </c>
      <c r="I295" t="n">
        <v>0</v>
      </c>
      <c r="J295" t="n">
        <v>0</v>
      </c>
      <c r="K295" t="n">
        <v>0</v>
      </c>
      <c r="L295" t="n">
        <v>0</v>
      </c>
      <c r="M295" t="n">
        <v>0</v>
      </c>
      <c r="N295" t="n">
        <v>0</v>
      </c>
      <c r="O295" t="n">
        <v>0</v>
      </c>
      <c r="P295" t="n">
        <v>0</v>
      </c>
      <c r="Q295" t="n">
        <v>0</v>
      </c>
      <c r="R295" s="2" t="inlineStr"/>
    </row>
    <row r="296" ht="15" customHeight="1">
      <c r="A296" t="inlineStr">
        <is>
          <t>A 9511-2023</t>
        </is>
      </c>
      <c r="B296" s="1" t="n">
        <v>44981.64725694444</v>
      </c>
      <c r="C296" s="1" t="n">
        <v>46103</v>
      </c>
      <c r="D296" t="inlineStr">
        <is>
          <t>KALMAR LÄN</t>
        </is>
      </c>
      <c r="E296" t="inlineStr">
        <is>
          <t>VIMMERBY</t>
        </is>
      </c>
      <c r="G296" t="n">
        <v>3.5</v>
      </c>
      <c r="H296" t="n">
        <v>0</v>
      </c>
      <c r="I296" t="n">
        <v>0</v>
      </c>
      <c r="J296" t="n">
        <v>0</v>
      </c>
      <c r="K296" t="n">
        <v>0</v>
      </c>
      <c r="L296" t="n">
        <v>0</v>
      </c>
      <c r="M296" t="n">
        <v>0</v>
      </c>
      <c r="N296" t="n">
        <v>0</v>
      </c>
      <c r="O296" t="n">
        <v>0</v>
      </c>
      <c r="P296" t="n">
        <v>0</v>
      </c>
      <c r="Q296" t="n">
        <v>0</v>
      </c>
      <c r="R296" s="2" t="inlineStr"/>
    </row>
    <row r="297" ht="15" customHeight="1">
      <c r="A297" t="inlineStr">
        <is>
          <t>A 38757-2023</t>
        </is>
      </c>
      <c r="B297" s="1" t="n">
        <v>45163.41376157408</v>
      </c>
      <c r="C297" s="1" t="n">
        <v>46103</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29973-2023</t>
        </is>
      </c>
      <c r="B298" s="1" t="n">
        <v>45108.703125</v>
      </c>
      <c r="C298" s="1" t="n">
        <v>46103</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64143-2021</t>
        </is>
      </c>
      <c r="B299" s="1" t="n">
        <v>44510.52157407408</v>
      </c>
      <c r="C299" s="1" t="n">
        <v>46103</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73938-2021</t>
        </is>
      </c>
      <c r="B300" s="1" t="n">
        <v>44553</v>
      </c>
      <c r="C300" s="1" t="n">
        <v>46103</v>
      </c>
      <c r="D300" t="inlineStr">
        <is>
          <t>KALMAR LÄN</t>
        </is>
      </c>
      <c r="E300" t="inlineStr">
        <is>
          <t>VIMMERBY</t>
        </is>
      </c>
      <c r="G300" t="n">
        <v>3.2</v>
      </c>
      <c r="H300" t="n">
        <v>0</v>
      </c>
      <c r="I300" t="n">
        <v>0</v>
      </c>
      <c r="J300" t="n">
        <v>0</v>
      </c>
      <c r="K300" t="n">
        <v>0</v>
      </c>
      <c r="L300" t="n">
        <v>0</v>
      </c>
      <c r="M300" t="n">
        <v>0</v>
      </c>
      <c r="N300" t="n">
        <v>0</v>
      </c>
      <c r="O300" t="n">
        <v>0</v>
      </c>
      <c r="P300" t="n">
        <v>0</v>
      </c>
      <c r="Q300" t="n">
        <v>0</v>
      </c>
      <c r="R300" s="2" t="inlineStr"/>
    </row>
    <row r="301" ht="15" customHeight="1">
      <c r="A301" t="inlineStr">
        <is>
          <t>A 40076-2021</t>
        </is>
      </c>
      <c r="B301" s="1" t="n">
        <v>44418</v>
      </c>
      <c r="C301" s="1" t="n">
        <v>46103</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42828-2025</t>
        </is>
      </c>
      <c r="B302" s="1" t="n">
        <v>45908.57716435185</v>
      </c>
      <c r="C302" s="1" t="n">
        <v>46103</v>
      </c>
      <c r="D302" t="inlineStr">
        <is>
          <t>KALMAR LÄN</t>
        </is>
      </c>
      <c r="E302" t="inlineStr">
        <is>
          <t>VIMMERBY</t>
        </is>
      </c>
      <c r="G302" t="n">
        <v>5.2</v>
      </c>
      <c r="H302" t="n">
        <v>0</v>
      </c>
      <c r="I302" t="n">
        <v>0</v>
      </c>
      <c r="J302" t="n">
        <v>0</v>
      </c>
      <c r="K302" t="n">
        <v>0</v>
      </c>
      <c r="L302" t="n">
        <v>0</v>
      </c>
      <c r="M302" t="n">
        <v>0</v>
      </c>
      <c r="N302" t="n">
        <v>0</v>
      </c>
      <c r="O302" t="n">
        <v>0</v>
      </c>
      <c r="P302" t="n">
        <v>0</v>
      </c>
      <c r="Q302" t="n">
        <v>0</v>
      </c>
      <c r="R302" s="2" t="inlineStr"/>
    </row>
    <row r="303" ht="15" customHeight="1">
      <c r="A303" t="inlineStr">
        <is>
          <t>A 42794-2025</t>
        </is>
      </c>
      <c r="B303" s="1" t="n">
        <v>45908</v>
      </c>
      <c r="C303" s="1" t="n">
        <v>46103</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50648-2023</t>
        </is>
      </c>
      <c r="B304" s="1" t="n">
        <v>45217.47834490741</v>
      </c>
      <c r="C304" s="1" t="n">
        <v>46103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529-2022</t>
        </is>
      </c>
      <c r="B305" s="1" t="n">
        <v>44566</v>
      </c>
      <c r="C305" s="1" t="n">
        <v>46103</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23984-2025</t>
        </is>
      </c>
      <c r="B306" s="1" t="n">
        <v>45796</v>
      </c>
      <c r="C306" s="1" t="n">
        <v>46103</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42820-2025</t>
        </is>
      </c>
      <c r="B307" s="1" t="n">
        <v>45908</v>
      </c>
      <c r="C307" s="1" t="n">
        <v>46103</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58318-2021</t>
        </is>
      </c>
      <c r="B308" s="1" t="n">
        <v>44488.35878472222</v>
      </c>
      <c r="C308" s="1" t="n">
        <v>46103</v>
      </c>
      <c r="D308" t="inlineStr">
        <is>
          <t>KALMAR LÄN</t>
        </is>
      </c>
      <c r="E308" t="inlineStr">
        <is>
          <t>VIMMERBY</t>
        </is>
      </c>
      <c r="G308" t="n">
        <v>4</v>
      </c>
      <c r="H308" t="n">
        <v>0</v>
      </c>
      <c r="I308" t="n">
        <v>0</v>
      </c>
      <c r="J308" t="n">
        <v>0</v>
      </c>
      <c r="K308" t="n">
        <v>0</v>
      </c>
      <c r="L308" t="n">
        <v>0</v>
      </c>
      <c r="M308" t="n">
        <v>0</v>
      </c>
      <c r="N308" t="n">
        <v>0</v>
      </c>
      <c r="O308" t="n">
        <v>0</v>
      </c>
      <c r="P308" t="n">
        <v>0</v>
      </c>
      <c r="Q308" t="n">
        <v>0</v>
      </c>
      <c r="R308" s="2" t="inlineStr"/>
    </row>
    <row r="309" ht="15" customHeight="1">
      <c r="A309" t="inlineStr">
        <is>
          <t>A 89-2023</t>
        </is>
      </c>
      <c r="B309" s="1" t="n">
        <v>44918</v>
      </c>
      <c r="C309" s="1" t="n">
        <v>46103</v>
      </c>
      <c r="D309" t="inlineStr">
        <is>
          <t>KALMAR LÄN</t>
        </is>
      </c>
      <c r="E309" t="inlineStr">
        <is>
          <t>VIMMERBY</t>
        </is>
      </c>
      <c r="G309" t="n">
        <v>16.1</v>
      </c>
      <c r="H309" t="n">
        <v>0</v>
      </c>
      <c r="I309" t="n">
        <v>0</v>
      </c>
      <c r="J309" t="n">
        <v>0</v>
      </c>
      <c r="K309" t="n">
        <v>0</v>
      </c>
      <c r="L309" t="n">
        <v>0</v>
      </c>
      <c r="M309" t="n">
        <v>0</v>
      </c>
      <c r="N309" t="n">
        <v>0</v>
      </c>
      <c r="O309" t="n">
        <v>0</v>
      </c>
      <c r="P309" t="n">
        <v>0</v>
      </c>
      <c r="Q309" t="n">
        <v>0</v>
      </c>
      <c r="R309" s="2" t="inlineStr"/>
    </row>
    <row r="310" ht="15" customHeight="1">
      <c r="A310" t="inlineStr">
        <is>
          <t>A 23088-2024</t>
        </is>
      </c>
      <c r="B310" s="1" t="n">
        <v>45450.51092592593</v>
      </c>
      <c r="C310" s="1" t="n">
        <v>46103</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38851-2023</t>
        </is>
      </c>
      <c r="B311" s="1" t="n">
        <v>45163</v>
      </c>
      <c r="C311" s="1" t="n">
        <v>46103</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10759-2023</t>
        </is>
      </c>
      <c r="B312" s="1" t="n">
        <v>44988</v>
      </c>
      <c r="C312" s="1" t="n">
        <v>46103</v>
      </c>
      <c r="D312" t="inlineStr">
        <is>
          <t>KALMAR LÄN</t>
        </is>
      </c>
      <c r="E312" t="inlineStr">
        <is>
          <t>VIMMERBY</t>
        </is>
      </c>
      <c r="G312" t="n">
        <v>0.4</v>
      </c>
      <c r="H312" t="n">
        <v>0</v>
      </c>
      <c r="I312" t="n">
        <v>0</v>
      </c>
      <c r="J312" t="n">
        <v>0</v>
      </c>
      <c r="K312" t="n">
        <v>0</v>
      </c>
      <c r="L312" t="n">
        <v>0</v>
      </c>
      <c r="M312" t="n">
        <v>0</v>
      </c>
      <c r="N312" t="n">
        <v>0</v>
      </c>
      <c r="O312" t="n">
        <v>0</v>
      </c>
      <c r="P312" t="n">
        <v>0</v>
      </c>
      <c r="Q312" t="n">
        <v>0</v>
      </c>
      <c r="R312" s="2" t="inlineStr"/>
    </row>
    <row r="313" ht="15" customHeight="1">
      <c r="A313" t="inlineStr">
        <is>
          <t>A 63583-2023</t>
        </is>
      </c>
      <c r="B313" s="1" t="n">
        <v>45275.41833333333</v>
      </c>
      <c r="C313" s="1" t="n">
        <v>46103</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34060-2025</t>
        </is>
      </c>
      <c r="B314" s="1" t="n">
        <v>45845.42015046296</v>
      </c>
      <c r="C314" s="1" t="n">
        <v>46103</v>
      </c>
      <c r="D314" t="inlineStr">
        <is>
          <t>KALMAR LÄN</t>
        </is>
      </c>
      <c r="E314" t="inlineStr">
        <is>
          <t>VIMMERBY</t>
        </is>
      </c>
      <c r="G314" t="n">
        <v>5.7</v>
      </c>
      <c r="H314" t="n">
        <v>0</v>
      </c>
      <c r="I314" t="n">
        <v>0</v>
      </c>
      <c r="J314" t="n">
        <v>0</v>
      </c>
      <c r="K314" t="n">
        <v>0</v>
      </c>
      <c r="L314" t="n">
        <v>0</v>
      </c>
      <c r="M314" t="n">
        <v>0</v>
      </c>
      <c r="N314" t="n">
        <v>0</v>
      </c>
      <c r="O314" t="n">
        <v>0</v>
      </c>
      <c r="P314" t="n">
        <v>0</v>
      </c>
      <c r="Q314" t="n">
        <v>0</v>
      </c>
      <c r="R314" s="2" t="inlineStr"/>
    </row>
    <row r="315" ht="15" customHeight="1">
      <c r="A315" t="inlineStr">
        <is>
          <t>A 40079-2023</t>
        </is>
      </c>
      <c r="B315" s="1" t="n">
        <v>45168.89298611111</v>
      </c>
      <c r="C315" s="1" t="n">
        <v>46103</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43774-2023</t>
        </is>
      </c>
      <c r="B316" s="1" t="n">
        <v>45187</v>
      </c>
      <c r="C316" s="1" t="n">
        <v>46103</v>
      </c>
      <c r="D316" t="inlineStr">
        <is>
          <t>KALMAR LÄN</t>
        </is>
      </c>
      <c r="E316" t="inlineStr">
        <is>
          <t>VIMMERBY</t>
        </is>
      </c>
      <c r="G316" t="n">
        <v>3.4</v>
      </c>
      <c r="H316" t="n">
        <v>0</v>
      </c>
      <c r="I316" t="n">
        <v>0</v>
      </c>
      <c r="J316" t="n">
        <v>0</v>
      </c>
      <c r="K316" t="n">
        <v>0</v>
      </c>
      <c r="L316" t="n">
        <v>0</v>
      </c>
      <c r="M316" t="n">
        <v>0</v>
      </c>
      <c r="N316" t="n">
        <v>0</v>
      </c>
      <c r="O316" t="n">
        <v>0</v>
      </c>
      <c r="P316" t="n">
        <v>0</v>
      </c>
      <c r="Q316" t="n">
        <v>0</v>
      </c>
      <c r="R316" s="2" t="inlineStr"/>
    </row>
    <row r="317" ht="15" customHeight="1">
      <c r="A317" t="inlineStr">
        <is>
          <t>A 29616-2022</t>
        </is>
      </c>
      <c r="B317" s="1" t="n">
        <v>44754</v>
      </c>
      <c r="C317" s="1" t="n">
        <v>46103</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43465-2025</t>
        </is>
      </c>
      <c r="B318" s="1" t="n">
        <v>45911.47138888889</v>
      </c>
      <c r="C318" s="1" t="n">
        <v>46103</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61725-2025</t>
        </is>
      </c>
      <c r="B319" s="1" t="n">
        <v>46002.58680555555</v>
      </c>
      <c r="C319" s="1" t="n">
        <v>46103</v>
      </c>
      <c r="D319" t="inlineStr">
        <is>
          <t>KALMAR LÄN</t>
        </is>
      </c>
      <c r="E319" t="inlineStr">
        <is>
          <t>VIMMERBY</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61790-2025</t>
        </is>
      </c>
      <c r="B320" s="1" t="n">
        <v>46002.68768518518</v>
      </c>
      <c r="C320" s="1" t="n">
        <v>46103</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43617-2025</t>
        </is>
      </c>
      <c r="B321" s="1" t="n">
        <v>45911.67798611111</v>
      </c>
      <c r="C321" s="1" t="n">
        <v>46103</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39578-2024</t>
        </is>
      </c>
      <c r="B322" s="1" t="n">
        <v>45552.36484953704</v>
      </c>
      <c r="C322" s="1" t="n">
        <v>46103</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46103</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61726-2025</t>
        </is>
      </c>
      <c r="B324" s="1" t="n">
        <v>46002.58822916666</v>
      </c>
      <c r="C324" s="1" t="n">
        <v>46103</v>
      </c>
      <c r="D324" t="inlineStr">
        <is>
          <t>KALMAR LÄN</t>
        </is>
      </c>
      <c r="E324" t="inlineStr">
        <is>
          <t>VIMMERBY</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44095-2025</t>
        </is>
      </c>
      <c r="B325" s="1" t="n">
        <v>45915.56430555556</v>
      </c>
      <c r="C325" s="1" t="n">
        <v>46103</v>
      </c>
      <c r="D325" t="inlineStr">
        <is>
          <t>KALMAR LÄN</t>
        </is>
      </c>
      <c r="E325" t="inlineStr">
        <is>
          <t>VIMMERBY</t>
        </is>
      </c>
      <c r="G325" t="n">
        <v>2.4</v>
      </c>
      <c r="H325" t="n">
        <v>0</v>
      </c>
      <c r="I325" t="n">
        <v>0</v>
      </c>
      <c r="J325" t="n">
        <v>0</v>
      </c>
      <c r="K325" t="n">
        <v>0</v>
      </c>
      <c r="L325" t="n">
        <v>0</v>
      </c>
      <c r="M325" t="n">
        <v>0</v>
      </c>
      <c r="N325" t="n">
        <v>0</v>
      </c>
      <c r="O325" t="n">
        <v>0</v>
      </c>
      <c r="P325" t="n">
        <v>0</v>
      </c>
      <c r="Q325" t="n">
        <v>0</v>
      </c>
      <c r="R325" s="2" t="inlineStr"/>
    </row>
    <row r="326" ht="15" customHeight="1">
      <c r="A326" t="inlineStr">
        <is>
          <t>A 31056-2022</t>
        </is>
      </c>
      <c r="B326" s="1" t="n">
        <v>44769.45805555556</v>
      </c>
      <c r="C326" s="1" t="n">
        <v>46103</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33383-2023</t>
        </is>
      </c>
      <c r="B327" s="1" t="n">
        <v>45128.58414351852</v>
      </c>
      <c r="C327" s="1" t="n">
        <v>46103</v>
      </c>
      <c r="D327" t="inlineStr">
        <is>
          <t>KALMAR LÄN</t>
        </is>
      </c>
      <c r="E327" t="inlineStr">
        <is>
          <t>VIMMERBY</t>
        </is>
      </c>
      <c r="G327" t="n">
        <v>2.3</v>
      </c>
      <c r="H327" t="n">
        <v>0</v>
      </c>
      <c r="I327" t="n">
        <v>0</v>
      </c>
      <c r="J327" t="n">
        <v>0</v>
      </c>
      <c r="K327" t="n">
        <v>0</v>
      </c>
      <c r="L327" t="n">
        <v>0</v>
      </c>
      <c r="M327" t="n">
        <v>0</v>
      </c>
      <c r="N327" t="n">
        <v>0</v>
      </c>
      <c r="O327" t="n">
        <v>0</v>
      </c>
      <c r="P327" t="n">
        <v>0</v>
      </c>
      <c r="Q327" t="n">
        <v>0</v>
      </c>
      <c r="R327" s="2" t="inlineStr"/>
    </row>
    <row r="328" ht="15" customHeight="1">
      <c r="A328" t="inlineStr">
        <is>
          <t>A 40828-2023</t>
        </is>
      </c>
      <c r="B328" s="1" t="n">
        <v>45171.96248842592</v>
      </c>
      <c r="C328" s="1" t="n">
        <v>46103</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44091-2025</t>
        </is>
      </c>
      <c r="B329" s="1" t="n">
        <v>45915.55950231481</v>
      </c>
      <c r="C329" s="1" t="n">
        <v>46103</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61861-2024</t>
        </is>
      </c>
      <c r="B330" s="1" t="n">
        <v>45650.37370370371</v>
      </c>
      <c r="C330" s="1" t="n">
        <v>46103</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8650-2022</t>
        </is>
      </c>
      <c r="B331" s="1" t="n">
        <v>44613</v>
      </c>
      <c r="C331" s="1" t="n">
        <v>46103</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33340-2023</t>
        </is>
      </c>
      <c r="B332" s="1" t="n">
        <v>45128.37305555555</v>
      </c>
      <c r="C332" s="1" t="n">
        <v>46103</v>
      </c>
      <c r="D332" t="inlineStr">
        <is>
          <t>KALMAR LÄN</t>
        </is>
      </c>
      <c r="E332" t="inlineStr">
        <is>
          <t>VIMMERBY</t>
        </is>
      </c>
      <c r="G332" t="n">
        <v>1.5</v>
      </c>
      <c r="H332" t="n">
        <v>0</v>
      </c>
      <c r="I332" t="n">
        <v>0</v>
      </c>
      <c r="J332" t="n">
        <v>0</v>
      </c>
      <c r="K332" t="n">
        <v>0</v>
      </c>
      <c r="L332" t="n">
        <v>0</v>
      </c>
      <c r="M332" t="n">
        <v>0</v>
      </c>
      <c r="N332" t="n">
        <v>0</v>
      </c>
      <c r="O332" t="n">
        <v>0</v>
      </c>
      <c r="P332" t="n">
        <v>0</v>
      </c>
      <c r="Q332" t="n">
        <v>0</v>
      </c>
      <c r="R332" s="2" t="inlineStr"/>
    </row>
    <row r="333" ht="15" customHeight="1">
      <c r="A333" t="inlineStr">
        <is>
          <t>A 44423-2023</t>
        </is>
      </c>
      <c r="B333" s="1" t="n">
        <v>45189</v>
      </c>
      <c r="C333" s="1" t="n">
        <v>46103</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37323-2024</t>
        </is>
      </c>
      <c r="B334" s="1" t="n">
        <v>45540.50098379629</v>
      </c>
      <c r="C334" s="1" t="n">
        <v>46103</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44517-2025</t>
        </is>
      </c>
      <c r="B335" s="1" t="n">
        <v>45916.7103587963</v>
      </c>
      <c r="C335" s="1" t="n">
        <v>46103</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44742-2025</t>
        </is>
      </c>
      <c r="B336" s="1" t="n">
        <v>45917.67054398148</v>
      </c>
      <c r="C336" s="1" t="n">
        <v>46103</v>
      </c>
      <c r="D336" t="inlineStr">
        <is>
          <t>KALMAR LÄN</t>
        </is>
      </c>
      <c r="E336" t="inlineStr">
        <is>
          <t>VIMMERBY</t>
        </is>
      </c>
      <c r="G336" t="n">
        <v>4.7</v>
      </c>
      <c r="H336" t="n">
        <v>0</v>
      </c>
      <c r="I336" t="n">
        <v>0</v>
      </c>
      <c r="J336" t="n">
        <v>0</v>
      </c>
      <c r="K336" t="n">
        <v>0</v>
      </c>
      <c r="L336" t="n">
        <v>0</v>
      </c>
      <c r="M336" t="n">
        <v>0</v>
      </c>
      <c r="N336" t="n">
        <v>0</v>
      </c>
      <c r="O336" t="n">
        <v>0</v>
      </c>
      <c r="P336" t="n">
        <v>0</v>
      </c>
      <c r="Q336" t="n">
        <v>0</v>
      </c>
      <c r="R336" s="2" t="inlineStr"/>
    </row>
    <row r="337" ht="15" customHeight="1">
      <c r="A337" t="inlineStr">
        <is>
          <t>A 44329-2025</t>
        </is>
      </c>
      <c r="B337" s="1" t="n">
        <v>45916.41019675926</v>
      </c>
      <c r="C337" s="1" t="n">
        <v>46103</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41896-2025</t>
        </is>
      </c>
      <c r="B338" s="1" t="n">
        <v>45903.38800925926</v>
      </c>
      <c r="C338" s="1" t="n">
        <v>46103</v>
      </c>
      <c r="D338" t="inlineStr">
        <is>
          <t>KALMAR LÄN</t>
        </is>
      </c>
      <c r="E338" t="inlineStr">
        <is>
          <t>VIMMERBY</t>
        </is>
      </c>
      <c r="G338" t="n">
        <v>2.9</v>
      </c>
      <c r="H338" t="n">
        <v>0</v>
      </c>
      <c r="I338" t="n">
        <v>0</v>
      </c>
      <c r="J338" t="n">
        <v>0</v>
      </c>
      <c r="K338" t="n">
        <v>0</v>
      </c>
      <c r="L338" t="n">
        <v>0</v>
      </c>
      <c r="M338" t="n">
        <v>0</v>
      </c>
      <c r="N338" t="n">
        <v>0</v>
      </c>
      <c r="O338" t="n">
        <v>0</v>
      </c>
      <c r="P338" t="n">
        <v>0</v>
      </c>
      <c r="Q338" t="n">
        <v>0</v>
      </c>
      <c r="R338" s="2" t="inlineStr"/>
    </row>
    <row r="339" ht="15" customHeight="1">
      <c r="A339" t="inlineStr">
        <is>
          <t>A 18501-2024</t>
        </is>
      </c>
      <c r="B339" s="1" t="n">
        <v>45425.57538194444</v>
      </c>
      <c r="C339" s="1" t="n">
        <v>46103</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45114-2025</t>
        </is>
      </c>
      <c r="B340" s="1" t="n">
        <v>45919.42387731482</v>
      </c>
      <c r="C340" s="1" t="n">
        <v>46103</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35082-2024</t>
        </is>
      </c>
      <c r="B341" s="1" t="n">
        <v>45527.68784722222</v>
      </c>
      <c r="C341" s="1" t="n">
        <v>46103</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45319-2025</t>
        </is>
      </c>
      <c r="B342" s="1" t="n">
        <v>45921.95611111111</v>
      </c>
      <c r="C342" s="1" t="n">
        <v>46103</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27758-2024</t>
        </is>
      </c>
      <c r="B343" s="1" t="n">
        <v>45475.48303240741</v>
      </c>
      <c r="C343" s="1" t="n">
        <v>46103</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13307-2025</t>
        </is>
      </c>
      <c r="B344" s="1" t="n">
        <v>45735.58024305556</v>
      </c>
      <c r="C344" s="1" t="n">
        <v>46103</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55716-2023</t>
        </is>
      </c>
      <c r="B345" s="1" t="n">
        <v>45232</v>
      </c>
      <c r="C345" s="1" t="n">
        <v>46103</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63711-2025</t>
        </is>
      </c>
      <c r="B346" s="1" t="n">
        <v>46014.62724537037</v>
      </c>
      <c r="C346" s="1" t="n">
        <v>46103</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45320-2025</t>
        </is>
      </c>
      <c r="B347" s="1" t="n">
        <v>45921.96395833333</v>
      </c>
      <c r="C347" s="1" t="n">
        <v>46103</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18329-2023</t>
        </is>
      </c>
      <c r="B348" s="1" t="n">
        <v>45041.63380787037</v>
      </c>
      <c r="C348" s="1" t="n">
        <v>46103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61937-2025</t>
        </is>
      </c>
      <c r="B349" s="1" t="n">
        <v>46003</v>
      </c>
      <c r="C349" s="1" t="n">
        <v>46103</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46118-2025</t>
        </is>
      </c>
      <c r="B350" s="1" t="n">
        <v>45924.57697916667</v>
      </c>
      <c r="C350" s="1" t="n">
        <v>46103</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46365-2025</t>
        </is>
      </c>
      <c r="B351" s="1" t="n">
        <v>45925.50075231482</v>
      </c>
      <c r="C351" s="1" t="n">
        <v>46103</v>
      </c>
      <c r="D351" t="inlineStr">
        <is>
          <t>KALMAR LÄN</t>
        </is>
      </c>
      <c r="E351" t="inlineStr">
        <is>
          <t>VIMMERBY</t>
        </is>
      </c>
      <c r="G351" t="n">
        <v>5.6</v>
      </c>
      <c r="H351" t="n">
        <v>0</v>
      </c>
      <c r="I351" t="n">
        <v>0</v>
      </c>
      <c r="J351" t="n">
        <v>0</v>
      </c>
      <c r="K351" t="n">
        <v>0</v>
      </c>
      <c r="L351" t="n">
        <v>0</v>
      </c>
      <c r="M351" t="n">
        <v>0</v>
      </c>
      <c r="N351" t="n">
        <v>0</v>
      </c>
      <c r="O351" t="n">
        <v>0</v>
      </c>
      <c r="P351" t="n">
        <v>0</v>
      </c>
      <c r="Q351" t="n">
        <v>0</v>
      </c>
      <c r="R351" s="2" t="inlineStr"/>
    </row>
    <row r="352" ht="15" customHeight="1">
      <c r="A352" t="inlineStr">
        <is>
          <t>A 13015-2023</t>
        </is>
      </c>
      <c r="B352" s="1" t="n">
        <v>45002</v>
      </c>
      <c r="C352" s="1" t="n">
        <v>46103</v>
      </c>
      <c r="D352" t="inlineStr">
        <is>
          <t>KALMAR LÄN</t>
        </is>
      </c>
      <c r="E352" t="inlineStr">
        <is>
          <t>VIMMERBY</t>
        </is>
      </c>
      <c r="G352" t="n">
        <v>3.2</v>
      </c>
      <c r="H352" t="n">
        <v>0</v>
      </c>
      <c r="I352" t="n">
        <v>0</v>
      </c>
      <c r="J352" t="n">
        <v>0</v>
      </c>
      <c r="K352" t="n">
        <v>0</v>
      </c>
      <c r="L352" t="n">
        <v>0</v>
      </c>
      <c r="M352" t="n">
        <v>0</v>
      </c>
      <c r="N352" t="n">
        <v>0</v>
      </c>
      <c r="O352" t="n">
        <v>0</v>
      </c>
      <c r="P352" t="n">
        <v>0</v>
      </c>
      <c r="Q352" t="n">
        <v>0</v>
      </c>
      <c r="R352" s="2" t="inlineStr"/>
    </row>
    <row r="353" ht="15" customHeight="1">
      <c r="A353" t="inlineStr">
        <is>
          <t>A 63762-2025</t>
        </is>
      </c>
      <c r="B353" s="1" t="n">
        <v>46018.67197916667</v>
      </c>
      <c r="C353" s="1" t="n">
        <v>46103</v>
      </c>
      <c r="D353" t="inlineStr">
        <is>
          <t>KALMAR LÄN</t>
        </is>
      </c>
      <c r="E353" t="inlineStr">
        <is>
          <t>VIMMERBY</t>
        </is>
      </c>
      <c r="G353" t="n">
        <v>2.5</v>
      </c>
      <c r="H353" t="n">
        <v>0</v>
      </c>
      <c r="I353" t="n">
        <v>0</v>
      </c>
      <c r="J353" t="n">
        <v>0</v>
      </c>
      <c r="K353" t="n">
        <v>0</v>
      </c>
      <c r="L353" t="n">
        <v>0</v>
      </c>
      <c r="M353" t="n">
        <v>0</v>
      </c>
      <c r="N353" t="n">
        <v>0</v>
      </c>
      <c r="O353" t="n">
        <v>0</v>
      </c>
      <c r="P353" t="n">
        <v>0</v>
      </c>
      <c r="Q353" t="n">
        <v>0</v>
      </c>
      <c r="R353" s="2" t="inlineStr"/>
    </row>
    <row r="354" ht="15" customHeight="1">
      <c r="A354" t="inlineStr">
        <is>
          <t>A 63758-2025</t>
        </is>
      </c>
      <c r="B354" s="1" t="n">
        <v>46018.46483796297</v>
      </c>
      <c r="C354" s="1" t="n">
        <v>46103</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63845-2025</t>
        </is>
      </c>
      <c r="B355" s="1" t="n">
        <v>46020.43715277778</v>
      </c>
      <c r="C355" s="1" t="n">
        <v>46103</v>
      </c>
      <c r="D355" t="inlineStr">
        <is>
          <t>KALMAR LÄN</t>
        </is>
      </c>
      <c r="E355" t="inlineStr">
        <is>
          <t>VIMMERBY</t>
        </is>
      </c>
      <c r="G355" t="n">
        <v>3.8</v>
      </c>
      <c r="H355" t="n">
        <v>0</v>
      </c>
      <c r="I355" t="n">
        <v>0</v>
      </c>
      <c r="J355" t="n">
        <v>0</v>
      </c>
      <c r="K355" t="n">
        <v>0</v>
      </c>
      <c r="L355" t="n">
        <v>0</v>
      </c>
      <c r="M355" t="n">
        <v>0</v>
      </c>
      <c r="N355" t="n">
        <v>0</v>
      </c>
      <c r="O355" t="n">
        <v>0</v>
      </c>
      <c r="P355" t="n">
        <v>0</v>
      </c>
      <c r="Q355" t="n">
        <v>0</v>
      </c>
      <c r="R355" s="2" t="inlineStr"/>
    </row>
    <row r="356" ht="15" customHeight="1">
      <c r="A356" t="inlineStr">
        <is>
          <t>A 46361-2025</t>
        </is>
      </c>
      <c r="B356" s="1" t="n">
        <v>45925.49670138889</v>
      </c>
      <c r="C356" s="1" t="n">
        <v>46103</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63848-2025</t>
        </is>
      </c>
      <c r="B357" s="1" t="n">
        <v>46020.44902777778</v>
      </c>
      <c r="C357" s="1" t="n">
        <v>46103</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29186-2024</t>
        </is>
      </c>
      <c r="B358" s="1" t="n">
        <v>45482.54844907407</v>
      </c>
      <c r="C358" s="1" t="n">
        <v>46103</v>
      </c>
      <c r="D358" t="inlineStr">
        <is>
          <t>KALMAR LÄN</t>
        </is>
      </c>
      <c r="E358" t="inlineStr">
        <is>
          <t>VIMMERBY</t>
        </is>
      </c>
      <c r="G358" t="n">
        <v>2.6</v>
      </c>
      <c r="H358" t="n">
        <v>0</v>
      </c>
      <c r="I358" t="n">
        <v>0</v>
      </c>
      <c r="J358" t="n">
        <v>0</v>
      </c>
      <c r="K358" t="n">
        <v>0</v>
      </c>
      <c r="L358" t="n">
        <v>0</v>
      </c>
      <c r="M358" t="n">
        <v>0</v>
      </c>
      <c r="N358" t="n">
        <v>0</v>
      </c>
      <c r="O358" t="n">
        <v>0</v>
      </c>
      <c r="P358" t="n">
        <v>0</v>
      </c>
      <c r="Q358" t="n">
        <v>0</v>
      </c>
      <c r="R358" s="2" t="inlineStr"/>
    </row>
    <row r="359" ht="15" customHeight="1">
      <c r="A359" t="inlineStr">
        <is>
          <t>A 51278-2024</t>
        </is>
      </c>
      <c r="B359" s="1" t="n">
        <v>45603.74959490741</v>
      </c>
      <c r="C359" s="1" t="n">
        <v>46103</v>
      </c>
      <c r="D359" t="inlineStr">
        <is>
          <t>KALMAR LÄN</t>
        </is>
      </c>
      <c r="E359" t="inlineStr">
        <is>
          <t>VIMMERBY</t>
        </is>
      </c>
      <c r="G359" t="n">
        <v>3.4</v>
      </c>
      <c r="H359" t="n">
        <v>0</v>
      </c>
      <c r="I359" t="n">
        <v>0</v>
      </c>
      <c r="J359" t="n">
        <v>0</v>
      </c>
      <c r="K359" t="n">
        <v>0</v>
      </c>
      <c r="L359" t="n">
        <v>0</v>
      </c>
      <c r="M359" t="n">
        <v>0</v>
      </c>
      <c r="N359" t="n">
        <v>0</v>
      </c>
      <c r="O359" t="n">
        <v>0</v>
      </c>
      <c r="P359" t="n">
        <v>0</v>
      </c>
      <c r="Q359" t="n">
        <v>0</v>
      </c>
      <c r="R359" s="2" t="inlineStr"/>
    </row>
    <row r="360" ht="15" customHeight="1">
      <c r="A360" t="inlineStr">
        <is>
          <t>A 63839-2025</t>
        </is>
      </c>
      <c r="B360" s="1" t="n">
        <v>46020.41998842593</v>
      </c>
      <c r="C360" s="1" t="n">
        <v>46103</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50993-2022</t>
        </is>
      </c>
      <c r="B361" s="1" t="n">
        <v>44867</v>
      </c>
      <c r="C361" s="1" t="n">
        <v>46103</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46887-2025</t>
        </is>
      </c>
      <c r="B362" s="1" t="n">
        <v>45929.3672337963</v>
      </c>
      <c r="C362" s="1" t="n">
        <v>46103</v>
      </c>
      <c r="D362" t="inlineStr">
        <is>
          <t>KALMAR LÄN</t>
        </is>
      </c>
      <c r="E362" t="inlineStr">
        <is>
          <t>VIMMERBY</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45856-2025</t>
        </is>
      </c>
      <c r="B363" s="1" t="n">
        <v>45923</v>
      </c>
      <c r="C363" s="1" t="n">
        <v>46103</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9456-2025</t>
        </is>
      </c>
      <c r="B364" s="1" t="n">
        <v>45715.44159722222</v>
      </c>
      <c r="C364" s="1" t="n">
        <v>46103</v>
      </c>
      <c r="D364" t="inlineStr">
        <is>
          <t>KALMAR LÄN</t>
        </is>
      </c>
      <c r="E364" t="inlineStr">
        <is>
          <t>VIMMERBY</t>
        </is>
      </c>
      <c r="G364" t="n">
        <v>1.5</v>
      </c>
      <c r="H364" t="n">
        <v>0</v>
      </c>
      <c r="I364" t="n">
        <v>0</v>
      </c>
      <c r="J364" t="n">
        <v>0</v>
      </c>
      <c r="K364" t="n">
        <v>0</v>
      </c>
      <c r="L364" t="n">
        <v>0</v>
      </c>
      <c r="M364" t="n">
        <v>0</v>
      </c>
      <c r="N364" t="n">
        <v>0</v>
      </c>
      <c r="O364" t="n">
        <v>0</v>
      </c>
      <c r="P364" t="n">
        <v>0</v>
      </c>
      <c r="Q364" t="n">
        <v>0</v>
      </c>
      <c r="R364" s="2" t="inlineStr"/>
    </row>
    <row r="365" ht="15" customHeight="1">
      <c r="A365" t="inlineStr">
        <is>
          <t>A 54787-2023</t>
        </is>
      </c>
      <c r="B365" s="1" t="n">
        <v>45236</v>
      </c>
      <c r="C365" s="1" t="n">
        <v>46103</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32614-2023</t>
        </is>
      </c>
      <c r="B366" s="1" t="n">
        <v>45121</v>
      </c>
      <c r="C366" s="1" t="n">
        <v>46103</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6850-2023</t>
        </is>
      </c>
      <c r="B367" s="1" t="n">
        <v>44967.44255787037</v>
      </c>
      <c r="C367" s="1" t="n">
        <v>46103</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58750-2022</t>
        </is>
      </c>
      <c r="B368" s="1" t="n">
        <v>44903.33363425926</v>
      </c>
      <c r="C368" s="1" t="n">
        <v>46103</v>
      </c>
      <c r="D368" t="inlineStr">
        <is>
          <t>KALMAR LÄN</t>
        </is>
      </c>
      <c r="E368" t="inlineStr">
        <is>
          <t>VIMMERBY</t>
        </is>
      </c>
      <c r="G368" t="n">
        <v>3.3</v>
      </c>
      <c r="H368" t="n">
        <v>0</v>
      </c>
      <c r="I368" t="n">
        <v>0</v>
      </c>
      <c r="J368" t="n">
        <v>0</v>
      </c>
      <c r="K368" t="n">
        <v>0</v>
      </c>
      <c r="L368" t="n">
        <v>0</v>
      </c>
      <c r="M368" t="n">
        <v>0</v>
      </c>
      <c r="N368" t="n">
        <v>0</v>
      </c>
      <c r="O368" t="n">
        <v>0</v>
      </c>
      <c r="P368" t="n">
        <v>0</v>
      </c>
      <c r="Q368" t="n">
        <v>0</v>
      </c>
      <c r="R368" s="2" t="inlineStr"/>
    </row>
    <row r="369" ht="15" customHeight="1">
      <c r="A369" t="inlineStr">
        <is>
          <t>A 45854-2025</t>
        </is>
      </c>
      <c r="B369" s="1" t="n">
        <v>45923</v>
      </c>
      <c r="C369" s="1" t="n">
        <v>46103</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45855-2025</t>
        </is>
      </c>
      <c r="B370" s="1" t="n">
        <v>45923</v>
      </c>
      <c r="C370" s="1" t="n">
        <v>46103</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11111-2023</t>
        </is>
      </c>
      <c r="B371" s="1" t="n">
        <v>44992.4255787037</v>
      </c>
      <c r="C371" s="1" t="n">
        <v>46103</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41158-2023</t>
        </is>
      </c>
      <c r="B372" s="1" t="n">
        <v>45174.31395833333</v>
      </c>
      <c r="C372" s="1" t="n">
        <v>46103</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2510-2023</t>
        </is>
      </c>
      <c r="B373" s="1" t="n">
        <v>44943.57309027778</v>
      </c>
      <c r="C373" s="1" t="n">
        <v>46103</v>
      </c>
      <c r="D373" t="inlineStr">
        <is>
          <t>KALMAR LÄN</t>
        </is>
      </c>
      <c r="E373" t="inlineStr">
        <is>
          <t>VIMMERBY</t>
        </is>
      </c>
      <c r="G373" t="n">
        <v>8.6</v>
      </c>
      <c r="H373" t="n">
        <v>0</v>
      </c>
      <c r="I373" t="n">
        <v>0</v>
      </c>
      <c r="J373" t="n">
        <v>0</v>
      </c>
      <c r="K373" t="n">
        <v>0</v>
      </c>
      <c r="L373" t="n">
        <v>0</v>
      </c>
      <c r="M373" t="n">
        <v>0</v>
      </c>
      <c r="N373" t="n">
        <v>0</v>
      </c>
      <c r="O373" t="n">
        <v>0</v>
      </c>
      <c r="P373" t="n">
        <v>0</v>
      </c>
      <c r="Q373" t="n">
        <v>0</v>
      </c>
      <c r="R373" s="2" t="inlineStr"/>
    </row>
    <row r="374" ht="15" customHeight="1">
      <c r="A374" t="inlineStr">
        <is>
          <t>A 3269-2024</t>
        </is>
      </c>
      <c r="B374" s="1" t="n">
        <v>45317.40372685185</v>
      </c>
      <c r="C374" s="1" t="n">
        <v>46103</v>
      </c>
      <c r="D374" t="inlineStr">
        <is>
          <t>KALMAR LÄN</t>
        </is>
      </c>
      <c r="E374" t="inlineStr">
        <is>
          <t>VIMMERBY</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47227-2025</t>
        </is>
      </c>
      <c r="B375" s="1" t="n">
        <v>45930.39769675926</v>
      </c>
      <c r="C375" s="1" t="n">
        <v>46103</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48120-2022</t>
        </is>
      </c>
      <c r="B376" s="1" t="n">
        <v>44857.65989583333</v>
      </c>
      <c r="C376" s="1" t="n">
        <v>46103</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6368-2023</t>
        </is>
      </c>
      <c r="B377" s="1" t="n">
        <v>44965</v>
      </c>
      <c r="C377" s="1" t="n">
        <v>46103</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9416-2024</t>
        </is>
      </c>
      <c r="B378" s="1" t="n">
        <v>45359.44837962963</v>
      </c>
      <c r="C378" s="1" t="n">
        <v>46103</v>
      </c>
      <c r="D378" t="inlineStr">
        <is>
          <t>KALMAR LÄN</t>
        </is>
      </c>
      <c r="E378" t="inlineStr">
        <is>
          <t>VIMMERBY</t>
        </is>
      </c>
      <c r="G378" t="n">
        <v>3.2</v>
      </c>
      <c r="H378" t="n">
        <v>0</v>
      </c>
      <c r="I378" t="n">
        <v>0</v>
      </c>
      <c r="J378" t="n">
        <v>0</v>
      </c>
      <c r="K378" t="n">
        <v>0</v>
      </c>
      <c r="L378" t="n">
        <v>0</v>
      </c>
      <c r="M378" t="n">
        <v>0</v>
      </c>
      <c r="N378" t="n">
        <v>0</v>
      </c>
      <c r="O378" t="n">
        <v>0</v>
      </c>
      <c r="P378" t="n">
        <v>0</v>
      </c>
      <c r="Q378" t="n">
        <v>0</v>
      </c>
      <c r="R378" s="2" t="inlineStr"/>
    </row>
    <row r="379" ht="15" customHeight="1">
      <c r="A379" t="inlineStr">
        <is>
          <t>A 8696-2026</t>
        </is>
      </c>
      <c r="B379" s="1" t="n">
        <v>46066.45273148148</v>
      </c>
      <c r="C379" s="1" t="n">
        <v>46103</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8595-2026</t>
        </is>
      </c>
      <c r="B380" s="1" t="n">
        <v>46065.7372337963</v>
      </c>
      <c r="C380" s="1" t="n">
        <v>46103</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2797-2023</t>
        </is>
      </c>
      <c r="B381" s="1" t="n">
        <v>44944.71386574074</v>
      </c>
      <c r="C381" s="1" t="n">
        <v>46103</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2799-2023</t>
        </is>
      </c>
      <c r="B382" s="1" t="n">
        <v>44944.72100694444</v>
      </c>
      <c r="C382" s="1" t="n">
        <v>46103</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25987-2024</t>
        </is>
      </c>
      <c r="B383" s="1" t="n">
        <v>45467.74417824074</v>
      </c>
      <c r="C383" s="1" t="n">
        <v>46103</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44582-2024</t>
        </is>
      </c>
      <c r="B384" s="1" t="n">
        <v>45574.49298611111</v>
      </c>
      <c r="C384" s="1" t="n">
        <v>46103</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22194-2024</t>
        </is>
      </c>
      <c r="B385" s="1" t="n">
        <v>45446.36482638889</v>
      </c>
      <c r="C385" s="1" t="n">
        <v>46103</v>
      </c>
      <c r="D385" t="inlineStr">
        <is>
          <t>KALMAR LÄN</t>
        </is>
      </c>
      <c r="E385" t="inlineStr">
        <is>
          <t>VIMMERBY</t>
        </is>
      </c>
      <c r="F385" t="inlineStr">
        <is>
          <t>Sveaskog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48299-2025</t>
        </is>
      </c>
      <c r="B386" s="1" t="n">
        <v>45933.60982638889</v>
      </c>
      <c r="C386" s="1" t="n">
        <v>46103</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19865-2021</t>
        </is>
      </c>
      <c r="B387" s="1" t="n">
        <v>44312</v>
      </c>
      <c r="C387" s="1" t="n">
        <v>46103</v>
      </c>
      <c r="D387" t="inlineStr">
        <is>
          <t>KALMAR LÄN</t>
        </is>
      </c>
      <c r="E387" t="inlineStr">
        <is>
          <t>VIMMERBY</t>
        </is>
      </c>
      <c r="G387" t="n">
        <v>8.6</v>
      </c>
      <c r="H387" t="n">
        <v>0</v>
      </c>
      <c r="I387" t="n">
        <v>0</v>
      </c>
      <c r="J387" t="n">
        <v>0</v>
      </c>
      <c r="K387" t="n">
        <v>0</v>
      </c>
      <c r="L387" t="n">
        <v>0</v>
      </c>
      <c r="M387" t="n">
        <v>0</v>
      </c>
      <c r="N387" t="n">
        <v>0</v>
      </c>
      <c r="O387" t="n">
        <v>0</v>
      </c>
      <c r="P387" t="n">
        <v>0</v>
      </c>
      <c r="Q387" t="n">
        <v>0</v>
      </c>
      <c r="R387" s="2" t="inlineStr"/>
    </row>
    <row r="388" ht="15" customHeight="1">
      <c r="A388" t="inlineStr">
        <is>
          <t>A 579-2026</t>
        </is>
      </c>
      <c r="B388" s="1" t="n">
        <v>46029.47912037037</v>
      </c>
      <c r="C388" s="1" t="n">
        <v>46103</v>
      </c>
      <c r="D388" t="inlineStr">
        <is>
          <t>KALMAR LÄN</t>
        </is>
      </c>
      <c r="E388" t="inlineStr">
        <is>
          <t>VIMMERBY</t>
        </is>
      </c>
      <c r="G388" t="n">
        <v>3</v>
      </c>
      <c r="H388" t="n">
        <v>0</v>
      </c>
      <c r="I388" t="n">
        <v>0</v>
      </c>
      <c r="J388" t="n">
        <v>0</v>
      </c>
      <c r="K388" t="n">
        <v>0</v>
      </c>
      <c r="L388" t="n">
        <v>0</v>
      </c>
      <c r="M388" t="n">
        <v>0</v>
      </c>
      <c r="N388" t="n">
        <v>0</v>
      </c>
      <c r="O388" t="n">
        <v>0</v>
      </c>
      <c r="P388" t="n">
        <v>0</v>
      </c>
      <c r="Q388" t="n">
        <v>0</v>
      </c>
      <c r="R388" s="2" t="inlineStr"/>
    </row>
    <row r="389" ht="15" customHeight="1">
      <c r="A389" t="inlineStr">
        <is>
          <t>A 12630-2023</t>
        </is>
      </c>
      <c r="B389" s="1" t="n">
        <v>45000.47998842593</v>
      </c>
      <c r="C389" s="1" t="n">
        <v>46103</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47965-2025</t>
        </is>
      </c>
      <c r="B390" s="1" t="n">
        <v>45932.59597222223</v>
      </c>
      <c r="C390" s="1" t="n">
        <v>46103</v>
      </c>
      <c r="D390" t="inlineStr">
        <is>
          <t>KALMAR LÄN</t>
        </is>
      </c>
      <c r="E390" t="inlineStr">
        <is>
          <t>VIMMERBY</t>
        </is>
      </c>
      <c r="G390" t="n">
        <v>2.2</v>
      </c>
      <c r="H390" t="n">
        <v>0</v>
      </c>
      <c r="I390" t="n">
        <v>0</v>
      </c>
      <c r="J390" t="n">
        <v>0</v>
      </c>
      <c r="K390" t="n">
        <v>0</v>
      </c>
      <c r="L390" t="n">
        <v>0</v>
      </c>
      <c r="M390" t="n">
        <v>0</v>
      </c>
      <c r="N390" t="n">
        <v>0</v>
      </c>
      <c r="O390" t="n">
        <v>0</v>
      </c>
      <c r="P390" t="n">
        <v>0</v>
      </c>
      <c r="Q390" t="n">
        <v>0</v>
      </c>
      <c r="R390" s="2" t="inlineStr"/>
    </row>
    <row r="391" ht="15" customHeight="1">
      <c r="A391" t="inlineStr">
        <is>
          <t>A 21109-2024</t>
        </is>
      </c>
      <c r="B391" s="1" t="n">
        <v>45440.28329861111</v>
      </c>
      <c r="C391" s="1" t="n">
        <v>46103</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409-2026</t>
        </is>
      </c>
      <c r="B392" s="1" t="n">
        <v>46028.69432870371</v>
      </c>
      <c r="C392" s="1" t="n">
        <v>46103</v>
      </c>
      <c r="D392" t="inlineStr">
        <is>
          <t>KALMAR LÄN</t>
        </is>
      </c>
      <c r="E392" t="inlineStr">
        <is>
          <t>VIMMERBY</t>
        </is>
      </c>
      <c r="G392" t="n">
        <v>2.2</v>
      </c>
      <c r="H392" t="n">
        <v>0</v>
      </c>
      <c r="I392" t="n">
        <v>0</v>
      </c>
      <c r="J392" t="n">
        <v>0</v>
      </c>
      <c r="K392" t="n">
        <v>0</v>
      </c>
      <c r="L392" t="n">
        <v>0</v>
      </c>
      <c r="M392" t="n">
        <v>0</v>
      </c>
      <c r="N392" t="n">
        <v>0</v>
      </c>
      <c r="O392" t="n">
        <v>0</v>
      </c>
      <c r="P392" t="n">
        <v>0</v>
      </c>
      <c r="Q392" t="n">
        <v>0</v>
      </c>
      <c r="R392" s="2" t="inlineStr"/>
    </row>
    <row r="393" ht="15" customHeight="1">
      <c r="A393" t="inlineStr">
        <is>
          <t>A 406-2026</t>
        </is>
      </c>
      <c r="B393" s="1" t="n">
        <v>46028.68663194445</v>
      </c>
      <c r="C393" s="1" t="n">
        <v>46103</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30634-2024</t>
        </is>
      </c>
      <c r="B394" s="1" t="n">
        <v>45495</v>
      </c>
      <c r="C394" s="1" t="n">
        <v>46103</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40260-2024</t>
        </is>
      </c>
      <c r="B395" s="1" t="n">
        <v>45554.63225694445</v>
      </c>
      <c r="C395" s="1" t="n">
        <v>46103</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47955-2025</t>
        </is>
      </c>
      <c r="B396" s="1" t="n">
        <v>45932.58896990741</v>
      </c>
      <c r="C396" s="1" t="n">
        <v>46103</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48723-2025</t>
        </is>
      </c>
      <c r="B397" s="1" t="n">
        <v>45936.65121527778</v>
      </c>
      <c r="C397" s="1" t="n">
        <v>46103</v>
      </c>
      <c r="D397" t="inlineStr">
        <is>
          <t>KALMAR LÄN</t>
        </is>
      </c>
      <c r="E397" t="inlineStr">
        <is>
          <t>VIMMERBY</t>
        </is>
      </c>
      <c r="G397" t="n">
        <v>3</v>
      </c>
      <c r="H397" t="n">
        <v>0</v>
      </c>
      <c r="I397" t="n">
        <v>0</v>
      </c>
      <c r="J397" t="n">
        <v>0</v>
      </c>
      <c r="K397" t="n">
        <v>0</v>
      </c>
      <c r="L397" t="n">
        <v>0</v>
      </c>
      <c r="M397" t="n">
        <v>0</v>
      </c>
      <c r="N397" t="n">
        <v>0</v>
      </c>
      <c r="O397" t="n">
        <v>0</v>
      </c>
      <c r="P397" t="n">
        <v>0</v>
      </c>
      <c r="Q397" t="n">
        <v>0</v>
      </c>
      <c r="R397" s="2" t="inlineStr"/>
    </row>
    <row r="398" ht="15" customHeight="1">
      <c r="A398" t="inlineStr">
        <is>
          <t>A 59943-2023</t>
        </is>
      </c>
      <c r="B398" s="1" t="n">
        <v>45257.67958333333</v>
      </c>
      <c r="C398" s="1" t="n">
        <v>46103</v>
      </c>
      <c r="D398" t="inlineStr">
        <is>
          <t>KALMAR LÄN</t>
        </is>
      </c>
      <c r="E398" t="inlineStr">
        <is>
          <t>VIMMERBY</t>
        </is>
      </c>
      <c r="G398" t="n">
        <v>6.4</v>
      </c>
      <c r="H398" t="n">
        <v>0</v>
      </c>
      <c r="I398" t="n">
        <v>0</v>
      </c>
      <c r="J398" t="n">
        <v>0</v>
      </c>
      <c r="K398" t="n">
        <v>0</v>
      </c>
      <c r="L398" t="n">
        <v>0</v>
      </c>
      <c r="M398" t="n">
        <v>0</v>
      </c>
      <c r="N398" t="n">
        <v>0</v>
      </c>
      <c r="O398" t="n">
        <v>0</v>
      </c>
      <c r="P398" t="n">
        <v>0</v>
      </c>
      <c r="Q398" t="n">
        <v>0</v>
      </c>
      <c r="R398" s="2" t="inlineStr"/>
    </row>
    <row r="399" ht="15" customHeight="1">
      <c r="A399" t="inlineStr">
        <is>
          <t>A 48712-2025</t>
        </is>
      </c>
      <c r="B399" s="1" t="n">
        <v>45936.63373842592</v>
      </c>
      <c r="C399" s="1" t="n">
        <v>46103</v>
      </c>
      <c r="D399" t="inlineStr">
        <is>
          <t>KALMAR LÄN</t>
        </is>
      </c>
      <c r="E399" t="inlineStr">
        <is>
          <t>VIMMERBY</t>
        </is>
      </c>
      <c r="G399" t="n">
        <v>3</v>
      </c>
      <c r="H399" t="n">
        <v>0</v>
      </c>
      <c r="I399" t="n">
        <v>0</v>
      </c>
      <c r="J399" t="n">
        <v>0</v>
      </c>
      <c r="K399" t="n">
        <v>0</v>
      </c>
      <c r="L399" t="n">
        <v>0</v>
      </c>
      <c r="M399" t="n">
        <v>0</v>
      </c>
      <c r="N399" t="n">
        <v>0</v>
      </c>
      <c r="O399" t="n">
        <v>0</v>
      </c>
      <c r="P399" t="n">
        <v>0</v>
      </c>
      <c r="Q399" t="n">
        <v>0</v>
      </c>
      <c r="R399" s="2" t="inlineStr"/>
    </row>
    <row r="400" ht="15" customHeight="1">
      <c r="A400" t="inlineStr">
        <is>
          <t>A 5527-2022</t>
        </is>
      </c>
      <c r="B400" s="1" t="n">
        <v>44595.583125</v>
      </c>
      <c r="C400" s="1" t="n">
        <v>46103</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48408-2025</t>
        </is>
      </c>
      <c r="B401" s="1" t="n">
        <v>45934.40527777778</v>
      </c>
      <c r="C401" s="1" t="n">
        <v>46103</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12325-2023</t>
        </is>
      </c>
      <c r="B402" s="1" t="n">
        <v>44999.35858796296</v>
      </c>
      <c r="C402" s="1" t="n">
        <v>46103</v>
      </c>
      <c r="D402" t="inlineStr">
        <is>
          <t>KALMAR LÄN</t>
        </is>
      </c>
      <c r="E402" t="inlineStr">
        <is>
          <t>VIMMERBY</t>
        </is>
      </c>
      <c r="G402" t="n">
        <v>3.4</v>
      </c>
      <c r="H402" t="n">
        <v>0</v>
      </c>
      <c r="I402" t="n">
        <v>0</v>
      </c>
      <c r="J402" t="n">
        <v>0</v>
      </c>
      <c r="K402" t="n">
        <v>0</v>
      </c>
      <c r="L402" t="n">
        <v>0</v>
      </c>
      <c r="M402" t="n">
        <v>0</v>
      </c>
      <c r="N402" t="n">
        <v>0</v>
      </c>
      <c r="O402" t="n">
        <v>0</v>
      </c>
      <c r="P402" t="n">
        <v>0</v>
      </c>
      <c r="Q402" t="n">
        <v>0</v>
      </c>
      <c r="R402" s="2" t="inlineStr"/>
    </row>
    <row r="403" ht="15" customHeight="1">
      <c r="A403" t="inlineStr">
        <is>
          <t>A 48409-2025</t>
        </is>
      </c>
      <c r="B403" s="1" t="n">
        <v>45934.41387731482</v>
      </c>
      <c r="C403" s="1" t="n">
        <v>46103</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15494-2024</t>
        </is>
      </c>
      <c r="B404" s="1" t="n">
        <v>45401.53033564815</v>
      </c>
      <c r="C404" s="1" t="n">
        <v>46103</v>
      </c>
      <c r="D404" t="inlineStr">
        <is>
          <t>KALMAR LÄN</t>
        </is>
      </c>
      <c r="E404" t="inlineStr">
        <is>
          <t>VIMMERBY</t>
        </is>
      </c>
      <c r="G404" t="n">
        <v>3.2</v>
      </c>
      <c r="H404" t="n">
        <v>0</v>
      </c>
      <c r="I404" t="n">
        <v>0</v>
      </c>
      <c r="J404" t="n">
        <v>0</v>
      </c>
      <c r="K404" t="n">
        <v>0</v>
      </c>
      <c r="L404" t="n">
        <v>0</v>
      </c>
      <c r="M404" t="n">
        <v>0</v>
      </c>
      <c r="N404" t="n">
        <v>0</v>
      </c>
      <c r="O404" t="n">
        <v>0</v>
      </c>
      <c r="P404" t="n">
        <v>0</v>
      </c>
      <c r="Q404" t="n">
        <v>0</v>
      </c>
      <c r="R404" s="2" t="inlineStr"/>
    </row>
    <row r="405" ht="15" customHeight="1">
      <c r="A405" t="inlineStr">
        <is>
          <t>A 48600-2025</t>
        </is>
      </c>
      <c r="B405" s="1" t="n">
        <v>45935</v>
      </c>
      <c r="C405" s="1" t="n">
        <v>46103</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1016-2024</t>
        </is>
      </c>
      <c r="B406" s="1" t="n">
        <v>45301</v>
      </c>
      <c r="C406" s="1" t="n">
        <v>46103</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33681-2022</t>
        </is>
      </c>
      <c r="B407" s="1" t="n">
        <v>44789</v>
      </c>
      <c r="C407" s="1" t="n">
        <v>46103</v>
      </c>
      <c r="D407" t="inlineStr">
        <is>
          <t>KALMAR LÄN</t>
        </is>
      </c>
      <c r="E407" t="inlineStr">
        <is>
          <t>VIMMERBY</t>
        </is>
      </c>
      <c r="G407" t="n">
        <v>3.2</v>
      </c>
      <c r="H407" t="n">
        <v>0</v>
      </c>
      <c r="I407" t="n">
        <v>0</v>
      </c>
      <c r="J407" t="n">
        <v>0</v>
      </c>
      <c r="K407" t="n">
        <v>0</v>
      </c>
      <c r="L407" t="n">
        <v>0</v>
      </c>
      <c r="M407" t="n">
        <v>0</v>
      </c>
      <c r="N407" t="n">
        <v>0</v>
      </c>
      <c r="O407" t="n">
        <v>0</v>
      </c>
      <c r="P407" t="n">
        <v>0</v>
      </c>
      <c r="Q407" t="n">
        <v>0</v>
      </c>
      <c r="R407" s="2" t="inlineStr"/>
    </row>
    <row r="408" ht="15" customHeight="1">
      <c r="A408" t="inlineStr">
        <is>
          <t>A 842-2026</t>
        </is>
      </c>
      <c r="B408" s="1" t="n">
        <v>46030.380625</v>
      </c>
      <c r="C408" s="1" t="n">
        <v>46103</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5074-2023</t>
        </is>
      </c>
      <c r="B409" s="1" t="n">
        <v>44958.61047453704</v>
      </c>
      <c r="C409" s="1" t="n">
        <v>46103</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1069-2026</t>
        </is>
      </c>
      <c r="B410" s="1" t="n">
        <v>46030</v>
      </c>
      <c r="C410" s="1" t="n">
        <v>46103</v>
      </c>
      <c r="D410" t="inlineStr">
        <is>
          <t>KALMAR LÄN</t>
        </is>
      </c>
      <c r="E410" t="inlineStr">
        <is>
          <t>VIMMERBY</t>
        </is>
      </c>
      <c r="G410" t="n">
        <v>3.3</v>
      </c>
      <c r="H410" t="n">
        <v>0</v>
      </c>
      <c r="I410" t="n">
        <v>0</v>
      </c>
      <c r="J410" t="n">
        <v>0</v>
      </c>
      <c r="K410" t="n">
        <v>0</v>
      </c>
      <c r="L410" t="n">
        <v>0</v>
      </c>
      <c r="M410" t="n">
        <v>0</v>
      </c>
      <c r="N410" t="n">
        <v>0</v>
      </c>
      <c r="O410" t="n">
        <v>0</v>
      </c>
      <c r="P410" t="n">
        <v>0</v>
      </c>
      <c r="Q410" t="n">
        <v>0</v>
      </c>
      <c r="R410" s="2" t="inlineStr"/>
    </row>
    <row r="411" ht="15" customHeight="1">
      <c r="A411" t="inlineStr">
        <is>
          <t>A 51187-2023</t>
        </is>
      </c>
      <c r="B411" s="1" t="n">
        <v>45219.40528935185</v>
      </c>
      <c r="C411" s="1" t="n">
        <v>46103</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1734-2026</t>
        </is>
      </c>
      <c r="B412" s="1" t="n">
        <v>46034</v>
      </c>
      <c r="C412" s="1" t="n">
        <v>46103</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1743-2026</t>
        </is>
      </c>
      <c r="B413" s="1" t="n">
        <v>46034</v>
      </c>
      <c r="C413" s="1" t="n">
        <v>46103</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15715-2022</t>
        </is>
      </c>
      <c r="B414" s="1" t="n">
        <v>44663</v>
      </c>
      <c r="C414" s="1" t="n">
        <v>46103</v>
      </c>
      <c r="D414" t="inlineStr">
        <is>
          <t>KALMAR LÄN</t>
        </is>
      </c>
      <c r="E414" t="inlineStr">
        <is>
          <t>VIMMERBY</t>
        </is>
      </c>
      <c r="G414" t="n">
        <v>2.3</v>
      </c>
      <c r="H414" t="n">
        <v>0</v>
      </c>
      <c r="I414" t="n">
        <v>0</v>
      </c>
      <c r="J414" t="n">
        <v>0</v>
      </c>
      <c r="K414" t="n">
        <v>0</v>
      </c>
      <c r="L414" t="n">
        <v>0</v>
      </c>
      <c r="M414" t="n">
        <v>0</v>
      </c>
      <c r="N414" t="n">
        <v>0</v>
      </c>
      <c r="O414" t="n">
        <v>0</v>
      </c>
      <c r="P414" t="n">
        <v>0</v>
      </c>
      <c r="Q414" t="n">
        <v>0</v>
      </c>
      <c r="R414" s="2" t="inlineStr"/>
    </row>
    <row r="415" ht="15" customHeight="1">
      <c r="A415" t="inlineStr">
        <is>
          <t>A 43093-2024</t>
        </is>
      </c>
      <c r="B415" s="1" t="n">
        <v>45567</v>
      </c>
      <c r="C415" s="1" t="n">
        <v>46103</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56022-2024</t>
        </is>
      </c>
      <c r="B416" s="1" t="n">
        <v>45623.95947916667</v>
      </c>
      <c r="C416" s="1" t="n">
        <v>46103</v>
      </c>
      <c r="D416" t="inlineStr">
        <is>
          <t>KALMAR LÄN</t>
        </is>
      </c>
      <c r="E416" t="inlineStr">
        <is>
          <t>VIMMERBY</t>
        </is>
      </c>
      <c r="G416" t="n">
        <v>0.3</v>
      </c>
      <c r="H416" t="n">
        <v>0</v>
      </c>
      <c r="I416" t="n">
        <v>0</v>
      </c>
      <c r="J416" t="n">
        <v>0</v>
      </c>
      <c r="K416" t="n">
        <v>0</v>
      </c>
      <c r="L416" t="n">
        <v>0</v>
      </c>
      <c r="M416" t="n">
        <v>0</v>
      </c>
      <c r="N416" t="n">
        <v>0</v>
      </c>
      <c r="O416" t="n">
        <v>0</v>
      </c>
      <c r="P416" t="n">
        <v>0</v>
      </c>
      <c r="Q416" t="n">
        <v>0</v>
      </c>
      <c r="R416" s="2" t="inlineStr"/>
    </row>
    <row r="417" ht="15" customHeight="1">
      <c r="A417" t="inlineStr">
        <is>
          <t>A 18330-2023</t>
        </is>
      </c>
      <c r="B417" s="1" t="n">
        <v>45041</v>
      </c>
      <c r="C417" s="1" t="n">
        <v>46103</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49871-2025</t>
        </is>
      </c>
      <c r="B418" s="1" t="n">
        <v>45940.54104166666</v>
      </c>
      <c r="C418" s="1" t="n">
        <v>46103</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1748-2026</t>
        </is>
      </c>
      <c r="B419" s="1" t="n">
        <v>46034.65589120371</v>
      </c>
      <c r="C419" s="1" t="n">
        <v>46103</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1862-2026</t>
        </is>
      </c>
      <c r="B420" s="1" t="n">
        <v>46035.44689814815</v>
      </c>
      <c r="C420" s="1" t="n">
        <v>46103</v>
      </c>
      <c r="D420" t="inlineStr">
        <is>
          <t>KALMAR LÄN</t>
        </is>
      </c>
      <c r="E420" t="inlineStr">
        <is>
          <t>VIMMERBY</t>
        </is>
      </c>
      <c r="G420" t="n">
        <v>3.1</v>
      </c>
      <c r="H420" t="n">
        <v>0</v>
      </c>
      <c r="I420" t="n">
        <v>0</v>
      </c>
      <c r="J420" t="n">
        <v>0</v>
      </c>
      <c r="K420" t="n">
        <v>0</v>
      </c>
      <c r="L420" t="n">
        <v>0</v>
      </c>
      <c r="M420" t="n">
        <v>0</v>
      </c>
      <c r="N420" t="n">
        <v>0</v>
      </c>
      <c r="O420" t="n">
        <v>0</v>
      </c>
      <c r="P420" t="n">
        <v>0</v>
      </c>
      <c r="Q420" t="n">
        <v>0</v>
      </c>
      <c r="R420" s="2" t="inlineStr"/>
    </row>
    <row r="421" ht="15" customHeight="1">
      <c r="A421" t="inlineStr">
        <is>
          <t>A 20126-2024</t>
        </is>
      </c>
      <c r="B421" s="1" t="n">
        <v>45434.55471064815</v>
      </c>
      <c r="C421" s="1" t="n">
        <v>46103</v>
      </c>
      <c r="D421" t="inlineStr">
        <is>
          <t>KALMAR LÄN</t>
        </is>
      </c>
      <c r="E421" t="inlineStr">
        <is>
          <t>VIMMERBY</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20136-2024</t>
        </is>
      </c>
      <c r="B422" s="1" t="n">
        <v>45434.56291666667</v>
      </c>
      <c r="C422" s="1" t="n">
        <v>46103</v>
      </c>
      <c r="D422" t="inlineStr">
        <is>
          <t>KALMAR LÄN</t>
        </is>
      </c>
      <c r="E422" t="inlineStr">
        <is>
          <t>VIMMERBY</t>
        </is>
      </c>
      <c r="F422" t="inlineStr">
        <is>
          <t>Sveaskog</t>
        </is>
      </c>
      <c r="G422" t="n">
        <v>8.4</v>
      </c>
      <c r="H422" t="n">
        <v>0</v>
      </c>
      <c r="I422" t="n">
        <v>0</v>
      </c>
      <c r="J422" t="n">
        <v>0</v>
      </c>
      <c r="K422" t="n">
        <v>0</v>
      </c>
      <c r="L422" t="n">
        <v>0</v>
      </c>
      <c r="M422" t="n">
        <v>0</v>
      </c>
      <c r="N422" t="n">
        <v>0</v>
      </c>
      <c r="O422" t="n">
        <v>0</v>
      </c>
      <c r="P422" t="n">
        <v>0</v>
      </c>
      <c r="Q422" t="n">
        <v>0</v>
      </c>
      <c r="R422" s="2" t="inlineStr"/>
    </row>
    <row r="423" ht="15" customHeight="1">
      <c r="A423" t="inlineStr">
        <is>
          <t>A 50544-2025</t>
        </is>
      </c>
      <c r="B423" s="1" t="n">
        <v>45945.50736111111</v>
      </c>
      <c r="C423" s="1" t="n">
        <v>46103</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46921-2023</t>
        </is>
      </c>
      <c r="B424" s="1" t="n">
        <v>45201.39996527778</v>
      </c>
      <c r="C424" s="1" t="n">
        <v>46103</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25236-2023</t>
        </is>
      </c>
      <c r="B425" s="1" t="n">
        <v>45086.63334490741</v>
      </c>
      <c r="C425" s="1" t="n">
        <v>46103</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2518-2026</t>
        </is>
      </c>
      <c r="B426" s="1" t="n">
        <v>46037.42511574074</v>
      </c>
      <c r="C426" s="1" t="n">
        <v>46103</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58724-2024</t>
        </is>
      </c>
      <c r="B427" s="1" t="n">
        <v>45635.66409722222</v>
      </c>
      <c r="C427" s="1" t="n">
        <v>46103</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50324-2025</t>
        </is>
      </c>
      <c r="B428" s="1" t="n">
        <v>45944.45962962963</v>
      </c>
      <c r="C428" s="1" t="n">
        <v>46103</v>
      </c>
      <c r="D428" t="inlineStr">
        <is>
          <t>KALMAR LÄN</t>
        </is>
      </c>
      <c r="E428" t="inlineStr">
        <is>
          <t>VIMMERBY</t>
        </is>
      </c>
      <c r="G428" t="n">
        <v>2.1</v>
      </c>
      <c r="H428" t="n">
        <v>0</v>
      </c>
      <c r="I428" t="n">
        <v>0</v>
      </c>
      <c r="J428" t="n">
        <v>0</v>
      </c>
      <c r="K428" t="n">
        <v>0</v>
      </c>
      <c r="L428" t="n">
        <v>0</v>
      </c>
      <c r="M428" t="n">
        <v>0</v>
      </c>
      <c r="N428" t="n">
        <v>0</v>
      </c>
      <c r="O428" t="n">
        <v>0</v>
      </c>
      <c r="P428" t="n">
        <v>0</v>
      </c>
      <c r="Q428" t="n">
        <v>0</v>
      </c>
      <c r="R428" s="2" t="inlineStr"/>
    </row>
    <row r="429" ht="15" customHeight="1">
      <c r="A429" t="inlineStr">
        <is>
          <t>A 6082-2022</t>
        </is>
      </c>
      <c r="B429" s="1" t="n">
        <v>44599</v>
      </c>
      <c r="C429" s="1" t="n">
        <v>46103</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10965-2026</t>
        </is>
      </c>
      <c r="B430" s="1" t="n">
        <v>46079.43295138889</v>
      </c>
      <c r="C430" s="1" t="n">
        <v>46103</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2514-2026</t>
        </is>
      </c>
      <c r="B431" s="1" t="n">
        <v>46037.42219907408</v>
      </c>
      <c r="C431" s="1" t="n">
        <v>46103</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2801-2023</t>
        </is>
      </c>
      <c r="B432" s="1" t="n">
        <v>44944.73487268519</v>
      </c>
      <c r="C432" s="1" t="n">
        <v>46103</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51062-2025</t>
        </is>
      </c>
      <c r="B433" s="1" t="n">
        <v>45947.44685185186</v>
      </c>
      <c r="C433" s="1" t="n">
        <v>46103</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5146-2024</t>
        </is>
      </c>
      <c r="B434" s="1" t="n">
        <v>45330</v>
      </c>
      <c r="C434" s="1" t="n">
        <v>46103</v>
      </c>
      <c r="D434" t="inlineStr">
        <is>
          <t>KALMAR LÄN</t>
        </is>
      </c>
      <c r="E434" t="inlineStr">
        <is>
          <t>VIMMERBY</t>
        </is>
      </c>
      <c r="G434" t="n">
        <v>5.3</v>
      </c>
      <c r="H434" t="n">
        <v>0</v>
      </c>
      <c r="I434" t="n">
        <v>0</v>
      </c>
      <c r="J434" t="n">
        <v>0</v>
      </c>
      <c r="K434" t="n">
        <v>0</v>
      </c>
      <c r="L434" t="n">
        <v>0</v>
      </c>
      <c r="M434" t="n">
        <v>0</v>
      </c>
      <c r="N434" t="n">
        <v>0</v>
      </c>
      <c r="O434" t="n">
        <v>0</v>
      </c>
      <c r="P434" t="n">
        <v>0</v>
      </c>
      <c r="Q434" t="n">
        <v>0</v>
      </c>
      <c r="R434" s="2" t="inlineStr"/>
    </row>
    <row r="435" ht="15" customHeight="1">
      <c r="A435" t="inlineStr">
        <is>
          <t>A 5148-2024</t>
        </is>
      </c>
      <c r="B435" s="1" t="n">
        <v>45330</v>
      </c>
      <c r="C435" s="1" t="n">
        <v>46103</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25792-2025</t>
        </is>
      </c>
      <c r="B436" s="1" t="n">
        <v>45804.39141203704</v>
      </c>
      <c r="C436" s="1" t="n">
        <v>46103</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58278-2023</t>
        </is>
      </c>
      <c r="B437" s="1" t="n">
        <v>45250.5278587963</v>
      </c>
      <c r="C437" s="1" t="n">
        <v>46103</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22266-2023</t>
        </is>
      </c>
      <c r="B438" s="1" t="n">
        <v>45070</v>
      </c>
      <c r="C438" s="1" t="n">
        <v>46103</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52588-2023</t>
        </is>
      </c>
      <c r="B439" s="1" t="n">
        <v>45225.60192129629</v>
      </c>
      <c r="C439" s="1" t="n">
        <v>46103</v>
      </c>
      <c r="D439" t="inlineStr">
        <is>
          <t>KALMAR LÄN</t>
        </is>
      </c>
      <c r="E439" t="inlineStr">
        <is>
          <t>VIMMERBY</t>
        </is>
      </c>
      <c r="G439" t="n">
        <v>2.9</v>
      </c>
      <c r="H439" t="n">
        <v>0</v>
      </c>
      <c r="I439" t="n">
        <v>0</v>
      </c>
      <c r="J439" t="n">
        <v>0</v>
      </c>
      <c r="K439" t="n">
        <v>0</v>
      </c>
      <c r="L439" t="n">
        <v>0</v>
      </c>
      <c r="M439" t="n">
        <v>0</v>
      </c>
      <c r="N439" t="n">
        <v>0</v>
      </c>
      <c r="O439" t="n">
        <v>0</v>
      </c>
      <c r="P439" t="n">
        <v>0</v>
      </c>
      <c r="Q439" t="n">
        <v>0</v>
      </c>
      <c r="R439" s="2" t="inlineStr"/>
    </row>
    <row r="440" ht="15" customHeight="1">
      <c r="A440" t="inlineStr">
        <is>
          <t>A 26039-2025</t>
        </is>
      </c>
      <c r="B440" s="1" t="n">
        <v>45804.6953587963</v>
      </c>
      <c r="C440" s="1" t="n">
        <v>46103</v>
      </c>
      <c r="D440" t="inlineStr">
        <is>
          <t>KALMAR LÄN</t>
        </is>
      </c>
      <c r="E440" t="inlineStr">
        <is>
          <t>VIMMERBY</t>
        </is>
      </c>
      <c r="F440" t="inlineStr">
        <is>
          <t>Sveaskog</t>
        </is>
      </c>
      <c r="G440" t="n">
        <v>5.2</v>
      </c>
      <c r="H440" t="n">
        <v>0</v>
      </c>
      <c r="I440" t="n">
        <v>0</v>
      </c>
      <c r="J440" t="n">
        <v>0</v>
      </c>
      <c r="K440" t="n">
        <v>0</v>
      </c>
      <c r="L440" t="n">
        <v>0</v>
      </c>
      <c r="M440" t="n">
        <v>0</v>
      </c>
      <c r="N440" t="n">
        <v>0</v>
      </c>
      <c r="O440" t="n">
        <v>0</v>
      </c>
      <c r="P440" t="n">
        <v>0</v>
      </c>
      <c r="Q440" t="n">
        <v>0</v>
      </c>
      <c r="R440" s="2" t="inlineStr"/>
    </row>
    <row r="441" ht="15" customHeight="1">
      <c r="A441" t="inlineStr">
        <is>
          <t>A 6802-2025</t>
        </is>
      </c>
      <c r="B441" s="1" t="n">
        <v>45700.68289351852</v>
      </c>
      <c r="C441" s="1" t="n">
        <v>46103</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71793-2021</t>
        </is>
      </c>
      <c r="B442" s="1" t="n">
        <v>44539</v>
      </c>
      <c r="C442" s="1" t="n">
        <v>46103</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2523-2026</t>
        </is>
      </c>
      <c r="B443" s="1" t="n">
        <v>46037.42825231481</v>
      </c>
      <c r="C443" s="1" t="n">
        <v>46103</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3266-2026</t>
        </is>
      </c>
      <c r="B444" s="1" t="n">
        <v>46041</v>
      </c>
      <c r="C444" s="1" t="n">
        <v>46103</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527-2024</t>
        </is>
      </c>
      <c r="B445" s="1" t="n">
        <v>45299.47513888889</v>
      </c>
      <c r="C445" s="1" t="n">
        <v>46103</v>
      </c>
      <c r="D445" t="inlineStr">
        <is>
          <t>KALMAR LÄN</t>
        </is>
      </c>
      <c r="E445" t="inlineStr">
        <is>
          <t>VIMMERBY</t>
        </is>
      </c>
      <c r="G445" t="n">
        <v>2.2</v>
      </c>
      <c r="H445" t="n">
        <v>0</v>
      </c>
      <c r="I445" t="n">
        <v>0</v>
      </c>
      <c r="J445" t="n">
        <v>0</v>
      </c>
      <c r="K445" t="n">
        <v>0</v>
      </c>
      <c r="L445" t="n">
        <v>0</v>
      </c>
      <c r="M445" t="n">
        <v>0</v>
      </c>
      <c r="N445" t="n">
        <v>0</v>
      </c>
      <c r="O445" t="n">
        <v>0</v>
      </c>
      <c r="P445" t="n">
        <v>0</v>
      </c>
      <c r="Q445" t="n">
        <v>0</v>
      </c>
      <c r="R445" s="2" t="inlineStr"/>
    </row>
    <row r="446" ht="15" customHeight="1">
      <c r="A446" t="inlineStr">
        <is>
          <t>A 60230-2022</t>
        </is>
      </c>
      <c r="B446" s="1" t="n">
        <v>44910</v>
      </c>
      <c r="C446" s="1" t="n">
        <v>46103</v>
      </c>
      <c r="D446" t="inlineStr">
        <is>
          <t>KALMAR LÄN</t>
        </is>
      </c>
      <c r="E446" t="inlineStr">
        <is>
          <t>VIMMERBY</t>
        </is>
      </c>
      <c r="G446" t="n">
        <v>11.3</v>
      </c>
      <c r="H446" t="n">
        <v>0</v>
      </c>
      <c r="I446" t="n">
        <v>0</v>
      </c>
      <c r="J446" t="n">
        <v>0</v>
      </c>
      <c r="K446" t="n">
        <v>0</v>
      </c>
      <c r="L446" t="n">
        <v>0</v>
      </c>
      <c r="M446" t="n">
        <v>0</v>
      </c>
      <c r="N446" t="n">
        <v>0</v>
      </c>
      <c r="O446" t="n">
        <v>0</v>
      </c>
      <c r="P446" t="n">
        <v>0</v>
      </c>
      <c r="Q446" t="n">
        <v>0</v>
      </c>
      <c r="R446" s="2" t="inlineStr"/>
    </row>
    <row r="447" ht="15" customHeight="1">
      <c r="A447" t="inlineStr">
        <is>
          <t>A 51990-2025</t>
        </is>
      </c>
      <c r="B447" s="1" t="n">
        <v>45952.58061342593</v>
      </c>
      <c r="C447" s="1" t="n">
        <v>46103</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5925-2022</t>
        </is>
      </c>
      <c r="B448" s="1" t="n">
        <v>44598.7384837963</v>
      </c>
      <c r="C448" s="1" t="n">
        <v>46103</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3292-2026</t>
        </is>
      </c>
      <c r="B449" s="1" t="n">
        <v>46041</v>
      </c>
      <c r="C449" s="1" t="n">
        <v>46103</v>
      </c>
      <c r="D449" t="inlineStr">
        <is>
          <t>KALMAR LÄN</t>
        </is>
      </c>
      <c r="E449" t="inlineStr">
        <is>
          <t>VIMMERBY</t>
        </is>
      </c>
      <c r="G449" t="n">
        <v>3.9</v>
      </c>
      <c r="H449" t="n">
        <v>0</v>
      </c>
      <c r="I449" t="n">
        <v>0</v>
      </c>
      <c r="J449" t="n">
        <v>0</v>
      </c>
      <c r="K449" t="n">
        <v>0</v>
      </c>
      <c r="L449" t="n">
        <v>0</v>
      </c>
      <c r="M449" t="n">
        <v>0</v>
      </c>
      <c r="N449" t="n">
        <v>0</v>
      </c>
      <c r="O449" t="n">
        <v>0</v>
      </c>
      <c r="P449" t="n">
        <v>0</v>
      </c>
      <c r="Q449" t="n">
        <v>0</v>
      </c>
      <c r="R449" s="2" t="inlineStr"/>
    </row>
    <row r="450" ht="15" customHeight="1">
      <c r="A450" t="inlineStr">
        <is>
          <t>A 51993-2025</t>
        </is>
      </c>
      <c r="B450" s="1" t="n">
        <v>45952.58194444444</v>
      </c>
      <c r="C450" s="1" t="n">
        <v>46103</v>
      </c>
      <c r="D450" t="inlineStr">
        <is>
          <t>KALMAR LÄN</t>
        </is>
      </c>
      <c r="E450" t="inlineStr">
        <is>
          <t>VIMMERBY</t>
        </is>
      </c>
      <c r="G450" t="n">
        <v>2.8</v>
      </c>
      <c r="H450" t="n">
        <v>0</v>
      </c>
      <c r="I450" t="n">
        <v>0</v>
      </c>
      <c r="J450" t="n">
        <v>0</v>
      </c>
      <c r="K450" t="n">
        <v>0</v>
      </c>
      <c r="L450" t="n">
        <v>0</v>
      </c>
      <c r="M450" t="n">
        <v>0</v>
      </c>
      <c r="N450" t="n">
        <v>0</v>
      </c>
      <c r="O450" t="n">
        <v>0</v>
      </c>
      <c r="P450" t="n">
        <v>0</v>
      </c>
      <c r="Q450" t="n">
        <v>0</v>
      </c>
      <c r="R450" s="2" t="inlineStr"/>
    </row>
    <row r="451" ht="15" customHeight="1">
      <c r="A451" t="inlineStr">
        <is>
          <t>A 46522-2022</t>
        </is>
      </c>
      <c r="B451" s="1" t="n">
        <v>44848.59133101852</v>
      </c>
      <c r="C451" s="1" t="n">
        <v>46103</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52465-2025</t>
        </is>
      </c>
      <c r="B452" s="1" t="n">
        <v>45954.44543981482</v>
      </c>
      <c r="C452" s="1" t="n">
        <v>46103</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41066-2024</t>
        </is>
      </c>
      <c r="B453" s="1" t="n">
        <v>45559.38876157408</v>
      </c>
      <c r="C453" s="1" t="n">
        <v>46103</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52279-2023</t>
        </is>
      </c>
      <c r="B454" s="1" t="n">
        <v>45224</v>
      </c>
      <c r="C454" s="1" t="n">
        <v>46103</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11273-2026</t>
        </is>
      </c>
      <c r="B455" s="1" t="n">
        <v>46080.57634259259</v>
      </c>
      <c r="C455" s="1" t="n">
        <v>46103</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52451-2025</t>
        </is>
      </c>
      <c r="B456" s="1" t="n">
        <v>45954.42326388889</v>
      </c>
      <c r="C456" s="1" t="n">
        <v>46103</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17486-2024</t>
        </is>
      </c>
      <c r="B457" s="1" t="n">
        <v>45415.48979166667</v>
      </c>
      <c r="C457" s="1" t="n">
        <v>46103</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52516-2025</t>
        </is>
      </c>
      <c r="B458" s="1" t="n">
        <v>45954.51412037037</v>
      </c>
      <c r="C458" s="1" t="n">
        <v>46103</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3868-2026</t>
        </is>
      </c>
      <c r="B459" s="1" t="n">
        <v>46043.6360300926</v>
      </c>
      <c r="C459" s="1" t="n">
        <v>46103</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52466-2025</t>
        </is>
      </c>
      <c r="B460" s="1" t="n">
        <v>45954.44707175926</v>
      </c>
      <c r="C460" s="1" t="n">
        <v>46103</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52473-2025</t>
        </is>
      </c>
      <c r="B461" s="1" t="n">
        <v>45954.45947916667</v>
      </c>
      <c r="C461" s="1" t="n">
        <v>46103</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52480-2025</t>
        </is>
      </c>
      <c r="B462" s="1" t="n">
        <v>45954.47172453703</v>
      </c>
      <c r="C462" s="1" t="n">
        <v>46103</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71631-2021</t>
        </is>
      </c>
      <c r="B463" s="1" t="n">
        <v>44542.90072916666</v>
      </c>
      <c r="C463" s="1" t="n">
        <v>46103</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52475-2025</t>
        </is>
      </c>
      <c r="B464" s="1" t="n">
        <v>45954.468125</v>
      </c>
      <c r="C464" s="1" t="n">
        <v>46103</v>
      </c>
      <c r="D464" t="inlineStr">
        <is>
          <t>KALMAR LÄN</t>
        </is>
      </c>
      <c r="E464" t="inlineStr">
        <is>
          <t>VIMMERBY</t>
        </is>
      </c>
      <c r="G464" t="n">
        <v>1.5</v>
      </c>
      <c r="H464" t="n">
        <v>0</v>
      </c>
      <c r="I464" t="n">
        <v>0</v>
      </c>
      <c r="J464" t="n">
        <v>0</v>
      </c>
      <c r="K464" t="n">
        <v>0</v>
      </c>
      <c r="L464" t="n">
        <v>0</v>
      </c>
      <c r="M464" t="n">
        <v>0</v>
      </c>
      <c r="N464" t="n">
        <v>0</v>
      </c>
      <c r="O464" t="n">
        <v>0</v>
      </c>
      <c r="P464" t="n">
        <v>0</v>
      </c>
      <c r="Q464" t="n">
        <v>0</v>
      </c>
      <c r="R464" s="2" t="inlineStr"/>
    </row>
    <row r="465" ht="15" customHeight="1">
      <c r="A465" t="inlineStr">
        <is>
          <t>A 3869-2026</t>
        </is>
      </c>
      <c r="B465" s="1" t="n">
        <v>46043.63940972222</v>
      </c>
      <c r="C465" s="1" t="n">
        <v>46103</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53396-2025</t>
        </is>
      </c>
      <c r="B466" s="1" t="n">
        <v>45959.55577546296</v>
      </c>
      <c r="C466" s="1" t="n">
        <v>46103</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53416-2025</t>
        </is>
      </c>
      <c r="B467" s="1" t="n">
        <v>45959.58387731481</v>
      </c>
      <c r="C467" s="1" t="n">
        <v>46103</v>
      </c>
      <c r="D467" t="inlineStr">
        <is>
          <t>KALMAR LÄN</t>
        </is>
      </c>
      <c r="E467" t="inlineStr">
        <is>
          <t>VIMMERBY</t>
        </is>
      </c>
      <c r="G467" t="n">
        <v>4.4</v>
      </c>
      <c r="H467" t="n">
        <v>0</v>
      </c>
      <c r="I467" t="n">
        <v>0</v>
      </c>
      <c r="J467" t="n">
        <v>0</v>
      </c>
      <c r="K467" t="n">
        <v>0</v>
      </c>
      <c r="L467" t="n">
        <v>0</v>
      </c>
      <c r="M467" t="n">
        <v>0</v>
      </c>
      <c r="N467" t="n">
        <v>0</v>
      </c>
      <c r="O467" t="n">
        <v>0</v>
      </c>
      <c r="P467" t="n">
        <v>0</v>
      </c>
      <c r="Q467" t="n">
        <v>0</v>
      </c>
      <c r="R467" s="2" t="inlineStr"/>
    </row>
    <row r="468" ht="15" customHeight="1">
      <c r="A468" t="inlineStr">
        <is>
          <t>A 53398-2025</t>
        </is>
      </c>
      <c r="B468" s="1" t="n">
        <v>45959.56247685185</v>
      </c>
      <c r="C468" s="1" t="n">
        <v>46103</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53397-2025</t>
        </is>
      </c>
      <c r="B469" s="1" t="n">
        <v>45959.55918981481</v>
      </c>
      <c r="C469" s="1" t="n">
        <v>46103</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16015-2025</t>
        </is>
      </c>
      <c r="B470" s="1" t="n">
        <v>45749.60487268519</v>
      </c>
      <c r="C470" s="1" t="n">
        <v>46103</v>
      </c>
      <c r="D470" t="inlineStr">
        <is>
          <t>KALMAR LÄN</t>
        </is>
      </c>
      <c r="E470" t="inlineStr">
        <is>
          <t>VIMMERBY</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53220-2025</t>
        </is>
      </c>
      <c r="B471" s="1" t="n">
        <v>45958.60146990741</v>
      </c>
      <c r="C471" s="1" t="n">
        <v>46103</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9694-2023</t>
        </is>
      </c>
      <c r="B472" s="1" t="n">
        <v>44984.45895833334</v>
      </c>
      <c r="C472" s="1" t="n">
        <v>46103</v>
      </c>
      <c r="D472" t="inlineStr">
        <is>
          <t>KALMAR LÄN</t>
        </is>
      </c>
      <c r="E472" t="inlineStr">
        <is>
          <t>VIMMERBY</t>
        </is>
      </c>
      <c r="G472" t="n">
        <v>2.1</v>
      </c>
      <c r="H472" t="n">
        <v>0</v>
      </c>
      <c r="I472" t="n">
        <v>0</v>
      </c>
      <c r="J472" t="n">
        <v>0</v>
      </c>
      <c r="K472" t="n">
        <v>0</v>
      </c>
      <c r="L472" t="n">
        <v>0</v>
      </c>
      <c r="M472" t="n">
        <v>0</v>
      </c>
      <c r="N472" t="n">
        <v>0</v>
      </c>
      <c r="O472" t="n">
        <v>0</v>
      </c>
      <c r="P472" t="n">
        <v>0</v>
      </c>
      <c r="Q472" t="n">
        <v>0</v>
      </c>
      <c r="R472" s="2" t="inlineStr"/>
    </row>
    <row r="473" ht="15" customHeight="1">
      <c r="A473" t="inlineStr">
        <is>
          <t>A 53393-2025</t>
        </is>
      </c>
      <c r="B473" s="1" t="n">
        <v>45959.55284722222</v>
      </c>
      <c r="C473" s="1" t="n">
        <v>46103</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22198-2024</t>
        </is>
      </c>
      <c r="B474" s="1" t="n">
        <v>45446.36865740741</v>
      </c>
      <c r="C474" s="1" t="n">
        <v>46103</v>
      </c>
      <c r="D474" t="inlineStr">
        <is>
          <t>KALMAR LÄN</t>
        </is>
      </c>
      <c r="E474" t="inlineStr">
        <is>
          <t>VIMMERBY</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11407-2026</t>
        </is>
      </c>
      <c r="B475" s="1" t="n">
        <v>46083</v>
      </c>
      <c r="C475" s="1" t="n">
        <v>46103</v>
      </c>
      <c r="D475" t="inlineStr">
        <is>
          <t>KALMAR LÄN</t>
        </is>
      </c>
      <c r="E475" t="inlineStr">
        <is>
          <t>VIMMERBY</t>
        </is>
      </c>
      <c r="G475" t="n">
        <v>2.3</v>
      </c>
      <c r="H475" t="n">
        <v>0</v>
      </c>
      <c r="I475" t="n">
        <v>0</v>
      </c>
      <c r="J475" t="n">
        <v>0</v>
      </c>
      <c r="K475" t="n">
        <v>0</v>
      </c>
      <c r="L475" t="n">
        <v>0</v>
      </c>
      <c r="M475" t="n">
        <v>0</v>
      </c>
      <c r="N475" t="n">
        <v>0</v>
      </c>
      <c r="O475" t="n">
        <v>0</v>
      </c>
      <c r="P475" t="n">
        <v>0</v>
      </c>
      <c r="Q475" t="n">
        <v>0</v>
      </c>
      <c r="R475" s="2" t="inlineStr"/>
    </row>
    <row r="476" ht="15" customHeight="1">
      <c r="A476" t="inlineStr">
        <is>
          <t>A 53413-2025</t>
        </is>
      </c>
      <c r="B476" s="1" t="n">
        <v>45959.5787037037</v>
      </c>
      <c r="C476" s="1" t="n">
        <v>46103</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57311-2023</t>
        </is>
      </c>
      <c r="B477" s="1" t="n">
        <v>45245.63574074074</v>
      </c>
      <c r="C477" s="1" t="n">
        <v>46103</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53903-2025</t>
        </is>
      </c>
      <c r="B478" s="1" t="n">
        <v>45961.43738425926</v>
      </c>
      <c r="C478" s="1" t="n">
        <v>46103</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12588-2025</t>
        </is>
      </c>
      <c r="B479" s="1" t="n">
        <v>45732.76936342593</v>
      </c>
      <c r="C479" s="1" t="n">
        <v>46103</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53920-2025</t>
        </is>
      </c>
      <c r="B480" s="1" t="n">
        <v>45961.44951388889</v>
      </c>
      <c r="C480" s="1" t="n">
        <v>46103</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53927-2025</t>
        </is>
      </c>
      <c r="B481" s="1" t="n">
        <v>45961.46740740741</v>
      </c>
      <c r="C481" s="1" t="n">
        <v>46103</v>
      </c>
      <c r="D481" t="inlineStr">
        <is>
          <t>KALMAR LÄN</t>
        </is>
      </c>
      <c r="E481" t="inlineStr">
        <is>
          <t>VIMMERBY</t>
        </is>
      </c>
      <c r="G481" t="n">
        <v>2.5</v>
      </c>
      <c r="H481" t="n">
        <v>0</v>
      </c>
      <c r="I481" t="n">
        <v>0</v>
      </c>
      <c r="J481" t="n">
        <v>0</v>
      </c>
      <c r="K481" t="n">
        <v>0</v>
      </c>
      <c r="L481" t="n">
        <v>0</v>
      </c>
      <c r="M481" t="n">
        <v>0</v>
      </c>
      <c r="N481" t="n">
        <v>0</v>
      </c>
      <c r="O481" t="n">
        <v>0</v>
      </c>
      <c r="P481" t="n">
        <v>0</v>
      </c>
      <c r="Q481" t="n">
        <v>0</v>
      </c>
      <c r="R481" s="2" t="inlineStr"/>
    </row>
    <row r="482" ht="15" customHeight="1">
      <c r="A482" t="inlineStr">
        <is>
          <t>A 7932-2025</t>
        </is>
      </c>
      <c r="B482" s="1" t="n">
        <v>45707.3793287037</v>
      </c>
      <c r="C482" s="1" t="n">
        <v>46103</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53789-2025</t>
        </is>
      </c>
      <c r="B483" s="1" t="n">
        <v>45960</v>
      </c>
      <c r="C483" s="1" t="n">
        <v>46103</v>
      </c>
      <c r="D483" t="inlineStr">
        <is>
          <t>KALMAR LÄN</t>
        </is>
      </c>
      <c r="E483" t="inlineStr">
        <is>
          <t>VIMMERBY</t>
        </is>
      </c>
      <c r="F483" t="inlineStr">
        <is>
          <t>Övriga statliga verk och myndigheter</t>
        </is>
      </c>
      <c r="G483" t="n">
        <v>1.6</v>
      </c>
      <c r="H483" t="n">
        <v>0</v>
      </c>
      <c r="I483" t="n">
        <v>0</v>
      </c>
      <c r="J483" t="n">
        <v>0</v>
      </c>
      <c r="K483" t="n">
        <v>0</v>
      </c>
      <c r="L483" t="n">
        <v>0</v>
      </c>
      <c r="M483" t="n">
        <v>0</v>
      </c>
      <c r="N483" t="n">
        <v>0</v>
      </c>
      <c r="O483" t="n">
        <v>0</v>
      </c>
      <c r="P483" t="n">
        <v>0</v>
      </c>
      <c r="Q483" t="n">
        <v>0</v>
      </c>
      <c r="R483" s="2" t="inlineStr"/>
    </row>
    <row r="484" ht="15" customHeight="1">
      <c r="A484" t="inlineStr">
        <is>
          <t>A 53923-2025</t>
        </is>
      </c>
      <c r="B484" s="1" t="n">
        <v>45961.4569212963</v>
      </c>
      <c r="C484" s="1" t="n">
        <v>46103</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11415-2026</t>
        </is>
      </c>
      <c r="B485" s="1" t="n">
        <v>46083</v>
      </c>
      <c r="C485" s="1" t="n">
        <v>46103</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53933-2025</t>
        </is>
      </c>
      <c r="B486" s="1" t="n">
        <v>45961.47650462963</v>
      </c>
      <c r="C486" s="1" t="n">
        <v>46103</v>
      </c>
      <c r="D486" t="inlineStr">
        <is>
          <t>KALMAR LÄN</t>
        </is>
      </c>
      <c r="E486" t="inlineStr">
        <is>
          <t>VIMMERBY</t>
        </is>
      </c>
      <c r="G486" t="n">
        <v>0.9</v>
      </c>
      <c r="H486" t="n">
        <v>0</v>
      </c>
      <c r="I486" t="n">
        <v>0</v>
      </c>
      <c r="J486" t="n">
        <v>0</v>
      </c>
      <c r="K486" t="n">
        <v>0</v>
      </c>
      <c r="L486" t="n">
        <v>0</v>
      </c>
      <c r="M486" t="n">
        <v>0</v>
      </c>
      <c r="N486" t="n">
        <v>0</v>
      </c>
      <c r="O486" t="n">
        <v>0</v>
      </c>
      <c r="P486" t="n">
        <v>0</v>
      </c>
      <c r="Q486" t="n">
        <v>0</v>
      </c>
      <c r="R486" s="2" t="inlineStr"/>
    </row>
    <row r="487" ht="15" customHeight="1">
      <c r="A487" t="inlineStr">
        <is>
          <t>A 53788-2025</t>
        </is>
      </c>
      <c r="B487" s="1" t="n">
        <v>45960</v>
      </c>
      <c r="C487" s="1" t="n">
        <v>46103</v>
      </c>
      <c r="D487" t="inlineStr">
        <is>
          <t>KALMAR LÄN</t>
        </is>
      </c>
      <c r="E487" t="inlineStr">
        <is>
          <t>VIMMERBY</t>
        </is>
      </c>
      <c r="F487" t="inlineStr">
        <is>
          <t>Övriga statliga verk och myndigheter</t>
        </is>
      </c>
      <c r="G487" t="n">
        <v>6.3</v>
      </c>
      <c r="H487" t="n">
        <v>0</v>
      </c>
      <c r="I487" t="n">
        <v>0</v>
      </c>
      <c r="J487" t="n">
        <v>0</v>
      </c>
      <c r="K487" t="n">
        <v>0</v>
      </c>
      <c r="L487" t="n">
        <v>0</v>
      </c>
      <c r="M487" t="n">
        <v>0</v>
      </c>
      <c r="N487" t="n">
        <v>0</v>
      </c>
      <c r="O487" t="n">
        <v>0</v>
      </c>
      <c r="P487" t="n">
        <v>0</v>
      </c>
      <c r="Q487" t="n">
        <v>0</v>
      </c>
      <c r="R487" s="2" t="inlineStr"/>
    </row>
    <row r="488" ht="15" customHeight="1">
      <c r="A488" t="inlineStr">
        <is>
          <t>A 54236-2025</t>
        </is>
      </c>
      <c r="B488" s="1" t="n">
        <v>45964.62671296296</v>
      </c>
      <c r="C488" s="1" t="n">
        <v>46103</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2121-2022</t>
        </is>
      </c>
      <c r="B489" s="1" t="n">
        <v>44578.32717592592</v>
      </c>
      <c r="C489" s="1" t="n">
        <v>46103</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11798-2026</t>
        </is>
      </c>
      <c r="B490" s="1" t="n">
        <v>46085.34020833333</v>
      </c>
      <c r="C490" s="1" t="n">
        <v>46103</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46103</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3965-2026</t>
        </is>
      </c>
      <c r="B492" s="1" t="n">
        <v>46044.34563657407</v>
      </c>
      <c r="C492" s="1" t="n">
        <v>46103</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6069-2023</t>
        </is>
      </c>
      <c r="B493" s="1" t="n">
        <v>44964.5115162037</v>
      </c>
      <c r="C493" s="1" t="n">
        <v>46103</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26046-2025</t>
        </is>
      </c>
      <c r="B494" s="1" t="n">
        <v>45804.708125</v>
      </c>
      <c r="C494" s="1" t="n">
        <v>46103</v>
      </c>
      <c r="D494" t="inlineStr">
        <is>
          <t>KALMAR LÄN</t>
        </is>
      </c>
      <c r="E494" t="inlineStr">
        <is>
          <t>VIMMERBY</t>
        </is>
      </c>
      <c r="F494" t="inlineStr">
        <is>
          <t>Sveaskog</t>
        </is>
      </c>
      <c r="G494" t="n">
        <v>5.1</v>
      </c>
      <c r="H494" t="n">
        <v>0</v>
      </c>
      <c r="I494" t="n">
        <v>0</v>
      </c>
      <c r="J494" t="n">
        <v>0</v>
      </c>
      <c r="K494" t="n">
        <v>0</v>
      </c>
      <c r="L494" t="n">
        <v>0</v>
      </c>
      <c r="M494" t="n">
        <v>0</v>
      </c>
      <c r="N494" t="n">
        <v>0</v>
      </c>
      <c r="O494" t="n">
        <v>0</v>
      </c>
      <c r="P494" t="n">
        <v>0</v>
      </c>
      <c r="Q494" t="n">
        <v>0</v>
      </c>
      <c r="R494" s="2" t="inlineStr"/>
    </row>
    <row r="495" ht="15" customHeight="1">
      <c r="A495" t="inlineStr">
        <is>
          <t>A 54234-2025</t>
        </is>
      </c>
      <c r="B495" s="1" t="n">
        <v>45964.62486111111</v>
      </c>
      <c r="C495" s="1" t="n">
        <v>46103</v>
      </c>
      <c r="D495" t="inlineStr">
        <is>
          <t>KALMAR LÄN</t>
        </is>
      </c>
      <c r="E495" t="inlineStr">
        <is>
          <t>VIMMERBY</t>
        </is>
      </c>
      <c r="G495" t="n">
        <v>4.1</v>
      </c>
      <c r="H495" t="n">
        <v>0</v>
      </c>
      <c r="I495" t="n">
        <v>0</v>
      </c>
      <c r="J495" t="n">
        <v>0</v>
      </c>
      <c r="K495" t="n">
        <v>0</v>
      </c>
      <c r="L495" t="n">
        <v>0</v>
      </c>
      <c r="M495" t="n">
        <v>0</v>
      </c>
      <c r="N495" t="n">
        <v>0</v>
      </c>
      <c r="O495" t="n">
        <v>0</v>
      </c>
      <c r="P495" t="n">
        <v>0</v>
      </c>
      <c r="Q495" t="n">
        <v>0</v>
      </c>
      <c r="R495" s="2" t="inlineStr"/>
    </row>
    <row r="496" ht="15" customHeight="1">
      <c r="A496" t="inlineStr">
        <is>
          <t>A 32633-2023</t>
        </is>
      </c>
      <c r="B496" s="1" t="n">
        <v>45121.58699074074</v>
      </c>
      <c r="C496" s="1" t="n">
        <v>46103</v>
      </c>
      <c r="D496" t="inlineStr">
        <is>
          <t>KALMAR LÄN</t>
        </is>
      </c>
      <c r="E496" t="inlineStr">
        <is>
          <t>VIMMERBY</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49461-2023</t>
        </is>
      </c>
      <c r="B497" s="1" t="n">
        <v>45211.52642361111</v>
      </c>
      <c r="C497" s="1" t="n">
        <v>46103</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23095-2023</t>
        </is>
      </c>
      <c r="B498" s="1" t="n">
        <v>45075.43059027778</v>
      </c>
      <c r="C498" s="1" t="n">
        <v>46103</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11429-2022</t>
        </is>
      </c>
      <c r="B499" s="1" t="n">
        <v>44630</v>
      </c>
      <c r="C499" s="1" t="n">
        <v>46103</v>
      </c>
      <c r="D499" t="inlineStr">
        <is>
          <t>KALMAR LÄN</t>
        </is>
      </c>
      <c r="E499" t="inlineStr">
        <is>
          <t>VIMMERBY</t>
        </is>
      </c>
      <c r="G499" t="n">
        <v>2.6</v>
      </c>
      <c r="H499" t="n">
        <v>0</v>
      </c>
      <c r="I499" t="n">
        <v>0</v>
      </c>
      <c r="J499" t="n">
        <v>0</v>
      </c>
      <c r="K499" t="n">
        <v>0</v>
      </c>
      <c r="L499" t="n">
        <v>0</v>
      </c>
      <c r="M499" t="n">
        <v>0</v>
      </c>
      <c r="N499" t="n">
        <v>0</v>
      </c>
      <c r="O499" t="n">
        <v>0</v>
      </c>
      <c r="P499" t="n">
        <v>0</v>
      </c>
      <c r="Q499" t="n">
        <v>0</v>
      </c>
      <c r="R499" s="2" t="inlineStr"/>
    </row>
    <row r="500" ht="15" customHeight="1">
      <c r="A500" t="inlineStr">
        <is>
          <t>A 54737-2025</t>
        </is>
      </c>
      <c r="B500" s="1" t="n">
        <v>45966.56826388889</v>
      </c>
      <c r="C500" s="1" t="n">
        <v>46103</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54813-2025</t>
        </is>
      </c>
      <c r="B501" s="1" t="n">
        <v>45966.64881944445</v>
      </c>
      <c r="C501" s="1" t="n">
        <v>46103</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11141-2024</t>
        </is>
      </c>
      <c r="B502" s="1" t="n">
        <v>45371.45865740741</v>
      </c>
      <c r="C502" s="1" t="n">
        <v>46103</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28395-2023</t>
        </is>
      </c>
      <c r="B503" s="1" t="n">
        <v>45100.4062962963</v>
      </c>
      <c r="C503" s="1" t="n">
        <v>46103</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34597-2022</t>
        </is>
      </c>
      <c r="B504" s="1" t="n">
        <v>44795</v>
      </c>
      <c r="C504" s="1" t="n">
        <v>46103</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55602-2025</t>
        </is>
      </c>
      <c r="B505" s="1" t="n">
        <v>45971</v>
      </c>
      <c r="C505" s="1" t="n">
        <v>46103</v>
      </c>
      <c r="D505" t="inlineStr">
        <is>
          <t>KALMAR LÄN</t>
        </is>
      </c>
      <c r="E505" t="inlineStr">
        <is>
          <t>VIMMERBY</t>
        </is>
      </c>
      <c r="G505" t="n">
        <v>2.7</v>
      </c>
      <c r="H505" t="n">
        <v>0</v>
      </c>
      <c r="I505" t="n">
        <v>0</v>
      </c>
      <c r="J505" t="n">
        <v>0</v>
      </c>
      <c r="K505" t="n">
        <v>0</v>
      </c>
      <c r="L505" t="n">
        <v>0</v>
      </c>
      <c r="M505" t="n">
        <v>0</v>
      </c>
      <c r="N505" t="n">
        <v>0</v>
      </c>
      <c r="O505" t="n">
        <v>0</v>
      </c>
      <c r="P505" t="n">
        <v>0</v>
      </c>
      <c r="Q505" t="n">
        <v>0</v>
      </c>
      <c r="R505" s="2" t="inlineStr"/>
    </row>
    <row r="506" ht="15" customHeight="1">
      <c r="A506" t="inlineStr">
        <is>
          <t>A 64428-2023</t>
        </is>
      </c>
      <c r="B506" s="1" t="n">
        <v>45280.66769675926</v>
      </c>
      <c r="C506" s="1" t="n">
        <v>46103</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30588-2023</t>
        </is>
      </c>
      <c r="B507" s="1" t="n">
        <v>45112.33599537037</v>
      </c>
      <c r="C507" s="1" t="n">
        <v>46103</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30503-2023</t>
        </is>
      </c>
      <c r="B508" s="1" t="n">
        <v>45111</v>
      </c>
      <c r="C508" s="1" t="n">
        <v>46103</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47263-2023</t>
        </is>
      </c>
      <c r="B509" s="1" t="n">
        <v>45202.4209837963</v>
      </c>
      <c r="C509" s="1" t="n">
        <v>46103</v>
      </c>
      <c r="D509" t="inlineStr">
        <is>
          <t>KALMAR LÄN</t>
        </is>
      </c>
      <c r="E509" t="inlineStr">
        <is>
          <t>VIMMERBY</t>
        </is>
      </c>
      <c r="G509" t="n">
        <v>1.8</v>
      </c>
      <c r="H509" t="n">
        <v>0</v>
      </c>
      <c r="I509" t="n">
        <v>0</v>
      </c>
      <c r="J509" t="n">
        <v>0</v>
      </c>
      <c r="K509" t="n">
        <v>0</v>
      </c>
      <c r="L509" t="n">
        <v>0</v>
      </c>
      <c r="M509" t="n">
        <v>0</v>
      </c>
      <c r="N509" t="n">
        <v>0</v>
      </c>
      <c r="O509" t="n">
        <v>0</v>
      </c>
      <c r="P509" t="n">
        <v>0</v>
      </c>
      <c r="Q509" t="n">
        <v>0</v>
      </c>
      <c r="R509" s="2" t="inlineStr"/>
    </row>
    <row r="510" ht="15" customHeight="1">
      <c r="A510" t="inlineStr">
        <is>
          <t>A 58100-2024</t>
        </is>
      </c>
      <c r="B510" s="1" t="n">
        <v>45632.36706018518</v>
      </c>
      <c r="C510" s="1" t="n">
        <v>46103</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26124-2025</t>
        </is>
      </c>
      <c r="B511" s="1" t="n">
        <v>45805.39247685186</v>
      </c>
      <c r="C511" s="1" t="n">
        <v>46103</v>
      </c>
      <c r="D511" t="inlineStr">
        <is>
          <t>KALMAR LÄN</t>
        </is>
      </c>
      <c r="E511" t="inlineStr">
        <is>
          <t>VIMMERBY</t>
        </is>
      </c>
      <c r="G511" t="n">
        <v>6.6</v>
      </c>
      <c r="H511" t="n">
        <v>0</v>
      </c>
      <c r="I511" t="n">
        <v>0</v>
      </c>
      <c r="J511" t="n">
        <v>0</v>
      </c>
      <c r="K511" t="n">
        <v>0</v>
      </c>
      <c r="L511" t="n">
        <v>0</v>
      </c>
      <c r="M511" t="n">
        <v>0</v>
      </c>
      <c r="N511" t="n">
        <v>0</v>
      </c>
      <c r="O511" t="n">
        <v>0</v>
      </c>
      <c r="P511" t="n">
        <v>0</v>
      </c>
      <c r="Q511" t="n">
        <v>0</v>
      </c>
      <c r="R511" s="2" t="inlineStr"/>
    </row>
    <row r="512" ht="15" customHeight="1">
      <c r="A512" t="inlineStr">
        <is>
          <t>A 58159-2024</t>
        </is>
      </c>
      <c r="B512" s="1" t="n">
        <v>45632.44886574074</v>
      </c>
      <c r="C512" s="1" t="n">
        <v>46103</v>
      </c>
      <c r="D512" t="inlineStr">
        <is>
          <t>KALMAR LÄN</t>
        </is>
      </c>
      <c r="E512" t="inlineStr">
        <is>
          <t>VIMMERBY</t>
        </is>
      </c>
      <c r="G512" t="n">
        <v>7.5</v>
      </c>
      <c r="H512" t="n">
        <v>0</v>
      </c>
      <c r="I512" t="n">
        <v>0</v>
      </c>
      <c r="J512" t="n">
        <v>0</v>
      </c>
      <c r="K512" t="n">
        <v>0</v>
      </c>
      <c r="L512" t="n">
        <v>0</v>
      </c>
      <c r="M512" t="n">
        <v>0</v>
      </c>
      <c r="N512" t="n">
        <v>0</v>
      </c>
      <c r="O512" t="n">
        <v>0</v>
      </c>
      <c r="P512" t="n">
        <v>0</v>
      </c>
      <c r="Q512" t="n">
        <v>0</v>
      </c>
      <c r="R512" s="2" t="inlineStr"/>
    </row>
    <row r="513" ht="15" customHeight="1">
      <c r="A513" t="inlineStr">
        <is>
          <t>A 57114-2023</t>
        </is>
      </c>
      <c r="B513" s="1" t="n">
        <v>45245.36174768519</v>
      </c>
      <c r="C513" s="1" t="n">
        <v>46103</v>
      </c>
      <c r="D513" t="inlineStr">
        <is>
          <t>KALMAR LÄN</t>
        </is>
      </c>
      <c r="E513" t="inlineStr">
        <is>
          <t>VIMMERBY</t>
        </is>
      </c>
      <c r="G513" t="n">
        <v>1.5</v>
      </c>
      <c r="H513" t="n">
        <v>0</v>
      </c>
      <c r="I513" t="n">
        <v>0</v>
      </c>
      <c r="J513" t="n">
        <v>0</v>
      </c>
      <c r="K513" t="n">
        <v>0</v>
      </c>
      <c r="L513" t="n">
        <v>0</v>
      </c>
      <c r="M513" t="n">
        <v>0</v>
      </c>
      <c r="N513" t="n">
        <v>0</v>
      </c>
      <c r="O513" t="n">
        <v>0</v>
      </c>
      <c r="P513" t="n">
        <v>0</v>
      </c>
      <c r="Q513" t="n">
        <v>0</v>
      </c>
      <c r="R513" s="2" t="inlineStr"/>
    </row>
    <row r="514" ht="15" customHeight="1">
      <c r="A514" t="inlineStr">
        <is>
          <t>A 3423-2022</t>
        </is>
      </c>
      <c r="B514" s="1" t="n">
        <v>44585.50431712963</v>
      </c>
      <c r="C514" s="1" t="n">
        <v>46103</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40665-2023</t>
        </is>
      </c>
      <c r="B515" s="1" t="n">
        <v>45170</v>
      </c>
      <c r="C515" s="1" t="n">
        <v>46103</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26207-2025</t>
        </is>
      </c>
      <c r="B516" s="1" t="n">
        <v>45805.52983796296</v>
      </c>
      <c r="C516" s="1" t="n">
        <v>46103</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12730-2026</t>
        </is>
      </c>
      <c r="B517" s="1" t="n">
        <v>46091</v>
      </c>
      <c r="C517" s="1" t="n">
        <v>46103</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12821-2026</t>
        </is>
      </c>
      <c r="B518" s="1" t="n">
        <v>46092.41256944444</v>
      </c>
      <c r="C518" s="1" t="n">
        <v>46103</v>
      </c>
      <c r="D518" t="inlineStr">
        <is>
          <t>KALMAR LÄN</t>
        </is>
      </c>
      <c r="E518" t="inlineStr">
        <is>
          <t>VIMMERBY</t>
        </is>
      </c>
      <c r="G518" t="n">
        <v>2.5</v>
      </c>
      <c r="H518" t="n">
        <v>0</v>
      </c>
      <c r="I518" t="n">
        <v>0</v>
      </c>
      <c r="J518" t="n">
        <v>0</v>
      </c>
      <c r="K518" t="n">
        <v>0</v>
      </c>
      <c r="L518" t="n">
        <v>0</v>
      </c>
      <c r="M518" t="n">
        <v>0</v>
      </c>
      <c r="N518" t="n">
        <v>0</v>
      </c>
      <c r="O518" t="n">
        <v>0</v>
      </c>
      <c r="P518" t="n">
        <v>0</v>
      </c>
      <c r="Q518" t="n">
        <v>0</v>
      </c>
      <c r="R518" s="2" t="inlineStr"/>
    </row>
    <row r="519" ht="15" customHeight="1">
      <c r="A519" t="inlineStr">
        <is>
          <t>A 25830-2025</t>
        </is>
      </c>
      <c r="B519" s="1" t="n">
        <v>45804.44519675926</v>
      </c>
      <c r="C519" s="1" t="n">
        <v>46103</v>
      </c>
      <c r="D519" t="inlineStr">
        <is>
          <t>KALMAR LÄN</t>
        </is>
      </c>
      <c r="E519" t="inlineStr">
        <is>
          <t>VIMMERBY</t>
        </is>
      </c>
      <c r="G519" t="n">
        <v>4.9</v>
      </c>
      <c r="H519" t="n">
        <v>0</v>
      </c>
      <c r="I519" t="n">
        <v>0</v>
      </c>
      <c r="J519" t="n">
        <v>0</v>
      </c>
      <c r="K519" t="n">
        <v>0</v>
      </c>
      <c r="L519" t="n">
        <v>0</v>
      </c>
      <c r="M519" t="n">
        <v>0</v>
      </c>
      <c r="N519" t="n">
        <v>0</v>
      </c>
      <c r="O519" t="n">
        <v>0</v>
      </c>
      <c r="P519" t="n">
        <v>0</v>
      </c>
      <c r="Q519" t="n">
        <v>0</v>
      </c>
      <c r="R519" s="2" t="inlineStr"/>
    </row>
    <row r="520" ht="15" customHeight="1">
      <c r="A520" t="inlineStr">
        <is>
          <t>A 50860-2022</t>
        </is>
      </c>
      <c r="B520" s="1" t="n">
        <v>44867</v>
      </c>
      <c r="C520" s="1" t="n">
        <v>46103</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12820-2026</t>
        </is>
      </c>
      <c r="B521" s="1" t="n">
        <v>46092.40909722223</v>
      </c>
      <c r="C521" s="1" t="n">
        <v>46103</v>
      </c>
      <c r="D521" t="inlineStr">
        <is>
          <t>KALMAR LÄN</t>
        </is>
      </c>
      <c r="E521" t="inlineStr">
        <is>
          <t>VIMMERBY</t>
        </is>
      </c>
      <c r="G521" t="n">
        <v>4.3</v>
      </c>
      <c r="H521" t="n">
        <v>0</v>
      </c>
      <c r="I521" t="n">
        <v>0</v>
      </c>
      <c r="J521" t="n">
        <v>0</v>
      </c>
      <c r="K521" t="n">
        <v>0</v>
      </c>
      <c r="L521" t="n">
        <v>0</v>
      </c>
      <c r="M521" t="n">
        <v>0</v>
      </c>
      <c r="N521" t="n">
        <v>0</v>
      </c>
      <c r="O521" t="n">
        <v>0</v>
      </c>
      <c r="P521" t="n">
        <v>0</v>
      </c>
      <c r="Q521" t="n">
        <v>0</v>
      </c>
      <c r="R521" s="2" t="inlineStr"/>
    </row>
    <row r="522" ht="15" customHeight="1">
      <c r="A522" t="inlineStr">
        <is>
          <t>A 12825-2026</t>
        </is>
      </c>
      <c r="B522" s="1" t="n">
        <v>46092.41561342592</v>
      </c>
      <c r="C522" s="1" t="n">
        <v>46103</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25370-2022</t>
        </is>
      </c>
      <c r="B523" s="1" t="n">
        <v>44732.3659837963</v>
      </c>
      <c r="C523" s="1" t="n">
        <v>46103</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58577-2024</t>
        </is>
      </c>
      <c r="B524" s="1" t="n">
        <v>45635.4874537037</v>
      </c>
      <c r="C524" s="1" t="n">
        <v>46103</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29440-2024</t>
        </is>
      </c>
      <c r="B525" s="1" t="n">
        <v>45483.82479166667</v>
      </c>
      <c r="C525" s="1" t="n">
        <v>46103</v>
      </c>
      <c r="D525" t="inlineStr">
        <is>
          <t>KALMAR LÄN</t>
        </is>
      </c>
      <c r="E525" t="inlineStr">
        <is>
          <t>VIMMERBY</t>
        </is>
      </c>
      <c r="G525" t="n">
        <v>4.5</v>
      </c>
      <c r="H525" t="n">
        <v>0</v>
      </c>
      <c r="I525" t="n">
        <v>0</v>
      </c>
      <c r="J525" t="n">
        <v>0</v>
      </c>
      <c r="K525" t="n">
        <v>0</v>
      </c>
      <c r="L525" t="n">
        <v>0</v>
      </c>
      <c r="M525" t="n">
        <v>0</v>
      </c>
      <c r="N525" t="n">
        <v>0</v>
      </c>
      <c r="O525" t="n">
        <v>0</v>
      </c>
      <c r="P525" t="n">
        <v>0</v>
      </c>
      <c r="Q525" t="n">
        <v>0</v>
      </c>
      <c r="R525" s="2" t="inlineStr"/>
    </row>
    <row r="526" ht="15" customHeight="1">
      <c r="A526" t="inlineStr">
        <is>
          <t>A 26254-2025</t>
        </is>
      </c>
      <c r="B526" s="1" t="n">
        <v>45805</v>
      </c>
      <c r="C526" s="1" t="n">
        <v>46103</v>
      </c>
      <c r="D526" t="inlineStr">
        <is>
          <t>KALMAR LÄN</t>
        </is>
      </c>
      <c r="E526" t="inlineStr">
        <is>
          <t>VIMMERBY</t>
        </is>
      </c>
      <c r="G526" t="n">
        <v>2</v>
      </c>
      <c r="H526" t="n">
        <v>0</v>
      </c>
      <c r="I526" t="n">
        <v>0</v>
      </c>
      <c r="J526" t="n">
        <v>0</v>
      </c>
      <c r="K526" t="n">
        <v>0</v>
      </c>
      <c r="L526" t="n">
        <v>0</v>
      </c>
      <c r="M526" t="n">
        <v>0</v>
      </c>
      <c r="N526" t="n">
        <v>0</v>
      </c>
      <c r="O526" t="n">
        <v>0</v>
      </c>
      <c r="P526" t="n">
        <v>0</v>
      </c>
      <c r="Q526" t="n">
        <v>0</v>
      </c>
      <c r="R526" s="2" t="inlineStr"/>
    </row>
    <row r="527" ht="15" customHeight="1">
      <c r="A527" t="inlineStr">
        <is>
          <t>A 9129-2025</t>
        </is>
      </c>
      <c r="B527" s="1" t="n">
        <v>45713.92412037037</v>
      </c>
      <c r="C527" s="1" t="n">
        <v>46103</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22197-2024</t>
        </is>
      </c>
      <c r="B528" s="1" t="n">
        <v>45446.36774305555</v>
      </c>
      <c r="C528" s="1" t="n">
        <v>46103</v>
      </c>
      <c r="D528" t="inlineStr">
        <is>
          <t>KALMAR LÄN</t>
        </is>
      </c>
      <c r="E528" t="inlineStr">
        <is>
          <t>VIMMERBY</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53752-2024</t>
        </is>
      </c>
      <c r="B529" s="1" t="n">
        <v>45615.48927083334</v>
      </c>
      <c r="C529" s="1" t="n">
        <v>46103</v>
      </c>
      <c r="D529" t="inlineStr">
        <is>
          <t>KALMAR LÄN</t>
        </is>
      </c>
      <c r="E529" t="inlineStr">
        <is>
          <t>VIMMERBY</t>
        </is>
      </c>
      <c r="G529" t="n">
        <v>2.4</v>
      </c>
      <c r="H529" t="n">
        <v>0</v>
      </c>
      <c r="I529" t="n">
        <v>0</v>
      </c>
      <c r="J529" t="n">
        <v>0</v>
      </c>
      <c r="K529" t="n">
        <v>0</v>
      </c>
      <c r="L529" t="n">
        <v>0</v>
      </c>
      <c r="M529" t="n">
        <v>0</v>
      </c>
      <c r="N529" t="n">
        <v>0</v>
      </c>
      <c r="O529" t="n">
        <v>0</v>
      </c>
      <c r="P529" t="n">
        <v>0</v>
      </c>
      <c r="Q529" t="n">
        <v>0</v>
      </c>
      <c r="R529" s="2" t="inlineStr"/>
    </row>
    <row r="530" ht="15" customHeight="1">
      <c r="A530" t="inlineStr">
        <is>
          <t>A 12121-2025</t>
        </is>
      </c>
      <c r="B530" s="1" t="n">
        <v>45729.36868055556</v>
      </c>
      <c r="C530" s="1" t="n">
        <v>46103</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9710-2023</t>
        </is>
      </c>
      <c r="B531" s="1" t="n">
        <v>44984</v>
      </c>
      <c r="C531" s="1" t="n">
        <v>46103</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9720-2023</t>
        </is>
      </c>
      <c r="B532" s="1" t="n">
        <v>44984</v>
      </c>
      <c r="C532" s="1" t="n">
        <v>46103</v>
      </c>
      <c r="D532" t="inlineStr">
        <is>
          <t>KALMAR LÄN</t>
        </is>
      </c>
      <c r="E532" t="inlineStr">
        <is>
          <t>VIMMERBY</t>
        </is>
      </c>
      <c r="G532" t="n">
        <v>4.4</v>
      </c>
      <c r="H532" t="n">
        <v>0</v>
      </c>
      <c r="I532" t="n">
        <v>0</v>
      </c>
      <c r="J532" t="n">
        <v>0</v>
      </c>
      <c r="K532" t="n">
        <v>0</v>
      </c>
      <c r="L532" t="n">
        <v>0</v>
      </c>
      <c r="M532" t="n">
        <v>0</v>
      </c>
      <c r="N532" t="n">
        <v>0</v>
      </c>
      <c r="O532" t="n">
        <v>0</v>
      </c>
      <c r="P532" t="n">
        <v>0</v>
      </c>
      <c r="Q532" t="n">
        <v>0</v>
      </c>
      <c r="R532" s="2" t="inlineStr"/>
    </row>
    <row r="533" ht="15" customHeight="1">
      <c r="A533" t="inlineStr">
        <is>
          <t>A 15493-2023</t>
        </is>
      </c>
      <c r="B533" s="1" t="n">
        <v>45018</v>
      </c>
      <c r="C533" s="1" t="n">
        <v>46103</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13714-2026</t>
        </is>
      </c>
      <c r="B534" s="1" t="n">
        <v>46097.58472222222</v>
      </c>
      <c r="C534" s="1" t="n">
        <v>46103</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29093-2023</t>
        </is>
      </c>
      <c r="B535" s="1" t="n">
        <v>45105</v>
      </c>
      <c r="C535" s="1" t="n">
        <v>46103</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33352-2022</t>
        </is>
      </c>
      <c r="B536" s="1" t="n">
        <v>44788</v>
      </c>
      <c r="C536" s="1" t="n">
        <v>46103</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22264-2023</t>
        </is>
      </c>
      <c r="B537" s="1" t="n">
        <v>45070.3665625</v>
      </c>
      <c r="C537" s="1" t="n">
        <v>46103</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16676-2023</t>
        </is>
      </c>
      <c r="B538" s="1" t="n">
        <v>45028</v>
      </c>
      <c r="C538" s="1" t="n">
        <v>46103</v>
      </c>
      <c r="D538" t="inlineStr">
        <is>
          <t>KALMAR LÄN</t>
        </is>
      </c>
      <c r="E538" t="inlineStr">
        <is>
          <t>VIMMERBY</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14279-2026</t>
        </is>
      </c>
      <c r="B539" s="1" t="n">
        <v>46099.66826388889</v>
      </c>
      <c r="C539" s="1" t="n">
        <v>46103</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6220-2025</t>
        </is>
      </c>
      <c r="B540" s="1" t="n">
        <v>45698.53725694444</v>
      </c>
      <c r="C540" s="1" t="n">
        <v>46103</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24096-2024</t>
        </is>
      </c>
      <c r="B541" s="1" t="n">
        <v>45456.59289351852</v>
      </c>
      <c r="C541" s="1" t="n">
        <v>46103</v>
      </c>
      <c r="D541" t="inlineStr">
        <is>
          <t>KALMAR LÄN</t>
        </is>
      </c>
      <c r="E541" t="inlineStr">
        <is>
          <t>VIMMERBY</t>
        </is>
      </c>
      <c r="G541" t="n">
        <v>2.3</v>
      </c>
      <c r="H541" t="n">
        <v>0</v>
      </c>
      <c r="I541" t="n">
        <v>0</v>
      </c>
      <c r="J541" t="n">
        <v>0</v>
      </c>
      <c r="K541" t="n">
        <v>0</v>
      </c>
      <c r="L541" t="n">
        <v>0</v>
      </c>
      <c r="M541" t="n">
        <v>0</v>
      </c>
      <c r="N541" t="n">
        <v>0</v>
      </c>
      <c r="O541" t="n">
        <v>0</v>
      </c>
      <c r="P541" t="n">
        <v>0</v>
      </c>
      <c r="Q541" t="n">
        <v>0</v>
      </c>
      <c r="R541" s="2" t="inlineStr"/>
    </row>
    <row r="542" ht="15" customHeight="1">
      <c r="A542" t="inlineStr">
        <is>
          <t>A 29013-2024</t>
        </is>
      </c>
      <c r="B542" s="1" t="n">
        <v>45481.55984953704</v>
      </c>
      <c r="C542" s="1" t="n">
        <v>46103</v>
      </c>
      <c r="D542" t="inlineStr">
        <is>
          <t>KALMAR LÄN</t>
        </is>
      </c>
      <c r="E542" t="inlineStr">
        <is>
          <t>VIMMERBY</t>
        </is>
      </c>
      <c r="G542" t="n">
        <v>3.4</v>
      </c>
      <c r="H542" t="n">
        <v>0</v>
      </c>
      <c r="I542" t="n">
        <v>0</v>
      </c>
      <c r="J542" t="n">
        <v>0</v>
      </c>
      <c r="K542" t="n">
        <v>0</v>
      </c>
      <c r="L542" t="n">
        <v>0</v>
      </c>
      <c r="M542" t="n">
        <v>0</v>
      </c>
      <c r="N542" t="n">
        <v>0</v>
      </c>
      <c r="O542" t="n">
        <v>0</v>
      </c>
      <c r="P542" t="n">
        <v>0</v>
      </c>
      <c r="Q542" t="n">
        <v>0</v>
      </c>
      <c r="R542" s="2" t="inlineStr"/>
    </row>
    <row r="543" ht="15" customHeight="1">
      <c r="A543" t="inlineStr">
        <is>
          <t>A 6066-2023</t>
        </is>
      </c>
      <c r="B543" s="1" t="n">
        <v>44964.50894675926</v>
      </c>
      <c r="C543" s="1" t="n">
        <v>46103</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59955-2023</t>
        </is>
      </c>
      <c r="B544" s="1" t="n">
        <v>45257.70313657408</v>
      </c>
      <c r="C544" s="1" t="n">
        <v>46103</v>
      </c>
      <c r="D544" t="inlineStr">
        <is>
          <t>KALMAR LÄN</t>
        </is>
      </c>
      <c r="E544" t="inlineStr">
        <is>
          <t>VIMMERBY</t>
        </is>
      </c>
      <c r="G544" t="n">
        <v>13.8</v>
      </c>
      <c r="H544" t="n">
        <v>0</v>
      </c>
      <c r="I544" t="n">
        <v>0</v>
      </c>
      <c r="J544" t="n">
        <v>0</v>
      </c>
      <c r="K544" t="n">
        <v>0</v>
      </c>
      <c r="L544" t="n">
        <v>0</v>
      </c>
      <c r="M544" t="n">
        <v>0</v>
      </c>
      <c r="N544" t="n">
        <v>0</v>
      </c>
      <c r="O544" t="n">
        <v>0</v>
      </c>
      <c r="P544" t="n">
        <v>0</v>
      </c>
      <c r="Q544" t="n">
        <v>0</v>
      </c>
      <c r="R544" s="2" t="inlineStr"/>
    </row>
    <row r="545" ht="15" customHeight="1">
      <c r="A545" t="inlineStr">
        <is>
          <t>A 6817-2026</t>
        </is>
      </c>
      <c r="B545" s="1" t="n">
        <v>46057.38412037037</v>
      </c>
      <c r="C545" s="1" t="n">
        <v>46103</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36040-2024</t>
        </is>
      </c>
      <c r="B546" s="1" t="n">
        <v>45533.60232638889</v>
      </c>
      <c r="C546" s="1" t="n">
        <v>46103</v>
      </c>
      <c r="D546" t="inlineStr">
        <is>
          <t>KALMAR LÄN</t>
        </is>
      </c>
      <c r="E546" t="inlineStr">
        <is>
          <t>VIMMERBY</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36043-2024</t>
        </is>
      </c>
      <c r="B547" s="1" t="n">
        <v>45533.60770833334</v>
      </c>
      <c r="C547" s="1" t="n">
        <v>46103</v>
      </c>
      <c r="D547" t="inlineStr">
        <is>
          <t>KALMAR LÄN</t>
        </is>
      </c>
      <c r="E547" t="inlineStr">
        <is>
          <t>VIMMERBY</t>
        </is>
      </c>
      <c r="F547" t="inlineStr">
        <is>
          <t>Kommuner</t>
        </is>
      </c>
      <c r="G547" t="n">
        <v>1.5</v>
      </c>
      <c r="H547" t="n">
        <v>0</v>
      </c>
      <c r="I547" t="n">
        <v>0</v>
      </c>
      <c r="J547" t="n">
        <v>0</v>
      </c>
      <c r="K547" t="n">
        <v>0</v>
      </c>
      <c r="L547" t="n">
        <v>0</v>
      </c>
      <c r="M547" t="n">
        <v>0</v>
      </c>
      <c r="N547" t="n">
        <v>0</v>
      </c>
      <c r="O547" t="n">
        <v>0</v>
      </c>
      <c r="P547" t="n">
        <v>0</v>
      </c>
      <c r="Q547" t="n">
        <v>0</v>
      </c>
      <c r="R547" s="2" t="inlineStr"/>
    </row>
    <row r="548" ht="15" customHeight="1">
      <c r="A548" t="inlineStr">
        <is>
          <t>A 12890-2023</t>
        </is>
      </c>
      <c r="B548" s="1" t="n">
        <v>45001.59209490741</v>
      </c>
      <c r="C548" s="1" t="n">
        <v>46103</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14277-2026</t>
        </is>
      </c>
      <c r="B549" s="1" t="n">
        <v>46099.66305555555</v>
      </c>
      <c r="C549" s="1" t="n">
        <v>46103</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43594-2024</t>
        </is>
      </c>
      <c r="B550" s="1" t="n">
        <v>45569.44295138889</v>
      </c>
      <c r="C550" s="1" t="n">
        <v>46103</v>
      </c>
      <c r="D550" t="inlineStr">
        <is>
          <t>KALMAR LÄN</t>
        </is>
      </c>
      <c r="E550" t="inlineStr">
        <is>
          <t>VIMMERBY</t>
        </is>
      </c>
      <c r="G550" t="n">
        <v>3.9</v>
      </c>
      <c r="H550" t="n">
        <v>0</v>
      </c>
      <c r="I550" t="n">
        <v>0</v>
      </c>
      <c r="J550" t="n">
        <v>0</v>
      </c>
      <c r="K550" t="n">
        <v>0</v>
      </c>
      <c r="L550" t="n">
        <v>0</v>
      </c>
      <c r="M550" t="n">
        <v>0</v>
      </c>
      <c r="N550" t="n">
        <v>0</v>
      </c>
      <c r="O550" t="n">
        <v>0</v>
      </c>
      <c r="P550" t="n">
        <v>0</v>
      </c>
      <c r="Q550" t="n">
        <v>0</v>
      </c>
      <c r="R550" s="2" t="inlineStr"/>
    </row>
    <row r="551" ht="15" customHeight="1">
      <c r="A551" t="inlineStr">
        <is>
          <t>A 53482-2022</t>
        </is>
      </c>
      <c r="B551" s="1" t="n">
        <v>44879</v>
      </c>
      <c r="C551" s="1" t="n">
        <v>46103</v>
      </c>
      <c r="D551" t="inlineStr">
        <is>
          <t>KALMAR LÄN</t>
        </is>
      </c>
      <c r="E551" t="inlineStr">
        <is>
          <t>VIMMERBY</t>
        </is>
      </c>
      <c r="G551" t="n">
        <v>10.1</v>
      </c>
      <c r="H551" t="n">
        <v>0</v>
      </c>
      <c r="I551" t="n">
        <v>0</v>
      </c>
      <c r="J551" t="n">
        <v>0</v>
      </c>
      <c r="K551" t="n">
        <v>0</v>
      </c>
      <c r="L551" t="n">
        <v>0</v>
      </c>
      <c r="M551" t="n">
        <v>0</v>
      </c>
      <c r="N551" t="n">
        <v>0</v>
      </c>
      <c r="O551" t="n">
        <v>0</v>
      </c>
      <c r="P551" t="n">
        <v>0</v>
      </c>
      <c r="Q551" t="n">
        <v>0</v>
      </c>
      <c r="R551" s="2" t="inlineStr"/>
    </row>
    <row r="552" ht="15" customHeight="1">
      <c r="A552" t="inlineStr">
        <is>
          <t>A 13667-2026</t>
        </is>
      </c>
      <c r="B552" s="1" t="n">
        <v>46097</v>
      </c>
      <c r="C552" s="1" t="n">
        <v>46103</v>
      </c>
      <c r="D552" t="inlineStr">
        <is>
          <t>KALMAR LÄN</t>
        </is>
      </c>
      <c r="E552" t="inlineStr">
        <is>
          <t>VIMMERBY</t>
        </is>
      </c>
      <c r="G552" t="n">
        <v>6.8</v>
      </c>
      <c r="H552" t="n">
        <v>0</v>
      </c>
      <c r="I552" t="n">
        <v>0</v>
      </c>
      <c r="J552" t="n">
        <v>0</v>
      </c>
      <c r="K552" t="n">
        <v>0</v>
      </c>
      <c r="L552" t="n">
        <v>0</v>
      </c>
      <c r="M552" t="n">
        <v>0</v>
      </c>
      <c r="N552" t="n">
        <v>0</v>
      </c>
      <c r="O552" t="n">
        <v>0</v>
      </c>
      <c r="P552" t="n">
        <v>0</v>
      </c>
      <c r="Q552" t="n">
        <v>0</v>
      </c>
      <c r="R552" s="2" t="inlineStr"/>
    </row>
    <row r="553" ht="15" customHeight="1">
      <c r="A553" t="inlineStr">
        <is>
          <t>A 27761-2024</t>
        </is>
      </c>
      <c r="B553" s="1" t="n">
        <v>45475.49018518518</v>
      </c>
      <c r="C553" s="1" t="n">
        <v>46103</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46103</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46103</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13793-2026</t>
        </is>
      </c>
      <c r="B556" s="1" t="n">
        <v>46097.79199074074</v>
      </c>
      <c r="C556" s="1" t="n">
        <v>46103</v>
      </c>
      <c r="D556" t="inlineStr">
        <is>
          <t>KALMAR LÄN</t>
        </is>
      </c>
      <c r="E556" t="inlineStr">
        <is>
          <t>VIMMERBY</t>
        </is>
      </c>
      <c r="G556" t="n">
        <v>2.9</v>
      </c>
      <c r="H556" t="n">
        <v>0</v>
      </c>
      <c r="I556" t="n">
        <v>0</v>
      </c>
      <c r="J556" t="n">
        <v>0</v>
      </c>
      <c r="K556" t="n">
        <v>0</v>
      </c>
      <c r="L556" t="n">
        <v>0</v>
      </c>
      <c r="M556" t="n">
        <v>0</v>
      </c>
      <c r="N556" t="n">
        <v>0</v>
      </c>
      <c r="O556" t="n">
        <v>0</v>
      </c>
      <c r="P556" t="n">
        <v>0</v>
      </c>
      <c r="Q556" t="n">
        <v>0</v>
      </c>
      <c r="R556" s="2" t="inlineStr"/>
    </row>
    <row r="557" ht="15" customHeight="1">
      <c r="A557" t="inlineStr">
        <is>
          <t>A 9643-2023</t>
        </is>
      </c>
      <c r="B557" s="1" t="n">
        <v>44984</v>
      </c>
      <c r="C557" s="1" t="n">
        <v>46103</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25728-2023</t>
        </is>
      </c>
      <c r="B558" s="1" t="n">
        <v>45090.38012731481</v>
      </c>
      <c r="C558" s="1" t="n">
        <v>46103</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14320-2026</t>
        </is>
      </c>
      <c r="B559" s="1" t="n">
        <v>46099.88449074074</v>
      </c>
      <c r="C559" s="1" t="n">
        <v>46103</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28286-2025</t>
        </is>
      </c>
      <c r="B560" s="1" t="n">
        <v>45818.58993055556</v>
      </c>
      <c r="C560" s="1" t="n">
        <v>46103</v>
      </c>
      <c r="D560" t="inlineStr">
        <is>
          <t>KALMAR LÄN</t>
        </is>
      </c>
      <c r="E560" t="inlineStr">
        <is>
          <t>VIMMERBY</t>
        </is>
      </c>
      <c r="F560" t="inlineStr">
        <is>
          <t>Sveaskog</t>
        </is>
      </c>
      <c r="G560" t="n">
        <v>8</v>
      </c>
      <c r="H560" t="n">
        <v>0</v>
      </c>
      <c r="I560" t="n">
        <v>0</v>
      </c>
      <c r="J560" t="n">
        <v>0</v>
      </c>
      <c r="K560" t="n">
        <v>0</v>
      </c>
      <c r="L560" t="n">
        <v>0</v>
      </c>
      <c r="M560" t="n">
        <v>0</v>
      </c>
      <c r="N560" t="n">
        <v>0</v>
      </c>
      <c r="O560" t="n">
        <v>0</v>
      </c>
      <c r="P560" t="n">
        <v>0</v>
      </c>
      <c r="Q560" t="n">
        <v>0</v>
      </c>
      <c r="R560" s="2" t="inlineStr"/>
    </row>
    <row r="561" ht="15" customHeight="1">
      <c r="A561" t="inlineStr">
        <is>
          <t>A 28282-2025</t>
        </is>
      </c>
      <c r="B561" s="1" t="n">
        <v>45818.58769675926</v>
      </c>
      <c r="C561" s="1" t="n">
        <v>46103</v>
      </c>
      <c r="D561" t="inlineStr">
        <is>
          <t>KALMAR LÄN</t>
        </is>
      </c>
      <c r="E561" t="inlineStr">
        <is>
          <t>VIMMERBY</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46103</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28294-2025</t>
        </is>
      </c>
      <c r="B563" s="1" t="n">
        <v>45818.595625</v>
      </c>
      <c r="C563" s="1" t="n">
        <v>46103</v>
      </c>
      <c r="D563" t="inlineStr">
        <is>
          <t>KALMAR LÄN</t>
        </is>
      </c>
      <c r="E563" t="inlineStr">
        <is>
          <t>VIMMERBY</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28290-2025</t>
        </is>
      </c>
      <c r="B564" s="1" t="n">
        <v>45818.59261574074</v>
      </c>
      <c r="C564" s="1" t="n">
        <v>46103</v>
      </c>
      <c r="D564" t="inlineStr">
        <is>
          <t>KALMAR LÄN</t>
        </is>
      </c>
      <c r="E564" t="inlineStr">
        <is>
          <t>VIMMERBY</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26318-2023</t>
        </is>
      </c>
      <c r="B565" s="1" t="n">
        <v>45091.67936342592</v>
      </c>
      <c r="C565" s="1" t="n">
        <v>46103</v>
      </c>
      <c r="D565" t="inlineStr">
        <is>
          <t>KALMAR LÄN</t>
        </is>
      </c>
      <c r="E565" t="inlineStr">
        <is>
          <t>VIMMERBY</t>
        </is>
      </c>
      <c r="G565" t="n">
        <v>3.8</v>
      </c>
      <c r="H565" t="n">
        <v>0</v>
      </c>
      <c r="I565" t="n">
        <v>0</v>
      </c>
      <c r="J565" t="n">
        <v>0</v>
      </c>
      <c r="K565" t="n">
        <v>0</v>
      </c>
      <c r="L565" t="n">
        <v>0</v>
      </c>
      <c r="M565" t="n">
        <v>0</v>
      </c>
      <c r="N565" t="n">
        <v>0</v>
      </c>
      <c r="O565" t="n">
        <v>0</v>
      </c>
      <c r="P565" t="n">
        <v>0</v>
      </c>
      <c r="Q565" t="n">
        <v>0</v>
      </c>
      <c r="R565" s="2" t="inlineStr"/>
    </row>
    <row r="566" ht="15" customHeight="1">
      <c r="A566" t="inlineStr">
        <is>
          <t>A 14318-2026</t>
        </is>
      </c>
      <c r="B566" s="1" t="n">
        <v>46099.87961805556</v>
      </c>
      <c r="C566" s="1" t="n">
        <v>46103</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28280-2025</t>
        </is>
      </c>
      <c r="B567" s="1" t="n">
        <v>45818.5862037037</v>
      </c>
      <c r="C567" s="1" t="n">
        <v>46103</v>
      </c>
      <c r="D567" t="inlineStr">
        <is>
          <t>KALMAR LÄN</t>
        </is>
      </c>
      <c r="E567" t="inlineStr">
        <is>
          <t>VIMMERBY</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28620-2025</t>
        </is>
      </c>
      <c r="B568" s="1" t="n">
        <v>45819.61060185185</v>
      </c>
      <c r="C568" s="1" t="n">
        <v>46103</v>
      </c>
      <c r="D568" t="inlineStr">
        <is>
          <t>KALMAR LÄN</t>
        </is>
      </c>
      <c r="E568" t="inlineStr">
        <is>
          <t>VIMMERBY</t>
        </is>
      </c>
      <c r="G568" t="n">
        <v>5.6</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46103</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28712-2025</t>
        </is>
      </c>
      <c r="B570" s="1" t="n">
        <v>45820.33708333333</v>
      </c>
      <c r="C570" s="1" t="n">
        <v>46103</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28714-2025</t>
        </is>
      </c>
      <c r="B571" s="1" t="n">
        <v>45820.34128472222</v>
      </c>
      <c r="C571" s="1" t="n">
        <v>46103</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36802-2021</t>
        </is>
      </c>
      <c r="B572" s="1" t="n">
        <v>44392</v>
      </c>
      <c r="C572" s="1" t="n">
        <v>46103</v>
      </c>
      <c r="D572" t="inlineStr">
        <is>
          <t>KALMAR LÄN</t>
        </is>
      </c>
      <c r="E572" t="inlineStr">
        <is>
          <t>VIMMERBY</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28713-2025</t>
        </is>
      </c>
      <c r="B573" s="1" t="n">
        <v>45820.33930555556</v>
      </c>
      <c r="C573" s="1" t="n">
        <v>46103</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38198-2024</t>
        </is>
      </c>
      <c r="B574" s="1" t="n">
        <v>45545.49508101852</v>
      </c>
      <c r="C574" s="1" t="n">
        <v>46103</v>
      </c>
      <c r="D574" t="inlineStr">
        <is>
          <t>KALMAR LÄN</t>
        </is>
      </c>
      <c r="E574" t="inlineStr">
        <is>
          <t>VIMMERBY</t>
        </is>
      </c>
      <c r="G574" t="n">
        <v>7.9</v>
      </c>
      <c r="H574" t="n">
        <v>0</v>
      </c>
      <c r="I574" t="n">
        <v>0</v>
      </c>
      <c r="J574" t="n">
        <v>0</v>
      </c>
      <c r="K574" t="n">
        <v>0</v>
      </c>
      <c r="L574" t="n">
        <v>0</v>
      </c>
      <c r="M574" t="n">
        <v>0</v>
      </c>
      <c r="N574" t="n">
        <v>0</v>
      </c>
      <c r="O574" t="n">
        <v>0</v>
      </c>
      <c r="P574" t="n">
        <v>0</v>
      </c>
      <c r="Q574" t="n">
        <v>0</v>
      </c>
      <c r="R574" s="2" t="inlineStr"/>
    </row>
    <row r="575" ht="15" customHeight="1">
      <c r="A575" t="inlineStr">
        <is>
          <t>A 9623-2024</t>
        </is>
      </c>
      <c r="B575" s="1" t="n">
        <v>45361.87975694444</v>
      </c>
      <c r="C575" s="1" t="n">
        <v>46103</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29737-2025</t>
        </is>
      </c>
      <c r="B576" s="1" t="n">
        <v>45825.58672453704</v>
      </c>
      <c r="C576" s="1" t="n">
        <v>46103</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58967-2022</t>
        </is>
      </c>
      <c r="B577" s="1" t="n">
        <v>44896</v>
      </c>
      <c r="C577" s="1" t="n">
        <v>46103</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29727-2025</t>
        </is>
      </c>
      <c r="B578" s="1" t="n">
        <v>45825.5796875</v>
      </c>
      <c r="C578" s="1" t="n">
        <v>46103</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6399-2025</t>
        </is>
      </c>
      <c r="B579" s="1" t="n">
        <v>45699.44291666667</v>
      </c>
      <c r="C579" s="1" t="n">
        <v>46103</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31355-2023</t>
        </is>
      </c>
      <c r="B580" s="1" t="n">
        <v>45114.49505787037</v>
      </c>
      <c r="C580" s="1" t="n">
        <v>46103</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30400-2023</t>
        </is>
      </c>
      <c r="B581" s="1" t="n">
        <v>45111.48225694444</v>
      </c>
      <c r="C581" s="1" t="n">
        <v>46103</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30404-2023</t>
        </is>
      </c>
      <c r="B582" s="1" t="n">
        <v>45111.48636574074</v>
      </c>
      <c r="C582" s="1" t="n">
        <v>46103</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27705-2023</t>
        </is>
      </c>
      <c r="B583" s="1" t="n">
        <v>45098.30535879629</v>
      </c>
      <c r="C583" s="1" t="n">
        <v>46103</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36843-2023</t>
        </is>
      </c>
      <c r="B584" s="1" t="n">
        <v>45154.49831018518</v>
      </c>
      <c r="C584" s="1" t="n">
        <v>46103</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30293-2025</t>
        </is>
      </c>
      <c r="B585" s="1" t="n">
        <v>45827</v>
      </c>
      <c r="C585" s="1" t="n">
        <v>46103</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10785-2025</t>
        </is>
      </c>
      <c r="B586" s="1" t="n">
        <v>45722.48634259259</v>
      </c>
      <c r="C586" s="1" t="n">
        <v>46103</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30290-2025</t>
        </is>
      </c>
      <c r="B587" s="1" t="n">
        <v>45827</v>
      </c>
      <c r="C587" s="1" t="n">
        <v>46103</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29017-2024</t>
        </is>
      </c>
      <c r="B588" s="1" t="n">
        <v>45481.56722222222</v>
      </c>
      <c r="C588" s="1" t="n">
        <v>46103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23263-2024</t>
        </is>
      </c>
      <c r="B589" s="1" t="n">
        <v>45453.36854166666</v>
      </c>
      <c r="C589" s="1" t="n">
        <v>46103</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11074-2023</t>
        </is>
      </c>
      <c r="B590" s="1" t="n">
        <v>44992.34151620371</v>
      </c>
      <c r="C590" s="1" t="n">
        <v>46103</v>
      </c>
      <c r="D590" t="inlineStr">
        <is>
          <t>KALMAR LÄN</t>
        </is>
      </c>
      <c r="E590" t="inlineStr">
        <is>
          <t>VIMMERBY</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61939-2021</t>
        </is>
      </c>
      <c r="B591" s="1" t="n">
        <v>44502</v>
      </c>
      <c r="C591" s="1" t="n">
        <v>46103</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12215-2024</t>
        </is>
      </c>
      <c r="B592" s="1" t="n">
        <v>45378.32185185186</v>
      </c>
      <c r="C592" s="1" t="n">
        <v>46103</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11303-2025</t>
        </is>
      </c>
      <c r="B593" s="1" t="n">
        <v>45726.44471064815</v>
      </c>
      <c r="C593" s="1" t="n">
        <v>46103</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12033-2024</t>
        </is>
      </c>
      <c r="B594" s="1" t="n">
        <v>45377.40043981482</v>
      </c>
      <c r="C594" s="1" t="n">
        <v>46103</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51408-2023</t>
        </is>
      </c>
      <c r="B595" s="1" t="n">
        <v>45219.69356481481</v>
      </c>
      <c r="C595" s="1" t="n">
        <v>46103</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30850-2025</t>
        </is>
      </c>
      <c r="B596" s="1" t="n">
        <v>45831</v>
      </c>
      <c r="C596" s="1" t="n">
        <v>46103</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49488-2023</t>
        </is>
      </c>
      <c r="B597" s="1" t="n">
        <v>45211.55472222222</v>
      </c>
      <c r="C597" s="1" t="n">
        <v>46103</v>
      </c>
      <c r="D597" t="inlineStr">
        <is>
          <t>KALMAR LÄN</t>
        </is>
      </c>
      <c r="E597" t="inlineStr">
        <is>
          <t>VIMMERBY</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8410-2023</t>
        </is>
      </c>
      <c r="B598" s="1" t="n">
        <v>44977</v>
      </c>
      <c r="C598" s="1" t="n">
        <v>46103</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30920-2024</t>
        </is>
      </c>
      <c r="B599" s="1" t="n">
        <v>45498.673125</v>
      </c>
      <c r="C599" s="1" t="n">
        <v>46103</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31552-2025</t>
        </is>
      </c>
      <c r="B600" s="1" t="n">
        <v>45833.64563657407</v>
      </c>
      <c r="C600" s="1" t="n">
        <v>46103</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31555-2025</t>
        </is>
      </c>
      <c r="B601" s="1" t="n">
        <v>45833.64814814815</v>
      </c>
      <c r="C601" s="1" t="n">
        <v>46103</v>
      </c>
      <c r="D601" t="inlineStr">
        <is>
          <t>KALMAR LÄN</t>
        </is>
      </c>
      <c r="E601" t="inlineStr">
        <is>
          <t>VIMMERBY</t>
        </is>
      </c>
      <c r="G601" t="n">
        <v>1.8</v>
      </c>
      <c r="H601" t="n">
        <v>0</v>
      </c>
      <c r="I601" t="n">
        <v>0</v>
      </c>
      <c r="J601" t="n">
        <v>0</v>
      </c>
      <c r="K601" t="n">
        <v>0</v>
      </c>
      <c r="L601" t="n">
        <v>0</v>
      </c>
      <c r="M601" t="n">
        <v>0</v>
      </c>
      <c r="N601" t="n">
        <v>0</v>
      </c>
      <c r="O601" t="n">
        <v>0</v>
      </c>
      <c r="P601" t="n">
        <v>0</v>
      </c>
      <c r="Q601" t="n">
        <v>0</v>
      </c>
      <c r="R601" s="2" t="inlineStr"/>
    </row>
    <row r="602" ht="15" customHeight="1">
      <c r="A602" t="inlineStr">
        <is>
          <t>A 30971-2025</t>
        </is>
      </c>
      <c r="B602" s="1" t="n">
        <v>45832.46146990741</v>
      </c>
      <c r="C602" s="1" t="n">
        <v>46103</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31551-2025</t>
        </is>
      </c>
      <c r="B603" s="1" t="n">
        <v>45833.64237268519</v>
      </c>
      <c r="C603" s="1" t="n">
        <v>46103</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30882-2025</t>
        </is>
      </c>
      <c r="B604" s="1" t="n">
        <v>45832.34540509259</v>
      </c>
      <c r="C604" s="1" t="n">
        <v>46103</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40929-2022</t>
        </is>
      </c>
      <c r="B605" s="1" t="n">
        <v>44825.4336574074</v>
      </c>
      <c r="C605" s="1" t="n">
        <v>46103</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50091-2023</t>
        </is>
      </c>
      <c r="B606" s="1" t="n">
        <v>45215.60199074074</v>
      </c>
      <c r="C606" s="1" t="n">
        <v>46103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36008-2024</t>
        </is>
      </c>
      <c r="B607" s="1" t="n">
        <v>45533.55362268518</v>
      </c>
      <c r="C607" s="1" t="n">
        <v>46103</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31872-2025</t>
        </is>
      </c>
      <c r="B608" s="1" t="n">
        <v>45834.65040509259</v>
      </c>
      <c r="C608" s="1" t="n">
        <v>46103</v>
      </c>
      <c r="D608" t="inlineStr">
        <is>
          <t>KALMAR LÄN</t>
        </is>
      </c>
      <c r="E608" t="inlineStr">
        <is>
          <t>VIMMERBY</t>
        </is>
      </c>
      <c r="F608" t="inlineStr">
        <is>
          <t>Sveaskog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16622-2025</t>
        </is>
      </c>
      <c r="B609" s="1" t="n">
        <v>45754.33641203704</v>
      </c>
      <c r="C609" s="1" t="n">
        <v>46103</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17511-2024</t>
        </is>
      </c>
      <c r="B610" s="1" t="n">
        <v>45415.57682870371</v>
      </c>
      <c r="C610" s="1" t="n">
        <v>46103</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8559-2025</t>
        </is>
      </c>
      <c r="B611" s="1" t="n">
        <v>45709.62280092593</v>
      </c>
      <c r="C611" s="1" t="n">
        <v>46103</v>
      </c>
      <c r="D611" t="inlineStr">
        <is>
          <t>KALMAR LÄN</t>
        </is>
      </c>
      <c r="E611" t="inlineStr">
        <is>
          <t>VIMMERBY</t>
        </is>
      </c>
      <c r="G611" t="n">
        <v>8.9</v>
      </c>
      <c r="H611" t="n">
        <v>0</v>
      </c>
      <c r="I611" t="n">
        <v>0</v>
      </c>
      <c r="J611" t="n">
        <v>0</v>
      </c>
      <c r="K611" t="n">
        <v>0</v>
      </c>
      <c r="L611" t="n">
        <v>0</v>
      </c>
      <c r="M611" t="n">
        <v>0</v>
      </c>
      <c r="N611" t="n">
        <v>0</v>
      </c>
      <c r="O611" t="n">
        <v>0</v>
      </c>
      <c r="P611" t="n">
        <v>0</v>
      </c>
      <c r="Q611" t="n">
        <v>0</v>
      </c>
      <c r="R611" s="2" t="inlineStr"/>
    </row>
    <row r="612" ht="15" customHeight="1">
      <c r="A612" t="inlineStr">
        <is>
          <t>A 43705-2023</t>
        </is>
      </c>
      <c r="B612" s="1" t="n">
        <v>45187.42854166667</v>
      </c>
      <c r="C612" s="1" t="n">
        <v>46103</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32064-2025</t>
        </is>
      </c>
      <c r="B613" s="1" t="n">
        <v>45835.44709490741</v>
      </c>
      <c r="C613" s="1" t="n">
        <v>46103</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32109-2025</t>
        </is>
      </c>
      <c r="B614" s="1" t="n">
        <v>45835.48267361111</v>
      </c>
      <c r="C614" s="1" t="n">
        <v>46103</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32113-2025</t>
        </is>
      </c>
      <c r="B615" s="1" t="n">
        <v>45835.48445601852</v>
      </c>
      <c r="C615" s="1" t="n">
        <v>46103</v>
      </c>
      <c r="D615" t="inlineStr">
        <is>
          <t>KALMAR LÄN</t>
        </is>
      </c>
      <c r="E615" t="inlineStr">
        <is>
          <t>VIMMERBY</t>
        </is>
      </c>
      <c r="G615" t="n">
        <v>3.5</v>
      </c>
      <c r="H615" t="n">
        <v>0</v>
      </c>
      <c r="I615" t="n">
        <v>0</v>
      </c>
      <c r="J615" t="n">
        <v>0</v>
      </c>
      <c r="K615" t="n">
        <v>0</v>
      </c>
      <c r="L615" t="n">
        <v>0</v>
      </c>
      <c r="M615" t="n">
        <v>0</v>
      </c>
      <c r="N615" t="n">
        <v>0</v>
      </c>
      <c r="O615" t="n">
        <v>0</v>
      </c>
      <c r="P615" t="n">
        <v>0</v>
      </c>
      <c r="Q615" t="n">
        <v>0</v>
      </c>
      <c r="R615" s="2" t="inlineStr"/>
    </row>
    <row r="616" ht="15" customHeight="1">
      <c r="A616" t="inlineStr">
        <is>
          <t>A 32116-2025</t>
        </is>
      </c>
      <c r="B616" s="1" t="n">
        <v>45835.48862268519</v>
      </c>
      <c r="C616" s="1" t="n">
        <v>46103</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31870-2025</t>
        </is>
      </c>
      <c r="B617" s="1" t="n">
        <v>45834.64667824074</v>
      </c>
      <c r="C617" s="1" t="n">
        <v>46103</v>
      </c>
      <c r="D617" t="inlineStr">
        <is>
          <t>KALMAR LÄN</t>
        </is>
      </c>
      <c r="E617" t="inlineStr">
        <is>
          <t>VIMMERBY</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32065-2025</t>
        </is>
      </c>
      <c r="B618" s="1" t="n">
        <v>45835.44732638889</v>
      </c>
      <c r="C618" s="1" t="n">
        <v>46103</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31987-2025</t>
        </is>
      </c>
      <c r="B619" s="1" t="n">
        <v>45835.36229166666</v>
      </c>
      <c r="C619" s="1" t="n">
        <v>46103</v>
      </c>
      <c r="D619" t="inlineStr">
        <is>
          <t>KALMAR LÄN</t>
        </is>
      </c>
      <c r="E619" t="inlineStr">
        <is>
          <t>VIMMERBY</t>
        </is>
      </c>
      <c r="F619" t="inlineStr">
        <is>
          <t>Kyrkan</t>
        </is>
      </c>
      <c r="G619" t="n">
        <v>1.2</v>
      </c>
      <c r="H619" t="n">
        <v>0</v>
      </c>
      <c r="I619" t="n">
        <v>0</v>
      </c>
      <c r="J619" t="n">
        <v>0</v>
      </c>
      <c r="K619" t="n">
        <v>0</v>
      </c>
      <c r="L619" t="n">
        <v>0</v>
      </c>
      <c r="M619" t="n">
        <v>0</v>
      </c>
      <c r="N619" t="n">
        <v>0</v>
      </c>
      <c r="O619" t="n">
        <v>0</v>
      </c>
      <c r="P619" t="n">
        <v>0</v>
      </c>
      <c r="Q619" t="n">
        <v>0</v>
      </c>
      <c r="R619" s="2" t="inlineStr"/>
    </row>
    <row r="620" ht="15" customHeight="1">
      <c r="A620" t="inlineStr">
        <is>
          <t>A 32077-2025</t>
        </is>
      </c>
      <c r="B620" s="1" t="n">
        <v>45835.45099537037</v>
      </c>
      <c r="C620" s="1" t="n">
        <v>46103</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55300-2021</t>
        </is>
      </c>
      <c r="B621" s="1" t="n">
        <v>44475</v>
      </c>
      <c r="C621" s="1" t="n">
        <v>46103</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32120-2025</t>
        </is>
      </c>
      <c r="B622" s="1" t="n">
        <v>45835.4924537037</v>
      </c>
      <c r="C622" s="1" t="n">
        <v>46103</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44179-2022</t>
        </is>
      </c>
      <c r="B623" s="1" t="n">
        <v>44839.4528125</v>
      </c>
      <c r="C623" s="1" t="n">
        <v>46103</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31876-2025</t>
        </is>
      </c>
      <c r="B624" s="1" t="n">
        <v>45834.65197916667</v>
      </c>
      <c r="C624" s="1" t="n">
        <v>46103</v>
      </c>
      <c r="D624" t="inlineStr">
        <is>
          <t>KALMAR LÄN</t>
        </is>
      </c>
      <c r="E624" t="inlineStr">
        <is>
          <t>VIMMERBY</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52755-2022</t>
        </is>
      </c>
      <c r="B625" s="1" t="n">
        <v>44875.27736111111</v>
      </c>
      <c r="C625" s="1" t="n">
        <v>46103</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35998-2024</t>
        </is>
      </c>
      <c r="B626" s="1" t="n">
        <v>45533.54429398148</v>
      </c>
      <c r="C626" s="1" t="n">
        <v>46103</v>
      </c>
      <c r="D626" t="inlineStr">
        <is>
          <t>KALMAR LÄN</t>
        </is>
      </c>
      <c r="E626" t="inlineStr">
        <is>
          <t>VIMMERBY</t>
        </is>
      </c>
      <c r="G626" t="n">
        <v>8.6</v>
      </c>
      <c r="H626" t="n">
        <v>0</v>
      </c>
      <c r="I626" t="n">
        <v>0</v>
      </c>
      <c r="J626" t="n">
        <v>0</v>
      </c>
      <c r="K626" t="n">
        <v>0</v>
      </c>
      <c r="L626" t="n">
        <v>0</v>
      </c>
      <c r="M626" t="n">
        <v>0</v>
      </c>
      <c r="N626" t="n">
        <v>0</v>
      </c>
      <c r="O626" t="n">
        <v>0</v>
      </c>
      <c r="P626" t="n">
        <v>0</v>
      </c>
      <c r="Q626" t="n">
        <v>0</v>
      </c>
      <c r="R626" s="2" t="inlineStr"/>
    </row>
    <row r="627" ht="15" customHeight="1">
      <c r="A627" t="inlineStr">
        <is>
          <t>A 7797-2023</t>
        </is>
      </c>
      <c r="B627" s="1" t="n">
        <v>44973.43075231482</v>
      </c>
      <c r="C627" s="1" t="n">
        <v>46103</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29351-2023</t>
        </is>
      </c>
      <c r="B628" s="1" t="n">
        <v>45106.2610300926</v>
      </c>
      <c r="C628" s="1" t="n">
        <v>46103</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7630-2025</t>
        </is>
      </c>
      <c r="B629" s="1" t="n">
        <v>45705.74418981482</v>
      </c>
      <c r="C629" s="1" t="n">
        <v>46103</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45301.68237268519</v>
      </c>
      <c r="C630" s="1" t="n">
        <v>46103</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46103</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29350-2023</t>
        </is>
      </c>
      <c r="B632" s="1" t="n">
        <v>45106</v>
      </c>
      <c r="C632" s="1" t="n">
        <v>46103</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32380-2025</t>
        </is>
      </c>
      <c r="B633" s="1" t="n">
        <v>45837.77701388889</v>
      </c>
      <c r="C633" s="1" t="n">
        <v>46103</v>
      </c>
      <c r="D633" t="inlineStr">
        <is>
          <t>KALMAR LÄN</t>
        </is>
      </c>
      <c r="E633" t="inlineStr">
        <is>
          <t>VIMMERBY</t>
        </is>
      </c>
      <c r="G633" t="n">
        <v>3.1</v>
      </c>
      <c r="H633" t="n">
        <v>0</v>
      </c>
      <c r="I633" t="n">
        <v>0</v>
      </c>
      <c r="J633" t="n">
        <v>0</v>
      </c>
      <c r="K633" t="n">
        <v>0</v>
      </c>
      <c r="L633" t="n">
        <v>0</v>
      </c>
      <c r="M633" t="n">
        <v>0</v>
      </c>
      <c r="N633" t="n">
        <v>0</v>
      </c>
      <c r="O633" t="n">
        <v>0</v>
      </c>
      <c r="P633" t="n">
        <v>0</v>
      </c>
      <c r="Q633" t="n">
        <v>0</v>
      </c>
      <c r="R633" s="2" t="inlineStr"/>
    </row>
    <row r="634" ht="15" customHeight="1">
      <c r="A634" t="inlineStr">
        <is>
          <t>A 33186-2025</t>
        </is>
      </c>
      <c r="B634" s="1" t="n">
        <v>45840.59474537037</v>
      </c>
      <c r="C634" s="1" t="n">
        <v>46103</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14855-2025</t>
        </is>
      </c>
      <c r="B635" s="1" t="n">
        <v>45743.41148148148</v>
      </c>
      <c r="C635" s="1" t="n">
        <v>46103</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43601-2024</t>
        </is>
      </c>
      <c r="B636" s="1" t="n">
        <v>45569.44684027778</v>
      </c>
      <c r="C636" s="1" t="n">
        <v>46103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33695-2025</t>
        </is>
      </c>
      <c r="B637" s="1" t="n">
        <v>45841.70569444444</v>
      </c>
      <c r="C637" s="1" t="n">
        <v>46103</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33698-2025</t>
        </is>
      </c>
      <c r="B638" s="1" t="n">
        <v>45841.70868055556</v>
      </c>
      <c r="C638" s="1" t="n">
        <v>46103</v>
      </c>
      <c r="D638" t="inlineStr">
        <is>
          <t>KALMAR LÄN</t>
        </is>
      </c>
      <c r="E638" t="inlineStr">
        <is>
          <t>VIMMERBY</t>
        </is>
      </c>
      <c r="G638" t="n">
        <v>3.7</v>
      </c>
      <c r="H638" t="n">
        <v>0</v>
      </c>
      <c r="I638" t="n">
        <v>0</v>
      </c>
      <c r="J638" t="n">
        <v>0</v>
      </c>
      <c r="K638" t="n">
        <v>0</v>
      </c>
      <c r="L638" t="n">
        <v>0</v>
      </c>
      <c r="M638" t="n">
        <v>0</v>
      </c>
      <c r="N638" t="n">
        <v>0</v>
      </c>
      <c r="O638" t="n">
        <v>0</v>
      </c>
      <c r="P638" t="n">
        <v>0</v>
      </c>
      <c r="Q638" t="n">
        <v>0</v>
      </c>
      <c r="R638" s="2" t="inlineStr"/>
    </row>
    <row r="639" ht="15" customHeight="1">
      <c r="A639" t="inlineStr">
        <is>
          <t>A 35913-2023</t>
        </is>
      </c>
      <c r="B639" s="1" t="n">
        <v>45148</v>
      </c>
      <c r="C639" s="1" t="n">
        <v>46103</v>
      </c>
      <c r="D639" t="inlineStr">
        <is>
          <t>KALMAR LÄN</t>
        </is>
      </c>
      <c r="E639" t="inlineStr">
        <is>
          <t>VIMMERBY</t>
        </is>
      </c>
      <c r="G639" t="n">
        <v>6.9</v>
      </c>
      <c r="H639" t="n">
        <v>0</v>
      </c>
      <c r="I639" t="n">
        <v>0</v>
      </c>
      <c r="J639" t="n">
        <v>0</v>
      </c>
      <c r="K639" t="n">
        <v>0</v>
      </c>
      <c r="L639" t="n">
        <v>0</v>
      </c>
      <c r="M639" t="n">
        <v>0</v>
      </c>
      <c r="N639" t="n">
        <v>0</v>
      </c>
      <c r="O639" t="n">
        <v>0</v>
      </c>
      <c r="P639" t="n">
        <v>0</v>
      </c>
      <c r="Q639" t="n">
        <v>0</v>
      </c>
      <c r="R639" s="2" t="inlineStr"/>
    </row>
    <row r="640" ht="15" customHeight="1">
      <c r="A640" t="inlineStr">
        <is>
          <t>A 9624-2024</t>
        </is>
      </c>
      <c r="B640" s="1" t="n">
        <v>45361.90282407407</v>
      </c>
      <c r="C640" s="1" t="n">
        <v>46103</v>
      </c>
      <c r="D640" t="inlineStr">
        <is>
          <t>KALMAR LÄN</t>
        </is>
      </c>
      <c r="E640" t="inlineStr">
        <is>
          <t>VIMMERBY</t>
        </is>
      </c>
      <c r="G640" t="n">
        <v>3.8</v>
      </c>
      <c r="H640" t="n">
        <v>0</v>
      </c>
      <c r="I640" t="n">
        <v>0</v>
      </c>
      <c r="J640" t="n">
        <v>0</v>
      </c>
      <c r="K640" t="n">
        <v>0</v>
      </c>
      <c r="L640" t="n">
        <v>0</v>
      </c>
      <c r="M640" t="n">
        <v>0</v>
      </c>
      <c r="N640" t="n">
        <v>0</v>
      </c>
      <c r="O640" t="n">
        <v>0</v>
      </c>
      <c r="P640" t="n">
        <v>0</v>
      </c>
      <c r="Q640" t="n">
        <v>0</v>
      </c>
      <c r="R640" s="2" t="inlineStr"/>
    </row>
    <row r="641" ht="15" customHeight="1">
      <c r="A641" t="inlineStr">
        <is>
          <t>A 3938-2023</t>
        </is>
      </c>
      <c r="B641" s="1" t="n">
        <v>44952.35775462963</v>
      </c>
      <c r="C641" s="1" t="n">
        <v>46103</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30977-2025</t>
        </is>
      </c>
      <c r="B642" s="1" t="n">
        <v>45832.46649305556</v>
      </c>
      <c r="C642" s="1" t="n">
        <v>46103</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39053-2024</t>
        </is>
      </c>
      <c r="B643" s="1" t="n">
        <v>45548</v>
      </c>
      <c r="C643" s="1" t="n">
        <v>46103</v>
      </c>
      <c r="D643" t="inlineStr">
        <is>
          <t>KALMAR LÄN</t>
        </is>
      </c>
      <c r="E643" t="inlineStr">
        <is>
          <t>VIMMERBY</t>
        </is>
      </c>
      <c r="G643" t="n">
        <v>5</v>
      </c>
      <c r="H643" t="n">
        <v>0</v>
      </c>
      <c r="I643" t="n">
        <v>0</v>
      </c>
      <c r="J643" t="n">
        <v>0</v>
      </c>
      <c r="K643" t="n">
        <v>0</v>
      </c>
      <c r="L643" t="n">
        <v>0</v>
      </c>
      <c r="M643" t="n">
        <v>0</v>
      </c>
      <c r="N643" t="n">
        <v>0</v>
      </c>
      <c r="O643" t="n">
        <v>0</v>
      </c>
      <c r="P643" t="n">
        <v>0</v>
      </c>
      <c r="Q643" t="n">
        <v>0</v>
      </c>
      <c r="R643" s="2" t="inlineStr"/>
    </row>
    <row r="644" ht="15" customHeight="1">
      <c r="A644" t="inlineStr">
        <is>
          <t>A 33696-2025</t>
        </is>
      </c>
      <c r="B644" s="1" t="n">
        <v>45841.7072337963</v>
      </c>
      <c r="C644" s="1" t="n">
        <v>46103</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14451-2024</t>
        </is>
      </c>
      <c r="B645" s="1" t="n">
        <v>45394.50028935185</v>
      </c>
      <c r="C645" s="1" t="n">
        <v>46103</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34205-2023</t>
        </is>
      </c>
      <c r="B646" s="1" t="n">
        <v>45138</v>
      </c>
      <c r="C646" s="1" t="n">
        <v>46103</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26956-2025</t>
        </is>
      </c>
      <c r="B647" s="1" t="n">
        <v>45811.45460648148</v>
      </c>
      <c r="C647" s="1" t="n">
        <v>46103</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34071-2025</t>
        </is>
      </c>
      <c r="B648" s="1" t="n">
        <v>45845.43803240741</v>
      </c>
      <c r="C648" s="1" t="n">
        <v>46103</v>
      </c>
      <c r="D648" t="inlineStr">
        <is>
          <t>KALMAR LÄN</t>
        </is>
      </c>
      <c r="E648" t="inlineStr">
        <is>
          <t>VIMMERBY</t>
        </is>
      </c>
      <c r="G648" t="n">
        <v>6.8</v>
      </c>
      <c r="H648" t="n">
        <v>0</v>
      </c>
      <c r="I648" t="n">
        <v>0</v>
      </c>
      <c r="J648" t="n">
        <v>0</v>
      </c>
      <c r="K648" t="n">
        <v>0</v>
      </c>
      <c r="L648" t="n">
        <v>0</v>
      </c>
      <c r="M648" t="n">
        <v>0</v>
      </c>
      <c r="N648" t="n">
        <v>0</v>
      </c>
      <c r="O648" t="n">
        <v>0</v>
      </c>
      <c r="P648" t="n">
        <v>0</v>
      </c>
      <c r="Q648" t="n">
        <v>0</v>
      </c>
      <c r="R648" s="2" t="inlineStr"/>
    </row>
    <row r="649" ht="15" customHeight="1">
      <c r="A649" t="inlineStr">
        <is>
          <t>A 34106-2025</t>
        </is>
      </c>
      <c r="B649" s="1" t="n">
        <v>45845.49414351852</v>
      </c>
      <c r="C649" s="1" t="n">
        <v>46103</v>
      </c>
      <c r="D649" t="inlineStr">
        <is>
          <t>KALMAR LÄN</t>
        </is>
      </c>
      <c r="E649" t="inlineStr">
        <is>
          <t>VIMMERBY</t>
        </is>
      </c>
      <c r="G649" t="n">
        <v>6</v>
      </c>
      <c r="H649" t="n">
        <v>0</v>
      </c>
      <c r="I649" t="n">
        <v>0</v>
      </c>
      <c r="J649" t="n">
        <v>0</v>
      </c>
      <c r="K649" t="n">
        <v>0</v>
      </c>
      <c r="L649" t="n">
        <v>0</v>
      </c>
      <c r="M649" t="n">
        <v>0</v>
      </c>
      <c r="N649" t="n">
        <v>0</v>
      </c>
      <c r="O649" t="n">
        <v>0</v>
      </c>
      <c r="P649" t="n">
        <v>0</v>
      </c>
      <c r="Q649" t="n">
        <v>0</v>
      </c>
      <c r="R649" s="2" t="inlineStr"/>
    </row>
    <row r="650" ht="15" customHeight="1">
      <c r="A650" t="inlineStr">
        <is>
          <t>A 28702-2025</t>
        </is>
      </c>
      <c r="B650" s="1" t="n">
        <v>45820.03976851852</v>
      </c>
      <c r="C650" s="1" t="n">
        <v>46103</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3268-2024</t>
        </is>
      </c>
      <c r="B651" s="1" t="n">
        <v>45317</v>
      </c>
      <c r="C651" s="1" t="n">
        <v>46103</v>
      </c>
      <c r="D651" t="inlineStr">
        <is>
          <t>KALMAR LÄN</t>
        </is>
      </c>
      <c r="E651" t="inlineStr">
        <is>
          <t>VIMMERBY</t>
        </is>
      </c>
      <c r="F651" t="inlineStr">
        <is>
          <t>Övriga Aktiebolag</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12819-2024</t>
        </is>
      </c>
      <c r="B652" s="1" t="n">
        <v>45384.66917824074</v>
      </c>
      <c r="C652" s="1" t="n">
        <v>46103</v>
      </c>
      <c r="D652" t="inlineStr">
        <is>
          <t>KALMAR LÄN</t>
        </is>
      </c>
      <c r="E652" t="inlineStr">
        <is>
          <t>VIMMERBY</t>
        </is>
      </c>
      <c r="G652" t="n">
        <v>5.1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46103</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46103</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32575-2024</t>
        </is>
      </c>
      <c r="B655" s="1" t="n">
        <v>45513.56527777778</v>
      </c>
      <c r="C655" s="1" t="n">
        <v>46103</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59300-2024</t>
        </is>
      </c>
      <c r="B656" s="1" t="n">
        <v>45637.66542824074</v>
      </c>
      <c r="C656" s="1" t="n">
        <v>46103</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34628-2025</t>
        </is>
      </c>
      <c r="B657" s="1" t="n">
        <v>45847.91280092593</v>
      </c>
      <c r="C657" s="1" t="n">
        <v>46103</v>
      </c>
      <c r="D657" t="inlineStr">
        <is>
          <t>KALMAR LÄN</t>
        </is>
      </c>
      <c r="E657" t="inlineStr">
        <is>
          <t>VIMMERBY</t>
        </is>
      </c>
      <c r="G657" t="n">
        <v>4.2</v>
      </c>
      <c r="H657" t="n">
        <v>0</v>
      </c>
      <c r="I657" t="n">
        <v>0</v>
      </c>
      <c r="J657" t="n">
        <v>0</v>
      </c>
      <c r="K657" t="n">
        <v>0</v>
      </c>
      <c r="L657" t="n">
        <v>0</v>
      </c>
      <c r="M657" t="n">
        <v>0</v>
      </c>
      <c r="N657" t="n">
        <v>0</v>
      </c>
      <c r="O657" t="n">
        <v>0</v>
      </c>
      <c r="P657" t="n">
        <v>0</v>
      </c>
      <c r="Q657" t="n">
        <v>0</v>
      </c>
      <c r="R657" s="2" t="inlineStr"/>
    </row>
    <row r="658" ht="15" customHeight="1">
      <c r="A658" t="inlineStr">
        <is>
          <t>A 59768-2024</t>
        </is>
      </c>
      <c r="B658" s="1" t="n">
        <v>45639.56185185185</v>
      </c>
      <c r="C658" s="1" t="n">
        <v>46103</v>
      </c>
      <c r="D658" t="inlineStr">
        <is>
          <t>KALMAR LÄN</t>
        </is>
      </c>
      <c r="E658" t="inlineStr">
        <is>
          <t>VIMMERBY</t>
        </is>
      </c>
      <c r="G658" t="n">
        <v>5.9</v>
      </c>
      <c r="H658" t="n">
        <v>0</v>
      </c>
      <c r="I658" t="n">
        <v>0</v>
      </c>
      <c r="J658" t="n">
        <v>0</v>
      </c>
      <c r="K658" t="n">
        <v>0</v>
      </c>
      <c r="L658" t="n">
        <v>0</v>
      </c>
      <c r="M658" t="n">
        <v>0</v>
      </c>
      <c r="N658" t="n">
        <v>0</v>
      </c>
      <c r="O658" t="n">
        <v>0</v>
      </c>
      <c r="P658" t="n">
        <v>0</v>
      </c>
      <c r="Q658" t="n">
        <v>0</v>
      </c>
      <c r="R658" s="2" t="inlineStr"/>
    </row>
    <row r="659" ht="15" customHeight="1">
      <c r="A659" t="inlineStr">
        <is>
          <t>A 36526-2023</t>
        </is>
      </c>
      <c r="B659" s="1" t="n">
        <v>45153.32778935185</v>
      </c>
      <c r="C659" s="1" t="n">
        <v>46103</v>
      </c>
      <c r="D659" t="inlineStr">
        <is>
          <t>KALMAR LÄN</t>
        </is>
      </c>
      <c r="E659" t="inlineStr">
        <is>
          <t>VIMMERBY</t>
        </is>
      </c>
      <c r="G659" t="n">
        <v>2.7</v>
      </c>
      <c r="H659" t="n">
        <v>0</v>
      </c>
      <c r="I659" t="n">
        <v>0</v>
      </c>
      <c r="J659" t="n">
        <v>0</v>
      </c>
      <c r="K659" t="n">
        <v>0</v>
      </c>
      <c r="L659" t="n">
        <v>0</v>
      </c>
      <c r="M659" t="n">
        <v>0</v>
      </c>
      <c r="N659" t="n">
        <v>0</v>
      </c>
      <c r="O659" t="n">
        <v>0</v>
      </c>
      <c r="P659" t="n">
        <v>0</v>
      </c>
      <c r="Q659" t="n">
        <v>0</v>
      </c>
      <c r="R659" s="2" t="inlineStr"/>
    </row>
    <row r="660" ht="15" customHeight="1">
      <c r="A660" t="inlineStr">
        <is>
          <t>A 58728-2024</t>
        </is>
      </c>
      <c r="B660" s="1" t="n">
        <v>45635.66695601852</v>
      </c>
      <c r="C660" s="1" t="n">
        <v>46103</v>
      </c>
      <c r="D660" t="inlineStr">
        <is>
          <t>KALMAR LÄN</t>
        </is>
      </c>
      <c r="E660" t="inlineStr">
        <is>
          <t>VIMMERBY</t>
        </is>
      </c>
      <c r="G660" t="n">
        <v>0.4</v>
      </c>
      <c r="H660" t="n">
        <v>0</v>
      </c>
      <c r="I660" t="n">
        <v>0</v>
      </c>
      <c r="J660" t="n">
        <v>0</v>
      </c>
      <c r="K660" t="n">
        <v>0</v>
      </c>
      <c r="L660" t="n">
        <v>0</v>
      </c>
      <c r="M660" t="n">
        <v>0</v>
      </c>
      <c r="N660" t="n">
        <v>0</v>
      </c>
      <c r="O660" t="n">
        <v>0</v>
      </c>
      <c r="P660" t="n">
        <v>0</v>
      </c>
      <c r="Q660" t="n">
        <v>0</v>
      </c>
      <c r="R660" s="2" t="inlineStr"/>
    </row>
    <row r="661" ht="15" customHeight="1">
      <c r="A661" t="inlineStr">
        <is>
          <t>A 49474-2023</t>
        </is>
      </c>
      <c r="B661" s="1" t="n">
        <v>45211.541875</v>
      </c>
      <c r="C661" s="1" t="n">
        <v>46103</v>
      </c>
      <c r="D661" t="inlineStr">
        <is>
          <t>KALMAR LÄN</t>
        </is>
      </c>
      <c r="E661" t="inlineStr">
        <is>
          <t>VIMMERBY</t>
        </is>
      </c>
      <c r="G661" t="n">
        <v>3.6</v>
      </c>
      <c r="H661" t="n">
        <v>0</v>
      </c>
      <c r="I661" t="n">
        <v>0</v>
      </c>
      <c r="J661" t="n">
        <v>0</v>
      </c>
      <c r="K661" t="n">
        <v>0</v>
      </c>
      <c r="L661" t="n">
        <v>0</v>
      </c>
      <c r="M661" t="n">
        <v>0</v>
      </c>
      <c r="N661" t="n">
        <v>0</v>
      </c>
      <c r="O661" t="n">
        <v>0</v>
      </c>
      <c r="P661" t="n">
        <v>0</v>
      </c>
      <c r="Q661" t="n">
        <v>0</v>
      </c>
      <c r="R661" s="2" t="inlineStr"/>
    </row>
    <row r="662" ht="15" customHeight="1">
      <c r="A662" t="inlineStr">
        <is>
          <t>A 57682-2022</t>
        </is>
      </c>
      <c r="B662" s="1" t="n">
        <v>44890</v>
      </c>
      <c r="C662" s="1" t="n">
        <v>46103</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14220-2021</t>
        </is>
      </c>
      <c r="B663" s="1" t="n">
        <v>44278.54855324074</v>
      </c>
      <c r="C663" s="1" t="n">
        <v>46103</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63950-2023</t>
        </is>
      </c>
      <c r="B664" s="1" t="n">
        <v>45278</v>
      </c>
      <c r="C664" s="1" t="n">
        <v>46103</v>
      </c>
      <c r="D664" t="inlineStr">
        <is>
          <t>KALMAR LÄN</t>
        </is>
      </c>
      <c r="E664" t="inlineStr">
        <is>
          <t>VIMMERBY</t>
        </is>
      </c>
      <c r="F664" t="inlineStr">
        <is>
          <t>Kyrkan</t>
        </is>
      </c>
      <c r="G664" t="n">
        <v>2.7</v>
      </c>
      <c r="H664" t="n">
        <v>0</v>
      </c>
      <c r="I664" t="n">
        <v>0</v>
      </c>
      <c r="J664" t="n">
        <v>0</v>
      </c>
      <c r="K664" t="n">
        <v>0</v>
      </c>
      <c r="L664" t="n">
        <v>0</v>
      </c>
      <c r="M664" t="n">
        <v>0</v>
      </c>
      <c r="N664" t="n">
        <v>0</v>
      </c>
      <c r="O664" t="n">
        <v>0</v>
      </c>
      <c r="P664" t="n">
        <v>0</v>
      </c>
      <c r="Q664" t="n">
        <v>0</v>
      </c>
      <c r="R664" s="2" t="inlineStr"/>
    </row>
    <row r="665" ht="15" customHeight="1">
      <c r="A665" t="inlineStr">
        <is>
          <t>A 16516-2023</t>
        </is>
      </c>
      <c r="B665" s="1" t="n">
        <v>45029</v>
      </c>
      <c r="C665" s="1" t="n">
        <v>46103</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35270-2025</t>
        </is>
      </c>
      <c r="B666" s="1" t="n">
        <v>45853.87112268519</v>
      </c>
      <c r="C666" s="1" t="n">
        <v>46103</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35271-2025</t>
        </is>
      </c>
      <c r="B667" s="1" t="n">
        <v>45853.87599537037</v>
      </c>
      <c r="C667" s="1" t="n">
        <v>46103</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35272-2025</t>
        </is>
      </c>
      <c r="B668" s="1" t="n">
        <v>45853.88070601852</v>
      </c>
      <c r="C668" s="1" t="n">
        <v>46103</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47842-2024</t>
        </is>
      </c>
      <c r="B669" s="1" t="n">
        <v>45588.65545138889</v>
      </c>
      <c r="C669" s="1" t="n">
        <v>46103</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16953-2025</t>
        </is>
      </c>
      <c r="B670" s="1" t="n">
        <v>45755.44333333334</v>
      </c>
      <c r="C670" s="1" t="n">
        <v>46103</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35596-2025</t>
        </is>
      </c>
      <c r="B671" s="1" t="n">
        <v>45858.60641203704</v>
      </c>
      <c r="C671" s="1" t="n">
        <v>46103</v>
      </c>
      <c r="D671" t="inlineStr">
        <is>
          <t>KALMAR LÄN</t>
        </is>
      </c>
      <c r="E671" t="inlineStr">
        <is>
          <t>VIMMERBY</t>
        </is>
      </c>
      <c r="G671" t="n">
        <v>2.8</v>
      </c>
      <c r="H671" t="n">
        <v>0</v>
      </c>
      <c r="I671" t="n">
        <v>0</v>
      </c>
      <c r="J671" t="n">
        <v>0</v>
      </c>
      <c r="K671" t="n">
        <v>0</v>
      </c>
      <c r="L671" t="n">
        <v>0</v>
      </c>
      <c r="M671" t="n">
        <v>0</v>
      </c>
      <c r="N671" t="n">
        <v>0</v>
      </c>
      <c r="O671" t="n">
        <v>0</v>
      </c>
      <c r="P671" t="n">
        <v>0</v>
      </c>
      <c r="Q671" t="n">
        <v>0</v>
      </c>
      <c r="R671" s="2" t="inlineStr"/>
    </row>
    <row r="672" ht="15" customHeight="1">
      <c r="A672" t="inlineStr">
        <is>
          <t>A 35597-2025</t>
        </is>
      </c>
      <c r="B672" s="1" t="n">
        <v>45858.66019675926</v>
      </c>
      <c r="C672" s="1" t="n">
        <v>46103</v>
      </c>
      <c r="D672" t="inlineStr">
        <is>
          <t>KALMAR LÄN</t>
        </is>
      </c>
      <c r="E672" t="inlineStr">
        <is>
          <t>VIMMERBY</t>
        </is>
      </c>
      <c r="G672" t="n">
        <v>6.4</v>
      </c>
      <c r="H672" t="n">
        <v>0</v>
      </c>
      <c r="I672" t="n">
        <v>0</v>
      </c>
      <c r="J672" t="n">
        <v>0</v>
      </c>
      <c r="K672" t="n">
        <v>0</v>
      </c>
      <c r="L672" t="n">
        <v>0</v>
      </c>
      <c r="M672" t="n">
        <v>0</v>
      </c>
      <c r="N672" t="n">
        <v>0</v>
      </c>
      <c r="O672" t="n">
        <v>0</v>
      </c>
      <c r="P672" t="n">
        <v>0</v>
      </c>
      <c r="Q672" t="n">
        <v>0</v>
      </c>
      <c r="R672" s="2" t="inlineStr"/>
    </row>
    <row r="673" ht="15" customHeight="1">
      <c r="A673" t="inlineStr">
        <is>
          <t>A 6408-2025</t>
        </is>
      </c>
      <c r="B673" s="1" t="n">
        <v>45699.45671296296</v>
      </c>
      <c r="C673" s="1" t="n">
        <v>46103</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25109-2023</t>
        </is>
      </c>
      <c r="B674" s="1" t="n">
        <v>45086</v>
      </c>
      <c r="C674" s="1" t="n">
        <v>46103</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33380-2023</t>
        </is>
      </c>
      <c r="B675" s="1" t="n">
        <v>45128</v>
      </c>
      <c r="C675" s="1" t="n">
        <v>46103</v>
      </c>
      <c r="D675" t="inlineStr">
        <is>
          <t>KALMAR LÄN</t>
        </is>
      </c>
      <c r="E675" t="inlineStr">
        <is>
          <t>VIMMERBY</t>
        </is>
      </c>
      <c r="G675" t="n">
        <v>5.2</v>
      </c>
      <c r="H675" t="n">
        <v>0</v>
      </c>
      <c r="I675" t="n">
        <v>0</v>
      </c>
      <c r="J675" t="n">
        <v>0</v>
      </c>
      <c r="K675" t="n">
        <v>0</v>
      </c>
      <c r="L675" t="n">
        <v>0</v>
      </c>
      <c r="M675" t="n">
        <v>0</v>
      </c>
      <c r="N675" t="n">
        <v>0</v>
      </c>
      <c r="O675" t="n">
        <v>0</v>
      </c>
      <c r="P675" t="n">
        <v>0</v>
      </c>
      <c r="Q675" t="n">
        <v>0</v>
      </c>
      <c r="R675" s="2" t="inlineStr"/>
    </row>
    <row r="676" ht="15" customHeight="1">
      <c r="A676" t="inlineStr">
        <is>
          <t>A 32639-2023</t>
        </is>
      </c>
      <c r="B676" s="1" t="n">
        <v>45121.5965162037</v>
      </c>
      <c r="C676" s="1" t="n">
        <v>46103</v>
      </c>
      <c r="D676" t="inlineStr">
        <is>
          <t>KALMAR LÄN</t>
        </is>
      </c>
      <c r="E676" t="inlineStr">
        <is>
          <t>VIMMERBY</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32642-2023</t>
        </is>
      </c>
      <c r="B677" s="1" t="n">
        <v>45121.59954861111</v>
      </c>
      <c r="C677" s="1" t="n">
        <v>46103</v>
      </c>
      <c r="D677" t="inlineStr">
        <is>
          <t>KALMAR LÄN</t>
        </is>
      </c>
      <c r="E677" t="inlineStr">
        <is>
          <t>VIMMERBY</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32651-2023</t>
        </is>
      </c>
      <c r="B678" s="1" t="n">
        <v>45121.6096875</v>
      </c>
      <c r="C678" s="1" t="n">
        <v>46103</v>
      </c>
      <c r="D678" t="inlineStr">
        <is>
          <t>KALMAR LÄN</t>
        </is>
      </c>
      <c r="E678" t="inlineStr">
        <is>
          <t>VIMMERBY</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11928-2022</t>
        </is>
      </c>
      <c r="B679" s="1" t="n">
        <v>44635</v>
      </c>
      <c r="C679" s="1" t="n">
        <v>46103</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7068-2024</t>
        </is>
      </c>
      <c r="B680" s="1" t="n">
        <v>45343.68038194445</v>
      </c>
      <c r="C680" s="1" t="n">
        <v>46103</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36226-2025</t>
        </is>
      </c>
      <c r="B681" s="1" t="n">
        <v>45867.51630787037</v>
      </c>
      <c r="C681" s="1" t="n">
        <v>46103</v>
      </c>
      <c r="D681" t="inlineStr">
        <is>
          <t>KALMAR LÄN</t>
        </is>
      </c>
      <c r="E681" t="inlineStr">
        <is>
          <t>VIMMERBY</t>
        </is>
      </c>
      <c r="G681" t="n">
        <v>3.1</v>
      </c>
      <c r="H681" t="n">
        <v>0</v>
      </c>
      <c r="I681" t="n">
        <v>0</v>
      </c>
      <c r="J681" t="n">
        <v>0</v>
      </c>
      <c r="K681" t="n">
        <v>0</v>
      </c>
      <c r="L681" t="n">
        <v>0</v>
      </c>
      <c r="M681" t="n">
        <v>0</v>
      </c>
      <c r="N681" t="n">
        <v>0</v>
      </c>
      <c r="O681" t="n">
        <v>0</v>
      </c>
      <c r="P681" t="n">
        <v>0</v>
      </c>
      <c r="Q681" t="n">
        <v>0</v>
      </c>
      <c r="R681" s="2" t="inlineStr"/>
    </row>
    <row r="682" ht="15" customHeight="1">
      <c r="A682" t="inlineStr">
        <is>
          <t>A 36273-2025</t>
        </is>
      </c>
      <c r="B682" s="1" t="n">
        <v>45867.63094907408</v>
      </c>
      <c r="C682" s="1" t="n">
        <v>46103</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36282-2025</t>
        </is>
      </c>
      <c r="B683" s="1" t="n">
        <v>45867.64663194444</v>
      </c>
      <c r="C683" s="1" t="n">
        <v>46103</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46234-2024</t>
        </is>
      </c>
      <c r="B684" s="1" t="n">
        <v>45581.57958333333</v>
      </c>
      <c r="C684" s="1" t="n">
        <v>46103</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36246-2025</t>
        </is>
      </c>
      <c r="B685" s="1" t="n">
        <v>45867.56320601852</v>
      </c>
      <c r="C685" s="1" t="n">
        <v>46103</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36297-2025</t>
        </is>
      </c>
      <c r="B686" s="1" t="n">
        <v>45867.68625</v>
      </c>
      <c r="C686" s="1" t="n">
        <v>46103</v>
      </c>
      <c r="D686" t="inlineStr">
        <is>
          <t>KALMAR LÄN</t>
        </is>
      </c>
      <c r="E686" t="inlineStr">
        <is>
          <t>VIMMERBY</t>
        </is>
      </c>
      <c r="G686" t="n">
        <v>4.9</v>
      </c>
      <c r="H686" t="n">
        <v>0</v>
      </c>
      <c r="I686" t="n">
        <v>0</v>
      </c>
      <c r="J686" t="n">
        <v>0</v>
      </c>
      <c r="K686" t="n">
        <v>0</v>
      </c>
      <c r="L686" t="n">
        <v>0</v>
      </c>
      <c r="M686" t="n">
        <v>0</v>
      </c>
      <c r="N686" t="n">
        <v>0</v>
      </c>
      <c r="O686" t="n">
        <v>0</v>
      </c>
      <c r="P686" t="n">
        <v>0</v>
      </c>
      <c r="Q686" t="n">
        <v>0</v>
      </c>
      <c r="R686" s="2" t="inlineStr"/>
    </row>
    <row r="687" ht="15" customHeight="1">
      <c r="A687" t="inlineStr">
        <is>
          <t>A 37187-2024</t>
        </is>
      </c>
      <c r="B687" s="1" t="n">
        <v>45539.65212962963</v>
      </c>
      <c r="C687" s="1" t="n">
        <v>46103</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36221-2025</t>
        </is>
      </c>
      <c r="B688" s="1" t="n">
        <v>45867.50792824074</v>
      </c>
      <c r="C688" s="1" t="n">
        <v>46103</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19502-2025</t>
        </is>
      </c>
      <c r="B689" s="1" t="n">
        <v>45769</v>
      </c>
      <c r="C689" s="1" t="n">
        <v>46103</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1021-2024</t>
        </is>
      </c>
      <c r="B690" s="1" t="n">
        <v>45301.67736111111</v>
      </c>
      <c r="C690" s="1" t="n">
        <v>46103</v>
      </c>
      <c r="D690" t="inlineStr">
        <is>
          <t>KALMAR LÄN</t>
        </is>
      </c>
      <c r="E690" t="inlineStr">
        <is>
          <t>VIMMERBY</t>
        </is>
      </c>
      <c r="G690" t="n">
        <v>1</v>
      </c>
      <c r="H690" t="n">
        <v>0</v>
      </c>
      <c r="I690" t="n">
        <v>0</v>
      </c>
      <c r="J690" t="n">
        <v>0</v>
      </c>
      <c r="K690" t="n">
        <v>0</v>
      </c>
      <c r="L690" t="n">
        <v>0</v>
      </c>
      <c r="M690" t="n">
        <v>0</v>
      </c>
      <c r="N690" t="n">
        <v>0</v>
      </c>
      <c r="O690" t="n">
        <v>0</v>
      </c>
      <c r="P690" t="n">
        <v>0</v>
      </c>
      <c r="Q690" t="n">
        <v>0</v>
      </c>
      <c r="R690" s="2" t="inlineStr"/>
    </row>
    <row r="691" ht="15" customHeight="1">
      <c r="A691" t="inlineStr">
        <is>
          <t>A 36299-2025</t>
        </is>
      </c>
      <c r="B691" s="1" t="n">
        <v>45867.69346064814</v>
      </c>
      <c r="C691" s="1" t="n">
        <v>46103</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72701-2021</t>
        </is>
      </c>
      <c r="B692" s="1" t="n">
        <v>44546</v>
      </c>
      <c r="C692" s="1" t="n">
        <v>46103</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19111-2025</t>
        </is>
      </c>
      <c r="B693" s="1" t="n">
        <v>45768.65611111111</v>
      </c>
      <c r="C693" s="1" t="n">
        <v>46103</v>
      </c>
      <c r="D693" t="inlineStr">
        <is>
          <t>KALMAR LÄN</t>
        </is>
      </c>
      <c r="E693" t="inlineStr">
        <is>
          <t>VIMMERBY</t>
        </is>
      </c>
      <c r="G693" t="n">
        <v>6.2</v>
      </c>
      <c r="H693" t="n">
        <v>0</v>
      </c>
      <c r="I693" t="n">
        <v>0</v>
      </c>
      <c r="J693" t="n">
        <v>0</v>
      </c>
      <c r="K693" t="n">
        <v>0</v>
      </c>
      <c r="L693" t="n">
        <v>0</v>
      </c>
      <c r="M693" t="n">
        <v>0</v>
      </c>
      <c r="N693" t="n">
        <v>0</v>
      </c>
      <c r="O693" t="n">
        <v>0</v>
      </c>
      <c r="P693" t="n">
        <v>0</v>
      </c>
      <c r="Q693" t="n">
        <v>0</v>
      </c>
      <c r="R693" s="2" t="inlineStr"/>
    </row>
    <row r="694" ht="15" customHeight="1">
      <c r="A694" t="inlineStr">
        <is>
          <t>A 33374-2021</t>
        </is>
      </c>
      <c r="B694" s="1" t="n">
        <v>44377</v>
      </c>
      <c r="C694" s="1" t="n">
        <v>46103</v>
      </c>
      <c r="D694" t="inlineStr">
        <is>
          <t>KALMAR LÄN</t>
        </is>
      </c>
      <c r="E694" t="inlineStr">
        <is>
          <t>VIMMERBY</t>
        </is>
      </c>
      <c r="G694" t="n">
        <v>3.3</v>
      </c>
      <c r="H694" t="n">
        <v>0</v>
      </c>
      <c r="I694" t="n">
        <v>0</v>
      </c>
      <c r="J694" t="n">
        <v>0</v>
      </c>
      <c r="K694" t="n">
        <v>0</v>
      </c>
      <c r="L694" t="n">
        <v>0</v>
      </c>
      <c r="M694" t="n">
        <v>0</v>
      </c>
      <c r="N694" t="n">
        <v>0</v>
      </c>
      <c r="O694" t="n">
        <v>0</v>
      </c>
      <c r="P694" t="n">
        <v>0</v>
      </c>
      <c r="Q694" t="n">
        <v>0</v>
      </c>
      <c r="R694" s="2" t="inlineStr"/>
    </row>
    <row r="695" ht="15" customHeight="1">
      <c r="A695" t="inlineStr">
        <is>
          <t>A 10807-2024</t>
        </is>
      </c>
      <c r="B695" s="1" t="n">
        <v>45369.62780092593</v>
      </c>
      <c r="C695" s="1" t="n">
        <v>46103</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36538-2025</t>
        </is>
      </c>
      <c r="B696" s="1" t="n">
        <v>45869.62276620371</v>
      </c>
      <c r="C696" s="1" t="n">
        <v>46103</v>
      </c>
      <c r="D696" t="inlineStr">
        <is>
          <t>KALMAR LÄN</t>
        </is>
      </c>
      <c r="E696" t="inlineStr">
        <is>
          <t>VIMMERBY</t>
        </is>
      </c>
      <c r="G696" t="n">
        <v>2.6</v>
      </c>
      <c r="H696" t="n">
        <v>0</v>
      </c>
      <c r="I696" t="n">
        <v>0</v>
      </c>
      <c r="J696" t="n">
        <v>0</v>
      </c>
      <c r="K696" t="n">
        <v>0</v>
      </c>
      <c r="L696" t="n">
        <v>0</v>
      </c>
      <c r="M696" t="n">
        <v>0</v>
      </c>
      <c r="N696" t="n">
        <v>0</v>
      </c>
      <c r="O696" t="n">
        <v>0</v>
      </c>
      <c r="P696" t="n">
        <v>0</v>
      </c>
      <c r="Q696" t="n">
        <v>0</v>
      </c>
      <c r="R696" s="2" t="inlineStr"/>
    </row>
    <row r="697" ht="15" customHeight="1">
      <c r="A697" t="inlineStr">
        <is>
          <t>A 33359-2021</t>
        </is>
      </c>
      <c r="B697" s="1" t="n">
        <v>44377.49684027778</v>
      </c>
      <c r="C697" s="1" t="n">
        <v>46103</v>
      </c>
      <c r="D697" t="inlineStr">
        <is>
          <t>KALMAR LÄN</t>
        </is>
      </c>
      <c r="E697" t="inlineStr">
        <is>
          <t>VIMMERBY</t>
        </is>
      </c>
      <c r="F697" t="inlineStr">
        <is>
          <t>Kommuner</t>
        </is>
      </c>
      <c r="G697" t="n">
        <v>8</v>
      </c>
      <c r="H697" t="n">
        <v>0</v>
      </c>
      <c r="I697" t="n">
        <v>0</v>
      </c>
      <c r="J697" t="n">
        <v>0</v>
      </c>
      <c r="K697" t="n">
        <v>0</v>
      </c>
      <c r="L697" t="n">
        <v>0</v>
      </c>
      <c r="M697" t="n">
        <v>0</v>
      </c>
      <c r="N697" t="n">
        <v>0</v>
      </c>
      <c r="O697" t="n">
        <v>0</v>
      </c>
      <c r="P697" t="n">
        <v>0</v>
      </c>
      <c r="Q697" t="n">
        <v>0</v>
      </c>
      <c r="R697" s="2" t="inlineStr"/>
    </row>
    <row r="698" ht="15" customHeight="1">
      <c r="A698" t="inlineStr">
        <is>
          <t>A 34588-2024</t>
        </is>
      </c>
      <c r="B698" s="1" t="n">
        <v>45526.3865625</v>
      </c>
      <c r="C698" s="1" t="n">
        <v>46103</v>
      </c>
      <c r="D698" t="inlineStr">
        <is>
          <t>KALMAR LÄN</t>
        </is>
      </c>
      <c r="E698" t="inlineStr">
        <is>
          <t>VIMMERBY</t>
        </is>
      </c>
      <c r="F698" t="inlineStr">
        <is>
          <t>Övriga Aktiebolag</t>
        </is>
      </c>
      <c r="G698" t="n">
        <v>3.3</v>
      </c>
      <c r="H698" t="n">
        <v>0</v>
      </c>
      <c r="I698" t="n">
        <v>0</v>
      </c>
      <c r="J698" t="n">
        <v>0</v>
      </c>
      <c r="K698" t="n">
        <v>0</v>
      </c>
      <c r="L698" t="n">
        <v>0</v>
      </c>
      <c r="M698" t="n">
        <v>0</v>
      </c>
      <c r="N698" t="n">
        <v>0</v>
      </c>
      <c r="O698" t="n">
        <v>0</v>
      </c>
      <c r="P698" t="n">
        <v>0</v>
      </c>
      <c r="Q698" t="n">
        <v>0</v>
      </c>
      <c r="R698" s="2" t="inlineStr"/>
    </row>
    <row r="699" ht="15" customHeight="1">
      <c r="A699" t="inlineStr">
        <is>
          <t>A 17084-2025</t>
        </is>
      </c>
      <c r="B699" s="1" t="n">
        <v>45755.64450231481</v>
      </c>
      <c r="C699" s="1" t="n">
        <v>46103</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36598-2025</t>
        </is>
      </c>
      <c r="B700" s="1" t="n">
        <v>45870.51708333333</v>
      </c>
      <c r="C700" s="1" t="n">
        <v>46103</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36602-2025</t>
        </is>
      </c>
      <c r="B701" s="1" t="n">
        <v>45870.52111111111</v>
      </c>
      <c r="C701" s="1" t="n">
        <v>46103</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33161-2024</t>
        </is>
      </c>
      <c r="B702" s="1" t="n">
        <v>45518.40657407408</v>
      </c>
      <c r="C702" s="1" t="n">
        <v>46103</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14359-2025</t>
        </is>
      </c>
      <c r="B703" s="1" t="n">
        <v>45741.37270833334</v>
      </c>
      <c r="C703" s="1" t="n">
        <v>46103</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36603-2025</t>
        </is>
      </c>
      <c r="B704" s="1" t="n">
        <v>45870.52142361111</v>
      </c>
      <c r="C704" s="1" t="n">
        <v>46103</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36600-2025</t>
        </is>
      </c>
      <c r="B705" s="1" t="n">
        <v>45870.51958333333</v>
      </c>
      <c r="C705" s="1" t="n">
        <v>46103</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36601-2025</t>
        </is>
      </c>
      <c r="B706" s="1" t="n">
        <v>45870.52005787037</v>
      </c>
      <c r="C706" s="1" t="n">
        <v>46103</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55605-2024</t>
        </is>
      </c>
      <c r="B707" s="1" t="n">
        <v>45622</v>
      </c>
      <c r="C707" s="1" t="n">
        <v>46103</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44464-2024</t>
        </is>
      </c>
      <c r="B708" s="1" t="n">
        <v>45574.35809027778</v>
      </c>
      <c r="C708" s="1" t="n">
        <v>46103</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36049-2024</t>
        </is>
      </c>
      <c r="B709" s="1" t="n">
        <v>45533.61996527778</v>
      </c>
      <c r="C709" s="1" t="n">
        <v>46103</v>
      </c>
      <c r="D709" t="inlineStr">
        <is>
          <t>KALMAR LÄN</t>
        </is>
      </c>
      <c r="E709" t="inlineStr">
        <is>
          <t>VIMMERBY</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37088-2025</t>
        </is>
      </c>
      <c r="B710" s="1" t="n">
        <v>45875.45716435185</v>
      </c>
      <c r="C710" s="1" t="n">
        <v>46103</v>
      </c>
      <c r="D710" t="inlineStr">
        <is>
          <t>KALMAR LÄN</t>
        </is>
      </c>
      <c r="E710" t="inlineStr">
        <is>
          <t>VIMMERBY</t>
        </is>
      </c>
      <c r="G710" t="n">
        <v>1.3</v>
      </c>
      <c r="H710" t="n">
        <v>0</v>
      </c>
      <c r="I710" t="n">
        <v>0</v>
      </c>
      <c r="J710" t="n">
        <v>0</v>
      </c>
      <c r="K710" t="n">
        <v>0</v>
      </c>
      <c r="L710" t="n">
        <v>0</v>
      </c>
      <c r="M710" t="n">
        <v>0</v>
      </c>
      <c r="N710" t="n">
        <v>0</v>
      </c>
      <c r="O710" t="n">
        <v>0</v>
      </c>
      <c r="P710" t="n">
        <v>0</v>
      </c>
      <c r="Q710" t="n">
        <v>0</v>
      </c>
      <c r="R710" s="2" t="inlineStr"/>
    </row>
    <row r="711" ht="15" customHeight="1">
      <c r="A711" t="inlineStr">
        <is>
          <t>A 37102-2025</t>
        </is>
      </c>
      <c r="B711" s="1" t="n">
        <v>45875.47454861111</v>
      </c>
      <c r="C711" s="1" t="n">
        <v>46103</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4297-2022</t>
        </is>
      </c>
      <c r="B712" s="1" t="n">
        <v>44588</v>
      </c>
      <c r="C712" s="1" t="n">
        <v>46103</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37079-2025</t>
        </is>
      </c>
      <c r="B713" s="1" t="n">
        <v>45875.42716435185</v>
      </c>
      <c r="C713" s="1" t="n">
        <v>46103</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46399-2024</t>
        </is>
      </c>
      <c r="B714" s="1" t="n">
        <v>45582.41200231481</v>
      </c>
      <c r="C714" s="1" t="n">
        <v>46103</v>
      </c>
      <c r="D714" t="inlineStr">
        <is>
          <t>KALMAR LÄN</t>
        </is>
      </c>
      <c r="E714" t="inlineStr">
        <is>
          <t>VIMMERBY</t>
        </is>
      </c>
      <c r="G714" t="n">
        <v>4.6</v>
      </c>
      <c r="H714" t="n">
        <v>0</v>
      </c>
      <c r="I714" t="n">
        <v>0</v>
      </c>
      <c r="J714" t="n">
        <v>0</v>
      </c>
      <c r="K714" t="n">
        <v>0</v>
      </c>
      <c r="L714" t="n">
        <v>0</v>
      </c>
      <c r="M714" t="n">
        <v>0</v>
      </c>
      <c r="N714" t="n">
        <v>0</v>
      </c>
      <c r="O714" t="n">
        <v>0</v>
      </c>
      <c r="P714" t="n">
        <v>0</v>
      </c>
      <c r="Q714" t="n">
        <v>0</v>
      </c>
      <c r="R714" s="2" t="inlineStr"/>
    </row>
    <row r="715" ht="15" customHeight="1">
      <c r="A715" t="inlineStr">
        <is>
          <t>A 36934-2025</t>
        </is>
      </c>
      <c r="B715" s="1" t="n">
        <v>45874.57109953704</v>
      </c>
      <c r="C715" s="1" t="n">
        <v>46103</v>
      </c>
      <c r="D715" t="inlineStr">
        <is>
          <t>KALMAR LÄN</t>
        </is>
      </c>
      <c r="E715" t="inlineStr">
        <is>
          <t>VIMMERBY</t>
        </is>
      </c>
      <c r="G715" t="n">
        <v>4.2</v>
      </c>
      <c r="H715" t="n">
        <v>0</v>
      </c>
      <c r="I715" t="n">
        <v>0</v>
      </c>
      <c r="J715" t="n">
        <v>0</v>
      </c>
      <c r="K715" t="n">
        <v>0</v>
      </c>
      <c r="L715" t="n">
        <v>0</v>
      </c>
      <c r="M715" t="n">
        <v>0</v>
      </c>
      <c r="N715" t="n">
        <v>0</v>
      </c>
      <c r="O715" t="n">
        <v>0</v>
      </c>
      <c r="P715" t="n">
        <v>0</v>
      </c>
      <c r="Q715" t="n">
        <v>0</v>
      </c>
      <c r="R715" s="2" t="inlineStr"/>
    </row>
    <row r="716" ht="15" customHeight="1">
      <c r="A716" t="inlineStr">
        <is>
          <t>A 13532-2025</t>
        </is>
      </c>
      <c r="B716" s="1" t="n">
        <v>45736.50743055555</v>
      </c>
      <c r="C716" s="1" t="n">
        <v>46103</v>
      </c>
      <c r="D716" t="inlineStr">
        <is>
          <t>KALMAR LÄN</t>
        </is>
      </c>
      <c r="E716" t="inlineStr">
        <is>
          <t>VIMMERBY</t>
        </is>
      </c>
      <c r="G716" t="n">
        <v>3.6</v>
      </c>
      <c r="H716" t="n">
        <v>0</v>
      </c>
      <c r="I716" t="n">
        <v>0</v>
      </c>
      <c r="J716" t="n">
        <v>0</v>
      </c>
      <c r="K716" t="n">
        <v>0</v>
      </c>
      <c r="L716" t="n">
        <v>0</v>
      </c>
      <c r="M716" t="n">
        <v>0</v>
      </c>
      <c r="N716" t="n">
        <v>0</v>
      </c>
      <c r="O716" t="n">
        <v>0</v>
      </c>
      <c r="P716" t="n">
        <v>0</v>
      </c>
      <c r="Q716" t="n">
        <v>0</v>
      </c>
      <c r="R716" s="2" t="inlineStr"/>
    </row>
    <row r="717" ht="15" customHeight="1">
      <c r="A717" t="inlineStr">
        <is>
          <t>A 43038-2022</t>
        </is>
      </c>
      <c r="B717" s="1" t="n">
        <v>44833.60123842592</v>
      </c>
      <c r="C717" s="1" t="n">
        <v>46103</v>
      </c>
      <c r="D717" t="inlineStr">
        <is>
          <t>KALMAR LÄN</t>
        </is>
      </c>
      <c r="E717" t="inlineStr">
        <is>
          <t>VIMMERBY</t>
        </is>
      </c>
      <c r="G717" t="n">
        <v>4.2</v>
      </c>
      <c r="H717" t="n">
        <v>0</v>
      </c>
      <c r="I717" t="n">
        <v>0</v>
      </c>
      <c r="J717" t="n">
        <v>0</v>
      </c>
      <c r="K717" t="n">
        <v>0</v>
      </c>
      <c r="L717" t="n">
        <v>0</v>
      </c>
      <c r="M717" t="n">
        <v>0</v>
      </c>
      <c r="N717" t="n">
        <v>0</v>
      </c>
      <c r="O717" t="n">
        <v>0</v>
      </c>
      <c r="P717" t="n">
        <v>0</v>
      </c>
      <c r="Q717" t="n">
        <v>0</v>
      </c>
      <c r="R717" s="2" t="inlineStr"/>
    </row>
    <row r="718" ht="15" customHeight="1">
      <c r="A718" t="inlineStr">
        <is>
          <t>A 37578-2025</t>
        </is>
      </c>
      <c r="B718" s="1" t="n">
        <v>45880.38380787037</v>
      </c>
      <c r="C718" s="1" t="n">
        <v>46103</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57799-2022</t>
        </is>
      </c>
      <c r="B719" s="1" t="n">
        <v>44897</v>
      </c>
      <c r="C719" s="1" t="n">
        <v>46103</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30921-2024</t>
        </is>
      </c>
      <c r="B720" s="1" t="n">
        <v>45498</v>
      </c>
      <c r="C720" s="1" t="n">
        <v>46103</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37668-2025</t>
        </is>
      </c>
      <c r="B721" s="1" t="n">
        <v>45880.51550925926</v>
      </c>
      <c r="C721" s="1" t="n">
        <v>46103</v>
      </c>
      <c r="D721" t="inlineStr">
        <is>
          <t>KALMAR LÄN</t>
        </is>
      </c>
      <c r="E721" t="inlineStr">
        <is>
          <t>VIMMERBY</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37939-2025</t>
        </is>
      </c>
      <c r="B722" s="1" t="n">
        <v>45881.59877314815</v>
      </c>
      <c r="C722" s="1" t="n">
        <v>46103</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37866-2025</t>
        </is>
      </c>
      <c r="B723" s="1" t="n">
        <v>45881</v>
      </c>
      <c r="C723" s="1" t="n">
        <v>46103</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14137-2023</t>
        </is>
      </c>
      <c r="B724" s="1" t="n">
        <v>45009.4671875</v>
      </c>
      <c r="C724" s="1" t="n">
        <v>46103</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11152-2023</t>
        </is>
      </c>
      <c r="B725" s="1" t="n">
        <v>44992</v>
      </c>
      <c r="C725" s="1" t="n">
        <v>46103</v>
      </c>
      <c r="D725" t="inlineStr">
        <is>
          <t>KALMAR LÄN</t>
        </is>
      </c>
      <c r="E725" t="inlineStr">
        <is>
          <t>VIMMERBY</t>
        </is>
      </c>
      <c r="G725" t="n">
        <v>10.6</v>
      </c>
      <c r="H725" t="n">
        <v>0</v>
      </c>
      <c r="I725" t="n">
        <v>0</v>
      </c>
      <c r="J725" t="n">
        <v>0</v>
      </c>
      <c r="K725" t="n">
        <v>0</v>
      </c>
      <c r="L725" t="n">
        <v>0</v>
      </c>
      <c r="M725" t="n">
        <v>0</v>
      </c>
      <c r="N725" t="n">
        <v>0</v>
      </c>
      <c r="O725" t="n">
        <v>0</v>
      </c>
      <c r="P725" t="n">
        <v>0</v>
      </c>
      <c r="Q725" t="n">
        <v>0</v>
      </c>
      <c r="R725" s="2" t="inlineStr"/>
    </row>
    <row r="726" ht="15" customHeight="1">
      <c r="A726" t="inlineStr">
        <is>
          <t>A 12499-2023</t>
        </is>
      </c>
      <c r="B726" s="1" t="n">
        <v>44999.86172453704</v>
      </c>
      <c r="C726" s="1" t="n">
        <v>46103</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12500-2023</t>
        </is>
      </c>
      <c r="B727" s="1" t="n">
        <v>44999.8625</v>
      </c>
      <c r="C727" s="1" t="n">
        <v>46103</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35846-2023</t>
        </is>
      </c>
      <c r="B728" s="1" t="n">
        <v>45148</v>
      </c>
      <c r="C728" s="1" t="n">
        <v>46103</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49039-2021</t>
        </is>
      </c>
      <c r="B729" s="1" t="n">
        <v>44453.56578703703</v>
      </c>
      <c r="C729" s="1" t="n">
        <v>46103</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38964-2025</t>
        </is>
      </c>
      <c r="B730" s="1" t="n">
        <v>45887.68759259259</v>
      </c>
      <c r="C730" s="1" t="n">
        <v>46103</v>
      </c>
      <c r="D730" t="inlineStr">
        <is>
          <t>KALMAR LÄN</t>
        </is>
      </c>
      <c r="E730" t="inlineStr">
        <is>
          <t>VIMMERBY</t>
        </is>
      </c>
      <c r="G730" t="n">
        <v>7.5</v>
      </c>
      <c r="H730" t="n">
        <v>0</v>
      </c>
      <c r="I730" t="n">
        <v>0</v>
      </c>
      <c r="J730" t="n">
        <v>0</v>
      </c>
      <c r="K730" t="n">
        <v>0</v>
      </c>
      <c r="L730" t="n">
        <v>0</v>
      </c>
      <c r="M730" t="n">
        <v>0</v>
      </c>
      <c r="N730" t="n">
        <v>0</v>
      </c>
      <c r="O730" t="n">
        <v>0</v>
      </c>
      <c r="P730" t="n">
        <v>0</v>
      </c>
      <c r="Q730" t="n">
        <v>0</v>
      </c>
      <c r="R730" s="2" t="inlineStr"/>
    </row>
    <row r="731" ht="15" customHeight="1">
      <c r="A731" t="inlineStr">
        <is>
          <t>A 46224-2024</t>
        </is>
      </c>
      <c r="B731" s="1" t="n">
        <v>45581.57016203704</v>
      </c>
      <c r="C731" s="1" t="n">
        <v>46103</v>
      </c>
      <c r="D731" t="inlineStr">
        <is>
          <t>KALMAR LÄN</t>
        </is>
      </c>
      <c r="E731" t="inlineStr">
        <is>
          <t>VIMMERBY</t>
        </is>
      </c>
      <c r="G731" t="n">
        <v>3.1</v>
      </c>
      <c r="H731" t="n">
        <v>0</v>
      </c>
      <c r="I731" t="n">
        <v>0</v>
      </c>
      <c r="J731" t="n">
        <v>0</v>
      </c>
      <c r="K731" t="n">
        <v>0</v>
      </c>
      <c r="L731" t="n">
        <v>0</v>
      </c>
      <c r="M731" t="n">
        <v>0</v>
      </c>
      <c r="N731" t="n">
        <v>0</v>
      </c>
      <c r="O731" t="n">
        <v>0</v>
      </c>
      <c r="P731" t="n">
        <v>0</v>
      </c>
      <c r="Q731" t="n">
        <v>0</v>
      </c>
      <c r="R731" s="2" t="inlineStr"/>
    </row>
    <row r="732" ht="15" customHeight="1">
      <c r="A732" t="inlineStr">
        <is>
          <t>A 46238-2024</t>
        </is>
      </c>
      <c r="B732" s="1" t="n">
        <v>45581.58418981481</v>
      </c>
      <c r="C732" s="1" t="n">
        <v>46103</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30633-2024</t>
        </is>
      </c>
      <c r="B733" s="1" t="n">
        <v>45495</v>
      </c>
      <c r="C733" s="1" t="n">
        <v>46103</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54838-2024</t>
        </is>
      </c>
      <c r="B734" s="1" t="n">
        <v>45618.56787037037</v>
      </c>
      <c r="C734" s="1" t="n">
        <v>46103</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6405-2025</t>
        </is>
      </c>
      <c r="B735" s="1" t="n">
        <v>45699.45392361111</v>
      </c>
      <c r="C735" s="1" t="n">
        <v>46103</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60437-2023</t>
        </is>
      </c>
      <c r="B736" s="1" t="n">
        <v>45259.51916666667</v>
      </c>
      <c r="C736" s="1" t="n">
        <v>46103</v>
      </c>
      <c r="D736" t="inlineStr">
        <is>
          <t>KALMAR LÄN</t>
        </is>
      </c>
      <c r="E736" t="inlineStr">
        <is>
          <t>VIMMERBY</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60438-2023</t>
        </is>
      </c>
      <c r="B737" s="1" t="n">
        <v>45259.52020833334</v>
      </c>
      <c r="C737" s="1" t="n">
        <v>46103</v>
      </c>
      <c r="D737" t="inlineStr">
        <is>
          <t>KALMAR LÄN</t>
        </is>
      </c>
      <c r="E737" t="inlineStr">
        <is>
          <t>VIMMERBY</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42165-2024</t>
        </is>
      </c>
      <c r="B738" s="1" t="n">
        <v>45562.46342592593</v>
      </c>
      <c r="C738" s="1" t="n">
        <v>46103</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25244-2023</t>
        </is>
      </c>
      <c r="B739" s="1" t="n">
        <v>45086</v>
      </c>
      <c r="C739" s="1" t="n">
        <v>46103</v>
      </c>
      <c r="D739" t="inlineStr">
        <is>
          <t>KALMAR LÄN</t>
        </is>
      </c>
      <c r="E739" t="inlineStr">
        <is>
          <t>VIMMERBY</t>
        </is>
      </c>
      <c r="G739" t="n">
        <v>4.7</v>
      </c>
      <c r="H739" t="n">
        <v>0</v>
      </c>
      <c r="I739" t="n">
        <v>0</v>
      </c>
      <c r="J739" t="n">
        <v>0</v>
      </c>
      <c r="K739" t="n">
        <v>0</v>
      </c>
      <c r="L739" t="n">
        <v>0</v>
      </c>
      <c r="M739" t="n">
        <v>0</v>
      </c>
      <c r="N739" t="n">
        <v>0</v>
      </c>
      <c r="O739" t="n">
        <v>0</v>
      </c>
      <c r="P739" t="n">
        <v>0</v>
      </c>
      <c r="Q739" t="n">
        <v>0</v>
      </c>
      <c r="R739" s="2" t="inlineStr"/>
    </row>
    <row r="740" ht="15" customHeight="1">
      <c r="A740" t="inlineStr">
        <is>
          <t>A 66022-2021</t>
        </is>
      </c>
      <c r="B740" s="1" t="n">
        <v>44517</v>
      </c>
      <c r="C740" s="1" t="n">
        <v>46103</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35895-2024</t>
        </is>
      </c>
      <c r="B741" s="1" t="n">
        <v>45533.38870370371</v>
      </c>
      <c r="C741" s="1" t="n">
        <v>46103</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11073-2023</t>
        </is>
      </c>
      <c r="B742" s="1" t="n">
        <v>44992</v>
      </c>
      <c r="C742" s="1" t="n">
        <v>46103</v>
      </c>
      <c r="D742" t="inlineStr">
        <is>
          <t>KALMAR LÄN</t>
        </is>
      </c>
      <c r="E742" t="inlineStr">
        <is>
          <t>VIMMERBY</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17-2025</t>
        </is>
      </c>
      <c r="B743" s="1" t="n">
        <v>45658.78774305555</v>
      </c>
      <c r="C743" s="1" t="n">
        <v>46103</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32655-2023</t>
        </is>
      </c>
      <c r="B744" s="1" t="n">
        <v>45121.61318287037</v>
      </c>
      <c r="C744" s="1" t="n">
        <v>46103</v>
      </c>
      <c r="D744" t="inlineStr">
        <is>
          <t>KALMAR LÄN</t>
        </is>
      </c>
      <c r="E744" t="inlineStr">
        <is>
          <t>VIMMERBY</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63541-2023</t>
        </is>
      </c>
      <c r="B745" s="1" t="n">
        <v>45275.32266203704</v>
      </c>
      <c r="C745" s="1" t="n">
        <v>46103</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28034-2022</t>
        </is>
      </c>
      <c r="B746" s="1" t="n">
        <v>44746.38834490741</v>
      </c>
      <c r="C746" s="1" t="n">
        <v>46103</v>
      </c>
      <c r="D746" t="inlineStr">
        <is>
          <t>KALMAR LÄN</t>
        </is>
      </c>
      <c r="E746" t="inlineStr">
        <is>
          <t>VIMMERBY</t>
        </is>
      </c>
      <c r="G746" t="n">
        <v>2</v>
      </c>
      <c r="H746" t="n">
        <v>0</v>
      </c>
      <c r="I746" t="n">
        <v>0</v>
      </c>
      <c r="J746" t="n">
        <v>0</v>
      </c>
      <c r="K746" t="n">
        <v>0</v>
      </c>
      <c r="L746" t="n">
        <v>0</v>
      </c>
      <c r="M746" t="n">
        <v>0</v>
      </c>
      <c r="N746" t="n">
        <v>0</v>
      </c>
      <c r="O746" t="n">
        <v>0</v>
      </c>
      <c r="P746" t="n">
        <v>0</v>
      </c>
      <c r="Q746" t="n">
        <v>0</v>
      </c>
      <c r="R746" s="2" t="inlineStr"/>
    </row>
    <row r="747" ht="15" customHeight="1">
      <c r="A747" t="inlineStr">
        <is>
          <t>A 5938-2022</t>
        </is>
      </c>
      <c r="B747" s="1" t="n">
        <v>44598</v>
      </c>
      <c r="C747" s="1" t="n">
        <v>46103</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24283-2023</t>
        </is>
      </c>
      <c r="B748" s="1" t="n">
        <v>45079.87827546296</v>
      </c>
      <c r="C748" s="1" t="n">
        <v>46103</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2462-2022</t>
        </is>
      </c>
      <c r="B749" s="1" t="n">
        <v>44579.62225694444</v>
      </c>
      <c r="C749" s="1" t="n">
        <v>46103</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60228-2021</t>
        </is>
      </c>
      <c r="B750" s="1" t="n">
        <v>44495</v>
      </c>
      <c r="C750" s="1" t="n">
        <v>46103</v>
      </c>
      <c r="D750" t="inlineStr">
        <is>
          <t>KALMAR LÄN</t>
        </is>
      </c>
      <c r="E750" t="inlineStr">
        <is>
          <t>VIMMERBY</t>
        </is>
      </c>
      <c r="G750" t="n">
        <v>4.1</v>
      </c>
      <c r="H750" t="n">
        <v>0</v>
      </c>
      <c r="I750" t="n">
        <v>0</v>
      </c>
      <c r="J750" t="n">
        <v>0</v>
      </c>
      <c r="K750" t="n">
        <v>0</v>
      </c>
      <c r="L750" t="n">
        <v>0</v>
      </c>
      <c r="M750" t="n">
        <v>0</v>
      </c>
      <c r="N750" t="n">
        <v>0</v>
      </c>
      <c r="O750" t="n">
        <v>0</v>
      </c>
      <c r="P750" t="n">
        <v>0</v>
      </c>
      <c r="Q750" t="n">
        <v>0</v>
      </c>
      <c r="R750" s="2" t="inlineStr"/>
    </row>
    <row r="751" ht="15" customHeight="1">
      <c r="A751" t="inlineStr">
        <is>
          <t>A 25979-2023</t>
        </is>
      </c>
      <c r="B751" s="1" t="n">
        <v>45090.89653935185</v>
      </c>
      <c r="C751" s="1" t="n">
        <v>46103</v>
      </c>
      <c r="D751" t="inlineStr">
        <is>
          <t>KALMAR LÄN</t>
        </is>
      </c>
      <c r="E751" t="inlineStr">
        <is>
          <t>VIMMERBY</t>
        </is>
      </c>
      <c r="G751" t="n">
        <v>2</v>
      </c>
      <c r="H751" t="n">
        <v>0</v>
      </c>
      <c r="I751" t="n">
        <v>0</v>
      </c>
      <c r="J751" t="n">
        <v>0</v>
      </c>
      <c r="K751" t="n">
        <v>0</v>
      </c>
      <c r="L751" t="n">
        <v>0</v>
      </c>
      <c r="M751" t="n">
        <v>0</v>
      </c>
      <c r="N751" t="n">
        <v>0</v>
      </c>
      <c r="O751" t="n">
        <v>0</v>
      </c>
      <c r="P751" t="n">
        <v>0</v>
      </c>
      <c r="Q751" t="n">
        <v>0</v>
      </c>
      <c r="R751" s="2" t="inlineStr"/>
    </row>
    <row r="752" ht="15" customHeight="1">
      <c r="A752" t="inlineStr">
        <is>
          <t>A 25980-2023</t>
        </is>
      </c>
      <c r="B752" s="1" t="n">
        <v>45090.89880787037</v>
      </c>
      <c r="C752" s="1" t="n">
        <v>46103</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12510-2022</t>
        </is>
      </c>
      <c r="B753" s="1" t="n">
        <v>44638.55256944444</v>
      </c>
      <c r="C753" s="1" t="n">
        <v>46103</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6358-2022</t>
        </is>
      </c>
      <c r="B754" s="1" t="n">
        <v>44600</v>
      </c>
      <c r="C754" s="1" t="n">
        <v>46103</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48373-2021</t>
        </is>
      </c>
      <c r="B755" s="1" t="n">
        <v>44451</v>
      </c>
      <c r="C755" s="1" t="n">
        <v>46103</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57256-2023</t>
        </is>
      </c>
      <c r="B756" s="1" t="n">
        <v>45245.5735300926</v>
      </c>
      <c r="C756" s="1" t="n">
        <v>46103</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17482-2024</t>
        </is>
      </c>
      <c r="B757" s="1" t="n">
        <v>45415.47848379629</v>
      </c>
      <c r="C757" s="1" t="n">
        <v>46103</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55123-2024</t>
        </is>
      </c>
      <c r="B758" s="1" t="n">
        <v>45621.46103009259</v>
      </c>
      <c r="C758" s="1" t="n">
        <v>46103</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49313-2022</t>
        </is>
      </c>
      <c r="B759" s="1" t="n">
        <v>44861.52505787037</v>
      </c>
      <c r="C759" s="1" t="n">
        <v>46103</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1987-2024</t>
        </is>
      </c>
      <c r="B760" s="1" t="n">
        <v>45308.61152777778</v>
      </c>
      <c r="C760" s="1" t="n">
        <v>46103</v>
      </c>
      <c r="D760" t="inlineStr">
        <is>
          <t>KALMAR LÄN</t>
        </is>
      </c>
      <c r="E760" t="inlineStr">
        <is>
          <t>VIMMERBY</t>
        </is>
      </c>
      <c r="G760" t="n">
        <v>3</v>
      </c>
      <c r="H760" t="n">
        <v>0</v>
      </c>
      <c r="I760" t="n">
        <v>0</v>
      </c>
      <c r="J760" t="n">
        <v>0</v>
      </c>
      <c r="K760" t="n">
        <v>0</v>
      </c>
      <c r="L760" t="n">
        <v>0</v>
      </c>
      <c r="M760" t="n">
        <v>0</v>
      </c>
      <c r="N760" t="n">
        <v>0</v>
      </c>
      <c r="O760" t="n">
        <v>0</v>
      </c>
      <c r="P760" t="n">
        <v>0</v>
      </c>
      <c r="Q760" t="n">
        <v>0</v>
      </c>
      <c r="R760" s="2" t="inlineStr"/>
    </row>
    <row r="761" ht="15" customHeight="1">
      <c r="A761" t="inlineStr">
        <is>
          <t>A 21507-2023</t>
        </is>
      </c>
      <c r="B761" s="1" t="n">
        <v>45063.508125</v>
      </c>
      <c r="C761" s="1" t="n">
        <v>46103</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57189-2022</t>
        </is>
      </c>
      <c r="B762" s="1" t="n">
        <v>44895.62296296296</v>
      </c>
      <c r="C762" s="1" t="n">
        <v>46103</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48673-2021</t>
        </is>
      </c>
      <c r="B763" s="1" t="n">
        <v>44452</v>
      </c>
      <c r="C763" s="1" t="n">
        <v>46103</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14248-2023</t>
        </is>
      </c>
      <c r="B764" s="1" t="n">
        <v>45009</v>
      </c>
      <c r="C764" s="1" t="n">
        <v>46103</v>
      </c>
      <c r="D764" t="inlineStr">
        <is>
          <t>KALMAR LÄN</t>
        </is>
      </c>
      <c r="E764" t="inlineStr">
        <is>
          <t>VIMMERBY</t>
        </is>
      </c>
      <c r="G764" t="n">
        <v>2.6</v>
      </c>
      <c r="H764" t="n">
        <v>0</v>
      </c>
      <c r="I764" t="n">
        <v>0</v>
      </c>
      <c r="J764" t="n">
        <v>0</v>
      </c>
      <c r="K764" t="n">
        <v>0</v>
      </c>
      <c r="L764" t="n">
        <v>0</v>
      </c>
      <c r="M764" t="n">
        <v>0</v>
      </c>
      <c r="N764" t="n">
        <v>0</v>
      </c>
      <c r="O764" t="n">
        <v>0</v>
      </c>
      <c r="P764" t="n">
        <v>0</v>
      </c>
      <c r="Q764" t="n">
        <v>0</v>
      </c>
      <c r="R764" s="2" t="inlineStr"/>
    </row>
    <row r="765" ht="15" customHeight="1">
      <c r="A765" t="inlineStr">
        <is>
          <t>A 12480-2024</t>
        </is>
      </c>
      <c r="B765" s="1" t="n">
        <v>45379</v>
      </c>
      <c r="C765" s="1" t="n">
        <v>46103</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40095-2022</t>
        </is>
      </c>
      <c r="B766" s="1" t="n">
        <v>44820</v>
      </c>
      <c r="C766" s="1" t="n">
        <v>46103</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50085-2023</t>
        </is>
      </c>
      <c r="B767" s="1" t="n">
        <v>45215.5959375</v>
      </c>
      <c r="C767" s="1" t="n">
        <v>46103</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50087-2023</t>
        </is>
      </c>
      <c r="B768" s="1" t="n">
        <v>45215.59743055556</v>
      </c>
      <c r="C768" s="1" t="n">
        <v>46103</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8167-2024</t>
        </is>
      </c>
      <c r="B769" s="1" t="n">
        <v>45351.6062962963</v>
      </c>
      <c r="C769" s="1" t="n">
        <v>46103</v>
      </c>
      <c r="D769" t="inlineStr">
        <is>
          <t>KALMAR LÄN</t>
        </is>
      </c>
      <c r="E769" t="inlineStr">
        <is>
          <t>VIMMERBY</t>
        </is>
      </c>
      <c r="G769" t="n">
        <v>3.8</v>
      </c>
      <c r="H769" t="n">
        <v>0</v>
      </c>
      <c r="I769" t="n">
        <v>0</v>
      </c>
      <c r="J769" t="n">
        <v>0</v>
      </c>
      <c r="K769" t="n">
        <v>0</v>
      </c>
      <c r="L769" t="n">
        <v>0</v>
      </c>
      <c r="M769" t="n">
        <v>0</v>
      </c>
      <c r="N769" t="n">
        <v>0</v>
      </c>
      <c r="O769" t="n">
        <v>0</v>
      </c>
      <c r="P769" t="n">
        <v>0</v>
      </c>
      <c r="Q769" t="n">
        <v>0</v>
      </c>
      <c r="R769" s="2" t="inlineStr"/>
    </row>
    <row r="770" ht="15" customHeight="1">
      <c r="A770" t="inlineStr">
        <is>
          <t>A 2604-2025</t>
        </is>
      </c>
      <c r="B770" s="1" t="n">
        <v>45674.74094907408</v>
      </c>
      <c r="C770" s="1" t="n">
        <v>46103</v>
      </c>
      <c r="D770" t="inlineStr">
        <is>
          <t>KALMAR LÄN</t>
        </is>
      </c>
      <c r="E770" t="inlineStr">
        <is>
          <t>VIMMERBY</t>
        </is>
      </c>
      <c r="G770" t="n">
        <v>7.6</v>
      </c>
      <c r="H770" t="n">
        <v>0</v>
      </c>
      <c r="I770" t="n">
        <v>0</v>
      </c>
      <c r="J770" t="n">
        <v>0</v>
      </c>
      <c r="K770" t="n">
        <v>0</v>
      </c>
      <c r="L770" t="n">
        <v>0</v>
      </c>
      <c r="M770" t="n">
        <v>0</v>
      </c>
      <c r="N770" t="n">
        <v>0</v>
      </c>
      <c r="O770" t="n">
        <v>0</v>
      </c>
      <c r="P770" t="n">
        <v>0</v>
      </c>
      <c r="Q770" t="n">
        <v>0</v>
      </c>
      <c r="R770" s="2" t="inlineStr"/>
    </row>
    <row r="771" ht="15" customHeight="1">
      <c r="A771" t="inlineStr">
        <is>
          <t>A 37192-2024</t>
        </is>
      </c>
      <c r="B771" s="1" t="n">
        <v>45539.66027777778</v>
      </c>
      <c r="C771" s="1" t="n">
        <v>46103</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42429-2024</t>
        </is>
      </c>
      <c r="B772" s="1" t="n">
        <v>45565.40657407408</v>
      </c>
      <c r="C772" s="1" t="n">
        <v>46103</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29180-2024</t>
        </is>
      </c>
      <c r="B773" s="1" t="n">
        <v>45482.54108796296</v>
      </c>
      <c r="C773" s="1" t="n">
        <v>46103</v>
      </c>
      <c r="D773" t="inlineStr">
        <is>
          <t>KALMAR LÄN</t>
        </is>
      </c>
      <c r="E773" t="inlineStr">
        <is>
          <t>VIMMERBY</t>
        </is>
      </c>
      <c r="G773" t="n">
        <v>3.8</v>
      </c>
      <c r="H773" t="n">
        <v>0</v>
      </c>
      <c r="I773" t="n">
        <v>0</v>
      </c>
      <c r="J773" t="n">
        <v>0</v>
      </c>
      <c r="K773" t="n">
        <v>0</v>
      </c>
      <c r="L773" t="n">
        <v>0</v>
      </c>
      <c r="M773" t="n">
        <v>0</v>
      </c>
      <c r="N773" t="n">
        <v>0</v>
      </c>
      <c r="O773" t="n">
        <v>0</v>
      </c>
      <c r="P773" t="n">
        <v>0</v>
      </c>
      <c r="Q773" t="n">
        <v>0</v>
      </c>
      <c r="R773" s="2" t="inlineStr"/>
    </row>
    <row r="774" ht="15" customHeight="1">
      <c r="A774" t="inlineStr">
        <is>
          <t>A 45846-2023</t>
        </is>
      </c>
      <c r="B774" s="1" t="n">
        <v>45195.58452546296</v>
      </c>
      <c r="C774" s="1" t="n">
        <v>46103</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16020-2023</t>
        </is>
      </c>
      <c r="B775" s="1" t="n">
        <v>45026.82216435186</v>
      </c>
      <c r="C775" s="1" t="n">
        <v>46103</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61820-2023</t>
        </is>
      </c>
      <c r="B776" s="1" t="n">
        <v>45266.32614583334</v>
      </c>
      <c r="C776" s="1" t="n">
        <v>46103</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45560-2021</t>
        </is>
      </c>
      <c r="B777" s="1" t="n">
        <v>44440</v>
      </c>
      <c r="C777" s="1" t="n">
        <v>46103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40256-2024</t>
        </is>
      </c>
      <c r="B778" s="1" t="n">
        <v>45554.62944444444</v>
      </c>
      <c r="C778" s="1" t="n">
        <v>46103</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58104-2024</t>
        </is>
      </c>
      <c r="B779" s="1" t="n">
        <v>45632.37459490741</v>
      </c>
      <c r="C779" s="1" t="n">
        <v>46103</v>
      </c>
      <c r="D779" t="inlineStr">
        <is>
          <t>KALMAR LÄN</t>
        </is>
      </c>
      <c r="E779" t="inlineStr">
        <is>
          <t>VIMMERBY</t>
        </is>
      </c>
      <c r="G779" t="n">
        <v>5</v>
      </c>
      <c r="H779" t="n">
        <v>0</v>
      </c>
      <c r="I779" t="n">
        <v>0</v>
      </c>
      <c r="J779" t="n">
        <v>0</v>
      </c>
      <c r="K779" t="n">
        <v>0</v>
      </c>
      <c r="L779" t="n">
        <v>0</v>
      </c>
      <c r="M779" t="n">
        <v>0</v>
      </c>
      <c r="N779" t="n">
        <v>0</v>
      </c>
      <c r="O779" t="n">
        <v>0</v>
      </c>
      <c r="P779" t="n">
        <v>0</v>
      </c>
      <c r="Q779" t="n">
        <v>0</v>
      </c>
      <c r="R779" s="2" t="inlineStr"/>
    </row>
    <row r="780" ht="15" customHeight="1">
      <c r="A780" t="inlineStr">
        <is>
          <t>A 36259-2022</t>
        </is>
      </c>
      <c r="B780" s="1" t="n">
        <v>44803.59118055556</v>
      </c>
      <c r="C780" s="1" t="n">
        <v>46103</v>
      </c>
      <c r="D780" t="inlineStr">
        <is>
          <t>KALMAR LÄN</t>
        </is>
      </c>
      <c r="E780" t="inlineStr">
        <is>
          <t>VIMMERBY</t>
        </is>
      </c>
      <c r="G780" t="n">
        <v>3.9</v>
      </c>
      <c r="H780" t="n">
        <v>0</v>
      </c>
      <c r="I780" t="n">
        <v>0</v>
      </c>
      <c r="J780" t="n">
        <v>0</v>
      </c>
      <c r="K780" t="n">
        <v>0</v>
      </c>
      <c r="L780" t="n">
        <v>0</v>
      </c>
      <c r="M780" t="n">
        <v>0</v>
      </c>
      <c r="N780" t="n">
        <v>0</v>
      </c>
      <c r="O780" t="n">
        <v>0</v>
      </c>
      <c r="P780" t="n">
        <v>0</v>
      </c>
      <c r="Q780" t="n">
        <v>0</v>
      </c>
      <c r="R780" s="2" t="inlineStr"/>
    </row>
    <row r="781" ht="15" customHeight="1">
      <c r="A781" t="inlineStr">
        <is>
          <t>A 43034-2024</t>
        </is>
      </c>
      <c r="B781" s="1" t="n">
        <v>45567.42011574074</v>
      </c>
      <c r="C781" s="1" t="n">
        <v>46103</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3902-2022</t>
        </is>
      </c>
      <c r="B782" s="1" t="n">
        <v>44587.48847222222</v>
      </c>
      <c r="C782" s="1" t="n">
        <v>46103</v>
      </c>
      <c r="D782" t="inlineStr">
        <is>
          <t>KALMAR LÄN</t>
        </is>
      </c>
      <c r="E782" t="inlineStr">
        <is>
          <t>VIMMERBY</t>
        </is>
      </c>
      <c r="G782" t="n">
        <v>2.6</v>
      </c>
      <c r="H782" t="n">
        <v>0</v>
      </c>
      <c r="I782" t="n">
        <v>0</v>
      </c>
      <c r="J782" t="n">
        <v>0</v>
      </c>
      <c r="K782" t="n">
        <v>0</v>
      </c>
      <c r="L782" t="n">
        <v>0</v>
      </c>
      <c r="M782" t="n">
        <v>0</v>
      </c>
      <c r="N782" t="n">
        <v>0</v>
      </c>
      <c r="O782" t="n">
        <v>0</v>
      </c>
      <c r="P782" t="n">
        <v>0</v>
      </c>
      <c r="Q782" t="n">
        <v>0</v>
      </c>
      <c r="R782" s="2" t="inlineStr"/>
    </row>
    <row r="783" ht="15" customHeight="1">
      <c r="A783" t="inlineStr">
        <is>
          <t>A 30070-2023</t>
        </is>
      </c>
      <c r="B783" s="1" t="n">
        <v>45110.4275</v>
      </c>
      <c r="C783" s="1" t="n">
        <v>46103</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31209-2024</t>
        </is>
      </c>
      <c r="B784" s="1" t="n">
        <v>45503.5658912037</v>
      </c>
      <c r="C784" s="1" t="n">
        <v>46103</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4527-2023</t>
        </is>
      </c>
      <c r="B785" s="1" t="n">
        <v>44956</v>
      </c>
      <c r="C785" s="1" t="n">
        <v>46103</v>
      </c>
      <c r="D785" t="inlineStr">
        <is>
          <t>KALMAR LÄN</t>
        </is>
      </c>
      <c r="E785" t="inlineStr">
        <is>
          <t>VIMMERBY</t>
        </is>
      </c>
      <c r="F785" t="inlineStr">
        <is>
          <t>Kommuner</t>
        </is>
      </c>
      <c r="G785" t="n">
        <v>8.5</v>
      </c>
      <c r="H785" t="n">
        <v>0</v>
      </c>
      <c r="I785" t="n">
        <v>0</v>
      </c>
      <c r="J785" t="n">
        <v>0</v>
      </c>
      <c r="K785" t="n">
        <v>0</v>
      </c>
      <c r="L785" t="n">
        <v>0</v>
      </c>
      <c r="M785" t="n">
        <v>0</v>
      </c>
      <c r="N785" t="n">
        <v>0</v>
      </c>
      <c r="O785" t="n">
        <v>0</v>
      </c>
      <c r="P785" t="n">
        <v>0</v>
      </c>
      <c r="Q785" t="n">
        <v>0</v>
      </c>
      <c r="R785" s="2" t="inlineStr"/>
    </row>
    <row r="786" ht="15" customHeight="1">
      <c r="A786" t="inlineStr">
        <is>
          <t>A 5864-2022</t>
        </is>
      </c>
      <c r="B786" s="1" t="n">
        <v>44596</v>
      </c>
      <c r="C786" s="1" t="n">
        <v>46103</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30912-2023</t>
        </is>
      </c>
      <c r="B787" s="1" t="n">
        <v>45113.41633101852</v>
      </c>
      <c r="C787" s="1" t="n">
        <v>46103</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1146-2025</t>
        </is>
      </c>
      <c r="B788" s="1" t="n">
        <v>45666</v>
      </c>
      <c r="C788" s="1" t="n">
        <v>46103</v>
      </c>
      <c r="D788" t="inlineStr">
        <is>
          <t>KALMAR LÄN</t>
        </is>
      </c>
      <c r="E788" t="inlineStr">
        <is>
          <t>VIMMERBY</t>
        </is>
      </c>
      <c r="G788" t="n">
        <v>4</v>
      </c>
      <c r="H788" t="n">
        <v>0</v>
      </c>
      <c r="I788" t="n">
        <v>0</v>
      </c>
      <c r="J788" t="n">
        <v>0</v>
      </c>
      <c r="K788" t="n">
        <v>0</v>
      </c>
      <c r="L788" t="n">
        <v>0</v>
      </c>
      <c r="M788" t="n">
        <v>0</v>
      </c>
      <c r="N788" t="n">
        <v>0</v>
      </c>
      <c r="O788" t="n">
        <v>0</v>
      </c>
      <c r="P788" t="n">
        <v>0</v>
      </c>
      <c r="Q788" t="n">
        <v>0</v>
      </c>
      <c r="R788" s="2" t="inlineStr"/>
    </row>
    <row r="789" ht="15" customHeight="1">
      <c r="A789" t="inlineStr">
        <is>
          <t>A 62023-2022</t>
        </is>
      </c>
      <c r="B789" s="1" t="n">
        <v>44918.50106481482</v>
      </c>
      <c r="C789" s="1" t="n">
        <v>46103</v>
      </c>
      <c r="D789" t="inlineStr">
        <is>
          <t>KALMAR LÄN</t>
        </is>
      </c>
      <c r="E789" t="inlineStr">
        <is>
          <t>VIMMERBY</t>
        </is>
      </c>
      <c r="G789" t="n">
        <v>0.3</v>
      </c>
      <c r="H789" t="n">
        <v>0</v>
      </c>
      <c r="I789" t="n">
        <v>0</v>
      </c>
      <c r="J789" t="n">
        <v>0</v>
      </c>
      <c r="K789" t="n">
        <v>0</v>
      </c>
      <c r="L789" t="n">
        <v>0</v>
      </c>
      <c r="M789" t="n">
        <v>0</v>
      </c>
      <c r="N789" t="n">
        <v>0</v>
      </c>
      <c r="O789" t="n">
        <v>0</v>
      </c>
      <c r="P789" t="n">
        <v>0</v>
      </c>
      <c r="Q789" t="n">
        <v>0</v>
      </c>
      <c r="R789" s="2" t="inlineStr"/>
    </row>
    <row r="790" ht="15" customHeight="1">
      <c r="A790" t="inlineStr">
        <is>
          <t>A 16119-2023</t>
        </is>
      </c>
      <c r="B790" s="1" t="n">
        <v>45027.59450231482</v>
      </c>
      <c r="C790" s="1" t="n">
        <v>46103</v>
      </c>
      <c r="D790" t="inlineStr">
        <is>
          <t>KALMAR LÄN</t>
        </is>
      </c>
      <c r="E790" t="inlineStr">
        <is>
          <t>VIMMERBY</t>
        </is>
      </c>
      <c r="F790" t="inlineStr">
        <is>
          <t>Kommuner</t>
        </is>
      </c>
      <c r="G790" t="n">
        <v>4.4</v>
      </c>
      <c r="H790" t="n">
        <v>0</v>
      </c>
      <c r="I790" t="n">
        <v>0</v>
      </c>
      <c r="J790" t="n">
        <v>0</v>
      </c>
      <c r="K790" t="n">
        <v>0</v>
      </c>
      <c r="L790" t="n">
        <v>0</v>
      </c>
      <c r="M790" t="n">
        <v>0</v>
      </c>
      <c r="N790" t="n">
        <v>0</v>
      </c>
      <c r="O790" t="n">
        <v>0</v>
      </c>
      <c r="P790" t="n">
        <v>0</v>
      </c>
      <c r="Q790" t="n">
        <v>0</v>
      </c>
      <c r="R790" s="2" t="inlineStr"/>
    </row>
    <row r="791" ht="15" customHeight="1">
      <c r="A791" t="inlineStr">
        <is>
          <t>A 52327-2023</t>
        </is>
      </c>
      <c r="B791" s="1" t="n">
        <v>45224.6515162037</v>
      </c>
      <c r="C791" s="1" t="n">
        <v>46103</v>
      </c>
      <c r="D791" t="inlineStr">
        <is>
          <t>KALMAR LÄN</t>
        </is>
      </c>
      <c r="E791" t="inlineStr">
        <is>
          <t>VIMMERBY</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12075-2024</t>
        </is>
      </c>
      <c r="B792" s="1" t="n">
        <v>45377</v>
      </c>
      <c r="C792" s="1" t="n">
        <v>46103</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29348-2023</t>
        </is>
      </c>
      <c r="B793" s="1" t="n">
        <v>45106.25025462963</v>
      </c>
      <c r="C793" s="1" t="n">
        <v>46103</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31340-2023</t>
        </is>
      </c>
      <c r="B794" s="1" t="n">
        <v>45114.47895833333</v>
      </c>
      <c r="C794" s="1" t="n">
        <v>46103</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7758-2024</t>
        </is>
      </c>
      <c r="B795" s="1" t="n">
        <v>45349.54434027777</v>
      </c>
      <c r="C795" s="1" t="n">
        <v>46103</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5701-2024</t>
        </is>
      </c>
      <c r="B796" s="1" t="n">
        <v>45334.78826388889</v>
      </c>
      <c r="C796" s="1" t="n">
        <v>46103</v>
      </c>
      <c r="D796" t="inlineStr">
        <is>
          <t>KALMAR LÄN</t>
        </is>
      </c>
      <c r="E796" t="inlineStr">
        <is>
          <t>VIMMERBY</t>
        </is>
      </c>
      <c r="G796" t="n">
        <v>2.3</v>
      </c>
      <c r="H796" t="n">
        <v>0</v>
      </c>
      <c r="I796" t="n">
        <v>0</v>
      </c>
      <c r="J796" t="n">
        <v>0</v>
      </c>
      <c r="K796" t="n">
        <v>0</v>
      </c>
      <c r="L796" t="n">
        <v>0</v>
      </c>
      <c r="M796" t="n">
        <v>0</v>
      </c>
      <c r="N796" t="n">
        <v>0</v>
      </c>
      <c r="O796" t="n">
        <v>0</v>
      </c>
      <c r="P796" t="n">
        <v>0</v>
      </c>
      <c r="Q796" t="n">
        <v>0</v>
      </c>
      <c r="R796" s="2" t="inlineStr"/>
    </row>
    <row r="797" ht="15" customHeight="1">
      <c r="A797" t="inlineStr">
        <is>
          <t>A 31405-2023</t>
        </is>
      </c>
      <c r="B797" s="1" t="n">
        <v>45114.58148148148</v>
      </c>
      <c r="C797" s="1" t="n">
        <v>46103</v>
      </c>
      <c r="D797" t="inlineStr">
        <is>
          <t>KALMAR LÄN</t>
        </is>
      </c>
      <c r="E797" t="inlineStr">
        <is>
          <t>VIMMERBY</t>
        </is>
      </c>
      <c r="G797" t="n">
        <v>2.6</v>
      </c>
      <c r="H797" t="n">
        <v>0</v>
      </c>
      <c r="I797" t="n">
        <v>0</v>
      </c>
      <c r="J797" t="n">
        <v>0</v>
      </c>
      <c r="K797" t="n">
        <v>0</v>
      </c>
      <c r="L797" t="n">
        <v>0</v>
      </c>
      <c r="M797" t="n">
        <v>0</v>
      </c>
      <c r="N797" t="n">
        <v>0</v>
      </c>
      <c r="O797" t="n">
        <v>0</v>
      </c>
      <c r="P797" t="n">
        <v>0</v>
      </c>
      <c r="Q797" t="n">
        <v>0</v>
      </c>
      <c r="R797" s="2" t="inlineStr"/>
    </row>
    <row r="798" ht="15" customHeight="1">
      <c r="A798" t="inlineStr">
        <is>
          <t>A 6355-2022</t>
        </is>
      </c>
      <c r="B798" s="1" t="n">
        <v>44600</v>
      </c>
      <c r="C798" s="1" t="n">
        <v>46103</v>
      </c>
      <c r="D798" t="inlineStr">
        <is>
          <t>KALMAR LÄN</t>
        </is>
      </c>
      <c r="E798" t="inlineStr">
        <is>
          <t>VIMMERBY</t>
        </is>
      </c>
      <c r="G798" t="n">
        <v>4.9</v>
      </c>
      <c r="H798" t="n">
        <v>0</v>
      </c>
      <c r="I798" t="n">
        <v>0</v>
      </c>
      <c r="J798" t="n">
        <v>0</v>
      </c>
      <c r="K798" t="n">
        <v>0</v>
      </c>
      <c r="L798" t="n">
        <v>0</v>
      </c>
      <c r="M798" t="n">
        <v>0</v>
      </c>
      <c r="N798" t="n">
        <v>0</v>
      </c>
      <c r="O798" t="n">
        <v>0</v>
      </c>
      <c r="P798" t="n">
        <v>0</v>
      </c>
      <c r="Q798" t="n">
        <v>0</v>
      </c>
      <c r="R798" s="2" t="inlineStr"/>
    </row>
    <row r="799" ht="15" customHeight="1">
      <c r="A799" t="inlineStr">
        <is>
          <t>A 46225-2024</t>
        </is>
      </c>
      <c r="B799" s="1" t="n">
        <v>45581.57333333333</v>
      </c>
      <c r="C799" s="1" t="n">
        <v>46103</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9418-2024</t>
        </is>
      </c>
      <c r="B800" s="1" t="n">
        <v>45359.45038194444</v>
      </c>
      <c r="C800" s="1" t="n">
        <v>46103</v>
      </c>
      <c r="D800" t="inlineStr">
        <is>
          <t>KALMAR LÄN</t>
        </is>
      </c>
      <c r="E800" t="inlineStr">
        <is>
          <t>VIMMERBY</t>
        </is>
      </c>
      <c r="G800" t="n">
        <v>1.9</v>
      </c>
      <c r="H800" t="n">
        <v>0</v>
      </c>
      <c r="I800" t="n">
        <v>0</v>
      </c>
      <c r="J800" t="n">
        <v>0</v>
      </c>
      <c r="K800" t="n">
        <v>0</v>
      </c>
      <c r="L800" t="n">
        <v>0</v>
      </c>
      <c r="M800" t="n">
        <v>0</v>
      </c>
      <c r="N800" t="n">
        <v>0</v>
      </c>
      <c r="O800" t="n">
        <v>0</v>
      </c>
      <c r="P800" t="n">
        <v>0</v>
      </c>
      <c r="Q800" t="n">
        <v>0</v>
      </c>
      <c r="R800" s="2" t="inlineStr"/>
    </row>
    <row r="801" ht="15" customHeight="1">
      <c r="A801" t="inlineStr">
        <is>
          <t>A 57091-2022</t>
        </is>
      </c>
      <c r="B801" s="1" t="n">
        <v>44895.46524305556</v>
      </c>
      <c r="C801" s="1" t="n">
        <v>46103</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3816-2022</t>
        </is>
      </c>
      <c r="B802" s="1" t="n">
        <v>44587</v>
      </c>
      <c r="C802" s="1" t="n">
        <v>46103</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43606-2024</t>
        </is>
      </c>
      <c r="B803" s="1" t="n">
        <v>45569.45017361111</v>
      </c>
      <c r="C803" s="1" t="n">
        <v>46103</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43617-2024</t>
        </is>
      </c>
      <c r="B804" s="1" t="n">
        <v>45569.47494212963</v>
      </c>
      <c r="C804" s="1" t="n">
        <v>46103</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47859-2024</t>
        </is>
      </c>
      <c r="B805" s="1" t="n">
        <v>45588.67070601852</v>
      </c>
      <c r="C805" s="1" t="n">
        <v>46103</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8540-2024</t>
        </is>
      </c>
      <c r="B806" s="1" t="n">
        <v>45355.54138888889</v>
      </c>
      <c r="C806" s="1" t="n">
        <v>46103</v>
      </c>
      <c r="D806" t="inlineStr">
        <is>
          <t>KALMAR LÄN</t>
        </is>
      </c>
      <c r="E806" t="inlineStr">
        <is>
          <t>VIMMERBY</t>
        </is>
      </c>
      <c r="G806" t="n">
        <v>1.9</v>
      </c>
      <c r="H806" t="n">
        <v>0</v>
      </c>
      <c r="I806" t="n">
        <v>0</v>
      </c>
      <c r="J806" t="n">
        <v>0</v>
      </c>
      <c r="K806" t="n">
        <v>0</v>
      </c>
      <c r="L806" t="n">
        <v>0</v>
      </c>
      <c r="M806" t="n">
        <v>0</v>
      </c>
      <c r="N806" t="n">
        <v>0</v>
      </c>
      <c r="O806" t="n">
        <v>0</v>
      </c>
      <c r="P806" t="n">
        <v>0</v>
      </c>
      <c r="Q806" t="n">
        <v>0</v>
      </c>
      <c r="R806" s="2" t="inlineStr"/>
    </row>
    <row r="807" ht="15" customHeight="1">
      <c r="A807" t="inlineStr">
        <is>
          <t>A 3331-2023</t>
        </is>
      </c>
      <c r="B807" s="1" t="n">
        <v>44949</v>
      </c>
      <c r="C807" s="1" t="n">
        <v>46103</v>
      </c>
      <c r="D807" t="inlineStr">
        <is>
          <t>KALMAR LÄN</t>
        </is>
      </c>
      <c r="E807" t="inlineStr">
        <is>
          <t>VIMMERBY</t>
        </is>
      </c>
      <c r="G807" t="n">
        <v>6.2</v>
      </c>
      <c r="H807" t="n">
        <v>0</v>
      </c>
      <c r="I807" t="n">
        <v>0</v>
      </c>
      <c r="J807" t="n">
        <v>0</v>
      </c>
      <c r="K807" t="n">
        <v>0</v>
      </c>
      <c r="L807" t="n">
        <v>0</v>
      </c>
      <c r="M807" t="n">
        <v>0</v>
      </c>
      <c r="N807" t="n">
        <v>0</v>
      </c>
      <c r="O807" t="n">
        <v>0</v>
      </c>
      <c r="P807" t="n">
        <v>0</v>
      </c>
      <c r="Q807" t="n">
        <v>0</v>
      </c>
      <c r="R807" s="2" t="inlineStr"/>
    </row>
    <row r="808" ht="15" customHeight="1">
      <c r="A808" t="inlineStr">
        <is>
          <t>A 598-2025</t>
        </is>
      </c>
      <c r="B808" s="1" t="n">
        <v>45660</v>
      </c>
      <c r="C808" s="1" t="n">
        <v>46103</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25799-2023</t>
        </is>
      </c>
      <c r="B809" s="1" t="n">
        <v>45090</v>
      </c>
      <c r="C809" s="1" t="n">
        <v>46103</v>
      </c>
      <c r="D809" t="inlineStr">
        <is>
          <t>KALMAR LÄN</t>
        </is>
      </c>
      <c r="E809" t="inlineStr">
        <is>
          <t>VIMMERBY</t>
        </is>
      </c>
      <c r="G809" t="n">
        <v>7.7</v>
      </c>
      <c r="H809" t="n">
        <v>0</v>
      </c>
      <c r="I809" t="n">
        <v>0</v>
      </c>
      <c r="J809" t="n">
        <v>0</v>
      </c>
      <c r="K809" t="n">
        <v>0</v>
      </c>
      <c r="L809" t="n">
        <v>0</v>
      </c>
      <c r="M809" t="n">
        <v>0</v>
      </c>
      <c r="N809" t="n">
        <v>0</v>
      </c>
      <c r="O809" t="n">
        <v>0</v>
      </c>
      <c r="P809" t="n">
        <v>0</v>
      </c>
      <c r="Q809" t="n">
        <v>0</v>
      </c>
      <c r="R809" s="2" t="inlineStr"/>
    </row>
    <row r="810" ht="15" customHeight="1">
      <c r="A810" t="inlineStr">
        <is>
          <t>A 53083-2021</t>
        </is>
      </c>
      <c r="B810" s="1" t="n">
        <v>44467.83386574074</v>
      </c>
      <c r="C810" s="1" t="n">
        <v>46103</v>
      </c>
      <c r="D810" t="inlineStr">
        <is>
          <t>KALMAR LÄN</t>
        </is>
      </c>
      <c r="E810" t="inlineStr">
        <is>
          <t>VIMMERBY</t>
        </is>
      </c>
      <c r="G810" t="n">
        <v>6.8</v>
      </c>
      <c r="H810" t="n">
        <v>0</v>
      </c>
      <c r="I810" t="n">
        <v>0</v>
      </c>
      <c r="J810" t="n">
        <v>0</v>
      </c>
      <c r="K810" t="n">
        <v>0</v>
      </c>
      <c r="L810" t="n">
        <v>0</v>
      </c>
      <c r="M810" t="n">
        <v>0</v>
      </c>
      <c r="N810" t="n">
        <v>0</v>
      </c>
      <c r="O810" t="n">
        <v>0</v>
      </c>
      <c r="P810" t="n">
        <v>0</v>
      </c>
      <c r="Q810" t="n">
        <v>0</v>
      </c>
      <c r="R810" s="2" t="inlineStr"/>
    </row>
    <row r="811" ht="15" customHeight="1">
      <c r="A811" t="inlineStr">
        <is>
          <t>A 24655-2021</t>
        </is>
      </c>
      <c r="B811" s="1" t="n">
        <v>44340</v>
      </c>
      <c r="C811" s="1" t="n">
        <v>46103</v>
      </c>
      <c r="D811" t="inlineStr">
        <is>
          <t>KALMAR LÄN</t>
        </is>
      </c>
      <c r="E811" t="inlineStr">
        <is>
          <t>VIMMERBY</t>
        </is>
      </c>
      <c r="G811" t="n">
        <v>14.9</v>
      </c>
      <c r="H811" t="n">
        <v>0</v>
      </c>
      <c r="I811" t="n">
        <v>0</v>
      </c>
      <c r="J811" t="n">
        <v>0</v>
      </c>
      <c r="K811" t="n">
        <v>0</v>
      </c>
      <c r="L811" t="n">
        <v>0</v>
      </c>
      <c r="M811" t="n">
        <v>0</v>
      </c>
      <c r="N811" t="n">
        <v>0</v>
      </c>
      <c r="O811" t="n">
        <v>0</v>
      </c>
      <c r="P811" t="n">
        <v>0</v>
      </c>
      <c r="Q811" t="n">
        <v>0</v>
      </c>
      <c r="R811" s="2" t="inlineStr"/>
    </row>
    <row r="812" ht="15" customHeight="1">
      <c r="A812" t="inlineStr">
        <is>
          <t>A 33838-2022</t>
        </is>
      </c>
      <c r="B812" s="1" t="n">
        <v>44790.49040509259</v>
      </c>
      <c r="C812" s="1" t="n">
        <v>46103</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32835-2022</t>
        </is>
      </c>
      <c r="B813" s="1" t="n">
        <v>44784.42528935185</v>
      </c>
      <c r="C813" s="1" t="n">
        <v>46103</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1081-2023</t>
        </is>
      </c>
      <c r="B814" s="1" t="n">
        <v>44935</v>
      </c>
      <c r="C814" s="1" t="n">
        <v>46103</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46103</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28403-2023</t>
        </is>
      </c>
      <c r="B816" s="1" t="n">
        <v>45100.85270833333</v>
      </c>
      <c r="C816" s="1" t="n">
        <v>46103</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33103-2024</t>
        </is>
      </c>
      <c r="B817" s="1" t="n">
        <v>45517.8162037037</v>
      </c>
      <c r="C817" s="1" t="n">
        <v>46103</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2260-2022</t>
        </is>
      </c>
      <c r="B818" s="1" t="n">
        <v>44578.62943287037</v>
      </c>
      <c r="C818" s="1" t="n">
        <v>46103</v>
      </c>
      <c r="D818" t="inlineStr">
        <is>
          <t>KALMAR LÄN</t>
        </is>
      </c>
      <c r="E818" t="inlineStr">
        <is>
          <t>VIMMERBY</t>
        </is>
      </c>
      <c r="G818" t="n">
        <v>1.4</v>
      </c>
      <c r="H818" t="n">
        <v>0</v>
      </c>
      <c r="I818" t="n">
        <v>0</v>
      </c>
      <c r="J818" t="n">
        <v>0</v>
      </c>
      <c r="K818" t="n">
        <v>0</v>
      </c>
      <c r="L818" t="n">
        <v>0</v>
      </c>
      <c r="M818" t="n">
        <v>0</v>
      </c>
      <c r="N818" t="n">
        <v>0</v>
      </c>
      <c r="O818" t="n">
        <v>0</v>
      </c>
      <c r="P818" t="n">
        <v>0</v>
      </c>
      <c r="Q818" t="n">
        <v>0</v>
      </c>
      <c r="R818" s="2" t="inlineStr"/>
    </row>
    <row r="819" ht="15" customHeight="1">
      <c r="A819" t="inlineStr">
        <is>
          <t>A 11661-2023</t>
        </is>
      </c>
      <c r="B819" s="1" t="n">
        <v>44994.46908564815</v>
      </c>
      <c r="C819" s="1" t="n">
        <v>46103</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58046-2022</t>
        </is>
      </c>
      <c r="B820" s="1" t="n">
        <v>44900.57393518519</v>
      </c>
      <c r="C820" s="1" t="n">
        <v>46103</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45528-2021</t>
        </is>
      </c>
      <c r="B821" s="1" t="n">
        <v>44440.60415509259</v>
      </c>
      <c r="C821" s="1" t="n">
        <v>46103</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46979-2023</t>
        </is>
      </c>
      <c r="B822" s="1" t="n">
        <v>45201</v>
      </c>
      <c r="C822" s="1" t="n">
        <v>46103</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6574-2023</t>
        </is>
      </c>
      <c r="B823" s="1" t="n">
        <v>44966</v>
      </c>
      <c r="C823" s="1" t="n">
        <v>46103</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4058-2024</t>
        </is>
      </c>
      <c r="B824" s="1" t="n">
        <v>45323.53744212963</v>
      </c>
      <c r="C824" s="1" t="n">
        <v>46103</v>
      </c>
      <c r="D824" t="inlineStr">
        <is>
          <t>KALMAR LÄN</t>
        </is>
      </c>
      <c r="E824" t="inlineStr">
        <is>
          <t>VIMMERBY</t>
        </is>
      </c>
      <c r="G824" t="n">
        <v>6.5</v>
      </c>
      <c r="H824" t="n">
        <v>0</v>
      </c>
      <c r="I824" t="n">
        <v>0</v>
      </c>
      <c r="J824" t="n">
        <v>0</v>
      </c>
      <c r="K824" t="n">
        <v>0</v>
      </c>
      <c r="L824" t="n">
        <v>0</v>
      </c>
      <c r="M824" t="n">
        <v>0</v>
      </c>
      <c r="N824" t="n">
        <v>0</v>
      </c>
      <c r="O824" t="n">
        <v>0</v>
      </c>
      <c r="P824" t="n">
        <v>0</v>
      </c>
      <c r="Q824" t="n">
        <v>0</v>
      </c>
      <c r="R824" s="2" t="inlineStr"/>
    </row>
    <row r="825" ht="15" customHeight="1">
      <c r="A825" t="inlineStr">
        <is>
          <t>A 1978-2024</t>
        </is>
      </c>
      <c r="B825" s="1" t="n">
        <v>45308.59001157407</v>
      </c>
      <c r="C825" s="1" t="n">
        <v>46103</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30318-2023</t>
        </is>
      </c>
      <c r="B826" s="1" t="n">
        <v>45111.30824074074</v>
      </c>
      <c r="C826" s="1" t="n">
        <v>46103</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25234-2023</t>
        </is>
      </c>
      <c r="B827" s="1" t="n">
        <v>45086.63194444445</v>
      </c>
      <c r="C827" s="1" t="n">
        <v>46103</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46078-2023</t>
        </is>
      </c>
      <c r="B828" s="1" t="n">
        <v>45196</v>
      </c>
      <c r="C828" s="1" t="n">
        <v>46103</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3609-2024</t>
        </is>
      </c>
      <c r="B829" s="1" t="n">
        <v>45320.89128472222</v>
      </c>
      <c r="C829" s="1" t="n">
        <v>46103</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10424-2023</t>
        </is>
      </c>
      <c r="B830" s="1" t="n">
        <v>44987.54104166666</v>
      </c>
      <c r="C830" s="1" t="n">
        <v>46103</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49382-2023</t>
        </is>
      </c>
      <c r="B831" s="1" t="n">
        <v>45208</v>
      </c>
      <c r="C831" s="1" t="n">
        <v>46103</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45001.43854166667</v>
      </c>
      <c r="C832" s="1" t="n">
        <v>46103</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3425-2022</t>
        </is>
      </c>
      <c r="B833" s="1" t="n">
        <v>44585.51060185185</v>
      </c>
      <c r="C833" s="1" t="n">
        <v>46103</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60675-2023</t>
        </is>
      </c>
      <c r="B834" s="1" t="n">
        <v>45260.4716550926</v>
      </c>
      <c r="C834" s="1" t="n">
        <v>46103</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2536-2023</t>
        </is>
      </c>
      <c r="B835" s="1" t="n">
        <v>44943.62954861111</v>
      </c>
      <c r="C835" s="1" t="n">
        <v>46103</v>
      </c>
      <c r="D835" t="inlineStr">
        <is>
          <t>KALMAR LÄN</t>
        </is>
      </c>
      <c r="E835" t="inlineStr">
        <is>
          <t>VIMMERBY</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11111-2024</t>
        </is>
      </c>
      <c r="B836" s="1" t="n">
        <v>45371.36359953704</v>
      </c>
      <c r="C836" s="1" t="n">
        <v>46103</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1687-2023</t>
        </is>
      </c>
      <c r="B837" s="1" t="n">
        <v>44938</v>
      </c>
      <c r="C837" s="1" t="n">
        <v>46103</v>
      </c>
      <c r="D837" t="inlineStr">
        <is>
          <t>KALMAR LÄN</t>
        </is>
      </c>
      <c r="E837" t="inlineStr">
        <is>
          <t>VIMMERBY</t>
        </is>
      </c>
      <c r="F837" t="inlineStr">
        <is>
          <t>Kommuner</t>
        </is>
      </c>
      <c r="G837" t="n">
        <v>2.5</v>
      </c>
      <c r="H837" t="n">
        <v>0</v>
      </c>
      <c r="I837" t="n">
        <v>0</v>
      </c>
      <c r="J837" t="n">
        <v>0</v>
      </c>
      <c r="K837" t="n">
        <v>0</v>
      </c>
      <c r="L837" t="n">
        <v>0</v>
      </c>
      <c r="M837" t="n">
        <v>0</v>
      </c>
      <c r="N837" t="n">
        <v>0</v>
      </c>
      <c r="O837" t="n">
        <v>0</v>
      </c>
      <c r="P837" t="n">
        <v>0</v>
      </c>
      <c r="Q837" t="n">
        <v>0</v>
      </c>
      <c r="R837" s="2" t="inlineStr"/>
    </row>
    <row r="838" ht="15" customHeight="1">
      <c r="A838" t="inlineStr">
        <is>
          <t>A 3494-2023</t>
        </is>
      </c>
      <c r="B838" s="1" t="n">
        <v>44949</v>
      </c>
      <c r="C838" s="1" t="n">
        <v>46103</v>
      </c>
      <c r="D838" t="inlineStr">
        <is>
          <t>KALMAR LÄN</t>
        </is>
      </c>
      <c r="E838" t="inlineStr">
        <is>
          <t>VIMMERBY</t>
        </is>
      </c>
      <c r="F838" t="inlineStr">
        <is>
          <t>Kyrkan</t>
        </is>
      </c>
      <c r="G838" t="n">
        <v>0.8</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46103</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43242-2024</t>
        </is>
      </c>
      <c r="B840" s="1" t="n">
        <v>45568.30189814815</v>
      </c>
      <c r="C840" s="1" t="n">
        <v>46103</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44894.49538194444</v>
      </c>
      <c r="C841" s="1" t="n">
        <v>46103</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33815-2022</t>
        </is>
      </c>
      <c r="B842" s="1" t="n">
        <v>44790.45876157407</v>
      </c>
      <c r="C842" s="1" t="n">
        <v>46103</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33842-2022</t>
        </is>
      </c>
      <c r="B843" s="1" t="n">
        <v>44790.49523148148</v>
      </c>
      <c r="C843" s="1" t="n">
        <v>46103</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49408-2023</t>
        </is>
      </c>
      <c r="B844" s="1" t="n">
        <v>45211.43555555555</v>
      </c>
      <c r="C844" s="1" t="n">
        <v>46103</v>
      </c>
      <c r="D844" t="inlineStr">
        <is>
          <t>KALMAR LÄN</t>
        </is>
      </c>
      <c r="E844" t="inlineStr">
        <is>
          <t>VIMMERBY</t>
        </is>
      </c>
      <c r="G844" t="n">
        <v>13.1</v>
      </c>
      <c r="H844" t="n">
        <v>0</v>
      </c>
      <c r="I844" t="n">
        <v>0</v>
      </c>
      <c r="J844" t="n">
        <v>0</v>
      </c>
      <c r="K844" t="n">
        <v>0</v>
      </c>
      <c r="L844" t="n">
        <v>0</v>
      </c>
      <c r="M844" t="n">
        <v>0</v>
      </c>
      <c r="N844" t="n">
        <v>0</v>
      </c>
      <c r="O844" t="n">
        <v>0</v>
      </c>
      <c r="P844" t="n">
        <v>0</v>
      </c>
      <c r="Q844" t="n">
        <v>0</v>
      </c>
      <c r="R844" s="2" t="inlineStr"/>
    </row>
    <row r="845" ht="15" customHeight="1">
      <c r="A845" t="inlineStr">
        <is>
          <t>A 56536-2022</t>
        </is>
      </c>
      <c r="B845" s="1" t="n">
        <v>44893</v>
      </c>
      <c r="C845" s="1" t="n">
        <v>46103</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41199-2023</t>
        </is>
      </c>
      <c r="B846" s="1" t="n">
        <v>45174.40454861111</v>
      </c>
      <c r="C846" s="1" t="n">
        <v>46103</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8945-2025</t>
        </is>
      </c>
      <c r="B847" s="1" t="n">
        <v>45713.45311342592</v>
      </c>
      <c r="C847" s="1" t="n">
        <v>46103</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11619-2023</t>
        </is>
      </c>
      <c r="B848" s="1" t="n">
        <v>44994.42113425926</v>
      </c>
      <c r="C848" s="1" t="n">
        <v>46103</v>
      </c>
      <c r="D848" t="inlineStr">
        <is>
          <t>KALMAR LÄN</t>
        </is>
      </c>
      <c r="E848" t="inlineStr">
        <is>
          <t>VIMMERBY</t>
        </is>
      </c>
      <c r="G848" t="n">
        <v>2.5</v>
      </c>
      <c r="H848" t="n">
        <v>0</v>
      </c>
      <c r="I848" t="n">
        <v>0</v>
      </c>
      <c r="J848" t="n">
        <v>0</v>
      </c>
      <c r="K848" t="n">
        <v>0</v>
      </c>
      <c r="L848" t="n">
        <v>0</v>
      </c>
      <c r="M848" t="n">
        <v>0</v>
      </c>
      <c r="N848" t="n">
        <v>0</v>
      </c>
      <c r="O848" t="n">
        <v>0</v>
      </c>
      <c r="P848" t="n">
        <v>0</v>
      </c>
      <c r="Q848" t="n">
        <v>0</v>
      </c>
      <c r="R848" s="2" t="inlineStr"/>
    </row>
    <row r="849" ht="15" customHeight="1">
      <c r="A849" t="inlineStr">
        <is>
          <t>A 41896-2023</t>
        </is>
      </c>
      <c r="B849" s="1" t="n">
        <v>45176.72427083334</v>
      </c>
      <c r="C849" s="1" t="n">
        <v>46103</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17926-2025</t>
        </is>
      </c>
      <c r="B850" s="1" t="n">
        <v>45759.38987268518</v>
      </c>
      <c r="C850" s="1" t="n">
        <v>46103</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21028-2023</t>
        </is>
      </c>
      <c r="B851" s="1" t="n">
        <v>45061</v>
      </c>
      <c r="C851" s="1" t="n">
        <v>46103</v>
      </c>
      <c r="D851" t="inlineStr">
        <is>
          <t>KALMAR LÄN</t>
        </is>
      </c>
      <c r="E851" t="inlineStr">
        <is>
          <t>VIMMERBY</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19445-2021</t>
        </is>
      </c>
      <c r="B852" s="1" t="n">
        <v>44310</v>
      </c>
      <c r="C852" s="1" t="n">
        <v>46103</v>
      </c>
      <c r="D852" t="inlineStr">
        <is>
          <t>KALMAR LÄN</t>
        </is>
      </c>
      <c r="E852" t="inlineStr">
        <is>
          <t>VIMMERBY</t>
        </is>
      </c>
      <c r="G852" t="n">
        <v>6.8</v>
      </c>
      <c r="H852" t="n">
        <v>0</v>
      </c>
      <c r="I852" t="n">
        <v>0</v>
      </c>
      <c r="J852" t="n">
        <v>0</v>
      </c>
      <c r="K852" t="n">
        <v>0</v>
      </c>
      <c r="L852" t="n">
        <v>0</v>
      </c>
      <c r="M852" t="n">
        <v>0</v>
      </c>
      <c r="N852" t="n">
        <v>0</v>
      </c>
      <c r="O852" t="n">
        <v>0</v>
      </c>
      <c r="P852" t="n">
        <v>0</v>
      </c>
      <c r="Q852" t="n">
        <v>0</v>
      </c>
      <c r="R852" s="2" t="inlineStr"/>
    </row>
    <row r="853" ht="15" customHeight="1">
      <c r="A853" t="inlineStr">
        <is>
          <t>A 27122-2023</t>
        </is>
      </c>
      <c r="B853" s="1" t="n">
        <v>45096.45247685185</v>
      </c>
      <c r="C853" s="1" t="n">
        <v>46103</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13813-2024</t>
        </is>
      </c>
      <c r="B854" s="1" t="n">
        <v>45391.41310185185</v>
      </c>
      <c r="C854" s="1" t="n">
        <v>46103</v>
      </c>
      <c r="D854" t="inlineStr">
        <is>
          <t>KALMAR LÄN</t>
        </is>
      </c>
      <c r="E854" t="inlineStr">
        <is>
          <t>VIMMERBY</t>
        </is>
      </c>
      <c r="G854" t="n">
        <v>0.4</v>
      </c>
      <c r="H854" t="n">
        <v>0</v>
      </c>
      <c r="I854" t="n">
        <v>0</v>
      </c>
      <c r="J854" t="n">
        <v>0</v>
      </c>
      <c r="K854" t="n">
        <v>0</v>
      </c>
      <c r="L854" t="n">
        <v>0</v>
      </c>
      <c r="M854" t="n">
        <v>0</v>
      </c>
      <c r="N854" t="n">
        <v>0</v>
      </c>
      <c r="O854" t="n">
        <v>0</v>
      </c>
      <c r="P854" t="n">
        <v>0</v>
      </c>
      <c r="Q854" t="n">
        <v>0</v>
      </c>
      <c r="R854" s="2" t="inlineStr"/>
    </row>
    <row r="855" ht="15" customHeight="1">
      <c r="A855" t="inlineStr">
        <is>
          <t>A 38969-2023</t>
        </is>
      </c>
      <c r="B855" s="1" t="n">
        <v>45163.63621527778</v>
      </c>
      <c r="C855" s="1" t="n">
        <v>46103</v>
      </c>
      <c r="D855" t="inlineStr">
        <is>
          <t>KALMAR LÄN</t>
        </is>
      </c>
      <c r="E855" t="inlineStr">
        <is>
          <t>VIMMERBY</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26937-2023</t>
        </is>
      </c>
      <c r="B856" s="1" t="n">
        <v>45093.62777777778</v>
      </c>
      <c r="C856" s="1" t="n">
        <v>46103</v>
      </c>
      <c r="D856" t="inlineStr">
        <is>
          <t>KALMAR LÄN</t>
        </is>
      </c>
      <c r="E856" t="inlineStr">
        <is>
          <t>VIMMERBY</t>
        </is>
      </c>
      <c r="F856" t="inlineStr">
        <is>
          <t>Sveaskog</t>
        </is>
      </c>
      <c r="G856" t="n">
        <v>14.5</v>
      </c>
      <c r="H856" t="n">
        <v>0</v>
      </c>
      <c r="I856" t="n">
        <v>0</v>
      </c>
      <c r="J856" t="n">
        <v>0</v>
      </c>
      <c r="K856" t="n">
        <v>0</v>
      </c>
      <c r="L856" t="n">
        <v>0</v>
      </c>
      <c r="M856" t="n">
        <v>0</v>
      </c>
      <c r="N856" t="n">
        <v>0</v>
      </c>
      <c r="O856" t="n">
        <v>0</v>
      </c>
      <c r="P856" t="n">
        <v>0</v>
      </c>
      <c r="Q856" t="n">
        <v>0</v>
      </c>
      <c r="R856" s="2" t="inlineStr"/>
    </row>
    <row r="857" ht="15" customHeight="1">
      <c r="A857" t="inlineStr">
        <is>
          <t>A 57486-2024</t>
        </is>
      </c>
      <c r="B857" s="1" t="n">
        <v>45630.35827546296</v>
      </c>
      <c r="C857" s="1" t="n">
        <v>46103</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43186-2021</t>
        </is>
      </c>
      <c r="B858" s="1" t="n">
        <v>44431.84840277778</v>
      </c>
      <c r="C858" s="1" t="n">
        <v>46103</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1799-2025</t>
        </is>
      </c>
      <c r="B859" s="1" t="n">
        <v>45671.46746527778</v>
      </c>
      <c r="C859" s="1" t="n">
        <v>46103</v>
      </c>
      <c r="D859" t="inlineStr">
        <is>
          <t>KALMAR LÄN</t>
        </is>
      </c>
      <c r="E859" t="inlineStr">
        <is>
          <t>VIMMERBY</t>
        </is>
      </c>
      <c r="G859" t="n">
        <v>3.3</v>
      </c>
      <c r="H859" t="n">
        <v>0</v>
      </c>
      <c r="I859" t="n">
        <v>0</v>
      </c>
      <c r="J859" t="n">
        <v>0</v>
      </c>
      <c r="K859" t="n">
        <v>0</v>
      </c>
      <c r="L859" t="n">
        <v>0</v>
      </c>
      <c r="M859" t="n">
        <v>0</v>
      </c>
      <c r="N859" t="n">
        <v>0</v>
      </c>
      <c r="O859" t="n">
        <v>0</v>
      </c>
      <c r="P859" t="n">
        <v>0</v>
      </c>
      <c r="Q859" t="n">
        <v>0</v>
      </c>
      <c r="R859" s="2" t="inlineStr"/>
    </row>
    <row r="860" ht="15" customHeight="1">
      <c r="A860" t="inlineStr">
        <is>
          <t>A 30063-2023</t>
        </is>
      </c>
      <c r="B860" s="1" t="n">
        <v>45110.4184375</v>
      </c>
      <c r="C860" s="1" t="n">
        <v>46103</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43068-2023</t>
        </is>
      </c>
      <c r="B861" s="1" t="n">
        <v>45182.78834490741</v>
      </c>
      <c r="C861" s="1" t="n">
        <v>46103</v>
      </c>
      <c r="D861" t="inlineStr">
        <is>
          <t>KALMAR LÄN</t>
        </is>
      </c>
      <c r="E861" t="inlineStr">
        <is>
          <t>VIMMERBY</t>
        </is>
      </c>
      <c r="G861" t="n">
        <v>1.5</v>
      </c>
      <c r="H861" t="n">
        <v>0</v>
      </c>
      <c r="I861" t="n">
        <v>0</v>
      </c>
      <c r="J861" t="n">
        <v>0</v>
      </c>
      <c r="K861" t="n">
        <v>0</v>
      </c>
      <c r="L861" t="n">
        <v>0</v>
      </c>
      <c r="M861" t="n">
        <v>0</v>
      </c>
      <c r="N861" t="n">
        <v>0</v>
      </c>
      <c r="O861" t="n">
        <v>0</v>
      </c>
      <c r="P861" t="n">
        <v>0</v>
      </c>
      <c r="Q861" t="n">
        <v>0</v>
      </c>
      <c r="R861" s="2" t="inlineStr"/>
    </row>
    <row r="862" ht="15" customHeight="1">
      <c r="A862" t="inlineStr">
        <is>
          <t>A 18020-2025</t>
        </is>
      </c>
      <c r="B862" s="1" t="n">
        <v>45761.4437962963</v>
      </c>
      <c r="C862" s="1" t="n">
        <v>46103</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33424-2023</t>
        </is>
      </c>
      <c r="B863" s="1" t="n">
        <v>45128.9325</v>
      </c>
      <c r="C863" s="1" t="n">
        <v>46103</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33425-2023</t>
        </is>
      </c>
      <c r="B864" s="1" t="n">
        <v>45128.93540509259</v>
      </c>
      <c r="C864" s="1" t="n">
        <v>46103</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12327-2023</t>
        </is>
      </c>
      <c r="B865" s="1" t="n">
        <v>44999.36081018519</v>
      </c>
      <c r="C865" s="1" t="n">
        <v>46103</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43092-2024</t>
        </is>
      </c>
      <c r="B866" s="1" t="n">
        <v>45567</v>
      </c>
      <c r="C866" s="1" t="n">
        <v>46103</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52435-2021</t>
        </is>
      </c>
      <c r="B867" s="1" t="n">
        <v>44466.34962962963</v>
      </c>
      <c r="C867" s="1" t="n">
        <v>46103</v>
      </c>
      <c r="D867" t="inlineStr">
        <is>
          <t>KALMAR LÄN</t>
        </is>
      </c>
      <c r="E867" t="inlineStr">
        <is>
          <t>VIMMERBY</t>
        </is>
      </c>
      <c r="G867" t="n">
        <v>2.8</v>
      </c>
      <c r="H867" t="n">
        <v>0</v>
      </c>
      <c r="I867" t="n">
        <v>0</v>
      </c>
      <c r="J867" t="n">
        <v>0</v>
      </c>
      <c r="K867" t="n">
        <v>0</v>
      </c>
      <c r="L867" t="n">
        <v>0</v>
      </c>
      <c r="M867" t="n">
        <v>0</v>
      </c>
      <c r="N867" t="n">
        <v>0</v>
      </c>
      <c r="O867" t="n">
        <v>0</v>
      </c>
      <c r="P867" t="n">
        <v>0</v>
      </c>
      <c r="Q867" t="n">
        <v>0</v>
      </c>
      <c r="R867" s="2" t="inlineStr"/>
    </row>
    <row r="868" ht="15" customHeight="1">
      <c r="A868" t="inlineStr">
        <is>
          <t>A 35127-2024</t>
        </is>
      </c>
      <c r="B868" s="1" t="n">
        <v>45530.33202546297</v>
      </c>
      <c r="C868" s="1" t="n">
        <v>46103</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60215-2022</t>
        </is>
      </c>
      <c r="B869" s="1" t="n">
        <v>44910.41346064815</v>
      </c>
      <c r="C869" s="1" t="n">
        <v>46103</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29441-2024</t>
        </is>
      </c>
      <c r="B870" s="1" t="n">
        <v>45483.82834490741</v>
      </c>
      <c r="C870" s="1" t="n">
        <v>46103</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6216-2025</t>
        </is>
      </c>
      <c r="B871" s="1" t="n">
        <v>45698.52806712963</v>
      </c>
      <c r="C871" s="1" t="n">
        <v>46103</v>
      </c>
      <c r="D871" t="inlineStr">
        <is>
          <t>KALMAR LÄN</t>
        </is>
      </c>
      <c r="E871" t="inlineStr">
        <is>
          <t>VIMMERBY</t>
        </is>
      </c>
      <c r="G871" t="n">
        <v>1.2</v>
      </c>
      <c r="H871" t="n">
        <v>0</v>
      </c>
      <c r="I871" t="n">
        <v>0</v>
      </c>
      <c r="J871" t="n">
        <v>0</v>
      </c>
      <c r="K871" t="n">
        <v>0</v>
      </c>
      <c r="L871" t="n">
        <v>0</v>
      </c>
      <c r="M871" t="n">
        <v>0</v>
      </c>
      <c r="N871" t="n">
        <v>0</v>
      </c>
      <c r="O871" t="n">
        <v>0</v>
      </c>
      <c r="P871" t="n">
        <v>0</v>
      </c>
      <c r="Q871" t="n">
        <v>0</v>
      </c>
      <c r="R871" s="2" t="inlineStr"/>
    </row>
    <row r="872" ht="15" customHeight="1">
      <c r="A872" t="inlineStr">
        <is>
          <t>A 62779-2023</t>
        </is>
      </c>
      <c r="B872" s="1" t="n">
        <v>45271.66576388889</v>
      </c>
      <c r="C872" s="1" t="n">
        <v>46103</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52294-2023</t>
        </is>
      </c>
      <c r="B873" s="1" t="n">
        <v>45224.60075231481</v>
      </c>
      <c r="C873" s="1" t="n">
        <v>46103</v>
      </c>
      <c r="D873" t="inlineStr">
        <is>
          <t>KALMAR LÄN</t>
        </is>
      </c>
      <c r="E873" t="inlineStr">
        <is>
          <t>VIMMERBY</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31013-2023</t>
        </is>
      </c>
      <c r="B874" s="1" t="n">
        <v>45113.56574074074</v>
      </c>
      <c r="C874" s="1" t="n">
        <v>46103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72067-2021</t>
        </is>
      </c>
      <c r="B875" s="1" t="n">
        <v>44540</v>
      </c>
      <c r="C875" s="1" t="n">
        <v>46103</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61538-2022</t>
        </is>
      </c>
      <c r="B876" s="1" t="n">
        <v>44916.55414351852</v>
      </c>
      <c r="C876" s="1" t="n">
        <v>46103</v>
      </c>
      <c r="D876" t="inlineStr">
        <is>
          <t>KALMAR LÄN</t>
        </is>
      </c>
      <c r="E876" t="inlineStr">
        <is>
          <t>VIMMERBY</t>
        </is>
      </c>
      <c r="G876" t="n">
        <v>1.5</v>
      </c>
      <c r="H876" t="n">
        <v>0</v>
      </c>
      <c r="I876" t="n">
        <v>0</v>
      </c>
      <c r="J876" t="n">
        <v>0</v>
      </c>
      <c r="K876" t="n">
        <v>0</v>
      </c>
      <c r="L876" t="n">
        <v>0</v>
      </c>
      <c r="M876" t="n">
        <v>0</v>
      </c>
      <c r="N876" t="n">
        <v>0</v>
      </c>
      <c r="O876" t="n">
        <v>0</v>
      </c>
      <c r="P876" t="n">
        <v>0</v>
      </c>
      <c r="Q876" t="n">
        <v>0</v>
      </c>
      <c r="R876" s="2" t="inlineStr"/>
    </row>
    <row r="877" ht="15" customHeight="1">
      <c r="A877" t="inlineStr">
        <is>
          <t>A 36155-2023</t>
        </is>
      </c>
      <c r="B877" s="1" t="n">
        <v>45149.60917824074</v>
      </c>
      <c r="C877" s="1" t="n">
        <v>46103</v>
      </c>
      <c r="D877" t="inlineStr">
        <is>
          <t>KALMAR LÄN</t>
        </is>
      </c>
      <c r="E877" t="inlineStr">
        <is>
          <t>VIMMERBY</t>
        </is>
      </c>
      <c r="G877" t="n">
        <v>5</v>
      </c>
      <c r="H877" t="n">
        <v>0</v>
      </c>
      <c r="I877" t="n">
        <v>0</v>
      </c>
      <c r="J877" t="n">
        <v>0</v>
      </c>
      <c r="K877" t="n">
        <v>0</v>
      </c>
      <c r="L877" t="n">
        <v>0</v>
      </c>
      <c r="M877" t="n">
        <v>0</v>
      </c>
      <c r="N877" t="n">
        <v>0</v>
      </c>
      <c r="O877" t="n">
        <v>0</v>
      </c>
      <c r="P877" t="n">
        <v>0</v>
      </c>
      <c r="Q877" t="n">
        <v>0</v>
      </c>
      <c r="R877" s="2" t="inlineStr"/>
    </row>
    <row r="878" ht="15" customHeight="1">
      <c r="A878" t="inlineStr">
        <is>
          <t>A 29173-2024</t>
        </is>
      </c>
      <c r="B878" s="1" t="n">
        <v>45482.52887731481</v>
      </c>
      <c r="C878" s="1" t="n">
        <v>46103</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53542-2022</t>
        </is>
      </c>
      <c r="B879" s="1" t="n">
        <v>44879.62173611111</v>
      </c>
      <c r="C879" s="1" t="n">
        <v>46103</v>
      </c>
      <c r="D879" t="inlineStr">
        <is>
          <t>KALMAR LÄN</t>
        </is>
      </c>
      <c r="E879" t="inlineStr">
        <is>
          <t>VIMMERBY</t>
        </is>
      </c>
      <c r="G879" t="n">
        <v>2.6</v>
      </c>
      <c r="H879" t="n">
        <v>0</v>
      </c>
      <c r="I879" t="n">
        <v>0</v>
      </c>
      <c r="J879" t="n">
        <v>0</v>
      </c>
      <c r="K879" t="n">
        <v>0</v>
      </c>
      <c r="L879" t="n">
        <v>0</v>
      </c>
      <c r="M879" t="n">
        <v>0</v>
      </c>
      <c r="N879" t="n">
        <v>0</v>
      </c>
      <c r="O879" t="n">
        <v>0</v>
      </c>
      <c r="P879" t="n">
        <v>0</v>
      </c>
      <c r="Q879" t="n">
        <v>0</v>
      </c>
      <c r="R879" s="2" t="inlineStr"/>
    </row>
    <row r="880" ht="15" customHeight="1">
      <c r="A880" t="inlineStr">
        <is>
          <t>A 6807-2025</t>
        </is>
      </c>
      <c r="B880" s="1" t="n">
        <v>45700.68672453704</v>
      </c>
      <c r="C880" s="1" t="n">
        <v>46103</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7047-2022</t>
        </is>
      </c>
      <c r="B881" s="1" t="n">
        <v>44603</v>
      </c>
      <c r="C881" s="1" t="n">
        <v>46103</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35711-2023</t>
        </is>
      </c>
      <c r="B882" s="1" t="n">
        <v>45147.67172453704</v>
      </c>
      <c r="C882" s="1" t="n">
        <v>46103</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5382-2023</t>
        </is>
      </c>
      <c r="B883" s="1" t="n">
        <v>44959.66407407408</v>
      </c>
      <c r="C883" s="1" t="n">
        <v>46103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40823-2023</t>
        </is>
      </c>
      <c r="B884" s="1" t="n">
        <v>45171.77335648148</v>
      </c>
      <c r="C884" s="1" t="n">
        <v>46103</v>
      </c>
      <c r="D884" t="inlineStr">
        <is>
          <t>KALMAR LÄN</t>
        </is>
      </c>
      <c r="E884" t="inlineStr">
        <is>
          <t>VIMMERBY</t>
        </is>
      </c>
      <c r="G884" t="n">
        <v>2.7</v>
      </c>
      <c r="H884" t="n">
        <v>0</v>
      </c>
      <c r="I884" t="n">
        <v>0</v>
      </c>
      <c r="J884" t="n">
        <v>0</v>
      </c>
      <c r="K884" t="n">
        <v>0</v>
      </c>
      <c r="L884" t="n">
        <v>0</v>
      </c>
      <c r="M884" t="n">
        <v>0</v>
      </c>
      <c r="N884" t="n">
        <v>0</v>
      </c>
      <c r="O884" t="n">
        <v>0</v>
      </c>
      <c r="P884" t="n">
        <v>0</v>
      </c>
      <c r="Q884" t="n">
        <v>0</v>
      </c>
      <c r="R884" s="2" t="inlineStr"/>
    </row>
    <row r="885" ht="15" customHeight="1">
      <c r="A885" t="inlineStr">
        <is>
          <t>A 6218-2025</t>
        </is>
      </c>
      <c r="B885" s="1" t="n">
        <v>45698.53336805556</v>
      </c>
      <c r="C885" s="1" t="n">
        <v>46103</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30920-2023</t>
        </is>
      </c>
      <c r="B886" s="1" t="n">
        <v>45113.43921296296</v>
      </c>
      <c r="C886" s="1" t="n">
        <v>46103</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6857-2023</t>
        </is>
      </c>
      <c r="B887" s="1" t="n">
        <v>44967.45122685185</v>
      </c>
      <c r="C887" s="1" t="n">
        <v>46103</v>
      </c>
      <c r="D887" t="inlineStr">
        <is>
          <t>KALMAR LÄN</t>
        </is>
      </c>
      <c r="E887" t="inlineStr">
        <is>
          <t>VIMMERBY</t>
        </is>
      </c>
      <c r="G887" t="n">
        <v>2.1</v>
      </c>
      <c r="H887" t="n">
        <v>0</v>
      </c>
      <c r="I887" t="n">
        <v>0</v>
      </c>
      <c r="J887" t="n">
        <v>0</v>
      </c>
      <c r="K887" t="n">
        <v>0</v>
      </c>
      <c r="L887" t="n">
        <v>0</v>
      </c>
      <c r="M887" t="n">
        <v>0</v>
      </c>
      <c r="N887" t="n">
        <v>0</v>
      </c>
      <c r="O887" t="n">
        <v>0</v>
      </c>
      <c r="P887" t="n">
        <v>0</v>
      </c>
      <c r="Q887" t="n">
        <v>0</v>
      </c>
      <c r="R887" s="2" t="inlineStr"/>
    </row>
    <row r="888" ht="15" customHeight="1">
      <c r="A888" t="inlineStr">
        <is>
          <t>A 5792-2023</t>
        </is>
      </c>
      <c r="B888" s="1" t="n">
        <v>44963.44769675926</v>
      </c>
      <c r="C888" s="1" t="n">
        <v>46103</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10303-2025</t>
        </is>
      </c>
      <c r="B889" s="1" t="n">
        <v>45720.44217592593</v>
      </c>
      <c r="C889" s="1" t="n">
        <v>46103</v>
      </c>
      <c r="D889" t="inlineStr">
        <is>
          <t>KALMAR LÄN</t>
        </is>
      </c>
      <c r="E889" t="inlineStr">
        <is>
          <t>VIMMERBY</t>
        </is>
      </c>
      <c r="G889" t="n">
        <v>0.9</v>
      </c>
      <c r="H889" t="n">
        <v>0</v>
      </c>
      <c r="I889" t="n">
        <v>0</v>
      </c>
      <c r="J889" t="n">
        <v>0</v>
      </c>
      <c r="K889" t="n">
        <v>0</v>
      </c>
      <c r="L889" t="n">
        <v>0</v>
      </c>
      <c r="M889" t="n">
        <v>0</v>
      </c>
      <c r="N889" t="n">
        <v>0</v>
      </c>
      <c r="O889" t="n">
        <v>0</v>
      </c>
      <c r="P889" t="n">
        <v>0</v>
      </c>
      <c r="Q889" t="n">
        <v>0</v>
      </c>
      <c r="R889" s="2" t="inlineStr"/>
    </row>
    <row r="890" ht="15" customHeight="1">
      <c r="A890" t="inlineStr">
        <is>
          <t>A 60110-2022</t>
        </is>
      </c>
      <c r="B890" s="1" t="n">
        <v>44909</v>
      </c>
      <c r="C890" s="1" t="n">
        <v>46103</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15394-2025</t>
        </is>
      </c>
      <c r="B891" s="1" t="n">
        <v>45747.43196759259</v>
      </c>
      <c r="C891" s="1" t="n">
        <v>46103</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15388-2025</t>
        </is>
      </c>
      <c r="B892" s="1" t="n">
        <v>45747.42633101852</v>
      </c>
      <c r="C892" s="1" t="n">
        <v>46103</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15391-2025</t>
        </is>
      </c>
      <c r="B893" s="1" t="n">
        <v>45747.42958333333</v>
      </c>
      <c r="C893" s="1" t="n">
        <v>46103</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6474-2025</t>
        </is>
      </c>
      <c r="B894" s="1" t="n">
        <v>45699.60055555555</v>
      </c>
      <c r="C894" s="1" t="n">
        <v>46103</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32919-2022</t>
        </is>
      </c>
      <c r="B895" s="1" t="n">
        <v>44784.62724537037</v>
      </c>
      <c r="C895" s="1" t="n">
        <v>46103</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56659-2023</t>
        </is>
      </c>
      <c r="B896" s="1" t="n">
        <v>45243.84869212963</v>
      </c>
      <c r="C896" s="1" t="n">
        <v>46103</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13015-2022</t>
        </is>
      </c>
      <c r="B897" s="1" t="n">
        <v>44643</v>
      </c>
      <c r="C897" s="1" t="n">
        <v>46103</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17968-2025</t>
        </is>
      </c>
      <c r="B898" s="1" t="n">
        <v>45761.35990740741</v>
      </c>
      <c r="C898" s="1" t="n">
        <v>46103</v>
      </c>
      <c r="D898" t="inlineStr">
        <is>
          <t>KALMAR LÄN</t>
        </is>
      </c>
      <c r="E898" t="inlineStr">
        <is>
          <t>VIMMERBY</t>
        </is>
      </c>
      <c r="G898" t="n">
        <v>3.3</v>
      </c>
      <c r="H898" t="n">
        <v>0</v>
      </c>
      <c r="I898" t="n">
        <v>0</v>
      </c>
      <c r="J898" t="n">
        <v>0</v>
      </c>
      <c r="K898" t="n">
        <v>0</v>
      </c>
      <c r="L898" t="n">
        <v>0</v>
      </c>
      <c r="M898" t="n">
        <v>0</v>
      </c>
      <c r="N898" t="n">
        <v>0</v>
      </c>
      <c r="O898" t="n">
        <v>0</v>
      </c>
      <c r="P898" t="n">
        <v>0</v>
      </c>
      <c r="Q898" t="n">
        <v>0</v>
      </c>
      <c r="R898" s="2" t="inlineStr"/>
    </row>
    <row r="899" ht="15" customHeight="1">
      <c r="A899" t="inlineStr">
        <is>
          <t>A 6028-2023</t>
        </is>
      </c>
      <c r="B899" s="1" t="n">
        <v>44964.44356481481</v>
      </c>
      <c r="C899" s="1" t="n">
        <v>46103</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55436-2023</t>
        </is>
      </c>
      <c r="B900" s="1" t="n">
        <v>45238.4328587963</v>
      </c>
      <c r="C900" s="1" t="n">
        <v>46103</v>
      </c>
      <c r="D900" t="inlineStr">
        <is>
          <t>KALMAR LÄN</t>
        </is>
      </c>
      <c r="E900" t="inlineStr">
        <is>
          <t>VIMMERBY</t>
        </is>
      </c>
      <c r="G900" t="n">
        <v>5.6</v>
      </c>
      <c r="H900" t="n">
        <v>0</v>
      </c>
      <c r="I900" t="n">
        <v>0</v>
      </c>
      <c r="J900" t="n">
        <v>0</v>
      </c>
      <c r="K900" t="n">
        <v>0</v>
      </c>
      <c r="L900" t="n">
        <v>0</v>
      </c>
      <c r="M900" t="n">
        <v>0</v>
      </c>
      <c r="N900" t="n">
        <v>0</v>
      </c>
      <c r="O900" t="n">
        <v>0</v>
      </c>
      <c r="P900" t="n">
        <v>0</v>
      </c>
      <c r="Q900" t="n">
        <v>0</v>
      </c>
      <c r="R900" s="2" t="inlineStr"/>
    </row>
    <row r="901" ht="15" customHeight="1">
      <c r="A901" t="inlineStr">
        <is>
          <t>A 56582-2022</t>
        </is>
      </c>
      <c r="B901" s="1" t="n">
        <v>44893</v>
      </c>
      <c r="C901" s="1" t="n">
        <v>46103</v>
      </c>
      <c r="D901" t="inlineStr">
        <is>
          <t>KALMAR LÄN</t>
        </is>
      </c>
      <c r="E901" t="inlineStr">
        <is>
          <t>VIMMERBY</t>
        </is>
      </c>
      <c r="G901" t="n">
        <v>2.2</v>
      </c>
      <c r="H901" t="n">
        <v>0</v>
      </c>
      <c r="I901" t="n">
        <v>0</v>
      </c>
      <c r="J901" t="n">
        <v>0</v>
      </c>
      <c r="K901" t="n">
        <v>0</v>
      </c>
      <c r="L901" t="n">
        <v>0</v>
      </c>
      <c r="M901" t="n">
        <v>0</v>
      </c>
      <c r="N901" t="n">
        <v>0</v>
      </c>
      <c r="O901" t="n">
        <v>0</v>
      </c>
      <c r="P901" t="n">
        <v>0</v>
      </c>
      <c r="Q901" t="n">
        <v>0</v>
      </c>
      <c r="R901" s="2" t="inlineStr"/>
    </row>
    <row r="902" ht="15" customHeight="1">
      <c r="A902" t="inlineStr">
        <is>
          <t>A 20-2025</t>
        </is>
      </c>
      <c r="B902" s="1" t="n">
        <v>45658.80232638889</v>
      </c>
      <c r="C902" s="1" t="n">
        <v>46103</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23-2025</t>
        </is>
      </c>
      <c r="B903" s="1" t="n">
        <v>45658.80827546296</v>
      </c>
      <c r="C903" s="1" t="n">
        <v>46103</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43962-2024</t>
        </is>
      </c>
      <c r="B904" s="1" t="n">
        <v>45572.48293981481</v>
      </c>
      <c r="C904" s="1" t="n">
        <v>46103</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35713-2023</t>
        </is>
      </c>
      <c r="B905" s="1" t="n">
        <v>45147</v>
      </c>
      <c r="C905" s="1" t="n">
        <v>46103</v>
      </c>
      <c r="D905" t="inlineStr">
        <is>
          <t>KALMAR LÄN</t>
        </is>
      </c>
      <c r="E905" t="inlineStr">
        <is>
          <t>VIMMERBY</t>
        </is>
      </c>
      <c r="G905" t="n">
        <v>1.6</v>
      </c>
      <c r="H905" t="n">
        <v>0</v>
      </c>
      <c r="I905" t="n">
        <v>0</v>
      </c>
      <c r="J905" t="n">
        <v>0</v>
      </c>
      <c r="K905" t="n">
        <v>0</v>
      </c>
      <c r="L905" t="n">
        <v>0</v>
      </c>
      <c r="M905" t="n">
        <v>0</v>
      </c>
      <c r="N905" t="n">
        <v>0</v>
      </c>
      <c r="O905" t="n">
        <v>0</v>
      </c>
      <c r="P905" t="n">
        <v>0</v>
      </c>
      <c r="Q905" t="n">
        <v>0</v>
      </c>
      <c r="R905" s="2" t="inlineStr"/>
    </row>
    <row r="906" ht="15" customHeight="1">
      <c r="A906" t="inlineStr">
        <is>
          <t>A 40147-2023</t>
        </is>
      </c>
      <c r="B906" s="1" t="n">
        <v>45169</v>
      </c>
      <c r="C906" s="1" t="n">
        <v>46103</v>
      </c>
      <c r="D906" t="inlineStr">
        <is>
          <t>KALMAR LÄN</t>
        </is>
      </c>
      <c r="E906" t="inlineStr">
        <is>
          <t>VIMMERBY</t>
        </is>
      </c>
      <c r="G906" t="n">
        <v>1.7</v>
      </c>
      <c r="H906" t="n">
        <v>0</v>
      </c>
      <c r="I906" t="n">
        <v>0</v>
      </c>
      <c r="J906" t="n">
        <v>0</v>
      </c>
      <c r="K906" t="n">
        <v>0</v>
      </c>
      <c r="L906" t="n">
        <v>0</v>
      </c>
      <c r="M906" t="n">
        <v>0</v>
      </c>
      <c r="N906" t="n">
        <v>0</v>
      </c>
      <c r="O906" t="n">
        <v>0</v>
      </c>
      <c r="P906" t="n">
        <v>0</v>
      </c>
      <c r="Q906" t="n">
        <v>0</v>
      </c>
      <c r="R906" s="2" t="inlineStr"/>
    </row>
    <row r="907" ht="15" customHeight="1">
      <c r="A907" t="inlineStr">
        <is>
          <t>A 50995-2022</t>
        </is>
      </c>
      <c r="B907" s="1" t="n">
        <v>44867</v>
      </c>
      <c r="C907" s="1" t="n">
        <v>46103</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27993-2022</t>
        </is>
      </c>
      <c r="B908" s="1" t="n">
        <v>44745.84396990741</v>
      </c>
      <c r="C908" s="1" t="n">
        <v>46103</v>
      </c>
      <c r="D908" t="inlineStr">
        <is>
          <t>KALMAR LÄN</t>
        </is>
      </c>
      <c r="E908" t="inlineStr">
        <is>
          <t>VIMMERBY</t>
        </is>
      </c>
      <c r="G908" t="n">
        <v>2.8</v>
      </c>
      <c r="H908" t="n">
        <v>0</v>
      </c>
      <c r="I908" t="n">
        <v>0</v>
      </c>
      <c r="J908" t="n">
        <v>0</v>
      </c>
      <c r="K908" t="n">
        <v>0</v>
      </c>
      <c r="L908" t="n">
        <v>0</v>
      </c>
      <c r="M908" t="n">
        <v>0</v>
      </c>
      <c r="N908" t="n">
        <v>0</v>
      </c>
      <c r="O908" t="n">
        <v>0</v>
      </c>
      <c r="P908" t="n">
        <v>0</v>
      </c>
      <c r="Q908" t="n">
        <v>0</v>
      </c>
      <c r="R908" s="2" t="inlineStr"/>
    </row>
    <row r="909" ht="15" customHeight="1">
      <c r="A909" t="inlineStr">
        <is>
          <t>A 57555-2024</t>
        </is>
      </c>
      <c r="B909" s="1" t="n">
        <v>45630.45069444444</v>
      </c>
      <c r="C909" s="1" t="n">
        <v>46103</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36014-2024</t>
        </is>
      </c>
      <c r="B910" s="1" t="n">
        <v>45533.56108796296</v>
      </c>
      <c r="C910" s="1" t="n">
        <v>46103</v>
      </c>
      <c r="D910" t="inlineStr">
        <is>
          <t>KALMAR LÄN</t>
        </is>
      </c>
      <c r="E910" t="inlineStr">
        <is>
          <t>VIMMERBY</t>
        </is>
      </c>
      <c r="G910" t="n">
        <v>2.3</v>
      </c>
      <c r="H910" t="n">
        <v>0</v>
      </c>
      <c r="I910" t="n">
        <v>0</v>
      </c>
      <c r="J910" t="n">
        <v>0</v>
      </c>
      <c r="K910" t="n">
        <v>0</v>
      </c>
      <c r="L910" t="n">
        <v>0</v>
      </c>
      <c r="M910" t="n">
        <v>0</v>
      </c>
      <c r="N910" t="n">
        <v>0</v>
      </c>
      <c r="O910" t="n">
        <v>0</v>
      </c>
      <c r="P910" t="n">
        <v>0</v>
      </c>
      <c r="Q910" t="n">
        <v>0</v>
      </c>
      <c r="R910" s="2" t="inlineStr"/>
    </row>
    <row r="911" ht="15" customHeight="1">
      <c r="A911" t="inlineStr">
        <is>
          <t>A 36030-2024</t>
        </is>
      </c>
      <c r="B911" s="1" t="n">
        <v>45533.58302083334</v>
      </c>
      <c r="C911" s="1" t="n">
        <v>46103</v>
      </c>
      <c r="D911" t="inlineStr">
        <is>
          <t>KALMAR LÄN</t>
        </is>
      </c>
      <c r="E911" t="inlineStr">
        <is>
          <t>VIMMERBY</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32865-2023</t>
        </is>
      </c>
      <c r="B912" s="1" t="n">
        <v>45124</v>
      </c>
      <c r="C912" s="1" t="n">
        <v>46103</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42918-2021</t>
        </is>
      </c>
      <c r="B913" s="1" t="n">
        <v>44431</v>
      </c>
      <c r="C913" s="1" t="n">
        <v>46103</v>
      </c>
      <c r="D913" t="inlineStr">
        <is>
          <t>KALMAR LÄN</t>
        </is>
      </c>
      <c r="E913" t="inlineStr">
        <is>
          <t>VIMMERBY</t>
        </is>
      </c>
      <c r="G913" t="n">
        <v>1.6</v>
      </c>
      <c r="H913" t="n">
        <v>0</v>
      </c>
      <c r="I913" t="n">
        <v>0</v>
      </c>
      <c r="J913" t="n">
        <v>0</v>
      </c>
      <c r="K913" t="n">
        <v>0</v>
      </c>
      <c r="L913" t="n">
        <v>0</v>
      </c>
      <c r="M913" t="n">
        <v>0</v>
      </c>
      <c r="N913" t="n">
        <v>0</v>
      </c>
      <c r="O913" t="n">
        <v>0</v>
      </c>
      <c r="P913" t="n">
        <v>0</v>
      </c>
      <c r="Q913" t="n">
        <v>0</v>
      </c>
      <c r="R913" s="2" t="inlineStr"/>
    </row>
    <row r="914" ht="15" customHeight="1">
      <c r="A914" t="inlineStr">
        <is>
          <t>A 22643-2023</t>
        </is>
      </c>
      <c r="B914" s="1" t="n">
        <v>45071</v>
      </c>
      <c r="C914" s="1" t="n">
        <v>46103</v>
      </c>
      <c r="D914" t="inlineStr">
        <is>
          <t>KALMAR LÄN</t>
        </is>
      </c>
      <c r="E914" t="inlineStr">
        <is>
          <t>VIMMERBY</t>
        </is>
      </c>
      <c r="G914" t="n">
        <v>3.9</v>
      </c>
      <c r="H914" t="n">
        <v>0</v>
      </c>
      <c r="I914" t="n">
        <v>0</v>
      </c>
      <c r="J914" t="n">
        <v>0</v>
      </c>
      <c r="K914" t="n">
        <v>0</v>
      </c>
      <c r="L914" t="n">
        <v>0</v>
      </c>
      <c r="M914" t="n">
        <v>0</v>
      </c>
      <c r="N914" t="n">
        <v>0</v>
      </c>
      <c r="O914" t="n">
        <v>0</v>
      </c>
      <c r="P914" t="n">
        <v>0</v>
      </c>
      <c r="Q914" t="n">
        <v>0</v>
      </c>
      <c r="R914" s="2" t="inlineStr"/>
    </row>
    <row r="915" ht="15" customHeight="1">
      <c r="A915" t="inlineStr">
        <is>
          <t>A 18669-2025</t>
        </is>
      </c>
      <c r="B915" s="1" t="n">
        <v>45763.59436342592</v>
      </c>
      <c r="C915" s="1" t="n">
        <v>46103</v>
      </c>
      <c r="D915" t="inlineStr">
        <is>
          <t>KALMAR LÄN</t>
        </is>
      </c>
      <c r="E915" t="inlineStr">
        <is>
          <t>VIMMERBY</t>
        </is>
      </c>
      <c r="G915" t="n">
        <v>2.7</v>
      </c>
      <c r="H915" t="n">
        <v>0</v>
      </c>
      <c r="I915" t="n">
        <v>0</v>
      </c>
      <c r="J915" t="n">
        <v>0</v>
      </c>
      <c r="K915" t="n">
        <v>0</v>
      </c>
      <c r="L915" t="n">
        <v>0</v>
      </c>
      <c r="M915" t="n">
        <v>0</v>
      </c>
      <c r="N915" t="n">
        <v>0</v>
      </c>
      <c r="O915" t="n">
        <v>0</v>
      </c>
      <c r="P915" t="n">
        <v>0</v>
      </c>
      <c r="Q915" t="n">
        <v>0</v>
      </c>
      <c r="R915" s="2" t="inlineStr"/>
    </row>
    <row r="916" ht="15" customHeight="1">
      <c r="A916" t="inlineStr">
        <is>
          <t>A 38780-2021</t>
        </is>
      </c>
      <c r="B916" s="1" t="n">
        <v>44410</v>
      </c>
      <c r="C916" s="1" t="n">
        <v>46103</v>
      </c>
      <c r="D916" t="inlineStr">
        <is>
          <t>KALMAR LÄN</t>
        </is>
      </c>
      <c r="E916" t="inlineStr">
        <is>
          <t>VIMMERBY</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29020-2024</t>
        </is>
      </c>
      <c r="B917" s="1" t="n">
        <v>45481.58048611111</v>
      </c>
      <c r="C917" s="1" t="n">
        <v>46103</v>
      </c>
      <c r="D917" t="inlineStr">
        <is>
          <t>KALMAR LÄN</t>
        </is>
      </c>
      <c r="E917" t="inlineStr">
        <is>
          <t>VIMMERBY</t>
        </is>
      </c>
      <c r="G917" t="n">
        <v>2.3</v>
      </c>
      <c r="H917" t="n">
        <v>0</v>
      </c>
      <c r="I917" t="n">
        <v>0</v>
      </c>
      <c r="J917" t="n">
        <v>0</v>
      </c>
      <c r="K917" t="n">
        <v>0</v>
      </c>
      <c r="L917" t="n">
        <v>0</v>
      </c>
      <c r="M917" t="n">
        <v>0</v>
      </c>
      <c r="N917" t="n">
        <v>0</v>
      </c>
      <c r="O917" t="n">
        <v>0</v>
      </c>
      <c r="P917" t="n">
        <v>0</v>
      </c>
      <c r="Q917" t="n">
        <v>0</v>
      </c>
      <c r="R917" s="2" t="inlineStr"/>
    </row>
    <row r="918" ht="15" customHeight="1">
      <c r="A918" t="inlineStr">
        <is>
          <t>A 30406-2023</t>
        </is>
      </c>
      <c r="B918" s="1" t="n">
        <v>45111.48787037037</v>
      </c>
      <c r="C918" s="1" t="n">
        <v>46103</v>
      </c>
      <c r="D918" t="inlineStr">
        <is>
          <t>KALMAR LÄN</t>
        </is>
      </c>
      <c r="E918" t="inlineStr">
        <is>
          <t>VIMMERBY</t>
        </is>
      </c>
      <c r="G918" t="n">
        <v>2.4</v>
      </c>
      <c r="H918" t="n">
        <v>0</v>
      </c>
      <c r="I918" t="n">
        <v>0</v>
      </c>
      <c r="J918" t="n">
        <v>0</v>
      </c>
      <c r="K918" t="n">
        <v>0</v>
      </c>
      <c r="L918" t="n">
        <v>0</v>
      </c>
      <c r="M918" t="n">
        <v>0</v>
      </c>
      <c r="N918" t="n">
        <v>0</v>
      </c>
      <c r="O918" t="n">
        <v>0</v>
      </c>
      <c r="P918" t="n">
        <v>0</v>
      </c>
      <c r="Q918" t="n">
        <v>0</v>
      </c>
      <c r="R918" s="2" t="inlineStr"/>
    </row>
    <row r="919">
      <c r="A919" t="inlineStr">
        <is>
          <t>A 13817-2024</t>
        </is>
      </c>
      <c r="B919" s="1" t="n">
        <v>45391.41976851852</v>
      </c>
      <c r="C919" s="1" t="n">
        <v>46103</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2026-03-22T11:31:09Z</dcterms:created>
  <dcterms:modified xmlns:dcterms="http://purl.org/dc/terms/" xmlns:xsi="http://www.w3.org/2001/XMLSchema-instance" xsi:type="dcterms:W3CDTF">2026-03-22T11:31:10Z</dcterms:modified>
</cp:coreProperties>
</file>