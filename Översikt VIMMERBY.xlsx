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46176</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46176</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46176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46176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46176</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46176</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55604-2025</t>
        </is>
      </c>
      <c r="B13" s="1" t="n">
        <v>45971</v>
      </c>
      <c r="C13" s="1" t="n">
        <v>46176</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46176</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46176</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32645-2023</t>
        </is>
      </c>
      <c r="B16" s="1" t="n">
        <v>45121.60543981481</v>
      </c>
      <c r="C16" s="1" t="n">
        <v>46176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37901-2022</t>
        </is>
      </c>
      <c r="B17" s="1" t="n">
        <v>44811</v>
      </c>
      <c r="C17" s="1" t="n">
        <v>46176</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46176</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46176</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46176</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46176</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46176</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46176</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46176</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46176</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14426-2026</t>
        </is>
      </c>
      <c r="B26" s="1" t="n">
        <v>46100.46956018519</v>
      </c>
      <c r="C26" s="1" t="n">
        <v>46176</v>
      </c>
      <c r="D26" t="inlineStr">
        <is>
          <t>KALMAR LÄN</t>
        </is>
      </c>
      <c r="E26" t="inlineStr">
        <is>
          <t>VIMMERBY</t>
        </is>
      </c>
      <c r="F26" t="inlineStr">
        <is>
          <t>Kyrkan</t>
        </is>
      </c>
      <c r="G26" t="n">
        <v>8.6</v>
      </c>
      <c r="H26" t="n">
        <v>1</v>
      </c>
      <c r="I26" t="n">
        <v>0</v>
      </c>
      <c r="J26" t="n">
        <v>1</v>
      </c>
      <c r="K26" t="n">
        <v>1</v>
      </c>
      <c r="L26" t="n">
        <v>0</v>
      </c>
      <c r="M26" t="n">
        <v>0</v>
      </c>
      <c r="N26" t="n">
        <v>0</v>
      </c>
      <c r="O26" t="n">
        <v>2</v>
      </c>
      <c r="P26" t="n">
        <v>1</v>
      </c>
      <c r="Q26" t="n">
        <v>2</v>
      </c>
      <c r="R26" s="2" t="inlineStr">
        <is>
          <t>Knärot
Tallticka</t>
        </is>
      </c>
      <c r="S26">
        <f>HYPERLINK("https://klasma.github.io/Logging_0884/artfynd/A 14426-2026 artfynd.xlsx", "A 14426-2026")</f>
        <v/>
      </c>
      <c r="T26">
        <f>HYPERLINK("https://klasma.github.io/Logging_0884/kartor/A 14426-2026 karta.png", "A 14426-2026")</f>
        <v/>
      </c>
      <c r="U26">
        <f>HYPERLINK("https://klasma.github.io/Logging_0884/knärot/A 14426-2026 karta knärot.png", "A 14426-2026")</f>
        <v/>
      </c>
      <c r="V26">
        <f>HYPERLINK("https://klasma.github.io/Logging_0884/klagomål/A 14426-2026 FSC-klagomål.docx", "A 14426-2026")</f>
        <v/>
      </c>
      <c r="W26">
        <f>HYPERLINK("https://klasma.github.io/Logging_0884/klagomålsmail/A 14426-2026 FSC-klagomål mail.docx", "A 14426-2026")</f>
        <v/>
      </c>
      <c r="X26">
        <f>HYPERLINK("https://klasma.github.io/Logging_0884/tillsyn/A 14426-2026 tillsynsbegäran.docx", "A 14426-2026")</f>
        <v/>
      </c>
      <c r="Y26">
        <f>HYPERLINK("https://klasma.github.io/Logging_0884/tillsynsmail/A 14426-2026 tillsynsbegäran mail.docx", "A 14426-2026")</f>
        <v/>
      </c>
    </row>
    <row r="27" ht="15" customHeight="1">
      <c r="A27" t="inlineStr">
        <is>
          <t>A 42802-2025</t>
        </is>
      </c>
      <c r="B27" s="1" t="n">
        <v>45908</v>
      </c>
      <c r="C27" s="1" t="n">
        <v>46176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25155-2026</t>
        </is>
      </c>
      <c r="B28" s="1" t="n">
        <v>46175.44809027778</v>
      </c>
      <c r="C28" s="1" t="n">
        <v>46176</v>
      </c>
      <c r="D28" t="inlineStr">
        <is>
          <t>KALMAR LÄN</t>
        </is>
      </c>
      <c r="E28" t="inlineStr">
        <is>
          <t>VIMMERBY</t>
        </is>
      </c>
      <c r="G28" t="n">
        <v>2.9</v>
      </c>
      <c r="H28" t="n">
        <v>0</v>
      </c>
      <c r="I28" t="n">
        <v>1</v>
      </c>
      <c r="J28" t="n">
        <v>0</v>
      </c>
      <c r="K28" t="n">
        <v>0</v>
      </c>
      <c r="L28" t="n">
        <v>1</v>
      </c>
      <c r="M28" t="n">
        <v>0</v>
      </c>
      <c r="N28" t="n">
        <v>0</v>
      </c>
      <c r="O28" t="n">
        <v>1</v>
      </c>
      <c r="P28" t="n">
        <v>1</v>
      </c>
      <c r="Q28" t="n">
        <v>2</v>
      </c>
      <c r="R28" s="2" t="inlineStr">
        <is>
          <t>Ryl
Grönpyrola</t>
        </is>
      </c>
      <c r="S28">
        <f>HYPERLINK("https://klasma.github.io/Logging_0884/artfynd/A 25155-2026 artfynd.xlsx", "A 25155-2026")</f>
        <v/>
      </c>
      <c r="T28">
        <f>HYPERLINK("https://klasma.github.io/Logging_0884/kartor/A 25155-2026 karta.png", "A 25155-2026")</f>
        <v/>
      </c>
      <c r="V28">
        <f>HYPERLINK("https://klasma.github.io/Logging_0884/klagomål/A 25155-2026 FSC-klagomål.docx", "A 25155-2026")</f>
        <v/>
      </c>
      <c r="W28">
        <f>HYPERLINK("https://klasma.github.io/Logging_0884/klagomålsmail/A 25155-2026 FSC-klagomål mail.docx", "A 25155-2026")</f>
        <v/>
      </c>
      <c r="X28">
        <f>HYPERLINK("https://klasma.github.io/Logging_0884/tillsyn/A 25155-2026 tillsynsbegäran.docx", "A 25155-2026")</f>
        <v/>
      </c>
      <c r="Y28">
        <f>HYPERLINK("https://klasma.github.io/Logging_0884/tillsynsmail/A 25155-2026 tillsynsbegäran mail.docx", "A 25155-2026")</f>
        <v/>
      </c>
    </row>
    <row r="29" ht="15" customHeight="1">
      <c r="A29" t="inlineStr">
        <is>
          <t>A 53787-2025</t>
        </is>
      </c>
      <c r="B29" s="1" t="n">
        <v>45960</v>
      </c>
      <c r="C29" s="1" t="n">
        <v>46176</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46176</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46176</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46176</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46176</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46176</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46176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46176</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46176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46176</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40083-2023</t>
        </is>
      </c>
      <c r="B39" s="1" t="n">
        <v>45168</v>
      </c>
      <c r="C39" s="1" t="n">
        <v>46176</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46176</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46176</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46176</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53404-2025</t>
        </is>
      </c>
      <c r="B43" s="1" t="n">
        <v>45959.57126157408</v>
      </c>
      <c r="C43" s="1" t="n">
        <v>46176</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53400-2025</t>
        </is>
      </c>
      <c r="B44" s="1" t="n">
        <v>45959.56684027778</v>
      </c>
      <c r="C44" s="1" t="n">
        <v>46176</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32985-2023</t>
        </is>
      </c>
      <c r="B45" s="1" t="n">
        <v>45125</v>
      </c>
      <c r="C45" s="1" t="n">
        <v>46176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55384-2025</t>
        </is>
      </c>
      <c r="B46" s="1" t="n">
        <v>45971.43178240741</v>
      </c>
      <c r="C46" s="1" t="n">
        <v>46176</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15122-2024</t>
        </is>
      </c>
      <c r="B47" s="1" t="n">
        <v>45399.71412037037</v>
      </c>
      <c r="C47" s="1" t="n">
        <v>46176</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57062-2025</t>
        </is>
      </c>
      <c r="B48" s="1" t="n">
        <v>45979.37598379629</v>
      </c>
      <c r="C48" s="1" t="n">
        <v>46176</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37930-2021</t>
        </is>
      </c>
      <c r="B49" s="1" t="n">
        <v>44403</v>
      </c>
      <c r="C49" s="1" t="n">
        <v>46176</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46176</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46176</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1201-2025</t>
        </is>
      </c>
      <c r="B52" s="1" t="n">
        <v>45667</v>
      </c>
      <c r="C52" s="1" t="n">
        <v>46176</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29183-2025</t>
        </is>
      </c>
      <c r="B53" s="1" t="n">
        <v>45821</v>
      </c>
      <c r="C53" s="1" t="n">
        <v>46176</v>
      </c>
      <c r="D53" t="inlineStr">
        <is>
          <t>KALMAR LÄN</t>
        </is>
      </c>
      <c r="E53" t="inlineStr">
        <is>
          <t>VIMMERBY</t>
        </is>
      </c>
      <c r="G53" t="n">
        <v>2.7</v>
      </c>
      <c r="H53" t="n">
        <v>0</v>
      </c>
      <c r="I53" t="n">
        <v>1</v>
      </c>
      <c r="J53" t="n">
        <v>0</v>
      </c>
      <c r="K53" t="n">
        <v>0</v>
      </c>
      <c r="L53" t="n">
        <v>0</v>
      </c>
      <c r="M53" t="n">
        <v>0</v>
      </c>
      <c r="N53" t="n">
        <v>0</v>
      </c>
      <c r="O53" t="n">
        <v>0</v>
      </c>
      <c r="P53" t="n">
        <v>0</v>
      </c>
      <c r="Q53" t="n">
        <v>1</v>
      </c>
      <c r="R53" s="2" t="inlineStr">
        <is>
          <t>Sårläka</t>
        </is>
      </c>
      <c r="S53">
        <f>HYPERLINK("https://klasma.github.io/Logging_0884/artfynd/A 29183-2025 artfynd.xlsx", "A 29183-2025")</f>
        <v/>
      </c>
      <c r="T53">
        <f>HYPERLINK("https://klasma.github.io/Logging_0884/kartor/A 29183-2025 karta.png", "A 29183-2025")</f>
        <v/>
      </c>
      <c r="V53">
        <f>HYPERLINK("https://klasma.github.io/Logging_0884/klagomål/A 29183-2025 FSC-klagomål.docx", "A 29183-2025")</f>
        <v/>
      </c>
      <c r="W53">
        <f>HYPERLINK("https://klasma.github.io/Logging_0884/klagomålsmail/A 29183-2025 FSC-klagomål mail.docx", "A 29183-2025")</f>
        <v/>
      </c>
      <c r="X53">
        <f>HYPERLINK("https://klasma.github.io/Logging_0884/tillsyn/A 29183-2025 tillsynsbegäran.docx", "A 29183-2025")</f>
        <v/>
      </c>
      <c r="Y53">
        <f>HYPERLINK("https://klasma.github.io/Logging_0884/tillsynsmail/A 29183-2025 tillsynsbegäran mail.docx", "A 29183-2025")</f>
        <v/>
      </c>
    </row>
    <row r="54" ht="15" customHeight="1">
      <c r="A54" t="inlineStr">
        <is>
          <t>A 47205-2021</t>
        </is>
      </c>
      <c r="B54" s="1" t="n">
        <v>44447</v>
      </c>
      <c r="C54" s="1" t="n">
        <v>46176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46176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46176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46176</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46176</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46176</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46176</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46176</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46176</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46176</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46176</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56378-2021</t>
        </is>
      </c>
      <c r="B65" s="1" t="n">
        <v>44480</v>
      </c>
      <c r="C65" s="1" t="n">
        <v>46176</v>
      </c>
      <c r="D65" t="inlineStr">
        <is>
          <t>KALMAR LÄN</t>
        </is>
      </c>
      <c r="E65" t="inlineStr">
        <is>
          <t>VIMMERBY</t>
        </is>
      </c>
      <c r="G65" t="n">
        <v>1.1</v>
      </c>
      <c r="H65" t="n">
        <v>0</v>
      </c>
      <c r="I65" t="n">
        <v>0</v>
      </c>
      <c r="J65" t="n">
        <v>0</v>
      </c>
      <c r="K65" t="n">
        <v>0</v>
      </c>
      <c r="L65" t="n">
        <v>0</v>
      </c>
      <c r="M65" t="n">
        <v>0</v>
      </c>
      <c r="N65" t="n">
        <v>0</v>
      </c>
      <c r="O65" t="n">
        <v>0</v>
      </c>
      <c r="P65" t="n">
        <v>0</v>
      </c>
      <c r="Q65" t="n">
        <v>0</v>
      </c>
      <c r="R65" s="2" t="inlineStr"/>
    </row>
    <row r="66" ht="15" customHeight="1">
      <c r="A66" t="inlineStr">
        <is>
          <t>A 3426-2022</t>
        </is>
      </c>
      <c r="B66" s="1" t="n">
        <v>44585.51829861111</v>
      </c>
      <c r="C66" s="1" t="n">
        <v>46176</v>
      </c>
      <c r="D66" t="inlineStr">
        <is>
          <t>KALMAR LÄN</t>
        </is>
      </c>
      <c r="E66" t="inlineStr">
        <is>
          <t>VIMMERBY</t>
        </is>
      </c>
      <c r="G66" t="n">
        <v>1.8</v>
      </c>
      <c r="H66" t="n">
        <v>0</v>
      </c>
      <c r="I66" t="n">
        <v>0</v>
      </c>
      <c r="J66" t="n">
        <v>0</v>
      </c>
      <c r="K66" t="n">
        <v>0</v>
      </c>
      <c r="L66" t="n">
        <v>0</v>
      </c>
      <c r="M66" t="n">
        <v>0</v>
      </c>
      <c r="N66" t="n">
        <v>0</v>
      </c>
      <c r="O66" t="n">
        <v>0</v>
      </c>
      <c r="P66" t="n">
        <v>0</v>
      </c>
      <c r="Q66" t="n">
        <v>0</v>
      </c>
      <c r="R66" s="2" t="inlineStr"/>
    </row>
    <row r="67" ht="15" customHeight="1">
      <c r="A67" t="inlineStr">
        <is>
          <t>A 40728-2022</t>
        </is>
      </c>
      <c r="B67" s="1" t="n">
        <v>44824.53434027778</v>
      </c>
      <c r="C67" s="1" t="n">
        <v>46176</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40073-2021</t>
        </is>
      </c>
      <c r="B68" s="1" t="n">
        <v>44418</v>
      </c>
      <c r="C68" s="1" t="n">
        <v>46176</v>
      </c>
      <c r="D68" t="inlineStr">
        <is>
          <t>KALMAR LÄN</t>
        </is>
      </c>
      <c r="E68" t="inlineStr">
        <is>
          <t>VIMMERBY</t>
        </is>
      </c>
      <c r="G68" t="n">
        <v>1</v>
      </c>
      <c r="H68" t="n">
        <v>0</v>
      </c>
      <c r="I68" t="n">
        <v>0</v>
      </c>
      <c r="J68" t="n">
        <v>0</v>
      </c>
      <c r="K68" t="n">
        <v>0</v>
      </c>
      <c r="L68" t="n">
        <v>0</v>
      </c>
      <c r="M68" t="n">
        <v>0</v>
      </c>
      <c r="N68" t="n">
        <v>0</v>
      </c>
      <c r="O68" t="n">
        <v>0</v>
      </c>
      <c r="P68" t="n">
        <v>0</v>
      </c>
      <c r="Q68" t="n">
        <v>0</v>
      </c>
      <c r="R68" s="2" t="inlineStr"/>
    </row>
    <row r="69" ht="15" customHeight="1">
      <c r="A69" t="inlineStr">
        <is>
          <t>A 33051-2022</t>
        </is>
      </c>
      <c r="B69" s="1" t="n">
        <v>44785.40800925926</v>
      </c>
      <c r="C69" s="1" t="n">
        <v>46176</v>
      </c>
      <c r="D69" t="inlineStr">
        <is>
          <t>KALMAR LÄN</t>
        </is>
      </c>
      <c r="E69" t="inlineStr">
        <is>
          <t>VIMMERBY</t>
        </is>
      </c>
      <c r="G69" t="n">
        <v>0.3</v>
      </c>
      <c r="H69" t="n">
        <v>0</v>
      </c>
      <c r="I69" t="n">
        <v>0</v>
      </c>
      <c r="J69" t="n">
        <v>0</v>
      </c>
      <c r="K69" t="n">
        <v>0</v>
      </c>
      <c r="L69" t="n">
        <v>0</v>
      </c>
      <c r="M69" t="n">
        <v>0</v>
      </c>
      <c r="N69" t="n">
        <v>0</v>
      </c>
      <c r="O69" t="n">
        <v>0</v>
      </c>
      <c r="P69" t="n">
        <v>0</v>
      </c>
      <c r="Q69" t="n">
        <v>0</v>
      </c>
      <c r="R69" s="2" t="inlineStr"/>
    </row>
    <row r="70" ht="15" customHeight="1">
      <c r="A70" t="inlineStr">
        <is>
          <t>A 41438-2022</t>
        </is>
      </c>
      <c r="B70" s="1" t="n">
        <v>44826.68010416667</v>
      </c>
      <c r="C70" s="1" t="n">
        <v>46176</v>
      </c>
      <c r="D70" t="inlineStr">
        <is>
          <t>KALMAR LÄN</t>
        </is>
      </c>
      <c r="E70" t="inlineStr">
        <is>
          <t>VIMMERBY</t>
        </is>
      </c>
      <c r="G70" t="n">
        <v>3.1</v>
      </c>
      <c r="H70" t="n">
        <v>0</v>
      </c>
      <c r="I70" t="n">
        <v>0</v>
      </c>
      <c r="J70" t="n">
        <v>0</v>
      </c>
      <c r="K70" t="n">
        <v>0</v>
      </c>
      <c r="L70" t="n">
        <v>0</v>
      </c>
      <c r="M70" t="n">
        <v>0</v>
      </c>
      <c r="N70" t="n">
        <v>0</v>
      </c>
      <c r="O70" t="n">
        <v>0</v>
      </c>
      <c r="P70" t="n">
        <v>0</v>
      </c>
      <c r="Q70" t="n">
        <v>0</v>
      </c>
      <c r="R70" s="2" t="inlineStr"/>
    </row>
    <row r="71" ht="15" customHeight="1">
      <c r="A71" t="inlineStr">
        <is>
          <t>A 2183-2022</t>
        </is>
      </c>
      <c r="B71" s="1" t="n">
        <v>44578.47597222222</v>
      </c>
      <c r="C71" s="1" t="n">
        <v>46176</v>
      </c>
      <c r="D71" t="inlineStr">
        <is>
          <t>KALMAR LÄN</t>
        </is>
      </c>
      <c r="E71" t="inlineStr">
        <is>
          <t>VIMMERBY</t>
        </is>
      </c>
      <c r="G71" t="n">
        <v>4.8</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46176</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50809-2022</t>
        </is>
      </c>
      <c r="B73" s="1" t="n">
        <v>44862</v>
      </c>
      <c r="C73" s="1" t="n">
        <v>46176</v>
      </c>
      <c r="D73" t="inlineStr">
        <is>
          <t>KALMAR LÄN</t>
        </is>
      </c>
      <c r="E73" t="inlineStr">
        <is>
          <t>VIMMERBY</t>
        </is>
      </c>
      <c r="G73" t="n">
        <v>3.7</v>
      </c>
      <c r="H73" t="n">
        <v>0</v>
      </c>
      <c r="I73" t="n">
        <v>0</v>
      </c>
      <c r="J73" t="n">
        <v>0</v>
      </c>
      <c r="K73" t="n">
        <v>0</v>
      </c>
      <c r="L73" t="n">
        <v>0</v>
      </c>
      <c r="M73" t="n">
        <v>0</v>
      </c>
      <c r="N73" t="n">
        <v>0</v>
      </c>
      <c r="O73" t="n">
        <v>0</v>
      </c>
      <c r="P73" t="n">
        <v>0</v>
      </c>
      <c r="Q73" t="n">
        <v>0</v>
      </c>
      <c r="R73" s="2" t="inlineStr"/>
    </row>
    <row r="74" ht="15" customHeight="1">
      <c r="A74" t="inlineStr">
        <is>
          <t>A 7049-2022</t>
        </is>
      </c>
      <c r="B74" s="1" t="n">
        <v>44603</v>
      </c>
      <c r="C74" s="1" t="n">
        <v>46176</v>
      </c>
      <c r="D74" t="inlineStr">
        <is>
          <t>KALMAR LÄN</t>
        </is>
      </c>
      <c r="E74" t="inlineStr">
        <is>
          <t>VIMMERBY</t>
        </is>
      </c>
      <c r="G74" t="n">
        <v>2.3</v>
      </c>
      <c r="H74" t="n">
        <v>0</v>
      </c>
      <c r="I74" t="n">
        <v>0</v>
      </c>
      <c r="J74" t="n">
        <v>0</v>
      </c>
      <c r="K74" t="n">
        <v>0</v>
      </c>
      <c r="L74" t="n">
        <v>0</v>
      </c>
      <c r="M74" t="n">
        <v>0</v>
      </c>
      <c r="N74" t="n">
        <v>0</v>
      </c>
      <c r="O74" t="n">
        <v>0</v>
      </c>
      <c r="P74" t="n">
        <v>0</v>
      </c>
      <c r="Q74" t="n">
        <v>0</v>
      </c>
      <c r="R74" s="2" t="inlineStr"/>
    </row>
    <row r="75" ht="15" customHeight="1">
      <c r="A75" t="inlineStr">
        <is>
          <t>A 4296-2022</t>
        </is>
      </c>
      <c r="B75" s="1" t="n">
        <v>44588</v>
      </c>
      <c r="C75" s="1" t="n">
        <v>46176</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38086-2021</t>
        </is>
      </c>
      <c r="B76" s="1" t="n">
        <v>44404.87505787037</v>
      </c>
      <c r="C76" s="1" t="n">
        <v>46176</v>
      </c>
      <c r="D76" t="inlineStr">
        <is>
          <t>KALMAR LÄN</t>
        </is>
      </c>
      <c r="E76" t="inlineStr">
        <is>
          <t>VIMMERBY</t>
        </is>
      </c>
      <c r="G76" t="n">
        <v>4.4</v>
      </c>
      <c r="H76" t="n">
        <v>0</v>
      </c>
      <c r="I76" t="n">
        <v>0</v>
      </c>
      <c r="J76" t="n">
        <v>0</v>
      </c>
      <c r="K76" t="n">
        <v>0</v>
      </c>
      <c r="L76" t="n">
        <v>0</v>
      </c>
      <c r="M76" t="n">
        <v>0</v>
      </c>
      <c r="N76" t="n">
        <v>0</v>
      </c>
      <c r="O76" t="n">
        <v>0</v>
      </c>
      <c r="P76" t="n">
        <v>0</v>
      </c>
      <c r="Q76" t="n">
        <v>0</v>
      </c>
      <c r="R76" s="2" t="inlineStr"/>
    </row>
    <row r="77" ht="15" customHeight="1">
      <c r="A77" t="inlineStr">
        <is>
          <t>A 57416-2021</t>
        </is>
      </c>
      <c r="B77" s="1" t="n">
        <v>44483.58295138889</v>
      </c>
      <c r="C77" s="1" t="n">
        <v>46176</v>
      </c>
      <c r="D77" t="inlineStr">
        <is>
          <t>KALMAR LÄN</t>
        </is>
      </c>
      <c r="E77" t="inlineStr">
        <is>
          <t>VIMMERBY</t>
        </is>
      </c>
      <c r="G77" t="n">
        <v>2.9</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46176</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59791-2021</t>
        </is>
      </c>
      <c r="B79" s="1" t="n">
        <v>44494</v>
      </c>
      <c r="C79" s="1" t="n">
        <v>46176</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46176</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64923-2021</t>
        </is>
      </c>
      <c r="B81" s="1" t="n">
        <v>44512.70245370371</v>
      </c>
      <c r="C81" s="1" t="n">
        <v>46176</v>
      </c>
      <c r="D81" t="inlineStr">
        <is>
          <t>KALMAR LÄN</t>
        </is>
      </c>
      <c r="E81" t="inlineStr">
        <is>
          <t>VIMMERBY</t>
        </is>
      </c>
      <c r="G81" t="n">
        <v>1</v>
      </c>
      <c r="H81" t="n">
        <v>0</v>
      </c>
      <c r="I81" t="n">
        <v>0</v>
      </c>
      <c r="J81" t="n">
        <v>0</v>
      </c>
      <c r="K81" t="n">
        <v>0</v>
      </c>
      <c r="L81" t="n">
        <v>0</v>
      </c>
      <c r="M81" t="n">
        <v>0</v>
      </c>
      <c r="N81" t="n">
        <v>0</v>
      </c>
      <c r="O81" t="n">
        <v>0</v>
      </c>
      <c r="P81" t="n">
        <v>0</v>
      </c>
      <c r="Q81" t="n">
        <v>0</v>
      </c>
      <c r="R81" s="2" t="inlineStr"/>
    </row>
    <row r="82" ht="15" customHeight="1">
      <c r="A82" t="inlineStr">
        <is>
          <t>A 33829-2022</t>
        </is>
      </c>
      <c r="B82" s="1" t="n">
        <v>44790</v>
      </c>
      <c r="C82" s="1" t="n">
        <v>46176</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68840-2021</t>
        </is>
      </c>
      <c r="B83" s="1" t="n">
        <v>44530.38055555556</v>
      </c>
      <c r="C83" s="1" t="n">
        <v>46176</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4118-2022</t>
        </is>
      </c>
      <c r="B84" s="1" t="n">
        <v>44588</v>
      </c>
      <c r="C84" s="1" t="n">
        <v>46176</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4126-2022</t>
        </is>
      </c>
      <c r="B85" s="1" t="n">
        <v>44588</v>
      </c>
      <c r="C85" s="1" t="n">
        <v>46176</v>
      </c>
      <c r="D85" t="inlineStr">
        <is>
          <t>KALMAR LÄN</t>
        </is>
      </c>
      <c r="E85" t="inlineStr">
        <is>
          <t>VIMMERBY</t>
        </is>
      </c>
      <c r="G85" t="n">
        <v>0.6</v>
      </c>
      <c r="H85" t="n">
        <v>0</v>
      </c>
      <c r="I85" t="n">
        <v>0</v>
      </c>
      <c r="J85" t="n">
        <v>0</v>
      </c>
      <c r="K85" t="n">
        <v>0</v>
      </c>
      <c r="L85" t="n">
        <v>0</v>
      </c>
      <c r="M85" t="n">
        <v>0</v>
      </c>
      <c r="N85" t="n">
        <v>0</v>
      </c>
      <c r="O85" t="n">
        <v>0</v>
      </c>
      <c r="P85" t="n">
        <v>0</v>
      </c>
      <c r="Q85" t="n">
        <v>0</v>
      </c>
      <c r="R85" s="2" t="inlineStr"/>
    </row>
    <row r="86" ht="15" customHeight="1">
      <c r="A86" t="inlineStr">
        <is>
          <t>A 33820-2022</t>
        </is>
      </c>
      <c r="B86" s="1" t="n">
        <v>44790</v>
      </c>
      <c r="C86" s="1" t="n">
        <v>46176</v>
      </c>
      <c r="D86" t="inlineStr">
        <is>
          <t>KALMAR LÄN</t>
        </is>
      </c>
      <c r="E86" t="inlineStr">
        <is>
          <t>VIMMERBY</t>
        </is>
      </c>
      <c r="G86" t="n">
        <v>3</v>
      </c>
      <c r="H86" t="n">
        <v>0</v>
      </c>
      <c r="I86" t="n">
        <v>0</v>
      </c>
      <c r="J86" t="n">
        <v>0</v>
      </c>
      <c r="K86" t="n">
        <v>0</v>
      </c>
      <c r="L86" t="n">
        <v>0</v>
      </c>
      <c r="M86" t="n">
        <v>0</v>
      </c>
      <c r="N86" t="n">
        <v>0</v>
      </c>
      <c r="O86" t="n">
        <v>0</v>
      </c>
      <c r="P86" t="n">
        <v>0</v>
      </c>
      <c r="Q86" t="n">
        <v>0</v>
      </c>
      <c r="R86" s="2" t="inlineStr"/>
    </row>
    <row r="87" ht="15" customHeight="1">
      <c r="A87" t="inlineStr">
        <is>
          <t>A 33824-2022</t>
        </is>
      </c>
      <c r="B87" s="1" t="n">
        <v>44790.47628472222</v>
      </c>
      <c r="C87" s="1" t="n">
        <v>46176</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55297-2021</t>
        </is>
      </c>
      <c r="B88" s="1" t="n">
        <v>44475</v>
      </c>
      <c r="C88" s="1" t="n">
        <v>46176</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35531-2021</t>
        </is>
      </c>
      <c r="B89" s="1" t="n">
        <v>44385</v>
      </c>
      <c r="C89" s="1" t="n">
        <v>46176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38789-2021</t>
        </is>
      </c>
      <c r="B90" s="1" t="n">
        <v>44410.71038194445</v>
      </c>
      <c r="C90" s="1" t="n">
        <v>46176</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16290-2022</t>
        </is>
      </c>
      <c r="B91" s="1" t="n">
        <v>44670</v>
      </c>
      <c r="C91" s="1" t="n">
        <v>46176</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30682-2021</t>
        </is>
      </c>
      <c r="B92" s="1" t="n">
        <v>44365</v>
      </c>
      <c r="C92" s="1" t="n">
        <v>46176</v>
      </c>
      <c r="D92" t="inlineStr">
        <is>
          <t>KALMAR LÄN</t>
        </is>
      </c>
      <c r="E92" t="inlineStr">
        <is>
          <t>VIMMERBY</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25049-2022</t>
        </is>
      </c>
      <c r="B93" s="1" t="n">
        <v>44729.28226851852</v>
      </c>
      <c r="C93" s="1" t="n">
        <v>46176</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46176</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46176</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31533-2022</t>
        </is>
      </c>
      <c r="B96" s="1" t="n">
        <v>44774</v>
      </c>
      <c r="C96" s="1" t="n">
        <v>46176</v>
      </c>
      <c r="D96" t="inlineStr">
        <is>
          <t>KALMAR LÄN</t>
        </is>
      </c>
      <c r="E96" t="inlineStr">
        <is>
          <t>VIMMERBY</t>
        </is>
      </c>
      <c r="G96" t="n">
        <v>2.5</v>
      </c>
      <c r="H96" t="n">
        <v>0</v>
      </c>
      <c r="I96" t="n">
        <v>0</v>
      </c>
      <c r="J96" t="n">
        <v>0</v>
      </c>
      <c r="K96" t="n">
        <v>0</v>
      </c>
      <c r="L96" t="n">
        <v>0</v>
      </c>
      <c r="M96" t="n">
        <v>0</v>
      </c>
      <c r="N96" t="n">
        <v>0</v>
      </c>
      <c r="O96" t="n">
        <v>0</v>
      </c>
      <c r="P96" t="n">
        <v>0</v>
      </c>
      <c r="Q96" t="n">
        <v>0</v>
      </c>
      <c r="R96" s="2" t="inlineStr"/>
    </row>
    <row r="97" ht="15" customHeight="1">
      <c r="A97" t="inlineStr">
        <is>
          <t>A 32386-2021</t>
        </is>
      </c>
      <c r="B97" s="1" t="n">
        <v>44371.62743055556</v>
      </c>
      <c r="C97" s="1" t="n">
        <v>46176</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35633-2021</t>
        </is>
      </c>
      <c r="B98" s="1" t="n">
        <v>44386.40783564815</v>
      </c>
      <c r="C98" s="1" t="n">
        <v>46176</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56343-2021</t>
        </is>
      </c>
      <c r="B99" s="1" t="n">
        <v>44480</v>
      </c>
      <c r="C99" s="1" t="n">
        <v>46176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51972-2021</t>
        </is>
      </c>
      <c r="B100" s="1" t="n">
        <v>44463.29439814815</v>
      </c>
      <c r="C100" s="1" t="n">
        <v>46176</v>
      </c>
      <c r="D100" t="inlineStr">
        <is>
          <t>KALMAR LÄN</t>
        </is>
      </c>
      <c r="E100" t="inlineStr">
        <is>
          <t>VIMMERBY</t>
        </is>
      </c>
      <c r="G100" t="n">
        <v>4.5</v>
      </c>
      <c r="H100" t="n">
        <v>0</v>
      </c>
      <c r="I100" t="n">
        <v>0</v>
      </c>
      <c r="J100" t="n">
        <v>0</v>
      </c>
      <c r="K100" t="n">
        <v>0</v>
      </c>
      <c r="L100" t="n">
        <v>0</v>
      </c>
      <c r="M100" t="n">
        <v>0</v>
      </c>
      <c r="N100" t="n">
        <v>0</v>
      </c>
      <c r="O100" t="n">
        <v>0</v>
      </c>
      <c r="P100" t="n">
        <v>0</v>
      </c>
      <c r="Q100" t="n">
        <v>0</v>
      </c>
      <c r="R100" s="2" t="inlineStr"/>
    </row>
    <row r="101" ht="15" customHeight="1">
      <c r="A101" t="inlineStr">
        <is>
          <t>A 4042-2022</t>
        </is>
      </c>
      <c r="B101" s="1" t="n">
        <v>44588</v>
      </c>
      <c r="C101" s="1" t="n">
        <v>46176</v>
      </c>
      <c r="D101" t="inlineStr">
        <is>
          <t>KALMAR LÄN</t>
        </is>
      </c>
      <c r="E101" t="inlineStr">
        <is>
          <t>VIMMERBY</t>
        </is>
      </c>
      <c r="G101" t="n">
        <v>4.7</v>
      </c>
      <c r="H101" t="n">
        <v>0</v>
      </c>
      <c r="I101" t="n">
        <v>0</v>
      </c>
      <c r="J101" t="n">
        <v>0</v>
      </c>
      <c r="K101" t="n">
        <v>0</v>
      </c>
      <c r="L101" t="n">
        <v>0</v>
      </c>
      <c r="M101" t="n">
        <v>0</v>
      </c>
      <c r="N101" t="n">
        <v>0</v>
      </c>
      <c r="O101" t="n">
        <v>0</v>
      </c>
      <c r="P101" t="n">
        <v>0</v>
      </c>
      <c r="Q101" t="n">
        <v>0</v>
      </c>
      <c r="R101" s="2" t="inlineStr"/>
    </row>
    <row r="102" ht="15" customHeight="1">
      <c r="A102" t="inlineStr">
        <is>
          <t>A 33690-2022</t>
        </is>
      </c>
      <c r="B102" s="1" t="n">
        <v>44789</v>
      </c>
      <c r="C102" s="1" t="n">
        <v>46176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35198-2021</t>
        </is>
      </c>
      <c r="B103" s="1" t="n">
        <v>44377</v>
      </c>
      <c r="C103" s="1" t="n">
        <v>46176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34036-2021</t>
        </is>
      </c>
      <c r="B104" s="1" t="n">
        <v>44379</v>
      </c>
      <c r="C104" s="1" t="n">
        <v>46176</v>
      </c>
      <c r="D104" t="inlineStr">
        <is>
          <t>KALMAR LÄN</t>
        </is>
      </c>
      <c r="E104" t="inlineStr">
        <is>
          <t>VIMMERBY</t>
        </is>
      </c>
      <c r="F104" t="inlineStr">
        <is>
          <t>Sveaskog</t>
        </is>
      </c>
      <c r="G104" t="n">
        <v>7</v>
      </c>
      <c r="H104" t="n">
        <v>0</v>
      </c>
      <c r="I104" t="n">
        <v>0</v>
      </c>
      <c r="J104" t="n">
        <v>0</v>
      </c>
      <c r="K104" t="n">
        <v>0</v>
      </c>
      <c r="L104" t="n">
        <v>0</v>
      </c>
      <c r="M104" t="n">
        <v>0</v>
      </c>
      <c r="N104" t="n">
        <v>0</v>
      </c>
      <c r="O104" t="n">
        <v>0</v>
      </c>
      <c r="P104" t="n">
        <v>0</v>
      </c>
      <c r="Q104" t="n">
        <v>0</v>
      </c>
      <c r="R104" s="2" t="inlineStr"/>
    </row>
    <row r="105" ht="15" customHeight="1">
      <c r="A105" t="inlineStr">
        <is>
          <t>A 63244-2021</t>
        </is>
      </c>
      <c r="B105" s="1" t="n">
        <v>44508</v>
      </c>
      <c r="C105" s="1" t="n">
        <v>46176</v>
      </c>
      <c r="D105" t="inlineStr">
        <is>
          <t>KALMAR LÄN</t>
        </is>
      </c>
      <c r="E105" t="inlineStr">
        <is>
          <t>VIMMERBY</t>
        </is>
      </c>
      <c r="F105" t="inlineStr">
        <is>
          <t>Övriga statliga verk och myndigheter</t>
        </is>
      </c>
      <c r="G105" t="n">
        <v>0.6</v>
      </c>
      <c r="H105" t="n">
        <v>0</v>
      </c>
      <c r="I105" t="n">
        <v>0</v>
      </c>
      <c r="J105" t="n">
        <v>0</v>
      </c>
      <c r="K105" t="n">
        <v>0</v>
      </c>
      <c r="L105" t="n">
        <v>0</v>
      </c>
      <c r="M105" t="n">
        <v>0</v>
      </c>
      <c r="N105" t="n">
        <v>0</v>
      </c>
      <c r="O105" t="n">
        <v>0</v>
      </c>
      <c r="P105" t="n">
        <v>0</v>
      </c>
      <c r="Q105" t="n">
        <v>0</v>
      </c>
      <c r="R105" s="2" t="inlineStr"/>
    </row>
    <row r="106" ht="15" customHeight="1">
      <c r="A106" t="inlineStr">
        <is>
          <t>A 11814-2022</t>
        </is>
      </c>
      <c r="B106" s="1" t="n">
        <v>44634.69703703704</v>
      </c>
      <c r="C106" s="1" t="n">
        <v>46176</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56385-2021</t>
        </is>
      </c>
      <c r="B107" s="1" t="n">
        <v>44480</v>
      </c>
      <c r="C107" s="1" t="n">
        <v>46176</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31053-2022</t>
        </is>
      </c>
      <c r="B108" s="1" t="n">
        <v>44769.45422453704</v>
      </c>
      <c r="C108" s="1" t="n">
        <v>46176</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8454-2022</t>
        </is>
      </c>
      <c r="B109" s="1" t="n">
        <v>44612.86762731482</v>
      </c>
      <c r="C109" s="1" t="n">
        <v>46176</v>
      </c>
      <c r="D109" t="inlineStr">
        <is>
          <t>KALMAR LÄN</t>
        </is>
      </c>
      <c r="E109" t="inlineStr">
        <is>
          <t>VIMMERBY</t>
        </is>
      </c>
      <c r="G109" t="n">
        <v>0.6</v>
      </c>
      <c r="H109" t="n">
        <v>0</v>
      </c>
      <c r="I109" t="n">
        <v>0</v>
      </c>
      <c r="J109" t="n">
        <v>0</v>
      </c>
      <c r="K109" t="n">
        <v>0</v>
      </c>
      <c r="L109" t="n">
        <v>0</v>
      </c>
      <c r="M109" t="n">
        <v>0</v>
      </c>
      <c r="N109" t="n">
        <v>0</v>
      </c>
      <c r="O109" t="n">
        <v>0</v>
      </c>
      <c r="P109" t="n">
        <v>0</v>
      </c>
      <c r="Q109" t="n">
        <v>0</v>
      </c>
      <c r="R109" s="2" t="inlineStr"/>
    </row>
    <row r="110" ht="15" customHeight="1">
      <c r="A110" t="inlineStr">
        <is>
          <t>A 65887-2021</t>
        </is>
      </c>
      <c r="B110" s="1" t="n">
        <v>44517</v>
      </c>
      <c r="C110" s="1" t="n">
        <v>46176</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39959-2022</t>
        </is>
      </c>
      <c r="B111" s="1" t="n">
        <v>44819</v>
      </c>
      <c r="C111" s="1" t="n">
        <v>46176</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7917-2022</t>
        </is>
      </c>
      <c r="B112" s="1" t="n">
        <v>44608</v>
      </c>
      <c r="C112" s="1" t="n">
        <v>46176</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47208-2021</t>
        </is>
      </c>
      <c r="B113" s="1" t="n">
        <v>44447.34237268518</v>
      </c>
      <c r="C113" s="1" t="n">
        <v>46176</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56389-2021</t>
        </is>
      </c>
      <c r="B114" s="1" t="n">
        <v>44480</v>
      </c>
      <c r="C114" s="1" t="n">
        <v>46176</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67952-2021</t>
        </is>
      </c>
      <c r="B115" s="1" t="n">
        <v>44525.63913194444</v>
      </c>
      <c r="C115" s="1" t="n">
        <v>46176</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15533-2022</t>
        </is>
      </c>
      <c r="B116" s="1" t="n">
        <v>44662</v>
      </c>
      <c r="C116" s="1" t="n">
        <v>46176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165-2022</t>
        </is>
      </c>
      <c r="B117" s="1" t="n">
        <v>44564</v>
      </c>
      <c r="C117" s="1" t="n">
        <v>46176</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34040-2021</t>
        </is>
      </c>
      <c r="B118" s="1" t="n">
        <v>44379</v>
      </c>
      <c r="C118" s="1" t="n">
        <v>46176</v>
      </c>
      <c r="D118" t="inlineStr">
        <is>
          <t>KALMAR LÄN</t>
        </is>
      </c>
      <c r="E118" t="inlineStr">
        <is>
          <t>VIMMERBY</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12107-2022</t>
        </is>
      </c>
      <c r="B119" s="1" t="n">
        <v>44636</v>
      </c>
      <c r="C119" s="1" t="n">
        <v>46176</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39225-2022</t>
        </is>
      </c>
      <c r="B120" s="1" t="n">
        <v>44817.57988425926</v>
      </c>
      <c r="C120" s="1" t="n">
        <v>46176</v>
      </c>
      <c r="D120" t="inlineStr">
        <is>
          <t>KALMAR LÄN</t>
        </is>
      </c>
      <c r="E120" t="inlineStr">
        <is>
          <t>VIMMERBY</t>
        </is>
      </c>
      <c r="G120" t="n">
        <v>2.2</v>
      </c>
      <c r="H120" t="n">
        <v>0</v>
      </c>
      <c r="I120" t="n">
        <v>0</v>
      </c>
      <c r="J120" t="n">
        <v>0</v>
      </c>
      <c r="K120" t="n">
        <v>0</v>
      </c>
      <c r="L120" t="n">
        <v>0</v>
      </c>
      <c r="M120" t="n">
        <v>0</v>
      </c>
      <c r="N120" t="n">
        <v>0</v>
      </c>
      <c r="O120" t="n">
        <v>0</v>
      </c>
      <c r="P120" t="n">
        <v>0</v>
      </c>
      <c r="Q120" t="n">
        <v>0</v>
      </c>
      <c r="R120" s="2" t="inlineStr"/>
    </row>
    <row r="121" ht="15" customHeight="1">
      <c r="A121" t="inlineStr">
        <is>
          <t>A 17029-2022</t>
        </is>
      </c>
      <c r="B121" s="1" t="n">
        <v>44676.85248842592</v>
      </c>
      <c r="C121" s="1" t="n">
        <v>46176</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7167-2022</t>
        </is>
      </c>
      <c r="B122" s="1" t="n">
        <v>44604</v>
      </c>
      <c r="C122" s="1" t="n">
        <v>46176</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35001-2021</t>
        </is>
      </c>
      <c r="B123" s="1" t="n">
        <v>44383</v>
      </c>
      <c r="C123" s="1" t="n">
        <v>46176</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55674-2021</t>
        </is>
      </c>
      <c r="B124" s="1" t="n">
        <v>44476</v>
      </c>
      <c r="C124" s="1" t="n">
        <v>46176</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40077-2021</t>
        </is>
      </c>
      <c r="B125" s="1" t="n">
        <v>44418</v>
      </c>
      <c r="C125" s="1" t="n">
        <v>46176</v>
      </c>
      <c r="D125" t="inlineStr">
        <is>
          <t>KALMAR LÄN</t>
        </is>
      </c>
      <c r="E125" t="inlineStr">
        <is>
          <t>VIMMERBY</t>
        </is>
      </c>
      <c r="G125" t="n">
        <v>2.9</v>
      </c>
      <c r="H125" t="n">
        <v>0</v>
      </c>
      <c r="I125" t="n">
        <v>0</v>
      </c>
      <c r="J125" t="n">
        <v>0</v>
      </c>
      <c r="K125" t="n">
        <v>0</v>
      </c>
      <c r="L125" t="n">
        <v>0</v>
      </c>
      <c r="M125" t="n">
        <v>0</v>
      </c>
      <c r="N125" t="n">
        <v>0</v>
      </c>
      <c r="O125" t="n">
        <v>0</v>
      </c>
      <c r="P125" t="n">
        <v>0</v>
      </c>
      <c r="Q125" t="n">
        <v>0</v>
      </c>
      <c r="R125" s="2" t="inlineStr"/>
    </row>
    <row r="126" ht="15" customHeight="1">
      <c r="A126" t="inlineStr">
        <is>
          <t>A 47769-2022</t>
        </is>
      </c>
      <c r="B126" s="1" t="n">
        <v>44854</v>
      </c>
      <c r="C126" s="1" t="n">
        <v>46176</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48377-2021</t>
        </is>
      </c>
      <c r="B127" s="1" t="n">
        <v>44451.8375</v>
      </c>
      <c r="C127" s="1" t="n">
        <v>46176</v>
      </c>
      <c r="D127" t="inlineStr">
        <is>
          <t>KALMAR LÄN</t>
        </is>
      </c>
      <c r="E127" t="inlineStr">
        <is>
          <t>VIMMERBY</t>
        </is>
      </c>
      <c r="G127" t="n">
        <v>0.4</v>
      </c>
      <c r="H127" t="n">
        <v>0</v>
      </c>
      <c r="I127" t="n">
        <v>0</v>
      </c>
      <c r="J127" t="n">
        <v>0</v>
      </c>
      <c r="K127" t="n">
        <v>0</v>
      </c>
      <c r="L127" t="n">
        <v>0</v>
      </c>
      <c r="M127" t="n">
        <v>0</v>
      </c>
      <c r="N127" t="n">
        <v>0</v>
      </c>
      <c r="O127" t="n">
        <v>0</v>
      </c>
      <c r="P127" t="n">
        <v>0</v>
      </c>
      <c r="Q127" t="n">
        <v>0</v>
      </c>
      <c r="R127" s="2" t="inlineStr"/>
    </row>
    <row r="128" ht="15" customHeight="1">
      <c r="A128" t="inlineStr">
        <is>
          <t>A 40472-2022</t>
        </is>
      </c>
      <c r="B128" s="1" t="n">
        <v>44823</v>
      </c>
      <c r="C128" s="1" t="n">
        <v>46176</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35316-2021</t>
        </is>
      </c>
      <c r="B129" s="1" t="n">
        <v>44384</v>
      </c>
      <c r="C129" s="1" t="n">
        <v>46176</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33831-2022</t>
        </is>
      </c>
      <c r="B130" s="1" t="n">
        <v>44790.48503472222</v>
      </c>
      <c r="C130" s="1" t="n">
        <v>46176</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9918-2022</t>
        </is>
      </c>
      <c r="B131" s="1" t="n">
        <v>44620</v>
      </c>
      <c r="C131" s="1" t="n">
        <v>46176</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47708-2022</t>
        </is>
      </c>
      <c r="B132" s="1" t="n">
        <v>44854.59157407407</v>
      </c>
      <c r="C132" s="1" t="n">
        <v>46176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23825-2022</t>
        </is>
      </c>
      <c r="B133" s="1" t="n">
        <v>44722.48768518519</v>
      </c>
      <c r="C133" s="1" t="n">
        <v>46176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47473-2021</t>
        </is>
      </c>
      <c r="B134" s="1" t="n">
        <v>44447</v>
      </c>
      <c r="C134" s="1" t="n">
        <v>46176</v>
      </c>
      <c r="D134" t="inlineStr">
        <is>
          <t>KALMAR LÄN</t>
        </is>
      </c>
      <c r="E134" t="inlineStr">
        <is>
          <t>VIMMERBY</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41056-2022</t>
        </is>
      </c>
      <c r="B135" s="1" t="n">
        <v>44824</v>
      </c>
      <c r="C135" s="1" t="n">
        <v>46176</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31660-2021</t>
        </is>
      </c>
      <c r="B136" s="1" t="n">
        <v>44369</v>
      </c>
      <c r="C136" s="1" t="n">
        <v>46176</v>
      </c>
      <c r="D136" t="inlineStr">
        <is>
          <t>KALMAR LÄN</t>
        </is>
      </c>
      <c r="E136" t="inlineStr">
        <is>
          <t>VIMMERBY</t>
        </is>
      </c>
      <c r="G136" t="n">
        <v>4.2</v>
      </c>
      <c r="H136" t="n">
        <v>0</v>
      </c>
      <c r="I136" t="n">
        <v>0</v>
      </c>
      <c r="J136" t="n">
        <v>0</v>
      </c>
      <c r="K136" t="n">
        <v>0</v>
      </c>
      <c r="L136" t="n">
        <v>0</v>
      </c>
      <c r="M136" t="n">
        <v>0</v>
      </c>
      <c r="N136" t="n">
        <v>0</v>
      </c>
      <c r="O136" t="n">
        <v>0</v>
      </c>
      <c r="P136" t="n">
        <v>0</v>
      </c>
      <c r="Q136" t="n">
        <v>0</v>
      </c>
      <c r="R136" s="2" t="inlineStr"/>
    </row>
    <row r="137" ht="15" customHeight="1">
      <c r="A137" t="inlineStr">
        <is>
          <t>A 27455-2022</t>
        </is>
      </c>
      <c r="B137" s="1" t="n">
        <v>44742</v>
      </c>
      <c r="C137" s="1" t="n">
        <v>46176</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36117-2021</t>
        </is>
      </c>
      <c r="B138" s="1" t="n">
        <v>44386</v>
      </c>
      <c r="C138" s="1" t="n">
        <v>46176</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42521-2021</t>
        </is>
      </c>
      <c r="B139" s="1" t="n">
        <v>44427</v>
      </c>
      <c r="C139" s="1" t="n">
        <v>46176</v>
      </c>
      <c r="D139" t="inlineStr">
        <is>
          <t>KALMAR LÄN</t>
        </is>
      </c>
      <c r="E139" t="inlineStr">
        <is>
          <t>VIMMERBY</t>
        </is>
      </c>
      <c r="G139" t="n">
        <v>5.4</v>
      </c>
      <c r="H139" t="n">
        <v>0</v>
      </c>
      <c r="I139" t="n">
        <v>0</v>
      </c>
      <c r="J139" t="n">
        <v>0</v>
      </c>
      <c r="K139" t="n">
        <v>0</v>
      </c>
      <c r="L139" t="n">
        <v>0</v>
      </c>
      <c r="M139" t="n">
        <v>0</v>
      </c>
      <c r="N139" t="n">
        <v>0</v>
      </c>
      <c r="O139" t="n">
        <v>0</v>
      </c>
      <c r="P139" t="n">
        <v>0</v>
      </c>
      <c r="Q139" t="n">
        <v>0</v>
      </c>
      <c r="R139" s="2" t="inlineStr"/>
    </row>
    <row r="140" ht="15" customHeight="1">
      <c r="A140" t="inlineStr">
        <is>
          <t>A 32603-2021</t>
        </is>
      </c>
      <c r="B140" s="1" t="n">
        <v>44375.38789351852</v>
      </c>
      <c r="C140" s="1" t="n">
        <v>46176</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46964-2022</t>
        </is>
      </c>
      <c r="B141" s="1" t="n">
        <v>44851.95016203704</v>
      </c>
      <c r="C141" s="1" t="n">
        <v>46176</v>
      </c>
      <c r="D141" t="inlineStr">
        <is>
          <t>KALMAR LÄN</t>
        </is>
      </c>
      <c r="E141" t="inlineStr">
        <is>
          <t>VIMMERBY</t>
        </is>
      </c>
      <c r="G141" t="n">
        <v>0.2</v>
      </c>
      <c r="H141" t="n">
        <v>0</v>
      </c>
      <c r="I141" t="n">
        <v>0</v>
      </c>
      <c r="J141" t="n">
        <v>0</v>
      </c>
      <c r="K141" t="n">
        <v>0</v>
      </c>
      <c r="L141" t="n">
        <v>0</v>
      </c>
      <c r="M141" t="n">
        <v>0</v>
      </c>
      <c r="N141" t="n">
        <v>0</v>
      </c>
      <c r="O141" t="n">
        <v>0</v>
      </c>
      <c r="P141" t="n">
        <v>0</v>
      </c>
      <c r="Q141" t="n">
        <v>0</v>
      </c>
      <c r="R141" s="2" t="inlineStr"/>
    </row>
    <row r="142" ht="15" customHeight="1">
      <c r="A142" t="inlineStr">
        <is>
          <t>A 13180-2022</t>
        </is>
      </c>
      <c r="B142" s="1" t="n">
        <v>44644</v>
      </c>
      <c r="C142" s="1" t="n">
        <v>46176</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42850-2022</t>
        </is>
      </c>
      <c r="B143" s="1" t="n">
        <v>44832.67608796297</v>
      </c>
      <c r="C143" s="1" t="n">
        <v>46176</v>
      </c>
      <c r="D143" t="inlineStr">
        <is>
          <t>KALMAR LÄN</t>
        </is>
      </c>
      <c r="E143" t="inlineStr">
        <is>
          <t>VIMMERBY</t>
        </is>
      </c>
      <c r="G143" t="n">
        <v>5.9</v>
      </c>
      <c r="H143" t="n">
        <v>0</v>
      </c>
      <c r="I143" t="n">
        <v>0</v>
      </c>
      <c r="J143" t="n">
        <v>0</v>
      </c>
      <c r="K143" t="n">
        <v>0</v>
      </c>
      <c r="L143" t="n">
        <v>0</v>
      </c>
      <c r="M143" t="n">
        <v>0</v>
      </c>
      <c r="N143" t="n">
        <v>0</v>
      </c>
      <c r="O143" t="n">
        <v>0</v>
      </c>
      <c r="P143" t="n">
        <v>0</v>
      </c>
      <c r="Q143" t="n">
        <v>0</v>
      </c>
      <c r="R143" s="2" t="inlineStr"/>
    </row>
    <row r="144" ht="15" customHeight="1">
      <c r="A144" t="inlineStr">
        <is>
          <t>A 10086-2022</t>
        </is>
      </c>
      <c r="B144" s="1" t="n">
        <v>44621</v>
      </c>
      <c r="C144" s="1" t="n">
        <v>46176</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53145-2022</t>
        </is>
      </c>
      <c r="B145" s="1" t="n">
        <v>44876.48346064815</v>
      </c>
      <c r="C145" s="1" t="n">
        <v>46176</v>
      </c>
      <c r="D145" t="inlineStr">
        <is>
          <t>KALMAR LÄN</t>
        </is>
      </c>
      <c r="E145" t="inlineStr">
        <is>
          <t>VIMMERBY</t>
        </is>
      </c>
      <c r="G145" t="n">
        <v>0.4</v>
      </c>
      <c r="H145" t="n">
        <v>0</v>
      </c>
      <c r="I145" t="n">
        <v>0</v>
      </c>
      <c r="J145" t="n">
        <v>0</v>
      </c>
      <c r="K145" t="n">
        <v>0</v>
      </c>
      <c r="L145" t="n">
        <v>0</v>
      </c>
      <c r="M145" t="n">
        <v>0</v>
      </c>
      <c r="N145" t="n">
        <v>0</v>
      </c>
      <c r="O145" t="n">
        <v>0</v>
      </c>
      <c r="P145" t="n">
        <v>0</v>
      </c>
      <c r="Q145" t="n">
        <v>0</v>
      </c>
      <c r="R145" s="2" t="inlineStr"/>
    </row>
    <row r="146" ht="15" customHeight="1">
      <c r="A146" t="inlineStr">
        <is>
          <t>A 25738-2022</t>
        </is>
      </c>
      <c r="B146" s="1" t="n">
        <v>44733.43092592592</v>
      </c>
      <c r="C146" s="1" t="n">
        <v>46176</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46176</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40971-2021</t>
        </is>
      </c>
      <c r="B148" s="1" t="n">
        <v>44421</v>
      </c>
      <c r="C148" s="1" t="n">
        <v>46176</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8453-2022</t>
        </is>
      </c>
      <c r="B149" s="1" t="n">
        <v>44612.86554398148</v>
      </c>
      <c r="C149" s="1" t="n">
        <v>46176</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54065-2021</t>
        </is>
      </c>
      <c r="B150" s="1" t="n">
        <v>44470.44232638889</v>
      </c>
      <c r="C150" s="1" t="n">
        <v>46176</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52433-2021</t>
        </is>
      </c>
      <c r="B151" s="1" t="n">
        <v>44466.34726851852</v>
      </c>
      <c r="C151" s="1" t="n">
        <v>46176</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50621-2022</t>
        </is>
      </c>
      <c r="B152" s="1" t="n">
        <v>44866.81100694444</v>
      </c>
      <c r="C152" s="1" t="n">
        <v>46176</v>
      </c>
      <c r="D152" t="inlineStr">
        <is>
          <t>KALMAR LÄN</t>
        </is>
      </c>
      <c r="E152" t="inlineStr">
        <is>
          <t>VIMMERBY</t>
        </is>
      </c>
      <c r="F152" t="inlineStr">
        <is>
          <t>Övriga Aktiebolag</t>
        </is>
      </c>
      <c r="G152" t="n">
        <v>5.1</v>
      </c>
      <c r="H152" t="n">
        <v>0</v>
      </c>
      <c r="I152" t="n">
        <v>0</v>
      </c>
      <c r="J152" t="n">
        <v>0</v>
      </c>
      <c r="K152" t="n">
        <v>0</v>
      </c>
      <c r="L152" t="n">
        <v>0</v>
      </c>
      <c r="M152" t="n">
        <v>0</v>
      </c>
      <c r="N152" t="n">
        <v>0</v>
      </c>
      <c r="O152" t="n">
        <v>0</v>
      </c>
      <c r="P152" t="n">
        <v>0</v>
      </c>
      <c r="Q152" t="n">
        <v>0</v>
      </c>
      <c r="R152" s="2" t="inlineStr"/>
    </row>
    <row r="153" ht="15" customHeight="1">
      <c r="A153" t="inlineStr">
        <is>
          <t>A 31824-2022</t>
        </is>
      </c>
      <c r="B153" s="1" t="n">
        <v>44776</v>
      </c>
      <c r="C153" s="1" t="n">
        <v>46176</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11733-2022</t>
        </is>
      </c>
      <c r="B154" s="1" t="n">
        <v>44634</v>
      </c>
      <c r="C154" s="1" t="n">
        <v>46176</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39042-2022</t>
        </is>
      </c>
      <c r="B155" s="1" t="n">
        <v>44817</v>
      </c>
      <c r="C155" s="1" t="n">
        <v>46176</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7804-2022</t>
        </is>
      </c>
      <c r="B156" s="1" t="n">
        <v>44608.50458333334</v>
      </c>
      <c r="C156" s="1" t="n">
        <v>46176</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16983-2023</t>
        </is>
      </c>
      <c r="B157" s="1" t="n">
        <v>45033.76043981482</v>
      </c>
      <c r="C157" s="1" t="n">
        <v>46176</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30402-2023</t>
        </is>
      </c>
      <c r="B158" s="1" t="n">
        <v>45111.48395833333</v>
      </c>
      <c r="C158" s="1" t="n">
        <v>46176</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46144-2023</t>
        </is>
      </c>
      <c r="B159" s="1" t="n">
        <v>45196.57247685185</v>
      </c>
      <c r="C159" s="1" t="n">
        <v>46176</v>
      </c>
      <c r="D159" t="inlineStr">
        <is>
          <t>KALMAR LÄN</t>
        </is>
      </c>
      <c r="E159" t="inlineStr">
        <is>
          <t>VIMMERBY</t>
        </is>
      </c>
      <c r="G159" t="n">
        <v>6.5</v>
      </c>
      <c r="H159" t="n">
        <v>0</v>
      </c>
      <c r="I159" t="n">
        <v>0</v>
      </c>
      <c r="J159" t="n">
        <v>0</v>
      </c>
      <c r="K159" t="n">
        <v>0</v>
      </c>
      <c r="L159" t="n">
        <v>0</v>
      </c>
      <c r="M159" t="n">
        <v>0</v>
      </c>
      <c r="N159" t="n">
        <v>0</v>
      </c>
      <c r="O159" t="n">
        <v>0</v>
      </c>
      <c r="P159" t="n">
        <v>0</v>
      </c>
      <c r="Q159" t="n">
        <v>0</v>
      </c>
      <c r="R159" s="2" t="inlineStr"/>
    </row>
    <row r="160" ht="15" customHeight="1">
      <c r="A160" t="inlineStr">
        <is>
          <t>A 11609-2023</t>
        </is>
      </c>
      <c r="B160" s="1" t="n">
        <v>44994.40635416667</v>
      </c>
      <c r="C160" s="1" t="n">
        <v>46176</v>
      </c>
      <c r="D160" t="inlineStr">
        <is>
          <t>KALMAR LÄN</t>
        </is>
      </c>
      <c r="E160" t="inlineStr">
        <is>
          <t>VIMMERBY</t>
        </is>
      </c>
      <c r="G160" t="n">
        <v>4.9</v>
      </c>
      <c r="H160" t="n">
        <v>0</v>
      </c>
      <c r="I160" t="n">
        <v>0</v>
      </c>
      <c r="J160" t="n">
        <v>0</v>
      </c>
      <c r="K160" t="n">
        <v>0</v>
      </c>
      <c r="L160" t="n">
        <v>0</v>
      </c>
      <c r="M160" t="n">
        <v>0</v>
      </c>
      <c r="N160" t="n">
        <v>0</v>
      </c>
      <c r="O160" t="n">
        <v>0</v>
      </c>
      <c r="P160" t="n">
        <v>0</v>
      </c>
      <c r="Q160" t="n">
        <v>0</v>
      </c>
      <c r="R160" s="2" t="inlineStr"/>
    </row>
    <row r="161" ht="15" customHeight="1">
      <c r="A161" t="inlineStr">
        <is>
          <t>A 56213-2024</t>
        </is>
      </c>
      <c r="B161" s="1" t="n">
        <v>45624.60141203704</v>
      </c>
      <c r="C161" s="1" t="n">
        <v>46176</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7643-2022</t>
        </is>
      </c>
      <c r="B162" s="1" t="n">
        <v>44607</v>
      </c>
      <c r="C162" s="1" t="n">
        <v>46176</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45617.47570601852</v>
      </c>
      <c r="C163" s="1" t="n">
        <v>46176</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4076-2022</t>
        </is>
      </c>
      <c r="B164" s="1" t="n">
        <v>44588.37998842593</v>
      </c>
      <c r="C164" s="1" t="n">
        <v>46176</v>
      </c>
      <c r="D164" t="inlineStr">
        <is>
          <t>KALMAR LÄN</t>
        </is>
      </c>
      <c r="E164" t="inlineStr">
        <is>
          <t>VIMMERBY</t>
        </is>
      </c>
      <c r="G164" t="n">
        <v>3</v>
      </c>
      <c r="H164" t="n">
        <v>0</v>
      </c>
      <c r="I164" t="n">
        <v>0</v>
      </c>
      <c r="J164" t="n">
        <v>0</v>
      </c>
      <c r="K164" t="n">
        <v>0</v>
      </c>
      <c r="L164" t="n">
        <v>0</v>
      </c>
      <c r="M164" t="n">
        <v>0</v>
      </c>
      <c r="N164" t="n">
        <v>0</v>
      </c>
      <c r="O164" t="n">
        <v>0</v>
      </c>
      <c r="P164" t="n">
        <v>0</v>
      </c>
      <c r="Q164" t="n">
        <v>0</v>
      </c>
      <c r="R164" s="2" t="inlineStr"/>
    </row>
    <row r="165" ht="15" customHeight="1">
      <c r="A165" t="inlineStr">
        <is>
          <t>A 11027-2023</t>
        </is>
      </c>
      <c r="B165" s="1" t="n">
        <v>44991.89657407408</v>
      </c>
      <c r="C165" s="1" t="n">
        <v>46176</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4122-2022</t>
        </is>
      </c>
      <c r="B166" s="1" t="n">
        <v>44588</v>
      </c>
      <c r="C166" s="1" t="n">
        <v>46176</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16825-2024</t>
        </is>
      </c>
      <c r="B167" s="1" t="n">
        <v>45411.47335648148</v>
      </c>
      <c r="C167" s="1" t="n">
        <v>46176</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31382-2023</t>
        </is>
      </c>
      <c r="B168" s="1" t="n">
        <v>45114.55136574074</v>
      </c>
      <c r="C168" s="1" t="n">
        <v>46176</v>
      </c>
      <c r="D168" t="inlineStr">
        <is>
          <t>KALMAR LÄN</t>
        </is>
      </c>
      <c r="E168" t="inlineStr">
        <is>
          <t>VIMMERBY</t>
        </is>
      </c>
      <c r="G168" t="n">
        <v>3.7</v>
      </c>
      <c r="H168" t="n">
        <v>0</v>
      </c>
      <c r="I168" t="n">
        <v>0</v>
      </c>
      <c r="J168" t="n">
        <v>0</v>
      </c>
      <c r="K168" t="n">
        <v>0</v>
      </c>
      <c r="L168" t="n">
        <v>0</v>
      </c>
      <c r="M168" t="n">
        <v>0</v>
      </c>
      <c r="N168" t="n">
        <v>0</v>
      </c>
      <c r="O168" t="n">
        <v>0</v>
      </c>
      <c r="P168" t="n">
        <v>0</v>
      </c>
      <c r="Q168" t="n">
        <v>0</v>
      </c>
      <c r="R168" s="2" t="inlineStr"/>
    </row>
    <row r="169" ht="15" customHeight="1">
      <c r="A169" t="inlineStr">
        <is>
          <t>A 58962-2022</t>
        </is>
      </c>
      <c r="B169" s="1" t="n">
        <v>44903</v>
      </c>
      <c r="C169" s="1" t="n">
        <v>46176</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53483-2022</t>
        </is>
      </c>
      <c r="B170" s="1" t="n">
        <v>44879.55940972222</v>
      </c>
      <c r="C170" s="1" t="n">
        <v>46176</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10837-2023</t>
        </is>
      </c>
      <c r="B171" s="1" t="n">
        <v>44991.30547453704</v>
      </c>
      <c r="C171" s="1" t="n">
        <v>46176</v>
      </c>
      <c r="D171" t="inlineStr">
        <is>
          <t>KALMAR LÄN</t>
        </is>
      </c>
      <c r="E171" t="inlineStr">
        <is>
          <t>VIMMERBY</t>
        </is>
      </c>
      <c r="G171" t="n">
        <v>7.3</v>
      </c>
      <c r="H171" t="n">
        <v>0</v>
      </c>
      <c r="I171" t="n">
        <v>0</v>
      </c>
      <c r="J171" t="n">
        <v>0</v>
      </c>
      <c r="K171" t="n">
        <v>0</v>
      </c>
      <c r="L171" t="n">
        <v>0</v>
      </c>
      <c r="M171" t="n">
        <v>0</v>
      </c>
      <c r="N171" t="n">
        <v>0</v>
      </c>
      <c r="O171" t="n">
        <v>0</v>
      </c>
      <c r="P171" t="n">
        <v>0</v>
      </c>
      <c r="Q171" t="n">
        <v>0</v>
      </c>
      <c r="R171" s="2" t="inlineStr"/>
    </row>
    <row r="172" ht="15" customHeight="1">
      <c r="A172" t="inlineStr">
        <is>
          <t>A 10838-2023</t>
        </is>
      </c>
      <c r="B172" s="1" t="n">
        <v>44991</v>
      </c>
      <c r="C172" s="1" t="n">
        <v>46176</v>
      </c>
      <c r="D172" t="inlineStr">
        <is>
          <t>KALMAR LÄN</t>
        </is>
      </c>
      <c r="E172" t="inlineStr">
        <is>
          <t>VIMMERBY</t>
        </is>
      </c>
      <c r="G172" t="n">
        <v>5.1</v>
      </c>
      <c r="H172" t="n">
        <v>0</v>
      </c>
      <c r="I172" t="n">
        <v>0</v>
      </c>
      <c r="J172" t="n">
        <v>0</v>
      </c>
      <c r="K172" t="n">
        <v>0</v>
      </c>
      <c r="L172" t="n">
        <v>0</v>
      </c>
      <c r="M172" t="n">
        <v>0</v>
      </c>
      <c r="N172" t="n">
        <v>0</v>
      </c>
      <c r="O172" t="n">
        <v>0</v>
      </c>
      <c r="P172" t="n">
        <v>0</v>
      </c>
      <c r="Q172" t="n">
        <v>0</v>
      </c>
      <c r="R172" s="2" t="inlineStr"/>
    </row>
    <row r="173" ht="15" customHeight="1">
      <c r="A173" t="inlineStr">
        <is>
          <t>A 18899-2025</t>
        </is>
      </c>
      <c r="B173" s="1" t="n">
        <v>45764.44931712963</v>
      </c>
      <c r="C173" s="1" t="n">
        <v>46176</v>
      </c>
      <c r="D173" t="inlineStr">
        <is>
          <t>KALMAR LÄN</t>
        </is>
      </c>
      <c r="E173" t="inlineStr">
        <is>
          <t>VIMMERBY</t>
        </is>
      </c>
      <c r="F173" t="inlineStr">
        <is>
          <t>Kommuner</t>
        </is>
      </c>
      <c r="G173" t="n">
        <v>4</v>
      </c>
      <c r="H173" t="n">
        <v>0</v>
      </c>
      <c r="I173" t="n">
        <v>0</v>
      </c>
      <c r="J173" t="n">
        <v>0</v>
      </c>
      <c r="K173" t="n">
        <v>0</v>
      </c>
      <c r="L173" t="n">
        <v>0</v>
      </c>
      <c r="M173" t="n">
        <v>0</v>
      </c>
      <c r="N173" t="n">
        <v>0</v>
      </c>
      <c r="O173" t="n">
        <v>0</v>
      </c>
      <c r="P173" t="n">
        <v>0</v>
      </c>
      <c r="Q173" t="n">
        <v>0</v>
      </c>
      <c r="R173" s="2" t="inlineStr"/>
    </row>
    <row r="174" ht="15" customHeight="1">
      <c r="A174" t="inlineStr">
        <is>
          <t>A 20054-2023</t>
        </is>
      </c>
      <c r="B174" s="1" t="n">
        <v>45054.6750462963</v>
      </c>
      <c r="C174" s="1" t="n">
        <v>46176</v>
      </c>
      <c r="D174" t="inlineStr">
        <is>
          <t>KALMAR LÄN</t>
        </is>
      </c>
      <c r="E174" t="inlineStr">
        <is>
          <t>VIMMERBY</t>
        </is>
      </c>
      <c r="G174" t="n">
        <v>2.4</v>
      </c>
      <c r="H174" t="n">
        <v>0</v>
      </c>
      <c r="I174" t="n">
        <v>0</v>
      </c>
      <c r="J174" t="n">
        <v>0</v>
      </c>
      <c r="K174" t="n">
        <v>0</v>
      </c>
      <c r="L174" t="n">
        <v>0</v>
      </c>
      <c r="M174" t="n">
        <v>0</v>
      </c>
      <c r="N174" t="n">
        <v>0</v>
      </c>
      <c r="O174" t="n">
        <v>0</v>
      </c>
      <c r="P174" t="n">
        <v>0</v>
      </c>
      <c r="Q174" t="n">
        <v>0</v>
      </c>
      <c r="R174" s="2" t="inlineStr"/>
    </row>
    <row r="175" ht="15" customHeight="1">
      <c r="A175" t="inlineStr">
        <is>
          <t>A 58374-2024</t>
        </is>
      </c>
      <c r="B175" s="1" t="n">
        <v>45632.72635416667</v>
      </c>
      <c r="C175" s="1" t="n">
        <v>46176</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13290-2025</t>
        </is>
      </c>
      <c r="B176" s="1" t="n">
        <v>45735.56751157407</v>
      </c>
      <c r="C176" s="1" t="n">
        <v>46176</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19162-2023</t>
        </is>
      </c>
      <c r="B177" s="1" t="n">
        <v>45048.59699074074</v>
      </c>
      <c r="C177" s="1" t="n">
        <v>46176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60951-2023</t>
        </is>
      </c>
      <c r="B178" s="1" t="n">
        <v>45261.44914351852</v>
      </c>
      <c r="C178" s="1" t="n">
        <v>46176</v>
      </c>
      <c r="D178" t="inlineStr">
        <is>
          <t>KALMAR LÄN</t>
        </is>
      </c>
      <c r="E178" t="inlineStr">
        <is>
          <t>VIMMERBY</t>
        </is>
      </c>
      <c r="G178" t="n">
        <v>4.3</v>
      </c>
      <c r="H178" t="n">
        <v>0</v>
      </c>
      <c r="I178" t="n">
        <v>0</v>
      </c>
      <c r="J178" t="n">
        <v>0</v>
      </c>
      <c r="K178" t="n">
        <v>0</v>
      </c>
      <c r="L178" t="n">
        <v>0</v>
      </c>
      <c r="M178" t="n">
        <v>0</v>
      </c>
      <c r="N178" t="n">
        <v>0</v>
      </c>
      <c r="O178" t="n">
        <v>0</v>
      </c>
      <c r="P178" t="n">
        <v>0</v>
      </c>
      <c r="Q178" t="n">
        <v>0</v>
      </c>
      <c r="R178" s="2" t="inlineStr"/>
    </row>
    <row r="179" ht="15" customHeight="1">
      <c r="A179" t="inlineStr">
        <is>
          <t>A 60292-2022</t>
        </is>
      </c>
      <c r="B179" s="1" t="n">
        <v>44910.54231481482</v>
      </c>
      <c r="C179" s="1" t="n">
        <v>46176</v>
      </c>
      <c r="D179" t="inlineStr">
        <is>
          <t>KALMAR LÄN</t>
        </is>
      </c>
      <c r="E179" t="inlineStr">
        <is>
          <t>VIMMERBY</t>
        </is>
      </c>
      <c r="G179" t="n">
        <v>4.4</v>
      </c>
      <c r="H179" t="n">
        <v>0</v>
      </c>
      <c r="I179" t="n">
        <v>0</v>
      </c>
      <c r="J179" t="n">
        <v>0</v>
      </c>
      <c r="K179" t="n">
        <v>0</v>
      </c>
      <c r="L179" t="n">
        <v>0</v>
      </c>
      <c r="M179" t="n">
        <v>0</v>
      </c>
      <c r="N179" t="n">
        <v>0</v>
      </c>
      <c r="O179" t="n">
        <v>0</v>
      </c>
      <c r="P179" t="n">
        <v>0</v>
      </c>
      <c r="Q179" t="n">
        <v>0</v>
      </c>
      <c r="R179" s="2" t="inlineStr"/>
    </row>
    <row r="180" ht="15" customHeight="1">
      <c r="A180" t="inlineStr">
        <is>
          <t>A 11946-2025</t>
        </is>
      </c>
      <c r="B180" s="1" t="n">
        <v>45728.54832175926</v>
      </c>
      <c r="C180" s="1" t="n">
        <v>46176</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19537-2022</t>
        </is>
      </c>
      <c r="B181" s="1" t="n">
        <v>44693.62822916666</v>
      </c>
      <c r="C181" s="1" t="n">
        <v>46176</v>
      </c>
      <c r="D181" t="inlineStr">
        <is>
          <t>KALMAR LÄN</t>
        </is>
      </c>
      <c r="E181" t="inlineStr">
        <is>
          <t>VIMMERBY</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9475-2023</t>
        </is>
      </c>
      <c r="B182" s="1" t="n">
        <v>44981.58834490741</v>
      </c>
      <c r="C182" s="1" t="n">
        <v>46176</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7485-2024</t>
        </is>
      </c>
      <c r="B183" s="1" t="n">
        <v>45346.67184027778</v>
      </c>
      <c r="C183" s="1" t="n">
        <v>46176</v>
      </c>
      <c r="D183" t="inlineStr">
        <is>
          <t>KALMAR LÄN</t>
        </is>
      </c>
      <c r="E183" t="inlineStr">
        <is>
          <t>VIMMERBY</t>
        </is>
      </c>
      <c r="G183" t="n">
        <v>1.9</v>
      </c>
      <c r="H183" t="n">
        <v>0</v>
      </c>
      <c r="I183" t="n">
        <v>0</v>
      </c>
      <c r="J183" t="n">
        <v>0</v>
      </c>
      <c r="K183" t="n">
        <v>0</v>
      </c>
      <c r="L183" t="n">
        <v>0</v>
      </c>
      <c r="M183" t="n">
        <v>0</v>
      </c>
      <c r="N183" t="n">
        <v>0</v>
      </c>
      <c r="O183" t="n">
        <v>0</v>
      </c>
      <c r="P183" t="n">
        <v>0</v>
      </c>
      <c r="Q183" t="n">
        <v>0</v>
      </c>
      <c r="R183" s="2" t="inlineStr"/>
    </row>
    <row r="184" ht="15" customHeight="1">
      <c r="A184" t="inlineStr">
        <is>
          <t>A 12590-2025</t>
        </is>
      </c>
      <c r="B184" s="1" t="n">
        <v>45732.79925925926</v>
      </c>
      <c r="C184" s="1" t="n">
        <v>46176</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35710-2023</t>
        </is>
      </c>
      <c r="B185" s="1" t="n">
        <v>45147.67096064815</v>
      </c>
      <c r="C185" s="1" t="n">
        <v>46176</v>
      </c>
      <c r="D185" t="inlineStr">
        <is>
          <t>KALMAR LÄN</t>
        </is>
      </c>
      <c r="E185" t="inlineStr">
        <is>
          <t>VIMMERBY</t>
        </is>
      </c>
      <c r="G185" t="n">
        <v>3.1</v>
      </c>
      <c r="H185" t="n">
        <v>0</v>
      </c>
      <c r="I185" t="n">
        <v>0</v>
      </c>
      <c r="J185" t="n">
        <v>0</v>
      </c>
      <c r="K185" t="n">
        <v>0</v>
      </c>
      <c r="L185" t="n">
        <v>0</v>
      </c>
      <c r="M185" t="n">
        <v>0</v>
      </c>
      <c r="N185" t="n">
        <v>0</v>
      </c>
      <c r="O185" t="n">
        <v>0</v>
      </c>
      <c r="P185" t="n">
        <v>0</v>
      </c>
      <c r="Q185" t="n">
        <v>0</v>
      </c>
      <c r="R185" s="2" t="inlineStr"/>
    </row>
    <row r="186" ht="15" customHeight="1">
      <c r="A186" t="inlineStr">
        <is>
          <t>A 52823-2024</t>
        </is>
      </c>
      <c r="B186" s="1" t="n">
        <v>45610.59094907407</v>
      </c>
      <c r="C186" s="1" t="n">
        <v>46176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11147-2023</t>
        </is>
      </c>
      <c r="B187" s="1" t="n">
        <v>44992</v>
      </c>
      <c r="C187" s="1" t="n">
        <v>46176</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19833-2023</t>
        </is>
      </c>
      <c r="B188" s="1" t="n">
        <v>45052</v>
      </c>
      <c r="C188" s="1" t="n">
        <v>46176</v>
      </c>
      <c r="D188" t="inlineStr">
        <is>
          <t>KALMAR LÄN</t>
        </is>
      </c>
      <c r="E188" t="inlineStr">
        <is>
          <t>VIMMERBY</t>
        </is>
      </c>
      <c r="G188" t="n">
        <v>6.7</v>
      </c>
      <c r="H188" t="n">
        <v>0</v>
      </c>
      <c r="I188" t="n">
        <v>0</v>
      </c>
      <c r="J188" t="n">
        <v>0</v>
      </c>
      <c r="K188" t="n">
        <v>0</v>
      </c>
      <c r="L188" t="n">
        <v>0</v>
      </c>
      <c r="M188" t="n">
        <v>0</v>
      </c>
      <c r="N188" t="n">
        <v>0</v>
      </c>
      <c r="O188" t="n">
        <v>0</v>
      </c>
      <c r="P188" t="n">
        <v>0</v>
      </c>
      <c r="Q188" t="n">
        <v>0</v>
      </c>
      <c r="R188" s="2" t="inlineStr"/>
    </row>
    <row r="189" ht="15" customHeight="1">
      <c r="A189" t="inlineStr">
        <is>
          <t>A 23252-2024</t>
        </is>
      </c>
      <c r="B189" s="1" t="n">
        <v>45453.36067129629</v>
      </c>
      <c r="C189" s="1" t="n">
        <v>46176</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47855-2024</t>
        </is>
      </c>
      <c r="B190" s="1" t="n">
        <v>45588.66457175926</v>
      </c>
      <c r="C190" s="1" t="n">
        <v>46176</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14548-2024</t>
        </is>
      </c>
      <c r="B191" s="1" t="n">
        <v>45394.66887731481</v>
      </c>
      <c r="C191" s="1" t="n">
        <v>46176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172-2022</t>
        </is>
      </c>
      <c r="B192" s="1" t="n">
        <v>44564.62598379629</v>
      </c>
      <c r="C192" s="1" t="n">
        <v>46176</v>
      </c>
      <c r="D192" t="inlineStr">
        <is>
          <t>KALMAR LÄN</t>
        </is>
      </c>
      <c r="E192" t="inlineStr">
        <is>
          <t>VIMMERBY</t>
        </is>
      </c>
      <c r="G192" t="n">
        <v>2.1</v>
      </c>
      <c r="H192" t="n">
        <v>0</v>
      </c>
      <c r="I192" t="n">
        <v>0</v>
      </c>
      <c r="J192" t="n">
        <v>0</v>
      </c>
      <c r="K192" t="n">
        <v>0</v>
      </c>
      <c r="L192" t="n">
        <v>0</v>
      </c>
      <c r="M192" t="n">
        <v>0</v>
      </c>
      <c r="N192" t="n">
        <v>0</v>
      </c>
      <c r="O192" t="n">
        <v>0</v>
      </c>
      <c r="P192" t="n">
        <v>0</v>
      </c>
      <c r="Q192" t="n">
        <v>0</v>
      </c>
      <c r="R192" s="2" t="inlineStr"/>
    </row>
    <row r="193" ht="15" customHeight="1">
      <c r="A193" t="inlineStr">
        <is>
          <t>A 585-2024</t>
        </is>
      </c>
      <c r="B193" s="1" t="n">
        <v>45299.62576388889</v>
      </c>
      <c r="C193" s="1" t="n">
        <v>46176</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15550-2023</t>
        </is>
      </c>
      <c r="B194" s="1" t="n">
        <v>45020</v>
      </c>
      <c r="C194" s="1" t="n">
        <v>46176</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39584-2024</t>
        </is>
      </c>
      <c r="B195" s="1" t="n">
        <v>45552.36759259259</v>
      </c>
      <c r="C195" s="1" t="n">
        <v>46176</v>
      </c>
      <c r="D195" t="inlineStr">
        <is>
          <t>KALMAR LÄN</t>
        </is>
      </c>
      <c r="E195" t="inlineStr">
        <is>
          <t>VIMMERBY</t>
        </is>
      </c>
      <c r="G195" t="n">
        <v>1.9</v>
      </c>
      <c r="H195" t="n">
        <v>0</v>
      </c>
      <c r="I195" t="n">
        <v>0</v>
      </c>
      <c r="J195" t="n">
        <v>0</v>
      </c>
      <c r="K195" t="n">
        <v>0</v>
      </c>
      <c r="L195" t="n">
        <v>0</v>
      </c>
      <c r="M195" t="n">
        <v>0</v>
      </c>
      <c r="N195" t="n">
        <v>0</v>
      </c>
      <c r="O195" t="n">
        <v>0</v>
      </c>
      <c r="P195" t="n">
        <v>0</v>
      </c>
      <c r="Q195" t="n">
        <v>0</v>
      </c>
      <c r="R195" s="2" t="inlineStr"/>
    </row>
    <row r="196" ht="15" customHeight="1">
      <c r="A196" t="inlineStr">
        <is>
          <t>A 56020-2024</t>
        </is>
      </c>
      <c r="B196" s="1" t="n">
        <v>45623.9525462963</v>
      </c>
      <c r="C196" s="1" t="n">
        <v>46176</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11219-2023</t>
        </is>
      </c>
      <c r="B197" s="1" t="n">
        <v>44992.62498842592</v>
      </c>
      <c r="C197" s="1" t="n">
        <v>46176</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51881-2024</t>
        </is>
      </c>
      <c r="B198" s="1" t="n">
        <v>45607.56773148148</v>
      </c>
      <c r="C198" s="1" t="n">
        <v>46176</v>
      </c>
      <c r="D198" t="inlineStr">
        <is>
          <t>KALMAR LÄN</t>
        </is>
      </c>
      <c r="E198" t="inlineStr">
        <is>
          <t>VIMMERBY</t>
        </is>
      </c>
      <c r="G198" t="n">
        <v>3.4</v>
      </c>
      <c r="H198" t="n">
        <v>0</v>
      </c>
      <c r="I198" t="n">
        <v>0</v>
      </c>
      <c r="J198" t="n">
        <v>0</v>
      </c>
      <c r="K198" t="n">
        <v>0</v>
      </c>
      <c r="L198" t="n">
        <v>0</v>
      </c>
      <c r="M198" t="n">
        <v>0</v>
      </c>
      <c r="N198" t="n">
        <v>0</v>
      </c>
      <c r="O198" t="n">
        <v>0</v>
      </c>
      <c r="P198" t="n">
        <v>0</v>
      </c>
      <c r="Q198" t="n">
        <v>0</v>
      </c>
      <c r="R198" s="2" t="inlineStr"/>
    </row>
    <row r="199" ht="15" customHeight="1">
      <c r="A199" t="inlineStr">
        <is>
          <t>A 2596-2025</t>
        </is>
      </c>
      <c r="B199" s="1" t="n">
        <v>45674.71810185185</v>
      </c>
      <c r="C199" s="1" t="n">
        <v>46176</v>
      </c>
      <c r="D199" t="inlineStr">
        <is>
          <t>KALMAR LÄN</t>
        </is>
      </c>
      <c r="E199" t="inlineStr">
        <is>
          <t>VIMMERBY</t>
        </is>
      </c>
      <c r="G199" t="n">
        <v>9</v>
      </c>
      <c r="H199" t="n">
        <v>0</v>
      </c>
      <c r="I199" t="n">
        <v>0</v>
      </c>
      <c r="J199" t="n">
        <v>0</v>
      </c>
      <c r="K199" t="n">
        <v>0</v>
      </c>
      <c r="L199" t="n">
        <v>0</v>
      </c>
      <c r="M199" t="n">
        <v>0</v>
      </c>
      <c r="N199" t="n">
        <v>0</v>
      </c>
      <c r="O199" t="n">
        <v>0</v>
      </c>
      <c r="P199" t="n">
        <v>0</v>
      </c>
      <c r="Q199" t="n">
        <v>0</v>
      </c>
      <c r="R199" s="2" t="inlineStr"/>
    </row>
    <row r="200" ht="15" customHeight="1">
      <c r="A200" t="inlineStr">
        <is>
          <t>A 16734-2023</t>
        </is>
      </c>
      <c r="B200" s="1" t="n">
        <v>45030.71012731481</v>
      </c>
      <c r="C200" s="1" t="n">
        <v>46176</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52324-2023</t>
        </is>
      </c>
      <c r="B201" s="1" t="n">
        <v>45224.64659722222</v>
      </c>
      <c r="C201" s="1" t="n">
        <v>46176</v>
      </c>
      <c r="D201" t="inlineStr">
        <is>
          <t>KALMAR LÄN</t>
        </is>
      </c>
      <c r="E201" t="inlineStr">
        <is>
          <t>VIMMERBY</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20129-2024</t>
        </is>
      </c>
      <c r="B202" s="1" t="n">
        <v>45434.55831018519</v>
      </c>
      <c r="C202" s="1" t="n">
        <v>46176</v>
      </c>
      <c r="D202" t="inlineStr">
        <is>
          <t>KALMAR LÄN</t>
        </is>
      </c>
      <c r="E202" t="inlineStr">
        <is>
          <t>VIMMERBY</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20137-2024</t>
        </is>
      </c>
      <c r="B203" s="1" t="n">
        <v>45434.56398148148</v>
      </c>
      <c r="C203" s="1" t="n">
        <v>46176</v>
      </c>
      <c r="D203" t="inlineStr">
        <is>
          <t>KALMAR LÄN</t>
        </is>
      </c>
      <c r="E203" t="inlineStr">
        <is>
          <t>VIMMERBY</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7456-2024</t>
        </is>
      </c>
      <c r="B204" s="1" t="n">
        <v>45345.83557870371</v>
      </c>
      <c r="C204" s="1" t="n">
        <v>46176</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37028-2024</t>
        </is>
      </c>
      <c r="B205" s="1" t="n">
        <v>45539.38744212963</v>
      </c>
      <c r="C205" s="1" t="n">
        <v>46176</v>
      </c>
      <c r="D205" t="inlineStr">
        <is>
          <t>KALMAR LÄN</t>
        </is>
      </c>
      <c r="E205" t="inlineStr">
        <is>
          <t>VIMMERBY</t>
        </is>
      </c>
      <c r="G205" t="n">
        <v>5.2</v>
      </c>
      <c r="H205" t="n">
        <v>0</v>
      </c>
      <c r="I205" t="n">
        <v>0</v>
      </c>
      <c r="J205" t="n">
        <v>0</v>
      </c>
      <c r="K205" t="n">
        <v>0</v>
      </c>
      <c r="L205" t="n">
        <v>0</v>
      </c>
      <c r="M205" t="n">
        <v>0</v>
      </c>
      <c r="N205" t="n">
        <v>0</v>
      </c>
      <c r="O205" t="n">
        <v>0</v>
      </c>
      <c r="P205" t="n">
        <v>0</v>
      </c>
      <c r="Q205" t="n">
        <v>0</v>
      </c>
      <c r="R205" s="2" t="inlineStr"/>
    </row>
    <row r="206" ht="15" customHeight="1">
      <c r="A206" t="inlineStr">
        <is>
          <t>A 55236-2023</t>
        </is>
      </c>
      <c r="B206" s="1" t="n">
        <v>45237.63225694445</v>
      </c>
      <c r="C206" s="1" t="n">
        <v>46176</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55245-2023</t>
        </is>
      </c>
      <c r="B207" s="1" t="n">
        <v>45237.64408564815</v>
      </c>
      <c r="C207" s="1" t="n">
        <v>46176</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17988-2025</t>
        </is>
      </c>
      <c r="B208" s="1" t="n">
        <v>45761.39600694444</v>
      </c>
      <c r="C208" s="1" t="n">
        <v>46176</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36055-2024</t>
        </is>
      </c>
      <c r="B209" s="1" t="n">
        <v>45533.63056712963</v>
      </c>
      <c r="C209" s="1" t="n">
        <v>46176</v>
      </c>
      <c r="D209" t="inlineStr">
        <is>
          <t>KALMAR LÄN</t>
        </is>
      </c>
      <c r="E209" t="inlineStr">
        <is>
          <t>VIMMERBY</t>
        </is>
      </c>
      <c r="F209" t="inlineStr">
        <is>
          <t>Kommuner</t>
        </is>
      </c>
      <c r="G209" t="n">
        <v>1.9</v>
      </c>
      <c r="H209" t="n">
        <v>0</v>
      </c>
      <c r="I209" t="n">
        <v>0</v>
      </c>
      <c r="J209" t="n">
        <v>0</v>
      </c>
      <c r="K209" t="n">
        <v>0</v>
      </c>
      <c r="L209" t="n">
        <v>0</v>
      </c>
      <c r="M209" t="n">
        <v>0</v>
      </c>
      <c r="N209" t="n">
        <v>0</v>
      </c>
      <c r="O209" t="n">
        <v>0</v>
      </c>
      <c r="P209" t="n">
        <v>0</v>
      </c>
      <c r="Q209" t="n">
        <v>0</v>
      </c>
      <c r="R209" s="2" t="inlineStr"/>
    </row>
    <row r="210" ht="15" customHeight="1">
      <c r="A210" t="inlineStr">
        <is>
          <t>A 6668-2023</t>
        </is>
      </c>
      <c r="B210" s="1" t="n">
        <v>44966</v>
      </c>
      <c r="C210" s="1" t="n">
        <v>46176</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23341-2022</t>
        </is>
      </c>
      <c r="B211" s="1" t="n">
        <v>44720.53898148148</v>
      </c>
      <c r="C211" s="1" t="n">
        <v>46176</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29168-2024</t>
        </is>
      </c>
      <c r="B212" s="1" t="n">
        <v>45482.49870370371</v>
      </c>
      <c r="C212" s="1" t="n">
        <v>46176</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40730-2024</t>
        </is>
      </c>
      <c r="B213" s="1" t="n">
        <v>45558.44914351852</v>
      </c>
      <c r="C213" s="1" t="n">
        <v>46176</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6321-2023</t>
        </is>
      </c>
      <c r="B214" s="1" t="n">
        <v>44965.4815162037</v>
      </c>
      <c r="C214" s="1" t="n">
        <v>46176</v>
      </c>
      <c r="D214" t="inlineStr">
        <is>
          <t>KALMAR LÄN</t>
        </is>
      </c>
      <c r="E214" t="inlineStr">
        <is>
          <t>VIMMERBY</t>
        </is>
      </c>
      <c r="G214" t="n">
        <v>1.8</v>
      </c>
      <c r="H214" t="n">
        <v>0</v>
      </c>
      <c r="I214" t="n">
        <v>0</v>
      </c>
      <c r="J214" t="n">
        <v>0</v>
      </c>
      <c r="K214" t="n">
        <v>0</v>
      </c>
      <c r="L214" t="n">
        <v>0</v>
      </c>
      <c r="M214" t="n">
        <v>0</v>
      </c>
      <c r="N214" t="n">
        <v>0</v>
      </c>
      <c r="O214" t="n">
        <v>0</v>
      </c>
      <c r="P214" t="n">
        <v>0</v>
      </c>
      <c r="Q214" t="n">
        <v>0</v>
      </c>
      <c r="R214" s="2" t="inlineStr"/>
    </row>
    <row r="215" ht="15" customHeight="1">
      <c r="A215" t="inlineStr">
        <is>
          <t>A 4624-2024</t>
        </is>
      </c>
      <c r="B215" s="1" t="n">
        <v>45328.38755787037</v>
      </c>
      <c r="C215" s="1" t="n">
        <v>46176</v>
      </c>
      <c r="D215" t="inlineStr">
        <is>
          <t>KALMAR LÄN</t>
        </is>
      </c>
      <c r="E215" t="inlineStr">
        <is>
          <t>VIMMERBY</t>
        </is>
      </c>
      <c r="G215" t="n">
        <v>1.7</v>
      </c>
      <c r="H215" t="n">
        <v>0</v>
      </c>
      <c r="I215" t="n">
        <v>0</v>
      </c>
      <c r="J215" t="n">
        <v>0</v>
      </c>
      <c r="K215" t="n">
        <v>0</v>
      </c>
      <c r="L215" t="n">
        <v>0</v>
      </c>
      <c r="M215" t="n">
        <v>0</v>
      </c>
      <c r="N215" t="n">
        <v>0</v>
      </c>
      <c r="O215" t="n">
        <v>0</v>
      </c>
      <c r="P215" t="n">
        <v>0</v>
      </c>
      <c r="Q215" t="n">
        <v>0</v>
      </c>
      <c r="R215" s="2" t="inlineStr"/>
    </row>
    <row r="216" ht="15" customHeight="1">
      <c r="A216" t="inlineStr">
        <is>
          <t>A 27443-2023</t>
        </is>
      </c>
      <c r="B216" s="1" t="n">
        <v>45097.40524305555</v>
      </c>
      <c r="C216" s="1" t="n">
        <v>46176</v>
      </c>
      <c r="D216" t="inlineStr">
        <is>
          <t>KALMAR LÄN</t>
        </is>
      </c>
      <c r="E216" t="inlineStr">
        <is>
          <t>VIMMERBY</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845-2023</t>
        </is>
      </c>
      <c r="B217" s="1" t="n">
        <v>44931</v>
      </c>
      <c r="C217" s="1" t="n">
        <v>46176</v>
      </c>
      <c r="D217" t="inlineStr">
        <is>
          <t>KALMAR LÄN</t>
        </is>
      </c>
      <c r="E217" t="inlineStr">
        <is>
          <t>VIMMERBY</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59598-2023</t>
        </is>
      </c>
      <c r="B218" s="1" t="n">
        <v>45254.62489583333</v>
      </c>
      <c r="C218" s="1" t="n">
        <v>46176</v>
      </c>
      <c r="D218" t="inlineStr">
        <is>
          <t>KALMAR LÄN</t>
        </is>
      </c>
      <c r="E218" t="inlineStr">
        <is>
          <t>VIMMERBY</t>
        </is>
      </c>
      <c r="F218" t="inlineStr">
        <is>
          <t>Övriga Aktiebolag</t>
        </is>
      </c>
      <c r="G218" t="n">
        <v>4</v>
      </c>
      <c r="H218" t="n">
        <v>0</v>
      </c>
      <c r="I218" t="n">
        <v>0</v>
      </c>
      <c r="J218" t="n">
        <v>0</v>
      </c>
      <c r="K218" t="n">
        <v>0</v>
      </c>
      <c r="L218" t="n">
        <v>0</v>
      </c>
      <c r="M218" t="n">
        <v>0</v>
      </c>
      <c r="N218" t="n">
        <v>0</v>
      </c>
      <c r="O218" t="n">
        <v>0</v>
      </c>
      <c r="P218" t="n">
        <v>0</v>
      </c>
      <c r="Q218" t="n">
        <v>0</v>
      </c>
      <c r="R218" s="2" t="inlineStr"/>
    </row>
    <row r="219" ht="15" customHeight="1">
      <c r="A219" t="inlineStr">
        <is>
          <t>A 7944-2024</t>
        </is>
      </c>
      <c r="B219" s="1" t="n">
        <v>45350.53306712963</v>
      </c>
      <c r="C219" s="1" t="n">
        <v>46176</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21496-2023</t>
        </is>
      </c>
      <c r="B220" s="1" t="n">
        <v>45063.49936342592</v>
      </c>
      <c r="C220" s="1" t="n">
        <v>46176</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35198-2023</t>
        </is>
      </c>
      <c r="B221" s="1" t="n">
        <v>45145</v>
      </c>
      <c r="C221" s="1" t="n">
        <v>46176</v>
      </c>
      <c r="D221" t="inlineStr">
        <is>
          <t>KALMAR LÄN</t>
        </is>
      </c>
      <c r="E221" t="inlineStr">
        <is>
          <t>VIMMERBY</t>
        </is>
      </c>
      <c r="G221" t="n">
        <v>1.6</v>
      </c>
      <c r="H221" t="n">
        <v>0</v>
      </c>
      <c r="I221" t="n">
        <v>0</v>
      </c>
      <c r="J221" t="n">
        <v>0</v>
      </c>
      <c r="K221" t="n">
        <v>0</v>
      </c>
      <c r="L221" t="n">
        <v>0</v>
      </c>
      <c r="M221" t="n">
        <v>0</v>
      </c>
      <c r="N221" t="n">
        <v>0</v>
      </c>
      <c r="O221" t="n">
        <v>0</v>
      </c>
      <c r="P221" t="n">
        <v>0</v>
      </c>
      <c r="Q221" t="n">
        <v>0</v>
      </c>
      <c r="R221" s="2" t="inlineStr"/>
    </row>
    <row r="222" ht="15" customHeight="1">
      <c r="A222" t="inlineStr">
        <is>
          <t>A 29783-2024</t>
        </is>
      </c>
      <c r="B222" s="1" t="n">
        <v>45485.45778935185</v>
      </c>
      <c r="C222" s="1" t="n">
        <v>46176</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38757-2023</t>
        </is>
      </c>
      <c r="B223" s="1" t="n">
        <v>45163.41376157408</v>
      </c>
      <c r="C223" s="1" t="n">
        <v>46176</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43853-2023</t>
        </is>
      </c>
      <c r="B224" s="1" t="n">
        <v>45187.60813657408</v>
      </c>
      <c r="C224" s="1" t="n">
        <v>46176</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2157-2024</t>
        </is>
      </c>
      <c r="B225" s="1" t="n">
        <v>45309.59487268519</v>
      </c>
      <c r="C225" s="1" t="n">
        <v>46176</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29973-2023</t>
        </is>
      </c>
      <c r="B226" s="1" t="n">
        <v>45108.703125</v>
      </c>
      <c r="C226" s="1" t="n">
        <v>46176</v>
      </c>
      <c r="D226" t="inlineStr">
        <is>
          <t>KALMAR LÄN</t>
        </is>
      </c>
      <c r="E226" t="inlineStr">
        <is>
          <t>VIMMERBY</t>
        </is>
      </c>
      <c r="G226" t="n">
        <v>4</v>
      </c>
      <c r="H226" t="n">
        <v>0</v>
      </c>
      <c r="I226" t="n">
        <v>0</v>
      </c>
      <c r="J226" t="n">
        <v>0</v>
      </c>
      <c r="K226" t="n">
        <v>0</v>
      </c>
      <c r="L226" t="n">
        <v>0</v>
      </c>
      <c r="M226" t="n">
        <v>0</v>
      </c>
      <c r="N226" t="n">
        <v>0</v>
      </c>
      <c r="O226" t="n">
        <v>0</v>
      </c>
      <c r="P226" t="n">
        <v>0</v>
      </c>
      <c r="Q226" t="n">
        <v>0</v>
      </c>
      <c r="R226" s="2" t="inlineStr"/>
    </row>
    <row r="227" ht="15" customHeight="1">
      <c r="A227" t="inlineStr">
        <is>
          <t>A 9511-2023</t>
        </is>
      </c>
      <c r="B227" s="1" t="n">
        <v>44981.64725694444</v>
      </c>
      <c r="C227" s="1" t="n">
        <v>46176</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64143-2021</t>
        </is>
      </c>
      <c r="B228" s="1" t="n">
        <v>44510.52157407408</v>
      </c>
      <c r="C228" s="1" t="n">
        <v>46176</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73938-2021</t>
        </is>
      </c>
      <c r="B229" s="1" t="n">
        <v>44553</v>
      </c>
      <c r="C229" s="1" t="n">
        <v>46176</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50648-2023</t>
        </is>
      </c>
      <c r="B230" s="1" t="n">
        <v>45217.47834490741</v>
      </c>
      <c r="C230" s="1" t="n">
        <v>46176</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40076-2021</t>
        </is>
      </c>
      <c r="B231" s="1" t="n">
        <v>44418</v>
      </c>
      <c r="C231" s="1" t="n">
        <v>46176</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63583-2023</t>
        </is>
      </c>
      <c r="B232" s="1" t="n">
        <v>45275.41833333333</v>
      </c>
      <c r="C232" s="1" t="n">
        <v>46176</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529-2022</t>
        </is>
      </c>
      <c r="B233" s="1" t="n">
        <v>44566</v>
      </c>
      <c r="C233" s="1" t="n">
        <v>46176</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58318-2021</t>
        </is>
      </c>
      <c r="B234" s="1" t="n">
        <v>44488.35878472222</v>
      </c>
      <c r="C234" s="1" t="n">
        <v>46176</v>
      </c>
      <c r="D234" t="inlineStr">
        <is>
          <t>KALMAR LÄN</t>
        </is>
      </c>
      <c r="E234" t="inlineStr">
        <is>
          <t>VIMMERBY</t>
        </is>
      </c>
      <c r="G234" t="n">
        <v>4</v>
      </c>
      <c r="H234" t="n">
        <v>0</v>
      </c>
      <c r="I234" t="n">
        <v>0</v>
      </c>
      <c r="J234" t="n">
        <v>0</v>
      </c>
      <c r="K234" t="n">
        <v>0</v>
      </c>
      <c r="L234" t="n">
        <v>0</v>
      </c>
      <c r="M234" t="n">
        <v>0</v>
      </c>
      <c r="N234" t="n">
        <v>0</v>
      </c>
      <c r="O234" t="n">
        <v>0</v>
      </c>
      <c r="P234" t="n">
        <v>0</v>
      </c>
      <c r="Q234" t="n">
        <v>0</v>
      </c>
      <c r="R234" s="2" t="inlineStr"/>
    </row>
    <row r="235" ht="15" customHeight="1">
      <c r="A235" t="inlineStr">
        <is>
          <t>A 89-2023</t>
        </is>
      </c>
      <c r="B235" s="1" t="n">
        <v>44918</v>
      </c>
      <c r="C235" s="1" t="n">
        <v>46176</v>
      </c>
      <c r="D235" t="inlineStr">
        <is>
          <t>KALMAR LÄN</t>
        </is>
      </c>
      <c r="E235" t="inlineStr">
        <is>
          <t>VIMMERBY</t>
        </is>
      </c>
      <c r="G235" t="n">
        <v>16.1</v>
      </c>
      <c r="H235" t="n">
        <v>0</v>
      </c>
      <c r="I235" t="n">
        <v>0</v>
      </c>
      <c r="J235" t="n">
        <v>0</v>
      </c>
      <c r="K235" t="n">
        <v>0</v>
      </c>
      <c r="L235" t="n">
        <v>0</v>
      </c>
      <c r="M235" t="n">
        <v>0</v>
      </c>
      <c r="N235" t="n">
        <v>0</v>
      </c>
      <c r="O235" t="n">
        <v>0</v>
      </c>
      <c r="P235" t="n">
        <v>0</v>
      </c>
      <c r="Q235" t="n">
        <v>0</v>
      </c>
      <c r="R235" s="2" t="inlineStr"/>
    </row>
    <row r="236" ht="15" customHeight="1">
      <c r="A236" t="inlineStr">
        <is>
          <t>A 40079-2023</t>
        </is>
      </c>
      <c r="B236" s="1" t="n">
        <v>45168.89298611111</v>
      </c>
      <c r="C236" s="1" t="n">
        <v>46176</v>
      </c>
      <c r="D236" t="inlineStr">
        <is>
          <t>KALMAR LÄN</t>
        </is>
      </c>
      <c r="E236" t="inlineStr">
        <is>
          <t>VIMMERBY</t>
        </is>
      </c>
      <c r="G236" t="n">
        <v>1.2</v>
      </c>
      <c r="H236" t="n">
        <v>0</v>
      </c>
      <c r="I236" t="n">
        <v>0</v>
      </c>
      <c r="J236" t="n">
        <v>0</v>
      </c>
      <c r="K236" t="n">
        <v>0</v>
      </c>
      <c r="L236" t="n">
        <v>0</v>
      </c>
      <c r="M236" t="n">
        <v>0</v>
      </c>
      <c r="N236" t="n">
        <v>0</v>
      </c>
      <c r="O236" t="n">
        <v>0</v>
      </c>
      <c r="P236" t="n">
        <v>0</v>
      </c>
      <c r="Q236" t="n">
        <v>0</v>
      </c>
      <c r="R236" s="2" t="inlineStr"/>
    </row>
    <row r="237" ht="15" customHeight="1">
      <c r="A237" t="inlineStr">
        <is>
          <t>A 43774-2023</t>
        </is>
      </c>
      <c r="B237" s="1" t="n">
        <v>45187</v>
      </c>
      <c r="C237" s="1" t="n">
        <v>46176</v>
      </c>
      <c r="D237" t="inlineStr">
        <is>
          <t>KALMAR LÄN</t>
        </is>
      </c>
      <c r="E237" t="inlineStr">
        <is>
          <t>VIMMERBY</t>
        </is>
      </c>
      <c r="G237" t="n">
        <v>3.4</v>
      </c>
      <c r="H237" t="n">
        <v>0</v>
      </c>
      <c r="I237" t="n">
        <v>0</v>
      </c>
      <c r="J237" t="n">
        <v>0</v>
      </c>
      <c r="K237" t="n">
        <v>0</v>
      </c>
      <c r="L237" t="n">
        <v>0</v>
      </c>
      <c r="M237" t="n">
        <v>0</v>
      </c>
      <c r="N237" t="n">
        <v>0</v>
      </c>
      <c r="O237" t="n">
        <v>0</v>
      </c>
      <c r="P237" t="n">
        <v>0</v>
      </c>
      <c r="Q237" t="n">
        <v>0</v>
      </c>
      <c r="R237" s="2" t="inlineStr"/>
    </row>
    <row r="238" ht="15" customHeight="1">
      <c r="A238" t="inlineStr">
        <is>
          <t>A 23088-2024</t>
        </is>
      </c>
      <c r="B238" s="1" t="n">
        <v>45450.51092592593</v>
      </c>
      <c r="C238" s="1" t="n">
        <v>46176</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39578-2024</t>
        </is>
      </c>
      <c r="B239" s="1" t="n">
        <v>45552.36484953704</v>
      </c>
      <c r="C239" s="1" t="n">
        <v>46176</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24707-2024</t>
        </is>
      </c>
      <c r="B240" s="1" t="n">
        <v>45460.62172453704</v>
      </c>
      <c r="C240" s="1" t="n">
        <v>46176</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29616-2022</t>
        </is>
      </c>
      <c r="B241" s="1" t="n">
        <v>44754</v>
      </c>
      <c r="C241" s="1" t="n">
        <v>46176</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38851-2023</t>
        </is>
      </c>
      <c r="B242" s="1" t="n">
        <v>45163</v>
      </c>
      <c r="C242" s="1" t="n">
        <v>46176</v>
      </c>
      <c r="D242" t="inlineStr">
        <is>
          <t>KALMAR LÄN</t>
        </is>
      </c>
      <c r="E242" t="inlineStr">
        <is>
          <t>VIMMERBY</t>
        </is>
      </c>
      <c r="G242" t="n">
        <v>4.3</v>
      </c>
      <c r="H242" t="n">
        <v>0</v>
      </c>
      <c r="I242" t="n">
        <v>0</v>
      </c>
      <c r="J242" t="n">
        <v>0</v>
      </c>
      <c r="K242" t="n">
        <v>0</v>
      </c>
      <c r="L242" t="n">
        <v>0</v>
      </c>
      <c r="M242" t="n">
        <v>0</v>
      </c>
      <c r="N242" t="n">
        <v>0</v>
      </c>
      <c r="O242" t="n">
        <v>0</v>
      </c>
      <c r="P242" t="n">
        <v>0</v>
      </c>
      <c r="Q242" t="n">
        <v>0</v>
      </c>
      <c r="R242" s="2" t="inlineStr"/>
    </row>
    <row r="243" ht="15" customHeight="1">
      <c r="A243" t="inlineStr">
        <is>
          <t>A 10759-2023</t>
        </is>
      </c>
      <c r="B243" s="1" t="n">
        <v>44988</v>
      </c>
      <c r="C243" s="1" t="n">
        <v>46176</v>
      </c>
      <c r="D243" t="inlineStr">
        <is>
          <t>KALMAR LÄN</t>
        </is>
      </c>
      <c r="E243" t="inlineStr">
        <is>
          <t>VIMMERBY</t>
        </is>
      </c>
      <c r="G243" t="n">
        <v>0.4</v>
      </c>
      <c r="H243" t="n">
        <v>0</v>
      </c>
      <c r="I243" t="n">
        <v>0</v>
      </c>
      <c r="J243" t="n">
        <v>0</v>
      </c>
      <c r="K243" t="n">
        <v>0</v>
      </c>
      <c r="L243" t="n">
        <v>0</v>
      </c>
      <c r="M243" t="n">
        <v>0</v>
      </c>
      <c r="N243" t="n">
        <v>0</v>
      </c>
      <c r="O243" t="n">
        <v>0</v>
      </c>
      <c r="P243" t="n">
        <v>0</v>
      </c>
      <c r="Q243" t="n">
        <v>0</v>
      </c>
      <c r="R243" s="2" t="inlineStr"/>
    </row>
    <row r="244" ht="15" customHeight="1">
      <c r="A244" t="inlineStr">
        <is>
          <t>A 40828-2023</t>
        </is>
      </c>
      <c r="B244" s="1" t="n">
        <v>45171.96248842592</v>
      </c>
      <c r="C244" s="1" t="n">
        <v>46176</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8650-2022</t>
        </is>
      </c>
      <c r="B245" s="1" t="n">
        <v>44613</v>
      </c>
      <c r="C245" s="1" t="n">
        <v>46176</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31056-2022</t>
        </is>
      </c>
      <c r="B246" s="1" t="n">
        <v>44769.45805555556</v>
      </c>
      <c r="C246" s="1" t="n">
        <v>46176</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33383-2023</t>
        </is>
      </c>
      <c r="B247" s="1" t="n">
        <v>45128.58414351852</v>
      </c>
      <c r="C247" s="1" t="n">
        <v>46176</v>
      </c>
      <c r="D247" t="inlineStr">
        <is>
          <t>KALMAR LÄN</t>
        </is>
      </c>
      <c r="E247" t="inlineStr">
        <is>
          <t>VIMMERBY</t>
        </is>
      </c>
      <c r="G247" t="n">
        <v>2.3</v>
      </c>
      <c r="H247" t="n">
        <v>0</v>
      </c>
      <c r="I247" t="n">
        <v>0</v>
      </c>
      <c r="J247" t="n">
        <v>0</v>
      </c>
      <c r="K247" t="n">
        <v>0</v>
      </c>
      <c r="L247" t="n">
        <v>0</v>
      </c>
      <c r="M247" t="n">
        <v>0</v>
      </c>
      <c r="N247" t="n">
        <v>0</v>
      </c>
      <c r="O247" t="n">
        <v>0</v>
      </c>
      <c r="P247" t="n">
        <v>0</v>
      </c>
      <c r="Q247" t="n">
        <v>0</v>
      </c>
      <c r="R247" s="2" t="inlineStr"/>
    </row>
    <row r="248" ht="15" customHeight="1">
      <c r="A248" t="inlineStr">
        <is>
          <t>A 33340-2023</t>
        </is>
      </c>
      <c r="B248" s="1" t="n">
        <v>45128.37305555555</v>
      </c>
      <c r="C248" s="1" t="n">
        <v>46176</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44423-2023</t>
        </is>
      </c>
      <c r="B249" s="1" t="n">
        <v>45189</v>
      </c>
      <c r="C249" s="1" t="n">
        <v>46176</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61861-2024</t>
        </is>
      </c>
      <c r="B250" s="1" t="n">
        <v>45650.37370370371</v>
      </c>
      <c r="C250" s="1" t="n">
        <v>46176</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37323-2024</t>
        </is>
      </c>
      <c r="B251" s="1" t="n">
        <v>45540.50098379629</v>
      </c>
      <c r="C251" s="1" t="n">
        <v>46176</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49461-2022</t>
        </is>
      </c>
      <c r="B252" s="1" t="n">
        <v>44861</v>
      </c>
      <c r="C252" s="1" t="n">
        <v>46176</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18501-2024</t>
        </is>
      </c>
      <c r="B253" s="1" t="n">
        <v>45425.57538194444</v>
      </c>
      <c r="C253" s="1" t="n">
        <v>46176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18329-2023</t>
        </is>
      </c>
      <c r="B254" s="1" t="n">
        <v>45041.63380787037</v>
      </c>
      <c r="C254" s="1" t="n">
        <v>46176</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27758-2024</t>
        </is>
      </c>
      <c r="B255" s="1" t="n">
        <v>45475.48303240741</v>
      </c>
      <c r="C255" s="1" t="n">
        <v>46176</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13307-2025</t>
        </is>
      </c>
      <c r="B256" s="1" t="n">
        <v>45735.58024305556</v>
      </c>
      <c r="C256" s="1" t="n">
        <v>46176</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694-2024</t>
        </is>
      </c>
      <c r="B257" s="1" t="n">
        <v>45300.3794212963</v>
      </c>
      <c r="C257" s="1" t="n">
        <v>46176</v>
      </c>
      <c r="D257" t="inlineStr">
        <is>
          <t>KALMAR LÄN</t>
        </is>
      </c>
      <c r="E257" t="inlineStr">
        <is>
          <t>VIMMERBY</t>
        </is>
      </c>
      <c r="G257" t="n">
        <v>1.4</v>
      </c>
      <c r="H257" t="n">
        <v>0</v>
      </c>
      <c r="I257" t="n">
        <v>0</v>
      </c>
      <c r="J257" t="n">
        <v>0</v>
      </c>
      <c r="K257" t="n">
        <v>0</v>
      </c>
      <c r="L257" t="n">
        <v>0</v>
      </c>
      <c r="M257" t="n">
        <v>0</v>
      </c>
      <c r="N257" t="n">
        <v>0</v>
      </c>
      <c r="O257" t="n">
        <v>0</v>
      </c>
      <c r="P257" t="n">
        <v>0</v>
      </c>
      <c r="Q257" t="n">
        <v>0</v>
      </c>
      <c r="R257" s="2" t="inlineStr"/>
    </row>
    <row r="258" ht="15" customHeight="1">
      <c r="A258" t="inlineStr">
        <is>
          <t>A 13015-2023</t>
        </is>
      </c>
      <c r="B258" s="1" t="n">
        <v>45002</v>
      </c>
      <c r="C258" s="1" t="n">
        <v>46176</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55716-2023</t>
        </is>
      </c>
      <c r="B259" s="1" t="n">
        <v>45232</v>
      </c>
      <c r="C259" s="1" t="n">
        <v>46176</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29186-2024</t>
        </is>
      </c>
      <c r="B260" s="1" t="n">
        <v>45482.54844907407</v>
      </c>
      <c r="C260" s="1" t="n">
        <v>46176</v>
      </c>
      <c r="D260" t="inlineStr">
        <is>
          <t>KALMAR LÄN</t>
        </is>
      </c>
      <c r="E260" t="inlineStr">
        <is>
          <t>VIMMERBY</t>
        </is>
      </c>
      <c r="G260" t="n">
        <v>2.6</v>
      </c>
      <c r="H260" t="n">
        <v>0</v>
      </c>
      <c r="I260" t="n">
        <v>0</v>
      </c>
      <c r="J260" t="n">
        <v>0</v>
      </c>
      <c r="K260" t="n">
        <v>0</v>
      </c>
      <c r="L260" t="n">
        <v>0</v>
      </c>
      <c r="M260" t="n">
        <v>0</v>
      </c>
      <c r="N260" t="n">
        <v>0</v>
      </c>
      <c r="O260" t="n">
        <v>0</v>
      </c>
      <c r="P260" t="n">
        <v>0</v>
      </c>
      <c r="Q260" t="n">
        <v>0</v>
      </c>
      <c r="R260" s="2" t="inlineStr"/>
    </row>
    <row r="261" ht="15" customHeight="1">
      <c r="A261" t="inlineStr">
        <is>
          <t>A 50993-2022</t>
        </is>
      </c>
      <c r="B261" s="1" t="n">
        <v>44867</v>
      </c>
      <c r="C261" s="1" t="n">
        <v>46176</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41158-2023</t>
        </is>
      </c>
      <c r="B262" s="1" t="n">
        <v>45174.31395833333</v>
      </c>
      <c r="C262" s="1" t="n">
        <v>46176</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54787-2023</t>
        </is>
      </c>
      <c r="B263" s="1" t="n">
        <v>45236</v>
      </c>
      <c r="C263" s="1" t="n">
        <v>46176</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32614-2023</t>
        </is>
      </c>
      <c r="B264" s="1" t="n">
        <v>45121</v>
      </c>
      <c r="C264" s="1" t="n">
        <v>46176</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2510-2023</t>
        </is>
      </c>
      <c r="B265" s="1" t="n">
        <v>44943.57309027778</v>
      </c>
      <c r="C265" s="1" t="n">
        <v>46176</v>
      </c>
      <c r="D265" t="inlineStr">
        <is>
          <t>KALMAR LÄN</t>
        </is>
      </c>
      <c r="E265" t="inlineStr">
        <is>
          <t>VIMMERBY</t>
        </is>
      </c>
      <c r="G265" t="n">
        <v>8.6</v>
      </c>
      <c r="H265" t="n">
        <v>0</v>
      </c>
      <c r="I265" t="n">
        <v>0</v>
      </c>
      <c r="J265" t="n">
        <v>0</v>
      </c>
      <c r="K265" t="n">
        <v>0</v>
      </c>
      <c r="L265" t="n">
        <v>0</v>
      </c>
      <c r="M265" t="n">
        <v>0</v>
      </c>
      <c r="N265" t="n">
        <v>0</v>
      </c>
      <c r="O265" t="n">
        <v>0</v>
      </c>
      <c r="P265" t="n">
        <v>0</v>
      </c>
      <c r="Q265" t="n">
        <v>0</v>
      </c>
      <c r="R265" s="2" t="inlineStr"/>
    </row>
    <row r="266" ht="15" customHeight="1">
      <c r="A266" t="inlineStr">
        <is>
          <t>A 6850-2023</t>
        </is>
      </c>
      <c r="B266" s="1" t="n">
        <v>44967.44255787037</v>
      </c>
      <c r="C266" s="1" t="n">
        <v>46176</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58750-2022</t>
        </is>
      </c>
      <c r="B267" s="1" t="n">
        <v>44903.33363425926</v>
      </c>
      <c r="C267" s="1" t="n">
        <v>46176</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3269-2024</t>
        </is>
      </c>
      <c r="B268" s="1" t="n">
        <v>45317.40372685185</v>
      </c>
      <c r="C268" s="1" t="n">
        <v>46176</v>
      </c>
      <c r="D268" t="inlineStr">
        <is>
          <t>KALMAR LÄN</t>
        </is>
      </c>
      <c r="E268" t="inlineStr">
        <is>
          <t>VIMMERBY</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48120-2022</t>
        </is>
      </c>
      <c r="B269" s="1" t="n">
        <v>44857.65989583333</v>
      </c>
      <c r="C269" s="1" t="n">
        <v>46176</v>
      </c>
      <c r="D269" t="inlineStr">
        <is>
          <t>KALMAR LÄN</t>
        </is>
      </c>
      <c r="E269" t="inlineStr">
        <is>
          <t>VIMMERBY</t>
        </is>
      </c>
      <c r="G269" t="n">
        <v>1.7</v>
      </c>
      <c r="H269" t="n">
        <v>0</v>
      </c>
      <c r="I269" t="n">
        <v>0</v>
      </c>
      <c r="J269" t="n">
        <v>0</v>
      </c>
      <c r="K269" t="n">
        <v>0</v>
      </c>
      <c r="L269" t="n">
        <v>0</v>
      </c>
      <c r="M269" t="n">
        <v>0</v>
      </c>
      <c r="N269" t="n">
        <v>0</v>
      </c>
      <c r="O269" t="n">
        <v>0</v>
      </c>
      <c r="P269" t="n">
        <v>0</v>
      </c>
      <c r="Q269" t="n">
        <v>0</v>
      </c>
      <c r="R269" s="2" t="inlineStr"/>
    </row>
    <row r="270" ht="15" customHeight="1">
      <c r="A270" t="inlineStr">
        <is>
          <t>A 6368-2023</t>
        </is>
      </c>
      <c r="B270" s="1" t="n">
        <v>44965</v>
      </c>
      <c r="C270" s="1" t="n">
        <v>46176</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11798-2026</t>
        </is>
      </c>
      <c r="B271" s="1" t="n">
        <v>46085.34020833333</v>
      </c>
      <c r="C271" s="1" t="n">
        <v>46176</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9416-2024</t>
        </is>
      </c>
      <c r="B272" s="1" t="n">
        <v>45359.44837962963</v>
      </c>
      <c r="C272" s="1" t="n">
        <v>46176</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32380-2025</t>
        </is>
      </c>
      <c r="B273" s="1" t="n">
        <v>45837.77701388889</v>
      </c>
      <c r="C273" s="1" t="n">
        <v>46176</v>
      </c>
      <c r="D273" t="inlineStr">
        <is>
          <t>KALMAR LÄN</t>
        </is>
      </c>
      <c r="E273" t="inlineStr">
        <is>
          <t>VIMMERBY</t>
        </is>
      </c>
      <c r="G273" t="n">
        <v>3.1</v>
      </c>
      <c r="H273" t="n">
        <v>0</v>
      </c>
      <c r="I273" t="n">
        <v>0</v>
      </c>
      <c r="J273" t="n">
        <v>0</v>
      </c>
      <c r="K273" t="n">
        <v>0</v>
      </c>
      <c r="L273" t="n">
        <v>0</v>
      </c>
      <c r="M273" t="n">
        <v>0</v>
      </c>
      <c r="N273" t="n">
        <v>0</v>
      </c>
      <c r="O273" t="n">
        <v>0</v>
      </c>
      <c r="P273" t="n">
        <v>0</v>
      </c>
      <c r="Q273" t="n">
        <v>0</v>
      </c>
      <c r="R273" s="2" t="inlineStr"/>
    </row>
    <row r="274" ht="15" customHeight="1">
      <c r="A274" t="inlineStr">
        <is>
          <t>A 33186-2025</t>
        </is>
      </c>
      <c r="B274" s="1" t="n">
        <v>45840.59474537037</v>
      </c>
      <c r="C274" s="1" t="n">
        <v>46176</v>
      </c>
      <c r="D274" t="inlineStr">
        <is>
          <t>KALMAR LÄN</t>
        </is>
      </c>
      <c r="E274" t="inlineStr">
        <is>
          <t>VIMMERBY</t>
        </is>
      </c>
      <c r="G274" t="n">
        <v>2.6</v>
      </c>
      <c r="H274" t="n">
        <v>0</v>
      </c>
      <c r="I274" t="n">
        <v>0</v>
      </c>
      <c r="J274" t="n">
        <v>0</v>
      </c>
      <c r="K274" t="n">
        <v>0</v>
      </c>
      <c r="L274" t="n">
        <v>0</v>
      </c>
      <c r="M274" t="n">
        <v>0</v>
      </c>
      <c r="N274" t="n">
        <v>0</v>
      </c>
      <c r="O274" t="n">
        <v>0</v>
      </c>
      <c r="P274" t="n">
        <v>0</v>
      </c>
      <c r="Q274" t="n">
        <v>0</v>
      </c>
      <c r="R274" s="2" t="inlineStr"/>
    </row>
    <row r="275" ht="15" customHeight="1">
      <c r="A275" t="inlineStr">
        <is>
          <t>A 33695-2025</t>
        </is>
      </c>
      <c r="B275" s="1" t="n">
        <v>45841.70569444444</v>
      </c>
      <c r="C275" s="1" t="n">
        <v>46176</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33698-2025</t>
        </is>
      </c>
      <c r="B276" s="1" t="n">
        <v>45841.70868055556</v>
      </c>
      <c r="C276" s="1" t="n">
        <v>46176</v>
      </c>
      <c r="D276" t="inlineStr">
        <is>
          <t>KALMAR LÄN</t>
        </is>
      </c>
      <c r="E276" t="inlineStr">
        <is>
          <t>VIMMERBY</t>
        </is>
      </c>
      <c r="G276" t="n">
        <v>3.7</v>
      </c>
      <c r="H276" t="n">
        <v>0</v>
      </c>
      <c r="I276" t="n">
        <v>0</v>
      </c>
      <c r="J276" t="n">
        <v>0</v>
      </c>
      <c r="K276" t="n">
        <v>0</v>
      </c>
      <c r="L276" t="n">
        <v>0</v>
      </c>
      <c r="M276" t="n">
        <v>0</v>
      </c>
      <c r="N276" t="n">
        <v>0</v>
      </c>
      <c r="O276" t="n">
        <v>0</v>
      </c>
      <c r="P276" t="n">
        <v>0</v>
      </c>
      <c r="Q276" t="n">
        <v>0</v>
      </c>
      <c r="R276" s="2" t="inlineStr"/>
    </row>
    <row r="277" ht="15" customHeight="1">
      <c r="A277" t="inlineStr">
        <is>
          <t>A 2797-2023</t>
        </is>
      </c>
      <c r="B277" s="1" t="n">
        <v>44944.71386574074</v>
      </c>
      <c r="C277" s="1" t="n">
        <v>46176</v>
      </c>
      <c r="D277" t="inlineStr">
        <is>
          <t>KALMAR LÄN</t>
        </is>
      </c>
      <c r="E277" t="inlineStr">
        <is>
          <t>VIMMERBY</t>
        </is>
      </c>
      <c r="G277" t="n">
        <v>3.4</v>
      </c>
      <c r="H277" t="n">
        <v>0</v>
      </c>
      <c r="I277" t="n">
        <v>0</v>
      </c>
      <c r="J277" t="n">
        <v>0</v>
      </c>
      <c r="K277" t="n">
        <v>0</v>
      </c>
      <c r="L277" t="n">
        <v>0</v>
      </c>
      <c r="M277" t="n">
        <v>0</v>
      </c>
      <c r="N277" t="n">
        <v>0</v>
      </c>
      <c r="O277" t="n">
        <v>0</v>
      </c>
      <c r="P277" t="n">
        <v>0</v>
      </c>
      <c r="Q277" t="n">
        <v>0</v>
      </c>
      <c r="R277" s="2" t="inlineStr"/>
    </row>
    <row r="278" ht="15" customHeight="1">
      <c r="A278" t="inlineStr">
        <is>
          <t>A 2799-2023</t>
        </is>
      </c>
      <c r="B278" s="1" t="n">
        <v>44944.72100694444</v>
      </c>
      <c r="C278" s="1" t="n">
        <v>46176</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38604-2025</t>
        </is>
      </c>
      <c r="B279" s="1" t="n">
        <v>45884.50613425926</v>
      </c>
      <c r="C279" s="1" t="n">
        <v>46176</v>
      </c>
      <c r="D279" t="inlineStr">
        <is>
          <t>KALMAR LÄN</t>
        </is>
      </c>
      <c r="E279" t="inlineStr">
        <is>
          <t>VIMMERBY</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30977-2025</t>
        </is>
      </c>
      <c r="B280" s="1" t="n">
        <v>45832.46649305556</v>
      </c>
      <c r="C280" s="1" t="n">
        <v>46176</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25987-2024</t>
        </is>
      </c>
      <c r="B281" s="1" t="n">
        <v>45467.74417824074</v>
      </c>
      <c r="C281" s="1" t="n">
        <v>46176</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33696-2025</t>
        </is>
      </c>
      <c r="B282" s="1" t="n">
        <v>45841.7072337963</v>
      </c>
      <c r="C282" s="1" t="n">
        <v>46176</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22194-2024</t>
        </is>
      </c>
      <c r="B283" s="1" t="n">
        <v>45446.36482638889</v>
      </c>
      <c r="C283" s="1" t="n">
        <v>46176</v>
      </c>
      <c r="D283" t="inlineStr">
        <is>
          <t>KALMAR LÄN</t>
        </is>
      </c>
      <c r="E283" t="inlineStr">
        <is>
          <t>VIMMERBY</t>
        </is>
      </c>
      <c r="F283" t="inlineStr">
        <is>
          <t>Sveaskog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26956-2025</t>
        </is>
      </c>
      <c r="B284" s="1" t="n">
        <v>45811.45460648148</v>
      </c>
      <c r="C284" s="1" t="n">
        <v>46176</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34071-2025</t>
        </is>
      </c>
      <c r="B285" s="1" t="n">
        <v>45845.43803240741</v>
      </c>
      <c r="C285" s="1" t="n">
        <v>46176</v>
      </c>
      <c r="D285" t="inlineStr">
        <is>
          <t>KALMAR LÄN</t>
        </is>
      </c>
      <c r="E285" t="inlineStr">
        <is>
          <t>VIMMERBY</t>
        </is>
      </c>
      <c r="G285" t="n">
        <v>6.8</v>
      </c>
      <c r="H285" t="n">
        <v>0</v>
      </c>
      <c r="I285" t="n">
        <v>0</v>
      </c>
      <c r="J285" t="n">
        <v>0</v>
      </c>
      <c r="K285" t="n">
        <v>0</v>
      </c>
      <c r="L285" t="n">
        <v>0</v>
      </c>
      <c r="M285" t="n">
        <v>0</v>
      </c>
      <c r="N285" t="n">
        <v>0</v>
      </c>
      <c r="O285" t="n">
        <v>0</v>
      </c>
      <c r="P285" t="n">
        <v>0</v>
      </c>
      <c r="Q285" t="n">
        <v>0</v>
      </c>
      <c r="R285" s="2" t="inlineStr"/>
    </row>
    <row r="286" ht="15" customHeight="1">
      <c r="A286" t="inlineStr">
        <is>
          <t>A 34106-2025</t>
        </is>
      </c>
      <c r="B286" s="1" t="n">
        <v>45845.49414351852</v>
      </c>
      <c r="C286" s="1" t="n">
        <v>46176</v>
      </c>
      <c r="D286" t="inlineStr">
        <is>
          <t>KALMAR LÄN</t>
        </is>
      </c>
      <c r="E286" t="inlineStr">
        <is>
          <t>VIMMERBY</t>
        </is>
      </c>
      <c r="G286" t="n">
        <v>6</v>
      </c>
      <c r="H286" t="n">
        <v>0</v>
      </c>
      <c r="I286" t="n">
        <v>0</v>
      </c>
      <c r="J286" t="n">
        <v>0</v>
      </c>
      <c r="K286" t="n">
        <v>0</v>
      </c>
      <c r="L286" t="n">
        <v>0</v>
      </c>
      <c r="M286" t="n">
        <v>0</v>
      </c>
      <c r="N286" t="n">
        <v>0</v>
      </c>
      <c r="O286" t="n">
        <v>0</v>
      </c>
      <c r="P286" t="n">
        <v>0</v>
      </c>
      <c r="Q286" t="n">
        <v>0</v>
      </c>
      <c r="R286" s="2" t="inlineStr"/>
    </row>
    <row r="287" ht="15" customHeight="1">
      <c r="A287" t="inlineStr">
        <is>
          <t>A 28702-2025</t>
        </is>
      </c>
      <c r="B287" s="1" t="n">
        <v>45820.03976851852</v>
      </c>
      <c r="C287" s="1" t="n">
        <v>46176</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12630-2023</t>
        </is>
      </c>
      <c r="B288" s="1" t="n">
        <v>45000.47998842593</v>
      </c>
      <c r="C288" s="1" t="n">
        <v>46176</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12730-2026</t>
        </is>
      </c>
      <c r="B289" s="1" t="n">
        <v>46091</v>
      </c>
      <c r="C289" s="1" t="n">
        <v>46176</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12820-2026</t>
        </is>
      </c>
      <c r="B290" s="1" t="n">
        <v>46092.40909722223</v>
      </c>
      <c r="C290" s="1" t="n">
        <v>46176</v>
      </c>
      <c r="D290" t="inlineStr">
        <is>
          <t>KALMAR LÄN</t>
        </is>
      </c>
      <c r="E290" t="inlineStr">
        <is>
          <t>VIMMERBY</t>
        </is>
      </c>
      <c r="G290" t="n">
        <v>4.3</v>
      </c>
      <c r="H290" t="n">
        <v>0</v>
      </c>
      <c r="I290" t="n">
        <v>0</v>
      </c>
      <c r="J290" t="n">
        <v>0</v>
      </c>
      <c r="K290" t="n">
        <v>0</v>
      </c>
      <c r="L290" t="n">
        <v>0</v>
      </c>
      <c r="M290" t="n">
        <v>0</v>
      </c>
      <c r="N290" t="n">
        <v>0</v>
      </c>
      <c r="O290" t="n">
        <v>0</v>
      </c>
      <c r="P290" t="n">
        <v>0</v>
      </c>
      <c r="Q290" t="n">
        <v>0</v>
      </c>
      <c r="R290" s="2" t="inlineStr"/>
    </row>
    <row r="291" ht="15" customHeight="1">
      <c r="A291" t="inlineStr">
        <is>
          <t>A 12821-2026</t>
        </is>
      </c>
      <c r="B291" s="1" t="n">
        <v>46092.41256944444</v>
      </c>
      <c r="C291" s="1" t="n">
        <v>46176</v>
      </c>
      <c r="D291" t="inlineStr">
        <is>
          <t>KALMAR LÄN</t>
        </is>
      </c>
      <c r="E291" t="inlineStr">
        <is>
          <t>VIMMERBY</t>
        </is>
      </c>
      <c r="G291" t="n">
        <v>2.5</v>
      </c>
      <c r="H291" t="n">
        <v>0</v>
      </c>
      <c r="I291" t="n">
        <v>0</v>
      </c>
      <c r="J291" t="n">
        <v>0</v>
      </c>
      <c r="K291" t="n">
        <v>0</v>
      </c>
      <c r="L291" t="n">
        <v>0</v>
      </c>
      <c r="M291" t="n">
        <v>0</v>
      </c>
      <c r="N291" t="n">
        <v>0</v>
      </c>
      <c r="O291" t="n">
        <v>0</v>
      </c>
      <c r="P291" t="n">
        <v>0</v>
      </c>
      <c r="Q291" t="n">
        <v>0</v>
      </c>
      <c r="R291" s="2" t="inlineStr"/>
    </row>
    <row r="292" ht="15" customHeight="1">
      <c r="A292" t="inlineStr">
        <is>
          <t>A 12825-2026</t>
        </is>
      </c>
      <c r="B292" s="1" t="n">
        <v>46092.41561342592</v>
      </c>
      <c r="C292" s="1" t="n">
        <v>46176</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21109-2024</t>
        </is>
      </c>
      <c r="B293" s="1" t="n">
        <v>45440.28329861111</v>
      </c>
      <c r="C293" s="1" t="n">
        <v>46176</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30634-2024</t>
        </is>
      </c>
      <c r="B294" s="1" t="n">
        <v>45495</v>
      </c>
      <c r="C294" s="1" t="n">
        <v>46176</v>
      </c>
      <c r="D294" t="inlineStr">
        <is>
          <t>KALMAR LÄN</t>
        </is>
      </c>
      <c r="E294" t="inlineStr">
        <is>
          <t>VIMMERBY</t>
        </is>
      </c>
      <c r="G294" t="n">
        <v>1.2</v>
      </c>
      <c r="H294" t="n">
        <v>0</v>
      </c>
      <c r="I294" t="n">
        <v>0</v>
      </c>
      <c r="J294" t="n">
        <v>0</v>
      </c>
      <c r="K294" t="n">
        <v>0</v>
      </c>
      <c r="L294" t="n">
        <v>0</v>
      </c>
      <c r="M294" t="n">
        <v>0</v>
      </c>
      <c r="N294" t="n">
        <v>0</v>
      </c>
      <c r="O294" t="n">
        <v>0</v>
      </c>
      <c r="P294" t="n">
        <v>0</v>
      </c>
      <c r="Q294" t="n">
        <v>0</v>
      </c>
      <c r="R294" s="2" t="inlineStr"/>
    </row>
    <row r="295" ht="15" customHeight="1">
      <c r="A295" t="inlineStr">
        <is>
          <t>A 40260-2024</t>
        </is>
      </c>
      <c r="B295" s="1" t="n">
        <v>45554.63225694445</v>
      </c>
      <c r="C295" s="1" t="n">
        <v>46176</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29726-2025</t>
        </is>
      </c>
      <c r="B296" s="1" t="n">
        <v>45825.57805555555</v>
      </c>
      <c r="C296" s="1" t="n">
        <v>46176</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34628-2025</t>
        </is>
      </c>
      <c r="B297" s="1" t="n">
        <v>45847.91280092593</v>
      </c>
      <c r="C297" s="1" t="n">
        <v>46176</v>
      </c>
      <c r="D297" t="inlineStr">
        <is>
          <t>KALMAR LÄN</t>
        </is>
      </c>
      <c r="E297" t="inlineStr">
        <is>
          <t>VIMMERBY</t>
        </is>
      </c>
      <c r="G297" t="n">
        <v>4.2</v>
      </c>
      <c r="H297" t="n">
        <v>0</v>
      </c>
      <c r="I297" t="n">
        <v>0</v>
      </c>
      <c r="J297" t="n">
        <v>0</v>
      </c>
      <c r="K297" t="n">
        <v>0</v>
      </c>
      <c r="L297" t="n">
        <v>0</v>
      </c>
      <c r="M297" t="n">
        <v>0</v>
      </c>
      <c r="N297" t="n">
        <v>0</v>
      </c>
      <c r="O297" t="n">
        <v>0</v>
      </c>
      <c r="P297" t="n">
        <v>0</v>
      </c>
      <c r="Q297" t="n">
        <v>0</v>
      </c>
      <c r="R297" s="2" t="inlineStr"/>
    </row>
    <row r="298" ht="15" customHeight="1">
      <c r="A298" t="inlineStr">
        <is>
          <t>A 20017-2026</t>
        </is>
      </c>
      <c r="B298" s="1" t="n">
        <v>46136.49986111111</v>
      </c>
      <c r="C298" s="1" t="n">
        <v>46176</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39801-2025</t>
        </is>
      </c>
      <c r="B299" s="1" t="n">
        <v>45891.50216435185</v>
      </c>
      <c r="C299" s="1" t="n">
        <v>46176</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39807-2025</t>
        </is>
      </c>
      <c r="B300" s="1" t="n">
        <v>45891.50986111111</v>
      </c>
      <c r="C300" s="1" t="n">
        <v>46176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39736-2025</t>
        </is>
      </c>
      <c r="B301" s="1" t="n">
        <v>45891</v>
      </c>
      <c r="C301" s="1" t="n">
        <v>46176</v>
      </c>
      <c r="D301" t="inlineStr">
        <is>
          <t>KALMAR LÄN</t>
        </is>
      </c>
      <c r="E301" t="inlineStr">
        <is>
          <t>VIMMERBY</t>
        </is>
      </c>
      <c r="G301" t="n">
        <v>12.8</v>
      </c>
      <c r="H301" t="n">
        <v>0</v>
      </c>
      <c r="I301" t="n">
        <v>0</v>
      </c>
      <c r="J301" t="n">
        <v>0</v>
      </c>
      <c r="K301" t="n">
        <v>0</v>
      </c>
      <c r="L301" t="n">
        <v>0</v>
      </c>
      <c r="M301" t="n">
        <v>0</v>
      </c>
      <c r="N301" t="n">
        <v>0</v>
      </c>
      <c r="O301" t="n">
        <v>0</v>
      </c>
      <c r="P301" t="n">
        <v>0</v>
      </c>
      <c r="Q301" t="n">
        <v>0</v>
      </c>
      <c r="R301" s="2" t="inlineStr"/>
    </row>
    <row r="302" ht="15" customHeight="1">
      <c r="A302" t="inlineStr">
        <is>
          <t>A 20018-2026</t>
        </is>
      </c>
      <c r="B302" s="1" t="n">
        <v>46136.50282407407</v>
      </c>
      <c r="C302" s="1" t="n">
        <v>46176</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59943-2023</t>
        </is>
      </c>
      <c r="B303" s="1" t="n">
        <v>45257.67958333333</v>
      </c>
      <c r="C303" s="1" t="n">
        <v>46176</v>
      </c>
      <c r="D303" t="inlineStr">
        <is>
          <t>KALMAR LÄN</t>
        </is>
      </c>
      <c r="E303" t="inlineStr">
        <is>
          <t>VIMMERBY</t>
        </is>
      </c>
      <c r="G303" t="n">
        <v>6.4</v>
      </c>
      <c r="H303" t="n">
        <v>0</v>
      </c>
      <c r="I303" t="n">
        <v>0</v>
      </c>
      <c r="J303" t="n">
        <v>0</v>
      </c>
      <c r="K303" t="n">
        <v>0</v>
      </c>
      <c r="L303" t="n">
        <v>0</v>
      </c>
      <c r="M303" t="n">
        <v>0</v>
      </c>
      <c r="N303" t="n">
        <v>0</v>
      </c>
      <c r="O303" t="n">
        <v>0</v>
      </c>
      <c r="P303" t="n">
        <v>0</v>
      </c>
      <c r="Q303" t="n">
        <v>0</v>
      </c>
      <c r="R303" s="2" t="inlineStr"/>
    </row>
    <row r="304" ht="15" customHeight="1">
      <c r="A304" t="inlineStr">
        <is>
          <t>A 35270-2025</t>
        </is>
      </c>
      <c r="B304" s="1" t="n">
        <v>45853.87112268519</v>
      </c>
      <c r="C304" s="1" t="n">
        <v>46176</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35271-2025</t>
        </is>
      </c>
      <c r="B305" s="1" t="n">
        <v>45853.87599537037</v>
      </c>
      <c r="C305" s="1" t="n">
        <v>46176</v>
      </c>
      <c r="D305" t="inlineStr">
        <is>
          <t>KALMAR LÄN</t>
        </is>
      </c>
      <c r="E305" t="inlineStr">
        <is>
          <t>VIMMERBY</t>
        </is>
      </c>
      <c r="G305" t="n">
        <v>0.4</v>
      </c>
      <c r="H305" t="n">
        <v>0</v>
      </c>
      <c r="I305" t="n">
        <v>0</v>
      </c>
      <c r="J305" t="n">
        <v>0</v>
      </c>
      <c r="K305" t="n">
        <v>0</v>
      </c>
      <c r="L305" t="n">
        <v>0</v>
      </c>
      <c r="M305" t="n">
        <v>0</v>
      </c>
      <c r="N305" t="n">
        <v>0</v>
      </c>
      <c r="O305" t="n">
        <v>0</v>
      </c>
      <c r="P305" t="n">
        <v>0</v>
      </c>
      <c r="Q305" t="n">
        <v>0</v>
      </c>
      <c r="R305" s="2" t="inlineStr"/>
    </row>
    <row r="306" ht="15" customHeight="1">
      <c r="A306" t="inlineStr">
        <is>
          <t>A 35272-2025</t>
        </is>
      </c>
      <c r="B306" s="1" t="n">
        <v>45853.88070601852</v>
      </c>
      <c r="C306" s="1" t="n">
        <v>46176</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16953-2025</t>
        </is>
      </c>
      <c r="B307" s="1" t="n">
        <v>45755.44333333334</v>
      </c>
      <c r="C307" s="1" t="n">
        <v>46176</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35596-2025</t>
        </is>
      </c>
      <c r="B308" s="1" t="n">
        <v>45858.60641203704</v>
      </c>
      <c r="C308" s="1" t="n">
        <v>46176</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35597-2025</t>
        </is>
      </c>
      <c r="B309" s="1" t="n">
        <v>45858.66019675926</v>
      </c>
      <c r="C309" s="1" t="n">
        <v>46176</v>
      </c>
      <c r="D309" t="inlineStr">
        <is>
          <t>KALMAR LÄN</t>
        </is>
      </c>
      <c r="E309" t="inlineStr">
        <is>
          <t>VIMMERBY</t>
        </is>
      </c>
      <c r="G309" t="n">
        <v>6.4</v>
      </c>
      <c r="H309" t="n">
        <v>0</v>
      </c>
      <c r="I309" t="n">
        <v>0</v>
      </c>
      <c r="J309" t="n">
        <v>0</v>
      </c>
      <c r="K309" t="n">
        <v>0</v>
      </c>
      <c r="L309" t="n">
        <v>0</v>
      </c>
      <c r="M309" t="n">
        <v>0</v>
      </c>
      <c r="N309" t="n">
        <v>0</v>
      </c>
      <c r="O309" t="n">
        <v>0</v>
      </c>
      <c r="P309" t="n">
        <v>0</v>
      </c>
      <c r="Q309" t="n">
        <v>0</v>
      </c>
      <c r="R309" s="2" t="inlineStr"/>
    </row>
    <row r="310" ht="15" customHeight="1">
      <c r="A310" t="inlineStr">
        <is>
          <t>A 13667-2026</t>
        </is>
      </c>
      <c r="B310" s="1" t="n">
        <v>46097</v>
      </c>
      <c r="C310" s="1" t="n">
        <v>46176</v>
      </c>
      <c r="D310" t="inlineStr">
        <is>
          <t>KALMAR LÄN</t>
        </is>
      </c>
      <c r="E310" t="inlineStr">
        <is>
          <t>VIMMERBY</t>
        </is>
      </c>
      <c r="G310" t="n">
        <v>6.8</v>
      </c>
      <c r="H310" t="n">
        <v>0</v>
      </c>
      <c r="I310" t="n">
        <v>0</v>
      </c>
      <c r="J310" t="n">
        <v>0</v>
      </c>
      <c r="K310" t="n">
        <v>0</v>
      </c>
      <c r="L310" t="n">
        <v>0</v>
      </c>
      <c r="M310" t="n">
        <v>0</v>
      </c>
      <c r="N310" t="n">
        <v>0</v>
      </c>
      <c r="O310" t="n">
        <v>0</v>
      </c>
      <c r="P310" t="n">
        <v>0</v>
      </c>
      <c r="Q310" t="n">
        <v>0</v>
      </c>
      <c r="R310" s="2" t="inlineStr"/>
    </row>
    <row r="311" ht="15" customHeight="1">
      <c r="A311" t="inlineStr">
        <is>
          <t>A 39803-2025</t>
        </is>
      </c>
      <c r="B311" s="1" t="n">
        <v>45891.50525462963</v>
      </c>
      <c r="C311" s="1" t="n">
        <v>46176</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13793-2026</t>
        </is>
      </c>
      <c r="B312" s="1" t="n">
        <v>46097.79199074074</v>
      </c>
      <c r="C312" s="1" t="n">
        <v>46176</v>
      </c>
      <c r="D312" t="inlineStr">
        <is>
          <t>KALMAR LÄN</t>
        </is>
      </c>
      <c r="E312" t="inlineStr">
        <is>
          <t>VIMMERBY</t>
        </is>
      </c>
      <c r="G312" t="n">
        <v>2.9</v>
      </c>
      <c r="H312" t="n">
        <v>0</v>
      </c>
      <c r="I312" t="n">
        <v>0</v>
      </c>
      <c r="J312" t="n">
        <v>0</v>
      </c>
      <c r="K312" t="n">
        <v>0</v>
      </c>
      <c r="L312" t="n">
        <v>0</v>
      </c>
      <c r="M312" t="n">
        <v>0</v>
      </c>
      <c r="N312" t="n">
        <v>0</v>
      </c>
      <c r="O312" t="n">
        <v>0</v>
      </c>
      <c r="P312" t="n">
        <v>0</v>
      </c>
      <c r="Q312" t="n">
        <v>0</v>
      </c>
      <c r="R312" s="2" t="inlineStr"/>
    </row>
    <row r="313" ht="15" customHeight="1">
      <c r="A313" t="inlineStr">
        <is>
          <t>A 39889-2025</t>
        </is>
      </c>
      <c r="B313" s="1" t="n">
        <v>45891</v>
      </c>
      <c r="C313" s="1" t="n">
        <v>46176</v>
      </c>
      <c r="D313" t="inlineStr">
        <is>
          <t>KALMAR LÄN</t>
        </is>
      </c>
      <c r="E313" t="inlineStr">
        <is>
          <t>VIMMERBY</t>
        </is>
      </c>
      <c r="G313" t="n">
        <v>4.5</v>
      </c>
      <c r="H313" t="n">
        <v>0</v>
      </c>
      <c r="I313" t="n">
        <v>0</v>
      </c>
      <c r="J313" t="n">
        <v>0</v>
      </c>
      <c r="K313" t="n">
        <v>0</v>
      </c>
      <c r="L313" t="n">
        <v>0</v>
      </c>
      <c r="M313" t="n">
        <v>0</v>
      </c>
      <c r="N313" t="n">
        <v>0</v>
      </c>
      <c r="O313" t="n">
        <v>0</v>
      </c>
      <c r="P313" t="n">
        <v>0</v>
      </c>
      <c r="Q313" t="n">
        <v>0</v>
      </c>
      <c r="R313" s="2" t="inlineStr"/>
    </row>
    <row r="314" ht="15" customHeight="1">
      <c r="A314" t="inlineStr">
        <is>
          <t>A 5527-2022</t>
        </is>
      </c>
      <c r="B314" s="1" t="n">
        <v>44595.583125</v>
      </c>
      <c r="C314" s="1" t="n">
        <v>46176</v>
      </c>
      <c r="D314" t="inlineStr">
        <is>
          <t>KALMAR LÄN</t>
        </is>
      </c>
      <c r="E314" t="inlineStr">
        <is>
          <t>VIMMERBY</t>
        </is>
      </c>
      <c r="G314" t="n">
        <v>3.6</v>
      </c>
      <c r="H314" t="n">
        <v>0</v>
      </c>
      <c r="I314" t="n">
        <v>0</v>
      </c>
      <c r="J314" t="n">
        <v>0</v>
      </c>
      <c r="K314" t="n">
        <v>0</v>
      </c>
      <c r="L314" t="n">
        <v>0</v>
      </c>
      <c r="M314" t="n">
        <v>0</v>
      </c>
      <c r="N314" t="n">
        <v>0</v>
      </c>
      <c r="O314" t="n">
        <v>0</v>
      </c>
      <c r="P314" t="n">
        <v>0</v>
      </c>
      <c r="Q314" t="n">
        <v>0</v>
      </c>
      <c r="R314" s="2" t="inlineStr"/>
    </row>
    <row r="315" ht="15" customHeight="1">
      <c r="A315" t="inlineStr">
        <is>
          <t>A 13714-2026</t>
        </is>
      </c>
      <c r="B315" s="1" t="n">
        <v>46097.58472222222</v>
      </c>
      <c r="C315" s="1" t="n">
        <v>46176</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36226-2025</t>
        </is>
      </c>
      <c r="B316" s="1" t="n">
        <v>45867.51630787037</v>
      </c>
      <c r="C316" s="1" t="n">
        <v>46176</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36273-2025</t>
        </is>
      </c>
      <c r="B317" s="1" t="n">
        <v>45867.63094907408</v>
      </c>
      <c r="C317" s="1" t="n">
        <v>46176</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36282-2025</t>
        </is>
      </c>
      <c r="B318" s="1" t="n">
        <v>45867.64663194444</v>
      </c>
      <c r="C318" s="1" t="n">
        <v>46176</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40925-2025</t>
        </is>
      </c>
      <c r="B319" s="1" t="n">
        <v>45897.64208333333</v>
      </c>
      <c r="C319" s="1" t="n">
        <v>46176</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36246-2025</t>
        </is>
      </c>
      <c r="B320" s="1" t="n">
        <v>45867.56320601852</v>
      </c>
      <c r="C320" s="1" t="n">
        <v>46176</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36297-2025</t>
        </is>
      </c>
      <c r="B321" s="1" t="n">
        <v>45867.68625</v>
      </c>
      <c r="C321" s="1" t="n">
        <v>46176</v>
      </c>
      <c r="D321" t="inlineStr">
        <is>
          <t>KALMAR LÄN</t>
        </is>
      </c>
      <c r="E321" t="inlineStr">
        <is>
          <t>VIMMERBY</t>
        </is>
      </c>
      <c r="G321" t="n">
        <v>4.9</v>
      </c>
      <c r="H321" t="n">
        <v>0</v>
      </c>
      <c r="I321" t="n">
        <v>0</v>
      </c>
      <c r="J321" t="n">
        <v>0</v>
      </c>
      <c r="K321" t="n">
        <v>0</v>
      </c>
      <c r="L321" t="n">
        <v>0</v>
      </c>
      <c r="M321" t="n">
        <v>0</v>
      </c>
      <c r="N321" t="n">
        <v>0</v>
      </c>
      <c r="O321" t="n">
        <v>0</v>
      </c>
      <c r="P321" t="n">
        <v>0</v>
      </c>
      <c r="Q321" t="n">
        <v>0</v>
      </c>
      <c r="R321" s="2" t="inlineStr"/>
    </row>
    <row r="322" ht="15" customHeight="1">
      <c r="A322" t="inlineStr">
        <is>
          <t>A 14318-2026</t>
        </is>
      </c>
      <c r="B322" s="1" t="n">
        <v>46099.87961805556</v>
      </c>
      <c r="C322" s="1" t="n">
        <v>46176</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40921-2025</t>
        </is>
      </c>
      <c r="B323" s="1" t="n">
        <v>45897.63520833333</v>
      </c>
      <c r="C323" s="1" t="n">
        <v>46176</v>
      </c>
      <c r="D323" t="inlineStr">
        <is>
          <t>KALMAR LÄN</t>
        </is>
      </c>
      <c r="E323" t="inlineStr">
        <is>
          <t>VIMMERBY</t>
        </is>
      </c>
      <c r="G323" t="n">
        <v>4.2</v>
      </c>
      <c r="H323" t="n">
        <v>0</v>
      </c>
      <c r="I323" t="n">
        <v>0</v>
      </c>
      <c r="J323" t="n">
        <v>0</v>
      </c>
      <c r="K323" t="n">
        <v>0</v>
      </c>
      <c r="L323" t="n">
        <v>0</v>
      </c>
      <c r="M323" t="n">
        <v>0</v>
      </c>
      <c r="N323" t="n">
        <v>0</v>
      </c>
      <c r="O323" t="n">
        <v>0</v>
      </c>
      <c r="P323" t="n">
        <v>0</v>
      </c>
      <c r="Q323" t="n">
        <v>0</v>
      </c>
      <c r="R323" s="2" t="inlineStr"/>
    </row>
    <row r="324" ht="15" customHeight="1">
      <c r="A324" t="inlineStr">
        <is>
          <t>A 12325-2023</t>
        </is>
      </c>
      <c r="B324" s="1" t="n">
        <v>44999.35858796296</v>
      </c>
      <c r="C324" s="1" t="n">
        <v>46176</v>
      </c>
      <c r="D324" t="inlineStr">
        <is>
          <t>KALMAR LÄN</t>
        </is>
      </c>
      <c r="E324" t="inlineStr">
        <is>
          <t>VIMMERBY</t>
        </is>
      </c>
      <c r="G324" t="n">
        <v>3.4</v>
      </c>
      <c r="H324" t="n">
        <v>0</v>
      </c>
      <c r="I324" t="n">
        <v>0</v>
      </c>
      <c r="J324" t="n">
        <v>0</v>
      </c>
      <c r="K324" t="n">
        <v>0</v>
      </c>
      <c r="L324" t="n">
        <v>0</v>
      </c>
      <c r="M324" t="n">
        <v>0</v>
      </c>
      <c r="N324" t="n">
        <v>0</v>
      </c>
      <c r="O324" t="n">
        <v>0</v>
      </c>
      <c r="P324" t="n">
        <v>0</v>
      </c>
      <c r="Q324" t="n">
        <v>0</v>
      </c>
      <c r="R324" s="2" t="inlineStr"/>
    </row>
    <row r="325" ht="15" customHeight="1">
      <c r="A325" t="inlineStr">
        <is>
          <t>A 36221-2025</t>
        </is>
      </c>
      <c r="B325" s="1" t="n">
        <v>45867.50792824074</v>
      </c>
      <c r="C325" s="1" t="n">
        <v>46176</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14279-2026</t>
        </is>
      </c>
      <c r="B326" s="1" t="n">
        <v>46099.66826388889</v>
      </c>
      <c r="C326" s="1" t="n">
        <v>46176</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19502-2025</t>
        </is>
      </c>
      <c r="B327" s="1" t="n">
        <v>45769</v>
      </c>
      <c r="C327" s="1" t="n">
        <v>46176</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36299-2025</t>
        </is>
      </c>
      <c r="B328" s="1" t="n">
        <v>45867.69346064814</v>
      </c>
      <c r="C328" s="1" t="n">
        <v>46176</v>
      </c>
      <c r="D328" t="inlineStr">
        <is>
          <t>KALMAR LÄN</t>
        </is>
      </c>
      <c r="E328" t="inlineStr">
        <is>
          <t>VIMMERBY</t>
        </is>
      </c>
      <c r="G328" t="n">
        <v>7.6</v>
      </c>
      <c r="H328" t="n">
        <v>0</v>
      </c>
      <c r="I328" t="n">
        <v>0</v>
      </c>
      <c r="J328" t="n">
        <v>0</v>
      </c>
      <c r="K328" t="n">
        <v>0</v>
      </c>
      <c r="L328" t="n">
        <v>0</v>
      </c>
      <c r="M328" t="n">
        <v>0</v>
      </c>
      <c r="N328" t="n">
        <v>0</v>
      </c>
      <c r="O328" t="n">
        <v>0</v>
      </c>
      <c r="P328" t="n">
        <v>0</v>
      </c>
      <c r="Q328" t="n">
        <v>0</v>
      </c>
      <c r="R328" s="2" t="inlineStr"/>
    </row>
    <row r="329" ht="15" customHeight="1">
      <c r="A329" t="inlineStr">
        <is>
          <t>A 14320-2026</t>
        </is>
      </c>
      <c r="B329" s="1" t="n">
        <v>46099.88449074074</v>
      </c>
      <c r="C329" s="1" t="n">
        <v>46176</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36538-2025</t>
        </is>
      </c>
      <c r="B330" s="1" t="n">
        <v>45869.62276620371</v>
      </c>
      <c r="C330" s="1" t="n">
        <v>46176</v>
      </c>
      <c r="D330" t="inlineStr">
        <is>
          <t>KALMAR LÄN</t>
        </is>
      </c>
      <c r="E330" t="inlineStr">
        <is>
          <t>VIMMERBY</t>
        </is>
      </c>
      <c r="G330" t="n">
        <v>2.6</v>
      </c>
      <c r="H330" t="n">
        <v>0</v>
      </c>
      <c r="I330" t="n">
        <v>0</v>
      </c>
      <c r="J330" t="n">
        <v>0</v>
      </c>
      <c r="K330" t="n">
        <v>0</v>
      </c>
      <c r="L330" t="n">
        <v>0</v>
      </c>
      <c r="M330" t="n">
        <v>0</v>
      </c>
      <c r="N330" t="n">
        <v>0</v>
      </c>
      <c r="O330" t="n">
        <v>0</v>
      </c>
      <c r="P330" t="n">
        <v>0</v>
      </c>
      <c r="Q330" t="n">
        <v>0</v>
      </c>
      <c r="R330" s="2" t="inlineStr"/>
    </row>
    <row r="331" ht="15" customHeight="1">
      <c r="A331" t="inlineStr">
        <is>
          <t>A 41224-2025</t>
        </is>
      </c>
      <c r="B331" s="1" t="n">
        <v>45898.58861111111</v>
      </c>
      <c r="C331" s="1" t="n">
        <v>46176</v>
      </c>
      <c r="D331" t="inlineStr">
        <is>
          <t>KALMAR LÄN</t>
        </is>
      </c>
      <c r="E331" t="inlineStr">
        <is>
          <t>VIMMERBY</t>
        </is>
      </c>
      <c r="G331" t="n">
        <v>4.4</v>
      </c>
      <c r="H331" t="n">
        <v>0</v>
      </c>
      <c r="I331" t="n">
        <v>0</v>
      </c>
      <c r="J331" t="n">
        <v>0</v>
      </c>
      <c r="K331" t="n">
        <v>0</v>
      </c>
      <c r="L331" t="n">
        <v>0</v>
      </c>
      <c r="M331" t="n">
        <v>0</v>
      </c>
      <c r="N331" t="n">
        <v>0</v>
      </c>
      <c r="O331" t="n">
        <v>0</v>
      </c>
      <c r="P331" t="n">
        <v>0</v>
      </c>
      <c r="Q331" t="n">
        <v>0</v>
      </c>
      <c r="R331" s="2" t="inlineStr"/>
    </row>
    <row r="332" ht="15" customHeight="1">
      <c r="A332" t="inlineStr">
        <is>
          <t>A 14277-2026</t>
        </is>
      </c>
      <c r="B332" s="1" t="n">
        <v>46099.66305555555</v>
      </c>
      <c r="C332" s="1" t="n">
        <v>46176</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41591-2025</t>
        </is>
      </c>
      <c r="B333" s="1" t="n">
        <v>45901.6327662037</v>
      </c>
      <c r="C333" s="1" t="n">
        <v>46176</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40971-2025</t>
        </is>
      </c>
      <c r="B334" s="1" t="n">
        <v>45897.88836805556</v>
      </c>
      <c r="C334" s="1" t="n">
        <v>46176</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41589-2025</t>
        </is>
      </c>
      <c r="B335" s="1" t="n">
        <v>45901.63219907408</v>
      </c>
      <c r="C335" s="1" t="n">
        <v>46176</v>
      </c>
      <c r="D335" t="inlineStr">
        <is>
          <t>KALMAR LÄN</t>
        </is>
      </c>
      <c r="E335" t="inlineStr">
        <is>
          <t>VIMMERBY</t>
        </is>
      </c>
      <c r="G335" t="n">
        <v>1.7</v>
      </c>
      <c r="H335" t="n">
        <v>0</v>
      </c>
      <c r="I335" t="n">
        <v>0</v>
      </c>
      <c r="J335" t="n">
        <v>0</v>
      </c>
      <c r="K335" t="n">
        <v>0</v>
      </c>
      <c r="L335" t="n">
        <v>0</v>
      </c>
      <c r="M335" t="n">
        <v>0</v>
      </c>
      <c r="N335" t="n">
        <v>0</v>
      </c>
      <c r="O335" t="n">
        <v>0</v>
      </c>
      <c r="P335" t="n">
        <v>0</v>
      </c>
      <c r="Q335" t="n">
        <v>0</v>
      </c>
      <c r="R335" s="2" t="inlineStr"/>
    </row>
    <row r="336" ht="15" customHeight="1">
      <c r="A336" t="inlineStr">
        <is>
          <t>A 36598-2025</t>
        </is>
      </c>
      <c r="B336" s="1" t="n">
        <v>45870.51708333333</v>
      </c>
      <c r="C336" s="1" t="n">
        <v>46176</v>
      </c>
      <c r="D336" t="inlineStr">
        <is>
          <t>KALMAR LÄN</t>
        </is>
      </c>
      <c r="E336" t="inlineStr">
        <is>
          <t>VIMMERBY</t>
        </is>
      </c>
      <c r="G336" t="n">
        <v>3.7</v>
      </c>
      <c r="H336" t="n">
        <v>0</v>
      </c>
      <c r="I336" t="n">
        <v>0</v>
      </c>
      <c r="J336" t="n">
        <v>0</v>
      </c>
      <c r="K336" t="n">
        <v>0</v>
      </c>
      <c r="L336" t="n">
        <v>0</v>
      </c>
      <c r="M336" t="n">
        <v>0</v>
      </c>
      <c r="N336" t="n">
        <v>0</v>
      </c>
      <c r="O336" t="n">
        <v>0</v>
      </c>
      <c r="P336" t="n">
        <v>0</v>
      </c>
      <c r="Q336" t="n">
        <v>0</v>
      </c>
      <c r="R336" s="2" t="inlineStr"/>
    </row>
    <row r="337" ht="15" customHeight="1">
      <c r="A337" t="inlineStr">
        <is>
          <t>A 36602-2025</t>
        </is>
      </c>
      <c r="B337" s="1" t="n">
        <v>45870.52111111111</v>
      </c>
      <c r="C337" s="1" t="n">
        <v>46176</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40970-2025</t>
        </is>
      </c>
      <c r="B338" s="1" t="n">
        <v>45897.88706018519</v>
      </c>
      <c r="C338" s="1" t="n">
        <v>46176</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40973-2025</t>
        </is>
      </c>
      <c r="B339" s="1" t="n">
        <v>45897.89737268518</v>
      </c>
      <c r="C339" s="1" t="n">
        <v>46176</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34090-2025</t>
        </is>
      </c>
      <c r="B340" s="1" t="n">
        <v>45845</v>
      </c>
      <c r="C340" s="1" t="n">
        <v>46176</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1016-2024</t>
        </is>
      </c>
      <c r="B341" s="1" t="n">
        <v>45301</v>
      </c>
      <c r="C341" s="1" t="n">
        <v>46176</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14793-2026</t>
        </is>
      </c>
      <c r="B342" s="1" t="n">
        <v>46101.92108796296</v>
      </c>
      <c r="C342" s="1" t="n">
        <v>46176</v>
      </c>
      <c r="D342" t="inlineStr">
        <is>
          <t>KALMAR LÄN</t>
        </is>
      </c>
      <c r="E342" t="inlineStr">
        <is>
          <t>VIMMERBY</t>
        </is>
      </c>
      <c r="G342" t="n">
        <v>5.7</v>
      </c>
      <c r="H342" t="n">
        <v>0</v>
      </c>
      <c r="I342" t="n">
        <v>0</v>
      </c>
      <c r="J342" t="n">
        <v>0</v>
      </c>
      <c r="K342" t="n">
        <v>0</v>
      </c>
      <c r="L342" t="n">
        <v>0</v>
      </c>
      <c r="M342" t="n">
        <v>0</v>
      </c>
      <c r="N342" t="n">
        <v>0</v>
      </c>
      <c r="O342" t="n">
        <v>0</v>
      </c>
      <c r="P342" t="n">
        <v>0</v>
      </c>
      <c r="Q342" t="n">
        <v>0</v>
      </c>
      <c r="R342" s="2" t="inlineStr"/>
    </row>
    <row r="343" ht="15" customHeight="1">
      <c r="A343" t="inlineStr">
        <is>
          <t>A 36603-2025</t>
        </is>
      </c>
      <c r="B343" s="1" t="n">
        <v>45870.52142361111</v>
      </c>
      <c r="C343" s="1" t="n">
        <v>46176</v>
      </c>
      <c r="D343" t="inlineStr">
        <is>
          <t>KALMAR LÄN</t>
        </is>
      </c>
      <c r="E343" t="inlineStr">
        <is>
          <t>VIMMERBY</t>
        </is>
      </c>
      <c r="G343" t="n">
        <v>1.6</v>
      </c>
      <c r="H343" t="n">
        <v>0</v>
      </c>
      <c r="I343" t="n">
        <v>0</v>
      </c>
      <c r="J343" t="n">
        <v>0</v>
      </c>
      <c r="K343" t="n">
        <v>0</v>
      </c>
      <c r="L343" t="n">
        <v>0</v>
      </c>
      <c r="M343" t="n">
        <v>0</v>
      </c>
      <c r="N343" t="n">
        <v>0</v>
      </c>
      <c r="O343" t="n">
        <v>0</v>
      </c>
      <c r="P343" t="n">
        <v>0</v>
      </c>
      <c r="Q343" t="n">
        <v>0</v>
      </c>
      <c r="R343" s="2" t="inlineStr"/>
    </row>
    <row r="344" ht="15" customHeight="1">
      <c r="A344" t="inlineStr">
        <is>
          <t>A 14792-2026</t>
        </is>
      </c>
      <c r="B344" s="1" t="n">
        <v>46101.91993055555</v>
      </c>
      <c r="C344" s="1" t="n">
        <v>46176</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36600-2025</t>
        </is>
      </c>
      <c r="B345" s="1" t="n">
        <v>45870.51958333333</v>
      </c>
      <c r="C345" s="1" t="n">
        <v>46176</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36601-2025</t>
        </is>
      </c>
      <c r="B346" s="1" t="n">
        <v>45870.52005787037</v>
      </c>
      <c r="C346" s="1" t="n">
        <v>46176</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15054-2026</t>
        </is>
      </c>
      <c r="B347" s="1" t="n">
        <v>46104.6815162037</v>
      </c>
      <c r="C347" s="1" t="n">
        <v>46176</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37088-2025</t>
        </is>
      </c>
      <c r="B348" s="1" t="n">
        <v>45875.45716435185</v>
      </c>
      <c r="C348" s="1" t="n">
        <v>46176</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37102-2025</t>
        </is>
      </c>
      <c r="B349" s="1" t="n">
        <v>45875.47454861111</v>
      </c>
      <c r="C349" s="1" t="n">
        <v>46176</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41735-2025</t>
        </is>
      </c>
      <c r="B350" s="1" t="n">
        <v>45902.47164351852</v>
      </c>
      <c r="C350" s="1" t="n">
        <v>46176</v>
      </c>
      <c r="D350" t="inlineStr">
        <is>
          <t>KALMAR LÄN</t>
        </is>
      </c>
      <c r="E350" t="inlineStr">
        <is>
          <t>VIMMERBY</t>
        </is>
      </c>
      <c r="G350" t="n">
        <v>3</v>
      </c>
      <c r="H350" t="n">
        <v>0</v>
      </c>
      <c r="I350" t="n">
        <v>0</v>
      </c>
      <c r="J350" t="n">
        <v>0</v>
      </c>
      <c r="K350" t="n">
        <v>0</v>
      </c>
      <c r="L350" t="n">
        <v>0</v>
      </c>
      <c r="M350" t="n">
        <v>0</v>
      </c>
      <c r="N350" t="n">
        <v>0</v>
      </c>
      <c r="O350" t="n">
        <v>0</v>
      </c>
      <c r="P350" t="n">
        <v>0</v>
      </c>
      <c r="Q350" t="n">
        <v>0</v>
      </c>
      <c r="R350" s="2" t="inlineStr"/>
    </row>
    <row r="351" ht="15" customHeight="1">
      <c r="A351" t="inlineStr">
        <is>
          <t>A 37079-2025</t>
        </is>
      </c>
      <c r="B351" s="1" t="n">
        <v>45875.42716435185</v>
      </c>
      <c r="C351" s="1" t="n">
        <v>46176</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33681-2022</t>
        </is>
      </c>
      <c r="B352" s="1" t="n">
        <v>44789</v>
      </c>
      <c r="C352" s="1" t="n">
        <v>46176</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36934-2025</t>
        </is>
      </c>
      <c r="B353" s="1" t="n">
        <v>45874.57109953704</v>
      </c>
      <c r="C353" s="1" t="n">
        <v>46176</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15205-2026</t>
        </is>
      </c>
      <c r="B354" s="1" t="n">
        <v>46105.48628472222</v>
      </c>
      <c r="C354" s="1" t="n">
        <v>46176</v>
      </c>
      <c r="D354" t="inlineStr">
        <is>
          <t>KALMAR LÄN</t>
        </is>
      </c>
      <c r="E354" t="inlineStr">
        <is>
          <t>VIMMERBY</t>
        </is>
      </c>
      <c r="G354" t="n">
        <v>2.1</v>
      </c>
      <c r="H354" t="n">
        <v>0</v>
      </c>
      <c r="I354" t="n">
        <v>0</v>
      </c>
      <c r="J354" t="n">
        <v>0</v>
      </c>
      <c r="K354" t="n">
        <v>0</v>
      </c>
      <c r="L354" t="n">
        <v>0</v>
      </c>
      <c r="M354" t="n">
        <v>0</v>
      </c>
      <c r="N354" t="n">
        <v>0</v>
      </c>
      <c r="O354" t="n">
        <v>0</v>
      </c>
      <c r="P354" t="n">
        <v>0</v>
      </c>
      <c r="Q354" t="n">
        <v>0</v>
      </c>
      <c r="R354" s="2" t="inlineStr"/>
    </row>
    <row r="355" ht="15" customHeight="1">
      <c r="A355" t="inlineStr">
        <is>
          <t>A 37578-2025</t>
        </is>
      </c>
      <c r="B355" s="1" t="n">
        <v>45880.38380787037</v>
      </c>
      <c r="C355" s="1" t="n">
        <v>46176</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5074-2023</t>
        </is>
      </c>
      <c r="B356" s="1" t="n">
        <v>44958.61047453704</v>
      </c>
      <c r="C356" s="1" t="n">
        <v>46176</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51187-2023</t>
        </is>
      </c>
      <c r="B357" s="1" t="n">
        <v>45219.40528935185</v>
      </c>
      <c r="C357" s="1" t="n">
        <v>46176</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15715-2022</t>
        </is>
      </c>
      <c r="B358" s="1" t="n">
        <v>44663</v>
      </c>
      <c r="C358" s="1" t="n">
        <v>46176</v>
      </c>
      <c r="D358" t="inlineStr">
        <is>
          <t>KALMAR LÄN</t>
        </is>
      </c>
      <c r="E358" t="inlineStr">
        <is>
          <t>VIMMERBY</t>
        </is>
      </c>
      <c r="G358" t="n">
        <v>2.3</v>
      </c>
      <c r="H358" t="n">
        <v>0</v>
      </c>
      <c r="I358" t="n">
        <v>0</v>
      </c>
      <c r="J358" t="n">
        <v>0</v>
      </c>
      <c r="K358" t="n">
        <v>0</v>
      </c>
      <c r="L358" t="n">
        <v>0</v>
      </c>
      <c r="M358" t="n">
        <v>0</v>
      </c>
      <c r="N358" t="n">
        <v>0</v>
      </c>
      <c r="O358" t="n">
        <v>0</v>
      </c>
      <c r="P358" t="n">
        <v>0</v>
      </c>
      <c r="Q358" t="n">
        <v>0</v>
      </c>
      <c r="R358" s="2" t="inlineStr"/>
    </row>
    <row r="359" ht="15" customHeight="1">
      <c r="A359" t="inlineStr">
        <is>
          <t>A 43093-2024</t>
        </is>
      </c>
      <c r="B359" s="1" t="n">
        <v>45567</v>
      </c>
      <c r="C359" s="1" t="n">
        <v>46176</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56022-2024</t>
        </is>
      </c>
      <c r="B360" s="1" t="n">
        <v>45623.95947916667</v>
      </c>
      <c r="C360" s="1" t="n">
        <v>46176</v>
      </c>
      <c r="D360" t="inlineStr">
        <is>
          <t>KALMAR LÄN</t>
        </is>
      </c>
      <c r="E360" t="inlineStr">
        <is>
          <t>VIMMERBY</t>
        </is>
      </c>
      <c r="G360" t="n">
        <v>0.3</v>
      </c>
      <c r="H360" t="n">
        <v>0</v>
      </c>
      <c r="I360" t="n">
        <v>0</v>
      </c>
      <c r="J360" t="n">
        <v>0</v>
      </c>
      <c r="K360" t="n">
        <v>0</v>
      </c>
      <c r="L360" t="n">
        <v>0</v>
      </c>
      <c r="M360" t="n">
        <v>0</v>
      </c>
      <c r="N360" t="n">
        <v>0</v>
      </c>
      <c r="O360" t="n">
        <v>0</v>
      </c>
      <c r="P360" t="n">
        <v>0</v>
      </c>
      <c r="Q360" t="n">
        <v>0</v>
      </c>
      <c r="R360" s="2" t="inlineStr"/>
    </row>
    <row r="361" ht="15" customHeight="1">
      <c r="A361" t="inlineStr">
        <is>
          <t>A 37668-2025</t>
        </is>
      </c>
      <c r="B361" s="1" t="n">
        <v>45880.51550925926</v>
      </c>
      <c r="C361" s="1" t="n">
        <v>46176</v>
      </c>
      <c r="D361" t="inlineStr">
        <is>
          <t>KALMAR LÄN</t>
        </is>
      </c>
      <c r="E361" t="inlineStr">
        <is>
          <t>VIMMERBY</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42828-2025</t>
        </is>
      </c>
      <c r="B362" s="1" t="n">
        <v>45908.57716435185</v>
      </c>
      <c r="C362" s="1" t="n">
        <v>46176</v>
      </c>
      <c r="D362" t="inlineStr">
        <is>
          <t>KALMAR LÄN</t>
        </is>
      </c>
      <c r="E362" t="inlineStr">
        <is>
          <t>VIMMERBY</t>
        </is>
      </c>
      <c r="G362" t="n">
        <v>5.2</v>
      </c>
      <c r="H362" t="n">
        <v>0</v>
      </c>
      <c r="I362" t="n">
        <v>0</v>
      </c>
      <c r="J362" t="n">
        <v>0</v>
      </c>
      <c r="K362" t="n">
        <v>0</v>
      </c>
      <c r="L362" t="n">
        <v>0</v>
      </c>
      <c r="M362" t="n">
        <v>0</v>
      </c>
      <c r="N362" t="n">
        <v>0</v>
      </c>
      <c r="O362" t="n">
        <v>0</v>
      </c>
      <c r="P362" t="n">
        <v>0</v>
      </c>
      <c r="Q362" t="n">
        <v>0</v>
      </c>
      <c r="R362" s="2" t="inlineStr"/>
    </row>
    <row r="363" ht="15" customHeight="1">
      <c r="A363" t="inlineStr">
        <is>
          <t>A 18330-2023</t>
        </is>
      </c>
      <c r="B363" s="1" t="n">
        <v>45041</v>
      </c>
      <c r="C363" s="1" t="n">
        <v>46176</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42794-2025</t>
        </is>
      </c>
      <c r="B364" s="1" t="n">
        <v>45908</v>
      </c>
      <c r="C364" s="1" t="n">
        <v>46176</v>
      </c>
      <c r="D364" t="inlineStr">
        <is>
          <t>KALMAR LÄN</t>
        </is>
      </c>
      <c r="E364" t="inlineStr">
        <is>
          <t>VIMMERBY</t>
        </is>
      </c>
      <c r="G364" t="n">
        <v>0.9</v>
      </c>
      <c r="H364" t="n">
        <v>0</v>
      </c>
      <c r="I364" t="n">
        <v>0</v>
      </c>
      <c r="J364" t="n">
        <v>0</v>
      </c>
      <c r="K364" t="n">
        <v>0</v>
      </c>
      <c r="L364" t="n">
        <v>0</v>
      </c>
      <c r="M364" t="n">
        <v>0</v>
      </c>
      <c r="N364" t="n">
        <v>0</v>
      </c>
      <c r="O364" t="n">
        <v>0</v>
      </c>
      <c r="P364" t="n">
        <v>0</v>
      </c>
      <c r="Q364" t="n">
        <v>0</v>
      </c>
      <c r="R364" s="2" t="inlineStr"/>
    </row>
    <row r="365" ht="15" customHeight="1">
      <c r="A365" t="inlineStr">
        <is>
          <t>A 42820-2025</t>
        </is>
      </c>
      <c r="B365" s="1" t="n">
        <v>45908</v>
      </c>
      <c r="C365" s="1" t="n">
        <v>46176</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37939-2025</t>
        </is>
      </c>
      <c r="B366" s="1" t="n">
        <v>45881.59877314815</v>
      </c>
      <c r="C366" s="1" t="n">
        <v>46176</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37866-2025</t>
        </is>
      </c>
      <c r="B367" s="1" t="n">
        <v>45881</v>
      </c>
      <c r="C367" s="1" t="n">
        <v>46176</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21882-2026</t>
        </is>
      </c>
      <c r="B368" s="1" t="n">
        <v>46150.59287037037</v>
      </c>
      <c r="C368" s="1" t="n">
        <v>46176</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20126-2024</t>
        </is>
      </c>
      <c r="B369" s="1" t="n">
        <v>45434.55471064815</v>
      </c>
      <c r="C369" s="1" t="n">
        <v>46176</v>
      </c>
      <c r="D369" t="inlineStr">
        <is>
          <t>KALMAR LÄN</t>
        </is>
      </c>
      <c r="E369" t="inlineStr">
        <is>
          <t>VIMMERBY</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20136-2024</t>
        </is>
      </c>
      <c r="B370" s="1" t="n">
        <v>45434.56291666667</v>
      </c>
      <c r="C370" s="1" t="n">
        <v>46176</v>
      </c>
      <c r="D370" t="inlineStr">
        <is>
          <t>KALMAR LÄN</t>
        </is>
      </c>
      <c r="E370" t="inlineStr">
        <is>
          <t>VIMMERBY</t>
        </is>
      </c>
      <c r="F370" t="inlineStr">
        <is>
          <t>Sveaskog</t>
        </is>
      </c>
      <c r="G370" t="n">
        <v>8.4</v>
      </c>
      <c r="H370" t="n">
        <v>0</v>
      </c>
      <c r="I370" t="n">
        <v>0</v>
      </c>
      <c r="J370" t="n">
        <v>0</v>
      </c>
      <c r="K370" t="n">
        <v>0</v>
      </c>
      <c r="L370" t="n">
        <v>0</v>
      </c>
      <c r="M370" t="n">
        <v>0</v>
      </c>
      <c r="N370" t="n">
        <v>0</v>
      </c>
      <c r="O370" t="n">
        <v>0</v>
      </c>
      <c r="P370" t="n">
        <v>0</v>
      </c>
      <c r="Q370" t="n">
        <v>0</v>
      </c>
      <c r="R370" s="2" t="inlineStr"/>
    </row>
    <row r="371" ht="15" customHeight="1">
      <c r="A371" t="inlineStr">
        <is>
          <t>A 46921-2023</t>
        </is>
      </c>
      <c r="B371" s="1" t="n">
        <v>45201.39996527778</v>
      </c>
      <c r="C371" s="1" t="n">
        <v>46176</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34060-2025</t>
        </is>
      </c>
      <c r="B372" s="1" t="n">
        <v>45845.42015046296</v>
      </c>
      <c r="C372" s="1" t="n">
        <v>46176</v>
      </c>
      <c r="D372" t="inlineStr">
        <is>
          <t>KALMAR LÄN</t>
        </is>
      </c>
      <c r="E372" t="inlineStr">
        <is>
          <t>VIMMERBY</t>
        </is>
      </c>
      <c r="G372" t="n">
        <v>5.7</v>
      </c>
      <c r="H372" t="n">
        <v>0</v>
      </c>
      <c r="I372" t="n">
        <v>0</v>
      </c>
      <c r="J372" t="n">
        <v>0</v>
      </c>
      <c r="K372" t="n">
        <v>0</v>
      </c>
      <c r="L372" t="n">
        <v>0</v>
      </c>
      <c r="M372" t="n">
        <v>0</v>
      </c>
      <c r="N372" t="n">
        <v>0</v>
      </c>
      <c r="O372" t="n">
        <v>0</v>
      </c>
      <c r="P372" t="n">
        <v>0</v>
      </c>
      <c r="Q372" t="n">
        <v>0</v>
      </c>
      <c r="R372" s="2" t="inlineStr"/>
    </row>
    <row r="373" ht="15" customHeight="1">
      <c r="A373" t="inlineStr">
        <is>
          <t>A 25236-2023</t>
        </is>
      </c>
      <c r="B373" s="1" t="n">
        <v>45086.63334490741</v>
      </c>
      <c r="C373" s="1" t="n">
        <v>46176</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43465-2025</t>
        </is>
      </c>
      <c r="B374" s="1" t="n">
        <v>45911.47138888889</v>
      </c>
      <c r="C374" s="1" t="n">
        <v>46176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43617-2025</t>
        </is>
      </c>
      <c r="B375" s="1" t="n">
        <v>45911.67798611111</v>
      </c>
      <c r="C375" s="1" t="n">
        <v>46176</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38964-2025</t>
        </is>
      </c>
      <c r="B376" s="1" t="n">
        <v>45887.68759259259</v>
      </c>
      <c r="C376" s="1" t="n">
        <v>46176</v>
      </c>
      <c r="D376" t="inlineStr">
        <is>
          <t>KALMAR LÄN</t>
        </is>
      </c>
      <c r="E376" t="inlineStr">
        <is>
          <t>VIMMERBY</t>
        </is>
      </c>
      <c r="G376" t="n">
        <v>7.5</v>
      </c>
      <c r="H376" t="n">
        <v>0</v>
      </c>
      <c r="I376" t="n">
        <v>0</v>
      </c>
      <c r="J376" t="n">
        <v>0</v>
      </c>
      <c r="K376" t="n">
        <v>0</v>
      </c>
      <c r="L376" t="n">
        <v>0</v>
      </c>
      <c r="M376" t="n">
        <v>0</v>
      </c>
      <c r="N376" t="n">
        <v>0</v>
      </c>
      <c r="O376" t="n">
        <v>0</v>
      </c>
      <c r="P376" t="n">
        <v>0</v>
      </c>
      <c r="Q376" t="n">
        <v>0</v>
      </c>
      <c r="R376" s="2" t="inlineStr"/>
    </row>
    <row r="377" ht="15" customHeight="1">
      <c r="A377" t="inlineStr">
        <is>
          <t>A 44095-2025</t>
        </is>
      </c>
      <c r="B377" s="1" t="n">
        <v>45915.56430555556</v>
      </c>
      <c r="C377" s="1" t="n">
        <v>46176</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6082-2022</t>
        </is>
      </c>
      <c r="B378" s="1" t="n">
        <v>44599</v>
      </c>
      <c r="C378" s="1" t="n">
        <v>46176</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2801-2023</t>
        </is>
      </c>
      <c r="B379" s="1" t="n">
        <v>44944.73487268519</v>
      </c>
      <c r="C379" s="1" t="n">
        <v>46176</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16183-2026</t>
        </is>
      </c>
      <c r="B380" s="1" t="n">
        <v>46111</v>
      </c>
      <c r="C380" s="1" t="n">
        <v>46176</v>
      </c>
      <c r="D380" t="inlineStr">
        <is>
          <t>KALMAR LÄN</t>
        </is>
      </c>
      <c r="E380" t="inlineStr">
        <is>
          <t>VIMMERBY</t>
        </is>
      </c>
      <c r="G380" t="n">
        <v>1.7</v>
      </c>
      <c r="H380" t="n">
        <v>0</v>
      </c>
      <c r="I380" t="n">
        <v>0</v>
      </c>
      <c r="J380" t="n">
        <v>0</v>
      </c>
      <c r="K380" t="n">
        <v>0</v>
      </c>
      <c r="L380" t="n">
        <v>0</v>
      </c>
      <c r="M380" t="n">
        <v>0</v>
      </c>
      <c r="N380" t="n">
        <v>0</v>
      </c>
      <c r="O380" t="n">
        <v>0</v>
      </c>
      <c r="P380" t="n">
        <v>0</v>
      </c>
      <c r="Q380" t="n">
        <v>0</v>
      </c>
      <c r="R380" s="2" t="inlineStr"/>
    </row>
    <row r="381" ht="15" customHeight="1">
      <c r="A381" t="inlineStr">
        <is>
          <t>A 16648-2026</t>
        </is>
      </c>
      <c r="B381" s="1" t="n">
        <v>46112.64032407408</v>
      </c>
      <c r="C381" s="1" t="n">
        <v>46176</v>
      </c>
      <c r="D381" t="inlineStr">
        <is>
          <t>KALMAR LÄN</t>
        </is>
      </c>
      <c r="E381" t="inlineStr">
        <is>
          <t>VIMMERBY</t>
        </is>
      </c>
      <c r="F381" t="inlineStr">
        <is>
          <t>Kommuner</t>
        </is>
      </c>
      <c r="G381" t="n">
        <v>0.9</v>
      </c>
      <c r="H381" t="n">
        <v>0</v>
      </c>
      <c r="I381" t="n">
        <v>0</v>
      </c>
      <c r="J381" t="n">
        <v>0</v>
      </c>
      <c r="K381" t="n">
        <v>0</v>
      </c>
      <c r="L381" t="n">
        <v>0</v>
      </c>
      <c r="M381" t="n">
        <v>0</v>
      </c>
      <c r="N381" t="n">
        <v>0</v>
      </c>
      <c r="O381" t="n">
        <v>0</v>
      </c>
      <c r="P381" t="n">
        <v>0</v>
      </c>
      <c r="Q381" t="n">
        <v>0</v>
      </c>
      <c r="R381" s="2" t="inlineStr"/>
    </row>
    <row r="382" ht="15" customHeight="1">
      <c r="A382" t="inlineStr">
        <is>
          <t>A 16656-2026</t>
        </is>
      </c>
      <c r="B382" s="1" t="n">
        <v>46112.65111111111</v>
      </c>
      <c r="C382" s="1" t="n">
        <v>46176</v>
      </c>
      <c r="D382" t="inlineStr">
        <is>
          <t>KALMAR LÄN</t>
        </is>
      </c>
      <c r="E382" t="inlineStr">
        <is>
          <t>VIMMERBY</t>
        </is>
      </c>
      <c r="F382" t="inlineStr">
        <is>
          <t>Kommuner</t>
        </is>
      </c>
      <c r="G382" t="n">
        <v>5.5</v>
      </c>
      <c r="H382" t="n">
        <v>0</v>
      </c>
      <c r="I382" t="n">
        <v>0</v>
      </c>
      <c r="J382" t="n">
        <v>0</v>
      </c>
      <c r="K382" t="n">
        <v>0</v>
      </c>
      <c r="L382" t="n">
        <v>0</v>
      </c>
      <c r="M382" t="n">
        <v>0</v>
      </c>
      <c r="N382" t="n">
        <v>0</v>
      </c>
      <c r="O382" t="n">
        <v>0</v>
      </c>
      <c r="P382" t="n">
        <v>0</v>
      </c>
      <c r="Q382" t="n">
        <v>0</v>
      </c>
      <c r="R382" s="2" t="inlineStr"/>
    </row>
    <row r="383" ht="15" customHeight="1">
      <c r="A383" t="inlineStr">
        <is>
          <t>A 5146-2024</t>
        </is>
      </c>
      <c r="B383" s="1" t="n">
        <v>45330</v>
      </c>
      <c r="C383" s="1" t="n">
        <v>46176</v>
      </c>
      <c r="D383" t="inlineStr">
        <is>
          <t>KALMAR LÄN</t>
        </is>
      </c>
      <c r="E383" t="inlineStr">
        <is>
          <t>VIMMERBY</t>
        </is>
      </c>
      <c r="G383" t="n">
        <v>5.3</v>
      </c>
      <c r="H383" t="n">
        <v>0</v>
      </c>
      <c r="I383" t="n">
        <v>0</v>
      </c>
      <c r="J383" t="n">
        <v>0</v>
      </c>
      <c r="K383" t="n">
        <v>0</v>
      </c>
      <c r="L383" t="n">
        <v>0</v>
      </c>
      <c r="M383" t="n">
        <v>0</v>
      </c>
      <c r="N383" t="n">
        <v>0</v>
      </c>
      <c r="O383" t="n">
        <v>0</v>
      </c>
      <c r="P383" t="n">
        <v>0</v>
      </c>
      <c r="Q383" t="n">
        <v>0</v>
      </c>
      <c r="R383" s="2" t="inlineStr"/>
    </row>
    <row r="384" ht="15" customHeight="1">
      <c r="A384" t="inlineStr">
        <is>
          <t>A 5148-2024</t>
        </is>
      </c>
      <c r="B384" s="1" t="n">
        <v>45330</v>
      </c>
      <c r="C384" s="1" t="n">
        <v>46176</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16617-2026</t>
        </is>
      </c>
      <c r="B385" s="1" t="n">
        <v>46112.60607638889</v>
      </c>
      <c r="C385" s="1" t="n">
        <v>46176</v>
      </c>
      <c r="D385" t="inlineStr">
        <is>
          <t>KALMAR LÄN</t>
        </is>
      </c>
      <c r="E385" t="inlineStr">
        <is>
          <t>VIMMERBY</t>
        </is>
      </c>
      <c r="F385" t="inlineStr">
        <is>
          <t>Kommuner</t>
        </is>
      </c>
      <c r="G385" t="n">
        <v>0.6</v>
      </c>
      <c r="H385" t="n">
        <v>0</v>
      </c>
      <c r="I385" t="n">
        <v>0</v>
      </c>
      <c r="J385" t="n">
        <v>0</v>
      </c>
      <c r="K385" t="n">
        <v>0</v>
      </c>
      <c r="L385" t="n">
        <v>0</v>
      </c>
      <c r="M385" t="n">
        <v>0</v>
      </c>
      <c r="N385" t="n">
        <v>0</v>
      </c>
      <c r="O385" t="n">
        <v>0</v>
      </c>
      <c r="P385" t="n">
        <v>0</v>
      </c>
      <c r="Q385" t="n">
        <v>0</v>
      </c>
      <c r="R385" s="2" t="inlineStr"/>
    </row>
    <row r="386" ht="15" customHeight="1">
      <c r="A386" t="inlineStr">
        <is>
          <t>A 58278-2023</t>
        </is>
      </c>
      <c r="B386" s="1" t="n">
        <v>45250.5278587963</v>
      </c>
      <c r="C386" s="1" t="n">
        <v>46176</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22266-2023</t>
        </is>
      </c>
      <c r="B387" s="1" t="n">
        <v>45070</v>
      </c>
      <c r="C387" s="1" t="n">
        <v>46176</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52588-2023</t>
        </is>
      </c>
      <c r="B388" s="1" t="n">
        <v>45225.60192129629</v>
      </c>
      <c r="C388" s="1" t="n">
        <v>46176</v>
      </c>
      <c r="D388" t="inlineStr">
        <is>
          <t>KALMAR LÄN</t>
        </is>
      </c>
      <c r="E388" t="inlineStr">
        <is>
          <t>VIMMERBY</t>
        </is>
      </c>
      <c r="G388" t="n">
        <v>2.9</v>
      </c>
      <c r="H388" t="n">
        <v>0</v>
      </c>
      <c r="I388" t="n">
        <v>0</v>
      </c>
      <c r="J388" t="n">
        <v>0</v>
      </c>
      <c r="K388" t="n">
        <v>0</v>
      </c>
      <c r="L388" t="n">
        <v>0</v>
      </c>
      <c r="M388" t="n">
        <v>0</v>
      </c>
      <c r="N388" t="n">
        <v>0</v>
      </c>
      <c r="O388" t="n">
        <v>0</v>
      </c>
      <c r="P388" t="n">
        <v>0</v>
      </c>
      <c r="Q388" t="n">
        <v>0</v>
      </c>
      <c r="R388" s="2" t="inlineStr"/>
    </row>
    <row r="389" ht="15" customHeight="1">
      <c r="A389" t="inlineStr">
        <is>
          <t>A 16672-2026</t>
        </is>
      </c>
      <c r="B389" s="1" t="n">
        <v>46112.67336805556</v>
      </c>
      <c r="C389" s="1" t="n">
        <v>46176</v>
      </c>
      <c r="D389" t="inlineStr">
        <is>
          <t>KALMAR LÄN</t>
        </is>
      </c>
      <c r="E389" t="inlineStr">
        <is>
          <t>VIMMERBY</t>
        </is>
      </c>
      <c r="F389" t="inlineStr">
        <is>
          <t>Kommuner</t>
        </is>
      </c>
      <c r="G389" t="n">
        <v>1.4</v>
      </c>
      <c r="H389" t="n">
        <v>0</v>
      </c>
      <c r="I389" t="n">
        <v>0</v>
      </c>
      <c r="J389" t="n">
        <v>0</v>
      </c>
      <c r="K389" t="n">
        <v>0</v>
      </c>
      <c r="L389" t="n">
        <v>0</v>
      </c>
      <c r="M389" t="n">
        <v>0</v>
      </c>
      <c r="N389" t="n">
        <v>0</v>
      </c>
      <c r="O389" t="n">
        <v>0</v>
      </c>
      <c r="P389" t="n">
        <v>0</v>
      </c>
      <c r="Q389" t="n">
        <v>0</v>
      </c>
      <c r="R389" s="2" t="inlineStr"/>
    </row>
    <row r="390" ht="15" customHeight="1">
      <c r="A390" t="inlineStr">
        <is>
          <t>A 6802-2025</t>
        </is>
      </c>
      <c r="B390" s="1" t="n">
        <v>45700.68289351852</v>
      </c>
      <c r="C390" s="1" t="n">
        <v>46176</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71793-2021</t>
        </is>
      </c>
      <c r="B391" s="1" t="n">
        <v>44539</v>
      </c>
      <c r="C391" s="1" t="n">
        <v>46176</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44091-2025</t>
        </is>
      </c>
      <c r="B392" s="1" t="n">
        <v>45915.55950231481</v>
      </c>
      <c r="C392" s="1" t="n">
        <v>46176</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527-2024</t>
        </is>
      </c>
      <c r="B393" s="1" t="n">
        <v>45299.47513888889</v>
      </c>
      <c r="C393" s="1" t="n">
        <v>46176</v>
      </c>
      <c r="D393" t="inlineStr">
        <is>
          <t>KALMAR LÄN</t>
        </is>
      </c>
      <c r="E393" t="inlineStr">
        <is>
          <t>VIMMERBY</t>
        </is>
      </c>
      <c r="G393" t="n">
        <v>2.2</v>
      </c>
      <c r="H393" t="n">
        <v>0</v>
      </c>
      <c r="I393" t="n">
        <v>0</v>
      </c>
      <c r="J393" t="n">
        <v>0</v>
      </c>
      <c r="K393" t="n">
        <v>0</v>
      </c>
      <c r="L393" t="n">
        <v>0</v>
      </c>
      <c r="M393" t="n">
        <v>0</v>
      </c>
      <c r="N393" t="n">
        <v>0</v>
      </c>
      <c r="O393" t="n">
        <v>0</v>
      </c>
      <c r="P393" t="n">
        <v>0</v>
      </c>
      <c r="Q393" t="n">
        <v>0</v>
      </c>
      <c r="R393" s="2" t="inlineStr"/>
    </row>
    <row r="394" ht="15" customHeight="1">
      <c r="A394" t="inlineStr">
        <is>
          <t>A 16653-2026</t>
        </is>
      </c>
      <c r="B394" s="1" t="n">
        <v>46112.64597222222</v>
      </c>
      <c r="C394" s="1" t="n">
        <v>46176</v>
      </c>
      <c r="D394" t="inlineStr">
        <is>
          <t>KALMAR LÄN</t>
        </is>
      </c>
      <c r="E394" t="inlineStr">
        <is>
          <t>VIMMERBY</t>
        </is>
      </c>
      <c r="F394" t="inlineStr">
        <is>
          <t>Kommuner</t>
        </is>
      </c>
      <c r="G394" t="n">
        <v>4.4</v>
      </c>
      <c r="H394" t="n">
        <v>0</v>
      </c>
      <c r="I394" t="n">
        <v>0</v>
      </c>
      <c r="J394" t="n">
        <v>0</v>
      </c>
      <c r="K394" t="n">
        <v>0</v>
      </c>
      <c r="L394" t="n">
        <v>0</v>
      </c>
      <c r="M394" t="n">
        <v>0</v>
      </c>
      <c r="N394" t="n">
        <v>0</v>
      </c>
      <c r="O394" t="n">
        <v>0</v>
      </c>
      <c r="P394" t="n">
        <v>0</v>
      </c>
      <c r="Q394" t="n">
        <v>0</v>
      </c>
      <c r="R394" s="2" t="inlineStr"/>
    </row>
    <row r="395" ht="15" customHeight="1">
      <c r="A395" t="inlineStr">
        <is>
          <t>A 60230-2022</t>
        </is>
      </c>
      <c r="B395" s="1" t="n">
        <v>44910</v>
      </c>
      <c r="C395" s="1" t="n">
        <v>46176</v>
      </c>
      <c r="D395" t="inlineStr">
        <is>
          <t>KALMAR LÄN</t>
        </is>
      </c>
      <c r="E395" t="inlineStr">
        <is>
          <t>VIMMERBY</t>
        </is>
      </c>
      <c r="G395" t="n">
        <v>11.3</v>
      </c>
      <c r="H395" t="n">
        <v>0</v>
      </c>
      <c r="I395" t="n">
        <v>0</v>
      </c>
      <c r="J395" t="n">
        <v>0</v>
      </c>
      <c r="K395" t="n">
        <v>0</v>
      </c>
      <c r="L395" t="n">
        <v>0</v>
      </c>
      <c r="M395" t="n">
        <v>0</v>
      </c>
      <c r="N395" t="n">
        <v>0</v>
      </c>
      <c r="O395" t="n">
        <v>0</v>
      </c>
      <c r="P395" t="n">
        <v>0</v>
      </c>
      <c r="Q395" t="n">
        <v>0</v>
      </c>
      <c r="R395" s="2" t="inlineStr"/>
    </row>
    <row r="396" ht="15" customHeight="1">
      <c r="A396" t="inlineStr">
        <is>
          <t>A 16675-2026</t>
        </is>
      </c>
      <c r="B396" s="1" t="n">
        <v>46112.68202546296</v>
      </c>
      <c r="C396" s="1" t="n">
        <v>46176</v>
      </c>
      <c r="D396" t="inlineStr">
        <is>
          <t>KALMAR LÄN</t>
        </is>
      </c>
      <c r="E396" t="inlineStr">
        <is>
          <t>VIMMERBY</t>
        </is>
      </c>
      <c r="F396" t="inlineStr">
        <is>
          <t>Kommuner</t>
        </is>
      </c>
      <c r="G396" t="n">
        <v>0.8</v>
      </c>
      <c r="H396" t="n">
        <v>0</v>
      </c>
      <c r="I396" t="n">
        <v>0</v>
      </c>
      <c r="J396" t="n">
        <v>0</v>
      </c>
      <c r="K396" t="n">
        <v>0</v>
      </c>
      <c r="L396" t="n">
        <v>0</v>
      </c>
      <c r="M396" t="n">
        <v>0</v>
      </c>
      <c r="N396" t="n">
        <v>0</v>
      </c>
      <c r="O396" t="n">
        <v>0</v>
      </c>
      <c r="P396" t="n">
        <v>0</v>
      </c>
      <c r="Q396" t="n">
        <v>0</v>
      </c>
      <c r="R396" s="2" t="inlineStr"/>
    </row>
    <row r="397" ht="15" customHeight="1">
      <c r="A397" t="inlineStr">
        <is>
          <t>A 16632-2026</t>
        </is>
      </c>
      <c r="B397" s="1" t="n">
        <v>46112.62212962963</v>
      </c>
      <c r="C397" s="1" t="n">
        <v>46176</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16678-2026</t>
        </is>
      </c>
      <c r="B398" s="1" t="n">
        <v>46112.69435185185</v>
      </c>
      <c r="C398" s="1" t="n">
        <v>46176</v>
      </c>
      <c r="D398" t="inlineStr">
        <is>
          <t>KALMAR LÄN</t>
        </is>
      </c>
      <c r="E398" t="inlineStr">
        <is>
          <t>VIMMERBY</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5925-2022</t>
        </is>
      </c>
      <c r="B399" s="1" t="n">
        <v>44598.7384837963</v>
      </c>
      <c r="C399" s="1" t="n">
        <v>46176</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46522-2022</t>
        </is>
      </c>
      <c r="B400" s="1" t="n">
        <v>44848.59133101852</v>
      </c>
      <c r="C400" s="1" t="n">
        <v>46176</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16799-2026</t>
        </is>
      </c>
      <c r="B401" s="1" t="n">
        <v>46113.47913194444</v>
      </c>
      <c r="C401" s="1" t="n">
        <v>46176</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41066-2024</t>
        </is>
      </c>
      <c r="B402" s="1" t="n">
        <v>45559.38876157408</v>
      </c>
      <c r="C402" s="1" t="n">
        <v>46176</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44517-2025</t>
        </is>
      </c>
      <c r="B403" s="1" t="n">
        <v>45916.7103587963</v>
      </c>
      <c r="C403" s="1" t="n">
        <v>46176</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52279-2023</t>
        </is>
      </c>
      <c r="B404" s="1" t="n">
        <v>45224</v>
      </c>
      <c r="C404" s="1" t="n">
        <v>46176</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44742-2025</t>
        </is>
      </c>
      <c r="B405" s="1" t="n">
        <v>45917.67054398148</v>
      </c>
      <c r="C405" s="1" t="n">
        <v>46176</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44329-2025</t>
        </is>
      </c>
      <c r="B406" s="1" t="n">
        <v>45916.41019675926</v>
      </c>
      <c r="C406" s="1" t="n">
        <v>46176</v>
      </c>
      <c r="D406" t="inlineStr">
        <is>
          <t>KALMAR LÄN</t>
        </is>
      </c>
      <c r="E406" t="inlineStr">
        <is>
          <t>VIMMERBY</t>
        </is>
      </c>
      <c r="G406" t="n">
        <v>4.3</v>
      </c>
      <c r="H406" t="n">
        <v>0</v>
      </c>
      <c r="I406" t="n">
        <v>0</v>
      </c>
      <c r="J406" t="n">
        <v>0</v>
      </c>
      <c r="K406" t="n">
        <v>0</v>
      </c>
      <c r="L406" t="n">
        <v>0</v>
      </c>
      <c r="M406" t="n">
        <v>0</v>
      </c>
      <c r="N406" t="n">
        <v>0</v>
      </c>
      <c r="O406" t="n">
        <v>0</v>
      </c>
      <c r="P406" t="n">
        <v>0</v>
      </c>
      <c r="Q406" t="n">
        <v>0</v>
      </c>
      <c r="R406" s="2" t="inlineStr"/>
    </row>
    <row r="407" ht="15" customHeight="1">
      <c r="A407" t="inlineStr">
        <is>
          <t>A 16823-2026</t>
        </is>
      </c>
      <c r="B407" s="1" t="n">
        <v>46113.51649305555</v>
      </c>
      <c r="C407" s="1" t="n">
        <v>46176</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41896-2025</t>
        </is>
      </c>
      <c r="B408" s="1" t="n">
        <v>45903.38800925926</v>
      </c>
      <c r="C408" s="1" t="n">
        <v>46176</v>
      </c>
      <c r="D408" t="inlineStr">
        <is>
          <t>KALMAR LÄN</t>
        </is>
      </c>
      <c r="E408" t="inlineStr">
        <is>
          <t>VIMMERBY</t>
        </is>
      </c>
      <c r="G408" t="n">
        <v>2.9</v>
      </c>
      <c r="H408" t="n">
        <v>0</v>
      </c>
      <c r="I408" t="n">
        <v>0</v>
      </c>
      <c r="J408" t="n">
        <v>0</v>
      </c>
      <c r="K408" t="n">
        <v>0</v>
      </c>
      <c r="L408" t="n">
        <v>0</v>
      </c>
      <c r="M408" t="n">
        <v>0</v>
      </c>
      <c r="N408" t="n">
        <v>0</v>
      </c>
      <c r="O408" t="n">
        <v>0</v>
      </c>
      <c r="P408" t="n">
        <v>0</v>
      </c>
      <c r="Q408" t="n">
        <v>0</v>
      </c>
      <c r="R408" s="2" t="inlineStr"/>
    </row>
    <row r="409" ht="15" customHeight="1">
      <c r="A409" t="inlineStr">
        <is>
          <t>A 16870-2026</t>
        </is>
      </c>
      <c r="B409" s="1" t="n">
        <v>46113.5822800926</v>
      </c>
      <c r="C409" s="1" t="n">
        <v>46176</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16801-2026</t>
        </is>
      </c>
      <c r="B410" s="1" t="n">
        <v>46113.48400462963</v>
      </c>
      <c r="C410" s="1" t="n">
        <v>46176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17486-2024</t>
        </is>
      </c>
      <c r="B411" s="1" t="n">
        <v>45415.48979166667</v>
      </c>
      <c r="C411" s="1" t="n">
        <v>46176</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16795-2026</t>
        </is>
      </c>
      <c r="B412" s="1" t="n">
        <v>46113.47216435185</v>
      </c>
      <c r="C412" s="1" t="n">
        <v>46176</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71631-2021</t>
        </is>
      </c>
      <c r="B413" s="1" t="n">
        <v>44542.90072916666</v>
      </c>
      <c r="C413" s="1" t="n">
        <v>46176</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45114-2025</t>
        </is>
      </c>
      <c r="B414" s="1" t="n">
        <v>45919.42387731482</v>
      </c>
      <c r="C414" s="1" t="n">
        <v>46176</v>
      </c>
      <c r="D414" t="inlineStr">
        <is>
          <t>KALMAR LÄN</t>
        </is>
      </c>
      <c r="E414" t="inlineStr">
        <is>
          <t>VIMMERBY</t>
        </is>
      </c>
      <c r="G414" t="n">
        <v>2.7</v>
      </c>
      <c r="H414" t="n">
        <v>0</v>
      </c>
      <c r="I414" t="n">
        <v>0</v>
      </c>
      <c r="J414" t="n">
        <v>0</v>
      </c>
      <c r="K414" t="n">
        <v>0</v>
      </c>
      <c r="L414" t="n">
        <v>0</v>
      </c>
      <c r="M414" t="n">
        <v>0</v>
      </c>
      <c r="N414" t="n">
        <v>0</v>
      </c>
      <c r="O414" t="n">
        <v>0</v>
      </c>
      <c r="P414" t="n">
        <v>0</v>
      </c>
      <c r="Q414" t="n">
        <v>0</v>
      </c>
      <c r="R414" s="2" t="inlineStr"/>
    </row>
    <row r="415" ht="15" customHeight="1">
      <c r="A415" t="inlineStr">
        <is>
          <t>A 16015-2025</t>
        </is>
      </c>
      <c r="B415" s="1" t="n">
        <v>45749.60487268519</v>
      </c>
      <c r="C415" s="1" t="n">
        <v>46176</v>
      </c>
      <c r="D415" t="inlineStr">
        <is>
          <t>KALMAR LÄN</t>
        </is>
      </c>
      <c r="E415" t="inlineStr">
        <is>
          <t>VIMMERBY</t>
        </is>
      </c>
      <c r="F415" t="inlineStr">
        <is>
          <t>Kyrkan</t>
        </is>
      </c>
      <c r="G415" t="n">
        <v>2.7</v>
      </c>
      <c r="H415" t="n">
        <v>0</v>
      </c>
      <c r="I415" t="n">
        <v>0</v>
      </c>
      <c r="J415" t="n">
        <v>0</v>
      </c>
      <c r="K415" t="n">
        <v>0</v>
      </c>
      <c r="L415" t="n">
        <v>0</v>
      </c>
      <c r="M415" t="n">
        <v>0</v>
      </c>
      <c r="N415" t="n">
        <v>0</v>
      </c>
      <c r="O415" t="n">
        <v>0</v>
      </c>
      <c r="P415" t="n">
        <v>0</v>
      </c>
      <c r="Q415" t="n">
        <v>0</v>
      </c>
      <c r="R415" s="2" t="inlineStr"/>
    </row>
    <row r="416" ht="15" customHeight="1">
      <c r="A416" t="inlineStr">
        <is>
          <t>A 45319-2025</t>
        </is>
      </c>
      <c r="B416" s="1" t="n">
        <v>45921.95611111111</v>
      </c>
      <c r="C416" s="1" t="n">
        <v>46176</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9694-2023</t>
        </is>
      </c>
      <c r="B417" s="1" t="n">
        <v>44984.45895833334</v>
      </c>
      <c r="C417" s="1" t="n">
        <v>46176</v>
      </c>
      <c r="D417" t="inlineStr">
        <is>
          <t>KALMAR LÄN</t>
        </is>
      </c>
      <c r="E417" t="inlineStr">
        <is>
          <t>VIMMERBY</t>
        </is>
      </c>
      <c r="G417" t="n">
        <v>2.1</v>
      </c>
      <c r="H417" t="n">
        <v>0</v>
      </c>
      <c r="I417" t="n">
        <v>0</v>
      </c>
      <c r="J417" t="n">
        <v>0</v>
      </c>
      <c r="K417" t="n">
        <v>0</v>
      </c>
      <c r="L417" t="n">
        <v>0</v>
      </c>
      <c r="M417" t="n">
        <v>0</v>
      </c>
      <c r="N417" t="n">
        <v>0</v>
      </c>
      <c r="O417" t="n">
        <v>0</v>
      </c>
      <c r="P417" t="n">
        <v>0</v>
      </c>
      <c r="Q417" t="n">
        <v>0</v>
      </c>
      <c r="R417" s="2" t="inlineStr"/>
    </row>
    <row r="418" ht="15" customHeight="1">
      <c r="A418" t="inlineStr">
        <is>
          <t>A 45320-2025</t>
        </is>
      </c>
      <c r="B418" s="1" t="n">
        <v>45921.96395833333</v>
      </c>
      <c r="C418" s="1" t="n">
        <v>46176</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22198-2024</t>
        </is>
      </c>
      <c r="B419" s="1" t="n">
        <v>45446.36865740741</v>
      </c>
      <c r="C419" s="1" t="n">
        <v>46176</v>
      </c>
      <c r="D419" t="inlineStr">
        <is>
          <t>KALMAR LÄN</t>
        </is>
      </c>
      <c r="E419" t="inlineStr">
        <is>
          <t>VIMMERBY</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57311-2023</t>
        </is>
      </c>
      <c r="B420" s="1" t="n">
        <v>45245.63574074074</v>
      </c>
      <c r="C420" s="1" t="n">
        <v>46176</v>
      </c>
      <c r="D420" t="inlineStr">
        <is>
          <t>KALMAR LÄN</t>
        </is>
      </c>
      <c r="E420" t="inlineStr">
        <is>
          <t>VIMMERBY</t>
        </is>
      </c>
      <c r="G420" t="n">
        <v>1.6</v>
      </c>
      <c r="H420" t="n">
        <v>0</v>
      </c>
      <c r="I420" t="n">
        <v>0</v>
      </c>
      <c r="J420" t="n">
        <v>0</v>
      </c>
      <c r="K420" t="n">
        <v>0</v>
      </c>
      <c r="L420" t="n">
        <v>0</v>
      </c>
      <c r="M420" t="n">
        <v>0</v>
      </c>
      <c r="N420" t="n">
        <v>0</v>
      </c>
      <c r="O420" t="n">
        <v>0</v>
      </c>
      <c r="P420" t="n">
        <v>0</v>
      </c>
      <c r="Q420" t="n">
        <v>0</v>
      </c>
      <c r="R420" s="2" t="inlineStr"/>
    </row>
    <row r="421" ht="15" customHeight="1">
      <c r="A421" t="inlineStr">
        <is>
          <t>A 12588-2025</t>
        </is>
      </c>
      <c r="B421" s="1" t="n">
        <v>45732.76936342593</v>
      </c>
      <c r="C421" s="1" t="n">
        <v>46176</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46118-2025</t>
        </is>
      </c>
      <c r="B422" s="1" t="n">
        <v>45924.57697916667</v>
      </c>
      <c r="C422" s="1" t="n">
        <v>46176</v>
      </c>
      <c r="D422" t="inlineStr">
        <is>
          <t>KALMAR LÄN</t>
        </is>
      </c>
      <c r="E422" t="inlineStr">
        <is>
          <t>VIMMERBY</t>
        </is>
      </c>
      <c r="G422" t="n">
        <v>2.9</v>
      </c>
      <c r="H422" t="n">
        <v>0</v>
      </c>
      <c r="I422" t="n">
        <v>0</v>
      </c>
      <c r="J422" t="n">
        <v>0</v>
      </c>
      <c r="K422" t="n">
        <v>0</v>
      </c>
      <c r="L422" t="n">
        <v>0</v>
      </c>
      <c r="M422" t="n">
        <v>0</v>
      </c>
      <c r="N422" t="n">
        <v>0</v>
      </c>
      <c r="O422" t="n">
        <v>0</v>
      </c>
      <c r="P422" t="n">
        <v>0</v>
      </c>
      <c r="Q422" t="n">
        <v>0</v>
      </c>
      <c r="R422" s="2" t="inlineStr"/>
    </row>
    <row r="423" ht="15" customHeight="1">
      <c r="A423" t="inlineStr">
        <is>
          <t>A 46365-2025</t>
        </is>
      </c>
      <c r="B423" s="1" t="n">
        <v>45925.50075231482</v>
      </c>
      <c r="C423" s="1" t="n">
        <v>46176</v>
      </c>
      <c r="D423" t="inlineStr">
        <is>
          <t>KALMAR LÄN</t>
        </is>
      </c>
      <c r="E423" t="inlineStr">
        <is>
          <t>VIMMERBY</t>
        </is>
      </c>
      <c r="G423" t="n">
        <v>5.6</v>
      </c>
      <c r="H423" t="n">
        <v>0</v>
      </c>
      <c r="I423" t="n">
        <v>0</v>
      </c>
      <c r="J423" t="n">
        <v>0</v>
      </c>
      <c r="K423" t="n">
        <v>0</v>
      </c>
      <c r="L423" t="n">
        <v>0</v>
      </c>
      <c r="M423" t="n">
        <v>0</v>
      </c>
      <c r="N423" t="n">
        <v>0</v>
      </c>
      <c r="O423" t="n">
        <v>0</v>
      </c>
      <c r="P423" t="n">
        <v>0</v>
      </c>
      <c r="Q423" t="n">
        <v>0</v>
      </c>
      <c r="R423" s="2" t="inlineStr"/>
    </row>
    <row r="424" ht="15" customHeight="1">
      <c r="A424" t="inlineStr">
        <is>
          <t>A 7932-2025</t>
        </is>
      </c>
      <c r="B424" s="1" t="n">
        <v>45707.3793287037</v>
      </c>
      <c r="C424" s="1" t="n">
        <v>46176</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46361-2025</t>
        </is>
      </c>
      <c r="B425" s="1" t="n">
        <v>45925.49670138889</v>
      </c>
      <c r="C425" s="1" t="n">
        <v>46176</v>
      </c>
      <c r="D425" t="inlineStr">
        <is>
          <t>KALMAR LÄN</t>
        </is>
      </c>
      <c r="E425" t="inlineStr">
        <is>
          <t>VIMMERBY</t>
        </is>
      </c>
      <c r="G425" t="n">
        <v>4.2</v>
      </c>
      <c r="H425" t="n">
        <v>0</v>
      </c>
      <c r="I425" t="n">
        <v>0</v>
      </c>
      <c r="J425" t="n">
        <v>0</v>
      </c>
      <c r="K425" t="n">
        <v>0</v>
      </c>
      <c r="L425" t="n">
        <v>0</v>
      </c>
      <c r="M425" t="n">
        <v>0</v>
      </c>
      <c r="N425" t="n">
        <v>0</v>
      </c>
      <c r="O425" t="n">
        <v>0</v>
      </c>
      <c r="P425" t="n">
        <v>0</v>
      </c>
      <c r="Q425" t="n">
        <v>0</v>
      </c>
      <c r="R425" s="2" t="inlineStr"/>
    </row>
    <row r="426" ht="15" customHeight="1">
      <c r="A426" t="inlineStr">
        <is>
          <t>A 46887-2025</t>
        </is>
      </c>
      <c r="B426" s="1" t="n">
        <v>45929.3672337963</v>
      </c>
      <c r="C426" s="1" t="n">
        <v>46176</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45856-2025</t>
        </is>
      </c>
      <c r="B427" s="1" t="n">
        <v>45923</v>
      </c>
      <c r="C427" s="1" t="n">
        <v>46176</v>
      </c>
      <c r="D427" t="inlineStr">
        <is>
          <t>KALMAR LÄN</t>
        </is>
      </c>
      <c r="E427" t="inlineStr">
        <is>
          <t>VIMMERBY</t>
        </is>
      </c>
      <c r="G427" t="n">
        <v>2.1</v>
      </c>
      <c r="H427" t="n">
        <v>0</v>
      </c>
      <c r="I427" t="n">
        <v>0</v>
      </c>
      <c r="J427" t="n">
        <v>0</v>
      </c>
      <c r="K427" t="n">
        <v>0</v>
      </c>
      <c r="L427" t="n">
        <v>0</v>
      </c>
      <c r="M427" t="n">
        <v>0</v>
      </c>
      <c r="N427" t="n">
        <v>0</v>
      </c>
      <c r="O427" t="n">
        <v>0</v>
      </c>
      <c r="P427" t="n">
        <v>0</v>
      </c>
      <c r="Q427" t="n">
        <v>0</v>
      </c>
      <c r="R427" s="2" t="inlineStr"/>
    </row>
    <row r="428" ht="15" customHeight="1">
      <c r="A428" t="inlineStr">
        <is>
          <t>A 2121-2022</t>
        </is>
      </c>
      <c r="B428" s="1" t="n">
        <v>44578.32717592592</v>
      </c>
      <c r="C428" s="1" t="n">
        <v>46176</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17713-2026</t>
        </is>
      </c>
      <c r="B429" s="1" t="n">
        <v>46121.72810185186</v>
      </c>
      <c r="C429" s="1" t="n">
        <v>46176</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45854-2025</t>
        </is>
      </c>
      <c r="B430" s="1" t="n">
        <v>45923</v>
      </c>
      <c r="C430" s="1" t="n">
        <v>46176</v>
      </c>
      <c r="D430" t="inlineStr">
        <is>
          <t>KALMAR LÄN</t>
        </is>
      </c>
      <c r="E430" t="inlineStr">
        <is>
          <t>VIMMERBY</t>
        </is>
      </c>
      <c r="G430" t="n">
        <v>2.2</v>
      </c>
      <c r="H430" t="n">
        <v>0</v>
      </c>
      <c r="I430" t="n">
        <v>0</v>
      </c>
      <c r="J430" t="n">
        <v>0</v>
      </c>
      <c r="K430" t="n">
        <v>0</v>
      </c>
      <c r="L430" t="n">
        <v>0</v>
      </c>
      <c r="M430" t="n">
        <v>0</v>
      </c>
      <c r="N430" t="n">
        <v>0</v>
      </c>
      <c r="O430" t="n">
        <v>0</v>
      </c>
      <c r="P430" t="n">
        <v>0</v>
      </c>
      <c r="Q430" t="n">
        <v>0</v>
      </c>
      <c r="R430" s="2" t="inlineStr"/>
    </row>
    <row r="431" ht="15" customHeight="1">
      <c r="A431" t="inlineStr">
        <is>
          <t>A 45855-2025</t>
        </is>
      </c>
      <c r="B431" s="1" t="n">
        <v>45923</v>
      </c>
      <c r="C431" s="1" t="n">
        <v>46176</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34386-2024</t>
        </is>
      </c>
      <c r="B432" s="1" t="n">
        <v>45525.41762731481</v>
      </c>
      <c r="C432" s="1" t="n">
        <v>46176</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6069-2023</t>
        </is>
      </c>
      <c r="B433" s="1" t="n">
        <v>44964.5115162037</v>
      </c>
      <c r="C433" s="1" t="n">
        <v>46176</v>
      </c>
      <c r="D433" t="inlineStr">
        <is>
          <t>KALMAR LÄN</t>
        </is>
      </c>
      <c r="E433" t="inlineStr">
        <is>
          <t>VIMMERBY</t>
        </is>
      </c>
      <c r="G433" t="n">
        <v>1.1</v>
      </c>
      <c r="H433" t="n">
        <v>0</v>
      </c>
      <c r="I433" t="n">
        <v>0</v>
      </c>
      <c r="J433" t="n">
        <v>0</v>
      </c>
      <c r="K433" t="n">
        <v>0</v>
      </c>
      <c r="L433" t="n">
        <v>0</v>
      </c>
      <c r="M433" t="n">
        <v>0</v>
      </c>
      <c r="N433" t="n">
        <v>0</v>
      </c>
      <c r="O433" t="n">
        <v>0</v>
      </c>
      <c r="P433" t="n">
        <v>0</v>
      </c>
      <c r="Q433" t="n">
        <v>0</v>
      </c>
      <c r="R433" s="2" t="inlineStr"/>
    </row>
    <row r="434" ht="15" customHeight="1">
      <c r="A434" t="inlineStr">
        <is>
          <t>A 32633-2023</t>
        </is>
      </c>
      <c r="B434" s="1" t="n">
        <v>45121.58699074074</v>
      </c>
      <c r="C434" s="1" t="n">
        <v>46176</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47227-2025</t>
        </is>
      </c>
      <c r="B435" s="1" t="n">
        <v>45930.39769675926</v>
      </c>
      <c r="C435" s="1" t="n">
        <v>46176</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18122-2026</t>
        </is>
      </c>
      <c r="B436" s="1" t="n">
        <v>46125.58524305555</v>
      </c>
      <c r="C436" s="1" t="n">
        <v>46176</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49461-2023</t>
        </is>
      </c>
      <c r="B437" s="1" t="n">
        <v>45211.52642361111</v>
      </c>
      <c r="C437" s="1" t="n">
        <v>46176</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48299-2025</t>
        </is>
      </c>
      <c r="B438" s="1" t="n">
        <v>45933.60982638889</v>
      </c>
      <c r="C438" s="1" t="n">
        <v>46176</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23095-2023</t>
        </is>
      </c>
      <c r="B439" s="1" t="n">
        <v>45075.43059027778</v>
      </c>
      <c r="C439" s="1" t="n">
        <v>46176</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18633-2026</t>
        </is>
      </c>
      <c r="B440" s="1" t="n">
        <v>46128.26289351852</v>
      </c>
      <c r="C440" s="1" t="n">
        <v>46176</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11429-2022</t>
        </is>
      </c>
      <c r="B441" s="1" t="n">
        <v>44630</v>
      </c>
      <c r="C441" s="1" t="n">
        <v>46176</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47965-2025</t>
        </is>
      </c>
      <c r="B442" s="1" t="n">
        <v>45932.59597222223</v>
      </c>
      <c r="C442" s="1" t="n">
        <v>46176</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11141-2024</t>
        </is>
      </c>
      <c r="B443" s="1" t="n">
        <v>45371.45865740741</v>
      </c>
      <c r="C443" s="1" t="n">
        <v>46176</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28395-2023</t>
        </is>
      </c>
      <c r="B444" s="1" t="n">
        <v>45100.4062962963</v>
      </c>
      <c r="C444" s="1" t="n">
        <v>46176</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47955-2025</t>
        </is>
      </c>
      <c r="B445" s="1" t="n">
        <v>45932.58896990741</v>
      </c>
      <c r="C445" s="1" t="n">
        <v>46176</v>
      </c>
      <c r="D445" t="inlineStr">
        <is>
          <t>KALMAR LÄN</t>
        </is>
      </c>
      <c r="E445" t="inlineStr">
        <is>
          <t>VIMMERBY</t>
        </is>
      </c>
      <c r="G445" t="n">
        <v>3.4</v>
      </c>
      <c r="H445" t="n">
        <v>0</v>
      </c>
      <c r="I445" t="n">
        <v>0</v>
      </c>
      <c r="J445" t="n">
        <v>0</v>
      </c>
      <c r="K445" t="n">
        <v>0</v>
      </c>
      <c r="L445" t="n">
        <v>0</v>
      </c>
      <c r="M445" t="n">
        <v>0</v>
      </c>
      <c r="N445" t="n">
        <v>0</v>
      </c>
      <c r="O445" t="n">
        <v>0</v>
      </c>
      <c r="P445" t="n">
        <v>0</v>
      </c>
      <c r="Q445" t="n">
        <v>0</v>
      </c>
      <c r="R445" s="2" t="inlineStr"/>
    </row>
    <row r="446" ht="15" customHeight="1">
      <c r="A446" t="inlineStr">
        <is>
          <t>A 34597-2022</t>
        </is>
      </c>
      <c r="B446" s="1" t="n">
        <v>44795</v>
      </c>
      <c r="C446" s="1" t="n">
        <v>46176</v>
      </c>
      <c r="D446" t="inlineStr">
        <is>
          <t>KALMAR LÄN</t>
        </is>
      </c>
      <c r="E446" t="inlineStr">
        <is>
          <t>VIMMERBY</t>
        </is>
      </c>
      <c r="G446" t="n">
        <v>2.2</v>
      </c>
      <c r="H446" t="n">
        <v>0</v>
      </c>
      <c r="I446" t="n">
        <v>0</v>
      </c>
      <c r="J446" t="n">
        <v>0</v>
      </c>
      <c r="K446" t="n">
        <v>0</v>
      </c>
      <c r="L446" t="n">
        <v>0</v>
      </c>
      <c r="M446" t="n">
        <v>0</v>
      </c>
      <c r="N446" t="n">
        <v>0</v>
      </c>
      <c r="O446" t="n">
        <v>0</v>
      </c>
      <c r="P446" t="n">
        <v>0</v>
      </c>
      <c r="Q446" t="n">
        <v>0</v>
      </c>
      <c r="R446" s="2" t="inlineStr"/>
    </row>
    <row r="447" ht="15" customHeight="1">
      <c r="A447" t="inlineStr">
        <is>
          <t>A 48723-2025</t>
        </is>
      </c>
      <c r="B447" s="1" t="n">
        <v>45936.65121527778</v>
      </c>
      <c r="C447" s="1" t="n">
        <v>46176</v>
      </c>
      <c r="D447" t="inlineStr">
        <is>
          <t>KALMAR LÄN</t>
        </is>
      </c>
      <c r="E447" t="inlineStr">
        <is>
          <t>VIMMERBY</t>
        </is>
      </c>
      <c r="G447" t="n">
        <v>3</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46176</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48408-2025</t>
        </is>
      </c>
      <c r="B449" s="1" t="n">
        <v>45934.40527777778</v>
      </c>
      <c r="C449" s="1" t="n">
        <v>46176</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48409-2025</t>
        </is>
      </c>
      <c r="B450" s="1" t="n">
        <v>45934.41387731482</v>
      </c>
      <c r="C450" s="1" t="n">
        <v>46176</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48600-2025</t>
        </is>
      </c>
      <c r="B451" s="1" t="n">
        <v>45935</v>
      </c>
      <c r="C451" s="1" t="n">
        <v>46176</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64428-2023</t>
        </is>
      </c>
      <c r="B452" s="1" t="n">
        <v>45280.66769675926</v>
      </c>
      <c r="C452" s="1" t="n">
        <v>46176</v>
      </c>
      <c r="D452" t="inlineStr">
        <is>
          <t>KALMAR LÄN</t>
        </is>
      </c>
      <c r="E452" t="inlineStr">
        <is>
          <t>VIMMERBY</t>
        </is>
      </c>
      <c r="G452" t="n">
        <v>1.2</v>
      </c>
      <c r="H452" t="n">
        <v>0</v>
      </c>
      <c r="I452" t="n">
        <v>0</v>
      </c>
      <c r="J452" t="n">
        <v>0</v>
      </c>
      <c r="K452" t="n">
        <v>0</v>
      </c>
      <c r="L452" t="n">
        <v>0</v>
      </c>
      <c r="M452" t="n">
        <v>0</v>
      </c>
      <c r="N452" t="n">
        <v>0</v>
      </c>
      <c r="O452" t="n">
        <v>0</v>
      </c>
      <c r="P452" t="n">
        <v>0</v>
      </c>
      <c r="Q452" t="n">
        <v>0</v>
      </c>
      <c r="R452" s="2" t="inlineStr"/>
    </row>
    <row r="453" ht="15" customHeight="1">
      <c r="A453" t="inlineStr">
        <is>
          <t>A 30588-2023</t>
        </is>
      </c>
      <c r="B453" s="1" t="n">
        <v>45112.33599537037</v>
      </c>
      <c r="C453" s="1" t="n">
        <v>46176</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30503-2023</t>
        </is>
      </c>
      <c r="B454" s="1" t="n">
        <v>45111</v>
      </c>
      <c r="C454" s="1" t="n">
        <v>46176</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24932-2026</t>
        </is>
      </c>
      <c r="B455" s="1" t="n">
        <v>46174.5197800926</v>
      </c>
      <c r="C455" s="1" t="n">
        <v>46176</v>
      </c>
      <c r="D455" t="inlineStr">
        <is>
          <t>KALMAR LÄN</t>
        </is>
      </c>
      <c r="E455" t="inlineStr">
        <is>
          <t>VIMMERBY</t>
        </is>
      </c>
      <c r="G455" t="n">
        <v>2.3</v>
      </c>
      <c r="H455" t="n">
        <v>0</v>
      </c>
      <c r="I455" t="n">
        <v>0</v>
      </c>
      <c r="J455" t="n">
        <v>0</v>
      </c>
      <c r="K455" t="n">
        <v>0</v>
      </c>
      <c r="L455" t="n">
        <v>0</v>
      </c>
      <c r="M455" t="n">
        <v>0</v>
      </c>
      <c r="N455" t="n">
        <v>0</v>
      </c>
      <c r="O455" t="n">
        <v>0</v>
      </c>
      <c r="P455" t="n">
        <v>0</v>
      </c>
      <c r="Q455" t="n">
        <v>0</v>
      </c>
      <c r="R455" s="2" t="inlineStr"/>
    </row>
    <row r="456" ht="15" customHeight="1">
      <c r="A456" t="inlineStr">
        <is>
          <t>A 25106-2026</t>
        </is>
      </c>
      <c r="B456" s="1" t="n">
        <v>46175.35026620371</v>
      </c>
      <c r="C456" s="1" t="n">
        <v>46176</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47263-2023</t>
        </is>
      </c>
      <c r="B457" s="1" t="n">
        <v>45202.4209837963</v>
      </c>
      <c r="C457" s="1" t="n">
        <v>46176</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25105-2026</t>
        </is>
      </c>
      <c r="B458" s="1" t="n">
        <v>46175.34893518518</v>
      </c>
      <c r="C458" s="1" t="n">
        <v>46176</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25158-2026</t>
        </is>
      </c>
      <c r="B459" s="1" t="n">
        <v>46175.45645833333</v>
      </c>
      <c r="C459" s="1" t="n">
        <v>46176</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58100-2024</t>
        </is>
      </c>
      <c r="B460" s="1" t="n">
        <v>45632.36706018518</v>
      </c>
      <c r="C460" s="1" t="n">
        <v>46176</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58159-2024</t>
        </is>
      </c>
      <c r="B461" s="1" t="n">
        <v>45632.44886574074</v>
      </c>
      <c r="C461" s="1" t="n">
        <v>46176</v>
      </c>
      <c r="D461" t="inlineStr">
        <is>
          <t>KALMAR LÄN</t>
        </is>
      </c>
      <c r="E461" t="inlineStr">
        <is>
          <t>VIMMERBY</t>
        </is>
      </c>
      <c r="G461" t="n">
        <v>7.5</v>
      </c>
      <c r="H461" t="n">
        <v>0</v>
      </c>
      <c r="I461" t="n">
        <v>0</v>
      </c>
      <c r="J461" t="n">
        <v>0</v>
      </c>
      <c r="K461" t="n">
        <v>0</v>
      </c>
      <c r="L461" t="n">
        <v>0</v>
      </c>
      <c r="M461" t="n">
        <v>0</v>
      </c>
      <c r="N461" t="n">
        <v>0</v>
      </c>
      <c r="O461" t="n">
        <v>0</v>
      </c>
      <c r="P461" t="n">
        <v>0</v>
      </c>
      <c r="Q461" t="n">
        <v>0</v>
      </c>
      <c r="R461" s="2" t="inlineStr"/>
    </row>
    <row r="462" ht="15" customHeight="1">
      <c r="A462" t="inlineStr">
        <is>
          <t>A 25194-2026</t>
        </is>
      </c>
      <c r="B462" s="1" t="n">
        <v>46175.58986111111</v>
      </c>
      <c r="C462" s="1" t="n">
        <v>46176</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24930-2026</t>
        </is>
      </c>
      <c r="B463" s="1" t="n">
        <v>46174.51430555555</v>
      </c>
      <c r="C463" s="1" t="n">
        <v>46176</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49871-2025</t>
        </is>
      </c>
      <c r="B464" s="1" t="n">
        <v>45940.54104166666</v>
      </c>
      <c r="C464" s="1" t="n">
        <v>46176</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57114-2023</t>
        </is>
      </c>
      <c r="B465" s="1" t="n">
        <v>45245.36174768519</v>
      </c>
      <c r="C465" s="1" t="n">
        <v>46176</v>
      </c>
      <c r="D465" t="inlineStr">
        <is>
          <t>KALMAR LÄN</t>
        </is>
      </c>
      <c r="E465" t="inlineStr">
        <is>
          <t>VIMMERBY</t>
        </is>
      </c>
      <c r="G465" t="n">
        <v>1.5</v>
      </c>
      <c r="H465" t="n">
        <v>0</v>
      </c>
      <c r="I465" t="n">
        <v>0</v>
      </c>
      <c r="J465" t="n">
        <v>0</v>
      </c>
      <c r="K465" t="n">
        <v>0</v>
      </c>
      <c r="L465" t="n">
        <v>0</v>
      </c>
      <c r="M465" t="n">
        <v>0</v>
      </c>
      <c r="N465" t="n">
        <v>0</v>
      </c>
      <c r="O465" t="n">
        <v>0</v>
      </c>
      <c r="P465" t="n">
        <v>0</v>
      </c>
      <c r="Q465" t="n">
        <v>0</v>
      </c>
      <c r="R465" s="2" t="inlineStr"/>
    </row>
    <row r="466" ht="15" customHeight="1">
      <c r="A466" t="inlineStr">
        <is>
          <t>A 3423-2022</t>
        </is>
      </c>
      <c r="B466" s="1" t="n">
        <v>44585.50431712963</v>
      </c>
      <c r="C466" s="1" t="n">
        <v>46176</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50544-2025</t>
        </is>
      </c>
      <c r="B467" s="1" t="n">
        <v>45945.50736111111</v>
      </c>
      <c r="C467" s="1" t="n">
        <v>46176</v>
      </c>
      <c r="D467" t="inlineStr">
        <is>
          <t>KALMAR LÄN</t>
        </is>
      </c>
      <c r="E467" t="inlineStr">
        <is>
          <t>VIMMERBY</t>
        </is>
      </c>
      <c r="G467" t="n">
        <v>0.8</v>
      </c>
      <c r="H467" t="n">
        <v>0</v>
      </c>
      <c r="I467" t="n">
        <v>0</v>
      </c>
      <c r="J467" t="n">
        <v>0</v>
      </c>
      <c r="K467" t="n">
        <v>0</v>
      </c>
      <c r="L467" t="n">
        <v>0</v>
      </c>
      <c r="M467" t="n">
        <v>0</v>
      </c>
      <c r="N467" t="n">
        <v>0</v>
      </c>
      <c r="O467" t="n">
        <v>0</v>
      </c>
      <c r="P467" t="n">
        <v>0</v>
      </c>
      <c r="Q467" t="n">
        <v>0</v>
      </c>
      <c r="R467" s="2" t="inlineStr"/>
    </row>
    <row r="468" ht="15" customHeight="1">
      <c r="A468" t="inlineStr">
        <is>
          <t>A 40665-2023</t>
        </is>
      </c>
      <c r="B468" s="1" t="n">
        <v>45170</v>
      </c>
      <c r="C468" s="1" t="n">
        <v>46176</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50324-2025</t>
        </is>
      </c>
      <c r="B469" s="1" t="n">
        <v>45944.45962962963</v>
      </c>
      <c r="C469" s="1" t="n">
        <v>46176</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25192-2026</t>
        </is>
      </c>
      <c r="B470" s="1" t="n">
        <v>46175.5820949074</v>
      </c>
      <c r="C470" s="1" t="n">
        <v>46176</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51062-2025</t>
        </is>
      </c>
      <c r="B471" s="1" t="n">
        <v>45947.44685185186</v>
      </c>
      <c r="C471" s="1" t="n">
        <v>46176</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50860-2022</t>
        </is>
      </c>
      <c r="B472" s="1" t="n">
        <v>44867</v>
      </c>
      <c r="C472" s="1" t="n">
        <v>46176</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25370-2022</t>
        </is>
      </c>
      <c r="B473" s="1" t="n">
        <v>44732.3659837963</v>
      </c>
      <c r="C473" s="1" t="n">
        <v>46176</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58577-2024</t>
        </is>
      </c>
      <c r="B474" s="1" t="n">
        <v>45635.4874537037</v>
      </c>
      <c r="C474" s="1" t="n">
        <v>46176</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29440-2024</t>
        </is>
      </c>
      <c r="B475" s="1" t="n">
        <v>45483.82479166667</v>
      </c>
      <c r="C475" s="1" t="n">
        <v>46176</v>
      </c>
      <c r="D475" t="inlineStr">
        <is>
          <t>KALMAR LÄN</t>
        </is>
      </c>
      <c r="E475" t="inlineStr">
        <is>
          <t>VIMMERBY</t>
        </is>
      </c>
      <c r="G475" t="n">
        <v>4.5</v>
      </c>
      <c r="H475" t="n">
        <v>0</v>
      </c>
      <c r="I475" t="n">
        <v>0</v>
      </c>
      <c r="J475" t="n">
        <v>0</v>
      </c>
      <c r="K475" t="n">
        <v>0</v>
      </c>
      <c r="L475" t="n">
        <v>0</v>
      </c>
      <c r="M475" t="n">
        <v>0</v>
      </c>
      <c r="N475" t="n">
        <v>0</v>
      </c>
      <c r="O475" t="n">
        <v>0</v>
      </c>
      <c r="P475" t="n">
        <v>0</v>
      </c>
      <c r="Q475" t="n">
        <v>0</v>
      </c>
      <c r="R475" s="2" t="inlineStr"/>
    </row>
    <row r="476" ht="15" customHeight="1">
      <c r="A476" t="inlineStr">
        <is>
          <t>A 51990-2025</t>
        </is>
      </c>
      <c r="B476" s="1" t="n">
        <v>45952.58061342593</v>
      </c>
      <c r="C476" s="1" t="n">
        <v>46176</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9129-2025</t>
        </is>
      </c>
      <c r="B477" s="1" t="n">
        <v>45713.92412037037</v>
      </c>
      <c r="C477" s="1" t="n">
        <v>46176</v>
      </c>
      <c r="D477" t="inlineStr">
        <is>
          <t>KALMAR LÄN</t>
        </is>
      </c>
      <c r="E477" t="inlineStr">
        <is>
          <t>VIMMERBY</t>
        </is>
      </c>
      <c r="G477" t="n">
        <v>2.8</v>
      </c>
      <c r="H477" t="n">
        <v>0</v>
      </c>
      <c r="I477" t="n">
        <v>0</v>
      </c>
      <c r="J477" t="n">
        <v>0</v>
      </c>
      <c r="K477" t="n">
        <v>0</v>
      </c>
      <c r="L477" t="n">
        <v>0</v>
      </c>
      <c r="M477" t="n">
        <v>0</v>
      </c>
      <c r="N477" t="n">
        <v>0</v>
      </c>
      <c r="O477" t="n">
        <v>0</v>
      </c>
      <c r="P477" t="n">
        <v>0</v>
      </c>
      <c r="Q477" t="n">
        <v>0</v>
      </c>
      <c r="R477" s="2" t="inlineStr"/>
    </row>
    <row r="478" ht="15" customHeight="1">
      <c r="A478" t="inlineStr">
        <is>
          <t>A 22197-2024</t>
        </is>
      </c>
      <c r="B478" s="1" t="n">
        <v>45446.36774305555</v>
      </c>
      <c r="C478" s="1" t="n">
        <v>46176</v>
      </c>
      <c r="D478" t="inlineStr">
        <is>
          <t>KALMAR LÄN</t>
        </is>
      </c>
      <c r="E478" t="inlineStr">
        <is>
          <t>VIMMERBY</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53752-2024</t>
        </is>
      </c>
      <c r="B479" s="1" t="n">
        <v>45615.48927083334</v>
      </c>
      <c r="C479" s="1" t="n">
        <v>46176</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51993-2025</t>
        </is>
      </c>
      <c r="B480" s="1" t="n">
        <v>45952.58194444444</v>
      </c>
      <c r="C480" s="1" t="n">
        <v>46176</v>
      </c>
      <c r="D480" t="inlineStr">
        <is>
          <t>KALMAR LÄN</t>
        </is>
      </c>
      <c r="E480" t="inlineStr">
        <is>
          <t>VIMMERBY</t>
        </is>
      </c>
      <c r="G480" t="n">
        <v>2.8</v>
      </c>
      <c r="H480" t="n">
        <v>0</v>
      </c>
      <c r="I480" t="n">
        <v>0</v>
      </c>
      <c r="J480" t="n">
        <v>0</v>
      </c>
      <c r="K480" t="n">
        <v>0</v>
      </c>
      <c r="L480" t="n">
        <v>0</v>
      </c>
      <c r="M480" t="n">
        <v>0</v>
      </c>
      <c r="N480" t="n">
        <v>0</v>
      </c>
      <c r="O480" t="n">
        <v>0</v>
      </c>
      <c r="P480" t="n">
        <v>0</v>
      </c>
      <c r="Q480" t="n">
        <v>0</v>
      </c>
      <c r="R480" s="2" t="inlineStr"/>
    </row>
    <row r="481" ht="15" customHeight="1">
      <c r="A481" t="inlineStr">
        <is>
          <t>A 12121-2025</t>
        </is>
      </c>
      <c r="B481" s="1" t="n">
        <v>45729.36868055556</v>
      </c>
      <c r="C481" s="1" t="n">
        <v>46176</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52465-2025</t>
        </is>
      </c>
      <c r="B482" s="1" t="n">
        <v>45954.44543981482</v>
      </c>
      <c r="C482" s="1" t="n">
        <v>46176</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52451-2025</t>
        </is>
      </c>
      <c r="B483" s="1" t="n">
        <v>45954.42326388889</v>
      </c>
      <c r="C483" s="1" t="n">
        <v>46176</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9710-2023</t>
        </is>
      </c>
      <c r="B484" s="1" t="n">
        <v>44984</v>
      </c>
      <c r="C484" s="1" t="n">
        <v>46176</v>
      </c>
      <c r="D484" t="inlineStr">
        <is>
          <t>KALMAR LÄN</t>
        </is>
      </c>
      <c r="E484" t="inlineStr">
        <is>
          <t>VIMMERBY</t>
        </is>
      </c>
      <c r="G484" t="n">
        <v>3.7</v>
      </c>
      <c r="H484" t="n">
        <v>0</v>
      </c>
      <c r="I484" t="n">
        <v>0</v>
      </c>
      <c r="J484" t="n">
        <v>0</v>
      </c>
      <c r="K484" t="n">
        <v>0</v>
      </c>
      <c r="L484" t="n">
        <v>0</v>
      </c>
      <c r="M484" t="n">
        <v>0</v>
      </c>
      <c r="N484" t="n">
        <v>0</v>
      </c>
      <c r="O484" t="n">
        <v>0</v>
      </c>
      <c r="P484" t="n">
        <v>0</v>
      </c>
      <c r="Q484" t="n">
        <v>0</v>
      </c>
      <c r="R484" s="2" t="inlineStr"/>
    </row>
    <row r="485" ht="15" customHeight="1">
      <c r="A485" t="inlineStr">
        <is>
          <t>A 9720-2023</t>
        </is>
      </c>
      <c r="B485" s="1" t="n">
        <v>44984</v>
      </c>
      <c r="C485" s="1" t="n">
        <v>46176</v>
      </c>
      <c r="D485" t="inlineStr">
        <is>
          <t>KALMAR LÄN</t>
        </is>
      </c>
      <c r="E485" t="inlineStr">
        <is>
          <t>VIMMERBY</t>
        </is>
      </c>
      <c r="G485" t="n">
        <v>4.4</v>
      </c>
      <c r="H485" t="n">
        <v>0</v>
      </c>
      <c r="I485" t="n">
        <v>0</v>
      </c>
      <c r="J485" t="n">
        <v>0</v>
      </c>
      <c r="K485" t="n">
        <v>0</v>
      </c>
      <c r="L485" t="n">
        <v>0</v>
      </c>
      <c r="M485" t="n">
        <v>0</v>
      </c>
      <c r="N485" t="n">
        <v>0</v>
      </c>
      <c r="O485" t="n">
        <v>0</v>
      </c>
      <c r="P485" t="n">
        <v>0</v>
      </c>
      <c r="Q485" t="n">
        <v>0</v>
      </c>
      <c r="R485" s="2" t="inlineStr"/>
    </row>
    <row r="486" ht="15" customHeight="1">
      <c r="A486" t="inlineStr">
        <is>
          <t>A 15493-2023</t>
        </is>
      </c>
      <c r="B486" s="1" t="n">
        <v>45018</v>
      </c>
      <c r="C486" s="1" t="n">
        <v>46176</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52516-2025</t>
        </is>
      </c>
      <c r="B487" s="1" t="n">
        <v>45954.51412037037</v>
      </c>
      <c r="C487" s="1" t="n">
        <v>46176</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52466-2025</t>
        </is>
      </c>
      <c r="B488" s="1" t="n">
        <v>45954.44707175926</v>
      </c>
      <c r="C488" s="1" t="n">
        <v>46176</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52473-2025</t>
        </is>
      </c>
      <c r="B489" s="1" t="n">
        <v>45954.45947916667</v>
      </c>
      <c r="C489" s="1" t="n">
        <v>46176</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52480-2025</t>
        </is>
      </c>
      <c r="B490" s="1" t="n">
        <v>45954.47172453703</v>
      </c>
      <c r="C490" s="1" t="n">
        <v>46176</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52475-2025</t>
        </is>
      </c>
      <c r="B491" s="1" t="n">
        <v>45954.468125</v>
      </c>
      <c r="C491" s="1" t="n">
        <v>46176</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53396-2025</t>
        </is>
      </c>
      <c r="B492" s="1" t="n">
        <v>45959.55577546296</v>
      </c>
      <c r="C492" s="1" t="n">
        <v>46176</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53416-2025</t>
        </is>
      </c>
      <c r="B493" s="1" t="n">
        <v>45959.58387731481</v>
      </c>
      <c r="C493" s="1" t="n">
        <v>46176</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53398-2025</t>
        </is>
      </c>
      <c r="B494" s="1" t="n">
        <v>45959.56247685185</v>
      </c>
      <c r="C494" s="1" t="n">
        <v>46176</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53397-2025</t>
        </is>
      </c>
      <c r="B495" s="1" t="n">
        <v>45959.55918981481</v>
      </c>
      <c r="C495" s="1" t="n">
        <v>46176</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29093-2023</t>
        </is>
      </c>
      <c r="B496" s="1" t="n">
        <v>45105</v>
      </c>
      <c r="C496" s="1" t="n">
        <v>46176</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33352-2022</t>
        </is>
      </c>
      <c r="B497" s="1" t="n">
        <v>44788</v>
      </c>
      <c r="C497" s="1" t="n">
        <v>46176</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53220-2025</t>
        </is>
      </c>
      <c r="B498" s="1" t="n">
        <v>45958.60146990741</v>
      </c>
      <c r="C498" s="1" t="n">
        <v>46176</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22264-2023</t>
        </is>
      </c>
      <c r="B499" s="1" t="n">
        <v>45070.3665625</v>
      </c>
      <c r="C499" s="1" t="n">
        <v>46176</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53393-2025</t>
        </is>
      </c>
      <c r="B500" s="1" t="n">
        <v>45959.55284722222</v>
      </c>
      <c r="C500" s="1" t="n">
        <v>46176</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16676-2023</t>
        </is>
      </c>
      <c r="B501" s="1" t="n">
        <v>45028</v>
      </c>
      <c r="C501" s="1" t="n">
        <v>46176</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53413-2025</t>
        </is>
      </c>
      <c r="B502" s="1" t="n">
        <v>45959.5787037037</v>
      </c>
      <c r="C502" s="1" t="n">
        <v>46176</v>
      </c>
      <c r="D502" t="inlineStr">
        <is>
          <t>KALMAR LÄN</t>
        </is>
      </c>
      <c r="E502" t="inlineStr">
        <is>
          <t>VIMMERBY</t>
        </is>
      </c>
      <c r="G502" t="n">
        <v>4.3</v>
      </c>
      <c r="H502" t="n">
        <v>0</v>
      </c>
      <c r="I502" t="n">
        <v>0</v>
      </c>
      <c r="J502" t="n">
        <v>0</v>
      </c>
      <c r="K502" t="n">
        <v>0</v>
      </c>
      <c r="L502" t="n">
        <v>0</v>
      </c>
      <c r="M502" t="n">
        <v>0</v>
      </c>
      <c r="N502" t="n">
        <v>0</v>
      </c>
      <c r="O502" t="n">
        <v>0</v>
      </c>
      <c r="P502" t="n">
        <v>0</v>
      </c>
      <c r="Q502" t="n">
        <v>0</v>
      </c>
      <c r="R502" s="2" t="inlineStr"/>
    </row>
    <row r="503" ht="15" customHeight="1">
      <c r="A503" t="inlineStr">
        <is>
          <t>A 6220-2025</t>
        </is>
      </c>
      <c r="B503" s="1" t="n">
        <v>45698.53725694444</v>
      </c>
      <c r="C503" s="1" t="n">
        <v>46176</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53903-2025</t>
        </is>
      </c>
      <c r="B504" s="1" t="n">
        <v>45961.43738425926</v>
      </c>
      <c r="C504" s="1" t="n">
        <v>46176</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53920-2025</t>
        </is>
      </c>
      <c r="B505" s="1" t="n">
        <v>45961.44951388889</v>
      </c>
      <c r="C505" s="1" t="n">
        <v>46176</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24096-2024</t>
        </is>
      </c>
      <c r="B506" s="1" t="n">
        <v>45456.59289351852</v>
      </c>
      <c r="C506" s="1" t="n">
        <v>46176</v>
      </c>
      <c r="D506" t="inlineStr">
        <is>
          <t>KALMAR LÄN</t>
        </is>
      </c>
      <c r="E506" t="inlineStr">
        <is>
          <t>VIMMERBY</t>
        </is>
      </c>
      <c r="G506" t="n">
        <v>2.3</v>
      </c>
      <c r="H506" t="n">
        <v>0</v>
      </c>
      <c r="I506" t="n">
        <v>0</v>
      </c>
      <c r="J506" t="n">
        <v>0</v>
      </c>
      <c r="K506" t="n">
        <v>0</v>
      </c>
      <c r="L506" t="n">
        <v>0</v>
      </c>
      <c r="M506" t="n">
        <v>0</v>
      </c>
      <c r="N506" t="n">
        <v>0</v>
      </c>
      <c r="O506" t="n">
        <v>0</v>
      </c>
      <c r="P506" t="n">
        <v>0</v>
      </c>
      <c r="Q506" t="n">
        <v>0</v>
      </c>
      <c r="R506" s="2" t="inlineStr"/>
    </row>
    <row r="507" ht="15" customHeight="1">
      <c r="A507" t="inlineStr">
        <is>
          <t>A 53927-2025</t>
        </is>
      </c>
      <c r="B507" s="1" t="n">
        <v>45961.46740740741</v>
      </c>
      <c r="C507" s="1" t="n">
        <v>46176</v>
      </c>
      <c r="D507" t="inlineStr">
        <is>
          <t>KALMAR LÄN</t>
        </is>
      </c>
      <c r="E507" t="inlineStr">
        <is>
          <t>VIMMERBY</t>
        </is>
      </c>
      <c r="G507" t="n">
        <v>2.5</v>
      </c>
      <c r="H507" t="n">
        <v>0</v>
      </c>
      <c r="I507" t="n">
        <v>0</v>
      </c>
      <c r="J507" t="n">
        <v>0</v>
      </c>
      <c r="K507" t="n">
        <v>0</v>
      </c>
      <c r="L507" t="n">
        <v>0</v>
      </c>
      <c r="M507" t="n">
        <v>0</v>
      </c>
      <c r="N507" t="n">
        <v>0</v>
      </c>
      <c r="O507" t="n">
        <v>0</v>
      </c>
      <c r="P507" t="n">
        <v>0</v>
      </c>
      <c r="Q507" t="n">
        <v>0</v>
      </c>
      <c r="R507" s="2" t="inlineStr"/>
    </row>
    <row r="508" ht="15" customHeight="1">
      <c r="A508" t="inlineStr">
        <is>
          <t>A 53789-2025</t>
        </is>
      </c>
      <c r="B508" s="1" t="n">
        <v>45960</v>
      </c>
      <c r="C508" s="1" t="n">
        <v>46176</v>
      </c>
      <c r="D508" t="inlineStr">
        <is>
          <t>KALMAR LÄN</t>
        </is>
      </c>
      <c r="E508" t="inlineStr">
        <is>
          <t>VIMMERBY</t>
        </is>
      </c>
      <c r="F508" t="inlineStr">
        <is>
          <t>Övriga statliga verk och myndigheter</t>
        </is>
      </c>
      <c r="G508" t="n">
        <v>1.6</v>
      </c>
      <c r="H508" t="n">
        <v>0</v>
      </c>
      <c r="I508" t="n">
        <v>0</v>
      </c>
      <c r="J508" t="n">
        <v>0</v>
      </c>
      <c r="K508" t="n">
        <v>0</v>
      </c>
      <c r="L508" t="n">
        <v>0</v>
      </c>
      <c r="M508" t="n">
        <v>0</v>
      </c>
      <c r="N508" t="n">
        <v>0</v>
      </c>
      <c r="O508" t="n">
        <v>0</v>
      </c>
      <c r="P508" t="n">
        <v>0</v>
      </c>
      <c r="Q508" t="n">
        <v>0</v>
      </c>
      <c r="R508" s="2" t="inlineStr"/>
    </row>
    <row r="509" ht="15" customHeight="1">
      <c r="A509" t="inlineStr">
        <is>
          <t>A 53923-2025</t>
        </is>
      </c>
      <c r="B509" s="1" t="n">
        <v>45961.4569212963</v>
      </c>
      <c r="C509" s="1" t="n">
        <v>46176</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29013-2024</t>
        </is>
      </c>
      <c r="B510" s="1" t="n">
        <v>45481.55984953704</v>
      </c>
      <c r="C510" s="1" t="n">
        <v>46176</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6066-2023</t>
        </is>
      </c>
      <c r="B511" s="1" t="n">
        <v>44964.50894675926</v>
      </c>
      <c r="C511" s="1" t="n">
        <v>46176</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59955-2023</t>
        </is>
      </c>
      <c r="B512" s="1" t="n">
        <v>45257.70313657408</v>
      </c>
      <c r="C512" s="1" t="n">
        <v>46176</v>
      </c>
      <c r="D512" t="inlineStr">
        <is>
          <t>KALMAR LÄN</t>
        </is>
      </c>
      <c r="E512" t="inlineStr">
        <is>
          <t>VIMMERBY</t>
        </is>
      </c>
      <c r="G512" t="n">
        <v>13.8</v>
      </c>
      <c r="H512" t="n">
        <v>0</v>
      </c>
      <c r="I512" t="n">
        <v>0</v>
      </c>
      <c r="J512" t="n">
        <v>0</v>
      </c>
      <c r="K512" t="n">
        <v>0</v>
      </c>
      <c r="L512" t="n">
        <v>0</v>
      </c>
      <c r="M512" t="n">
        <v>0</v>
      </c>
      <c r="N512" t="n">
        <v>0</v>
      </c>
      <c r="O512" t="n">
        <v>0</v>
      </c>
      <c r="P512" t="n">
        <v>0</v>
      </c>
      <c r="Q512" t="n">
        <v>0</v>
      </c>
      <c r="R512" s="2" t="inlineStr"/>
    </row>
    <row r="513" ht="15" customHeight="1">
      <c r="A513" t="inlineStr">
        <is>
          <t>A 36040-2024</t>
        </is>
      </c>
      <c r="B513" s="1" t="n">
        <v>45533.60232638889</v>
      </c>
      <c r="C513" s="1" t="n">
        <v>46176</v>
      </c>
      <c r="D513" t="inlineStr">
        <is>
          <t>KALMAR LÄN</t>
        </is>
      </c>
      <c r="E513" t="inlineStr">
        <is>
          <t>VIMMERBY</t>
        </is>
      </c>
      <c r="F513" t="inlineStr">
        <is>
          <t>Kommuner</t>
        </is>
      </c>
      <c r="G513" t="n">
        <v>3.6</v>
      </c>
      <c r="H513" t="n">
        <v>0</v>
      </c>
      <c r="I513" t="n">
        <v>0</v>
      </c>
      <c r="J513" t="n">
        <v>0</v>
      </c>
      <c r="K513" t="n">
        <v>0</v>
      </c>
      <c r="L513" t="n">
        <v>0</v>
      </c>
      <c r="M513" t="n">
        <v>0</v>
      </c>
      <c r="N513" t="n">
        <v>0</v>
      </c>
      <c r="O513" t="n">
        <v>0</v>
      </c>
      <c r="P513" t="n">
        <v>0</v>
      </c>
      <c r="Q513" t="n">
        <v>0</v>
      </c>
      <c r="R513" s="2" t="inlineStr"/>
    </row>
    <row r="514" ht="15" customHeight="1">
      <c r="A514" t="inlineStr">
        <is>
          <t>A 36043-2024</t>
        </is>
      </c>
      <c r="B514" s="1" t="n">
        <v>45533.60770833334</v>
      </c>
      <c r="C514" s="1" t="n">
        <v>46176</v>
      </c>
      <c r="D514" t="inlineStr">
        <is>
          <t>KALMAR LÄN</t>
        </is>
      </c>
      <c r="E514" t="inlineStr">
        <is>
          <t>VIMMERBY</t>
        </is>
      </c>
      <c r="F514" t="inlineStr">
        <is>
          <t>Kommuner</t>
        </is>
      </c>
      <c r="G514" t="n">
        <v>1.5</v>
      </c>
      <c r="H514" t="n">
        <v>0</v>
      </c>
      <c r="I514" t="n">
        <v>0</v>
      </c>
      <c r="J514" t="n">
        <v>0</v>
      </c>
      <c r="K514" t="n">
        <v>0</v>
      </c>
      <c r="L514" t="n">
        <v>0</v>
      </c>
      <c r="M514" t="n">
        <v>0</v>
      </c>
      <c r="N514" t="n">
        <v>0</v>
      </c>
      <c r="O514" t="n">
        <v>0</v>
      </c>
      <c r="P514" t="n">
        <v>0</v>
      </c>
      <c r="Q514" t="n">
        <v>0</v>
      </c>
      <c r="R514" s="2" t="inlineStr"/>
    </row>
    <row r="515" ht="15" customHeight="1">
      <c r="A515" t="inlineStr">
        <is>
          <t>A 53933-2025</t>
        </is>
      </c>
      <c r="B515" s="1" t="n">
        <v>45961.47650462963</v>
      </c>
      <c r="C515" s="1" t="n">
        <v>46176</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12890-2023</t>
        </is>
      </c>
      <c r="B516" s="1" t="n">
        <v>45001.59209490741</v>
      </c>
      <c r="C516" s="1" t="n">
        <v>46176</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43594-2024</t>
        </is>
      </c>
      <c r="B517" s="1" t="n">
        <v>45569.44295138889</v>
      </c>
      <c r="C517" s="1" t="n">
        <v>46176</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53788-2025</t>
        </is>
      </c>
      <c r="B518" s="1" t="n">
        <v>45960</v>
      </c>
      <c r="C518" s="1" t="n">
        <v>46176</v>
      </c>
      <c r="D518" t="inlineStr">
        <is>
          <t>KALMAR LÄN</t>
        </is>
      </c>
      <c r="E518" t="inlineStr">
        <is>
          <t>VIMMERBY</t>
        </is>
      </c>
      <c r="F518" t="inlineStr">
        <is>
          <t>Övriga statliga verk och myndigheter</t>
        </is>
      </c>
      <c r="G518" t="n">
        <v>6.3</v>
      </c>
      <c r="H518" t="n">
        <v>0</v>
      </c>
      <c r="I518" t="n">
        <v>0</v>
      </c>
      <c r="J518" t="n">
        <v>0</v>
      </c>
      <c r="K518" t="n">
        <v>0</v>
      </c>
      <c r="L518" t="n">
        <v>0</v>
      </c>
      <c r="M518" t="n">
        <v>0</v>
      </c>
      <c r="N518" t="n">
        <v>0</v>
      </c>
      <c r="O518" t="n">
        <v>0</v>
      </c>
      <c r="P518" t="n">
        <v>0</v>
      </c>
      <c r="Q518" t="n">
        <v>0</v>
      </c>
      <c r="R518" s="2" t="inlineStr"/>
    </row>
    <row r="519" ht="15" customHeight="1">
      <c r="A519" t="inlineStr">
        <is>
          <t>A 53482-2022</t>
        </is>
      </c>
      <c r="B519" s="1" t="n">
        <v>44879</v>
      </c>
      <c r="C519" s="1" t="n">
        <v>46176</v>
      </c>
      <c r="D519" t="inlineStr">
        <is>
          <t>KALMAR LÄN</t>
        </is>
      </c>
      <c r="E519" t="inlineStr">
        <is>
          <t>VIMMERBY</t>
        </is>
      </c>
      <c r="G519" t="n">
        <v>10.1</v>
      </c>
      <c r="H519" t="n">
        <v>0</v>
      </c>
      <c r="I519" t="n">
        <v>0</v>
      </c>
      <c r="J519" t="n">
        <v>0</v>
      </c>
      <c r="K519" t="n">
        <v>0</v>
      </c>
      <c r="L519" t="n">
        <v>0</v>
      </c>
      <c r="M519" t="n">
        <v>0</v>
      </c>
      <c r="N519" t="n">
        <v>0</v>
      </c>
      <c r="O519" t="n">
        <v>0</v>
      </c>
      <c r="P519" t="n">
        <v>0</v>
      </c>
      <c r="Q519" t="n">
        <v>0</v>
      </c>
      <c r="R519" s="2" t="inlineStr"/>
    </row>
    <row r="520" ht="15" customHeight="1">
      <c r="A520" t="inlineStr">
        <is>
          <t>A 54236-2025</t>
        </is>
      </c>
      <c r="B520" s="1" t="n">
        <v>45964.62671296296</v>
      </c>
      <c r="C520" s="1" t="n">
        <v>46176</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27761-2024</t>
        </is>
      </c>
      <c r="B521" s="1" t="n">
        <v>45475.49018518518</v>
      </c>
      <c r="C521" s="1" t="n">
        <v>46176</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64203-2021</t>
        </is>
      </c>
      <c r="B522" s="1" t="n">
        <v>44510.60921296296</v>
      </c>
      <c r="C522" s="1" t="n">
        <v>46176</v>
      </c>
      <c r="D522" t="inlineStr">
        <is>
          <t>KALMAR LÄN</t>
        </is>
      </c>
      <c r="E522" t="inlineStr">
        <is>
          <t>VIMMERBY</t>
        </is>
      </c>
      <c r="F522" t="inlineStr">
        <is>
          <t>Övriga Aktiebolag</t>
        </is>
      </c>
      <c r="G522" t="n">
        <v>5.4</v>
      </c>
      <c r="H522" t="n">
        <v>0</v>
      </c>
      <c r="I522" t="n">
        <v>0</v>
      </c>
      <c r="J522" t="n">
        <v>0</v>
      </c>
      <c r="K522" t="n">
        <v>0</v>
      </c>
      <c r="L522" t="n">
        <v>0</v>
      </c>
      <c r="M522" t="n">
        <v>0</v>
      </c>
      <c r="N522" t="n">
        <v>0</v>
      </c>
      <c r="O522" t="n">
        <v>0</v>
      </c>
      <c r="P522" t="n">
        <v>0</v>
      </c>
      <c r="Q522" t="n">
        <v>0</v>
      </c>
      <c r="R522" s="2" t="inlineStr"/>
    </row>
    <row r="523" ht="15" customHeight="1">
      <c r="A523" t="inlineStr">
        <is>
          <t>A 5720-2023</t>
        </is>
      </c>
      <c r="B523" s="1" t="n">
        <v>44961</v>
      </c>
      <c r="C523" s="1" t="n">
        <v>46176</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9643-2023</t>
        </is>
      </c>
      <c r="B524" s="1" t="n">
        <v>44984</v>
      </c>
      <c r="C524" s="1" t="n">
        <v>46176</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25728-2023</t>
        </is>
      </c>
      <c r="B525" s="1" t="n">
        <v>45090.38012731481</v>
      </c>
      <c r="C525" s="1" t="n">
        <v>46176</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54234-2025</t>
        </is>
      </c>
      <c r="B526" s="1" t="n">
        <v>45964.62486111111</v>
      </c>
      <c r="C526" s="1" t="n">
        <v>46176</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41311-2023</t>
        </is>
      </c>
      <c r="B527" s="1" t="n">
        <v>45174</v>
      </c>
      <c r="C527" s="1" t="n">
        <v>46176</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54737-2025</t>
        </is>
      </c>
      <c r="B528" s="1" t="n">
        <v>45966.56826388889</v>
      </c>
      <c r="C528" s="1" t="n">
        <v>46176</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26318-2023</t>
        </is>
      </c>
      <c r="B529" s="1" t="n">
        <v>45091.67936342592</v>
      </c>
      <c r="C529" s="1" t="n">
        <v>46176</v>
      </c>
      <c r="D529" t="inlineStr">
        <is>
          <t>KALMAR LÄN</t>
        </is>
      </c>
      <c r="E529" t="inlineStr">
        <is>
          <t>VIMMERBY</t>
        </is>
      </c>
      <c r="G529" t="n">
        <v>3.8</v>
      </c>
      <c r="H529" t="n">
        <v>0</v>
      </c>
      <c r="I529" t="n">
        <v>0</v>
      </c>
      <c r="J529" t="n">
        <v>0</v>
      </c>
      <c r="K529" t="n">
        <v>0</v>
      </c>
      <c r="L529" t="n">
        <v>0</v>
      </c>
      <c r="M529" t="n">
        <v>0</v>
      </c>
      <c r="N529" t="n">
        <v>0</v>
      </c>
      <c r="O529" t="n">
        <v>0</v>
      </c>
      <c r="P529" t="n">
        <v>0</v>
      </c>
      <c r="Q529" t="n">
        <v>0</v>
      </c>
      <c r="R529" s="2" t="inlineStr"/>
    </row>
    <row r="530" ht="15" customHeight="1">
      <c r="A530" t="inlineStr">
        <is>
          <t>A 54813-2025</t>
        </is>
      </c>
      <c r="B530" s="1" t="n">
        <v>45966.64881944445</v>
      </c>
      <c r="C530" s="1" t="n">
        <v>46176</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61355-2024</t>
        </is>
      </c>
      <c r="B531" s="1" t="n">
        <v>45646.38200231481</v>
      </c>
      <c r="C531" s="1" t="n">
        <v>46176</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36802-2021</t>
        </is>
      </c>
      <c r="B532" s="1" t="n">
        <v>44392</v>
      </c>
      <c r="C532" s="1" t="n">
        <v>46176</v>
      </c>
      <c r="D532" t="inlineStr">
        <is>
          <t>KALMAR LÄN</t>
        </is>
      </c>
      <c r="E532" t="inlineStr">
        <is>
          <t>VIMMERBY</t>
        </is>
      </c>
      <c r="F532" t="inlineStr">
        <is>
          <t>Sveaskog</t>
        </is>
      </c>
      <c r="G532" t="n">
        <v>4.6</v>
      </c>
      <c r="H532" t="n">
        <v>0</v>
      </c>
      <c r="I532" t="n">
        <v>0</v>
      </c>
      <c r="J532" t="n">
        <v>0</v>
      </c>
      <c r="K532" t="n">
        <v>0</v>
      </c>
      <c r="L532" t="n">
        <v>0</v>
      </c>
      <c r="M532" t="n">
        <v>0</v>
      </c>
      <c r="N532" t="n">
        <v>0</v>
      </c>
      <c r="O532" t="n">
        <v>0</v>
      </c>
      <c r="P532" t="n">
        <v>0</v>
      </c>
      <c r="Q532" t="n">
        <v>0</v>
      </c>
      <c r="R532" s="2" t="inlineStr"/>
    </row>
    <row r="533" ht="15" customHeight="1">
      <c r="A533" t="inlineStr">
        <is>
          <t>A 55602-2025</t>
        </is>
      </c>
      <c r="B533" s="1" t="n">
        <v>45971</v>
      </c>
      <c r="C533" s="1" t="n">
        <v>46176</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38198-2024</t>
        </is>
      </c>
      <c r="B534" s="1" t="n">
        <v>45545.49508101852</v>
      </c>
      <c r="C534" s="1" t="n">
        <v>46176</v>
      </c>
      <c r="D534" t="inlineStr">
        <is>
          <t>KALMAR LÄN</t>
        </is>
      </c>
      <c r="E534" t="inlineStr">
        <is>
          <t>VIMMERBY</t>
        </is>
      </c>
      <c r="G534" t="n">
        <v>7.9</v>
      </c>
      <c r="H534" t="n">
        <v>0</v>
      </c>
      <c r="I534" t="n">
        <v>0</v>
      </c>
      <c r="J534" t="n">
        <v>0</v>
      </c>
      <c r="K534" t="n">
        <v>0</v>
      </c>
      <c r="L534" t="n">
        <v>0</v>
      </c>
      <c r="M534" t="n">
        <v>0</v>
      </c>
      <c r="N534" t="n">
        <v>0</v>
      </c>
      <c r="O534" t="n">
        <v>0</v>
      </c>
      <c r="P534" t="n">
        <v>0</v>
      </c>
      <c r="Q534" t="n">
        <v>0</v>
      </c>
      <c r="R534" s="2" t="inlineStr"/>
    </row>
    <row r="535" ht="15" customHeight="1">
      <c r="A535" t="inlineStr">
        <is>
          <t>A 9623-2024</t>
        </is>
      </c>
      <c r="B535" s="1" t="n">
        <v>45361.87975694444</v>
      </c>
      <c r="C535" s="1" t="n">
        <v>46176</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58967-2022</t>
        </is>
      </c>
      <c r="B536" s="1" t="n">
        <v>44896</v>
      </c>
      <c r="C536" s="1" t="n">
        <v>46176</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55603-2025</t>
        </is>
      </c>
      <c r="B537" s="1" t="n">
        <v>45971</v>
      </c>
      <c r="C537" s="1" t="n">
        <v>46176</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55605-2025</t>
        </is>
      </c>
      <c r="B538" s="1" t="n">
        <v>45971</v>
      </c>
      <c r="C538" s="1" t="n">
        <v>46176</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55385-2025</t>
        </is>
      </c>
      <c r="B539" s="1" t="n">
        <v>45971.43350694444</v>
      </c>
      <c r="C539" s="1" t="n">
        <v>46176</v>
      </c>
      <c r="D539" t="inlineStr">
        <is>
          <t>KALMAR LÄN</t>
        </is>
      </c>
      <c r="E539" t="inlineStr">
        <is>
          <t>VIMMERBY</t>
        </is>
      </c>
      <c r="G539" t="n">
        <v>5</v>
      </c>
      <c r="H539" t="n">
        <v>0</v>
      </c>
      <c r="I539" t="n">
        <v>0</v>
      </c>
      <c r="J539" t="n">
        <v>0</v>
      </c>
      <c r="K539" t="n">
        <v>0</v>
      </c>
      <c r="L539" t="n">
        <v>0</v>
      </c>
      <c r="M539" t="n">
        <v>0</v>
      </c>
      <c r="N539" t="n">
        <v>0</v>
      </c>
      <c r="O539" t="n">
        <v>0</v>
      </c>
      <c r="P539" t="n">
        <v>0</v>
      </c>
      <c r="Q539" t="n">
        <v>0</v>
      </c>
      <c r="R539" s="2" t="inlineStr"/>
    </row>
    <row r="540" ht="15" customHeight="1">
      <c r="A540" t="inlineStr">
        <is>
          <t>A 6399-2025</t>
        </is>
      </c>
      <c r="B540" s="1" t="n">
        <v>45699.44291666667</v>
      </c>
      <c r="C540" s="1" t="n">
        <v>46176</v>
      </c>
      <c r="D540" t="inlineStr">
        <is>
          <t>KALMAR LÄN</t>
        </is>
      </c>
      <c r="E540" t="inlineStr">
        <is>
          <t>VIMMERBY</t>
        </is>
      </c>
      <c r="G540" t="n">
        <v>3.1</v>
      </c>
      <c r="H540" t="n">
        <v>0</v>
      </c>
      <c r="I540" t="n">
        <v>0</v>
      </c>
      <c r="J540" t="n">
        <v>0</v>
      </c>
      <c r="K540" t="n">
        <v>0</v>
      </c>
      <c r="L540" t="n">
        <v>0</v>
      </c>
      <c r="M540" t="n">
        <v>0</v>
      </c>
      <c r="N540" t="n">
        <v>0</v>
      </c>
      <c r="O540" t="n">
        <v>0</v>
      </c>
      <c r="P540" t="n">
        <v>0</v>
      </c>
      <c r="Q540" t="n">
        <v>0</v>
      </c>
      <c r="R540" s="2" t="inlineStr"/>
    </row>
    <row r="541" ht="15" customHeight="1">
      <c r="A541" t="inlineStr">
        <is>
          <t>A 31355-2023</t>
        </is>
      </c>
      <c r="B541" s="1" t="n">
        <v>45114.49505787037</v>
      </c>
      <c r="C541" s="1" t="n">
        <v>46176</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30400-2023</t>
        </is>
      </c>
      <c r="B542" s="1" t="n">
        <v>45111.48225694444</v>
      </c>
      <c r="C542" s="1" t="n">
        <v>46176</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30404-2023</t>
        </is>
      </c>
      <c r="B543" s="1" t="n">
        <v>45111.48636574074</v>
      </c>
      <c r="C543" s="1" t="n">
        <v>46176</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27705-2023</t>
        </is>
      </c>
      <c r="B544" s="1" t="n">
        <v>45098.30535879629</v>
      </c>
      <c r="C544" s="1" t="n">
        <v>46176</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36843-2023</t>
        </is>
      </c>
      <c r="B545" s="1" t="n">
        <v>45154.49831018518</v>
      </c>
      <c r="C545" s="1" t="n">
        <v>46176</v>
      </c>
      <c r="D545" t="inlineStr">
        <is>
          <t>KALMAR LÄN</t>
        </is>
      </c>
      <c r="E545" t="inlineStr">
        <is>
          <t>VIMMERBY</t>
        </is>
      </c>
      <c r="G545" t="n">
        <v>2</v>
      </c>
      <c r="H545" t="n">
        <v>0</v>
      </c>
      <c r="I545" t="n">
        <v>0</v>
      </c>
      <c r="J545" t="n">
        <v>0</v>
      </c>
      <c r="K545" t="n">
        <v>0</v>
      </c>
      <c r="L545" t="n">
        <v>0</v>
      </c>
      <c r="M545" t="n">
        <v>0</v>
      </c>
      <c r="N545" t="n">
        <v>0</v>
      </c>
      <c r="O545" t="n">
        <v>0</v>
      </c>
      <c r="P545" t="n">
        <v>0</v>
      </c>
      <c r="Q545" t="n">
        <v>0</v>
      </c>
      <c r="R545" s="2" t="inlineStr"/>
    </row>
    <row r="546" ht="15" customHeight="1">
      <c r="A546" t="inlineStr">
        <is>
          <t>A 10785-2025</t>
        </is>
      </c>
      <c r="B546" s="1" t="n">
        <v>45722.48634259259</v>
      </c>
      <c r="C546" s="1" t="n">
        <v>46176</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29017-2024</t>
        </is>
      </c>
      <c r="B547" s="1" t="n">
        <v>45481.56722222222</v>
      </c>
      <c r="C547" s="1" t="n">
        <v>46176</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23263-2024</t>
        </is>
      </c>
      <c r="B548" s="1" t="n">
        <v>45453.36854166666</v>
      </c>
      <c r="C548" s="1" t="n">
        <v>46176</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11074-2023</t>
        </is>
      </c>
      <c r="B549" s="1" t="n">
        <v>44992.34151620371</v>
      </c>
      <c r="C549" s="1" t="n">
        <v>46176</v>
      </c>
      <c r="D549" t="inlineStr">
        <is>
          <t>KALMAR LÄN</t>
        </is>
      </c>
      <c r="E549" t="inlineStr">
        <is>
          <t>VIMMERBY</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46176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12215-2024</t>
        </is>
      </c>
      <c r="B551" s="1" t="n">
        <v>45378.32185185186</v>
      </c>
      <c r="C551" s="1" t="n">
        <v>46176</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11303-2025</t>
        </is>
      </c>
      <c r="B552" s="1" t="n">
        <v>45726.44471064815</v>
      </c>
      <c r="C552" s="1" t="n">
        <v>46176</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12033-2024</t>
        </is>
      </c>
      <c r="B553" s="1" t="n">
        <v>45377.40043981482</v>
      </c>
      <c r="C553" s="1" t="n">
        <v>46176</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51408-2023</t>
        </is>
      </c>
      <c r="B554" s="1" t="n">
        <v>45219.69356481481</v>
      </c>
      <c r="C554" s="1" t="n">
        <v>46176</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49488-2023</t>
        </is>
      </c>
      <c r="B555" s="1" t="n">
        <v>45211.55472222222</v>
      </c>
      <c r="C555" s="1" t="n">
        <v>46176</v>
      </c>
      <c r="D555" t="inlineStr">
        <is>
          <t>KALMAR LÄN</t>
        </is>
      </c>
      <c r="E555" t="inlineStr">
        <is>
          <t>VIMMERBY</t>
        </is>
      </c>
      <c r="F555" t="inlineStr">
        <is>
          <t>Sveaskog</t>
        </is>
      </c>
      <c r="G555" t="n">
        <v>6.2</v>
      </c>
      <c r="H555" t="n">
        <v>0</v>
      </c>
      <c r="I555" t="n">
        <v>0</v>
      </c>
      <c r="J555" t="n">
        <v>0</v>
      </c>
      <c r="K555" t="n">
        <v>0</v>
      </c>
      <c r="L555" t="n">
        <v>0</v>
      </c>
      <c r="M555" t="n">
        <v>0</v>
      </c>
      <c r="N555" t="n">
        <v>0</v>
      </c>
      <c r="O555" t="n">
        <v>0</v>
      </c>
      <c r="P555" t="n">
        <v>0</v>
      </c>
      <c r="Q555" t="n">
        <v>0</v>
      </c>
      <c r="R555" s="2" t="inlineStr"/>
    </row>
    <row r="556" ht="15" customHeight="1">
      <c r="A556" t="inlineStr">
        <is>
          <t>A 8410-2023</t>
        </is>
      </c>
      <c r="B556" s="1" t="n">
        <v>44977</v>
      </c>
      <c r="C556" s="1" t="n">
        <v>46176</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57728-2025</t>
        </is>
      </c>
      <c r="B557" s="1" t="n">
        <v>45981</v>
      </c>
      <c r="C557" s="1" t="n">
        <v>46176</v>
      </c>
      <c r="D557" t="inlineStr">
        <is>
          <t>KALMAR LÄN</t>
        </is>
      </c>
      <c r="E557" t="inlineStr">
        <is>
          <t>VIMMERBY</t>
        </is>
      </c>
      <c r="G557" t="n">
        <v>0.8</v>
      </c>
      <c r="H557" t="n">
        <v>0</v>
      </c>
      <c r="I557" t="n">
        <v>0</v>
      </c>
      <c r="J557" t="n">
        <v>0</v>
      </c>
      <c r="K557" t="n">
        <v>0</v>
      </c>
      <c r="L557" t="n">
        <v>0</v>
      </c>
      <c r="M557" t="n">
        <v>0</v>
      </c>
      <c r="N557" t="n">
        <v>0</v>
      </c>
      <c r="O557" t="n">
        <v>0</v>
      </c>
      <c r="P557" t="n">
        <v>0</v>
      </c>
      <c r="Q557" t="n">
        <v>0</v>
      </c>
      <c r="R557" s="2" t="inlineStr"/>
    </row>
    <row r="558" ht="15" customHeight="1">
      <c r="A558" t="inlineStr">
        <is>
          <t>A 30920-2024</t>
        </is>
      </c>
      <c r="B558" s="1" t="n">
        <v>45498.673125</v>
      </c>
      <c r="C558" s="1" t="n">
        <v>46176</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58503-2025</t>
        </is>
      </c>
      <c r="B559" s="1" t="n">
        <v>45985.69509259259</v>
      </c>
      <c r="C559" s="1" t="n">
        <v>46176</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58498-2025</t>
        </is>
      </c>
      <c r="B560" s="1" t="n">
        <v>45985.68671296296</v>
      </c>
      <c r="C560" s="1" t="n">
        <v>46176</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58501-2025</t>
        </is>
      </c>
      <c r="B561" s="1" t="n">
        <v>45985.69153935185</v>
      </c>
      <c r="C561" s="1" t="n">
        <v>46176</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58514-2025</t>
        </is>
      </c>
      <c r="B562" s="1" t="n">
        <v>45985.70513888889</v>
      </c>
      <c r="C562" s="1" t="n">
        <v>46176</v>
      </c>
      <c r="D562" t="inlineStr">
        <is>
          <t>KALMAR LÄN</t>
        </is>
      </c>
      <c r="E562" t="inlineStr">
        <is>
          <t>VIMMERBY</t>
        </is>
      </c>
      <c r="G562" t="n">
        <v>3.7</v>
      </c>
      <c r="H562" t="n">
        <v>0</v>
      </c>
      <c r="I562" t="n">
        <v>0</v>
      </c>
      <c r="J562" t="n">
        <v>0</v>
      </c>
      <c r="K562" t="n">
        <v>0</v>
      </c>
      <c r="L562" t="n">
        <v>0</v>
      </c>
      <c r="M562" t="n">
        <v>0</v>
      </c>
      <c r="N562" t="n">
        <v>0</v>
      </c>
      <c r="O562" t="n">
        <v>0</v>
      </c>
      <c r="P562" t="n">
        <v>0</v>
      </c>
      <c r="Q562" t="n">
        <v>0</v>
      </c>
      <c r="R562" s="2" t="inlineStr"/>
    </row>
    <row r="563" ht="15" customHeight="1">
      <c r="A563" t="inlineStr">
        <is>
          <t>A 58442-2025</t>
        </is>
      </c>
      <c r="B563" s="1" t="n">
        <v>45985.61635416667</v>
      </c>
      <c r="C563" s="1" t="n">
        <v>46176</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40929-2022</t>
        </is>
      </c>
      <c r="B564" s="1" t="n">
        <v>44825.4336574074</v>
      </c>
      <c r="C564" s="1" t="n">
        <v>46176</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50091-2023</t>
        </is>
      </c>
      <c r="B565" s="1" t="n">
        <v>45215.60199074074</v>
      </c>
      <c r="C565" s="1" t="n">
        <v>46176</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36008-2024</t>
        </is>
      </c>
      <c r="B566" s="1" t="n">
        <v>45533.55362268518</v>
      </c>
      <c r="C566" s="1" t="n">
        <v>46176</v>
      </c>
      <c r="D566" t="inlineStr">
        <is>
          <t>KALMAR LÄN</t>
        </is>
      </c>
      <c r="E566" t="inlineStr">
        <is>
          <t>VIMMERBY</t>
        </is>
      </c>
      <c r="G566" t="n">
        <v>3.7</v>
      </c>
      <c r="H566" t="n">
        <v>0</v>
      </c>
      <c r="I566" t="n">
        <v>0</v>
      </c>
      <c r="J566" t="n">
        <v>0</v>
      </c>
      <c r="K566" t="n">
        <v>0</v>
      </c>
      <c r="L566" t="n">
        <v>0</v>
      </c>
      <c r="M566" t="n">
        <v>0</v>
      </c>
      <c r="N566" t="n">
        <v>0</v>
      </c>
      <c r="O566" t="n">
        <v>0</v>
      </c>
      <c r="P566" t="n">
        <v>0</v>
      </c>
      <c r="Q566" t="n">
        <v>0</v>
      </c>
      <c r="R566" s="2" t="inlineStr"/>
    </row>
    <row r="567" ht="15" customHeight="1">
      <c r="A567" t="inlineStr">
        <is>
          <t>A 58435-2025</t>
        </is>
      </c>
      <c r="B567" s="1" t="n">
        <v>45985.61501157407</v>
      </c>
      <c r="C567" s="1" t="n">
        <v>46176</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58446-2025</t>
        </is>
      </c>
      <c r="B568" s="1" t="n">
        <v>45985.62168981481</v>
      </c>
      <c r="C568" s="1" t="n">
        <v>46176</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16622-2025</t>
        </is>
      </c>
      <c r="B569" s="1" t="n">
        <v>45754.33641203704</v>
      </c>
      <c r="C569" s="1" t="n">
        <v>46176</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17511-2024</t>
        </is>
      </c>
      <c r="B570" s="1" t="n">
        <v>45415.57682870371</v>
      </c>
      <c r="C570" s="1" t="n">
        <v>46176</v>
      </c>
      <c r="D570" t="inlineStr">
        <is>
          <t>KALMAR LÄN</t>
        </is>
      </c>
      <c r="E570" t="inlineStr">
        <is>
          <t>VIMMERBY</t>
        </is>
      </c>
      <c r="G570" t="n">
        <v>5.3</v>
      </c>
      <c r="H570" t="n">
        <v>0</v>
      </c>
      <c r="I570" t="n">
        <v>0</v>
      </c>
      <c r="J570" t="n">
        <v>0</v>
      </c>
      <c r="K570" t="n">
        <v>0</v>
      </c>
      <c r="L570" t="n">
        <v>0</v>
      </c>
      <c r="M570" t="n">
        <v>0</v>
      </c>
      <c r="N570" t="n">
        <v>0</v>
      </c>
      <c r="O570" t="n">
        <v>0</v>
      </c>
      <c r="P570" t="n">
        <v>0</v>
      </c>
      <c r="Q570" t="n">
        <v>0</v>
      </c>
      <c r="R570" s="2" t="inlineStr"/>
    </row>
    <row r="571" ht="15" customHeight="1">
      <c r="A571" t="inlineStr">
        <is>
          <t>A 58500-2025</t>
        </is>
      </c>
      <c r="B571" s="1" t="n">
        <v>45985.69008101852</v>
      </c>
      <c r="C571" s="1" t="n">
        <v>46176</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43705-2023</t>
        </is>
      </c>
      <c r="B572" s="1" t="n">
        <v>45187.42854166667</v>
      </c>
      <c r="C572" s="1" t="n">
        <v>46176</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58841-2025</t>
        </is>
      </c>
      <c r="B573" s="1" t="n">
        <v>45987.36275462963</v>
      </c>
      <c r="C573" s="1" t="n">
        <v>46176</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55300-2021</t>
        </is>
      </c>
      <c r="B574" s="1" t="n">
        <v>44475</v>
      </c>
      <c r="C574" s="1" t="n">
        <v>46176</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58858-2025</t>
        </is>
      </c>
      <c r="B575" s="1" t="n">
        <v>45987.4243287037</v>
      </c>
      <c r="C575" s="1" t="n">
        <v>46176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44179-2022</t>
        </is>
      </c>
      <c r="B576" s="1" t="n">
        <v>44839.4528125</v>
      </c>
      <c r="C576" s="1" t="n">
        <v>46176</v>
      </c>
      <c r="D576" t="inlineStr">
        <is>
          <t>KALMAR LÄN</t>
        </is>
      </c>
      <c r="E576" t="inlineStr">
        <is>
          <t>VIMMERBY</t>
        </is>
      </c>
      <c r="G576" t="n">
        <v>2.8</v>
      </c>
      <c r="H576" t="n">
        <v>0</v>
      </c>
      <c r="I576" t="n">
        <v>0</v>
      </c>
      <c r="J576" t="n">
        <v>0</v>
      </c>
      <c r="K576" t="n">
        <v>0</v>
      </c>
      <c r="L576" t="n">
        <v>0</v>
      </c>
      <c r="M576" t="n">
        <v>0</v>
      </c>
      <c r="N576" t="n">
        <v>0</v>
      </c>
      <c r="O576" t="n">
        <v>0</v>
      </c>
      <c r="P576" t="n">
        <v>0</v>
      </c>
      <c r="Q576" t="n">
        <v>0</v>
      </c>
      <c r="R576" s="2" t="inlineStr"/>
    </row>
    <row r="577" ht="15" customHeight="1">
      <c r="A577" t="inlineStr">
        <is>
          <t>A 52755-2022</t>
        </is>
      </c>
      <c r="B577" s="1" t="n">
        <v>44875.27736111111</v>
      </c>
      <c r="C577" s="1" t="n">
        <v>46176</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35998-2024</t>
        </is>
      </c>
      <c r="B578" s="1" t="n">
        <v>45533.54429398148</v>
      </c>
      <c r="C578" s="1" t="n">
        <v>46176</v>
      </c>
      <c r="D578" t="inlineStr">
        <is>
          <t>KALMAR LÄN</t>
        </is>
      </c>
      <c r="E578" t="inlineStr">
        <is>
          <t>VIMMERBY</t>
        </is>
      </c>
      <c r="G578" t="n">
        <v>8.6</v>
      </c>
      <c r="H578" t="n">
        <v>0</v>
      </c>
      <c r="I578" t="n">
        <v>0</v>
      </c>
      <c r="J578" t="n">
        <v>0</v>
      </c>
      <c r="K578" t="n">
        <v>0</v>
      </c>
      <c r="L578" t="n">
        <v>0</v>
      </c>
      <c r="M578" t="n">
        <v>0</v>
      </c>
      <c r="N578" t="n">
        <v>0</v>
      </c>
      <c r="O578" t="n">
        <v>0</v>
      </c>
      <c r="P578" t="n">
        <v>0</v>
      </c>
      <c r="Q578" t="n">
        <v>0</v>
      </c>
      <c r="R578" s="2" t="inlineStr"/>
    </row>
    <row r="579" ht="15" customHeight="1">
      <c r="A579" t="inlineStr">
        <is>
          <t>A 7797-2023</t>
        </is>
      </c>
      <c r="B579" s="1" t="n">
        <v>44973.43075231482</v>
      </c>
      <c r="C579" s="1" t="n">
        <v>46176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59039-2025</t>
        </is>
      </c>
      <c r="B580" s="1" t="n">
        <v>45988.36790509259</v>
      </c>
      <c r="C580" s="1" t="n">
        <v>46176</v>
      </c>
      <c r="D580" t="inlineStr">
        <is>
          <t>KALMAR LÄN</t>
        </is>
      </c>
      <c r="E580" t="inlineStr">
        <is>
          <t>VIMMERBY</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29351-2023</t>
        </is>
      </c>
      <c r="B581" s="1" t="n">
        <v>45106.2610300926</v>
      </c>
      <c r="C581" s="1" t="n">
        <v>46176</v>
      </c>
      <c r="D581" t="inlineStr">
        <is>
          <t>KALMAR LÄN</t>
        </is>
      </c>
      <c r="E581" t="inlineStr">
        <is>
          <t>VIMMERBY</t>
        </is>
      </c>
      <c r="G581" t="n">
        <v>0.4</v>
      </c>
      <c r="H581" t="n">
        <v>0</v>
      </c>
      <c r="I581" t="n">
        <v>0</v>
      </c>
      <c r="J581" t="n">
        <v>0</v>
      </c>
      <c r="K581" t="n">
        <v>0</v>
      </c>
      <c r="L581" t="n">
        <v>0</v>
      </c>
      <c r="M581" t="n">
        <v>0</v>
      </c>
      <c r="N581" t="n">
        <v>0</v>
      </c>
      <c r="O581" t="n">
        <v>0</v>
      </c>
      <c r="P581" t="n">
        <v>0</v>
      </c>
      <c r="Q581" t="n">
        <v>0</v>
      </c>
      <c r="R581" s="2" t="inlineStr"/>
    </row>
    <row r="582" ht="15" customHeight="1">
      <c r="A582" t="inlineStr">
        <is>
          <t>A 7630-2025</t>
        </is>
      </c>
      <c r="B582" s="1" t="n">
        <v>45705.74418981482</v>
      </c>
      <c r="C582" s="1" t="n">
        <v>46176</v>
      </c>
      <c r="D582" t="inlineStr">
        <is>
          <t>KALMAR LÄN</t>
        </is>
      </c>
      <c r="E582" t="inlineStr">
        <is>
          <t>VIMMERBY</t>
        </is>
      </c>
      <c r="G582" t="n">
        <v>2.5</v>
      </c>
      <c r="H582" t="n">
        <v>0</v>
      </c>
      <c r="I582" t="n">
        <v>0</v>
      </c>
      <c r="J582" t="n">
        <v>0</v>
      </c>
      <c r="K582" t="n">
        <v>0</v>
      </c>
      <c r="L582" t="n">
        <v>0</v>
      </c>
      <c r="M582" t="n">
        <v>0</v>
      </c>
      <c r="N582" t="n">
        <v>0</v>
      </c>
      <c r="O582" t="n">
        <v>0</v>
      </c>
      <c r="P582" t="n">
        <v>0</v>
      </c>
      <c r="Q582" t="n">
        <v>0</v>
      </c>
      <c r="R582" s="2" t="inlineStr"/>
    </row>
    <row r="583" ht="15" customHeight="1">
      <c r="A583" t="inlineStr">
        <is>
          <t>A 1024-2024</t>
        </is>
      </c>
      <c r="B583" s="1" t="n">
        <v>45301.68237268519</v>
      </c>
      <c r="C583" s="1" t="n">
        <v>46176</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59034-2025</t>
        </is>
      </c>
      <c r="B584" s="1" t="n">
        <v>45988.36243055556</v>
      </c>
      <c r="C584" s="1" t="n">
        <v>46176</v>
      </c>
      <c r="D584" t="inlineStr">
        <is>
          <t>KALMAR LÄN</t>
        </is>
      </c>
      <c r="E584" t="inlineStr">
        <is>
          <t>VIMMERBY</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59037-2025</t>
        </is>
      </c>
      <c r="B585" s="1" t="n">
        <v>45988.36508101852</v>
      </c>
      <c r="C585" s="1" t="n">
        <v>46176</v>
      </c>
      <c r="D585" t="inlineStr">
        <is>
          <t>KALMAR LÄN</t>
        </is>
      </c>
      <c r="E585" t="inlineStr">
        <is>
          <t>VIMMERBY</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10787-2025</t>
        </is>
      </c>
      <c r="B586" s="1" t="n">
        <v>45722.48915509259</v>
      </c>
      <c r="C586" s="1" t="n">
        <v>46176</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59068-2025</t>
        </is>
      </c>
      <c r="B587" s="1" t="n">
        <v>45988.41725694444</v>
      </c>
      <c r="C587" s="1" t="n">
        <v>46176</v>
      </c>
      <c r="D587" t="inlineStr">
        <is>
          <t>KALMAR LÄN</t>
        </is>
      </c>
      <c r="E587" t="inlineStr">
        <is>
          <t>VIMMERBY</t>
        </is>
      </c>
      <c r="G587" t="n">
        <v>1.3</v>
      </c>
      <c r="H587" t="n">
        <v>0</v>
      </c>
      <c r="I587" t="n">
        <v>0</v>
      </c>
      <c r="J587" t="n">
        <v>0</v>
      </c>
      <c r="K587" t="n">
        <v>0</v>
      </c>
      <c r="L587" t="n">
        <v>0</v>
      </c>
      <c r="M587" t="n">
        <v>0</v>
      </c>
      <c r="N587" t="n">
        <v>0</v>
      </c>
      <c r="O587" t="n">
        <v>0</v>
      </c>
      <c r="P587" t="n">
        <v>0</v>
      </c>
      <c r="Q587" t="n">
        <v>0</v>
      </c>
      <c r="R587" s="2" t="inlineStr"/>
    </row>
    <row r="588" ht="15" customHeight="1">
      <c r="A588" t="inlineStr">
        <is>
          <t>A 59579-2025</t>
        </is>
      </c>
      <c r="B588" s="1" t="n">
        <v>45992.30569444445</v>
      </c>
      <c r="C588" s="1" t="n">
        <v>46176</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29350-2023</t>
        </is>
      </c>
      <c r="B589" s="1" t="n">
        <v>45106</v>
      </c>
      <c r="C589" s="1" t="n">
        <v>46176</v>
      </c>
      <c r="D589" t="inlineStr">
        <is>
          <t>KALMAR LÄN</t>
        </is>
      </c>
      <c r="E589" t="inlineStr">
        <is>
          <t>VIMMERBY</t>
        </is>
      </c>
      <c r="G589" t="n">
        <v>0.8</v>
      </c>
      <c r="H589" t="n">
        <v>0</v>
      </c>
      <c r="I589" t="n">
        <v>0</v>
      </c>
      <c r="J589" t="n">
        <v>0</v>
      </c>
      <c r="K589" t="n">
        <v>0</v>
      </c>
      <c r="L589" t="n">
        <v>0</v>
      </c>
      <c r="M589" t="n">
        <v>0</v>
      </c>
      <c r="N589" t="n">
        <v>0</v>
      </c>
      <c r="O589" t="n">
        <v>0</v>
      </c>
      <c r="P589" t="n">
        <v>0</v>
      </c>
      <c r="Q589" t="n">
        <v>0</v>
      </c>
      <c r="R589" s="2" t="inlineStr"/>
    </row>
    <row r="590" ht="15" customHeight="1">
      <c r="A590" t="inlineStr">
        <is>
          <t>A 14855-2025</t>
        </is>
      </c>
      <c r="B590" s="1" t="n">
        <v>45743.41148148148</v>
      </c>
      <c r="C590" s="1" t="n">
        <v>46176</v>
      </c>
      <c r="D590" t="inlineStr">
        <is>
          <t>KALMAR LÄN</t>
        </is>
      </c>
      <c r="E590" t="inlineStr">
        <is>
          <t>VIMMERBY</t>
        </is>
      </c>
      <c r="G590" t="n">
        <v>1.2</v>
      </c>
      <c r="H590" t="n">
        <v>0</v>
      </c>
      <c r="I590" t="n">
        <v>0</v>
      </c>
      <c r="J590" t="n">
        <v>0</v>
      </c>
      <c r="K590" t="n">
        <v>0</v>
      </c>
      <c r="L590" t="n">
        <v>0</v>
      </c>
      <c r="M590" t="n">
        <v>0</v>
      </c>
      <c r="N590" t="n">
        <v>0</v>
      </c>
      <c r="O590" t="n">
        <v>0</v>
      </c>
      <c r="P590" t="n">
        <v>0</v>
      </c>
      <c r="Q590" t="n">
        <v>0</v>
      </c>
      <c r="R590" s="2" t="inlineStr"/>
    </row>
    <row r="591" ht="15" customHeight="1">
      <c r="A591" t="inlineStr">
        <is>
          <t>A 43601-2024</t>
        </is>
      </c>
      <c r="B591" s="1" t="n">
        <v>45569.44684027778</v>
      </c>
      <c r="C591" s="1" t="n">
        <v>46176</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35913-2023</t>
        </is>
      </c>
      <c r="B592" s="1" t="n">
        <v>45148</v>
      </c>
      <c r="C592" s="1" t="n">
        <v>46176</v>
      </c>
      <c r="D592" t="inlineStr">
        <is>
          <t>KALMAR LÄN</t>
        </is>
      </c>
      <c r="E592" t="inlineStr">
        <is>
          <t>VIMMERBY</t>
        </is>
      </c>
      <c r="G592" t="n">
        <v>6.9</v>
      </c>
      <c r="H592" t="n">
        <v>0</v>
      </c>
      <c r="I592" t="n">
        <v>0</v>
      </c>
      <c r="J592" t="n">
        <v>0</v>
      </c>
      <c r="K592" t="n">
        <v>0</v>
      </c>
      <c r="L592" t="n">
        <v>0</v>
      </c>
      <c r="M592" t="n">
        <v>0</v>
      </c>
      <c r="N592" t="n">
        <v>0</v>
      </c>
      <c r="O592" t="n">
        <v>0</v>
      </c>
      <c r="P592" t="n">
        <v>0</v>
      </c>
      <c r="Q592" t="n">
        <v>0</v>
      </c>
      <c r="R592" s="2" t="inlineStr"/>
    </row>
    <row r="593" ht="15" customHeight="1">
      <c r="A593" t="inlineStr">
        <is>
          <t>A 9624-2024</t>
        </is>
      </c>
      <c r="B593" s="1" t="n">
        <v>45361.90282407407</v>
      </c>
      <c r="C593" s="1" t="n">
        <v>46176</v>
      </c>
      <c r="D593" t="inlineStr">
        <is>
          <t>KALMAR LÄN</t>
        </is>
      </c>
      <c r="E593" t="inlineStr">
        <is>
          <t>VIMMERBY</t>
        </is>
      </c>
      <c r="G593" t="n">
        <v>3.8</v>
      </c>
      <c r="H593" t="n">
        <v>0</v>
      </c>
      <c r="I593" t="n">
        <v>0</v>
      </c>
      <c r="J593" t="n">
        <v>0</v>
      </c>
      <c r="K593" t="n">
        <v>0</v>
      </c>
      <c r="L593" t="n">
        <v>0</v>
      </c>
      <c r="M593" t="n">
        <v>0</v>
      </c>
      <c r="N593" t="n">
        <v>0</v>
      </c>
      <c r="O593" t="n">
        <v>0</v>
      </c>
      <c r="P593" t="n">
        <v>0</v>
      </c>
      <c r="Q593" t="n">
        <v>0</v>
      </c>
      <c r="R593" s="2" t="inlineStr"/>
    </row>
    <row r="594" ht="15" customHeight="1">
      <c r="A594" t="inlineStr">
        <is>
          <t>A 3938-2023</t>
        </is>
      </c>
      <c r="B594" s="1" t="n">
        <v>44952.35775462963</v>
      </c>
      <c r="C594" s="1" t="n">
        <v>46176</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39053-2024</t>
        </is>
      </c>
      <c r="B595" s="1" t="n">
        <v>45548</v>
      </c>
      <c r="C595" s="1" t="n">
        <v>46176</v>
      </c>
      <c r="D595" t="inlineStr">
        <is>
          <t>KALMAR LÄN</t>
        </is>
      </c>
      <c r="E595" t="inlineStr">
        <is>
          <t>VIMMERBY</t>
        </is>
      </c>
      <c r="G595" t="n">
        <v>5</v>
      </c>
      <c r="H595" t="n">
        <v>0</v>
      </c>
      <c r="I595" t="n">
        <v>0</v>
      </c>
      <c r="J595" t="n">
        <v>0</v>
      </c>
      <c r="K595" t="n">
        <v>0</v>
      </c>
      <c r="L595" t="n">
        <v>0</v>
      </c>
      <c r="M595" t="n">
        <v>0</v>
      </c>
      <c r="N595" t="n">
        <v>0</v>
      </c>
      <c r="O595" t="n">
        <v>0</v>
      </c>
      <c r="P595" t="n">
        <v>0</v>
      </c>
      <c r="Q595" t="n">
        <v>0</v>
      </c>
      <c r="R595" s="2" t="inlineStr"/>
    </row>
    <row r="596" ht="15" customHeight="1">
      <c r="A596" t="inlineStr">
        <is>
          <t>A 14451-2024</t>
        </is>
      </c>
      <c r="B596" s="1" t="n">
        <v>45394.50028935185</v>
      </c>
      <c r="C596" s="1" t="n">
        <v>46176</v>
      </c>
      <c r="D596" t="inlineStr">
        <is>
          <t>KALMAR LÄN</t>
        </is>
      </c>
      <c r="E596" t="inlineStr">
        <is>
          <t>VIMMERBY</t>
        </is>
      </c>
      <c r="G596" t="n">
        <v>1.9</v>
      </c>
      <c r="H596" t="n">
        <v>0</v>
      </c>
      <c r="I596" t="n">
        <v>0</v>
      </c>
      <c r="J596" t="n">
        <v>0</v>
      </c>
      <c r="K596" t="n">
        <v>0</v>
      </c>
      <c r="L596" t="n">
        <v>0</v>
      </c>
      <c r="M596" t="n">
        <v>0</v>
      </c>
      <c r="N596" t="n">
        <v>0</v>
      </c>
      <c r="O596" t="n">
        <v>0</v>
      </c>
      <c r="P596" t="n">
        <v>0</v>
      </c>
      <c r="Q596" t="n">
        <v>0</v>
      </c>
      <c r="R596" s="2" t="inlineStr"/>
    </row>
    <row r="597" ht="15" customHeight="1">
      <c r="A597" t="inlineStr">
        <is>
          <t>A 60180-2025</t>
        </is>
      </c>
      <c r="B597" s="1" t="n">
        <v>45994.46428240741</v>
      </c>
      <c r="C597" s="1" t="n">
        <v>46176</v>
      </c>
      <c r="D597" t="inlineStr">
        <is>
          <t>KALMAR LÄN</t>
        </is>
      </c>
      <c r="E597" t="inlineStr">
        <is>
          <t>VIMMERBY</t>
        </is>
      </c>
      <c r="G597" t="n">
        <v>6.8</v>
      </c>
      <c r="H597" t="n">
        <v>0</v>
      </c>
      <c r="I597" t="n">
        <v>0</v>
      </c>
      <c r="J597" t="n">
        <v>0</v>
      </c>
      <c r="K597" t="n">
        <v>0</v>
      </c>
      <c r="L597" t="n">
        <v>0</v>
      </c>
      <c r="M597" t="n">
        <v>0</v>
      </c>
      <c r="N597" t="n">
        <v>0</v>
      </c>
      <c r="O597" t="n">
        <v>0</v>
      </c>
      <c r="P597" t="n">
        <v>0</v>
      </c>
      <c r="Q597" t="n">
        <v>0</v>
      </c>
      <c r="R597" s="2" t="inlineStr"/>
    </row>
    <row r="598" ht="15" customHeight="1">
      <c r="A598" t="inlineStr">
        <is>
          <t>A 34205-2023</t>
        </is>
      </c>
      <c r="B598" s="1" t="n">
        <v>45138</v>
      </c>
      <c r="C598" s="1" t="n">
        <v>46176</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60297-2025</t>
        </is>
      </c>
      <c r="B599" s="1" t="n">
        <v>45994</v>
      </c>
      <c r="C599" s="1" t="n">
        <v>46176</v>
      </c>
      <c r="D599" t="inlineStr">
        <is>
          <t>KALMAR LÄN</t>
        </is>
      </c>
      <c r="E599" t="inlineStr">
        <is>
          <t>VIMMERBY</t>
        </is>
      </c>
      <c r="G599" t="n">
        <v>4.2</v>
      </c>
      <c r="H599" t="n">
        <v>0</v>
      </c>
      <c r="I599" t="n">
        <v>0</v>
      </c>
      <c r="J599" t="n">
        <v>0</v>
      </c>
      <c r="K599" t="n">
        <v>0</v>
      </c>
      <c r="L599" t="n">
        <v>0</v>
      </c>
      <c r="M599" t="n">
        <v>0</v>
      </c>
      <c r="N599" t="n">
        <v>0</v>
      </c>
      <c r="O599" t="n">
        <v>0</v>
      </c>
      <c r="P599" t="n">
        <v>0</v>
      </c>
      <c r="Q599" t="n">
        <v>0</v>
      </c>
      <c r="R599" s="2" t="inlineStr"/>
    </row>
    <row r="600" ht="15" customHeight="1">
      <c r="A600" t="inlineStr">
        <is>
          <t>A 3268-2024</t>
        </is>
      </c>
      <c r="B600" s="1" t="n">
        <v>45317</v>
      </c>
      <c r="C600" s="1" t="n">
        <v>46176</v>
      </c>
      <c r="D600" t="inlineStr">
        <is>
          <t>KALMAR LÄN</t>
        </is>
      </c>
      <c r="E600" t="inlineStr">
        <is>
          <t>VIMMERBY</t>
        </is>
      </c>
      <c r="F600" t="inlineStr">
        <is>
          <t>Övriga Aktiebolag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12819-2024</t>
        </is>
      </c>
      <c r="B601" s="1" t="n">
        <v>45384.66917824074</v>
      </c>
      <c r="C601" s="1" t="n">
        <v>46176</v>
      </c>
      <c r="D601" t="inlineStr">
        <is>
          <t>KALMAR LÄN</t>
        </is>
      </c>
      <c r="E601" t="inlineStr">
        <is>
          <t>VIMMERBY</t>
        </is>
      </c>
      <c r="G601" t="n">
        <v>5.1</v>
      </c>
      <c r="H601" t="n">
        <v>0</v>
      </c>
      <c r="I601" t="n">
        <v>0</v>
      </c>
      <c r="J601" t="n">
        <v>0</v>
      </c>
      <c r="K601" t="n">
        <v>0</v>
      </c>
      <c r="L601" t="n">
        <v>0</v>
      </c>
      <c r="M601" t="n">
        <v>0</v>
      </c>
      <c r="N601" t="n">
        <v>0</v>
      </c>
      <c r="O601" t="n">
        <v>0</v>
      </c>
      <c r="P601" t="n">
        <v>0</v>
      </c>
      <c r="Q601" t="n">
        <v>0</v>
      </c>
      <c r="R601" s="2" t="inlineStr"/>
    </row>
    <row r="602" ht="15" customHeight="1">
      <c r="A602" t="inlineStr">
        <is>
          <t>A 6214-2025</t>
        </is>
      </c>
      <c r="B602" s="1" t="n">
        <v>45698.51711805556</v>
      </c>
      <c r="C602" s="1" t="n">
        <v>46176</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32569-2024</t>
        </is>
      </c>
      <c r="B603" s="1" t="n">
        <v>45513.55840277778</v>
      </c>
      <c r="C603" s="1" t="n">
        <v>46176</v>
      </c>
      <c r="D603" t="inlineStr">
        <is>
          <t>KALMAR LÄN</t>
        </is>
      </c>
      <c r="E603" t="inlineStr">
        <is>
          <t>VIMMERBY</t>
        </is>
      </c>
      <c r="G603" t="n">
        <v>3.7</v>
      </c>
      <c r="H603" t="n">
        <v>0</v>
      </c>
      <c r="I603" t="n">
        <v>0</v>
      </c>
      <c r="J603" t="n">
        <v>0</v>
      </c>
      <c r="K603" t="n">
        <v>0</v>
      </c>
      <c r="L603" t="n">
        <v>0</v>
      </c>
      <c r="M603" t="n">
        <v>0</v>
      </c>
      <c r="N603" t="n">
        <v>0</v>
      </c>
      <c r="O603" t="n">
        <v>0</v>
      </c>
      <c r="P603" t="n">
        <v>0</v>
      </c>
      <c r="Q603" t="n">
        <v>0</v>
      </c>
      <c r="R603" s="2" t="inlineStr"/>
    </row>
    <row r="604" ht="15" customHeight="1">
      <c r="A604" t="inlineStr">
        <is>
          <t>A 32575-2024</t>
        </is>
      </c>
      <c r="B604" s="1" t="n">
        <v>45513.56527777778</v>
      </c>
      <c r="C604" s="1" t="n">
        <v>46176</v>
      </c>
      <c r="D604" t="inlineStr">
        <is>
          <t>KALMAR LÄN</t>
        </is>
      </c>
      <c r="E604" t="inlineStr">
        <is>
          <t>VIMMERBY</t>
        </is>
      </c>
      <c r="G604" t="n">
        <v>1.5</v>
      </c>
      <c r="H604" t="n">
        <v>0</v>
      </c>
      <c r="I604" t="n">
        <v>0</v>
      </c>
      <c r="J604" t="n">
        <v>0</v>
      </c>
      <c r="K604" t="n">
        <v>0</v>
      </c>
      <c r="L604" t="n">
        <v>0</v>
      </c>
      <c r="M604" t="n">
        <v>0</v>
      </c>
      <c r="N604" t="n">
        <v>0</v>
      </c>
      <c r="O604" t="n">
        <v>0</v>
      </c>
      <c r="P604" t="n">
        <v>0</v>
      </c>
      <c r="Q604" t="n">
        <v>0</v>
      </c>
      <c r="R604" s="2" t="inlineStr"/>
    </row>
    <row r="605" ht="15" customHeight="1">
      <c r="A605" t="inlineStr">
        <is>
          <t>A 61725-2025</t>
        </is>
      </c>
      <c r="B605" s="1" t="n">
        <v>46002.58680555555</v>
      </c>
      <c r="C605" s="1" t="n">
        <v>46176</v>
      </c>
      <c r="D605" t="inlineStr">
        <is>
          <t>KALMAR LÄN</t>
        </is>
      </c>
      <c r="E605" t="inlineStr">
        <is>
          <t>VIMMERBY</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61790-2025</t>
        </is>
      </c>
      <c r="B606" s="1" t="n">
        <v>46002.68768518518</v>
      </c>
      <c r="C606" s="1" t="n">
        <v>46176</v>
      </c>
      <c r="D606" t="inlineStr">
        <is>
          <t>KALMAR LÄN</t>
        </is>
      </c>
      <c r="E606" t="inlineStr">
        <is>
          <t>VIMMERBY</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59300-2024</t>
        </is>
      </c>
      <c r="B607" s="1" t="n">
        <v>45637.66542824074</v>
      </c>
      <c r="C607" s="1" t="n">
        <v>46176</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59768-2024</t>
        </is>
      </c>
      <c r="B608" s="1" t="n">
        <v>45639.56185185185</v>
      </c>
      <c r="C608" s="1" t="n">
        <v>46176</v>
      </c>
      <c r="D608" t="inlineStr">
        <is>
          <t>KALMAR LÄN</t>
        </is>
      </c>
      <c r="E608" t="inlineStr">
        <is>
          <t>VIMMERBY</t>
        </is>
      </c>
      <c r="G608" t="n">
        <v>5.9</v>
      </c>
      <c r="H608" t="n">
        <v>0</v>
      </c>
      <c r="I608" t="n">
        <v>0</v>
      </c>
      <c r="J608" t="n">
        <v>0</v>
      </c>
      <c r="K608" t="n">
        <v>0</v>
      </c>
      <c r="L608" t="n">
        <v>0</v>
      </c>
      <c r="M608" t="n">
        <v>0</v>
      </c>
      <c r="N608" t="n">
        <v>0</v>
      </c>
      <c r="O608" t="n">
        <v>0</v>
      </c>
      <c r="P608" t="n">
        <v>0</v>
      </c>
      <c r="Q608" t="n">
        <v>0</v>
      </c>
      <c r="R608" s="2" t="inlineStr"/>
    </row>
    <row r="609" ht="15" customHeight="1">
      <c r="A609" t="inlineStr">
        <is>
          <t>A 61726-2025</t>
        </is>
      </c>
      <c r="B609" s="1" t="n">
        <v>46002.58822916666</v>
      </c>
      <c r="C609" s="1" t="n">
        <v>46176</v>
      </c>
      <c r="D609" t="inlineStr">
        <is>
          <t>KALMAR LÄN</t>
        </is>
      </c>
      <c r="E609" t="inlineStr">
        <is>
          <t>VIMMERBY</t>
        </is>
      </c>
      <c r="F609" t="inlineStr">
        <is>
          <t>Sveaskog</t>
        </is>
      </c>
      <c r="G609" t="n">
        <v>0.2</v>
      </c>
      <c r="H609" t="n">
        <v>0</v>
      </c>
      <c r="I609" t="n">
        <v>0</v>
      </c>
      <c r="J609" t="n">
        <v>0</v>
      </c>
      <c r="K609" t="n">
        <v>0</v>
      </c>
      <c r="L609" t="n">
        <v>0</v>
      </c>
      <c r="M609" t="n">
        <v>0</v>
      </c>
      <c r="N609" t="n">
        <v>0</v>
      </c>
      <c r="O609" t="n">
        <v>0</v>
      </c>
      <c r="P609" t="n">
        <v>0</v>
      </c>
      <c r="Q609" t="n">
        <v>0</v>
      </c>
      <c r="R609" s="2" t="inlineStr"/>
    </row>
    <row r="610" ht="15" customHeight="1">
      <c r="A610" t="inlineStr">
        <is>
          <t>A 36526-2023</t>
        </is>
      </c>
      <c r="B610" s="1" t="n">
        <v>45153.32778935185</v>
      </c>
      <c r="C610" s="1" t="n">
        <v>46176</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58728-2024</t>
        </is>
      </c>
      <c r="B611" s="1" t="n">
        <v>45635.66695601852</v>
      </c>
      <c r="C611" s="1" t="n">
        <v>46176</v>
      </c>
      <c r="D611" t="inlineStr">
        <is>
          <t>KALMAR LÄN</t>
        </is>
      </c>
      <c r="E611" t="inlineStr">
        <is>
          <t>VIMMERBY</t>
        </is>
      </c>
      <c r="G611" t="n">
        <v>0.4</v>
      </c>
      <c r="H611" t="n">
        <v>0</v>
      </c>
      <c r="I611" t="n">
        <v>0</v>
      </c>
      <c r="J611" t="n">
        <v>0</v>
      </c>
      <c r="K611" t="n">
        <v>0</v>
      </c>
      <c r="L611" t="n">
        <v>0</v>
      </c>
      <c r="M611" t="n">
        <v>0</v>
      </c>
      <c r="N611" t="n">
        <v>0</v>
      </c>
      <c r="O611" t="n">
        <v>0</v>
      </c>
      <c r="P611" t="n">
        <v>0</v>
      </c>
      <c r="Q611" t="n">
        <v>0</v>
      </c>
      <c r="R611" s="2" t="inlineStr"/>
    </row>
    <row r="612" ht="15" customHeight="1">
      <c r="A612" t="inlineStr">
        <is>
          <t>A 49474-2023</t>
        </is>
      </c>
      <c r="B612" s="1" t="n">
        <v>45211.541875</v>
      </c>
      <c r="C612" s="1" t="n">
        <v>46176</v>
      </c>
      <c r="D612" t="inlineStr">
        <is>
          <t>KALMAR LÄN</t>
        </is>
      </c>
      <c r="E612" t="inlineStr">
        <is>
          <t>VIMMERBY</t>
        </is>
      </c>
      <c r="G612" t="n">
        <v>3.6</v>
      </c>
      <c r="H612" t="n">
        <v>0</v>
      </c>
      <c r="I612" t="n">
        <v>0</v>
      </c>
      <c r="J612" t="n">
        <v>0</v>
      </c>
      <c r="K612" t="n">
        <v>0</v>
      </c>
      <c r="L612" t="n">
        <v>0</v>
      </c>
      <c r="M612" t="n">
        <v>0</v>
      </c>
      <c r="N612" t="n">
        <v>0</v>
      </c>
      <c r="O612" t="n">
        <v>0</v>
      </c>
      <c r="P612" t="n">
        <v>0</v>
      </c>
      <c r="Q612" t="n">
        <v>0</v>
      </c>
      <c r="R612" s="2" t="inlineStr"/>
    </row>
    <row r="613" ht="15" customHeight="1">
      <c r="A613" t="inlineStr">
        <is>
          <t>A 57682-2022</t>
        </is>
      </c>
      <c r="B613" s="1" t="n">
        <v>44890</v>
      </c>
      <c r="C613" s="1" t="n">
        <v>46176</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63950-2023</t>
        </is>
      </c>
      <c r="B614" s="1" t="n">
        <v>45278</v>
      </c>
      <c r="C614" s="1" t="n">
        <v>46176</v>
      </c>
      <c r="D614" t="inlineStr">
        <is>
          <t>KALMAR LÄN</t>
        </is>
      </c>
      <c r="E614" t="inlineStr">
        <is>
          <t>VIMMERBY</t>
        </is>
      </c>
      <c r="F614" t="inlineStr">
        <is>
          <t>Kyrkan</t>
        </is>
      </c>
      <c r="G614" t="n">
        <v>2.7</v>
      </c>
      <c r="H614" t="n">
        <v>0</v>
      </c>
      <c r="I614" t="n">
        <v>0</v>
      </c>
      <c r="J614" t="n">
        <v>0</v>
      </c>
      <c r="K614" t="n">
        <v>0</v>
      </c>
      <c r="L614" t="n">
        <v>0</v>
      </c>
      <c r="M614" t="n">
        <v>0</v>
      </c>
      <c r="N614" t="n">
        <v>0</v>
      </c>
      <c r="O614" t="n">
        <v>0</v>
      </c>
      <c r="P614" t="n">
        <v>0</v>
      </c>
      <c r="Q614" t="n">
        <v>0</v>
      </c>
      <c r="R614" s="2" t="inlineStr"/>
    </row>
    <row r="615" ht="15" customHeight="1">
      <c r="A615" t="inlineStr">
        <is>
          <t>A 16516-2023</t>
        </is>
      </c>
      <c r="B615" s="1" t="n">
        <v>45029</v>
      </c>
      <c r="C615" s="1" t="n">
        <v>46176</v>
      </c>
      <c r="D615" t="inlineStr">
        <is>
          <t>KALMAR LÄN</t>
        </is>
      </c>
      <c r="E615" t="inlineStr">
        <is>
          <t>VIMMERBY</t>
        </is>
      </c>
      <c r="G615" t="n">
        <v>4.3</v>
      </c>
      <c r="H615" t="n">
        <v>0</v>
      </c>
      <c r="I615" t="n">
        <v>0</v>
      </c>
      <c r="J615" t="n">
        <v>0</v>
      </c>
      <c r="K615" t="n">
        <v>0</v>
      </c>
      <c r="L615" t="n">
        <v>0</v>
      </c>
      <c r="M615" t="n">
        <v>0</v>
      </c>
      <c r="N615" t="n">
        <v>0</v>
      </c>
      <c r="O615" t="n">
        <v>0</v>
      </c>
      <c r="P615" t="n">
        <v>0</v>
      </c>
      <c r="Q615" t="n">
        <v>0</v>
      </c>
      <c r="R615" s="2" t="inlineStr"/>
    </row>
    <row r="616" ht="15" customHeight="1">
      <c r="A616" t="inlineStr">
        <is>
          <t>A 47842-2024</t>
        </is>
      </c>
      <c r="B616" s="1" t="n">
        <v>45588.65545138889</v>
      </c>
      <c r="C616" s="1" t="n">
        <v>46176</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6408-2025</t>
        </is>
      </c>
      <c r="B617" s="1" t="n">
        <v>45699.45671296296</v>
      </c>
      <c r="C617" s="1" t="n">
        <v>46176</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25109-2023</t>
        </is>
      </c>
      <c r="B618" s="1" t="n">
        <v>45086</v>
      </c>
      <c r="C618" s="1" t="n">
        <v>46176</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33380-2023</t>
        </is>
      </c>
      <c r="B619" s="1" t="n">
        <v>45128</v>
      </c>
      <c r="C619" s="1" t="n">
        <v>46176</v>
      </c>
      <c r="D619" t="inlineStr">
        <is>
          <t>KALMAR LÄN</t>
        </is>
      </c>
      <c r="E619" t="inlineStr">
        <is>
          <t>VIMMERBY</t>
        </is>
      </c>
      <c r="G619" t="n">
        <v>5.2</v>
      </c>
      <c r="H619" t="n">
        <v>0</v>
      </c>
      <c r="I619" t="n">
        <v>0</v>
      </c>
      <c r="J619" t="n">
        <v>0</v>
      </c>
      <c r="K619" t="n">
        <v>0</v>
      </c>
      <c r="L619" t="n">
        <v>0</v>
      </c>
      <c r="M619" t="n">
        <v>0</v>
      </c>
      <c r="N619" t="n">
        <v>0</v>
      </c>
      <c r="O619" t="n">
        <v>0</v>
      </c>
      <c r="P619" t="n">
        <v>0</v>
      </c>
      <c r="Q619" t="n">
        <v>0</v>
      </c>
      <c r="R619" s="2" t="inlineStr"/>
    </row>
    <row r="620" ht="15" customHeight="1">
      <c r="A620" t="inlineStr">
        <is>
          <t>A 32639-2023</t>
        </is>
      </c>
      <c r="B620" s="1" t="n">
        <v>45121.5965162037</v>
      </c>
      <c r="C620" s="1" t="n">
        <v>46176</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32642-2023</t>
        </is>
      </c>
      <c r="B621" s="1" t="n">
        <v>45121.59954861111</v>
      </c>
      <c r="C621" s="1" t="n">
        <v>46176</v>
      </c>
      <c r="D621" t="inlineStr">
        <is>
          <t>KALMAR LÄN</t>
        </is>
      </c>
      <c r="E621" t="inlineStr">
        <is>
          <t>VIMMERBY</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32651-2023</t>
        </is>
      </c>
      <c r="B622" s="1" t="n">
        <v>45121.6096875</v>
      </c>
      <c r="C622" s="1" t="n">
        <v>46176</v>
      </c>
      <c r="D622" t="inlineStr">
        <is>
          <t>KALMAR LÄN</t>
        </is>
      </c>
      <c r="E622" t="inlineStr">
        <is>
          <t>VIMMERBY</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46176</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7068-2024</t>
        </is>
      </c>
      <c r="B624" s="1" t="n">
        <v>45343.68038194445</v>
      </c>
      <c r="C624" s="1" t="n">
        <v>46176</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46234-2024</t>
        </is>
      </c>
      <c r="B625" s="1" t="n">
        <v>45581.57958333333</v>
      </c>
      <c r="C625" s="1" t="n">
        <v>46176</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63711-2025</t>
        </is>
      </c>
      <c r="B626" s="1" t="n">
        <v>46014.62724537037</v>
      </c>
      <c r="C626" s="1" t="n">
        <v>46176</v>
      </c>
      <c r="D626" t="inlineStr">
        <is>
          <t>KALMAR LÄN</t>
        </is>
      </c>
      <c r="E626" t="inlineStr">
        <is>
          <t>VIMMERBY</t>
        </is>
      </c>
      <c r="G626" t="n">
        <v>2.1</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46176</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61937-2025</t>
        </is>
      </c>
      <c r="B628" s="1" t="n">
        <v>46003</v>
      </c>
      <c r="C628" s="1" t="n">
        <v>46176</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1021-2024</t>
        </is>
      </c>
      <c r="B629" s="1" t="n">
        <v>45301.67736111111</v>
      </c>
      <c r="C629" s="1" t="n">
        <v>46176</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63762-2025</t>
        </is>
      </c>
      <c r="B630" s="1" t="n">
        <v>46018.67197916667</v>
      </c>
      <c r="C630" s="1" t="n">
        <v>46176</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63758-2025</t>
        </is>
      </c>
      <c r="B631" s="1" t="n">
        <v>46018.46483796297</v>
      </c>
      <c r="C631" s="1" t="n">
        <v>46176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63845-2025</t>
        </is>
      </c>
      <c r="B632" s="1" t="n">
        <v>46020.43715277778</v>
      </c>
      <c r="C632" s="1" t="n">
        <v>46176</v>
      </c>
      <c r="D632" t="inlineStr">
        <is>
          <t>KALMAR LÄN</t>
        </is>
      </c>
      <c r="E632" t="inlineStr">
        <is>
          <t>VIMMERBY</t>
        </is>
      </c>
      <c r="G632" t="n">
        <v>3.8</v>
      </c>
      <c r="H632" t="n">
        <v>0</v>
      </c>
      <c r="I632" t="n">
        <v>0</v>
      </c>
      <c r="J632" t="n">
        <v>0</v>
      </c>
      <c r="K632" t="n">
        <v>0</v>
      </c>
      <c r="L632" t="n">
        <v>0</v>
      </c>
      <c r="M632" t="n">
        <v>0</v>
      </c>
      <c r="N632" t="n">
        <v>0</v>
      </c>
      <c r="O632" t="n">
        <v>0</v>
      </c>
      <c r="P632" t="n">
        <v>0</v>
      </c>
      <c r="Q632" t="n">
        <v>0</v>
      </c>
      <c r="R632" s="2" t="inlineStr"/>
    </row>
    <row r="633" ht="15" customHeight="1">
      <c r="A633" t="inlineStr">
        <is>
          <t>A 63848-2025</t>
        </is>
      </c>
      <c r="B633" s="1" t="n">
        <v>46020.44902777778</v>
      </c>
      <c r="C633" s="1" t="n">
        <v>46176</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72701-2021</t>
        </is>
      </c>
      <c r="B634" s="1" t="n">
        <v>44546</v>
      </c>
      <c r="C634" s="1" t="n">
        <v>46176</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19111-2025</t>
        </is>
      </c>
      <c r="B635" s="1" t="n">
        <v>45768.65611111111</v>
      </c>
      <c r="C635" s="1" t="n">
        <v>46176</v>
      </c>
      <c r="D635" t="inlineStr">
        <is>
          <t>KALMAR LÄN</t>
        </is>
      </c>
      <c r="E635" t="inlineStr">
        <is>
          <t>VIMMERBY</t>
        </is>
      </c>
      <c r="G635" t="n">
        <v>6.2</v>
      </c>
      <c r="H635" t="n">
        <v>0</v>
      </c>
      <c r="I635" t="n">
        <v>0</v>
      </c>
      <c r="J635" t="n">
        <v>0</v>
      </c>
      <c r="K635" t="n">
        <v>0</v>
      </c>
      <c r="L635" t="n">
        <v>0</v>
      </c>
      <c r="M635" t="n">
        <v>0</v>
      </c>
      <c r="N635" t="n">
        <v>0</v>
      </c>
      <c r="O635" t="n">
        <v>0</v>
      </c>
      <c r="P635" t="n">
        <v>0</v>
      </c>
      <c r="Q635" t="n">
        <v>0</v>
      </c>
      <c r="R635" s="2" t="inlineStr"/>
    </row>
    <row r="636" ht="15" customHeight="1">
      <c r="A636" t="inlineStr">
        <is>
          <t>A 63839-2025</t>
        </is>
      </c>
      <c r="B636" s="1" t="n">
        <v>46020.41998842593</v>
      </c>
      <c r="C636" s="1" t="n">
        <v>46176</v>
      </c>
      <c r="D636" t="inlineStr">
        <is>
          <t>KALMAR LÄN</t>
        </is>
      </c>
      <c r="E636" t="inlineStr">
        <is>
          <t>VIMMERBY</t>
        </is>
      </c>
      <c r="G636" t="n">
        <v>2.9</v>
      </c>
      <c r="H636" t="n">
        <v>0</v>
      </c>
      <c r="I636" t="n">
        <v>0</v>
      </c>
      <c r="J636" t="n">
        <v>0</v>
      </c>
      <c r="K636" t="n">
        <v>0</v>
      </c>
      <c r="L636" t="n">
        <v>0</v>
      </c>
      <c r="M636" t="n">
        <v>0</v>
      </c>
      <c r="N636" t="n">
        <v>0</v>
      </c>
      <c r="O636" t="n">
        <v>0</v>
      </c>
      <c r="P636" t="n">
        <v>0</v>
      </c>
      <c r="Q636" t="n">
        <v>0</v>
      </c>
      <c r="R636" s="2" t="inlineStr"/>
    </row>
    <row r="637" ht="15" customHeight="1">
      <c r="A637" t="inlineStr">
        <is>
          <t>A 33374-2021</t>
        </is>
      </c>
      <c r="B637" s="1" t="n">
        <v>44377</v>
      </c>
      <c r="C637" s="1" t="n">
        <v>46176</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10807-2024</t>
        </is>
      </c>
      <c r="B638" s="1" t="n">
        <v>45369.62780092593</v>
      </c>
      <c r="C638" s="1" t="n">
        <v>46176</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33359-2021</t>
        </is>
      </c>
      <c r="B639" s="1" t="n">
        <v>44377.49684027778</v>
      </c>
      <c r="C639" s="1" t="n">
        <v>46176</v>
      </c>
      <c r="D639" t="inlineStr">
        <is>
          <t>KALMAR LÄN</t>
        </is>
      </c>
      <c r="E639" t="inlineStr">
        <is>
          <t>VIMMERBY</t>
        </is>
      </c>
      <c r="F639" t="inlineStr">
        <is>
          <t>Kommuner</t>
        </is>
      </c>
      <c r="G639" t="n">
        <v>8</v>
      </c>
      <c r="H639" t="n">
        <v>0</v>
      </c>
      <c r="I639" t="n">
        <v>0</v>
      </c>
      <c r="J639" t="n">
        <v>0</v>
      </c>
      <c r="K639" t="n">
        <v>0</v>
      </c>
      <c r="L639" t="n">
        <v>0</v>
      </c>
      <c r="M639" t="n">
        <v>0</v>
      </c>
      <c r="N639" t="n">
        <v>0</v>
      </c>
      <c r="O639" t="n">
        <v>0</v>
      </c>
      <c r="P639" t="n">
        <v>0</v>
      </c>
      <c r="Q639" t="n">
        <v>0</v>
      </c>
      <c r="R639" s="2" t="inlineStr"/>
    </row>
    <row r="640" ht="15" customHeight="1">
      <c r="A640" t="inlineStr">
        <is>
          <t>A 34588-2024</t>
        </is>
      </c>
      <c r="B640" s="1" t="n">
        <v>45526.3865625</v>
      </c>
      <c r="C640" s="1" t="n">
        <v>46176</v>
      </c>
      <c r="D640" t="inlineStr">
        <is>
          <t>KALMAR LÄN</t>
        </is>
      </c>
      <c r="E640" t="inlineStr">
        <is>
          <t>VIMMERBY</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579-2026</t>
        </is>
      </c>
      <c r="B641" s="1" t="n">
        <v>46029.47912037037</v>
      </c>
      <c r="C641" s="1" t="n">
        <v>46176</v>
      </c>
      <c r="D641" t="inlineStr">
        <is>
          <t>KALMAR LÄN</t>
        </is>
      </c>
      <c r="E641" t="inlineStr">
        <is>
          <t>VIMMERBY</t>
        </is>
      </c>
      <c r="G641" t="n">
        <v>3</v>
      </c>
      <c r="H641" t="n">
        <v>0</v>
      </c>
      <c r="I641" t="n">
        <v>0</v>
      </c>
      <c r="J641" t="n">
        <v>0</v>
      </c>
      <c r="K641" t="n">
        <v>0</v>
      </c>
      <c r="L641" t="n">
        <v>0</v>
      </c>
      <c r="M641" t="n">
        <v>0</v>
      </c>
      <c r="N641" t="n">
        <v>0</v>
      </c>
      <c r="O641" t="n">
        <v>0</v>
      </c>
      <c r="P641" t="n">
        <v>0</v>
      </c>
      <c r="Q641" t="n">
        <v>0</v>
      </c>
      <c r="R641" s="2" t="inlineStr"/>
    </row>
    <row r="642" ht="15" customHeight="1">
      <c r="A642" t="inlineStr">
        <is>
          <t>A 17084-2025</t>
        </is>
      </c>
      <c r="B642" s="1" t="n">
        <v>45755.64450231481</v>
      </c>
      <c r="C642" s="1" t="n">
        <v>46176</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409-2026</t>
        </is>
      </c>
      <c r="B643" s="1" t="n">
        <v>46028.69432870371</v>
      </c>
      <c r="C643" s="1" t="n">
        <v>46176</v>
      </c>
      <c r="D643" t="inlineStr">
        <is>
          <t>KALMAR LÄN</t>
        </is>
      </c>
      <c r="E643" t="inlineStr">
        <is>
          <t>VIMMERBY</t>
        </is>
      </c>
      <c r="G643" t="n">
        <v>2.2</v>
      </c>
      <c r="H643" t="n">
        <v>0</v>
      </c>
      <c r="I643" t="n">
        <v>0</v>
      </c>
      <c r="J643" t="n">
        <v>0</v>
      </c>
      <c r="K643" t="n">
        <v>0</v>
      </c>
      <c r="L643" t="n">
        <v>0</v>
      </c>
      <c r="M643" t="n">
        <v>0</v>
      </c>
      <c r="N643" t="n">
        <v>0</v>
      </c>
      <c r="O643" t="n">
        <v>0</v>
      </c>
      <c r="P643" t="n">
        <v>0</v>
      </c>
      <c r="Q643" t="n">
        <v>0</v>
      </c>
      <c r="R643" s="2" t="inlineStr"/>
    </row>
    <row r="644" ht="15" customHeight="1">
      <c r="A644" t="inlineStr">
        <is>
          <t>A 406-2026</t>
        </is>
      </c>
      <c r="B644" s="1" t="n">
        <v>46028.68663194445</v>
      </c>
      <c r="C644" s="1" t="n">
        <v>46176</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33161-2024</t>
        </is>
      </c>
      <c r="B645" s="1" t="n">
        <v>45518.40657407408</v>
      </c>
      <c r="C645" s="1" t="n">
        <v>46176</v>
      </c>
      <c r="D645" t="inlineStr">
        <is>
          <t>KALMAR LÄN</t>
        </is>
      </c>
      <c r="E645" t="inlineStr">
        <is>
          <t>VIMMERBY</t>
        </is>
      </c>
      <c r="G645" t="n">
        <v>4.7</v>
      </c>
      <c r="H645" t="n">
        <v>0</v>
      </c>
      <c r="I645" t="n">
        <v>0</v>
      </c>
      <c r="J645" t="n">
        <v>0</v>
      </c>
      <c r="K645" t="n">
        <v>0</v>
      </c>
      <c r="L645" t="n">
        <v>0</v>
      </c>
      <c r="M645" t="n">
        <v>0</v>
      </c>
      <c r="N645" t="n">
        <v>0</v>
      </c>
      <c r="O645" t="n">
        <v>0</v>
      </c>
      <c r="P645" t="n">
        <v>0</v>
      </c>
      <c r="Q645" t="n">
        <v>0</v>
      </c>
      <c r="R645" s="2" t="inlineStr"/>
    </row>
    <row r="646" ht="15" customHeight="1">
      <c r="A646" t="inlineStr">
        <is>
          <t>A 14359-2025</t>
        </is>
      </c>
      <c r="B646" s="1" t="n">
        <v>45741.37270833334</v>
      </c>
      <c r="C646" s="1" t="n">
        <v>46176</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842-2026</t>
        </is>
      </c>
      <c r="B647" s="1" t="n">
        <v>46030.380625</v>
      </c>
      <c r="C647" s="1" t="n">
        <v>46176</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55605-2024</t>
        </is>
      </c>
      <c r="B648" s="1" t="n">
        <v>45622</v>
      </c>
      <c r="C648" s="1" t="n">
        <v>46176</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44464-2024</t>
        </is>
      </c>
      <c r="B649" s="1" t="n">
        <v>45574.35809027778</v>
      </c>
      <c r="C649" s="1" t="n">
        <v>46176</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1069-2026</t>
        </is>
      </c>
      <c r="B650" s="1" t="n">
        <v>46030</v>
      </c>
      <c r="C650" s="1" t="n">
        <v>46176</v>
      </c>
      <c r="D650" t="inlineStr">
        <is>
          <t>KALMAR LÄN</t>
        </is>
      </c>
      <c r="E650" t="inlineStr">
        <is>
          <t>VIMMERBY</t>
        </is>
      </c>
      <c r="G650" t="n">
        <v>3.3</v>
      </c>
      <c r="H650" t="n">
        <v>0</v>
      </c>
      <c r="I650" t="n">
        <v>0</v>
      </c>
      <c r="J650" t="n">
        <v>0</v>
      </c>
      <c r="K650" t="n">
        <v>0</v>
      </c>
      <c r="L650" t="n">
        <v>0</v>
      </c>
      <c r="M650" t="n">
        <v>0</v>
      </c>
      <c r="N650" t="n">
        <v>0</v>
      </c>
      <c r="O650" t="n">
        <v>0</v>
      </c>
      <c r="P650" t="n">
        <v>0</v>
      </c>
      <c r="Q650" t="n">
        <v>0</v>
      </c>
      <c r="R650" s="2" t="inlineStr"/>
    </row>
    <row r="651" ht="15" customHeight="1">
      <c r="A651" t="inlineStr">
        <is>
          <t>A 36049-2024</t>
        </is>
      </c>
      <c r="B651" s="1" t="n">
        <v>45533.61996527778</v>
      </c>
      <c r="C651" s="1" t="n">
        <v>46176</v>
      </c>
      <c r="D651" t="inlineStr">
        <is>
          <t>KALMAR LÄN</t>
        </is>
      </c>
      <c r="E651" t="inlineStr">
        <is>
          <t>VIMMERBY</t>
        </is>
      </c>
      <c r="F651" t="inlineStr">
        <is>
          <t>Kommuner</t>
        </is>
      </c>
      <c r="G651" t="n">
        <v>2.6</v>
      </c>
      <c r="H651" t="n">
        <v>0</v>
      </c>
      <c r="I651" t="n">
        <v>0</v>
      </c>
      <c r="J651" t="n">
        <v>0</v>
      </c>
      <c r="K651" t="n">
        <v>0</v>
      </c>
      <c r="L651" t="n">
        <v>0</v>
      </c>
      <c r="M651" t="n">
        <v>0</v>
      </c>
      <c r="N651" t="n">
        <v>0</v>
      </c>
      <c r="O651" t="n">
        <v>0</v>
      </c>
      <c r="P651" t="n">
        <v>0</v>
      </c>
      <c r="Q651" t="n">
        <v>0</v>
      </c>
      <c r="R651" s="2" t="inlineStr"/>
    </row>
    <row r="652" ht="15" customHeight="1">
      <c r="A652" t="inlineStr">
        <is>
          <t>A 1734-2026</t>
        </is>
      </c>
      <c r="B652" s="1" t="n">
        <v>46034</v>
      </c>
      <c r="C652" s="1" t="n">
        <v>46176</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1743-2026</t>
        </is>
      </c>
      <c r="B653" s="1" t="n">
        <v>46034</v>
      </c>
      <c r="C653" s="1" t="n">
        <v>46176</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4297-2022</t>
        </is>
      </c>
      <c r="B654" s="1" t="n">
        <v>44588</v>
      </c>
      <c r="C654" s="1" t="n">
        <v>46176</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1748-2026</t>
        </is>
      </c>
      <c r="B655" s="1" t="n">
        <v>46034.65589120371</v>
      </c>
      <c r="C655" s="1" t="n">
        <v>46176</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46399-2024</t>
        </is>
      </c>
      <c r="B656" s="1" t="n">
        <v>45582.41200231481</v>
      </c>
      <c r="C656" s="1" t="n">
        <v>46176</v>
      </c>
      <c r="D656" t="inlineStr">
        <is>
          <t>KALMAR LÄN</t>
        </is>
      </c>
      <c r="E656" t="inlineStr">
        <is>
          <t>VIMMERBY</t>
        </is>
      </c>
      <c r="G656" t="n">
        <v>4.6</v>
      </c>
      <c r="H656" t="n">
        <v>0</v>
      </c>
      <c r="I656" t="n">
        <v>0</v>
      </c>
      <c r="J656" t="n">
        <v>0</v>
      </c>
      <c r="K656" t="n">
        <v>0</v>
      </c>
      <c r="L656" t="n">
        <v>0</v>
      </c>
      <c r="M656" t="n">
        <v>0</v>
      </c>
      <c r="N656" t="n">
        <v>0</v>
      </c>
      <c r="O656" t="n">
        <v>0</v>
      </c>
      <c r="P656" t="n">
        <v>0</v>
      </c>
      <c r="Q656" t="n">
        <v>0</v>
      </c>
      <c r="R656" s="2" t="inlineStr"/>
    </row>
    <row r="657" ht="15" customHeight="1">
      <c r="A657" t="inlineStr">
        <is>
          <t>A 1862-2026</t>
        </is>
      </c>
      <c r="B657" s="1" t="n">
        <v>46035.44689814815</v>
      </c>
      <c r="C657" s="1" t="n">
        <v>46176</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2518-2026</t>
        </is>
      </c>
      <c r="B658" s="1" t="n">
        <v>46037.42511574074</v>
      </c>
      <c r="C658" s="1" t="n">
        <v>46176</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2514-2026</t>
        </is>
      </c>
      <c r="B659" s="1" t="n">
        <v>46037.42219907408</v>
      </c>
      <c r="C659" s="1" t="n">
        <v>46176</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13532-2025</t>
        </is>
      </c>
      <c r="B660" s="1" t="n">
        <v>45736.50743055555</v>
      </c>
      <c r="C660" s="1" t="n">
        <v>46176</v>
      </c>
      <c r="D660" t="inlineStr">
        <is>
          <t>KALMAR LÄN</t>
        </is>
      </c>
      <c r="E660" t="inlineStr">
        <is>
          <t>VIMMERBY</t>
        </is>
      </c>
      <c r="G660" t="n">
        <v>3.6</v>
      </c>
      <c r="H660" t="n">
        <v>0</v>
      </c>
      <c r="I660" t="n">
        <v>0</v>
      </c>
      <c r="J660" t="n">
        <v>0</v>
      </c>
      <c r="K660" t="n">
        <v>0</v>
      </c>
      <c r="L660" t="n">
        <v>0</v>
      </c>
      <c r="M660" t="n">
        <v>0</v>
      </c>
      <c r="N660" t="n">
        <v>0</v>
      </c>
      <c r="O660" t="n">
        <v>0</v>
      </c>
      <c r="P660" t="n">
        <v>0</v>
      </c>
      <c r="Q660" t="n">
        <v>0</v>
      </c>
      <c r="R660" s="2" t="inlineStr"/>
    </row>
    <row r="661" ht="15" customHeight="1">
      <c r="A661" t="inlineStr">
        <is>
          <t>A 43038-2022</t>
        </is>
      </c>
      <c r="B661" s="1" t="n">
        <v>44833.60123842592</v>
      </c>
      <c r="C661" s="1" t="n">
        <v>46176</v>
      </c>
      <c r="D661" t="inlineStr">
        <is>
          <t>KALMAR LÄN</t>
        </is>
      </c>
      <c r="E661" t="inlineStr">
        <is>
          <t>VIMMERBY</t>
        </is>
      </c>
      <c r="G661" t="n">
        <v>4.2</v>
      </c>
      <c r="H661" t="n">
        <v>0</v>
      </c>
      <c r="I661" t="n">
        <v>0</v>
      </c>
      <c r="J661" t="n">
        <v>0</v>
      </c>
      <c r="K661" t="n">
        <v>0</v>
      </c>
      <c r="L661" t="n">
        <v>0</v>
      </c>
      <c r="M661" t="n">
        <v>0</v>
      </c>
      <c r="N661" t="n">
        <v>0</v>
      </c>
      <c r="O661" t="n">
        <v>0</v>
      </c>
      <c r="P661" t="n">
        <v>0</v>
      </c>
      <c r="Q661" t="n">
        <v>0</v>
      </c>
      <c r="R661" s="2" t="inlineStr"/>
    </row>
    <row r="662" ht="15" customHeight="1">
      <c r="A662" t="inlineStr">
        <is>
          <t>A 2523-2026</t>
        </is>
      </c>
      <c r="B662" s="1" t="n">
        <v>46037.42825231481</v>
      </c>
      <c r="C662" s="1" t="n">
        <v>46176</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3266-2026</t>
        </is>
      </c>
      <c r="B663" s="1" t="n">
        <v>46041</v>
      </c>
      <c r="C663" s="1" t="n">
        <v>46176</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3292-2026</t>
        </is>
      </c>
      <c r="B664" s="1" t="n">
        <v>46041</v>
      </c>
      <c r="C664" s="1" t="n">
        <v>46176</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57799-2022</t>
        </is>
      </c>
      <c r="B665" s="1" t="n">
        <v>44897</v>
      </c>
      <c r="C665" s="1" t="n">
        <v>46176</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30921-2024</t>
        </is>
      </c>
      <c r="B666" s="1" t="n">
        <v>45498</v>
      </c>
      <c r="C666" s="1" t="n">
        <v>46176</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3868-2026</t>
        </is>
      </c>
      <c r="B667" s="1" t="n">
        <v>46043.6360300926</v>
      </c>
      <c r="C667" s="1" t="n">
        <v>46176</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3869-2026</t>
        </is>
      </c>
      <c r="B668" s="1" t="n">
        <v>46043.63940972222</v>
      </c>
      <c r="C668" s="1" t="n">
        <v>46176</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14137-2023</t>
        </is>
      </c>
      <c r="B669" s="1" t="n">
        <v>45009.4671875</v>
      </c>
      <c r="C669" s="1" t="n">
        <v>46176</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3965-2026</t>
        </is>
      </c>
      <c r="B670" s="1" t="n">
        <v>46044.34563657407</v>
      </c>
      <c r="C670" s="1" t="n">
        <v>46176</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11152-2023</t>
        </is>
      </c>
      <c r="B671" s="1" t="n">
        <v>44992</v>
      </c>
      <c r="C671" s="1" t="n">
        <v>46176</v>
      </c>
      <c r="D671" t="inlineStr">
        <is>
          <t>KALMAR LÄN</t>
        </is>
      </c>
      <c r="E671" t="inlineStr">
        <is>
          <t>VIMMERBY</t>
        </is>
      </c>
      <c r="G671" t="n">
        <v>10.6</v>
      </c>
      <c r="H671" t="n">
        <v>0</v>
      </c>
      <c r="I671" t="n">
        <v>0</v>
      </c>
      <c r="J671" t="n">
        <v>0</v>
      </c>
      <c r="K671" t="n">
        <v>0</v>
      </c>
      <c r="L671" t="n">
        <v>0</v>
      </c>
      <c r="M671" t="n">
        <v>0</v>
      </c>
      <c r="N671" t="n">
        <v>0</v>
      </c>
      <c r="O671" t="n">
        <v>0</v>
      </c>
      <c r="P671" t="n">
        <v>0</v>
      </c>
      <c r="Q671" t="n">
        <v>0</v>
      </c>
      <c r="R671" s="2" t="inlineStr"/>
    </row>
    <row r="672" ht="15" customHeight="1">
      <c r="A672" t="inlineStr">
        <is>
          <t>A 12499-2023</t>
        </is>
      </c>
      <c r="B672" s="1" t="n">
        <v>44999.86172453704</v>
      </c>
      <c r="C672" s="1" t="n">
        <v>46176</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12500-2023</t>
        </is>
      </c>
      <c r="B673" s="1" t="n">
        <v>44999.8625</v>
      </c>
      <c r="C673" s="1" t="n">
        <v>46176</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35846-2023</t>
        </is>
      </c>
      <c r="B674" s="1" t="n">
        <v>45148</v>
      </c>
      <c r="C674" s="1" t="n">
        <v>46176</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49039-2021</t>
        </is>
      </c>
      <c r="B675" s="1" t="n">
        <v>44453.56578703703</v>
      </c>
      <c r="C675" s="1" t="n">
        <v>46176</v>
      </c>
      <c r="D675" t="inlineStr">
        <is>
          <t>KALMAR LÄN</t>
        </is>
      </c>
      <c r="E675" t="inlineStr">
        <is>
          <t>VIMMERBY</t>
        </is>
      </c>
      <c r="G675" t="n">
        <v>0.6</v>
      </c>
      <c r="H675" t="n">
        <v>0</v>
      </c>
      <c r="I675" t="n">
        <v>0</v>
      </c>
      <c r="J675" t="n">
        <v>0</v>
      </c>
      <c r="K675" t="n">
        <v>0</v>
      </c>
      <c r="L675" t="n">
        <v>0</v>
      </c>
      <c r="M675" t="n">
        <v>0</v>
      </c>
      <c r="N675" t="n">
        <v>0</v>
      </c>
      <c r="O675" t="n">
        <v>0</v>
      </c>
      <c r="P675" t="n">
        <v>0</v>
      </c>
      <c r="Q675" t="n">
        <v>0</v>
      </c>
      <c r="R675" s="2" t="inlineStr"/>
    </row>
    <row r="676" ht="15" customHeight="1">
      <c r="A676" t="inlineStr">
        <is>
          <t>A 46224-2024</t>
        </is>
      </c>
      <c r="B676" s="1" t="n">
        <v>45581.57016203704</v>
      </c>
      <c r="C676" s="1" t="n">
        <v>46176</v>
      </c>
      <c r="D676" t="inlineStr">
        <is>
          <t>KALMAR LÄN</t>
        </is>
      </c>
      <c r="E676" t="inlineStr">
        <is>
          <t>VIMMERBY</t>
        </is>
      </c>
      <c r="G676" t="n">
        <v>3.1</v>
      </c>
      <c r="H676" t="n">
        <v>0</v>
      </c>
      <c r="I676" t="n">
        <v>0</v>
      </c>
      <c r="J676" t="n">
        <v>0</v>
      </c>
      <c r="K676" t="n">
        <v>0</v>
      </c>
      <c r="L676" t="n">
        <v>0</v>
      </c>
      <c r="M676" t="n">
        <v>0</v>
      </c>
      <c r="N676" t="n">
        <v>0</v>
      </c>
      <c r="O676" t="n">
        <v>0</v>
      </c>
      <c r="P676" t="n">
        <v>0</v>
      </c>
      <c r="Q676" t="n">
        <v>0</v>
      </c>
      <c r="R676" s="2" t="inlineStr"/>
    </row>
    <row r="677" ht="15" customHeight="1">
      <c r="A677" t="inlineStr">
        <is>
          <t>A 46238-2024</t>
        </is>
      </c>
      <c r="B677" s="1" t="n">
        <v>45581.58418981481</v>
      </c>
      <c r="C677" s="1" t="n">
        <v>46176</v>
      </c>
      <c r="D677" t="inlineStr">
        <is>
          <t>KALMAR LÄN</t>
        </is>
      </c>
      <c r="E677" t="inlineStr">
        <is>
          <t>VIMMERBY</t>
        </is>
      </c>
      <c r="G677" t="n">
        <v>2.1</v>
      </c>
      <c r="H677" t="n">
        <v>0</v>
      </c>
      <c r="I677" t="n">
        <v>0</v>
      </c>
      <c r="J677" t="n">
        <v>0</v>
      </c>
      <c r="K677" t="n">
        <v>0</v>
      </c>
      <c r="L677" t="n">
        <v>0</v>
      </c>
      <c r="M677" t="n">
        <v>0</v>
      </c>
      <c r="N677" t="n">
        <v>0</v>
      </c>
      <c r="O677" t="n">
        <v>0</v>
      </c>
      <c r="P677" t="n">
        <v>0</v>
      </c>
      <c r="Q677" t="n">
        <v>0</v>
      </c>
      <c r="R677" s="2" t="inlineStr"/>
    </row>
    <row r="678" ht="15" customHeight="1">
      <c r="A678" t="inlineStr">
        <is>
          <t>A 30633-2024</t>
        </is>
      </c>
      <c r="B678" s="1" t="n">
        <v>45495</v>
      </c>
      <c r="C678" s="1" t="n">
        <v>46176</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54838-2024</t>
        </is>
      </c>
      <c r="B679" s="1" t="n">
        <v>45618.56787037037</v>
      </c>
      <c r="C679" s="1" t="n">
        <v>46176</v>
      </c>
      <c r="D679" t="inlineStr">
        <is>
          <t>KALMAR LÄN</t>
        </is>
      </c>
      <c r="E679" t="inlineStr">
        <is>
          <t>VIMMERBY</t>
        </is>
      </c>
      <c r="G679" t="n">
        <v>3.3</v>
      </c>
      <c r="H679" t="n">
        <v>0</v>
      </c>
      <c r="I679" t="n">
        <v>0</v>
      </c>
      <c r="J679" t="n">
        <v>0</v>
      </c>
      <c r="K679" t="n">
        <v>0</v>
      </c>
      <c r="L679" t="n">
        <v>0</v>
      </c>
      <c r="M679" t="n">
        <v>0</v>
      </c>
      <c r="N679" t="n">
        <v>0</v>
      </c>
      <c r="O679" t="n">
        <v>0</v>
      </c>
      <c r="P679" t="n">
        <v>0</v>
      </c>
      <c r="Q679" t="n">
        <v>0</v>
      </c>
      <c r="R679" s="2" t="inlineStr"/>
    </row>
    <row r="680" ht="15" customHeight="1">
      <c r="A680" t="inlineStr">
        <is>
          <t>A 6405-2025</t>
        </is>
      </c>
      <c r="B680" s="1" t="n">
        <v>45699.45392361111</v>
      </c>
      <c r="C680" s="1" t="n">
        <v>46176</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60437-2023</t>
        </is>
      </c>
      <c r="B681" s="1" t="n">
        <v>45259.51916666667</v>
      </c>
      <c r="C681" s="1" t="n">
        <v>46176</v>
      </c>
      <c r="D681" t="inlineStr">
        <is>
          <t>KALMAR LÄN</t>
        </is>
      </c>
      <c r="E681" t="inlineStr">
        <is>
          <t>VIMMERBY</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60438-2023</t>
        </is>
      </c>
      <c r="B682" s="1" t="n">
        <v>45259.52020833334</v>
      </c>
      <c r="C682" s="1" t="n">
        <v>46176</v>
      </c>
      <c r="D682" t="inlineStr">
        <is>
          <t>KALMAR LÄN</t>
        </is>
      </c>
      <c r="E682" t="inlineStr">
        <is>
          <t>VIMMERBY</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42165-2024</t>
        </is>
      </c>
      <c r="B683" s="1" t="n">
        <v>45562.46342592593</v>
      </c>
      <c r="C683" s="1" t="n">
        <v>46176</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25244-2023</t>
        </is>
      </c>
      <c r="B684" s="1" t="n">
        <v>45086</v>
      </c>
      <c r="C684" s="1" t="n">
        <v>46176</v>
      </c>
      <c r="D684" t="inlineStr">
        <is>
          <t>KALMAR LÄN</t>
        </is>
      </c>
      <c r="E684" t="inlineStr">
        <is>
          <t>VIMMERBY</t>
        </is>
      </c>
      <c r="G684" t="n">
        <v>4.7</v>
      </c>
      <c r="H684" t="n">
        <v>0</v>
      </c>
      <c r="I684" t="n">
        <v>0</v>
      </c>
      <c r="J684" t="n">
        <v>0</v>
      </c>
      <c r="K684" t="n">
        <v>0</v>
      </c>
      <c r="L684" t="n">
        <v>0</v>
      </c>
      <c r="M684" t="n">
        <v>0</v>
      </c>
      <c r="N684" t="n">
        <v>0</v>
      </c>
      <c r="O684" t="n">
        <v>0</v>
      </c>
      <c r="P684" t="n">
        <v>0</v>
      </c>
      <c r="Q684" t="n">
        <v>0</v>
      </c>
      <c r="R684" s="2" t="inlineStr"/>
    </row>
    <row r="685" ht="15" customHeight="1">
      <c r="A685" t="inlineStr">
        <is>
          <t>A 66022-2021</t>
        </is>
      </c>
      <c r="B685" s="1" t="n">
        <v>44517</v>
      </c>
      <c r="C685" s="1" t="n">
        <v>46176</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35895-2024</t>
        </is>
      </c>
      <c r="B686" s="1" t="n">
        <v>45533.38870370371</v>
      </c>
      <c r="C686" s="1" t="n">
        <v>46176</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11073-2023</t>
        </is>
      </c>
      <c r="B687" s="1" t="n">
        <v>44992</v>
      </c>
      <c r="C687" s="1" t="n">
        <v>46176</v>
      </c>
      <c r="D687" t="inlineStr">
        <is>
          <t>KALMAR LÄN</t>
        </is>
      </c>
      <c r="E687" t="inlineStr">
        <is>
          <t>VIMMERBY</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17-2025</t>
        </is>
      </c>
      <c r="B688" s="1" t="n">
        <v>45658.78774305555</v>
      </c>
      <c r="C688" s="1" t="n">
        <v>46176</v>
      </c>
      <c r="D688" t="inlineStr">
        <is>
          <t>KALMAR LÄN</t>
        </is>
      </c>
      <c r="E688" t="inlineStr">
        <is>
          <t>VIMMERBY</t>
        </is>
      </c>
      <c r="G688" t="n">
        <v>4.4</v>
      </c>
      <c r="H688" t="n">
        <v>0</v>
      </c>
      <c r="I688" t="n">
        <v>0</v>
      </c>
      <c r="J688" t="n">
        <v>0</v>
      </c>
      <c r="K688" t="n">
        <v>0</v>
      </c>
      <c r="L688" t="n">
        <v>0</v>
      </c>
      <c r="M688" t="n">
        <v>0</v>
      </c>
      <c r="N688" t="n">
        <v>0</v>
      </c>
      <c r="O688" t="n">
        <v>0</v>
      </c>
      <c r="P688" t="n">
        <v>0</v>
      </c>
      <c r="Q688" t="n">
        <v>0</v>
      </c>
      <c r="R688" s="2" t="inlineStr"/>
    </row>
    <row r="689" ht="15" customHeight="1">
      <c r="A689" t="inlineStr">
        <is>
          <t>A 32655-2023</t>
        </is>
      </c>
      <c r="B689" s="1" t="n">
        <v>45121.61318287037</v>
      </c>
      <c r="C689" s="1" t="n">
        <v>46176</v>
      </c>
      <c r="D689" t="inlineStr">
        <is>
          <t>KALMAR LÄN</t>
        </is>
      </c>
      <c r="E689" t="inlineStr">
        <is>
          <t>VIMMERBY</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63541-2023</t>
        </is>
      </c>
      <c r="B690" s="1" t="n">
        <v>45275.32266203704</v>
      </c>
      <c r="C690" s="1" t="n">
        <v>46176</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6817-2026</t>
        </is>
      </c>
      <c r="B691" s="1" t="n">
        <v>46057.38412037037</v>
      </c>
      <c r="C691" s="1" t="n">
        <v>46176</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28034-2022</t>
        </is>
      </c>
      <c r="B692" s="1" t="n">
        <v>44746.38834490741</v>
      </c>
      <c r="C692" s="1" t="n">
        <v>46176</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5938-2022</t>
        </is>
      </c>
      <c r="B693" s="1" t="n">
        <v>44598</v>
      </c>
      <c r="C693" s="1" t="n">
        <v>46176</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24283-2023</t>
        </is>
      </c>
      <c r="B694" s="1" t="n">
        <v>45079.87827546296</v>
      </c>
      <c r="C694" s="1" t="n">
        <v>46176</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2462-2022</t>
        </is>
      </c>
      <c r="B695" s="1" t="n">
        <v>44579.62225694444</v>
      </c>
      <c r="C695" s="1" t="n">
        <v>46176</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60228-2021</t>
        </is>
      </c>
      <c r="B696" s="1" t="n">
        <v>44495</v>
      </c>
      <c r="C696" s="1" t="n">
        <v>46176</v>
      </c>
      <c r="D696" t="inlineStr">
        <is>
          <t>KALMAR LÄN</t>
        </is>
      </c>
      <c r="E696" t="inlineStr">
        <is>
          <t>VIMMERBY</t>
        </is>
      </c>
      <c r="G696" t="n">
        <v>4.1</v>
      </c>
      <c r="H696" t="n">
        <v>0</v>
      </c>
      <c r="I696" t="n">
        <v>0</v>
      </c>
      <c r="J696" t="n">
        <v>0</v>
      </c>
      <c r="K696" t="n">
        <v>0</v>
      </c>
      <c r="L696" t="n">
        <v>0</v>
      </c>
      <c r="M696" t="n">
        <v>0</v>
      </c>
      <c r="N696" t="n">
        <v>0</v>
      </c>
      <c r="O696" t="n">
        <v>0</v>
      </c>
      <c r="P696" t="n">
        <v>0</v>
      </c>
      <c r="Q696" t="n">
        <v>0</v>
      </c>
      <c r="R696" s="2" t="inlineStr"/>
    </row>
    <row r="697" ht="15" customHeight="1">
      <c r="A697" t="inlineStr">
        <is>
          <t>A 25979-2023</t>
        </is>
      </c>
      <c r="B697" s="1" t="n">
        <v>45090.89653935185</v>
      </c>
      <c r="C697" s="1" t="n">
        <v>46176</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25980-2023</t>
        </is>
      </c>
      <c r="B698" s="1" t="n">
        <v>45090.89880787037</v>
      </c>
      <c r="C698" s="1" t="n">
        <v>46176</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12510-2022</t>
        </is>
      </c>
      <c r="B699" s="1" t="n">
        <v>44638.55256944444</v>
      </c>
      <c r="C699" s="1" t="n">
        <v>46176</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6358-2022</t>
        </is>
      </c>
      <c r="B700" s="1" t="n">
        <v>44600</v>
      </c>
      <c r="C700" s="1" t="n">
        <v>46176</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48373-2021</t>
        </is>
      </c>
      <c r="B701" s="1" t="n">
        <v>44451</v>
      </c>
      <c r="C701" s="1" t="n">
        <v>46176</v>
      </c>
      <c r="D701" t="inlineStr">
        <is>
          <t>KALMAR LÄN</t>
        </is>
      </c>
      <c r="E701" t="inlineStr">
        <is>
          <t>VIMMERBY</t>
        </is>
      </c>
      <c r="G701" t="n">
        <v>2.2</v>
      </c>
      <c r="H701" t="n">
        <v>0</v>
      </c>
      <c r="I701" t="n">
        <v>0</v>
      </c>
      <c r="J701" t="n">
        <v>0</v>
      </c>
      <c r="K701" t="n">
        <v>0</v>
      </c>
      <c r="L701" t="n">
        <v>0</v>
      </c>
      <c r="M701" t="n">
        <v>0</v>
      </c>
      <c r="N701" t="n">
        <v>0</v>
      </c>
      <c r="O701" t="n">
        <v>0</v>
      </c>
      <c r="P701" t="n">
        <v>0</v>
      </c>
      <c r="Q701" t="n">
        <v>0</v>
      </c>
      <c r="R701" s="2" t="inlineStr"/>
    </row>
    <row r="702" ht="15" customHeight="1">
      <c r="A702" t="inlineStr">
        <is>
          <t>A 57256-2023</t>
        </is>
      </c>
      <c r="B702" s="1" t="n">
        <v>45245.5735300926</v>
      </c>
      <c r="C702" s="1" t="n">
        <v>46176</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17482-2024</t>
        </is>
      </c>
      <c r="B703" s="1" t="n">
        <v>45415.47848379629</v>
      </c>
      <c r="C703" s="1" t="n">
        <v>46176</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55123-2024</t>
        </is>
      </c>
      <c r="B704" s="1" t="n">
        <v>45621.46103009259</v>
      </c>
      <c r="C704" s="1" t="n">
        <v>46176</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8595-2026</t>
        </is>
      </c>
      <c r="B705" s="1" t="n">
        <v>46065.7372337963</v>
      </c>
      <c r="C705" s="1" t="n">
        <v>46176</v>
      </c>
      <c r="D705" t="inlineStr">
        <is>
          <t>KALMAR LÄN</t>
        </is>
      </c>
      <c r="E705" t="inlineStr">
        <is>
          <t>VIMMERBY</t>
        </is>
      </c>
      <c r="G705" t="n">
        <v>0.8</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44861.52505787037</v>
      </c>
      <c r="C706" s="1" t="n">
        <v>46176</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1987-2024</t>
        </is>
      </c>
      <c r="B707" s="1" t="n">
        <v>45308.61152777778</v>
      </c>
      <c r="C707" s="1" t="n">
        <v>46176</v>
      </c>
      <c r="D707" t="inlineStr">
        <is>
          <t>KALMAR LÄN</t>
        </is>
      </c>
      <c r="E707" t="inlineStr">
        <is>
          <t>VIMMERBY</t>
        </is>
      </c>
      <c r="G707" t="n">
        <v>3</v>
      </c>
      <c r="H707" t="n">
        <v>0</v>
      </c>
      <c r="I707" t="n">
        <v>0</v>
      </c>
      <c r="J707" t="n">
        <v>0</v>
      </c>
      <c r="K707" t="n">
        <v>0</v>
      </c>
      <c r="L707" t="n">
        <v>0</v>
      </c>
      <c r="M707" t="n">
        <v>0</v>
      </c>
      <c r="N707" t="n">
        <v>0</v>
      </c>
      <c r="O707" t="n">
        <v>0</v>
      </c>
      <c r="P707" t="n">
        <v>0</v>
      </c>
      <c r="Q707" t="n">
        <v>0</v>
      </c>
      <c r="R707" s="2" t="inlineStr"/>
    </row>
    <row r="708" ht="15" customHeight="1">
      <c r="A708" t="inlineStr">
        <is>
          <t>A 21507-2023</t>
        </is>
      </c>
      <c r="B708" s="1" t="n">
        <v>45063.508125</v>
      </c>
      <c r="C708" s="1" t="n">
        <v>46176</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57189-2022</t>
        </is>
      </c>
      <c r="B709" s="1" t="n">
        <v>44895.62296296296</v>
      </c>
      <c r="C709" s="1" t="n">
        <v>46176</v>
      </c>
      <c r="D709" t="inlineStr">
        <is>
          <t>KALMAR LÄN</t>
        </is>
      </c>
      <c r="E709" t="inlineStr">
        <is>
          <t>VIMMERBY</t>
        </is>
      </c>
      <c r="G709" t="n">
        <v>0.8</v>
      </c>
      <c r="H709" t="n">
        <v>0</v>
      </c>
      <c r="I709" t="n">
        <v>0</v>
      </c>
      <c r="J709" t="n">
        <v>0</v>
      </c>
      <c r="K709" t="n">
        <v>0</v>
      </c>
      <c r="L709" t="n">
        <v>0</v>
      </c>
      <c r="M709" t="n">
        <v>0</v>
      </c>
      <c r="N709" t="n">
        <v>0</v>
      </c>
      <c r="O709" t="n">
        <v>0</v>
      </c>
      <c r="P709" t="n">
        <v>0</v>
      </c>
      <c r="Q709" t="n">
        <v>0</v>
      </c>
      <c r="R709" s="2" t="inlineStr"/>
    </row>
    <row r="710" ht="15" customHeight="1">
      <c r="A710" t="inlineStr">
        <is>
          <t>A 8696-2026</t>
        </is>
      </c>
      <c r="B710" s="1" t="n">
        <v>46066.45273148148</v>
      </c>
      <c r="C710" s="1" t="n">
        <v>46176</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48673-2021</t>
        </is>
      </c>
      <c r="B711" s="1" t="n">
        <v>44452</v>
      </c>
      <c r="C711" s="1" t="n">
        <v>46176</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14248-2023</t>
        </is>
      </c>
      <c r="B712" s="1" t="n">
        <v>45009</v>
      </c>
      <c r="C712" s="1" t="n">
        <v>46176</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12480-2024</t>
        </is>
      </c>
      <c r="B713" s="1" t="n">
        <v>45379</v>
      </c>
      <c r="C713" s="1" t="n">
        <v>46176</v>
      </c>
      <c r="D713" t="inlineStr">
        <is>
          <t>KALMAR LÄN</t>
        </is>
      </c>
      <c r="E713" t="inlineStr">
        <is>
          <t>VIMMERBY</t>
        </is>
      </c>
      <c r="G713" t="n">
        <v>2.8</v>
      </c>
      <c r="H713" t="n">
        <v>0</v>
      </c>
      <c r="I713" t="n">
        <v>0</v>
      </c>
      <c r="J713" t="n">
        <v>0</v>
      </c>
      <c r="K713" t="n">
        <v>0</v>
      </c>
      <c r="L713" t="n">
        <v>0</v>
      </c>
      <c r="M713" t="n">
        <v>0</v>
      </c>
      <c r="N713" t="n">
        <v>0</v>
      </c>
      <c r="O713" t="n">
        <v>0</v>
      </c>
      <c r="P713" t="n">
        <v>0</v>
      </c>
      <c r="Q713" t="n">
        <v>0</v>
      </c>
      <c r="R713" s="2" t="inlineStr"/>
    </row>
    <row r="714" ht="15" customHeight="1">
      <c r="A714" t="inlineStr">
        <is>
          <t>A 40095-2022</t>
        </is>
      </c>
      <c r="B714" s="1" t="n">
        <v>44820</v>
      </c>
      <c r="C714" s="1" t="n">
        <v>46176</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50085-2023</t>
        </is>
      </c>
      <c r="B715" s="1" t="n">
        <v>45215.5959375</v>
      </c>
      <c r="C715" s="1" t="n">
        <v>46176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50087-2023</t>
        </is>
      </c>
      <c r="B716" s="1" t="n">
        <v>45215.59743055556</v>
      </c>
      <c r="C716" s="1" t="n">
        <v>46176</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8167-2024</t>
        </is>
      </c>
      <c r="B717" s="1" t="n">
        <v>45351.6062962963</v>
      </c>
      <c r="C717" s="1" t="n">
        <v>46176</v>
      </c>
      <c r="D717" t="inlineStr">
        <is>
          <t>KALMAR LÄN</t>
        </is>
      </c>
      <c r="E717" t="inlineStr">
        <is>
          <t>VIMMERBY</t>
        </is>
      </c>
      <c r="G717" t="n">
        <v>3.8</v>
      </c>
      <c r="H717" t="n">
        <v>0</v>
      </c>
      <c r="I717" t="n">
        <v>0</v>
      </c>
      <c r="J717" t="n">
        <v>0</v>
      </c>
      <c r="K717" t="n">
        <v>0</v>
      </c>
      <c r="L717" t="n">
        <v>0</v>
      </c>
      <c r="M717" t="n">
        <v>0</v>
      </c>
      <c r="N717" t="n">
        <v>0</v>
      </c>
      <c r="O717" t="n">
        <v>0</v>
      </c>
      <c r="P717" t="n">
        <v>0</v>
      </c>
      <c r="Q717" t="n">
        <v>0</v>
      </c>
      <c r="R717" s="2" t="inlineStr"/>
    </row>
    <row r="718" ht="15" customHeight="1">
      <c r="A718" t="inlineStr">
        <is>
          <t>A 2604-2025</t>
        </is>
      </c>
      <c r="B718" s="1" t="n">
        <v>45674.74094907408</v>
      </c>
      <c r="C718" s="1" t="n">
        <v>46176</v>
      </c>
      <c r="D718" t="inlineStr">
        <is>
          <t>KALMAR LÄN</t>
        </is>
      </c>
      <c r="E718" t="inlineStr">
        <is>
          <t>VIMMERBY</t>
        </is>
      </c>
      <c r="G718" t="n">
        <v>7.6</v>
      </c>
      <c r="H718" t="n">
        <v>0</v>
      </c>
      <c r="I718" t="n">
        <v>0</v>
      </c>
      <c r="J718" t="n">
        <v>0</v>
      </c>
      <c r="K718" t="n">
        <v>0</v>
      </c>
      <c r="L718" t="n">
        <v>0</v>
      </c>
      <c r="M718" t="n">
        <v>0</v>
      </c>
      <c r="N718" t="n">
        <v>0</v>
      </c>
      <c r="O718" t="n">
        <v>0</v>
      </c>
      <c r="P718" t="n">
        <v>0</v>
      </c>
      <c r="Q718" t="n">
        <v>0</v>
      </c>
      <c r="R718" s="2" t="inlineStr"/>
    </row>
    <row r="719" ht="15" customHeight="1">
      <c r="A719" t="inlineStr">
        <is>
          <t>A 37192-2024</t>
        </is>
      </c>
      <c r="B719" s="1" t="n">
        <v>45539.66027777778</v>
      </c>
      <c r="C719" s="1" t="n">
        <v>46176</v>
      </c>
      <c r="D719" t="inlineStr">
        <is>
          <t>KALMAR LÄN</t>
        </is>
      </c>
      <c r="E719" t="inlineStr">
        <is>
          <t>VIMMERBY</t>
        </is>
      </c>
      <c r="G719" t="n">
        <v>1</v>
      </c>
      <c r="H719" t="n">
        <v>0</v>
      </c>
      <c r="I719" t="n">
        <v>0</v>
      </c>
      <c r="J719" t="n">
        <v>0</v>
      </c>
      <c r="K719" t="n">
        <v>0</v>
      </c>
      <c r="L719" t="n">
        <v>0</v>
      </c>
      <c r="M719" t="n">
        <v>0</v>
      </c>
      <c r="N719" t="n">
        <v>0</v>
      </c>
      <c r="O719" t="n">
        <v>0</v>
      </c>
      <c r="P719" t="n">
        <v>0</v>
      </c>
      <c r="Q719" t="n">
        <v>0</v>
      </c>
      <c r="R719" s="2" t="inlineStr"/>
    </row>
    <row r="720" ht="15" customHeight="1">
      <c r="A720" t="inlineStr">
        <is>
          <t>A 42429-2024</t>
        </is>
      </c>
      <c r="B720" s="1" t="n">
        <v>45565.40657407408</v>
      </c>
      <c r="C720" s="1" t="n">
        <v>46176</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29180-2024</t>
        </is>
      </c>
      <c r="B721" s="1" t="n">
        <v>45482.54108796296</v>
      </c>
      <c r="C721" s="1" t="n">
        <v>46176</v>
      </c>
      <c r="D721" t="inlineStr">
        <is>
          <t>KALMAR LÄN</t>
        </is>
      </c>
      <c r="E721" t="inlineStr">
        <is>
          <t>VIMMERBY</t>
        </is>
      </c>
      <c r="G721" t="n">
        <v>3.8</v>
      </c>
      <c r="H721" t="n">
        <v>0</v>
      </c>
      <c r="I721" t="n">
        <v>0</v>
      </c>
      <c r="J721" t="n">
        <v>0</v>
      </c>
      <c r="K721" t="n">
        <v>0</v>
      </c>
      <c r="L721" t="n">
        <v>0</v>
      </c>
      <c r="M721" t="n">
        <v>0</v>
      </c>
      <c r="N721" t="n">
        <v>0</v>
      </c>
      <c r="O721" t="n">
        <v>0</v>
      </c>
      <c r="P721" t="n">
        <v>0</v>
      </c>
      <c r="Q721" t="n">
        <v>0</v>
      </c>
      <c r="R721" s="2" t="inlineStr"/>
    </row>
    <row r="722" ht="15" customHeight="1">
      <c r="A722" t="inlineStr">
        <is>
          <t>A 10965-2026</t>
        </is>
      </c>
      <c r="B722" s="1" t="n">
        <v>46079.43295138889</v>
      </c>
      <c r="C722" s="1" t="n">
        <v>46176</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11273-2026</t>
        </is>
      </c>
      <c r="B723" s="1" t="n">
        <v>46080.57634259259</v>
      </c>
      <c r="C723" s="1" t="n">
        <v>46176</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45846-2023</t>
        </is>
      </c>
      <c r="B724" s="1" t="n">
        <v>45195.58452546296</v>
      </c>
      <c r="C724" s="1" t="n">
        <v>46176</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16020-2023</t>
        </is>
      </c>
      <c r="B725" s="1" t="n">
        <v>45026.82216435186</v>
      </c>
      <c r="C725" s="1" t="n">
        <v>46176</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61820-2023</t>
        </is>
      </c>
      <c r="B726" s="1" t="n">
        <v>45266.32614583334</v>
      </c>
      <c r="C726" s="1" t="n">
        <v>46176</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11415-2026</t>
        </is>
      </c>
      <c r="B727" s="1" t="n">
        <v>46083</v>
      </c>
      <c r="C727" s="1" t="n">
        <v>46176</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11407-2026</t>
        </is>
      </c>
      <c r="B728" s="1" t="n">
        <v>46083</v>
      </c>
      <c r="C728" s="1" t="n">
        <v>46176</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45560-2021</t>
        </is>
      </c>
      <c r="B729" s="1" t="n">
        <v>44440</v>
      </c>
      <c r="C729" s="1" t="n">
        <v>46176</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40256-2024</t>
        </is>
      </c>
      <c r="B730" s="1" t="n">
        <v>45554.62944444444</v>
      </c>
      <c r="C730" s="1" t="n">
        <v>46176</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58104-2024</t>
        </is>
      </c>
      <c r="B731" s="1" t="n">
        <v>45632.37459490741</v>
      </c>
      <c r="C731" s="1" t="n">
        <v>46176</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36259-2022</t>
        </is>
      </c>
      <c r="B732" s="1" t="n">
        <v>44803.59118055556</v>
      </c>
      <c r="C732" s="1" t="n">
        <v>46176</v>
      </c>
      <c r="D732" t="inlineStr">
        <is>
          <t>KALMAR LÄN</t>
        </is>
      </c>
      <c r="E732" t="inlineStr">
        <is>
          <t>VIMMERBY</t>
        </is>
      </c>
      <c r="G732" t="n">
        <v>3.9</v>
      </c>
      <c r="H732" t="n">
        <v>0</v>
      </c>
      <c r="I732" t="n">
        <v>0</v>
      </c>
      <c r="J732" t="n">
        <v>0</v>
      </c>
      <c r="K732" t="n">
        <v>0</v>
      </c>
      <c r="L732" t="n">
        <v>0</v>
      </c>
      <c r="M732" t="n">
        <v>0</v>
      </c>
      <c r="N732" t="n">
        <v>0</v>
      </c>
      <c r="O732" t="n">
        <v>0</v>
      </c>
      <c r="P732" t="n">
        <v>0</v>
      </c>
      <c r="Q732" t="n">
        <v>0</v>
      </c>
      <c r="R732" s="2" t="inlineStr"/>
    </row>
    <row r="733" ht="15" customHeight="1">
      <c r="A733" t="inlineStr">
        <is>
          <t>A 43034-2024</t>
        </is>
      </c>
      <c r="B733" s="1" t="n">
        <v>45567.42011574074</v>
      </c>
      <c r="C733" s="1" t="n">
        <v>46176</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3902-2022</t>
        </is>
      </c>
      <c r="B734" s="1" t="n">
        <v>44587.48847222222</v>
      </c>
      <c r="C734" s="1" t="n">
        <v>46176</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30070-2023</t>
        </is>
      </c>
      <c r="B735" s="1" t="n">
        <v>45110.4275</v>
      </c>
      <c r="C735" s="1" t="n">
        <v>46176</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31209-2024</t>
        </is>
      </c>
      <c r="B736" s="1" t="n">
        <v>45503.5658912037</v>
      </c>
      <c r="C736" s="1" t="n">
        <v>46176</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4527-2023</t>
        </is>
      </c>
      <c r="B737" s="1" t="n">
        <v>44956</v>
      </c>
      <c r="C737" s="1" t="n">
        <v>46176</v>
      </c>
      <c r="D737" t="inlineStr">
        <is>
          <t>KALMAR LÄN</t>
        </is>
      </c>
      <c r="E737" t="inlineStr">
        <is>
          <t>VIMMERBY</t>
        </is>
      </c>
      <c r="F737" t="inlineStr">
        <is>
          <t>Kommuner</t>
        </is>
      </c>
      <c r="G737" t="n">
        <v>8.5</v>
      </c>
      <c r="H737" t="n">
        <v>0</v>
      </c>
      <c r="I737" t="n">
        <v>0</v>
      </c>
      <c r="J737" t="n">
        <v>0</v>
      </c>
      <c r="K737" t="n">
        <v>0</v>
      </c>
      <c r="L737" t="n">
        <v>0</v>
      </c>
      <c r="M737" t="n">
        <v>0</v>
      </c>
      <c r="N737" t="n">
        <v>0</v>
      </c>
      <c r="O737" t="n">
        <v>0</v>
      </c>
      <c r="P737" t="n">
        <v>0</v>
      </c>
      <c r="Q737" t="n">
        <v>0</v>
      </c>
      <c r="R737" s="2" t="inlineStr"/>
    </row>
    <row r="738" ht="15" customHeight="1">
      <c r="A738" t="inlineStr">
        <is>
          <t>A 5864-2022</t>
        </is>
      </c>
      <c r="B738" s="1" t="n">
        <v>44596</v>
      </c>
      <c r="C738" s="1" t="n">
        <v>46176</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30912-2023</t>
        </is>
      </c>
      <c r="B739" s="1" t="n">
        <v>45113.41633101852</v>
      </c>
      <c r="C739" s="1" t="n">
        <v>46176</v>
      </c>
      <c r="D739" t="inlineStr">
        <is>
          <t>KALMAR LÄN</t>
        </is>
      </c>
      <c r="E739" t="inlineStr">
        <is>
          <t>VIMMERBY</t>
        </is>
      </c>
      <c r="G739" t="n">
        <v>5</v>
      </c>
      <c r="H739" t="n">
        <v>0</v>
      </c>
      <c r="I739" t="n">
        <v>0</v>
      </c>
      <c r="J739" t="n">
        <v>0</v>
      </c>
      <c r="K739" t="n">
        <v>0</v>
      </c>
      <c r="L739" t="n">
        <v>0</v>
      </c>
      <c r="M739" t="n">
        <v>0</v>
      </c>
      <c r="N739" t="n">
        <v>0</v>
      </c>
      <c r="O739" t="n">
        <v>0</v>
      </c>
      <c r="P739" t="n">
        <v>0</v>
      </c>
      <c r="Q739" t="n">
        <v>0</v>
      </c>
      <c r="R739" s="2" t="inlineStr"/>
    </row>
    <row r="740" ht="15" customHeight="1">
      <c r="A740" t="inlineStr">
        <is>
          <t>A 1146-2025</t>
        </is>
      </c>
      <c r="B740" s="1" t="n">
        <v>45666</v>
      </c>
      <c r="C740" s="1" t="n">
        <v>46176</v>
      </c>
      <c r="D740" t="inlineStr">
        <is>
          <t>KALMAR LÄN</t>
        </is>
      </c>
      <c r="E740" t="inlineStr">
        <is>
          <t>VIMMERBY</t>
        </is>
      </c>
      <c r="G740" t="n">
        <v>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44918.50106481482</v>
      </c>
      <c r="C741" s="1" t="n">
        <v>46176</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16119-2023</t>
        </is>
      </c>
      <c r="B742" s="1" t="n">
        <v>45027.59450231482</v>
      </c>
      <c r="C742" s="1" t="n">
        <v>46176</v>
      </c>
      <c r="D742" t="inlineStr">
        <is>
          <t>KALMAR LÄN</t>
        </is>
      </c>
      <c r="E742" t="inlineStr">
        <is>
          <t>VIMMERBY</t>
        </is>
      </c>
      <c r="F742" t="inlineStr">
        <is>
          <t>Kommuner</t>
        </is>
      </c>
      <c r="G742" t="n">
        <v>4.4</v>
      </c>
      <c r="H742" t="n">
        <v>0</v>
      </c>
      <c r="I742" t="n">
        <v>0</v>
      </c>
      <c r="J742" t="n">
        <v>0</v>
      </c>
      <c r="K742" t="n">
        <v>0</v>
      </c>
      <c r="L742" t="n">
        <v>0</v>
      </c>
      <c r="M742" t="n">
        <v>0</v>
      </c>
      <c r="N742" t="n">
        <v>0</v>
      </c>
      <c r="O742" t="n">
        <v>0</v>
      </c>
      <c r="P742" t="n">
        <v>0</v>
      </c>
      <c r="Q742" t="n">
        <v>0</v>
      </c>
      <c r="R742" s="2" t="inlineStr"/>
    </row>
    <row r="743" ht="15" customHeight="1">
      <c r="A743" t="inlineStr">
        <is>
          <t>A 52327-2023</t>
        </is>
      </c>
      <c r="B743" s="1" t="n">
        <v>45224.6515162037</v>
      </c>
      <c r="C743" s="1" t="n">
        <v>46176</v>
      </c>
      <c r="D743" t="inlineStr">
        <is>
          <t>KALMAR LÄN</t>
        </is>
      </c>
      <c r="E743" t="inlineStr">
        <is>
          <t>VIMMERBY</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12075-2024</t>
        </is>
      </c>
      <c r="B744" s="1" t="n">
        <v>45377</v>
      </c>
      <c r="C744" s="1" t="n">
        <v>46176</v>
      </c>
      <c r="D744" t="inlineStr">
        <is>
          <t>KALMAR LÄN</t>
        </is>
      </c>
      <c r="E744" t="inlineStr">
        <is>
          <t>VIMMERBY</t>
        </is>
      </c>
      <c r="G744" t="n">
        <v>3.7</v>
      </c>
      <c r="H744" t="n">
        <v>0</v>
      </c>
      <c r="I744" t="n">
        <v>0</v>
      </c>
      <c r="J744" t="n">
        <v>0</v>
      </c>
      <c r="K744" t="n">
        <v>0</v>
      </c>
      <c r="L744" t="n">
        <v>0</v>
      </c>
      <c r="M744" t="n">
        <v>0</v>
      </c>
      <c r="N744" t="n">
        <v>0</v>
      </c>
      <c r="O744" t="n">
        <v>0</v>
      </c>
      <c r="P744" t="n">
        <v>0</v>
      </c>
      <c r="Q744" t="n">
        <v>0</v>
      </c>
      <c r="R744" s="2" t="inlineStr"/>
    </row>
    <row r="745" ht="15" customHeight="1">
      <c r="A745" t="inlineStr">
        <is>
          <t>A 29348-2023</t>
        </is>
      </c>
      <c r="B745" s="1" t="n">
        <v>45106.25025462963</v>
      </c>
      <c r="C745" s="1" t="n">
        <v>46176</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31340-2023</t>
        </is>
      </c>
      <c r="B746" s="1" t="n">
        <v>45114.47895833333</v>
      </c>
      <c r="C746" s="1" t="n">
        <v>46176</v>
      </c>
      <c r="D746" t="inlineStr">
        <is>
          <t>KALMAR LÄN</t>
        </is>
      </c>
      <c r="E746" t="inlineStr">
        <is>
          <t>VIMMERBY</t>
        </is>
      </c>
      <c r="G746" t="n">
        <v>1.8</v>
      </c>
      <c r="H746" t="n">
        <v>0</v>
      </c>
      <c r="I746" t="n">
        <v>0</v>
      </c>
      <c r="J746" t="n">
        <v>0</v>
      </c>
      <c r="K746" t="n">
        <v>0</v>
      </c>
      <c r="L746" t="n">
        <v>0</v>
      </c>
      <c r="M746" t="n">
        <v>0</v>
      </c>
      <c r="N746" t="n">
        <v>0</v>
      </c>
      <c r="O746" t="n">
        <v>0</v>
      </c>
      <c r="P746" t="n">
        <v>0</v>
      </c>
      <c r="Q746" t="n">
        <v>0</v>
      </c>
      <c r="R746" s="2" t="inlineStr"/>
    </row>
    <row r="747" ht="15" customHeight="1">
      <c r="A747" t="inlineStr">
        <is>
          <t>A 7758-2024</t>
        </is>
      </c>
      <c r="B747" s="1" t="n">
        <v>45349.54434027777</v>
      </c>
      <c r="C747" s="1" t="n">
        <v>46176</v>
      </c>
      <c r="D747" t="inlineStr">
        <is>
          <t>KALMAR LÄN</t>
        </is>
      </c>
      <c r="E747" t="inlineStr">
        <is>
          <t>VIMMERBY</t>
        </is>
      </c>
      <c r="G747" t="n">
        <v>3.5</v>
      </c>
      <c r="H747" t="n">
        <v>0</v>
      </c>
      <c r="I747" t="n">
        <v>0</v>
      </c>
      <c r="J747" t="n">
        <v>0</v>
      </c>
      <c r="K747" t="n">
        <v>0</v>
      </c>
      <c r="L747" t="n">
        <v>0</v>
      </c>
      <c r="M747" t="n">
        <v>0</v>
      </c>
      <c r="N747" t="n">
        <v>0</v>
      </c>
      <c r="O747" t="n">
        <v>0</v>
      </c>
      <c r="P747" t="n">
        <v>0</v>
      </c>
      <c r="Q747" t="n">
        <v>0</v>
      </c>
      <c r="R747" s="2" t="inlineStr"/>
    </row>
    <row r="748" ht="15" customHeight="1">
      <c r="A748" t="inlineStr">
        <is>
          <t>A 5701-2024</t>
        </is>
      </c>
      <c r="B748" s="1" t="n">
        <v>45334.78826388889</v>
      </c>
      <c r="C748" s="1" t="n">
        <v>46176</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31405-2023</t>
        </is>
      </c>
      <c r="B749" s="1" t="n">
        <v>45114.58148148148</v>
      </c>
      <c r="C749" s="1" t="n">
        <v>46176</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6355-2022</t>
        </is>
      </c>
      <c r="B750" s="1" t="n">
        <v>44600</v>
      </c>
      <c r="C750" s="1" t="n">
        <v>46176</v>
      </c>
      <c r="D750" t="inlineStr">
        <is>
          <t>KALMAR LÄN</t>
        </is>
      </c>
      <c r="E750" t="inlineStr">
        <is>
          <t>VIMMERBY</t>
        </is>
      </c>
      <c r="G750" t="n">
        <v>4.9</v>
      </c>
      <c r="H750" t="n">
        <v>0</v>
      </c>
      <c r="I750" t="n">
        <v>0</v>
      </c>
      <c r="J750" t="n">
        <v>0</v>
      </c>
      <c r="K750" t="n">
        <v>0</v>
      </c>
      <c r="L750" t="n">
        <v>0</v>
      </c>
      <c r="M750" t="n">
        <v>0</v>
      </c>
      <c r="N750" t="n">
        <v>0</v>
      </c>
      <c r="O750" t="n">
        <v>0</v>
      </c>
      <c r="P750" t="n">
        <v>0</v>
      </c>
      <c r="Q750" t="n">
        <v>0</v>
      </c>
      <c r="R750" s="2" t="inlineStr"/>
    </row>
    <row r="751" ht="15" customHeight="1">
      <c r="A751" t="inlineStr">
        <is>
          <t>A 46225-2024</t>
        </is>
      </c>
      <c r="B751" s="1" t="n">
        <v>45581.57333333333</v>
      </c>
      <c r="C751" s="1" t="n">
        <v>46176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9418-2024</t>
        </is>
      </c>
      <c r="B752" s="1" t="n">
        <v>45359.45038194444</v>
      </c>
      <c r="C752" s="1" t="n">
        <v>46176</v>
      </c>
      <c r="D752" t="inlineStr">
        <is>
          <t>KALMAR LÄN</t>
        </is>
      </c>
      <c r="E752" t="inlineStr">
        <is>
          <t>VIMMERBY</t>
        </is>
      </c>
      <c r="G752" t="n">
        <v>1.9</v>
      </c>
      <c r="H752" t="n">
        <v>0</v>
      </c>
      <c r="I752" t="n">
        <v>0</v>
      </c>
      <c r="J752" t="n">
        <v>0</v>
      </c>
      <c r="K752" t="n">
        <v>0</v>
      </c>
      <c r="L752" t="n">
        <v>0</v>
      </c>
      <c r="M752" t="n">
        <v>0</v>
      </c>
      <c r="N752" t="n">
        <v>0</v>
      </c>
      <c r="O752" t="n">
        <v>0</v>
      </c>
      <c r="P752" t="n">
        <v>0</v>
      </c>
      <c r="Q752" t="n">
        <v>0</v>
      </c>
      <c r="R752" s="2" t="inlineStr"/>
    </row>
    <row r="753" ht="15" customHeight="1">
      <c r="A753" t="inlineStr">
        <is>
          <t>A 57091-2022</t>
        </is>
      </c>
      <c r="B753" s="1" t="n">
        <v>44895.46524305556</v>
      </c>
      <c r="C753" s="1" t="n">
        <v>46176</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3816-2022</t>
        </is>
      </c>
      <c r="B754" s="1" t="n">
        <v>44587</v>
      </c>
      <c r="C754" s="1" t="n">
        <v>46176</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43606-2024</t>
        </is>
      </c>
      <c r="B755" s="1" t="n">
        <v>45569.45017361111</v>
      </c>
      <c r="C755" s="1" t="n">
        <v>46176</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43617-2024</t>
        </is>
      </c>
      <c r="B756" s="1" t="n">
        <v>45569.47494212963</v>
      </c>
      <c r="C756" s="1" t="n">
        <v>46176</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47859-2024</t>
        </is>
      </c>
      <c r="B757" s="1" t="n">
        <v>45588.67070601852</v>
      </c>
      <c r="C757" s="1" t="n">
        <v>46176</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8540-2024</t>
        </is>
      </c>
      <c r="B758" s="1" t="n">
        <v>45355.54138888889</v>
      </c>
      <c r="C758" s="1" t="n">
        <v>46176</v>
      </c>
      <c r="D758" t="inlineStr">
        <is>
          <t>KALMAR LÄN</t>
        </is>
      </c>
      <c r="E758" t="inlineStr">
        <is>
          <t>VIMMERBY</t>
        </is>
      </c>
      <c r="G758" t="n">
        <v>1.9</v>
      </c>
      <c r="H758" t="n">
        <v>0</v>
      </c>
      <c r="I758" t="n">
        <v>0</v>
      </c>
      <c r="J758" t="n">
        <v>0</v>
      </c>
      <c r="K758" t="n">
        <v>0</v>
      </c>
      <c r="L758" t="n">
        <v>0</v>
      </c>
      <c r="M758" t="n">
        <v>0</v>
      </c>
      <c r="N758" t="n">
        <v>0</v>
      </c>
      <c r="O758" t="n">
        <v>0</v>
      </c>
      <c r="P758" t="n">
        <v>0</v>
      </c>
      <c r="Q758" t="n">
        <v>0</v>
      </c>
      <c r="R758" s="2" t="inlineStr"/>
    </row>
    <row r="759" ht="15" customHeight="1">
      <c r="A759" t="inlineStr">
        <is>
          <t>A 3331-2023</t>
        </is>
      </c>
      <c r="B759" s="1" t="n">
        <v>44949</v>
      </c>
      <c r="C759" s="1" t="n">
        <v>46176</v>
      </c>
      <c r="D759" t="inlineStr">
        <is>
          <t>KALMAR LÄN</t>
        </is>
      </c>
      <c r="E759" t="inlineStr">
        <is>
          <t>VIMMERBY</t>
        </is>
      </c>
      <c r="G759" t="n">
        <v>6.2</v>
      </c>
      <c r="H759" t="n">
        <v>0</v>
      </c>
      <c r="I759" t="n">
        <v>0</v>
      </c>
      <c r="J759" t="n">
        <v>0</v>
      </c>
      <c r="K759" t="n">
        <v>0</v>
      </c>
      <c r="L759" t="n">
        <v>0</v>
      </c>
      <c r="M759" t="n">
        <v>0</v>
      </c>
      <c r="N759" t="n">
        <v>0</v>
      </c>
      <c r="O759" t="n">
        <v>0</v>
      </c>
      <c r="P759" t="n">
        <v>0</v>
      </c>
      <c r="Q759" t="n">
        <v>0</v>
      </c>
      <c r="R759" s="2" t="inlineStr"/>
    </row>
    <row r="760" ht="15" customHeight="1">
      <c r="A760" t="inlineStr">
        <is>
          <t>A 598-2025</t>
        </is>
      </c>
      <c r="B760" s="1" t="n">
        <v>45660</v>
      </c>
      <c r="C760" s="1" t="n">
        <v>46176</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25799-2023</t>
        </is>
      </c>
      <c r="B761" s="1" t="n">
        <v>45090</v>
      </c>
      <c r="C761" s="1" t="n">
        <v>46176</v>
      </c>
      <c r="D761" t="inlineStr">
        <is>
          <t>KALMAR LÄN</t>
        </is>
      </c>
      <c r="E761" t="inlineStr">
        <is>
          <t>VIMMERBY</t>
        </is>
      </c>
      <c r="G761" t="n">
        <v>7.7</v>
      </c>
      <c r="H761" t="n">
        <v>0</v>
      </c>
      <c r="I761" t="n">
        <v>0</v>
      </c>
      <c r="J761" t="n">
        <v>0</v>
      </c>
      <c r="K761" t="n">
        <v>0</v>
      </c>
      <c r="L761" t="n">
        <v>0</v>
      </c>
      <c r="M761" t="n">
        <v>0</v>
      </c>
      <c r="N761" t="n">
        <v>0</v>
      </c>
      <c r="O761" t="n">
        <v>0</v>
      </c>
      <c r="P761" t="n">
        <v>0</v>
      </c>
      <c r="Q761" t="n">
        <v>0</v>
      </c>
      <c r="R761" s="2" t="inlineStr"/>
    </row>
    <row r="762" ht="15" customHeight="1">
      <c r="A762" t="inlineStr">
        <is>
          <t>A 53083-2021</t>
        </is>
      </c>
      <c r="B762" s="1" t="n">
        <v>44467.83386574074</v>
      </c>
      <c r="C762" s="1" t="n">
        <v>46176</v>
      </c>
      <c r="D762" t="inlineStr">
        <is>
          <t>KALMAR LÄN</t>
        </is>
      </c>
      <c r="E762" t="inlineStr">
        <is>
          <t>VIMMERBY</t>
        </is>
      </c>
      <c r="G762" t="n">
        <v>6.8</v>
      </c>
      <c r="H762" t="n">
        <v>0</v>
      </c>
      <c r="I762" t="n">
        <v>0</v>
      </c>
      <c r="J762" t="n">
        <v>0</v>
      </c>
      <c r="K762" t="n">
        <v>0</v>
      </c>
      <c r="L762" t="n">
        <v>0</v>
      </c>
      <c r="M762" t="n">
        <v>0</v>
      </c>
      <c r="N762" t="n">
        <v>0</v>
      </c>
      <c r="O762" t="n">
        <v>0</v>
      </c>
      <c r="P762" t="n">
        <v>0</v>
      </c>
      <c r="Q762" t="n">
        <v>0</v>
      </c>
      <c r="R762" s="2" t="inlineStr"/>
    </row>
    <row r="763" ht="15" customHeight="1">
      <c r="A763" t="inlineStr">
        <is>
          <t>A 33838-2022</t>
        </is>
      </c>
      <c r="B763" s="1" t="n">
        <v>44790.49040509259</v>
      </c>
      <c r="C763" s="1" t="n">
        <v>46176</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32835-2022</t>
        </is>
      </c>
      <c r="B764" s="1" t="n">
        <v>44784.42528935185</v>
      </c>
      <c r="C764" s="1" t="n">
        <v>46176</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1081-2023</t>
        </is>
      </c>
      <c r="B765" s="1" t="n">
        <v>44935</v>
      </c>
      <c r="C765" s="1" t="n">
        <v>46176</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47063-2022</t>
        </is>
      </c>
      <c r="B766" s="1" t="n">
        <v>44852</v>
      </c>
      <c r="C766" s="1" t="n">
        <v>46176</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28403-2023</t>
        </is>
      </c>
      <c r="B767" s="1" t="n">
        <v>45100.85270833333</v>
      </c>
      <c r="C767" s="1" t="n">
        <v>46176</v>
      </c>
      <c r="D767" t="inlineStr">
        <is>
          <t>KALMAR LÄN</t>
        </is>
      </c>
      <c r="E767" t="inlineStr">
        <is>
          <t>VIMMERBY</t>
        </is>
      </c>
      <c r="G767" t="n">
        <v>1.8</v>
      </c>
      <c r="H767" t="n">
        <v>0</v>
      </c>
      <c r="I767" t="n">
        <v>0</v>
      </c>
      <c r="J767" t="n">
        <v>0</v>
      </c>
      <c r="K767" t="n">
        <v>0</v>
      </c>
      <c r="L767" t="n">
        <v>0</v>
      </c>
      <c r="M767" t="n">
        <v>0</v>
      </c>
      <c r="N767" t="n">
        <v>0</v>
      </c>
      <c r="O767" t="n">
        <v>0</v>
      </c>
      <c r="P767" t="n">
        <v>0</v>
      </c>
      <c r="Q767" t="n">
        <v>0</v>
      </c>
      <c r="R767" s="2" t="inlineStr"/>
    </row>
    <row r="768" ht="15" customHeight="1">
      <c r="A768" t="inlineStr">
        <is>
          <t>A 33103-2024</t>
        </is>
      </c>
      <c r="B768" s="1" t="n">
        <v>45517.8162037037</v>
      </c>
      <c r="C768" s="1" t="n">
        <v>46176</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2260-2022</t>
        </is>
      </c>
      <c r="B769" s="1" t="n">
        <v>44578.62943287037</v>
      </c>
      <c r="C769" s="1" t="n">
        <v>46176</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11661-2023</t>
        </is>
      </c>
      <c r="B770" s="1" t="n">
        <v>44994.46908564815</v>
      </c>
      <c r="C770" s="1" t="n">
        <v>46176</v>
      </c>
      <c r="D770" t="inlineStr">
        <is>
          <t>KALMAR LÄN</t>
        </is>
      </c>
      <c r="E770" t="inlineStr">
        <is>
          <t>VIMMERBY</t>
        </is>
      </c>
      <c r="G770" t="n">
        <v>2.7</v>
      </c>
      <c r="H770" t="n">
        <v>0</v>
      </c>
      <c r="I770" t="n">
        <v>0</v>
      </c>
      <c r="J770" t="n">
        <v>0</v>
      </c>
      <c r="K770" t="n">
        <v>0</v>
      </c>
      <c r="L770" t="n">
        <v>0</v>
      </c>
      <c r="M770" t="n">
        <v>0</v>
      </c>
      <c r="N770" t="n">
        <v>0</v>
      </c>
      <c r="O770" t="n">
        <v>0</v>
      </c>
      <c r="P770" t="n">
        <v>0</v>
      </c>
      <c r="Q770" t="n">
        <v>0</v>
      </c>
      <c r="R770" s="2" t="inlineStr"/>
    </row>
    <row r="771" ht="15" customHeight="1">
      <c r="A771" t="inlineStr">
        <is>
          <t>A 58046-2022</t>
        </is>
      </c>
      <c r="B771" s="1" t="n">
        <v>44900.57393518519</v>
      </c>
      <c r="C771" s="1" t="n">
        <v>46176</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45528-2021</t>
        </is>
      </c>
      <c r="B772" s="1" t="n">
        <v>44440.60415509259</v>
      </c>
      <c r="C772" s="1" t="n">
        <v>46176</v>
      </c>
      <c r="D772" t="inlineStr">
        <is>
          <t>KALMAR LÄN</t>
        </is>
      </c>
      <c r="E772" t="inlineStr">
        <is>
          <t>VIMMERBY</t>
        </is>
      </c>
      <c r="G772" t="n">
        <v>2.2</v>
      </c>
      <c r="H772" t="n">
        <v>0</v>
      </c>
      <c r="I772" t="n">
        <v>0</v>
      </c>
      <c r="J772" t="n">
        <v>0</v>
      </c>
      <c r="K772" t="n">
        <v>0</v>
      </c>
      <c r="L772" t="n">
        <v>0</v>
      </c>
      <c r="M772" t="n">
        <v>0</v>
      </c>
      <c r="N772" t="n">
        <v>0</v>
      </c>
      <c r="O772" t="n">
        <v>0</v>
      </c>
      <c r="P772" t="n">
        <v>0</v>
      </c>
      <c r="Q772" t="n">
        <v>0</v>
      </c>
      <c r="R772" s="2" t="inlineStr"/>
    </row>
    <row r="773" ht="15" customHeight="1">
      <c r="A773" t="inlineStr">
        <is>
          <t>A 46979-2023</t>
        </is>
      </c>
      <c r="B773" s="1" t="n">
        <v>45201</v>
      </c>
      <c r="C773" s="1" t="n">
        <v>46176</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46176</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4058-2024</t>
        </is>
      </c>
      <c r="B775" s="1" t="n">
        <v>45323.53744212963</v>
      </c>
      <c r="C775" s="1" t="n">
        <v>46176</v>
      </c>
      <c r="D775" t="inlineStr">
        <is>
          <t>KALMAR LÄN</t>
        </is>
      </c>
      <c r="E775" t="inlineStr">
        <is>
          <t>VIMMERBY</t>
        </is>
      </c>
      <c r="G775" t="n">
        <v>6.5</v>
      </c>
      <c r="H775" t="n">
        <v>0</v>
      </c>
      <c r="I775" t="n">
        <v>0</v>
      </c>
      <c r="J775" t="n">
        <v>0</v>
      </c>
      <c r="K775" t="n">
        <v>0</v>
      </c>
      <c r="L775" t="n">
        <v>0</v>
      </c>
      <c r="M775" t="n">
        <v>0</v>
      </c>
      <c r="N775" t="n">
        <v>0</v>
      </c>
      <c r="O775" t="n">
        <v>0</v>
      </c>
      <c r="P775" t="n">
        <v>0</v>
      </c>
      <c r="Q775" t="n">
        <v>0</v>
      </c>
      <c r="R775" s="2" t="inlineStr"/>
    </row>
    <row r="776" ht="15" customHeight="1">
      <c r="A776" t="inlineStr">
        <is>
          <t>A 1978-2024</t>
        </is>
      </c>
      <c r="B776" s="1" t="n">
        <v>45308.59001157407</v>
      </c>
      <c r="C776" s="1" t="n">
        <v>46176</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30318-2023</t>
        </is>
      </c>
      <c r="B777" s="1" t="n">
        <v>45111.30824074074</v>
      </c>
      <c r="C777" s="1" t="n">
        <v>46176</v>
      </c>
      <c r="D777" t="inlineStr">
        <is>
          <t>KALMAR LÄN</t>
        </is>
      </c>
      <c r="E777" t="inlineStr">
        <is>
          <t>VIMMERBY</t>
        </is>
      </c>
      <c r="G777" t="n">
        <v>2.6</v>
      </c>
      <c r="H777" t="n">
        <v>0</v>
      </c>
      <c r="I777" t="n">
        <v>0</v>
      </c>
      <c r="J777" t="n">
        <v>0</v>
      </c>
      <c r="K777" t="n">
        <v>0</v>
      </c>
      <c r="L777" t="n">
        <v>0</v>
      </c>
      <c r="M777" t="n">
        <v>0</v>
      </c>
      <c r="N777" t="n">
        <v>0</v>
      </c>
      <c r="O777" t="n">
        <v>0</v>
      </c>
      <c r="P777" t="n">
        <v>0</v>
      </c>
      <c r="Q777" t="n">
        <v>0</v>
      </c>
      <c r="R777" s="2" t="inlineStr"/>
    </row>
    <row r="778" ht="15" customHeight="1">
      <c r="A778" t="inlineStr">
        <is>
          <t>A 25234-2023</t>
        </is>
      </c>
      <c r="B778" s="1" t="n">
        <v>45086.63194444445</v>
      </c>
      <c r="C778" s="1" t="n">
        <v>46176</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46078-2023</t>
        </is>
      </c>
      <c r="B779" s="1" t="n">
        <v>45196</v>
      </c>
      <c r="C779" s="1" t="n">
        <v>46176</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3609-2024</t>
        </is>
      </c>
      <c r="B780" s="1" t="n">
        <v>45320.89128472222</v>
      </c>
      <c r="C780" s="1" t="n">
        <v>46176</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10424-2023</t>
        </is>
      </c>
      <c r="B781" s="1" t="n">
        <v>44987.54104166666</v>
      </c>
      <c r="C781" s="1" t="n">
        <v>46176</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49382-2023</t>
        </is>
      </c>
      <c r="B782" s="1" t="n">
        <v>45208</v>
      </c>
      <c r="C782" s="1" t="n">
        <v>46176</v>
      </c>
      <c r="D782" t="inlineStr">
        <is>
          <t>KALMAR LÄN</t>
        </is>
      </c>
      <c r="E782" t="inlineStr">
        <is>
          <t>VIMMERBY</t>
        </is>
      </c>
      <c r="G782" t="n">
        <v>2.2</v>
      </c>
      <c r="H782" t="n">
        <v>0</v>
      </c>
      <c r="I782" t="n">
        <v>0</v>
      </c>
      <c r="J782" t="n">
        <v>0</v>
      </c>
      <c r="K782" t="n">
        <v>0</v>
      </c>
      <c r="L782" t="n">
        <v>0</v>
      </c>
      <c r="M782" t="n">
        <v>0</v>
      </c>
      <c r="N782" t="n">
        <v>0</v>
      </c>
      <c r="O782" t="n">
        <v>0</v>
      </c>
      <c r="P782" t="n">
        <v>0</v>
      </c>
      <c r="Q782" t="n">
        <v>0</v>
      </c>
      <c r="R782" s="2" t="inlineStr"/>
    </row>
    <row r="783" ht="15" customHeight="1">
      <c r="A783" t="inlineStr">
        <is>
          <t>A 12810-2023</t>
        </is>
      </c>
      <c r="B783" s="1" t="n">
        <v>45001.43854166667</v>
      </c>
      <c r="C783" s="1" t="n">
        <v>46176</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3425-2022</t>
        </is>
      </c>
      <c r="B784" s="1" t="n">
        <v>44585.51060185185</v>
      </c>
      <c r="C784" s="1" t="n">
        <v>46176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60675-2023</t>
        </is>
      </c>
      <c r="B785" s="1" t="n">
        <v>45260.4716550926</v>
      </c>
      <c r="C785" s="1" t="n">
        <v>46176</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2536-2023</t>
        </is>
      </c>
      <c r="B786" s="1" t="n">
        <v>44943.62954861111</v>
      </c>
      <c r="C786" s="1" t="n">
        <v>46176</v>
      </c>
      <c r="D786" t="inlineStr">
        <is>
          <t>KALMAR LÄN</t>
        </is>
      </c>
      <c r="E786" t="inlineStr">
        <is>
          <t>VIMMERBY</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11111-2024</t>
        </is>
      </c>
      <c r="B787" s="1" t="n">
        <v>45371.36359953704</v>
      </c>
      <c r="C787" s="1" t="n">
        <v>46176</v>
      </c>
      <c r="D787" t="inlineStr">
        <is>
          <t>KALMAR LÄN</t>
        </is>
      </c>
      <c r="E787" t="inlineStr">
        <is>
          <t>VIMMERBY</t>
        </is>
      </c>
      <c r="G787" t="n">
        <v>1.4</v>
      </c>
      <c r="H787" t="n">
        <v>0</v>
      </c>
      <c r="I787" t="n">
        <v>0</v>
      </c>
      <c r="J787" t="n">
        <v>0</v>
      </c>
      <c r="K787" t="n">
        <v>0</v>
      </c>
      <c r="L787" t="n">
        <v>0</v>
      </c>
      <c r="M787" t="n">
        <v>0</v>
      </c>
      <c r="N787" t="n">
        <v>0</v>
      </c>
      <c r="O787" t="n">
        <v>0</v>
      </c>
      <c r="P787" t="n">
        <v>0</v>
      </c>
      <c r="Q787" t="n">
        <v>0</v>
      </c>
      <c r="R787" s="2" t="inlineStr"/>
    </row>
    <row r="788" ht="15" customHeight="1">
      <c r="A788" t="inlineStr">
        <is>
          <t>A 1687-2023</t>
        </is>
      </c>
      <c r="B788" s="1" t="n">
        <v>44938</v>
      </c>
      <c r="C788" s="1" t="n">
        <v>46176</v>
      </c>
      <c r="D788" t="inlineStr">
        <is>
          <t>KALMAR LÄN</t>
        </is>
      </c>
      <c r="E788" t="inlineStr">
        <is>
          <t>VIMMERBY</t>
        </is>
      </c>
      <c r="F788" t="inlineStr">
        <is>
          <t>Kommuner</t>
        </is>
      </c>
      <c r="G788" t="n">
        <v>2.5</v>
      </c>
      <c r="H788" t="n">
        <v>0</v>
      </c>
      <c r="I788" t="n">
        <v>0</v>
      </c>
      <c r="J788" t="n">
        <v>0</v>
      </c>
      <c r="K788" t="n">
        <v>0</v>
      </c>
      <c r="L788" t="n">
        <v>0</v>
      </c>
      <c r="M788" t="n">
        <v>0</v>
      </c>
      <c r="N788" t="n">
        <v>0</v>
      </c>
      <c r="O788" t="n">
        <v>0</v>
      </c>
      <c r="P788" t="n">
        <v>0</v>
      </c>
      <c r="Q788" t="n">
        <v>0</v>
      </c>
      <c r="R788" s="2" t="inlineStr"/>
    </row>
    <row r="789" ht="15" customHeight="1">
      <c r="A789" t="inlineStr">
        <is>
          <t>A 3494-2023</t>
        </is>
      </c>
      <c r="B789" s="1" t="n">
        <v>44949</v>
      </c>
      <c r="C789" s="1" t="n">
        <v>46176</v>
      </c>
      <c r="D789" t="inlineStr">
        <is>
          <t>KALMAR LÄN</t>
        </is>
      </c>
      <c r="E789" t="inlineStr">
        <is>
          <t>VIMMERBY</t>
        </is>
      </c>
      <c r="F789" t="inlineStr">
        <is>
          <t>Kyrkan</t>
        </is>
      </c>
      <c r="G789" t="n">
        <v>0.8</v>
      </c>
      <c r="H789" t="n">
        <v>0</v>
      </c>
      <c r="I789" t="n">
        <v>0</v>
      </c>
      <c r="J789" t="n">
        <v>0</v>
      </c>
      <c r="K789" t="n">
        <v>0</v>
      </c>
      <c r="L789" t="n">
        <v>0</v>
      </c>
      <c r="M789" t="n">
        <v>0</v>
      </c>
      <c r="N789" t="n">
        <v>0</v>
      </c>
      <c r="O789" t="n">
        <v>0</v>
      </c>
      <c r="P789" t="n">
        <v>0</v>
      </c>
      <c r="Q789" t="n">
        <v>0</v>
      </c>
      <c r="R789" s="2" t="inlineStr"/>
    </row>
    <row r="790" ht="15" customHeight="1">
      <c r="A790" t="inlineStr">
        <is>
          <t>A 15449-2023</t>
        </is>
      </c>
      <c r="B790" s="1" t="n">
        <v>45020</v>
      </c>
      <c r="C790" s="1" t="n">
        <v>46176</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43242-2024</t>
        </is>
      </c>
      <c r="B791" s="1" t="n">
        <v>45568.30189814815</v>
      </c>
      <c r="C791" s="1" t="n">
        <v>46176</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56853-2022</t>
        </is>
      </c>
      <c r="B792" s="1" t="n">
        <v>44894.49538194444</v>
      </c>
      <c r="C792" s="1" t="n">
        <v>46176</v>
      </c>
      <c r="D792" t="inlineStr">
        <is>
          <t>KALMAR LÄN</t>
        </is>
      </c>
      <c r="E792" t="inlineStr">
        <is>
          <t>VIMMERBY</t>
        </is>
      </c>
      <c r="G792" t="n">
        <v>4.3</v>
      </c>
      <c r="H792" t="n">
        <v>0</v>
      </c>
      <c r="I792" t="n">
        <v>0</v>
      </c>
      <c r="J792" t="n">
        <v>0</v>
      </c>
      <c r="K792" t="n">
        <v>0</v>
      </c>
      <c r="L792" t="n">
        <v>0</v>
      </c>
      <c r="M792" t="n">
        <v>0</v>
      </c>
      <c r="N792" t="n">
        <v>0</v>
      </c>
      <c r="O792" t="n">
        <v>0</v>
      </c>
      <c r="P792" t="n">
        <v>0</v>
      </c>
      <c r="Q792" t="n">
        <v>0</v>
      </c>
      <c r="R792" s="2" t="inlineStr"/>
    </row>
    <row r="793" ht="15" customHeight="1">
      <c r="A793" t="inlineStr">
        <is>
          <t>A 33815-2022</t>
        </is>
      </c>
      <c r="B793" s="1" t="n">
        <v>44790.45876157407</v>
      </c>
      <c r="C793" s="1" t="n">
        <v>46176</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33842-2022</t>
        </is>
      </c>
      <c r="B794" s="1" t="n">
        <v>44790.49523148148</v>
      </c>
      <c r="C794" s="1" t="n">
        <v>46176</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49408-2023</t>
        </is>
      </c>
      <c r="B795" s="1" t="n">
        <v>45211.43555555555</v>
      </c>
      <c r="C795" s="1" t="n">
        <v>46176</v>
      </c>
      <c r="D795" t="inlineStr">
        <is>
          <t>KALMAR LÄN</t>
        </is>
      </c>
      <c r="E795" t="inlineStr">
        <is>
          <t>VIMMERBY</t>
        </is>
      </c>
      <c r="G795" t="n">
        <v>13.1</v>
      </c>
      <c r="H795" t="n">
        <v>0</v>
      </c>
      <c r="I795" t="n">
        <v>0</v>
      </c>
      <c r="J795" t="n">
        <v>0</v>
      </c>
      <c r="K795" t="n">
        <v>0</v>
      </c>
      <c r="L795" t="n">
        <v>0</v>
      </c>
      <c r="M795" t="n">
        <v>0</v>
      </c>
      <c r="N795" t="n">
        <v>0</v>
      </c>
      <c r="O795" t="n">
        <v>0</v>
      </c>
      <c r="P795" t="n">
        <v>0</v>
      </c>
      <c r="Q795" t="n">
        <v>0</v>
      </c>
      <c r="R795" s="2" t="inlineStr"/>
    </row>
    <row r="796" ht="15" customHeight="1">
      <c r="A796" t="inlineStr">
        <is>
          <t>A 56536-2022</t>
        </is>
      </c>
      <c r="B796" s="1" t="n">
        <v>44893</v>
      </c>
      <c r="C796" s="1" t="n">
        <v>46176</v>
      </c>
      <c r="D796" t="inlineStr">
        <is>
          <t>KALMAR LÄN</t>
        </is>
      </c>
      <c r="E796" t="inlineStr">
        <is>
          <t>VIMMERBY</t>
        </is>
      </c>
      <c r="G796" t="n">
        <v>3.2</v>
      </c>
      <c r="H796" t="n">
        <v>0</v>
      </c>
      <c r="I796" t="n">
        <v>0</v>
      </c>
      <c r="J796" t="n">
        <v>0</v>
      </c>
      <c r="K796" t="n">
        <v>0</v>
      </c>
      <c r="L796" t="n">
        <v>0</v>
      </c>
      <c r="M796" t="n">
        <v>0</v>
      </c>
      <c r="N796" t="n">
        <v>0</v>
      </c>
      <c r="O796" t="n">
        <v>0</v>
      </c>
      <c r="P796" t="n">
        <v>0</v>
      </c>
      <c r="Q796" t="n">
        <v>0</v>
      </c>
      <c r="R796" s="2" t="inlineStr"/>
    </row>
    <row r="797" ht="15" customHeight="1">
      <c r="A797" t="inlineStr">
        <is>
          <t>A 41199-2023</t>
        </is>
      </c>
      <c r="B797" s="1" t="n">
        <v>45174.40454861111</v>
      </c>
      <c r="C797" s="1" t="n">
        <v>46176</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8945-2025</t>
        </is>
      </c>
      <c r="B798" s="1" t="n">
        <v>45713.45311342592</v>
      </c>
      <c r="C798" s="1" t="n">
        <v>46176</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11619-2023</t>
        </is>
      </c>
      <c r="B799" s="1" t="n">
        <v>44994.42113425926</v>
      </c>
      <c r="C799" s="1" t="n">
        <v>46176</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41896-2023</t>
        </is>
      </c>
      <c r="B800" s="1" t="n">
        <v>45176.72427083334</v>
      </c>
      <c r="C800" s="1" t="n">
        <v>46176</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17926-2025</t>
        </is>
      </c>
      <c r="B801" s="1" t="n">
        <v>45759.38987268518</v>
      </c>
      <c r="C801" s="1" t="n">
        <v>46176</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21028-2023</t>
        </is>
      </c>
      <c r="B802" s="1" t="n">
        <v>45061</v>
      </c>
      <c r="C802" s="1" t="n">
        <v>46176</v>
      </c>
      <c r="D802" t="inlineStr">
        <is>
          <t>KALMAR LÄN</t>
        </is>
      </c>
      <c r="E802" t="inlineStr">
        <is>
          <t>VIMMERBY</t>
        </is>
      </c>
      <c r="F802" t="inlineStr">
        <is>
          <t>Övriga Aktiebolag</t>
        </is>
      </c>
      <c r="G802" t="n">
        <v>0.7</v>
      </c>
      <c r="H802" t="n">
        <v>0</v>
      </c>
      <c r="I802" t="n">
        <v>0</v>
      </c>
      <c r="J802" t="n">
        <v>0</v>
      </c>
      <c r="K802" t="n">
        <v>0</v>
      </c>
      <c r="L802" t="n">
        <v>0</v>
      </c>
      <c r="M802" t="n">
        <v>0</v>
      </c>
      <c r="N802" t="n">
        <v>0</v>
      </c>
      <c r="O802" t="n">
        <v>0</v>
      </c>
      <c r="P802" t="n">
        <v>0</v>
      </c>
      <c r="Q802" t="n">
        <v>0</v>
      </c>
      <c r="R802" s="2" t="inlineStr"/>
    </row>
    <row r="803" ht="15" customHeight="1">
      <c r="A803" t="inlineStr">
        <is>
          <t>A 27122-2023</t>
        </is>
      </c>
      <c r="B803" s="1" t="n">
        <v>45096.45247685185</v>
      </c>
      <c r="C803" s="1" t="n">
        <v>46176</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13813-2024</t>
        </is>
      </c>
      <c r="B804" s="1" t="n">
        <v>45391.41310185185</v>
      </c>
      <c r="C804" s="1" t="n">
        <v>46176</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38969-2023</t>
        </is>
      </c>
      <c r="B805" s="1" t="n">
        <v>45163.63621527778</v>
      </c>
      <c r="C805" s="1" t="n">
        <v>46176</v>
      </c>
      <c r="D805" t="inlineStr">
        <is>
          <t>KALMAR LÄN</t>
        </is>
      </c>
      <c r="E805" t="inlineStr">
        <is>
          <t>VIMMERBY</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26937-2023</t>
        </is>
      </c>
      <c r="B806" s="1" t="n">
        <v>45093.62777777778</v>
      </c>
      <c r="C806" s="1" t="n">
        <v>46176</v>
      </c>
      <c r="D806" t="inlineStr">
        <is>
          <t>KALMAR LÄN</t>
        </is>
      </c>
      <c r="E806" t="inlineStr">
        <is>
          <t>VIMMERBY</t>
        </is>
      </c>
      <c r="F806" t="inlineStr">
        <is>
          <t>Sveaskog</t>
        </is>
      </c>
      <c r="G806" t="n">
        <v>14.5</v>
      </c>
      <c r="H806" t="n">
        <v>0</v>
      </c>
      <c r="I806" t="n">
        <v>0</v>
      </c>
      <c r="J806" t="n">
        <v>0</v>
      </c>
      <c r="K806" t="n">
        <v>0</v>
      </c>
      <c r="L806" t="n">
        <v>0</v>
      </c>
      <c r="M806" t="n">
        <v>0</v>
      </c>
      <c r="N806" t="n">
        <v>0</v>
      </c>
      <c r="O806" t="n">
        <v>0</v>
      </c>
      <c r="P806" t="n">
        <v>0</v>
      </c>
      <c r="Q806" t="n">
        <v>0</v>
      </c>
      <c r="R806" s="2" t="inlineStr"/>
    </row>
    <row r="807" ht="15" customHeight="1">
      <c r="A807" t="inlineStr">
        <is>
          <t>A 57486-2024</t>
        </is>
      </c>
      <c r="B807" s="1" t="n">
        <v>45630.35827546296</v>
      </c>
      <c r="C807" s="1" t="n">
        <v>46176</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43186-2021</t>
        </is>
      </c>
      <c r="B808" s="1" t="n">
        <v>44431.84840277778</v>
      </c>
      <c r="C808" s="1" t="n">
        <v>46176</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1799-2025</t>
        </is>
      </c>
      <c r="B809" s="1" t="n">
        <v>45671.46746527778</v>
      </c>
      <c r="C809" s="1" t="n">
        <v>46176</v>
      </c>
      <c r="D809" t="inlineStr">
        <is>
          <t>KALMAR LÄN</t>
        </is>
      </c>
      <c r="E809" t="inlineStr">
        <is>
          <t>VIMMERBY</t>
        </is>
      </c>
      <c r="G809" t="n">
        <v>3.3</v>
      </c>
      <c r="H809" t="n">
        <v>0</v>
      </c>
      <c r="I809" t="n">
        <v>0</v>
      </c>
      <c r="J809" t="n">
        <v>0</v>
      </c>
      <c r="K809" t="n">
        <v>0</v>
      </c>
      <c r="L809" t="n">
        <v>0</v>
      </c>
      <c r="M809" t="n">
        <v>0</v>
      </c>
      <c r="N809" t="n">
        <v>0</v>
      </c>
      <c r="O809" t="n">
        <v>0</v>
      </c>
      <c r="P809" t="n">
        <v>0</v>
      </c>
      <c r="Q809" t="n">
        <v>0</v>
      </c>
      <c r="R809" s="2" t="inlineStr"/>
    </row>
    <row r="810" ht="15" customHeight="1">
      <c r="A810" t="inlineStr">
        <is>
          <t>A 30063-2023</t>
        </is>
      </c>
      <c r="B810" s="1" t="n">
        <v>45110.4184375</v>
      </c>
      <c r="C810" s="1" t="n">
        <v>46176</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43068-2023</t>
        </is>
      </c>
      <c r="B811" s="1" t="n">
        <v>45182.78834490741</v>
      </c>
      <c r="C811" s="1" t="n">
        <v>46176</v>
      </c>
      <c r="D811" t="inlineStr">
        <is>
          <t>KALMAR LÄN</t>
        </is>
      </c>
      <c r="E811" t="inlineStr">
        <is>
          <t>VIMMERBY</t>
        </is>
      </c>
      <c r="G811" t="n">
        <v>1.5</v>
      </c>
      <c r="H811" t="n">
        <v>0</v>
      </c>
      <c r="I811" t="n">
        <v>0</v>
      </c>
      <c r="J811" t="n">
        <v>0</v>
      </c>
      <c r="K811" t="n">
        <v>0</v>
      </c>
      <c r="L811" t="n">
        <v>0</v>
      </c>
      <c r="M811" t="n">
        <v>0</v>
      </c>
      <c r="N811" t="n">
        <v>0</v>
      </c>
      <c r="O811" t="n">
        <v>0</v>
      </c>
      <c r="P811" t="n">
        <v>0</v>
      </c>
      <c r="Q811" t="n">
        <v>0</v>
      </c>
      <c r="R811" s="2" t="inlineStr"/>
    </row>
    <row r="812" ht="15" customHeight="1">
      <c r="A812" t="inlineStr">
        <is>
          <t>A 18020-2025</t>
        </is>
      </c>
      <c r="B812" s="1" t="n">
        <v>45761.4437962963</v>
      </c>
      <c r="C812" s="1" t="n">
        <v>46176</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33424-2023</t>
        </is>
      </c>
      <c r="B813" s="1" t="n">
        <v>45128.9325</v>
      </c>
      <c r="C813" s="1" t="n">
        <v>46176</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33425-2023</t>
        </is>
      </c>
      <c r="B814" s="1" t="n">
        <v>45128.93540509259</v>
      </c>
      <c r="C814" s="1" t="n">
        <v>46176</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44999.36081018519</v>
      </c>
      <c r="C815" s="1" t="n">
        <v>46176</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43092-2024</t>
        </is>
      </c>
      <c r="B816" s="1" t="n">
        <v>45567</v>
      </c>
      <c r="C816" s="1" t="n">
        <v>46176</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52435-2021</t>
        </is>
      </c>
      <c r="B817" s="1" t="n">
        <v>44466.34962962963</v>
      </c>
      <c r="C817" s="1" t="n">
        <v>46176</v>
      </c>
      <c r="D817" t="inlineStr">
        <is>
          <t>KALMAR LÄN</t>
        </is>
      </c>
      <c r="E817" t="inlineStr">
        <is>
          <t>VIMMERBY</t>
        </is>
      </c>
      <c r="G817" t="n">
        <v>2.8</v>
      </c>
      <c r="H817" t="n">
        <v>0</v>
      </c>
      <c r="I817" t="n">
        <v>0</v>
      </c>
      <c r="J817" t="n">
        <v>0</v>
      </c>
      <c r="K817" t="n">
        <v>0</v>
      </c>
      <c r="L817" t="n">
        <v>0</v>
      </c>
      <c r="M817" t="n">
        <v>0</v>
      </c>
      <c r="N817" t="n">
        <v>0</v>
      </c>
      <c r="O817" t="n">
        <v>0</v>
      </c>
      <c r="P817" t="n">
        <v>0</v>
      </c>
      <c r="Q817" t="n">
        <v>0</v>
      </c>
      <c r="R817" s="2" t="inlineStr"/>
    </row>
    <row r="818" ht="15" customHeight="1">
      <c r="A818" t="inlineStr">
        <is>
          <t>A 35127-2024</t>
        </is>
      </c>
      <c r="B818" s="1" t="n">
        <v>45530.33202546297</v>
      </c>
      <c r="C818" s="1" t="n">
        <v>46176</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60215-2022</t>
        </is>
      </c>
      <c r="B819" s="1" t="n">
        <v>44910.41346064815</v>
      </c>
      <c r="C819" s="1" t="n">
        <v>46176</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29441-2024</t>
        </is>
      </c>
      <c r="B820" s="1" t="n">
        <v>45483.82834490741</v>
      </c>
      <c r="C820" s="1" t="n">
        <v>46176</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6216-2025</t>
        </is>
      </c>
      <c r="B821" s="1" t="n">
        <v>45698.52806712963</v>
      </c>
      <c r="C821" s="1" t="n">
        <v>46176</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62779-2023</t>
        </is>
      </c>
      <c r="B822" s="1" t="n">
        <v>45271.66576388889</v>
      </c>
      <c r="C822" s="1" t="n">
        <v>46176</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52294-2023</t>
        </is>
      </c>
      <c r="B823" s="1" t="n">
        <v>45224.60075231481</v>
      </c>
      <c r="C823" s="1" t="n">
        <v>46176</v>
      </c>
      <c r="D823" t="inlineStr">
        <is>
          <t>KALMAR LÄN</t>
        </is>
      </c>
      <c r="E823" t="inlineStr">
        <is>
          <t>VIMMERBY</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31013-2023</t>
        </is>
      </c>
      <c r="B824" s="1" t="n">
        <v>45113.56574074074</v>
      </c>
      <c r="C824" s="1" t="n">
        <v>46176</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72067-2021</t>
        </is>
      </c>
      <c r="B825" s="1" t="n">
        <v>44540</v>
      </c>
      <c r="C825" s="1" t="n">
        <v>46176</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61538-2022</t>
        </is>
      </c>
      <c r="B826" s="1" t="n">
        <v>44916.55414351852</v>
      </c>
      <c r="C826" s="1" t="n">
        <v>46176</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36155-2023</t>
        </is>
      </c>
      <c r="B827" s="1" t="n">
        <v>45149.60917824074</v>
      </c>
      <c r="C827" s="1" t="n">
        <v>46176</v>
      </c>
      <c r="D827" t="inlineStr">
        <is>
          <t>KALMAR LÄN</t>
        </is>
      </c>
      <c r="E827" t="inlineStr">
        <is>
          <t>VIMMERBY</t>
        </is>
      </c>
      <c r="G827" t="n">
        <v>5</v>
      </c>
      <c r="H827" t="n">
        <v>0</v>
      </c>
      <c r="I827" t="n">
        <v>0</v>
      </c>
      <c r="J827" t="n">
        <v>0</v>
      </c>
      <c r="K827" t="n">
        <v>0</v>
      </c>
      <c r="L827" t="n">
        <v>0</v>
      </c>
      <c r="M827" t="n">
        <v>0</v>
      </c>
      <c r="N827" t="n">
        <v>0</v>
      </c>
      <c r="O827" t="n">
        <v>0</v>
      </c>
      <c r="P827" t="n">
        <v>0</v>
      </c>
      <c r="Q827" t="n">
        <v>0</v>
      </c>
      <c r="R827" s="2" t="inlineStr"/>
    </row>
    <row r="828" ht="15" customHeight="1">
      <c r="A828" t="inlineStr">
        <is>
          <t>A 29173-2024</t>
        </is>
      </c>
      <c r="B828" s="1" t="n">
        <v>45482.52887731481</v>
      </c>
      <c r="C828" s="1" t="n">
        <v>46176</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53542-2022</t>
        </is>
      </c>
      <c r="B829" s="1" t="n">
        <v>44879.62173611111</v>
      </c>
      <c r="C829" s="1" t="n">
        <v>46176</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6807-2025</t>
        </is>
      </c>
      <c r="B830" s="1" t="n">
        <v>45700.68672453704</v>
      </c>
      <c r="C830" s="1" t="n">
        <v>46176</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7047-2022</t>
        </is>
      </c>
      <c r="B831" s="1" t="n">
        <v>44603</v>
      </c>
      <c r="C831" s="1" t="n">
        <v>46176</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35711-2023</t>
        </is>
      </c>
      <c r="B832" s="1" t="n">
        <v>45147.67172453704</v>
      </c>
      <c r="C832" s="1" t="n">
        <v>46176</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5382-2023</t>
        </is>
      </c>
      <c r="B833" s="1" t="n">
        <v>44959.66407407408</v>
      </c>
      <c r="C833" s="1" t="n">
        <v>46176</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40823-2023</t>
        </is>
      </c>
      <c r="B834" s="1" t="n">
        <v>45171.77335648148</v>
      </c>
      <c r="C834" s="1" t="n">
        <v>46176</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6218-2025</t>
        </is>
      </c>
      <c r="B835" s="1" t="n">
        <v>45698.53336805556</v>
      </c>
      <c r="C835" s="1" t="n">
        <v>46176</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30920-2023</t>
        </is>
      </c>
      <c r="B836" s="1" t="n">
        <v>45113.43921296296</v>
      </c>
      <c r="C836" s="1" t="n">
        <v>46176</v>
      </c>
      <c r="D836" t="inlineStr">
        <is>
          <t>KALMAR LÄN</t>
        </is>
      </c>
      <c r="E836" t="inlineStr">
        <is>
          <t>VIMMERBY</t>
        </is>
      </c>
      <c r="G836" t="n">
        <v>3.1</v>
      </c>
      <c r="H836" t="n">
        <v>0</v>
      </c>
      <c r="I836" t="n">
        <v>0</v>
      </c>
      <c r="J836" t="n">
        <v>0</v>
      </c>
      <c r="K836" t="n">
        <v>0</v>
      </c>
      <c r="L836" t="n">
        <v>0</v>
      </c>
      <c r="M836" t="n">
        <v>0</v>
      </c>
      <c r="N836" t="n">
        <v>0</v>
      </c>
      <c r="O836" t="n">
        <v>0</v>
      </c>
      <c r="P836" t="n">
        <v>0</v>
      </c>
      <c r="Q836" t="n">
        <v>0</v>
      </c>
      <c r="R836" s="2" t="inlineStr"/>
    </row>
    <row r="837" ht="15" customHeight="1">
      <c r="A837" t="inlineStr">
        <is>
          <t>A 6857-2023</t>
        </is>
      </c>
      <c r="B837" s="1" t="n">
        <v>44967.45122685185</v>
      </c>
      <c r="C837" s="1" t="n">
        <v>46176</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46176</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10303-2025</t>
        </is>
      </c>
      <c r="B839" s="1" t="n">
        <v>45720.44217592593</v>
      </c>
      <c r="C839" s="1" t="n">
        <v>46176</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60110-2022</t>
        </is>
      </c>
      <c r="B840" s="1" t="n">
        <v>44909</v>
      </c>
      <c r="C840" s="1" t="n">
        <v>46176</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15394-2025</t>
        </is>
      </c>
      <c r="B841" s="1" t="n">
        <v>45747.43196759259</v>
      </c>
      <c r="C841" s="1" t="n">
        <v>46176</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15388-2025</t>
        </is>
      </c>
      <c r="B842" s="1" t="n">
        <v>45747.42633101852</v>
      </c>
      <c r="C842" s="1" t="n">
        <v>46176</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15391-2025</t>
        </is>
      </c>
      <c r="B843" s="1" t="n">
        <v>45747.42958333333</v>
      </c>
      <c r="C843" s="1" t="n">
        <v>46176</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6474-2025</t>
        </is>
      </c>
      <c r="B844" s="1" t="n">
        <v>45699.60055555555</v>
      </c>
      <c r="C844" s="1" t="n">
        <v>46176</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32919-2022</t>
        </is>
      </c>
      <c r="B845" s="1" t="n">
        <v>44784.62724537037</v>
      </c>
      <c r="C845" s="1" t="n">
        <v>46176</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56659-2023</t>
        </is>
      </c>
      <c r="B846" s="1" t="n">
        <v>45243.84869212963</v>
      </c>
      <c r="C846" s="1" t="n">
        <v>46176</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13015-2022</t>
        </is>
      </c>
      <c r="B847" s="1" t="n">
        <v>44643</v>
      </c>
      <c r="C847" s="1" t="n">
        <v>46176</v>
      </c>
      <c r="D847" t="inlineStr">
        <is>
          <t>KALMAR LÄN</t>
        </is>
      </c>
      <c r="E847" t="inlineStr">
        <is>
          <t>VIMMERBY</t>
        </is>
      </c>
      <c r="G847" t="n">
        <v>2.4</v>
      </c>
      <c r="H847" t="n">
        <v>0</v>
      </c>
      <c r="I847" t="n">
        <v>0</v>
      </c>
      <c r="J847" t="n">
        <v>0</v>
      </c>
      <c r="K847" t="n">
        <v>0</v>
      </c>
      <c r="L847" t="n">
        <v>0</v>
      </c>
      <c r="M847" t="n">
        <v>0</v>
      </c>
      <c r="N847" t="n">
        <v>0</v>
      </c>
      <c r="O847" t="n">
        <v>0</v>
      </c>
      <c r="P847" t="n">
        <v>0</v>
      </c>
      <c r="Q847" t="n">
        <v>0</v>
      </c>
      <c r="R847" s="2" t="inlineStr"/>
    </row>
    <row r="848" ht="15" customHeight="1">
      <c r="A848" t="inlineStr">
        <is>
          <t>A 17968-2025</t>
        </is>
      </c>
      <c r="B848" s="1" t="n">
        <v>45761.35990740741</v>
      </c>
      <c r="C848" s="1" t="n">
        <v>46176</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6028-2023</t>
        </is>
      </c>
      <c r="B849" s="1" t="n">
        <v>44964.44356481481</v>
      </c>
      <c r="C849" s="1" t="n">
        <v>46176</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55436-2023</t>
        </is>
      </c>
      <c r="B850" s="1" t="n">
        <v>45238.4328587963</v>
      </c>
      <c r="C850" s="1" t="n">
        <v>46176</v>
      </c>
      <c r="D850" t="inlineStr">
        <is>
          <t>KALMAR LÄN</t>
        </is>
      </c>
      <c r="E850" t="inlineStr">
        <is>
          <t>VIMMERBY</t>
        </is>
      </c>
      <c r="G850" t="n">
        <v>5.6</v>
      </c>
      <c r="H850" t="n">
        <v>0</v>
      </c>
      <c r="I850" t="n">
        <v>0</v>
      </c>
      <c r="J850" t="n">
        <v>0</v>
      </c>
      <c r="K850" t="n">
        <v>0</v>
      </c>
      <c r="L850" t="n">
        <v>0</v>
      </c>
      <c r="M850" t="n">
        <v>0</v>
      </c>
      <c r="N850" t="n">
        <v>0</v>
      </c>
      <c r="O850" t="n">
        <v>0</v>
      </c>
      <c r="P850" t="n">
        <v>0</v>
      </c>
      <c r="Q850" t="n">
        <v>0</v>
      </c>
      <c r="R850" s="2" t="inlineStr"/>
    </row>
    <row r="851" ht="15" customHeight="1">
      <c r="A851" t="inlineStr">
        <is>
          <t>A 56582-2022</t>
        </is>
      </c>
      <c r="B851" s="1" t="n">
        <v>44893</v>
      </c>
      <c r="C851" s="1" t="n">
        <v>46176</v>
      </c>
      <c r="D851" t="inlineStr">
        <is>
          <t>KALMAR LÄN</t>
        </is>
      </c>
      <c r="E851" t="inlineStr">
        <is>
          <t>VIMMERBY</t>
        </is>
      </c>
      <c r="G851" t="n">
        <v>2.2</v>
      </c>
      <c r="H851" t="n">
        <v>0</v>
      </c>
      <c r="I851" t="n">
        <v>0</v>
      </c>
      <c r="J851" t="n">
        <v>0</v>
      </c>
      <c r="K851" t="n">
        <v>0</v>
      </c>
      <c r="L851" t="n">
        <v>0</v>
      </c>
      <c r="M851" t="n">
        <v>0</v>
      </c>
      <c r="N851" t="n">
        <v>0</v>
      </c>
      <c r="O851" t="n">
        <v>0</v>
      </c>
      <c r="P851" t="n">
        <v>0</v>
      </c>
      <c r="Q851" t="n">
        <v>0</v>
      </c>
      <c r="R851" s="2" t="inlineStr"/>
    </row>
    <row r="852" ht="15" customHeight="1">
      <c r="A852" t="inlineStr">
        <is>
          <t>A 20-2025</t>
        </is>
      </c>
      <c r="B852" s="1" t="n">
        <v>45658.80232638889</v>
      </c>
      <c r="C852" s="1" t="n">
        <v>46176</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23-2025</t>
        </is>
      </c>
      <c r="B853" s="1" t="n">
        <v>45658.80827546296</v>
      </c>
      <c r="C853" s="1" t="n">
        <v>46176</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43962-2024</t>
        </is>
      </c>
      <c r="B854" s="1" t="n">
        <v>45572.48293981481</v>
      </c>
      <c r="C854" s="1" t="n">
        <v>46176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35713-2023</t>
        </is>
      </c>
      <c r="B855" s="1" t="n">
        <v>45147</v>
      </c>
      <c r="C855" s="1" t="n">
        <v>46176</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40147-2023</t>
        </is>
      </c>
      <c r="B856" s="1" t="n">
        <v>45169</v>
      </c>
      <c r="C856" s="1" t="n">
        <v>46176</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50995-2022</t>
        </is>
      </c>
      <c r="B857" s="1" t="n">
        <v>44867</v>
      </c>
      <c r="C857" s="1" t="n">
        <v>46176</v>
      </c>
      <c r="D857" t="inlineStr">
        <is>
          <t>KALMAR LÄN</t>
        </is>
      </c>
      <c r="E857" t="inlineStr">
        <is>
          <t>VIMMERBY</t>
        </is>
      </c>
      <c r="G857" t="n">
        <v>2.4</v>
      </c>
      <c r="H857" t="n">
        <v>0</v>
      </c>
      <c r="I857" t="n">
        <v>0</v>
      </c>
      <c r="J857" t="n">
        <v>0</v>
      </c>
      <c r="K857" t="n">
        <v>0</v>
      </c>
      <c r="L857" t="n">
        <v>0</v>
      </c>
      <c r="M857" t="n">
        <v>0</v>
      </c>
      <c r="N857" t="n">
        <v>0</v>
      </c>
      <c r="O857" t="n">
        <v>0</v>
      </c>
      <c r="P857" t="n">
        <v>0</v>
      </c>
      <c r="Q857" t="n">
        <v>0</v>
      </c>
      <c r="R857" s="2" t="inlineStr"/>
    </row>
    <row r="858" ht="15" customHeight="1">
      <c r="A858" t="inlineStr">
        <is>
          <t>A 27993-2022</t>
        </is>
      </c>
      <c r="B858" s="1" t="n">
        <v>44745.84396990741</v>
      </c>
      <c r="C858" s="1" t="n">
        <v>46176</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57555-2024</t>
        </is>
      </c>
      <c r="B859" s="1" t="n">
        <v>45630.45069444444</v>
      </c>
      <c r="C859" s="1" t="n">
        <v>46176</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36014-2024</t>
        </is>
      </c>
      <c r="B860" s="1" t="n">
        <v>45533.56108796296</v>
      </c>
      <c r="C860" s="1" t="n">
        <v>46176</v>
      </c>
      <c r="D860" t="inlineStr">
        <is>
          <t>KALMAR LÄN</t>
        </is>
      </c>
      <c r="E860" t="inlineStr">
        <is>
          <t>VIMMERBY</t>
        </is>
      </c>
      <c r="G860" t="n">
        <v>2.3</v>
      </c>
      <c r="H860" t="n">
        <v>0</v>
      </c>
      <c r="I860" t="n">
        <v>0</v>
      </c>
      <c r="J860" t="n">
        <v>0</v>
      </c>
      <c r="K860" t="n">
        <v>0</v>
      </c>
      <c r="L860" t="n">
        <v>0</v>
      </c>
      <c r="M860" t="n">
        <v>0</v>
      </c>
      <c r="N860" t="n">
        <v>0</v>
      </c>
      <c r="O860" t="n">
        <v>0</v>
      </c>
      <c r="P860" t="n">
        <v>0</v>
      </c>
      <c r="Q860" t="n">
        <v>0</v>
      </c>
      <c r="R860" s="2" t="inlineStr"/>
    </row>
    <row r="861" ht="15" customHeight="1">
      <c r="A861" t="inlineStr">
        <is>
          <t>A 36030-2024</t>
        </is>
      </c>
      <c r="B861" s="1" t="n">
        <v>45533.58302083334</v>
      </c>
      <c r="C861" s="1" t="n">
        <v>46176</v>
      </c>
      <c r="D861" t="inlineStr">
        <is>
          <t>KALMAR LÄN</t>
        </is>
      </c>
      <c r="E861" t="inlineStr">
        <is>
          <t>VIMMERBY</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32865-2023</t>
        </is>
      </c>
      <c r="B862" s="1" t="n">
        <v>45124</v>
      </c>
      <c r="C862" s="1" t="n">
        <v>46176</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42918-2021</t>
        </is>
      </c>
      <c r="B863" s="1" t="n">
        <v>44431</v>
      </c>
      <c r="C863" s="1" t="n">
        <v>46176</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22643-2023</t>
        </is>
      </c>
      <c r="B864" s="1" t="n">
        <v>45071</v>
      </c>
      <c r="C864" s="1" t="n">
        <v>46176</v>
      </c>
      <c r="D864" t="inlineStr">
        <is>
          <t>KALMAR LÄN</t>
        </is>
      </c>
      <c r="E864" t="inlineStr">
        <is>
          <t>VIMMERBY</t>
        </is>
      </c>
      <c r="G864" t="n">
        <v>3.9</v>
      </c>
      <c r="H864" t="n">
        <v>0</v>
      </c>
      <c r="I864" t="n">
        <v>0</v>
      </c>
      <c r="J864" t="n">
        <v>0</v>
      </c>
      <c r="K864" t="n">
        <v>0</v>
      </c>
      <c r="L864" t="n">
        <v>0</v>
      </c>
      <c r="M864" t="n">
        <v>0</v>
      </c>
      <c r="N864" t="n">
        <v>0</v>
      </c>
      <c r="O864" t="n">
        <v>0</v>
      </c>
      <c r="P864" t="n">
        <v>0</v>
      </c>
      <c r="Q864" t="n">
        <v>0</v>
      </c>
      <c r="R864" s="2" t="inlineStr"/>
    </row>
    <row r="865" ht="15" customHeight="1">
      <c r="A865" t="inlineStr">
        <is>
          <t>A 18669-2025</t>
        </is>
      </c>
      <c r="B865" s="1" t="n">
        <v>45763.59436342592</v>
      </c>
      <c r="C865" s="1" t="n">
        <v>46176</v>
      </c>
      <c r="D865" t="inlineStr">
        <is>
          <t>KALMAR LÄN</t>
        </is>
      </c>
      <c r="E865" t="inlineStr">
        <is>
          <t>VIMMERBY</t>
        </is>
      </c>
      <c r="G865" t="n">
        <v>2.7</v>
      </c>
      <c r="H865" t="n">
        <v>0</v>
      </c>
      <c r="I865" t="n">
        <v>0</v>
      </c>
      <c r="J865" t="n">
        <v>0</v>
      </c>
      <c r="K865" t="n">
        <v>0</v>
      </c>
      <c r="L865" t="n">
        <v>0</v>
      </c>
      <c r="M865" t="n">
        <v>0</v>
      </c>
      <c r="N865" t="n">
        <v>0</v>
      </c>
      <c r="O865" t="n">
        <v>0</v>
      </c>
      <c r="P865" t="n">
        <v>0</v>
      </c>
      <c r="Q865" t="n">
        <v>0</v>
      </c>
      <c r="R865" s="2" t="inlineStr"/>
    </row>
    <row r="866" ht="15" customHeight="1">
      <c r="A866" t="inlineStr">
        <is>
          <t>A 38780-2021</t>
        </is>
      </c>
      <c r="B866" s="1" t="n">
        <v>44410</v>
      </c>
      <c r="C866" s="1" t="n">
        <v>46176</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29020-2024</t>
        </is>
      </c>
      <c r="B867" s="1" t="n">
        <v>45481.58048611111</v>
      </c>
      <c r="C867" s="1" t="n">
        <v>46176</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30406-2023</t>
        </is>
      </c>
      <c r="B868" s="1" t="n">
        <v>45111.48787037037</v>
      </c>
      <c r="C868" s="1" t="n">
        <v>46176</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13817-2024</t>
        </is>
      </c>
      <c r="B869" s="1" t="n">
        <v>45391.41976851852</v>
      </c>
      <c r="C869" s="1" t="n">
        <v>46176</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22399-2025</t>
        </is>
      </c>
      <c r="B870" s="1" t="n">
        <v>45786.52996527778</v>
      </c>
      <c r="C870" s="1" t="n">
        <v>46176</v>
      </c>
      <c r="D870" t="inlineStr">
        <is>
          <t>KALMAR LÄN</t>
        </is>
      </c>
      <c r="E870" t="inlineStr">
        <is>
          <t>VIMMERBY</t>
        </is>
      </c>
      <c r="G870" t="n">
        <v>2.1</v>
      </c>
      <c r="H870" t="n">
        <v>0</v>
      </c>
      <c r="I870" t="n">
        <v>0</v>
      </c>
      <c r="J870" t="n">
        <v>0</v>
      </c>
      <c r="K870" t="n">
        <v>0</v>
      </c>
      <c r="L870" t="n">
        <v>0</v>
      </c>
      <c r="M870" t="n">
        <v>0</v>
      </c>
      <c r="N870" t="n">
        <v>0</v>
      </c>
      <c r="O870" t="n">
        <v>0</v>
      </c>
      <c r="P870" t="n">
        <v>0</v>
      </c>
      <c r="Q870" t="n">
        <v>0</v>
      </c>
      <c r="R870" s="2" t="inlineStr"/>
    </row>
    <row r="871" ht="15" customHeight="1">
      <c r="A871" t="inlineStr">
        <is>
          <t>A 22397-2025</t>
        </is>
      </c>
      <c r="B871" s="1" t="n">
        <v>45786.52878472222</v>
      </c>
      <c r="C871" s="1" t="n">
        <v>46176</v>
      </c>
      <c r="D871" t="inlineStr">
        <is>
          <t>KALMAR LÄN</t>
        </is>
      </c>
      <c r="E871" t="inlineStr">
        <is>
          <t>VIMMERBY</t>
        </is>
      </c>
      <c r="G871" t="n">
        <v>0.8</v>
      </c>
      <c r="H871" t="n">
        <v>0</v>
      </c>
      <c r="I871" t="n">
        <v>0</v>
      </c>
      <c r="J871" t="n">
        <v>0</v>
      </c>
      <c r="K871" t="n">
        <v>0</v>
      </c>
      <c r="L871" t="n">
        <v>0</v>
      </c>
      <c r="M871" t="n">
        <v>0</v>
      </c>
      <c r="N871" t="n">
        <v>0</v>
      </c>
      <c r="O871" t="n">
        <v>0</v>
      </c>
      <c r="P871" t="n">
        <v>0</v>
      </c>
      <c r="Q871" t="n">
        <v>0</v>
      </c>
      <c r="R871" s="2" t="inlineStr"/>
    </row>
    <row r="872" ht="15" customHeight="1">
      <c r="A872" t="inlineStr">
        <is>
          <t>A 25582-2024</t>
        </is>
      </c>
      <c r="B872" s="1" t="n">
        <v>45463</v>
      </c>
      <c r="C872" s="1" t="n">
        <v>46176</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57578-2024</t>
        </is>
      </c>
      <c r="B873" s="1" t="n">
        <v>45630.47564814815</v>
      </c>
      <c r="C873" s="1" t="n">
        <v>46176</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6307-2025</t>
        </is>
      </c>
      <c r="B874" s="1" t="n">
        <v>45698.69016203703</v>
      </c>
      <c r="C874" s="1" t="n">
        <v>46176</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11442-2025</t>
        </is>
      </c>
      <c r="B875" s="1" t="n">
        <v>45726.62721064815</v>
      </c>
      <c r="C875" s="1" t="n">
        <v>46176</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23394-2025</t>
        </is>
      </c>
      <c r="B876" s="1" t="n">
        <v>45791.89865740741</v>
      </c>
      <c r="C876" s="1" t="n">
        <v>46176</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23984-2025</t>
        </is>
      </c>
      <c r="B877" s="1" t="n">
        <v>45796</v>
      </c>
      <c r="C877" s="1" t="n">
        <v>46176</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35082-2024</t>
        </is>
      </c>
      <c r="B878" s="1" t="n">
        <v>45527.68784722222</v>
      </c>
      <c r="C878" s="1" t="n">
        <v>46176</v>
      </c>
      <c r="D878" t="inlineStr">
        <is>
          <t>KALMAR LÄN</t>
        </is>
      </c>
      <c r="E878" t="inlineStr">
        <is>
          <t>VIMMERBY</t>
        </is>
      </c>
      <c r="G878" t="n">
        <v>0.8</v>
      </c>
      <c r="H878" t="n">
        <v>0</v>
      </c>
      <c r="I878" t="n">
        <v>0</v>
      </c>
      <c r="J878" t="n">
        <v>0</v>
      </c>
      <c r="K878" t="n">
        <v>0</v>
      </c>
      <c r="L878" t="n">
        <v>0</v>
      </c>
      <c r="M878" t="n">
        <v>0</v>
      </c>
      <c r="N878" t="n">
        <v>0</v>
      </c>
      <c r="O878" t="n">
        <v>0</v>
      </c>
      <c r="P878" t="n">
        <v>0</v>
      </c>
      <c r="Q878" t="n">
        <v>0</v>
      </c>
      <c r="R878" s="2" t="inlineStr"/>
    </row>
    <row r="879" ht="15" customHeight="1">
      <c r="A879" t="inlineStr">
        <is>
          <t>A 51278-2024</t>
        </is>
      </c>
      <c r="B879" s="1" t="n">
        <v>45603.74959490741</v>
      </c>
      <c r="C879" s="1" t="n">
        <v>46176</v>
      </c>
      <c r="D879" t="inlineStr">
        <is>
          <t>KALMAR LÄN</t>
        </is>
      </c>
      <c r="E879" t="inlineStr">
        <is>
          <t>VIMMERBY</t>
        </is>
      </c>
      <c r="G879" t="n">
        <v>3.4</v>
      </c>
      <c r="H879" t="n">
        <v>0</v>
      </c>
      <c r="I879" t="n">
        <v>0</v>
      </c>
      <c r="J879" t="n">
        <v>0</v>
      </c>
      <c r="K879" t="n">
        <v>0</v>
      </c>
      <c r="L879" t="n">
        <v>0</v>
      </c>
      <c r="M879" t="n">
        <v>0</v>
      </c>
      <c r="N879" t="n">
        <v>0</v>
      </c>
      <c r="O879" t="n">
        <v>0</v>
      </c>
      <c r="P879" t="n">
        <v>0</v>
      </c>
      <c r="Q879" t="n">
        <v>0</v>
      </c>
      <c r="R879" s="2" t="inlineStr"/>
    </row>
    <row r="880" ht="15" customHeight="1">
      <c r="A880" t="inlineStr">
        <is>
          <t>A 9456-2025</t>
        </is>
      </c>
      <c r="B880" s="1" t="n">
        <v>45715.44159722222</v>
      </c>
      <c r="C880" s="1" t="n">
        <v>46176</v>
      </c>
      <c r="D880" t="inlineStr">
        <is>
          <t>KALMAR LÄN</t>
        </is>
      </c>
      <c r="E880" t="inlineStr">
        <is>
          <t>VIMMERBY</t>
        </is>
      </c>
      <c r="G880" t="n">
        <v>1.5</v>
      </c>
      <c r="H880" t="n">
        <v>0</v>
      </c>
      <c r="I880" t="n">
        <v>0</v>
      </c>
      <c r="J880" t="n">
        <v>0</v>
      </c>
      <c r="K880" t="n">
        <v>0</v>
      </c>
      <c r="L880" t="n">
        <v>0</v>
      </c>
      <c r="M880" t="n">
        <v>0</v>
      </c>
      <c r="N880" t="n">
        <v>0</v>
      </c>
      <c r="O880" t="n">
        <v>0</v>
      </c>
      <c r="P880" t="n">
        <v>0</v>
      </c>
      <c r="Q880" t="n">
        <v>0</v>
      </c>
      <c r="R880" s="2" t="inlineStr"/>
    </row>
    <row r="881" ht="15" customHeight="1">
      <c r="A881" t="inlineStr">
        <is>
          <t>A 11111-2023</t>
        </is>
      </c>
      <c r="B881" s="1" t="n">
        <v>44992.4255787037</v>
      </c>
      <c r="C881" s="1" t="n">
        <v>46176</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44582-2024</t>
        </is>
      </c>
      <c r="B882" s="1" t="n">
        <v>45574.49298611111</v>
      </c>
      <c r="C882" s="1" t="n">
        <v>46176</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15494-2024</t>
        </is>
      </c>
      <c r="B883" s="1" t="n">
        <v>45401.53033564815</v>
      </c>
      <c r="C883" s="1" t="n">
        <v>46176</v>
      </c>
      <c r="D883" t="inlineStr">
        <is>
          <t>KALMAR LÄN</t>
        </is>
      </c>
      <c r="E883" t="inlineStr">
        <is>
          <t>VIMMERBY</t>
        </is>
      </c>
      <c r="G883" t="n">
        <v>3.2</v>
      </c>
      <c r="H883" t="n">
        <v>0</v>
      </c>
      <c r="I883" t="n">
        <v>0</v>
      </c>
      <c r="J883" t="n">
        <v>0</v>
      </c>
      <c r="K883" t="n">
        <v>0</v>
      </c>
      <c r="L883" t="n">
        <v>0</v>
      </c>
      <c r="M883" t="n">
        <v>0</v>
      </c>
      <c r="N883" t="n">
        <v>0</v>
      </c>
      <c r="O883" t="n">
        <v>0</v>
      </c>
      <c r="P883" t="n">
        <v>0</v>
      </c>
      <c r="Q883" t="n">
        <v>0</v>
      </c>
      <c r="R883" s="2" t="inlineStr"/>
    </row>
    <row r="884" ht="15" customHeight="1">
      <c r="A884" t="inlineStr">
        <is>
          <t>A 58724-2024</t>
        </is>
      </c>
      <c r="B884" s="1" t="n">
        <v>45635.66409722222</v>
      </c>
      <c r="C884" s="1" t="n">
        <v>46176</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25792-2025</t>
        </is>
      </c>
      <c r="B885" s="1" t="n">
        <v>45804.39141203704</v>
      </c>
      <c r="C885" s="1" t="n">
        <v>46176</v>
      </c>
      <c r="D885" t="inlineStr">
        <is>
          <t>KALMAR LÄN</t>
        </is>
      </c>
      <c r="E885" t="inlineStr">
        <is>
          <t>VIMMERBY</t>
        </is>
      </c>
      <c r="G885" t="n">
        <v>0.8</v>
      </c>
      <c r="H885" t="n">
        <v>0</v>
      </c>
      <c r="I885" t="n">
        <v>0</v>
      </c>
      <c r="J885" t="n">
        <v>0</v>
      </c>
      <c r="K885" t="n">
        <v>0</v>
      </c>
      <c r="L885" t="n">
        <v>0</v>
      </c>
      <c r="M885" t="n">
        <v>0</v>
      </c>
      <c r="N885" t="n">
        <v>0</v>
      </c>
      <c r="O885" t="n">
        <v>0</v>
      </c>
      <c r="P885" t="n">
        <v>0</v>
      </c>
      <c r="Q885" t="n">
        <v>0</v>
      </c>
      <c r="R885" s="2" t="inlineStr"/>
    </row>
    <row r="886" ht="15" customHeight="1">
      <c r="A886" t="inlineStr">
        <is>
          <t>A 26039-2025</t>
        </is>
      </c>
      <c r="B886" s="1" t="n">
        <v>45804.6953587963</v>
      </c>
      <c r="C886" s="1" t="n">
        <v>46176</v>
      </c>
      <c r="D886" t="inlineStr">
        <is>
          <t>KALMAR LÄN</t>
        </is>
      </c>
      <c r="E886" t="inlineStr">
        <is>
          <t>VIMMERBY</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26046-2025</t>
        </is>
      </c>
      <c r="B887" s="1" t="n">
        <v>45804.708125</v>
      </c>
      <c r="C887" s="1" t="n">
        <v>46176</v>
      </c>
      <c r="D887" t="inlineStr">
        <is>
          <t>KALMAR LÄN</t>
        </is>
      </c>
      <c r="E887" t="inlineStr">
        <is>
          <t>VIMMERBY</t>
        </is>
      </c>
      <c r="F887" t="inlineStr">
        <is>
          <t>Sveaskog</t>
        </is>
      </c>
      <c r="G887" t="n">
        <v>5.1</v>
      </c>
      <c r="H887" t="n">
        <v>0</v>
      </c>
      <c r="I887" t="n">
        <v>0</v>
      </c>
      <c r="J887" t="n">
        <v>0</v>
      </c>
      <c r="K887" t="n">
        <v>0</v>
      </c>
      <c r="L887" t="n">
        <v>0</v>
      </c>
      <c r="M887" t="n">
        <v>0</v>
      </c>
      <c r="N887" t="n">
        <v>0</v>
      </c>
      <c r="O887" t="n">
        <v>0</v>
      </c>
      <c r="P887" t="n">
        <v>0</v>
      </c>
      <c r="Q887" t="n">
        <v>0</v>
      </c>
      <c r="R887" s="2" t="inlineStr"/>
    </row>
    <row r="888" ht="15" customHeight="1">
      <c r="A888" t="inlineStr">
        <is>
          <t>A 26124-2025</t>
        </is>
      </c>
      <c r="B888" s="1" t="n">
        <v>45805.39247685186</v>
      </c>
      <c r="C888" s="1" t="n">
        <v>46176</v>
      </c>
      <c r="D888" t="inlineStr">
        <is>
          <t>KALMAR LÄN</t>
        </is>
      </c>
      <c r="E888" t="inlineStr">
        <is>
          <t>VIMMERBY</t>
        </is>
      </c>
      <c r="G888" t="n">
        <v>6.6</v>
      </c>
      <c r="H888" t="n">
        <v>0</v>
      </c>
      <c r="I888" t="n">
        <v>0</v>
      </c>
      <c r="J888" t="n">
        <v>0</v>
      </c>
      <c r="K888" t="n">
        <v>0</v>
      </c>
      <c r="L888" t="n">
        <v>0</v>
      </c>
      <c r="M888" t="n">
        <v>0</v>
      </c>
      <c r="N888" t="n">
        <v>0</v>
      </c>
      <c r="O888" t="n">
        <v>0</v>
      </c>
      <c r="P888" t="n">
        <v>0</v>
      </c>
      <c r="Q888" t="n">
        <v>0</v>
      </c>
      <c r="R888" s="2" t="inlineStr"/>
    </row>
    <row r="889" ht="15" customHeight="1">
      <c r="A889" t="inlineStr">
        <is>
          <t>A 26207-2025</t>
        </is>
      </c>
      <c r="B889" s="1" t="n">
        <v>45805.52983796296</v>
      </c>
      <c r="C889" s="1" t="n">
        <v>46176</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25830-2025</t>
        </is>
      </c>
      <c r="B890" s="1" t="n">
        <v>45804.44519675926</v>
      </c>
      <c r="C890" s="1" t="n">
        <v>46176</v>
      </c>
      <c r="D890" t="inlineStr">
        <is>
          <t>KALMAR LÄN</t>
        </is>
      </c>
      <c r="E890" t="inlineStr">
        <is>
          <t>VIMMERBY</t>
        </is>
      </c>
      <c r="G890" t="n">
        <v>4.9</v>
      </c>
      <c r="H890" t="n">
        <v>0</v>
      </c>
      <c r="I890" t="n">
        <v>0</v>
      </c>
      <c r="J890" t="n">
        <v>0</v>
      </c>
      <c r="K890" t="n">
        <v>0</v>
      </c>
      <c r="L890" t="n">
        <v>0</v>
      </c>
      <c r="M890" t="n">
        <v>0</v>
      </c>
      <c r="N890" t="n">
        <v>0</v>
      </c>
      <c r="O890" t="n">
        <v>0</v>
      </c>
      <c r="P890" t="n">
        <v>0</v>
      </c>
      <c r="Q890" t="n">
        <v>0</v>
      </c>
      <c r="R890" s="2" t="inlineStr"/>
    </row>
    <row r="891" ht="15" customHeight="1">
      <c r="A891" t="inlineStr">
        <is>
          <t>A 26254-2025</t>
        </is>
      </c>
      <c r="B891" s="1" t="n">
        <v>45805</v>
      </c>
      <c r="C891" s="1" t="n">
        <v>46176</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28286-2025</t>
        </is>
      </c>
      <c r="B892" s="1" t="n">
        <v>45818.58993055556</v>
      </c>
      <c r="C892" s="1" t="n">
        <v>46176</v>
      </c>
      <c r="D892" t="inlineStr">
        <is>
          <t>KALMAR LÄN</t>
        </is>
      </c>
      <c r="E892" t="inlineStr">
        <is>
          <t>VIMMERBY</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28282-2025</t>
        </is>
      </c>
      <c r="B893" s="1" t="n">
        <v>45818.58769675926</v>
      </c>
      <c r="C893" s="1" t="n">
        <v>46176</v>
      </c>
      <c r="D893" t="inlineStr">
        <is>
          <t>KALMAR LÄN</t>
        </is>
      </c>
      <c r="E893" t="inlineStr">
        <is>
          <t>VIMMERBY</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28294-2025</t>
        </is>
      </c>
      <c r="B894" s="1" t="n">
        <v>45818.595625</v>
      </c>
      <c r="C894" s="1" t="n">
        <v>46176</v>
      </c>
      <c r="D894" t="inlineStr">
        <is>
          <t>KALMAR LÄN</t>
        </is>
      </c>
      <c r="E894" t="inlineStr">
        <is>
          <t>VIMMERBY</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28290-2025</t>
        </is>
      </c>
      <c r="B895" s="1" t="n">
        <v>45818.59261574074</v>
      </c>
      <c r="C895" s="1" t="n">
        <v>46176</v>
      </c>
      <c r="D895" t="inlineStr">
        <is>
          <t>KALMAR LÄN</t>
        </is>
      </c>
      <c r="E895" t="inlineStr">
        <is>
          <t>VIMMERBY</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28280-2025</t>
        </is>
      </c>
      <c r="B896" s="1" t="n">
        <v>45818.5862037037</v>
      </c>
      <c r="C896" s="1" t="n">
        <v>46176</v>
      </c>
      <c r="D896" t="inlineStr">
        <is>
          <t>KALMAR LÄN</t>
        </is>
      </c>
      <c r="E896" t="inlineStr">
        <is>
          <t>VIMMERBY</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28620-2025</t>
        </is>
      </c>
      <c r="B897" s="1" t="n">
        <v>45819.61060185185</v>
      </c>
      <c r="C897" s="1" t="n">
        <v>46176</v>
      </c>
      <c r="D897" t="inlineStr">
        <is>
          <t>KALMAR LÄN</t>
        </is>
      </c>
      <c r="E897" t="inlineStr">
        <is>
          <t>VIMMERBY</t>
        </is>
      </c>
      <c r="G897" t="n">
        <v>5.6</v>
      </c>
      <c r="H897" t="n">
        <v>0</v>
      </c>
      <c r="I897" t="n">
        <v>0</v>
      </c>
      <c r="J897" t="n">
        <v>0</v>
      </c>
      <c r="K897" t="n">
        <v>0</v>
      </c>
      <c r="L897" t="n">
        <v>0</v>
      </c>
      <c r="M897" t="n">
        <v>0</v>
      </c>
      <c r="N897" t="n">
        <v>0</v>
      </c>
      <c r="O897" t="n">
        <v>0</v>
      </c>
      <c r="P897" t="n">
        <v>0</v>
      </c>
      <c r="Q897" t="n">
        <v>0</v>
      </c>
      <c r="R897" s="2" t="inlineStr"/>
    </row>
    <row r="898" ht="15" customHeight="1">
      <c r="A898" t="inlineStr">
        <is>
          <t>A 28712-2025</t>
        </is>
      </c>
      <c r="B898" s="1" t="n">
        <v>45820.33708333333</v>
      </c>
      <c r="C898" s="1" t="n">
        <v>46176</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28714-2025</t>
        </is>
      </c>
      <c r="B899" s="1" t="n">
        <v>45820.34128472222</v>
      </c>
      <c r="C899" s="1" t="n">
        <v>46176</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28713-2025</t>
        </is>
      </c>
      <c r="B900" s="1" t="n">
        <v>45820.33930555556</v>
      </c>
      <c r="C900" s="1" t="n">
        <v>46176</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29737-2025</t>
        </is>
      </c>
      <c r="B901" s="1" t="n">
        <v>45825.58672453704</v>
      </c>
      <c r="C901" s="1" t="n">
        <v>46176</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29727-2025</t>
        </is>
      </c>
      <c r="B902" s="1" t="n">
        <v>45825.5796875</v>
      </c>
      <c r="C902" s="1" t="n">
        <v>46176</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30293-2025</t>
        </is>
      </c>
      <c r="B903" s="1" t="n">
        <v>45827</v>
      </c>
      <c r="C903" s="1" t="n">
        <v>46176</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30290-2025</t>
        </is>
      </c>
      <c r="B904" s="1" t="n">
        <v>45827</v>
      </c>
      <c r="C904" s="1" t="n">
        <v>46176</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30850-2025</t>
        </is>
      </c>
      <c r="B905" s="1" t="n">
        <v>45831</v>
      </c>
      <c r="C905" s="1" t="n">
        <v>46176</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31552-2025</t>
        </is>
      </c>
      <c r="B906" s="1" t="n">
        <v>45833.64563657407</v>
      </c>
      <c r="C906" s="1" t="n">
        <v>46176</v>
      </c>
      <c r="D906" t="inlineStr">
        <is>
          <t>KALMAR LÄN</t>
        </is>
      </c>
      <c r="E906" t="inlineStr">
        <is>
          <t>VIMMERBY</t>
        </is>
      </c>
      <c r="G906" t="n">
        <v>1.7</v>
      </c>
      <c r="H906" t="n">
        <v>0</v>
      </c>
      <c r="I906" t="n">
        <v>0</v>
      </c>
      <c r="J906" t="n">
        <v>0</v>
      </c>
      <c r="K906" t="n">
        <v>0</v>
      </c>
      <c r="L906" t="n">
        <v>0</v>
      </c>
      <c r="M906" t="n">
        <v>0</v>
      </c>
      <c r="N906" t="n">
        <v>0</v>
      </c>
      <c r="O906" t="n">
        <v>0</v>
      </c>
      <c r="P906" t="n">
        <v>0</v>
      </c>
      <c r="Q906" t="n">
        <v>0</v>
      </c>
      <c r="R906" s="2" t="inlineStr"/>
    </row>
    <row r="907" ht="15" customHeight="1">
      <c r="A907" t="inlineStr">
        <is>
          <t>A 31555-2025</t>
        </is>
      </c>
      <c r="B907" s="1" t="n">
        <v>45833.64814814815</v>
      </c>
      <c r="C907" s="1" t="n">
        <v>46176</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30971-2025</t>
        </is>
      </c>
      <c r="B908" s="1" t="n">
        <v>45832.46146990741</v>
      </c>
      <c r="C908" s="1" t="n">
        <v>46176</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31551-2025</t>
        </is>
      </c>
      <c r="B909" s="1" t="n">
        <v>45833.64237268519</v>
      </c>
      <c r="C909" s="1" t="n">
        <v>46176</v>
      </c>
      <c r="D909" t="inlineStr">
        <is>
          <t>KALMAR LÄN</t>
        </is>
      </c>
      <c r="E909" t="inlineStr">
        <is>
          <t>VIMMERBY</t>
        </is>
      </c>
      <c r="G909" t="n">
        <v>1.9</v>
      </c>
      <c r="H909" t="n">
        <v>0</v>
      </c>
      <c r="I909" t="n">
        <v>0</v>
      </c>
      <c r="J909" t="n">
        <v>0</v>
      </c>
      <c r="K909" t="n">
        <v>0</v>
      </c>
      <c r="L909" t="n">
        <v>0</v>
      </c>
      <c r="M909" t="n">
        <v>0</v>
      </c>
      <c r="N909" t="n">
        <v>0</v>
      </c>
      <c r="O909" t="n">
        <v>0</v>
      </c>
      <c r="P909" t="n">
        <v>0</v>
      </c>
      <c r="Q909" t="n">
        <v>0</v>
      </c>
      <c r="R909" s="2" t="inlineStr"/>
    </row>
    <row r="910" ht="15" customHeight="1">
      <c r="A910" t="inlineStr">
        <is>
          <t>A 30882-2025</t>
        </is>
      </c>
      <c r="B910" s="1" t="n">
        <v>45832.34540509259</v>
      </c>
      <c r="C910" s="1" t="n">
        <v>46176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31872-2025</t>
        </is>
      </c>
      <c r="B911" s="1" t="n">
        <v>45834.65040509259</v>
      </c>
      <c r="C911" s="1" t="n">
        <v>46176</v>
      </c>
      <c r="D911" t="inlineStr">
        <is>
          <t>KALMAR LÄN</t>
        </is>
      </c>
      <c r="E911" t="inlineStr">
        <is>
          <t>VIMMERBY</t>
        </is>
      </c>
      <c r="F911" t="inlineStr">
        <is>
          <t>Sveaskog</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8559-2025</t>
        </is>
      </c>
      <c r="B912" s="1" t="n">
        <v>45709.62280092593</v>
      </c>
      <c r="C912" s="1" t="n">
        <v>46176</v>
      </c>
      <c r="D912" t="inlineStr">
        <is>
          <t>KALMAR LÄN</t>
        </is>
      </c>
      <c r="E912" t="inlineStr">
        <is>
          <t>VIMMERBY</t>
        </is>
      </c>
      <c r="G912" t="n">
        <v>8.9</v>
      </c>
      <c r="H912" t="n">
        <v>0</v>
      </c>
      <c r="I912" t="n">
        <v>0</v>
      </c>
      <c r="J912" t="n">
        <v>0</v>
      </c>
      <c r="K912" t="n">
        <v>0</v>
      </c>
      <c r="L912" t="n">
        <v>0</v>
      </c>
      <c r="M912" t="n">
        <v>0</v>
      </c>
      <c r="N912" t="n">
        <v>0</v>
      </c>
      <c r="O912" t="n">
        <v>0</v>
      </c>
      <c r="P912" t="n">
        <v>0</v>
      </c>
      <c r="Q912" t="n">
        <v>0</v>
      </c>
      <c r="R912" s="2" t="inlineStr"/>
    </row>
    <row r="913" ht="15" customHeight="1">
      <c r="A913" t="inlineStr">
        <is>
          <t>A 32064-2025</t>
        </is>
      </c>
      <c r="B913" s="1" t="n">
        <v>45835.44709490741</v>
      </c>
      <c r="C913" s="1" t="n">
        <v>46176</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ht="15" customHeight="1">
      <c r="A914" t="inlineStr">
        <is>
          <t>A 32109-2025</t>
        </is>
      </c>
      <c r="B914" s="1" t="n">
        <v>45835.48267361111</v>
      </c>
      <c r="C914" s="1" t="n">
        <v>46176</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32113-2025</t>
        </is>
      </c>
      <c r="B915" s="1" t="n">
        <v>45835.48445601852</v>
      </c>
      <c r="C915" s="1" t="n">
        <v>46176</v>
      </c>
      <c r="D915" t="inlineStr">
        <is>
          <t>KALMAR LÄN</t>
        </is>
      </c>
      <c r="E915" t="inlineStr">
        <is>
          <t>VIMMERBY</t>
        </is>
      </c>
      <c r="G915" t="n">
        <v>3.5</v>
      </c>
      <c r="H915" t="n">
        <v>0</v>
      </c>
      <c r="I915" t="n">
        <v>0</v>
      </c>
      <c r="J915" t="n">
        <v>0</v>
      </c>
      <c r="K915" t="n">
        <v>0</v>
      </c>
      <c r="L915" t="n">
        <v>0</v>
      </c>
      <c r="M915" t="n">
        <v>0</v>
      </c>
      <c r="N915" t="n">
        <v>0</v>
      </c>
      <c r="O915" t="n">
        <v>0</v>
      </c>
      <c r="P915" t="n">
        <v>0</v>
      </c>
      <c r="Q915" t="n">
        <v>0</v>
      </c>
      <c r="R915" s="2" t="inlineStr"/>
    </row>
    <row r="916" ht="15" customHeight="1">
      <c r="A916" t="inlineStr">
        <is>
          <t>A 32116-2025</t>
        </is>
      </c>
      <c r="B916" s="1" t="n">
        <v>45835.48862268519</v>
      </c>
      <c r="C916" s="1" t="n">
        <v>46176</v>
      </c>
      <c r="D916" t="inlineStr">
        <is>
          <t>KALMAR LÄN</t>
        </is>
      </c>
      <c r="E916" t="inlineStr">
        <is>
          <t>VIMMERBY</t>
        </is>
      </c>
      <c r="G916" t="n">
        <v>0.9</v>
      </c>
      <c r="H916" t="n">
        <v>0</v>
      </c>
      <c r="I916" t="n">
        <v>0</v>
      </c>
      <c r="J916" t="n">
        <v>0</v>
      </c>
      <c r="K916" t="n">
        <v>0</v>
      </c>
      <c r="L916" t="n">
        <v>0</v>
      </c>
      <c r="M916" t="n">
        <v>0</v>
      </c>
      <c r="N916" t="n">
        <v>0</v>
      </c>
      <c r="O916" t="n">
        <v>0</v>
      </c>
      <c r="P916" t="n">
        <v>0</v>
      </c>
      <c r="Q916" t="n">
        <v>0</v>
      </c>
      <c r="R916" s="2" t="inlineStr"/>
    </row>
    <row r="917" ht="15" customHeight="1">
      <c r="A917" t="inlineStr">
        <is>
          <t>A 31870-2025</t>
        </is>
      </c>
      <c r="B917" s="1" t="n">
        <v>45834.64667824074</v>
      </c>
      <c r="C917" s="1" t="n">
        <v>46176</v>
      </c>
      <c r="D917" t="inlineStr">
        <is>
          <t>KALMAR LÄN</t>
        </is>
      </c>
      <c r="E917" t="inlineStr">
        <is>
          <t>VIMMERBY</t>
        </is>
      </c>
      <c r="F917" t="inlineStr">
        <is>
          <t>Sveaskog</t>
        </is>
      </c>
      <c r="G917" t="n">
        <v>3.5</v>
      </c>
      <c r="H917" t="n">
        <v>0</v>
      </c>
      <c r="I917" t="n">
        <v>0</v>
      </c>
      <c r="J917" t="n">
        <v>0</v>
      </c>
      <c r="K917" t="n">
        <v>0</v>
      </c>
      <c r="L917" t="n">
        <v>0</v>
      </c>
      <c r="M917" t="n">
        <v>0</v>
      </c>
      <c r="N917" t="n">
        <v>0</v>
      </c>
      <c r="O917" t="n">
        <v>0</v>
      </c>
      <c r="P917" t="n">
        <v>0</v>
      </c>
      <c r="Q917" t="n">
        <v>0</v>
      </c>
      <c r="R917" s="2" t="inlineStr"/>
    </row>
    <row r="918" ht="15" customHeight="1">
      <c r="A918" t="inlineStr">
        <is>
          <t>A 32065-2025</t>
        </is>
      </c>
      <c r="B918" s="1" t="n">
        <v>45835.44732638889</v>
      </c>
      <c r="C918" s="1" t="n">
        <v>46176</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31987-2025</t>
        </is>
      </c>
      <c r="B919" s="1" t="n">
        <v>45835.36229166666</v>
      </c>
      <c r="C919" s="1" t="n">
        <v>46176</v>
      </c>
      <c r="D919" t="inlineStr">
        <is>
          <t>KALMAR LÄN</t>
        </is>
      </c>
      <c r="E919" t="inlineStr">
        <is>
          <t>VIMMERBY</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32077-2025</t>
        </is>
      </c>
      <c r="B920" s="1" t="n">
        <v>45835.45099537037</v>
      </c>
      <c r="C920" s="1" t="n">
        <v>46176</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32120-2025</t>
        </is>
      </c>
      <c r="B921" s="1" t="n">
        <v>45835.4924537037</v>
      </c>
      <c r="C921" s="1" t="n">
        <v>46176</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c r="A922" t="inlineStr">
        <is>
          <t>A 31876-2025</t>
        </is>
      </c>
      <c r="B922" s="1" t="n">
        <v>45834.65197916667</v>
      </c>
      <c r="C922" s="1" t="n">
        <v>46176</v>
      </c>
      <c r="D922" t="inlineStr">
        <is>
          <t>KALMAR LÄN</t>
        </is>
      </c>
      <c r="E922" t="inlineStr">
        <is>
          <t>VIMMERBY</t>
        </is>
      </c>
      <c r="F922" t="inlineStr">
        <is>
          <t>Sveaskog</t>
        </is>
      </c>
      <c r="G922" t="n">
        <v>3.3</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2026-06-03T10:56:27Z</dcterms:created>
  <dcterms:modified xmlns:dcterms="http://purl.org/dc/terms/" xmlns:xsi="http://www.w3.org/2001/XMLSchema-instance" xsi:type="dcterms:W3CDTF">2026-06-03T10:56:28Z</dcterms:modified>
</cp:coreProperties>
</file>