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46139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46139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46139</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46139</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46139</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46139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46139</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46139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46139</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46139</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7040-2026</t>
        </is>
      </c>
      <c r="B17" s="1" t="n">
        <v>46057.69520833333</v>
      </c>
      <c r="C17" s="1" t="n">
        <v>46139</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37901-2022</t>
        </is>
      </c>
      <c r="B18" s="1" t="n">
        <v>44811</v>
      </c>
      <c r="C18" s="1" t="n">
        <v>46139</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46139</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46139</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46139</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46139</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46139</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46139</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17935-2025</t>
        </is>
      </c>
      <c r="B25" s="1" t="n">
        <v>45760.34877314815</v>
      </c>
      <c r="C25" s="1" t="n">
        <v>46139</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46139</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46139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2518-2023</t>
        </is>
      </c>
      <c r="B28" s="1" t="n">
        <v>44943</v>
      </c>
      <c r="C28" s="1" t="n">
        <v>46139</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42802-2025</t>
        </is>
      </c>
      <c r="B29" s="1" t="n">
        <v>45908</v>
      </c>
      <c r="C29" s="1" t="n">
        <v>46139</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22396-2025</t>
        </is>
      </c>
      <c r="B30" s="1" t="n">
        <v>45786.52827546297</v>
      </c>
      <c r="C30" s="1" t="n">
        <v>46139</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53787-2025</t>
        </is>
      </c>
      <c r="B31" s="1" t="n">
        <v>45960</v>
      </c>
      <c r="C31" s="1" t="n">
        <v>46139</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22825-2023</t>
        </is>
      </c>
      <c r="B32" s="1" t="n">
        <v>45072</v>
      </c>
      <c r="C32" s="1" t="n">
        <v>46139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46139</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14024-2023</t>
        </is>
      </c>
      <c r="B34" s="1" t="n">
        <v>45008.60878472222</v>
      </c>
      <c r="C34" s="1" t="n">
        <v>46139</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46139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44515-2024</t>
        </is>
      </c>
      <c r="B36" s="1" t="n">
        <v>45574.42767361111</v>
      </c>
      <c r="C36" s="1" t="n">
        <v>46139</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40083-2023</t>
        </is>
      </c>
      <c r="B37" s="1" t="n">
        <v>45168</v>
      </c>
      <c r="C37" s="1" t="n">
        <v>46139</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46139</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9067-2025</t>
        </is>
      </c>
      <c r="B39" s="1" t="n">
        <v>45713</v>
      </c>
      <c r="C39" s="1" t="n">
        <v>46139</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9067-2025 artfynd.xlsx", "A 9067-2025")</f>
        <v/>
      </c>
      <c r="T39">
        <f>HYPERLINK("https://klasma.github.io/Logging_0884/kartor/A 9067-2025 karta.png", "A 9067-2025")</f>
        <v/>
      </c>
      <c r="V39">
        <f>HYPERLINK("https://klasma.github.io/Logging_0884/klagomål/A 9067-2025 FSC-klagomål.docx", "A 9067-2025")</f>
        <v/>
      </c>
      <c r="W39">
        <f>HYPERLINK("https://klasma.github.io/Logging_0884/klagomålsmail/A 9067-2025 FSC-klagomål mail.docx", "A 9067-2025")</f>
        <v/>
      </c>
      <c r="X39">
        <f>HYPERLINK("https://klasma.github.io/Logging_0884/tillsyn/A 9067-2025 tillsynsbegäran.docx", "A 9067-2025")</f>
        <v/>
      </c>
      <c r="Y39">
        <f>HYPERLINK("https://klasma.github.io/Logging_0884/tillsynsmail/A 9067-2025 tillsynsbegäran mail.docx", "A 9067-2025")</f>
        <v/>
      </c>
    </row>
    <row r="40" ht="15" customHeight="1">
      <c r="A40" t="inlineStr">
        <is>
          <t>A 61860-2024</t>
        </is>
      </c>
      <c r="B40" s="1" t="n">
        <v>45649</v>
      </c>
      <c r="C40" s="1" t="n">
        <v>46139</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28852-2023</t>
        </is>
      </c>
      <c r="B41" s="1" t="n">
        <v>45104</v>
      </c>
      <c r="C41" s="1" t="n">
        <v>46139</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52301-2023</t>
        </is>
      </c>
      <c r="B42" s="1" t="n">
        <v>45224</v>
      </c>
      <c r="C42" s="1" t="n">
        <v>46139</v>
      </c>
      <c r="D42" t="inlineStr">
        <is>
          <t>KALMAR LÄN</t>
        </is>
      </c>
      <c r="E42" t="inlineStr">
        <is>
          <t>VIMMERBY</t>
        </is>
      </c>
      <c r="G42" t="n">
        <v>5.3</v>
      </c>
      <c r="H42" t="n">
        <v>0</v>
      </c>
      <c r="I42" t="n">
        <v>0</v>
      </c>
      <c r="J42" t="n">
        <v>0</v>
      </c>
      <c r="K42" t="n">
        <v>0</v>
      </c>
      <c r="L42" t="n">
        <v>1</v>
      </c>
      <c r="M42" t="n">
        <v>0</v>
      </c>
      <c r="N42" t="n">
        <v>0</v>
      </c>
      <c r="O42" t="n">
        <v>1</v>
      </c>
      <c r="P42" t="n">
        <v>1</v>
      </c>
      <c r="Q42" t="n">
        <v>1</v>
      </c>
      <c r="R42" s="2" t="inlineStr">
        <is>
          <t>Ask</t>
        </is>
      </c>
      <c r="S42">
        <f>HYPERLINK("https://klasma.github.io/Logging_0884/artfynd/A 52301-2023 artfynd.xlsx", "A 52301-2023")</f>
        <v/>
      </c>
      <c r="T42">
        <f>HYPERLINK("https://klasma.github.io/Logging_0884/kartor/A 52301-2023 karta.png", "A 52301-2023")</f>
        <v/>
      </c>
      <c r="V42">
        <f>HYPERLINK("https://klasma.github.io/Logging_0884/klagomål/A 52301-2023 FSC-klagomål.docx", "A 52301-2023")</f>
        <v/>
      </c>
      <c r="W42">
        <f>HYPERLINK("https://klasma.github.io/Logging_0884/klagomålsmail/A 52301-2023 FSC-klagomål mail.docx", "A 52301-2023")</f>
        <v/>
      </c>
      <c r="X42">
        <f>HYPERLINK("https://klasma.github.io/Logging_0884/tillsyn/A 52301-2023 tillsynsbegäran.docx", "A 52301-2023")</f>
        <v/>
      </c>
      <c r="Y42">
        <f>HYPERLINK("https://klasma.github.io/Logging_0884/tillsynsmail/A 52301-2023 tillsynsbegäran mail.docx", "A 52301-2023")</f>
        <v/>
      </c>
    </row>
    <row r="43" ht="15" customHeight="1">
      <c r="A43" t="inlineStr">
        <is>
          <t>A 1201-2025</t>
        </is>
      </c>
      <c r="B43" s="1" t="n">
        <v>45667</v>
      </c>
      <c r="C43" s="1" t="n">
        <v>46139</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29183-2025</t>
        </is>
      </c>
      <c r="B44" s="1" t="n">
        <v>45821</v>
      </c>
      <c r="C44" s="1" t="n">
        <v>46139</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23602-2023</t>
        </is>
      </c>
      <c r="B45" s="1" t="n">
        <v>45077</v>
      </c>
      <c r="C45" s="1" t="n">
        <v>46139</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46139</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46139</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46139</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46139</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32985-2023</t>
        </is>
      </c>
      <c r="B50" s="1" t="n">
        <v>45125</v>
      </c>
      <c r="C50" s="1" t="n">
        <v>46139</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46139</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46139</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46139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59070-2021</t>
        </is>
      </c>
      <c r="B54" s="1" t="n">
        <v>44490.38613425926</v>
      </c>
      <c r="C54" s="1" t="n">
        <v>46139</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46139</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46139</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46139</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46139</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46139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46139</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46139</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27086-2021</t>
        </is>
      </c>
      <c r="B62" s="1" t="n">
        <v>44350</v>
      </c>
      <c r="C62" s="1" t="n">
        <v>46139</v>
      </c>
      <c r="D62" t="inlineStr">
        <is>
          <t>KALMAR LÄN</t>
        </is>
      </c>
      <c r="E62" t="inlineStr">
        <is>
          <t>VIMMERBY</t>
        </is>
      </c>
      <c r="G62" t="n">
        <v>0.6</v>
      </c>
      <c r="H62" t="n">
        <v>0</v>
      </c>
      <c r="I62" t="n">
        <v>0</v>
      </c>
      <c r="J62" t="n">
        <v>0</v>
      </c>
      <c r="K62" t="n">
        <v>0</v>
      </c>
      <c r="L62" t="n">
        <v>0</v>
      </c>
      <c r="M62" t="n">
        <v>0</v>
      </c>
      <c r="N62" t="n">
        <v>0</v>
      </c>
      <c r="O62" t="n">
        <v>0</v>
      </c>
      <c r="P62" t="n">
        <v>0</v>
      </c>
      <c r="Q62" t="n">
        <v>0</v>
      </c>
      <c r="R62" s="2" t="inlineStr"/>
    </row>
    <row r="63" ht="15" customHeight="1">
      <c r="A63" t="inlineStr">
        <is>
          <t>A 22637-2021</t>
        </is>
      </c>
      <c r="B63" s="1" t="n">
        <v>44327.47658564815</v>
      </c>
      <c r="C63" s="1" t="n">
        <v>46139</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63926-2021</t>
        </is>
      </c>
      <c r="B64" s="1" t="n">
        <v>44509</v>
      </c>
      <c r="C64" s="1" t="n">
        <v>46139</v>
      </c>
      <c r="D64" t="inlineStr">
        <is>
          <t>KALMAR LÄN</t>
        </is>
      </c>
      <c r="E64" t="inlineStr">
        <is>
          <t>VIMMERBY</t>
        </is>
      </c>
      <c r="G64" t="n">
        <v>0.7</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46139</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56378-2021</t>
        </is>
      </c>
      <c r="B66" s="1" t="n">
        <v>44480</v>
      </c>
      <c r="C66" s="1" t="n">
        <v>46139</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46139</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40728-2022</t>
        </is>
      </c>
      <c r="B68" s="1" t="n">
        <v>44824.53434027778</v>
      </c>
      <c r="C68" s="1" t="n">
        <v>46139</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40073-2021</t>
        </is>
      </c>
      <c r="B69" s="1" t="n">
        <v>44418</v>
      </c>
      <c r="C69" s="1" t="n">
        <v>46139</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33051-2022</t>
        </is>
      </c>
      <c r="B70" s="1" t="n">
        <v>44785.40800925926</v>
      </c>
      <c r="C70" s="1" t="n">
        <v>46139</v>
      </c>
      <c r="D70" t="inlineStr">
        <is>
          <t>KALMAR LÄN</t>
        </is>
      </c>
      <c r="E70" t="inlineStr">
        <is>
          <t>VIMMERBY</t>
        </is>
      </c>
      <c r="G70" t="n">
        <v>0.3</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46139</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2183-2022</t>
        </is>
      </c>
      <c r="B72" s="1" t="n">
        <v>44578.47597222222</v>
      </c>
      <c r="C72" s="1" t="n">
        <v>46139</v>
      </c>
      <c r="D72" t="inlineStr">
        <is>
          <t>KALMAR LÄN</t>
        </is>
      </c>
      <c r="E72" t="inlineStr">
        <is>
          <t>VIMMERBY</t>
        </is>
      </c>
      <c r="G72" t="n">
        <v>4.8</v>
      </c>
      <c r="H72" t="n">
        <v>0</v>
      </c>
      <c r="I72" t="n">
        <v>0</v>
      </c>
      <c r="J72" t="n">
        <v>0</v>
      </c>
      <c r="K72" t="n">
        <v>0</v>
      </c>
      <c r="L72" t="n">
        <v>0</v>
      </c>
      <c r="M72" t="n">
        <v>0</v>
      </c>
      <c r="N72" t="n">
        <v>0</v>
      </c>
      <c r="O72" t="n">
        <v>0</v>
      </c>
      <c r="P72" t="n">
        <v>0</v>
      </c>
      <c r="Q72" t="n">
        <v>0</v>
      </c>
      <c r="R72" s="2" t="inlineStr"/>
    </row>
    <row r="73" ht="15" customHeight="1">
      <c r="A73" t="inlineStr">
        <is>
          <t>A 65670-2021</t>
        </is>
      </c>
      <c r="B73" s="1" t="n">
        <v>44516.59703703703</v>
      </c>
      <c r="C73" s="1" t="n">
        <v>46139</v>
      </c>
      <c r="D73" t="inlineStr">
        <is>
          <t>KALMAR LÄN</t>
        </is>
      </c>
      <c r="E73" t="inlineStr">
        <is>
          <t>VIMMERBY</t>
        </is>
      </c>
      <c r="G73" t="n">
        <v>1.9</v>
      </c>
      <c r="H73" t="n">
        <v>0</v>
      </c>
      <c r="I73" t="n">
        <v>0</v>
      </c>
      <c r="J73" t="n">
        <v>0</v>
      </c>
      <c r="K73" t="n">
        <v>0</v>
      </c>
      <c r="L73" t="n">
        <v>0</v>
      </c>
      <c r="M73" t="n">
        <v>0</v>
      </c>
      <c r="N73" t="n">
        <v>0</v>
      </c>
      <c r="O73" t="n">
        <v>0</v>
      </c>
      <c r="P73" t="n">
        <v>0</v>
      </c>
      <c r="Q73" t="n">
        <v>0</v>
      </c>
      <c r="R73" s="2" t="inlineStr"/>
    </row>
    <row r="74" ht="15" customHeight="1">
      <c r="A74" t="inlineStr">
        <is>
          <t>A 50809-2022</t>
        </is>
      </c>
      <c r="B74" s="1" t="n">
        <v>44862</v>
      </c>
      <c r="C74" s="1" t="n">
        <v>46139</v>
      </c>
      <c r="D74" t="inlineStr">
        <is>
          <t>KALMAR LÄN</t>
        </is>
      </c>
      <c r="E74" t="inlineStr">
        <is>
          <t>VIMMERBY</t>
        </is>
      </c>
      <c r="G74" t="n">
        <v>3.7</v>
      </c>
      <c r="H74" t="n">
        <v>0</v>
      </c>
      <c r="I74" t="n">
        <v>0</v>
      </c>
      <c r="J74" t="n">
        <v>0</v>
      </c>
      <c r="K74" t="n">
        <v>0</v>
      </c>
      <c r="L74" t="n">
        <v>0</v>
      </c>
      <c r="M74" t="n">
        <v>0</v>
      </c>
      <c r="N74" t="n">
        <v>0</v>
      </c>
      <c r="O74" t="n">
        <v>0</v>
      </c>
      <c r="P74" t="n">
        <v>0</v>
      </c>
      <c r="Q74" t="n">
        <v>0</v>
      </c>
      <c r="R74" s="2" t="inlineStr"/>
    </row>
    <row r="75" ht="15" customHeight="1">
      <c r="A75" t="inlineStr">
        <is>
          <t>A 7049-2022</t>
        </is>
      </c>
      <c r="B75" s="1" t="n">
        <v>44603</v>
      </c>
      <c r="C75" s="1" t="n">
        <v>46139</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4296-2022</t>
        </is>
      </c>
      <c r="B76" s="1" t="n">
        <v>44588</v>
      </c>
      <c r="C76" s="1" t="n">
        <v>46139</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38086-2021</t>
        </is>
      </c>
      <c r="B77" s="1" t="n">
        <v>44404.87505787037</v>
      </c>
      <c r="C77" s="1" t="n">
        <v>46139</v>
      </c>
      <c r="D77" t="inlineStr">
        <is>
          <t>KALMAR LÄN</t>
        </is>
      </c>
      <c r="E77" t="inlineStr">
        <is>
          <t>VIMMERBY</t>
        </is>
      </c>
      <c r="G77" t="n">
        <v>4.4</v>
      </c>
      <c r="H77" t="n">
        <v>0</v>
      </c>
      <c r="I77" t="n">
        <v>0</v>
      </c>
      <c r="J77" t="n">
        <v>0</v>
      </c>
      <c r="K77" t="n">
        <v>0</v>
      </c>
      <c r="L77" t="n">
        <v>0</v>
      </c>
      <c r="M77" t="n">
        <v>0</v>
      </c>
      <c r="N77" t="n">
        <v>0</v>
      </c>
      <c r="O77" t="n">
        <v>0</v>
      </c>
      <c r="P77" t="n">
        <v>0</v>
      </c>
      <c r="Q77" t="n">
        <v>0</v>
      </c>
      <c r="R77" s="2" t="inlineStr"/>
    </row>
    <row r="78" ht="15" customHeight="1">
      <c r="A78" t="inlineStr">
        <is>
          <t>A 57416-2021</t>
        </is>
      </c>
      <c r="B78" s="1" t="n">
        <v>44483.58295138889</v>
      </c>
      <c r="C78" s="1" t="n">
        <v>46139</v>
      </c>
      <c r="D78" t="inlineStr">
        <is>
          <t>KALMAR LÄN</t>
        </is>
      </c>
      <c r="E78" t="inlineStr">
        <is>
          <t>VIMMERBY</t>
        </is>
      </c>
      <c r="G78" t="n">
        <v>2.9</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46139</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46139</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46139</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64923-2021</t>
        </is>
      </c>
      <c r="B82" s="1" t="n">
        <v>44512.70245370371</v>
      </c>
      <c r="C82" s="1" t="n">
        <v>46139</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33829-2022</t>
        </is>
      </c>
      <c r="B83" s="1" t="n">
        <v>44790</v>
      </c>
      <c r="C83" s="1" t="n">
        <v>46139</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68840-2021</t>
        </is>
      </c>
      <c r="B84" s="1" t="n">
        <v>44530.38055555556</v>
      </c>
      <c r="C84" s="1" t="n">
        <v>46139</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4118-2022</t>
        </is>
      </c>
      <c r="B85" s="1" t="n">
        <v>44588</v>
      </c>
      <c r="C85" s="1" t="n">
        <v>46139</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4126-2022</t>
        </is>
      </c>
      <c r="B86" s="1" t="n">
        <v>44588</v>
      </c>
      <c r="C86" s="1" t="n">
        <v>46139</v>
      </c>
      <c r="D86" t="inlineStr">
        <is>
          <t>KALMAR LÄN</t>
        </is>
      </c>
      <c r="E86" t="inlineStr">
        <is>
          <t>VIMMERBY</t>
        </is>
      </c>
      <c r="G86" t="n">
        <v>0.6</v>
      </c>
      <c r="H86" t="n">
        <v>0</v>
      </c>
      <c r="I86" t="n">
        <v>0</v>
      </c>
      <c r="J86" t="n">
        <v>0</v>
      </c>
      <c r="K86" t="n">
        <v>0</v>
      </c>
      <c r="L86" t="n">
        <v>0</v>
      </c>
      <c r="M86" t="n">
        <v>0</v>
      </c>
      <c r="N86" t="n">
        <v>0</v>
      </c>
      <c r="O86" t="n">
        <v>0</v>
      </c>
      <c r="P86" t="n">
        <v>0</v>
      </c>
      <c r="Q86" t="n">
        <v>0</v>
      </c>
      <c r="R86" s="2" t="inlineStr"/>
    </row>
    <row r="87" ht="15" customHeight="1">
      <c r="A87" t="inlineStr">
        <is>
          <t>A 33820-2022</t>
        </is>
      </c>
      <c r="B87" s="1" t="n">
        <v>44790</v>
      </c>
      <c r="C87" s="1" t="n">
        <v>46139</v>
      </c>
      <c r="D87" t="inlineStr">
        <is>
          <t>KALMAR LÄN</t>
        </is>
      </c>
      <c r="E87" t="inlineStr">
        <is>
          <t>VIMMERBY</t>
        </is>
      </c>
      <c r="G87" t="n">
        <v>3</v>
      </c>
      <c r="H87" t="n">
        <v>0</v>
      </c>
      <c r="I87" t="n">
        <v>0</v>
      </c>
      <c r="J87" t="n">
        <v>0</v>
      </c>
      <c r="K87" t="n">
        <v>0</v>
      </c>
      <c r="L87" t="n">
        <v>0</v>
      </c>
      <c r="M87" t="n">
        <v>0</v>
      </c>
      <c r="N87" t="n">
        <v>0</v>
      </c>
      <c r="O87" t="n">
        <v>0</v>
      </c>
      <c r="P87" t="n">
        <v>0</v>
      </c>
      <c r="Q87" t="n">
        <v>0</v>
      </c>
      <c r="R87" s="2" t="inlineStr"/>
    </row>
    <row r="88" ht="15" customHeight="1">
      <c r="A88" t="inlineStr">
        <is>
          <t>A 33824-2022</t>
        </is>
      </c>
      <c r="B88" s="1" t="n">
        <v>44790.47628472222</v>
      </c>
      <c r="C88" s="1" t="n">
        <v>46139</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19863-2021</t>
        </is>
      </c>
      <c r="B89" s="1" t="n">
        <v>44312</v>
      </c>
      <c r="C89" s="1" t="n">
        <v>46139</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55297-2021</t>
        </is>
      </c>
      <c r="B90" s="1" t="n">
        <v>44475</v>
      </c>
      <c r="C90" s="1" t="n">
        <v>46139</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35531-2021</t>
        </is>
      </c>
      <c r="B91" s="1" t="n">
        <v>44385</v>
      </c>
      <c r="C91" s="1" t="n">
        <v>46139</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38789-2021</t>
        </is>
      </c>
      <c r="B92" s="1" t="n">
        <v>44410.71038194445</v>
      </c>
      <c r="C92" s="1" t="n">
        <v>46139</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16290-2022</t>
        </is>
      </c>
      <c r="B93" s="1" t="n">
        <v>44670</v>
      </c>
      <c r="C93" s="1" t="n">
        <v>46139</v>
      </c>
      <c r="D93" t="inlineStr">
        <is>
          <t>KALMAR LÄN</t>
        </is>
      </c>
      <c r="E93" t="inlineStr">
        <is>
          <t>VIMMERBY</t>
        </is>
      </c>
      <c r="G93" t="n">
        <v>1.2</v>
      </c>
      <c r="H93" t="n">
        <v>0</v>
      </c>
      <c r="I93" t="n">
        <v>0</v>
      </c>
      <c r="J93" t="n">
        <v>0</v>
      </c>
      <c r="K93" t="n">
        <v>0</v>
      </c>
      <c r="L93" t="n">
        <v>0</v>
      </c>
      <c r="M93" t="n">
        <v>0</v>
      </c>
      <c r="N93" t="n">
        <v>0</v>
      </c>
      <c r="O93" t="n">
        <v>0</v>
      </c>
      <c r="P93" t="n">
        <v>0</v>
      </c>
      <c r="Q93" t="n">
        <v>0</v>
      </c>
      <c r="R93" s="2" t="inlineStr"/>
    </row>
    <row r="94" ht="15" customHeight="1">
      <c r="A94" t="inlineStr">
        <is>
          <t>A 30682-2021</t>
        </is>
      </c>
      <c r="B94" s="1" t="n">
        <v>44365</v>
      </c>
      <c r="C94" s="1" t="n">
        <v>46139</v>
      </c>
      <c r="D94" t="inlineStr">
        <is>
          <t>KALMAR LÄN</t>
        </is>
      </c>
      <c r="E94" t="inlineStr">
        <is>
          <t>VIMMERBY</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25049-2022</t>
        </is>
      </c>
      <c r="B95" s="1" t="n">
        <v>44729.28226851852</v>
      </c>
      <c r="C95" s="1" t="n">
        <v>46139</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24752-2021</t>
        </is>
      </c>
      <c r="B96" s="1" t="n">
        <v>44340</v>
      </c>
      <c r="C96" s="1" t="n">
        <v>46139</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46139</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31533-2022</t>
        </is>
      </c>
      <c r="B98" s="1" t="n">
        <v>44774</v>
      </c>
      <c r="C98" s="1" t="n">
        <v>46139</v>
      </c>
      <c r="D98" t="inlineStr">
        <is>
          <t>KALMAR LÄN</t>
        </is>
      </c>
      <c r="E98" t="inlineStr">
        <is>
          <t>VIMMERBY</t>
        </is>
      </c>
      <c r="G98" t="n">
        <v>2.5</v>
      </c>
      <c r="H98" t="n">
        <v>0</v>
      </c>
      <c r="I98" t="n">
        <v>0</v>
      </c>
      <c r="J98" t="n">
        <v>0</v>
      </c>
      <c r="K98" t="n">
        <v>0</v>
      </c>
      <c r="L98" t="n">
        <v>0</v>
      </c>
      <c r="M98" t="n">
        <v>0</v>
      </c>
      <c r="N98" t="n">
        <v>0</v>
      </c>
      <c r="O98" t="n">
        <v>0</v>
      </c>
      <c r="P98" t="n">
        <v>0</v>
      </c>
      <c r="Q98" t="n">
        <v>0</v>
      </c>
      <c r="R98" s="2" t="inlineStr"/>
    </row>
    <row r="99" ht="15" customHeight="1">
      <c r="A99" t="inlineStr">
        <is>
          <t>A 32386-2021</t>
        </is>
      </c>
      <c r="B99" s="1" t="n">
        <v>44371.62743055556</v>
      </c>
      <c r="C99" s="1" t="n">
        <v>46139</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35633-2021</t>
        </is>
      </c>
      <c r="B100" s="1" t="n">
        <v>44386.40783564815</v>
      </c>
      <c r="C100" s="1" t="n">
        <v>46139</v>
      </c>
      <c r="D100" t="inlineStr">
        <is>
          <t>KALMAR LÄN</t>
        </is>
      </c>
      <c r="E100" t="inlineStr">
        <is>
          <t>VIMMERBY</t>
        </is>
      </c>
      <c r="G100" t="n">
        <v>1.6</v>
      </c>
      <c r="H100" t="n">
        <v>0</v>
      </c>
      <c r="I100" t="n">
        <v>0</v>
      </c>
      <c r="J100" t="n">
        <v>0</v>
      </c>
      <c r="K100" t="n">
        <v>0</v>
      </c>
      <c r="L100" t="n">
        <v>0</v>
      </c>
      <c r="M100" t="n">
        <v>0</v>
      </c>
      <c r="N100" t="n">
        <v>0</v>
      </c>
      <c r="O100" t="n">
        <v>0</v>
      </c>
      <c r="P100" t="n">
        <v>0</v>
      </c>
      <c r="Q100" t="n">
        <v>0</v>
      </c>
      <c r="R100" s="2" t="inlineStr"/>
    </row>
    <row r="101" ht="15" customHeight="1">
      <c r="A101" t="inlineStr">
        <is>
          <t>A 25859-2022</t>
        </is>
      </c>
      <c r="B101" s="1" t="n">
        <v>44733</v>
      </c>
      <c r="C101" s="1" t="n">
        <v>46139</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25868-2022</t>
        </is>
      </c>
      <c r="B102" s="1" t="n">
        <v>44733</v>
      </c>
      <c r="C102" s="1" t="n">
        <v>46139</v>
      </c>
      <c r="D102" t="inlineStr">
        <is>
          <t>KALMAR LÄN</t>
        </is>
      </c>
      <c r="E102" t="inlineStr">
        <is>
          <t>VIMMERBY</t>
        </is>
      </c>
      <c r="G102" t="n">
        <v>1.7</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46139</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46139</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4042-2022</t>
        </is>
      </c>
      <c r="B106" s="1" t="n">
        <v>44588</v>
      </c>
      <c r="C106" s="1" t="n">
        <v>46139</v>
      </c>
      <c r="D106" t="inlineStr">
        <is>
          <t>KALMAR LÄN</t>
        </is>
      </c>
      <c r="E106" t="inlineStr">
        <is>
          <t>VIMMERBY</t>
        </is>
      </c>
      <c r="G106" t="n">
        <v>4.7</v>
      </c>
      <c r="H106" t="n">
        <v>0</v>
      </c>
      <c r="I106" t="n">
        <v>0</v>
      </c>
      <c r="J106" t="n">
        <v>0</v>
      </c>
      <c r="K106" t="n">
        <v>0</v>
      </c>
      <c r="L106" t="n">
        <v>0</v>
      </c>
      <c r="M106" t="n">
        <v>0</v>
      </c>
      <c r="N106" t="n">
        <v>0</v>
      </c>
      <c r="O106" t="n">
        <v>0</v>
      </c>
      <c r="P106" t="n">
        <v>0</v>
      </c>
      <c r="Q106" t="n">
        <v>0</v>
      </c>
      <c r="R106" s="2" t="inlineStr"/>
    </row>
    <row r="107" ht="15" customHeight="1">
      <c r="A107" t="inlineStr">
        <is>
          <t>A 33690-2022</t>
        </is>
      </c>
      <c r="B107" s="1" t="n">
        <v>44789</v>
      </c>
      <c r="C107" s="1" t="n">
        <v>46139</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35198-2021</t>
        </is>
      </c>
      <c r="B108" s="1" t="n">
        <v>44377</v>
      </c>
      <c r="C108" s="1" t="n">
        <v>46139</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34036-2021</t>
        </is>
      </c>
      <c r="B109" s="1" t="n">
        <v>44379</v>
      </c>
      <c r="C109" s="1" t="n">
        <v>46139</v>
      </c>
      <c r="D109" t="inlineStr">
        <is>
          <t>KALMAR LÄN</t>
        </is>
      </c>
      <c r="E109" t="inlineStr">
        <is>
          <t>VIMMERBY</t>
        </is>
      </c>
      <c r="F109" t="inlineStr">
        <is>
          <t>Sveaskog</t>
        </is>
      </c>
      <c r="G109" t="n">
        <v>7</v>
      </c>
      <c r="H109" t="n">
        <v>0</v>
      </c>
      <c r="I109" t="n">
        <v>0</v>
      </c>
      <c r="J109" t="n">
        <v>0</v>
      </c>
      <c r="K109" t="n">
        <v>0</v>
      </c>
      <c r="L109" t="n">
        <v>0</v>
      </c>
      <c r="M109" t="n">
        <v>0</v>
      </c>
      <c r="N109" t="n">
        <v>0</v>
      </c>
      <c r="O109" t="n">
        <v>0</v>
      </c>
      <c r="P109" t="n">
        <v>0</v>
      </c>
      <c r="Q109" t="n">
        <v>0</v>
      </c>
      <c r="R109" s="2" t="inlineStr"/>
    </row>
    <row r="110" ht="15" customHeight="1">
      <c r="A110" t="inlineStr">
        <is>
          <t>A 63244-2021</t>
        </is>
      </c>
      <c r="B110" s="1" t="n">
        <v>44508</v>
      </c>
      <c r="C110" s="1" t="n">
        <v>46139</v>
      </c>
      <c r="D110" t="inlineStr">
        <is>
          <t>KALMAR LÄN</t>
        </is>
      </c>
      <c r="E110" t="inlineStr">
        <is>
          <t>VIMMERBY</t>
        </is>
      </c>
      <c r="F110" t="inlineStr">
        <is>
          <t>Övriga statliga verk och myndigheter</t>
        </is>
      </c>
      <c r="G110" t="n">
        <v>0.6</v>
      </c>
      <c r="H110" t="n">
        <v>0</v>
      </c>
      <c r="I110" t="n">
        <v>0</v>
      </c>
      <c r="J110" t="n">
        <v>0</v>
      </c>
      <c r="K110" t="n">
        <v>0</v>
      </c>
      <c r="L110" t="n">
        <v>0</v>
      </c>
      <c r="M110" t="n">
        <v>0</v>
      </c>
      <c r="N110" t="n">
        <v>0</v>
      </c>
      <c r="O110" t="n">
        <v>0</v>
      </c>
      <c r="P110" t="n">
        <v>0</v>
      </c>
      <c r="Q110" t="n">
        <v>0</v>
      </c>
      <c r="R110" s="2" t="inlineStr"/>
    </row>
    <row r="111" ht="15" customHeight="1">
      <c r="A111" t="inlineStr">
        <is>
          <t>A 56385-2021</t>
        </is>
      </c>
      <c r="B111" s="1" t="n">
        <v>44480</v>
      </c>
      <c r="C111" s="1" t="n">
        <v>46139</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31053-2022</t>
        </is>
      </c>
      <c r="B112" s="1" t="n">
        <v>44769.45422453704</v>
      </c>
      <c r="C112" s="1" t="n">
        <v>46139</v>
      </c>
      <c r="D112" t="inlineStr">
        <is>
          <t>KALMAR LÄN</t>
        </is>
      </c>
      <c r="E112" t="inlineStr">
        <is>
          <t>VIMMERBY</t>
        </is>
      </c>
      <c r="G112" t="n">
        <v>1.9</v>
      </c>
      <c r="H112" t="n">
        <v>0</v>
      </c>
      <c r="I112" t="n">
        <v>0</v>
      </c>
      <c r="J112" t="n">
        <v>0</v>
      </c>
      <c r="K112" t="n">
        <v>0</v>
      </c>
      <c r="L112" t="n">
        <v>0</v>
      </c>
      <c r="M112" t="n">
        <v>0</v>
      </c>
      <c r="N112" t="n">
        <v>0</v>
      </c>
      <c r="O112" t="n">
        <v>0</v>
      </c>
      <c r="P112" t="n">
        <v>0</v>
      </c>
      <c r="Q112" t="n">
        <v>0</v>
      </c>
      <c r="R112" s="2" t="inlineStr"/>
    </row>
    <row r="113" ht="15" customHeight="1">
      <c r="A113" t="inlineStr">
        <is>
          <t>A 24738-2021</t>
        </is>
      </c>
      <c r="B113" s="1" t="n">
        <v>44340.58002314815</v>
      </c>
      <c r="C113" s="1" t="n">
        <v>46139</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11814-2022</t>
        </is>
      </c>
      <c r="B114" s="1" t="n">
        <v>44634.69703703704</v>
      </c>
      <c r="C114" s="1" t="n">
        <v>46139</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46139</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65887-2021</t>
        </is>
      </c>
      <c r="B116" s="1" t="n">
        <v>44517</v>
      </c>
      <c r="C116" s="1" t="n">
        <v>46139</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39959-2022</t>
        </is>
      </c>
      <c r="B117" s="1" t="n">
        <v>44819</v>
      </c>
      <c r="C117" s="1" t="n">
        <v>46139</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24999-2021</t>
        </is>
      </c>
      <c r="B118" s="1" t="n">
        <v>44341</v>
      </c>
      <c r="C118" s="1" t="n">
        <v>46139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7917-2022</t>
        </is>
      </c>
      <c r="B119" s="1" t="n">
        <v>44608</v>
      </c>
      <c r="C119" s="1" t="n">
        <v>46139</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46139</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56389-2021</t>
        </is>
      </c>
      <c r="B121" s="1" t="n">
        <v>44480</v>
      </c>
      <c r="C121" s="1" t="n">
        <v>46139</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67952-2021</t>
        </is>
      </c>
      <c r="B122" s="1" t="n">
        <v>44525.63913194444</v>
      </c>
      <c r="C122" s="1" t="n">
        <v>46139</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15533-2022</t>
        </is>
      </c>
      <c r="B123" s="1" t="n">
        <v>44662</v>
      </c>
      <c r="C123" s="1" t="n">
        <v>46139</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165-2022</t>
        </is>
      </c>
      <c r="B124" s="1" t="n">
        <v>44564</v>
      </c>
      <c r="C124" s="1" t="n">
        <v>46139</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34040-2021</t>
        </is>
      </c>
      <c r="B125" s="1" t="n">
        <v>44379</v>
      </c>
      <c r="C125" s="1" t="n">
        <v>46139</v>
      </c>
      <c r="D125" t="inlineStr">
        <is>
          <t>KALMAR LÄN</t>
        </is>
      </c>
      <c r="E125" t="inlineStr">
        <is>
          <t>VIMMERBY</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12107-2022</t>
        </is>
      </c>
      <c r="B126" s="1" t="n">
        <v>44636</v>
      </c>
      <c r="C126" s="1" t="n">
        <v>46139</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39225-2022</t>
        </is>
      </c>
      <c r="B127" s="1" t="n">
        <v>44817.57988425926</v>
      </c>
      <c r="C127" s="1" t="n">
        <v>46139</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17029-2022</t>
        </is>
      </c>
      <c r="B128" s="1" t="n">
        <v>44676.85248842592</v>
      </c>
      <c r="C128" s="1" t="n">
        <v>46139</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7167-2022</t>
        </is>
      </c>
      <c r="B129" s="1" t="n">
        <v>44604</v>
      </c>
      <c r="C129" s="1" t="n">
        <v>46139</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35001-2021</t>
        </is>
      </c>
      <c r="B130" s="1" t="n">
        <v>44383</v>
      </c>
      <c r="C130" s="1" t="n">
        <v>46139</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55674-2021</t>
        </is>
      </c>
      <c r="B131" s="1" t="n">
        <v>44476</v>
      </c>
      <c r="C131" s="1" t="n">
        <v>46139</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40077-2021</t>
        </is>
      </c>
      <c r="B132" s="1" t="n">
        <v>44418</v>
      </c>
      <c r="C132" s="1" t="n">
        <v>46139</v>
      </c>
      <c r="D132" t="inlineStr">
        <is>
          <t>KALMAR LÄN</t>
        </is>
      </c>
      <c r="E132" t="inlineStr">
        <is>
          <t>VIMMERBY</t>
        </is>
      </c>
      <c r="G132" t="n">
        <v>2.9</v>
      </c>
      <c r="H132" t="n">
        <v>0</v>
      </c>
      <c r="I132" t="n">
        <v>0</v>
      </c>
      <c r="J132" t="n">
        <v>0</v>
      </c>
      <c r="K132" t="n">
        <v>0</v>
      </c>
      <c r="L132" t="n">
        <v>0</v>
      </c>
      <c r="M132" t="n">
        <v>0</v>
      </c>
      <c r="N132" t="n">
        <v>0</v>
      </c>
      <c r="O132" t="n">
        <v>0</v>
      </c>
      <c r="P132" t="n">
        <v>0</v>
      </c>
      <c r="Q132" t="n">
        <v>0</v>
      </c>
      <c r="R132" s="2" t="inlineStr"/>
    </row>
    <row r="133" ht="15" customHeight="1">
      <c r="A133" t="inlineStr">
        <is>
          <t>A 47769-2022</t>
        </is>
      </c>
      <c r="B133" s="1" t="n">
        <v>44854</v>
      </c>
      <c r="C133" s="1" t="n">
        <v>46139</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46139</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46139</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46139</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46139</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47708-2022</t>
        </is>
      </c>
      <c r="B138" s="1" t="n">
        <v>44854.59157407407</v>
      </c>
      <c r="C138" s="1" t="n">
        <v>46139</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9918-2022</t>
        </is>
      </c>
      <c r="B139" s="1" t="n">
        <v>44620</v>
      </c>
      <c r="C139" s="1" t="n">
        <v>46139</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11619-2023</t>
        </is>
      </c>
      <c r="B140" s="1" t="n">
        <v>44994.42113425926</v>
      </c>
      <c r="C140" s="1" t="n">
        <v>46139</v>
      </c>
      <c r="D140" t="inlineStr">
        <is>
          <t>KALMAR LÄN</t>
        </is>
      </c>
      <c r="E140" t="inlineStr">
        <is>
          <t>VIMMERBY</t>
        </is>
      </c>
      <c r="G140" t="n">
        <v>2.5</v>
      </c>
      <c r="H140" t="n">
        <v>0</v>
      </c>
      <c r="I140" t="n">
        <v>0</v>
      </c>
      <c r="J140" t="n">
        <v>0</v>
      </c>
      <c r="K140" t="n">
        <v>0</v>
      </c>
      <c r="L140" t="n">
        <v>0</v>
      </c>
      <c r="M140" t="n">
        <v>0</v>
      </c>
      <c r="N140" t="n">
        <v>0</v>
      </c>
      <c r="O140" t="n">
        <v>0</v>
      </c>
      <c r="P140" t="n">
        <v>0</v>
      </c>
      <c r="Q140" t="n">
        <v>0</v>
      </c>
      <c r="R140" s="2" t="inlineStr"/>
    </row>
    <row r="141" ht="15" customHeight="1">
      <c r="A141" t="inlineStr">
        <is>
          <t>A 41896-2023</t>
        </is>
      </c>
      <c r="B141" s="1" t="n">
        <v>45176.72427083334</v>
      </c>
      <c r="C141" s="1" t="n">
        <v>46139</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13180-2022</t>
        </is>
      </c>
      <c r="B142" s="1" t="n">
        <v>44644</v>
      </c>
      <c r="C142" s="1" t="n">
        <v>46139</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17926-2025</t>
        </is>
      </c>
      <c r="B143" s="1" t="n">
        <v>45759.38987268518</v>
      </c>
      <c r="C143" s="1" t="n">
        <v>46139</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23825-2022</t>
        </is>
      </c>
      <c r="B144" s="1" t="n">
        <v>44722.48768518519</v>
      </c>
      <c r="C144" s="1" t="n">
        <v>46139</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27758-2024</t>
        </is>
      </c>
      <c r="B145" s="1" t="n">
        <v>45475.48303240741</v>
      </c>
      <c r="C145" s="1" t="n">
        <v>46139</v>
      </c>
      <c r="D145" t="inlineStr">
        <is>
          <t>KALMAR LÄN</t>
        </is>
      </c>
      <c r="E145" t="inlineStr">
        <is>
          <t>VIMMERBY</t>
        </is>
      </c>
      <c r="G145" t="n">
        <v>2.6</v>
      </c>
      <c r="H145" t="n">
        <v>0</v>
      </c>
      <c r="I145" t="n">
        <v>0</v>
      </c>
      <c r="J145" t="n">
        <v>0</v>
      </c>
      <c r="K145" t="n">
        <v>0</v>
      </c>
      <c r="L145" t="n">
        <v>0</v>
      </c>
      <c r="M145" t="n">
        <v>0</v>
      </c>
      <c r="N145" t="n">
        <v>0</v>
      </c>
      <c r="O145" t="n">
        <v>0</v>
      </c>
      <c r="P145" t="n">
        <v>0</v>
      </c>
      <c r="Q145" t="n">
        <v>0</v>
      </c>
      <c r="R145" s="2" t="inlineStr"/>
    </row>
    <row r="146" ht="15" customHeight="1">
      <c r="A146" t="inlineStr">
        <is>
          <t>A 21028-2023</t>
        </is>
      </c>
      <c r="B146" s="1" t="n">
        <v>45061</v>
      </c>
      <c r="C146" s="1" t="n">
        <v>46139</v>
      </c>
      <c r="D146" t="inlineStr">
        <is>
          <t>KALMAR LÄN</t>
        </is>
      </c>
      <c r="E146" t="inlineStr">
        <is>
          <t>VIMMERBY</t>
        </is>
      </c>
      <c r="F146" t="inlineStr">
        <is>
          <t>Övriga Aktiebolag</t>
        </is>
      </c>
      <c r="G146" t="n">
        <v>0.7</v>
      </c>
      <c r="H146" t="n">
        <v>0</v>
      </c>
      <c r="I146" t="n">
        <v>0</v>
      </c>
      <c r="J146" t="n">
        <v>0</v>
      </c>
      <c r="K146" t="n">
        <v>0</v>
      </c>
      <c r="L146" t="n">
        <v>0</v>
      </c>
      <c r="M146" t="n">
        <v>0</v>
      </c>
      <c r="N146" t="n">
        <v>0</v>
      </c>
      <c r="O146" t="n">
        <v>0</v>
      </c>
      <c r="P146" t="n">
        <v>0</v>
      </c>
      <c r="Q146" t="n">
        <v>0</v>
      </c>
      <c r="R146" s="2" t="inlineStr"/>
    </row>
    <row r="147" ht="15" customHeight="1">
      <c r="A147" t="inlineStr">
        <is>
          <t>A 13307-2025</t>
        </is>
      </c>
      <c r="B147" s="1" t="n">
        <v>45735.58024305556</v>
      </c>
      <c r="C147" s="1" t="n">
        <v>46139</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42850-2022</t>
        </is>
      </c>
      <c r="B148" s="1" t="n">
        <v>44832.67608796297</v>
      </c>
      <c r="C148" s="1" t="n">
        <v>46139</v>
      </c>
      <c r="D148" t="inlineStr">
        <is>
          <t>KALMAR LÄN</t>
        </is>
      </c>
      <c r="E148" t="inlineStr">
        <is>
          <t>VIMMERBY</t>
        </is>
      </c>
      <c r="G148" t="n">
        <v>5.9</v>
      </c>
      <c r="H148" t="n">
        <v>0</v>
      </c>
      <c r="I148" t="n">
        <v>0</v>
      </c>
      <c r="J148" t="n">
        <v>0</v>
      </c>
      <c r="K148" t="n">
        <v>0</v>
      </c>
      <c r="L148" t="n">
        <v>0</v>
      </c>
      <c r="M148" t="n">
        <v>0</v>
      </c>
      <c r="N148" t="n">
        <v>0</v>
      </c>
      <c r="O148" t="n">
        <v>0</v>
      </c>
      <c r="P148" t="n">
        <v>0</v>
      </c>
      <c r="Q148" t="n">
        <v>0</v>
      </c>
      <c r="R148" s="2" t="inlineStr"/>
    </row>
    <row r="149" ht="15" customHeight="1">
      <c r="A149" t="inlineStr">
        <is>
          <t>A 27122-2023</t>
        </is>
      </c>
      <c r="B149" s="1" t="n">
        <v>45096.45247685185</v>
      </c>
      <c r="C149" s="1" t="n">
        <v>46139</v>
      </c>
      <c r="D149" t="inlineStr">
        <is>
          <t>KALMAR LÄN</t>
        </is>
      </c>
      <c r="E149" t="inlineStr">
        <is>
          <t>VIMMERBY</t>
        </is>
      </c>
      <c r="G149" t="n">
        <v>1.7</v>
      </c>
      <c r="H149" t="n">
        <v>0</v>
      </c>
      <c r="I149" t="n">
        <v>0</v>
      </c>
      <c r="J149" t="n">
        <v>0</v>
      </c>
      <c r="K149" t="n">
        <v>0</v>
      </c>
      <c r="L149" t="n">
        <v>0</v>
      </c>
      <c r="M149" t="n">
        <v>0</v>
      </c>
      <c r="N149" t="n">
        <v>0</v>
      </c>
      <c r="O149" t="n">
        <v>0</v>
      </c>
      <c r="P149" t="n">
        <v>0</v>
      </c>
      <c r="Q149" t="n">
        <v>0</v>
      </c>
      <c r="R149" s="2" t="inlineStr"/>
    </row>
    <row r="150" ht="15" customHeight="1">
      <c r="A150" t="inlineStr">
        <is>
          <t>A 13813-2024</t>
        </is>
      </c>
      <c r="B150" s="1" t="n">
        <v>45391.41310185185</v>
      </c>
      <c r="C150" s="1" t="n">
        <v>46139</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10086-2022</t>
        </is>
      </c>
      <c r="B151" s="1" t="n">
        <v>44621</v>
      </c>
      <c r="C151" s="1" t="n">
        <v>46139</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47473-2021</t>
        </is>
      </c>
      <c r="B152" s="1" t="n">
        <v>44447</v>
      </c>
      <c r="C152" s="1" t="n">
        <v>46139</v>
      </c>
      <c r="D152" t="inlineStr">
        <is>
          <t>KALMAR LÄN</t>
        </is>
      </c>
      <c r="E152" t="inlineStr">
        <is>
          <t>VIMMERBY</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38969-2023</t>
        </is>
      </c>
      <c r="B153" s="1" t="n">
        <v>45163.63621527778</v>
      </c>
      <c r="C153" s="1" t="n">
        <v>46139</v>
      </c>
      <c r="D153" t="inlineStr">
        <is>
          <t>KALMAR LÄN</t>
        </is>
      </c>
      <c r="E153" t="inlineStr">
        <is>
          <t>VIMMERBY</t>
        </is>
      </c>
      <c r="F153" t="inlineStr">
        <is>
          <t>Sveaskog</t>
        </is>
      </c>
      <c r="G153" t="n">
        <v>2.4</v>
      </c>
      <c r="H153" t="n">
        <v>0</v>
      </c>
      <c r="I153" t="n">
        <v>0</v>
      </c>
      <c r="J153" t="n">
        <v>0</v>
      </c>
      <c r="K153" t="n">
        <v>0</v>
      </c>
      <c r="L153" t="n">
        <v>0</v>
      </c>
      <c r="M153" t="n">
        <v>0</v>
      </c>
      <c r="N153" t="n">
        <v>0</v>
      </c>
      <c r="O153" t="n">
        <v>0</v>
      </c>
      <c r="P153" t="n">
        <v>0</v>
      </c>
      <c r="Q153" t="n">
        <v>0</v>
      </c>
      <c r="R153" s="2" t="inlineStr"/>
    </row>
    <row r="154" ht="15" customHeight="1">
      <c r="A154" t="inlineStr">
        <is>
          <t>A 26937-2023</t>
        </is>
      </c>
      <c r="B154" s="1" t="n">
        <v>45093.62777777778</v>
      </c>
      <c r="C154" s="1" t="n">
        <v>46139</v>
      </c>
      <c r="D154" t="inlineStr">
        <is>
          <t>KALMAR LÄN</t>
        </is>
      </c>
      <c r="E154" t="inlineStr">
        <is>
          <t>VIMMERBY</t>
        </is>
      </c>
      <c r="F154" t="inlineStr">
        <is>
          <t>Sveaskog</t>
        </is>
      </c>
      <c r="G154" t="n">
        <v>14.5</v>
      </c>
      <c r="H154" t="n">
        <v>0</v>
      </c>
      <c r="I154" t="n">
        <v>0</v>
      </c>
      <c r="J154" t="n">
        <v>0</v>
      </c>
      <c r="K154" t="n">
        <v>0</v>
      </c>
      <c r="L154" t="n">
        <v>0</v>
      </c>
      <c r="M154" t="n">
        <v>0</v>
      </c>
      <c r="N154" t="n">
        <v>0</v>
      </c>
      <c r="O154" t="n">
        <v>0</v>
      </c>
      <c r="P154" t="n">
        <v>0</v>
      </c>
      <c r="Q154" t="n">
        <v>0</v>
      </c>
      <c r="R154" s="2" t="inlineStr"/>
    </row>
    <row r="155" ht="15" customHeight="1">
      <c r="A155" t="inlineStr">
        <is>
          <t>A 57486-2024</t>
        </is>
      </c>
      <c r="B155" s="1" t="n">
        <v>45630.35827546296</v>
      </c>
      <c r="C155" s="1" t="n">
        <v>46139</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55716-2023</t>
        </is>
      </c>
      <c r="B156" s="1" t="n">
        <v>45232</v>
      </c>
      <c r="C156" s="1" t="n">
        <v>46139</v>
      </c>
      <c r="D156" t="inlineStr">
        <is>
          <t>KALMAR LÄN</t>
        </is>
      </c>
      <c r="E156" t="inlineStr">
        <is>
          <t>VIMMERBY</t>
        </is>
      </c>
      <c r="G156" t="n">
        <v>2.3</v>
      </c>
      <c r="H156" t="n">
        <v>0</v>
      </c>
      <c r="I156" t="n">
        <v>0</v>
      </c>
      <c r="J156" t="n">
        <v>0</v>
      </c>
      <c r="K156" t="n">
        <v>0</v>
      </c>
      <c r="L156" t="n">
        <v>0</v>
      </c>
      <c r="M156" t="n">
        <v>0</v>
      </c>
      <c r="N156" t="n">
        <v>0</v>
      </c>
      <c r="O156" t="n">
        <v>0</v>
      </c>
      <c r="P156" t="n">
        <v>0</v>
      </c>
      <c r="Q156" t="n">
        <v>0</v>
      </c>
      <c r="R156" s="2" t="inlineStr"/>
    </row>
    <row r="157" ht="15" customHeight="1">
      <c r="A157" t="inlineStr">
        <is>
          <t>A 43186-2021</t>
        </is>
      </c>
      <c r="B157" s="1" t="n">
        <v>44431.84840277778</v>
      </c>
      <c r="C157" s="1" t="n">
        <v>46139</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1799-2025</t>
        </is>
      </c>
      <c r="B158" s="1" t="n">
        <v>45671.46746527778</v>
      </c>
      <c r="C158" s="1" t="n">
        <v>46139</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53145-2022</t>
        </is>
      </c>
      <c r="B159" s="1" t="n">
        <v>44876.48346064815</v>
      </c>
      <c r="C159" s="1" t="n">
        <v>46139</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25738-2022</t>
        </is>
      </c>
      <c r="B160" s="1" t="n">
        <v>44733.43092592592</v>
      </c>
      <c r="C160" s="1" t="n">
        <v>46139</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30063-2023</t>
        </is>
      </c>
      <c r="B161" s="1" t="n">
        <v>45110.4184375</v>
      </c>
      <c r="C161" s="1" t="n">
        <v>46139</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46139</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46139</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46139</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8194-2022</t>
        </is>
      </c>
      <c r="B165" s="1" t="n">
        <v>44609</v>
      </c>
      <c r="C165" s="1" t="n">
        <v>46139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43068-2023</t>
        </is>
      </c>
      <c r="B166" s="1" t="n">
        <v>45182.78834490741</v>
      </c>
      <c r="C166" s="1" t="n">
        <v>46139</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40971-2021</t>
        </is>
      </c>
      <c r="B167" s="1" t="n">
        <v>44421</v>
      </c>
      <c r="C167" s="1" t="n">
        <v>46139</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18020-2025</t>
        </is>
      </c>
      <c r="B168" s="1" t="n">
        <v>45761.4437962963</v>
      </c>
      <c r="C168" s="1" t="n">
        <v>46139</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18329-2023</t>
        </is>
      </c>
      <c r="B169" s="1" t="n">
        <v>45041.63380787037</v>
      </c>
      <c r="C169" s="1" t="n">
        <v>46139</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33424-2023</t>
        </is>
      </c>
      <c r="B170" s="1" t="n">
        <v>45128.9325</v>
      </c>
      <c r="C170" s="1" t="n">
        <v>46139</v>
      </c>
      <c r="D170" t="inlineStr">
        <is>
          <t>KALMAR LÄN</t>
        </is>
      </c>
      <c r="E170" t="inlineStr">
        <is>
          <t>VIMMERBY</t>
        </is>
      </c>
      <c r="G170" t="n">
        <v>2.4</v>
      </c>
      <c r="H170" t="n">
        <v>0</v>
      </c>
      <c r="I170" t="n">
        <v>0</v>
      </c>
      <c r="J170" t="n">
        <v>0</v>
      </c>
      <c r="K170" t="n">
        <v>0</v>
      </c>
      <c r="L170" t="n">
        <v>0</v>
      </c>
      <c r="M170" t="n">
        <v>0</v>
      </c>
      <c r="N170" t="n">
        <v>0</v>
      </c>
      <c r="O170" t="n">
        <v>0</v>
      </c>
      <c r="P170" t="n">
        <v>0</v>
      </c>
      <c r="Q170" t="n">
        <v>0</v>
      </c>
      <c r="R170" s="2" t="inlineStr"/>
    </row>
    <row r="171" ht="15" customHeight="1">
      <c r="A171" t="inlineStr">
        <is>
          <t>A 33425-2023</t>
        </is>
      </c>
      <c r="B171" s="1" t="n">
        <v>45128.93540509259</v>
      </c>
      <c r="C171" s="1" t="n">
        <v>46139</v>
      </c>
      <c r="D171" t="inlineStr">
        <is>
          <t>KALMAR LÄN</t>
        </is>
      </c>
      <c r="E171" t="inlineStr">
        <is>
          <t>VIMMERBY</t>
        </is>
      </c>
      <c r="G171" t="n">
        <v>1.4</v>
      </c>
      <c r="H171" t="n">
        <v>0</v>
      </c>
      <c r="I171" t="n">
        <v>0</v>
      </c>
      <c r="J171" t="n">
        <v>0</v>
      </c>
      <c r="K171" t="n">
        <v>0</v>
      </c>
      <c r="L171" t="n">
        <v>0</v>
      </c>
      <c r="M171" t="n">
        <v>0</v>
      </c>
      <c r="N171" t="n">
        <v>0</v>
      </c>
      <c r="O171" t="n">
        <v>0</v>
      </c>
      <c r="P171" t="n">
        <v>0</v>
      </c>
      <c r="Q171" t="n">
        <v>0</v>
      </c>
      <c r="R171" s="2" t="inlineStr"/>
    </row>
    <row r="172" ht="15" customHeight="1">
      <c r="A172" t="inlineStr">
        <is>
          <t>A 12327-2023</t>
        </is>
      </c>
      <c r="B172" s="1" t="n">
        <v>44999.36081018519</v>
      </c>
      <c r="C172" s="1" t="n">
        <v>46139</v>
      </c>
      <c r="D172" t="inlineStr">
        <is>
          <t>KALMAR LÄN</t>
        </is>
      </c>
      <c r="E172" t="inlineStr">
        <is>
          <t>VIMMERBY</t>
        </is>
      </c>
      <c r="G172" t="n">
        <v>1.2</v>
      </c>
      <c r="H172" t="n">
        <v>0</v>
      </c>
      <c r="I172" t="n">
        <v>0</v>
      </c>
      <c r="J172" t="n">
        <v>0</v>
      </c>
      <c r="K172" t="n">
        <v>0</v>
      </c>
      <c r="L172" t="n">
        <v>0</v>
      </c>
      <c r="M172" t="n">
        <v>0</v>
      </c>
      <c r="N172" t="n">
        <v>0</v>
      </c>
      <c r="O172" t="n">
        <v>0</v>
      </c>
      <c r="P172" t="n">
        <v>0</v>
      </c>
      <c r="Q172" t="n">
        <v>0</v>
      </c>
      <c r="R172" s="2" t="inlineStr"/>
    </row>
    <row r="173" ht="15" customHeight="1">
      <c r="A173" t="inlineStr">
        <is>
          <t>A 43092-2024</t>
        </is>
      </c>
      <c r="B173" s="1" t="n">
        <v>45567</v>
      </c>
      <c r="C173" s="1" t="n">
        <v>46139</v>
      </c>
      <c r="D173" t="inlineStr">
        <is>
          <t>KALMAR LÄN</t>
        </is>
      </c>
      <c r="E173" t="inlineStr">
        <is>
          <t>VIMMERBY</t>
        </is>
      </c>
      <c r="G173" t="n">
        <v>2.7</v>
      </c>
      <c r="H173" t="n">
        <v>0</v>
      </c>
      <c r="I173" t="n">
        <v>0</v>
      </c>
      <c r="J173" t="n">
        <v>0</v>
      </c>
      <c r="K173" t="n">
        <v>0</v>
      </c>
      <c r="L173" t="n">
        <v>0</v>
      </c>
      <c r="M173" t="n">
        <v>0</v>
      </c>
      <c r="N173" t="n">
        <v>0</v>
      </c>
      <c r="O173" t="n">
        <v>0</v>
      </c>
      <c r="P173" t="n">
        <v>0</v>
      </c>
      <c r="Q173" t="n">
        <v>0</v>
      </c>
      <c r="R173" s="2" t="inlineStr"/>
    </row>
    <row r="174" ht="15" customHeight="1">
      <c r="A174" t="inlineStr">
        <is>
          <t>A 8453-2022</t>
        </is>
      </c>
      <c r="B174" s="1" t="n">
        <v>44612.86554398148</v>
      </c>
      <c r="C174" s="1" t="n">
        <v>46139</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52433-2021</t>
        </is>
      </c>
      <c r="B175" s="1" t="n">
        <v>44466.34726851852</v>
      </c>
      <c r="C175" s="1" t="n">
        <v>46139</v>
      </c>
      <c r="D175" t="inlineStr">
        <is>
          <t>KALMAR LÄN</t>
        </is>
      </c>
      <c r="E175" t="inlineStr">
        <is>
          <t>VIMMERBY</t>
        </is>
      </c>
      <c r="G175" t="n">
        <v>3.5</v>
      </c>
      <c r="H175" t="n">
        <v>0</v>
      </c>
      <c r="I175" t="n">
        <v>0</v>
      </c>
      <c r="J175" t="n">
        <v>0</v>
      </c>
      <c r="K175" t="n">
        <v>0</v>
      </c>
      <c r="L175" t="n">
        <v>0</v>
      </c>
      <c r="M175" t="n">
        <v>0</v>
      </c>
      <c r="N175" t="n">
        <v>0</v>
      </c>
      <c r="O175" t="n">
        <v>0</v>
      </c>
      <c r="P175" t="n">
        <v>0</v>
      </c>
      <c r="Q175" t="n">
        <v>0</v>
      </c>
      <c r="R175" s="2" t="inlineStr"/>
    </row>
    <row r="176" ht="15" customHeight="1">
      <c r="A176" t="inlineStr">
        <is>
          <t>A 52435-2021</t>
        </is>
      </c>
      <c r="B176" s="1" t="n">
        <v>44466.34962962963</v>
      </c>
      <c r="C176" s="1" t="n">
        <v>46139</v>
      </c>
      <c r="D176" t="inlineStr">
        <is>
          <t>KALMAR LÄN</t>
        </is>
      </c>
      <c r="E176" t="inlineStr">
        <is>
          <t>VIMMERBY</t>
        </is>
      </c>
      <c r="G176" t="n">
        <v>2.8</v>
      </c>
      <c r="H176" t="n">
        <v>0</v>
      </c>
      <c r="I176" t="n">
        <v>0</v>
      </c>
      <c r="J176" t="n">
        <v>0</v>
      </c>
      <c r="K176" t="n">
        <v>0</v>
      </c>
      <c r="L176" t="n">
        <v>0</v>
      </c>
      <c r="M176" t="n">
        <v>0</v>
      </c>
      <c r="N176" t="n">
        <v>0</v>
      </c>
      <c r="O176" t="n">
        <v>0</v>
      </c>
      <c r="P176" t="n">
        <v>0</v>
      </c>
      <c r="Q176" t="n">
        <v>0</v>
      </c>
      <c r="R176" s="2" t="inlineStr"/>
    </row>
    <row r="177" ht="15" customHeight="1">
      <c r="A177" t="inlineStr">
        <is>
          <t>A 50621-2022</t>
        </is>
      </c>
      <c r="B177" s="1" t="n">
        <v>44866.81100694444</v>
      </c>
      <c r="C177" s="1" t="n">
        <v>46139</v>
      </c>
      <c r="D177" t="inlineStr">
        <is>
          <t>KALMAR LÄN</t>
        </is>
      </c>
      <c r="E177" t="inlineStr">
        <is>
          <t>VIMMERBY</t>
        </is>
      </c>
      <c r="F177" t="inlineStr">
        <is>
          <t>Övriga Aktiebolag</t>
        </is>
      </c>
      <c r="G177" t="n">
        <v>5.1</v>
      </c>
      <c r="H177" t="n">
        <v>0</v>
      </c>
      <c r="I177" t="n">
        <v>0</v>
      </c>
      <c r="J177" t="n">
        <v>0</v>
      </c>
      <c r="K177" t="n">
        <v>0</v>
      </c>
      <c r="L177" t="n">
        <v>0</v>
      </c>
      <c r="M177" t="n">
        <v>0</v>
      </c>
      <c r="N177" t="n">
        <v>0</v>
      </c>
      <c r="O177" t="n">
        <v>0</v>
      </c>
      <c r="P177" t="n">
        <v>0</v>
      </c>
      <c r="Q177" t="n">
        <v>0</v>
      </c>
      <c r="R177" s="2" t="inlineStr"/>
    </row>
    <row r="178" ht="15" customHeight="1">
      <c r="A178" t="inlineStr">
        <is>
          <t>A 54065-2021</t>
        </is>
      </c>
      <c r="B178" s="1" t="n">
        <v>44470.44232638889</v>
      </c>
      <c r="C178" s="1" t="n">
        <v>46139</v>
      </c>
      <c r="D178" t="inlineStr">
        <is>
          <t>KALMAR LÄN</t>
        </is>
      </c>
      <c r="E178" t="inlineStr">
        <is>
          <t>VIMMERBY</t>
        </is>
      </c>
      <c r="G178" t="n">
        <v>0.9</v>
      </c>
      <c r="H178" t="n">
        <v>0</v>
      </c>
      <c r="I178" t="n">
        <v>0</v>
      </c>
      <c r="J178" t="n">
        <v>0</v>
      </c>
      <c r="K178" t="n">
        <v>0</v>
      </c>
      <c r="L178" t="n">
        <v>0</v>
      </c>
      <c r="M178" t="n">
        <v>0</v>
      </c>
      <c r="N178" t="n">
        <v>0</v>
      </c>
      <c r="O178" t="n">
        <v>0</v>
      </c>
      <c r="P178" t="n">
        <v>0</v>
      </c>
      <c r="Q178" t="n">
        <v>0</v>
      </c>
      <c r="R178" s="2" t="inlineStr"/>
    </row>
    <row r="179" ht="15" customHeight="1">
      <c r="A179" t="inlineStr">
        <is>
          <t>A 31824-2022</t>
        </is>
      </c>
      <c r="B179" s="1" t="n">
        <v>44776</v>
      </c>
      <c r="C179" s="1" t="n">
        <v>46139</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32603-2021</t>
        </is>
      </c>
      <c r="B180" s="1" t="n">
        <v>44375.38789351852</v>
      </c>
      <c r="C180" s="1" t="n">
        <v>46139</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11733-2022</t>
        </is>
      </c>
      <c r="B181" s="1" t="n">
        <v>44634</v>
      </c>
      <c r="C181" s="1" t="n">
        <v>46139</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36117-2021</t>
        </is>
      </c>
      <c r="B182" s="1" t="n">
        <v>44386</v>
      </c>
      <c r="C182" s="1" t="n">
        <v>46139</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42521-2021</t>
        </is>
      </c>
      <c r="B183" s="1" t="n">
        <v>44427</v>
      </c>
      <c r="C183" s="1" t="n">
        <v>46139</v>
      </c>
      <c r="D183" t="inlineStr">
        <is>
          <t>KALMAR LÄN</t>
        </is>
      </c>
      <c r="E183" t="inlineStr">
        <is>
          <t>VIMMERBY</t>
        </is>
      </c>
      <c r="G183" t="n">
        <v>5.4</v>
      </c>
      <c r="H183" t="n">
        <v>0</v>
      </c>
      <c r="I183" t="n">
        <v>0</v>
      </c>
      <c r="J183" t="n">
        <v>0</v>
      </c>
      <c r="K183" t="n">
        <v>0</v>
      </c>
      <c r="L183" t="n">
        <v>0</v>
      </c>
      <c r="M183" t="n">
        <v>0</v>
      </c>
      <c r="N183" t="n">
        <v>0</v>
      </c>
      <c r="O183" t="n">
        <v>0</v>
      </c>
      <c r="P183" t="n">
        <v>0</v>
      </c>
      <c r="Q183" t="n">
        <v>0</v>
      </c>
      <c r="R183" s="2" t="inlineStr"/>
    </row>
    <row r="184" ht="15" customHeight="1">
      <c r="A184" t="inlineStr">
        <is>
          <t>A 35127-2024</t>
        </is>
      </c>
      <c r="B184" s="1" t="n">
        <v>45530.33202546297</v>
      </c>
      <c r="C184" s="1" t="n">
        <v>46139</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7804-2022</t>
        </is>
      </c>
      <c r="B185" s="1" t="n">
        <v>44608.50458333334</v>
      </c>
      <c r="C185" s="1" t="n">
        <v>46139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46139</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60215-2022</t>
        </is>
      </c>
      <c r="B187" s="1" t="n">
        <v>44910.41346064815</v>
      </c>
      <c r="C187" s="1" t="n">
        <v>46139</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29441-2024</t>
        </is>
      </c>
      <c r="B188" s="1" t="n">
        <v>45483.82834490741</v>
      </c>
      <c r="C188" s="1" t="n">
        <v>46139</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4076-2022</t>
        </is>
      </c>
      <c r="B189" s="1" t="n">
        <v>44588.37998842593</v>
      </c>
      <c r="C189" s="1" t="n">
        <v>46139</v>
      </c>
      <c r="D189" t="inlineStr">
        <is>
          <t>KALMAR LÄN</t>
        </is>
      </c>
      <c r="E189" t="inlineStr">
        <is>
          <t>VIMMERBY</t>
        </is>
      </c>
      <c r="G189" t="n">
        <v>3</v>
      </c>
      <c r="H189" t="n">
        <v>0</v>
      </c>
      <c r="I189" t="n">
        <v>0</v>
      </c>
      <c r="J189" t="n">
        <v>0</v>
      </c>
      <c r="K189" t="n">
        <v>0</v>
      </c>
      <c r="L189" t="n">
        <v>0</v>
      </c>
      <c r="M189" t="n">
        <v>0</v>
      </c>
      <c r="N189" t="n">
        <v>0</v>
      </c>
      <c r="O189" t="n">
        <v>0</v>
      </c>
      <c r="P189" t="n">
        <v>0</v>
      </c>
      <c r="Q189" t="n">
        <v>0</v>
      </c>
      <c r="R189" s="2" t="inlineStr"/>
    </row>
    <row r="190" ht="15" customHeight="1">
      <c r="A190" t="inlineStr">
        <is>
          <t>A 4122-2022</t>
        </is>
      </c>
      <c r="B190" s="1" t="n">
        <v>44588</v>
      </c>
      <c r="C190" s="1" t="n">
        <v>46139</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46964-2022</t>
        </is>
      </c>
      <c r="B191" s="1" t="n">
        <v>44851.95016203704</v>
      </c>
      <c r="C191" s="1" t="n">
        <v>46139</v>
      </c>
      <c r="D191" t="inlineStr">
        <is>
          <t>KALMAR LÄN</t>
        </is>
      </c>
      <c r="E191" t="inlineStr">
        <is>
          <t>VIMMERBY</t>
        </is>
      </c>
      <c r="G191" t="n">
        <v>0.2</v>
      </c>
      <c r="H191" t="n">
        <v>0</v>
      </c>
      <c r="I191" t="n">
        <v>0</v>
      </c>
      <c r="J191" t="n">
        <v>0</v>
      </c>
      <c r="K191" t="n">
        <v>0</v>
      </c>
      <c r="L191" t="n">
        <v>0</v>
      </c>
      <c r="M191" t="n">
        <v>0</v>
      </c>
      <c r="N191" t="n">
        <v>0</v>
      </c>
      <c r="O191" t="n">
        <v>0</v>
      </c>
      <c r="P191" t="n">
        <v>0</v>
      </c>
      <c r="Q191" t="n">
        <v>0</v>
      </c>
      <c r="R191" s="2" t="inlineStr"/>
    </row>
    <row r="192" ht="15" customHeight="1">
      <c r="A192" t="inlineStr">
        <is>
          <t>A 58374-2024</t>
        </is>
      </c>
      <c r="B192" s="1" t="n">
        <v>45632.72635416667</v>
      </c>
      <c r="C192" s="1" t="n">
        <v>46139</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13015-2023</t>
        </is>
      </c>
      <c r="B193" s="1" t="n">
        <v>45002</v>
      </c>
      <c r="C193" s="1" t="n">
        <v>46139</v>
      </c>
      <c r="D193" t="inlineStr">
        <is>
          <t>KALMAR LÄN</t>
        </is>
      </c>
      <c r="E193" t="inlineStr">
        <is>
          <t>VIMMERBY</t>
        </is>
      </c>
      <c r="G193" t="n">
        <v>3.2</v>
      </c>
      <c r="H193" t="n">
        <v>0</v>
      </c>
      <c r="I193" t="n">
        <v>0</v>
      </c>
      <c r="J193" t="n">
        <v>0</v>
      </c>
      <c r="K193" t="n">
        <v>0</v>
      </c>
      <c r="L193" t="n">
        <v>0</v>
      </c>
      <c r="M193" t="n">
        <v>0</v>
      </c>
      <c r="N193" t="n">
        <v>0</v>
      </c>
      <c r="O193" t="n">
        <v>0</v>
      </c>
      <c r="P193" t="n">
        <v>0</v>
      </c>
      <c r="Q193" t="n">
        <v>0</v>
      </c>
      <c r="R193" s="2" t="inlineStr"/>
    </row>
    <row r="194" ht="15" customHeight="1">
      <c r="A194" t="inlineStr">
        <is>
          <t>A 6216-2025</t>
        </is>
      </c>
      <c r="B194" s="1" t="n">
        <v>45698.52806712963</v>
      </c>
      <c r="C194" s="1" t="n">
        <v>46139</v>
      </c>
      <c r="D194" t="inlineStr">
        <is>
          <t>KALMAR LÄN</t>
        </is>
      </c>
      <c r="E194" t="inlineStr">
        <is>
          <t>VIMMERBY</t>
        </is>
      </c>
      <c r="G194" t="n">
        <v>1.2</v>
      </c>
      <c r="H194" t="n">
        <v>0</v>
      </c>
      <c r="I194" t="n">
        <v>0</v>
      </c>
      <c r="J194" t="n">
        <v>0</v>
      </c>
      <c r="K194" t="n">
        <v>0</v>
      </c>
      <c r="L194" t="n">
        <v>0</v>
      </c>
      <c r="M194" t="n">
        <v>0</v>
      </c>
      <c r="N194" t="n">
        <v>0</v>
      </c>
      <c r="O194" t="n">
        <v>0</v>
      </c>
      <c r="P194" t="n">
        <v>0</v>
      </c>
      <c r="Q194" t="n">
        <v>0</v>
      </c>
      <c r="R194" s="2" t="inlineStr"/>
    </row>
    <row r="195" ht="15" customHeight="1">
      <c r="A195" t="inlineStr">
        <is>
          <t>A 62779-2023</t>
        </is>
      </c>
      <c r="B195" s="1" t="n">
        <v>45271.66576388889</v>
      </c>
      <c r="C195" s="1" t="n">
        <v>46139</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52294-2023</t>
        </is>
      </c>
      <c r="B196" s="1" t="n">
        <v>45224.60075231481</v>
      </c>
      <c r="C196" s="1" t="n">
        <v>46139</v>
      </c>
      <c r="D196" t="inlineStr">
        <is>
          <t>KALMAR LÄN</t>
        </is>
      </c>
      <c r="E196" t="inlineStr">
        <is>
          <t>VIMMERBY</t>
        </is>
      </c>
      <c r="F196" t="inlineStr">
        <is>
          <t>Sveaskog</t>
        </is>
      </c>
      <c r="G196" t="n">
        <v>2.5</v>
      </c>
      <c r="H196" t="n">
        <v>0</v>
      </c>
      <c r="I196" t="n">
        <v>0</v>
      </c>
      <c r="J196" t="n">
        <v>0</v>
      </c>
      <c r="K196" t="n">
        <v>0</v>
      </c>
      <c r="L196" t="n">
        <v>0</v>
      </c>
      <c r="M196" t="n">
        <v>0</v>
      </c>
      <c r="N196" t="n">
        <v>0</v>
      </c>
      <c r="O196" t="n">
        <v>0</v>
      </c>
      <c r="P196" t="n">
        <v>0</v>
      </c>
      <c r="Q196" t="n">
        <v>0</v>
      </c>
      <c r="R196" s="2" t="inlineStr"/>
    </row>
    <row r="197" ht="15" customHeight="1">
      <c r="A197" t="inlineStr">
        <is>
          <t>A 29186-2024</t>
        </is>
      </c>
      <c r="B197" s="1" t="n">
        <v>45482.54844907407</v>
      </c>
      <c r="C197" s="1" t="n">
        <v>46139</v>
      </c>
      <c r="D197" t="inlineStr">
        <is>
          <t>KALMAR LÄN</t>
        </is>
      </c>
      <c r="E197" t="inlineStr">
        <is>
          <t>VIMMERBY</t>
        </is>
      </c>
      <c r="G197" t="n">
        <v>2.6</v>
      </c>
      <c r="H197" t="n">
        <v>0</v>
      </c>
      <c r="I197" t="n">
        <v>0</v>
      </c>
      <c r="J197" t="n">
        <v>0</v>
      </c>
      <c r="K197" t="n">
        <v>0</v>
      </c>
      <c r="L197" t="n">
        <v>0</v>
      </c>
      <c r="M197" t="n">
        <v>0</v>
      </c>
      <c r="N197" t="n">
        <v>0</v>
      </c>
      <c r="O197" t="n">
        <v>0</v>
      </c>
      <c r="P197" t="n">
        <v>0</v>
      </c>
      <c r="Q197" t="n">
        <v>0</v>
      </c>
      <c r="R197" s="2" t="inlineStr"/>
    </row>
    <row r="198" ht="15" customHeight="1">
      <c r="A198" t="inlineStr">
        <is>
          <t>A 50993-2022</t>
        </is>
      </c>
      <c r="B198" s="1" t="n">
        <v>44867</v>
      </c>
      <c r="C198" s="1" t="n">
        <v>46139</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54787-2023</t>
        </is>
      </c>
      <c r="B199" s="1" t="n">
        <v>45236</v>
      </c>
      <c r="C199" s="1" t="n">
        <v>46139</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46139</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31013-2023</t>
        </is>
      </c>
      <c r="B201" s="1" t="n">
        <v>45113.56574074074</v>
      </c>
      <c r="C201" s="1" t="n">
        <v>46139</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32614-2023</t>
        </is>
      </c>
      <c r="B202" s="1" t="n">
        <v>45121</v>
      </c>
      <c r="C202" s="1" t="n">
        <v>46139</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6850-2023</t>
        </is>
      </c>
      <c r="B203" s="1" t="n">
        <v>44967.44255787037</v>
      </c>
      <c r="C203" s="1" t="n">
        <v>46139</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58750-2022</t>
        </is>
      </c>
      <c r="B204" s="1" t="n">
        <v>44903.33363425926</v>
      </c>
      <c r="C204" s="1" t="n">
        <v>46139</v>
      </c>
      <c r="D204" t="inlineStr">
        <is>
          <t>KALMAR LÄN</t>
        </is>
      </c>
      <c r="E204" t="inlineStr">
        <is>
          <t>VIMMERBY</t>
        </is>
      </c>
      <c r="G204" t="n">
        <v>3.3</v>
      </c>
      <c r="H204" t="n">
        <v>0</v>
      </c>
      <c r="I204" t="n">
        <v>0</v>
      </c>
      <c r="J204" t="n">
        <v>0</v>
      </c>
      <c r="K204" t="n">
        <v>0</v>
      </c>
      <c r="L204" t="n">
        <v>0</v>
      </c>
      <c r="M204" t="n">
        <v>0</v>
      </c>
      <c r="N204" t="n">
        <v>0</v>
      </c>
      <c r="O204" t="n">
        <v>0</v>
      </c>
      <c r="P204" t="n">
        <v>0</v>
      </c>
      <c r="Q204" t="n">
        <v>0</v>
      </c>
      <c r="R204" s="2" t="inlineStr"/>
    </row>
    <row r="205" ht="15" customHeight="1">
      <c r="A205" t="inlineStr">
        <is>
          <t>A 72067-2021</t>
        </is>
      </c>
      <c r="B205" s="1" t="n">
        <v>44540</v>
      </c>
      <c r="C205" s="1" t="n">
        <v>46139</v>
      </c>
      <c r="D205" t="inlineStr">
        <is>
          <t>KALMAR LÄN</t>
        </is>
      </c>
      <c r="E205" t="inlineStr">
        <is>
          <t>VIMMERBY</t>
        </is>
      </c>
      <c r="G205" t="n">
        <v>1.6</v>
      </c>
      <c r="H205" t="n">
        <v>0</v>
      </c>
      <c r="I205" t="n">
        <v>0</v>
      </c>
      <c r="J205" t="n">
        <v>0</v>
      </c>
      <c r="K205" t="n">
        <v>0</v>
      </c>
      <c r="L205" t="n">
        <v>0</v>
      </c>
      <c r="M205" t="n">
        <v>0</v>
      </c>
      <c r="N205" t="n">
        <v>0</v>
      </c>
      <c r="O205" t="n">
        <v>0</v>
      </c>
      <c r="P205" t="n">
        <v>0</v>
      </c>
      <c r="Q205" t="n">
        <v>0</v>
      </c>
      <c r="R205" s="2" t="inlineStr"/>
    </row>
    <row r="206" ht="15" customHeight="1">
      <c r="A206" t="inlineStr">
        <is>
          <t>A 61538-2022</t>
        </is>
      </c>
      <c r="B206" s="1" t="n">
        <v>44916.55414351852</v>
      </c>
      <c r="C206" s="1" t="n">
        <v>46139</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11609-2023</t>
        </is>
      </c>
      <c r="B207" s="1" t="n">
        <v>44994.40635416667</v>
      </c>
      <c r="C207" s="1" t="n">
        <v>46139</v>
      </c>
      <c r="D207" t="inlineStr">
        <is>
          <t>KALMAR LÄN</t>
        </is>
      </c>
      <c r="E207" t="inlineStr">
        <is>
          <t>VIMMERBY</t>
        </is>
      </c>
      <c r="G207" t="n">
        <v>4.9</v>
      </c>
      <c r="H207" t="n">
        <v>0</v>
      </c>
      <c r="I207" t="n">
        <v>0</v>
      </c>
      <c r="J207" t="n">
        <v>0</v>
      </c>
      <c r="K207" t="n">
        <v>0</v>
      </c>
      <c r="L207" t="n">
        <v>0</v>
      </c>
      <c r="M207" t="n">
        <v>0</v>
      </c>
      <c r="N207" t="n">
        <v>0</v>
      </c>
      <c r="O207" t="n">
        <v>0</v>
      </c>
      <c r="P207" t="n">
        <v>0</v>
      </c>
      <c r="Q207" t="n">
        <v>0</v>
      </c>
      <c r="R207" s="2" t="inlineStr"/>
    </row>
    <row r="208" ht="15" customHeight="1">
      <c r="A208" t="inlineStr">
        <is>
          <t>A 41158-2023</t>
        </is>
      </c>
      <c r="B208" s="1" t="n">
        <v>45174.31395833333</v>
      </c>
      <c r="C208" s="1" t="n">
        <v>46139</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2510-2023</t>
        </is>
      </c>
      <c r="B209" s="1" t="n">
        <v>44943.57309027778</v>
      </c>
      <c r="C209" s="1" t="n">
        <v>46139</v>
      </c>
      <c r="D209" t="inlineStr">
        <is>
          <t>KALMAR LÄN</t>
        </is>
      </c>
      <c r="E209" t="inlineStr">
        <is>
          <t>VIMMERBY</t>
        </is>
      </c>
      <c r="G209" t="n">
        <v>8.6</v>
      </c>
      <c r="H209" t="n">
        <v>0</v>
      </c>
      <c r="I209" t="n">
        <v>0</v>
      </c>
      <c r="J209" t="n">
        <v>0</v>
      </c>
      <c r="K209" t="n">
        <v>0</v>
      </c>
      <c r="L209" t="n">
        <v>0</v>
      </c>
      <c r="M209" t="n">
        <v>0</v>
      </c>
      <c r="N209" t="n">
        <v>0</v>
      </c>
      <c r="O209" t="n">
        <v>0</v>
      </c>
      <c r="P209" t="n">
        <v>0</v>
      </c>
      <c r="Q209" t="n">
        <v>0</v>
      </c>
      <c r="R209" s="2" t="inlineStr"/>
    </row>
    <row r="210" ht="15" customHeight="1">
      <c r="A210" t="inlineStr">
        <is>
          <t>A 3269-2024</t>
        </is>
      </c>
      <c r="B210" s="1" t="n">
        <v>45317.40372685185</v>
      </c>
      <c r="C210" s="1" t="n">
        <v>46139</v>
      </c>
      <c r="D210" t="inlineStr">
        <is>
          <t>KALMAR LÄN</t>
        </is>
      </c>
      <c r="E210" t="inlineStr">
        <is>
          <t>VIMMERBY</t>
        </is>
      </c>
      <c r="F210" t="inlineStr">
        <is>
          <t>Övriga Aktiebolag</t>
        </is>
      </c>
      <c r="G210" t="n">
        <v>1.7</v>
      </c>
      <c r="H210" t="n">
        <v>0</v>
      </c>
      <c r="I210" t="n">
        <v>0</v>
      </c>
      <c r="J210" t="n">
        <v>0</v>
      </c>
      <c r="K210" t="n">
        <v>0</v>
      </c>
      <c r="L210" t="n">
        <v>0</v>
      </c>
      <c r="M210" t="n">
        <v>0</v>
      </c>
      <c r="N210" t="n">
        <v>0</v>
      </c>
      <c r="O210" t="n">
        <v>0</v>
      </c>
      <c r="P210" t="n">
        <v>0</v>
      </c>
      <c r="Q210" t="n">
        <v>0</v>
      </c>
      <c r="R210" s="2" t="inlineStr"/>
    </row>
    <row r="211" ht="15" customHeight="1">
      <c r="A211" t="inlineStr">
        <is>
          <t>A 48120-2022</t>
        </is>
      </c>
      <c r="B211" s="1" t="n">
        <v>44857.65989583333</v>
      </c>
      <c r="C211" s="1" t="n">
        <v>46139</v>
      </c>
      <c r="D211" t="inlineStr">
        <is>
          <t>KALMAR LÄN</t>
        </is>
      </c>
      <c r="E211" t="inlineStr">
        <is>
          <t>VIMMERBY</t>
        </is>
      </c>
      <c r="G211" t="n">
        <v>1.7</v>
      </c>
      <c r="H211" t="n">
        <v>0</v>
      </c>
      <c r="I211" t="n">
        <v>0</v>
      </c>
      <c r="J211" t="n">
        <v>0</v>
      </c>
      <c r="K211" t="n">
        <v>0</v>
      </c>
      <c r="L211" t="n">
        <v>0</v>
      </c>
      <c r="M211" t="n">
        <v>0</v>
      </c>
      <c r="N211" t="n">
        <v>0</v>
      </c>
      <c r="O211" t="n">
        <v>0</v>
      </c>
      <c r="P211" t="n">
        <v>0</v>
      </c>
      <c r="Q211" t="n">
        <v>0</v>
      </c>
      <c r="R211" s="2" t="inlineStr"/>
    </row>
    <row r="212" ht="15" customHeight="1">
      <c r="A212" t="inlineStr">
        <is>
          <t>A 6368-2023</t>
        </is>
      </c>
      <c r="B212" s="1" t="n">
        <v>44965</v>
      </c>
      <c r="C212" s="1" t="n">
        <v>46139</v>
      </c>
      <c r="D212" t="inlineStr">
        <is>
          <t>KALMAR LÄN</t>
        </is>
      </c>
      <c r="E212" t="inlineStr">
        <is>
          <t>VIMMERBY</t>
        </is>
      </c>
      <c r="G212" t="n">
        <v>1.3</v>
      </c>
      <c r="H212" t="n">
        <v>0</v>
      </c>
      <c r="I212" t="n">
        <v>0</v>
      </c>
      <c r="J212" t="n">
        <v>0</v>
      </c>
      <c r="K212" t="n">
        <v>0</v>
      </c>
      <c r="L212" t="n">
        <v>0</v>
      </c>
      <c r="M212" t="n">
        <v>0</v>
      </c>
      <c r="N212" t="n">
        <v>0</v>
      </c>
      <c r="O212" t="n">
        <v>0</v>
      </c>
      <c r="P212" t="n">
        <v>0</v>
      </c>
      <c r="Q212" t="n">
        <v>0</v>
      </c>
      <c r="R212" s="2" t="inlineStr"/>
    </row>
    <row r="213" ht="15" customHeight="1">
      <c r="A213" t="inlineStr">
        <is>
          <t>A 16983-2023</t>
        </is>
      </c>
      <c r="B213" s="1" t="n">
        <v>45033.76043981482</v>
      </c>
      <c r="C213" s="1" t="n">
        <v>46139</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9416-2024</t>
        </is>
      </c>
      <c r="B214" s="1" t="n">
        <v>45359.44837962963</v>
      </c>
      <c r="C214" s="1" t="n">
        <v>46139</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46144-2023</t>
        </is>
      </c>
      <c r="B215" s="1" t="n">
        <v>45196.57247685185</v>
      </c>
      <c r="C215" s="1" t="n">
        <v>46139</v>
      </c>
      <c r="D215" t="inlineStr">
        <is>
          <t>KALMAR LÄN</t>
        </is>
      </c>
      <c r="E215" t="inlineStr">
        <is>
          <t>VIMMERBY</t>
        </is>
      </c>
      <c r="G215" t="n">
        <v>6.5</v>
      </c>
      <c r="H215" t="n">
        <v>0</v>
      </c>
      <c r="I215" t="n">
        <v>0</v>
      </c>
      <c r="J215" t="n">
        <v>0</v>
      </c>
      <c r="K215" t="n">
        <v>0</v>
      </c>
      <c r="L215" t="n">
        <v>0</v>
      </c>
      <c r="M215" t="n">
        <v>0</v>
      </c>
      <c r="N215" t="n">
        <v>0</v>
      </c>
      <c r="O215" t="n">
        <v>0</v>
      </c>
      <c r="P215" t="n">
        <v>0</v>
      </c>
      <c r="Q215" t="n">
        <v>0</v>
      </c>
      <c r="R215" s="2" t="inlineStr"/>
    </row>
    <row r="216" ht="15" customHeight="1">
      <c r="A216" t="inlineStr">
        <is>
          <t>A 36155-2023</t>
        </is>
      </c>
      <c r="B216" s="1" t="n">
        <v>45149.60917824074</v>
      </c>
      <c r="C216" s="1" t="n">
        <v>46139</v>
      </c>
      <c r="D216" t="inlineStr">
        <is>
          <t>KALMAR LÄN</t>
        </is>
      </c>
      <c r="E216" t="inlineStr">
        <is>
          <t>VIMMERBY</t>
        </is>
      </c>
      <c r="G216" t="n">
        <v>5</v>
      </c>
      <c r="H216" t="n">
        <v>0</v>
      </c>
      <c r="I216" t="n">
        <v>0</v>
      </c>
      <c r="J216" t="n">
        <v>0</v>
      </c>
      <c r="K216" t="n">
        <v>0</v>
      </c>
      <c r="L216" t="n">
        <v>0</v>
      </c>
      <c r="M216" t="n">
        <v>0</v>
      </c>
      <c r="N216" t="n">
        <v>0</v>
      </c>
      <c r="O216" t="n">
        <v>0</v>
      </c>
      <c r="P216" t="n">
        <v>0</v>
      </c>
      <c r="Q216" t="n">
        <v>0</v>
      </c>
      <c r="R216" s="2" t="inlineStr"/>
    </row>
    <row r="217" ht="15" customHeight="1">
      <c r="A217" t="inlineStr">
        <is>
          <t>A 29173-2024</t>
        </is>
      </c>
      <c r="B217" s="1" t="n">
        <v>45482.52887731481</v>
      </c>
      <c r="C217" s="1" t="n">
        <v>46139</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53542-2022</t>
        </is>
      </c>
      <c r="B218" s="1" t="n">
        <v>44879.62173611111</v>
      </c>
      <c r="C218" s="1" t="n">
        <v>46139</v>
      </c>
      <c r="D218" t="inlineStr">
        <is>
          <t>KALMAR LÄN</t>
        </is>
      </c>
      <c r="E218" t="inlineStr">
        <is>
          <t>VIMMERBY</t>
        </is>
      </c>
      <c r="G218" t="n">
        <v>2.6</v>
      </c>
      <c r="H218" t="n">
        <v>0</v>
      </c>
      <c r="I218" t="n">
        <v>0</v>
      </c>
      <c r="J218" t="n">
        <v>0</v>
      </c>
      <c r="K218" t="n">
        <v>0</v>
      </c>
      <c r="L218" t="n">
        <v>0</v>
      </c>
      <c r="M218" t="n">
        <v>0</v>
      </c>
      <c r="N218" t="n">
        <v>0</v>
      </c>
      <c r="O218" t="n">
        <v>0</v>
      </c>
      <c r="P218" t="n">
        <v>0</v>
      </c>
      <c r="Q218" t="n">
        <v>0</v>
      </c>
      <c r="R218" s="2" t="inlineStr"/>
    </row>
    <row r="219" ht="15" customHeight="1">
      <c r="A219" t="inlineStr">
        <is>
          <t>A 31382-2023</t>
        </is>
      </c>
      <c r="B219" s="1" t="n">
        <v>45114.55136574074</v>
      </c>
      <c r="C219" s="1" t="n">
        <v>46139</v>
      </c>
      <c r="D219" t="inlineStr">
        <is>
          <t>KALMAR LÄN</t>
        </is>
      </c>
      <c r="E219" t="inlineStr">
        <is>
          <t>VIMMERBY</t>
        </is>
      </c>
      <c r="G219" t="n">
        <v>3.7</v>
      </c>
      <c r="H219" t="n">
        <v>0</v>
      </c>
      <c r="I219" t="n">
        <v>0</v>
      </c>
      <c r="J219" t="n">
        <v>0</v>
      </c>
      <c r="K219" t="n">
        <v>0</v>
      </c>
      <c r="L219" t="n">
        <v>0</v>
      </c>
      <c r="M219" t="n">
        <v>0</v>
      </c>
      <c r="N219" t="n">
        <v>0</v>
      </c>
      <c r="O219" t="n">
        <v>0</v>
      </c>
      <c r="P219" t="n">
        <v>0</v>
      </c>
      <c r="Q219" t="n">
        <v>0</v>
      </c>
      <c r="R219" s="2" t="inlineStr"/>
    </row>
    <row r="220" ht="15" customHeight="1">
      <c r="A220" t="inlineStr">
        <is>
          <t>A 56213-2024</t>
        </is>
      </c>
      <c r="B220" s="1" t="n">
        <v>45624.60141203704</v>
      </c>
      <c r="C220" s="1" t="n">
        <v>46139</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54409-2024</t>
        </is>
      </c>
      <c r="B221" s="1" t="n">
        <v>45617.47570601852</v>
      </c>
      <c r="C221" s="1" t="n">
        <v>46139</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16825-2024</t>
        </is>
      </c>
      <c r="B222" s="1" t="n">
        <v>45411.47335648148</v>
      </c>
      <c r="C222" s="1" t="n">
        <v>46139</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2797-2023</t>
        </is>
      </c>
      <c r="B223" s="1" t="n">
        <v>44944.71386574074</v>
      </c>
      <c r="C223" s="1" t="n">
        <v>46139</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2799-2023</t>
        </is>
      </c>
      <c r="B224" s="1" t="n">
        <v>44944.72100694444</v>
      </c>
      <c r="C224" s="1" t="n">
        <v>46139</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7643-2022</t>
        </is>
      </c>
      <c r="B225" s="1" t="n">
        <v>44607</v>
      </c>
      <c r="C225" s="1" t="n">
        <v>46139</v>
      </c>
      <c r="D225" t="inlineStr">
        <is>
          <t>KALMAR LÄN</t>
        </is>
      </c>
      <c r="E225" t="inlineStr">
        <is>
          <t>VIMMERBY</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11027-2023</t>
        </is>
      </c>
      <c r="B226" s="1" t="n">
        <v>44991.89657407408</v>
      </c>
      <c r="C226" s="1" t="n">
        <v>46139</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25987-2024</t>
        </is>
      </c>
      <c r="B227" s="1" t="n">
        <v>45467.74417824074</v>
      </c>
      <c r="C227" s="1" t="n">
        <v>46139</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6807-2025</t>
        </is>
      </c>
      <c r="B228" s="1" t="n">
        <v>45700.68672453704</v>
      </c>
      <c r="C228" s="1" t="n">
        <v>46139</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22194-2024</t>
        </is>
      </c>
      <c r="B229" s="1" t="n">
        <v>45446.36482638889</v>
      </c>
      <c r="C229" s="1" t="n">
        <v>46139</v>
      </c>
      <c r="D229" t="inlineStr">
        <is>
          <t>KALMAR LÄN</t>
        </is>
      </c>
      <c r="E229" t="inlineStr">
        <is>
          <t>VIMMERBY</t>
        </is>
      </c>
      <c r="F229" t="inlineStr">
        <is>
          <t>Sveaskog</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7047-2022</t>
        </is>
      </c>
      <c r="B230" s="1" t="n">
        <v>44603</v>
      </c>
      <c r="C230" s="1" t="n">
        <v>46139</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53483-2022</t>
        </is>
      </c>
      <c r="B231" s="1" t="n">
        <v>44879.55940972222</v>
      </c>
      <c r="C231" s="1" t="n">
        <v>46139</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18899-2025</t>
        </is>
      </c>
      <c r="B232" s="1" t="n">
        <v>45764.44931712963</v>
      </c>
      <c r="C232" s="1" t="n">
        <v>46139</v>
      </c>
      <c r="D232" t="inlineStr">
        <is>
          <t>KALMAR LÄN</t>
        </is>
      </c>
      <c r="E232" t="inlineStr">
        <is>
          <t>VIMMERBY</t>
        </is>
      </c>
      <c r="F232" t="inlineStr">
        <is>
          <t>Kommuner</t>
        </is>
      </c>
      <c r="G232" t="n">
        <v>4</v>
      </c>
      <c r="H232" t="n">
        <v>0</v>
      </c>
      <c r="I232" t="n">
        <v>0</v>
      </c>
      <c r="J232" t="n">
        <v>0</v>
      </c>
      <c r="K232" t="n">
        <v>0</v>
      </c>
      <c r="L232" t="n">
        <v>0</v>
      </c>
      <c r="M232" t="n">
        <v>0</v>
      </c>
      <c r="N232" t="n">
        <v>0</v>
      </c>
      <c r="O232" t="n">
        <v>0</v>
      </c>
      <c r="P232" t="n">
        <v>0</v>
      </c>
      <c r="Q232" t="n">
        <v>0</v>
      </c>
      <c r="R232" s="2" t="inlineStr"/>
    </row>
    <row r="233" ht="15" customHeight="1">
      <c r="A233" t="inlineStr">
        <is>
          <t>A 20054-2023</t>
        </is>
      </c>
      <c r="B233" s="1" t="n">
        <v>45054.6750462963</v>
      </c>
      <c r="C233" s="1" t="n">
        <v>46139</v>
      </c>
      <c r="D233" t="inlineStr">
        <is>
          <t>KALMAR LÄN</t>
        </is>
      </c>
      <c r="E233" t="inlineStr">
        <is>
          <t>VIMMERBY</t>
        </is>
      </c>
      <c r="G233" t="n">
        <v>2.4</v>
      </c>
      <c r="H233" t="n">
        <v>0</v>
      </c>
      <c r="I233" t="n">
        <v>0</v>
      </c>
      <c r="J233" t="n">
        <v>0</v>
      </c>
      <c r="K233" t="n">
        <v>0</v>
      </c>
      <c r="L233" t="n">
        <v>0</v>
      </c>
      <c r="M233" t="n">
        <v>0</v>
      </c>
      <c r="N233" t="n">
        <v>0</v>
      </c>
      <c r="O233" t="n">
        <v>0</v>
      </c>
      <c r="P233" t="n">
        <v>0</v>
      </c>
      <c r="Q233" t="n">
        <v>0</v>
      </c>
      <c r="R233" s="2" t="inlineStr"/>
    </row>
    <row r="234" ht="15" customHeight="1">
      <c r="A234" t="inlineStr">
        <is>
          <t>A 35711-2023</t>
        </is>
      </c>
      <c r="B234" s="1" t="n">
        <v>45147.67172453704</v>
      </c>
      <c r="C234" s="1" t="n">
        <v>46139</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58962-2022</t>
        </is>
      </c>
      <c r="B235" s="1" t="n">
        <v>44903</v>
      </c>
      <c r="C235" s="1" t="n">
        <v>46139</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5382-2023</t>
        </is>
      </c>
      <c r="B236" s="1" t="n">
        <v>44959.66407407408</v>
      </c>
      <c r="C236" s="1" t="n">
        <v>46139</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19865-2021</t>
        </is>
      </c>
      <c r="B237" s="1" t="n">
        <v>44312</v>
      </c>
      <c r="C237" s="1" t="n">
        <v>46139</v>
      </c>
      <c r="D237" t="inlineStr">
        <is>
          <t>KALMAR LÄN</t>
        </is>
      </c>
      <c r="E237" t="inlineStr">
        <is>
          <t>VIMMERBY</t>
        </is>
      </c>
      <c r="G237" t="n">
        <v>8.6</v>
      </c>
      <c r="H237" t="n">
        <v>0</v>
      </c>
      <c r="I237" t="n">
        <v>0</v>
      </c>
      <c r="J237" t="n">
        <v>0</v>
      </c>
      <c r="K237" t="n">
        <v>0</v>
      </c>
      <c r="L237" t="n">
        <v>0</v>
      </c>
      <c r="M237" t="n">
        <v>0</v>
      </c>
      <c r="N237" t="n">
        <v>0</v>
      </c>
      <c r="O237" t="n">
        <v>0</v>
      </c>
      <c r="P237" t="n">
        <v>0</v>
      </c>
      <c r="Q237" t="n">
        <v>0</v>
      </c>
      <c r="R237" s="2" t="inlineStr"/>
    </row>
    <row r="238" ht="15" customHeight="1">
      <c r="A238" t="inlineStr">
        <is>
          <t>A 10837-2023</t>
        </is>
      </c>
      <c r="B238" s="1" t="n">
        <v>44991.30547453704</v>
      </c>
      <c r="C238" s="1" t="n">
        <v>46139</v>
      </c>
      <c r="D238" t="inlineStr">
        <is>
          <t>KALMAR LÄN</t>
        </is>
      </c>
      <c r="E238" t="inlineStr">
        <is>
          <t>VIMMERBY</t>
        </is>
      </c>
      <c r="G238" t="n">
        <v>7.3</v>
      </c>
      <c r="H238" t="n">
        <v>0</v>
      </c>
      <c r="I238" t="n">
        <v>0</v>
      </c>
      <c r="J238" t="n">
        <v>0</v>
      </c>
      <c r="K238" t="n">
        <v>0</v>
      </c>
      <c r="L238" t="n">
        <v>0</v>
      </c>
      <c r="M238" t="n">
        <v>0</v>
      </c>
      <c r="N238" t="n">
        <v>0</v>
      </c>
      <c r="O238" t="n">
        <v>0</v>
      </c>
      <c r="P238" t="n">
        <v>0</v>
      </c>
      <c r="Q238" t="n">
        <v>0</v>
      </c>
      <c r="R238" s="2" t="inlineStr"/>
    </row>
    <row r="239" ht="15" customHeight="1">
      <c r="A239" t="inlineStr">
        <is>
          <t>A 10838-2023</t>
        </is>
      </c>
      <c r="B239" s="1" t="n">
        <v>44991</v>
      </c>
      <c r="C239" s="1" t="n">
        <v>46139</v>
      </c>
      <c r="D239" t="inlineStr">
        <is>
          <t>KALMAR LÄN</t>
        </is>
      </c>
      <c r="E239" t="inlineStr">
        <is>
          <t>VIMMERBY</t>
        </is>
      </c>
      <c r="G239" t="n">
        <v>5.1</v>
      </c>
      <c r="H239" t="n">
        <v>0</v>
      </c>
      <c r="I239" t="n">
        <v>0</v>
      </c>
      <c r="J239" t="n">
        <v>0</v>
      </c>
      <c r="K239" t="n">
        <v>0</v>
      </c>
      <c r="L239" t="n">
        <v>0</v>
      </c>
      <c r="M239" t="n">
        <v>0</v>
      </c>
      <c r="N239" t="n">
        <v>0</v>
      </c>
      <c r="O239" t="n">
        <v>0</v>
      </c>
      <c r="P239" t="n">
        <v>0</v>
      </c>
      <c r="Q239" t="n">
        <v>0</v>
      </c>
      <c r="R239" s="2" t="inlineStr"/>
    </row>
    <row r="240" ht="15" customHeight="1">
      <c r="A240" t="inlineStr">
        <is>
          <t>A 40823-2023</t>
        </is>
      </c>
      <c r="B240" s="1" t="n">
        <v>45171.77335648148</v>
      </c>
      <c r="C240" s="1" t="n">
        <v>46139</v>
      </c>
      <c r="D240" t="inlineStr">
        <is>
          <t>KALMAR LÄN</t>
        </is>
      </c>
      <c r="E240" t="inlineStr">
        <is>
          <t>VIMMERBY</t>
        </is>
      </c>
      <c r="G240" t="n">
        <v>2.7</v>
      </c>
      <c r="H240" t="n">
        <v>0</v>
      </c>
      <c r="I240" t="n">
        <v>0</v>
      </c>
      <c r="J240" t="n">
        <v>0</v>
      </c>
      <c r="K240" t="n">
        <v>0</v>
      </c>
      <c r="L240" t="n">
        <v>0</v>
      </c>
      <c r="M240" t="n">
        <v>0</v>
      </c>
      <c r="N240" t="n">
        <v>0</v>
      </c>
      <c r="O240" t="n">
        <v>0</v>
      </c>
      <c r="P240" t="n">
        <v>0</v>
      </c>
      <c r="Q240" t="n">
        <v>0</v>
      </c>
      <c r="R240" s="2" t="inlineStr"/>
    </row>
    <row r="241" ht="15" customHeight="1">
      <c r="A241" t="inlineStr">
        <is>
          <t>A 6218-2025</t>
        </is>
      </c>
      <c r="B241" s="1" t="n">
        <v>45698.53336805556</v>
      </c>
      <c r="C241" s="1" t="n">
        <v>46139</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30920-2023</t>
        </is>
      </c>
      <c r="B242" s="1" t="n">
        <v>45113.43921296296</v>
      </c>
      <c r="C242" s="1" t="n">
        <v>46139</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12630-2023</t>
        </is>
      </c>
      <c r="B243" s="1" t="n">
        <v>45000.47998842593</v>
      </c>
      <c r="C243" s="1" t="n">
        <v>46139</v>
      </c>
      <c r="D243" t="inlineStr">
        <is>
          <t>KALMAR LÄN</t>
        </is>
      </c>
      <c r="E243" t="inlineStr">
        <is>
          <t>VIMMERBY</t>
        </is>
      </c>
      <c r="G243" t="n">
        <v>2.1</v>
      </c>
      <c r="H243" t="n">
        <v>0</v>
      </c>
      <c r="I243" t="n">
        <v>0</v>
      </c>
      <c r="J243" t="n">
        <v>0</v>
      </c>
      <c r="K243" t="n">
        <v>0</v>
      </c>
      <c r="L243" t="n">
        <v>0</v>
      </c>
      <c r="M243" t="n">
        <v>0</v>
      </c>
      <c r="N243" t="n">
        <v>0</v>
      </c>
      <c r="O243" t="n">
        <v>0</v>
      </c>
      <c r="P243" t="n">
        <v>0</v>
      </c>
      <c r="Q243" t="n">
        <v>0</v>
      </c>
      <c r="R243" s="2" t="inlineStr"/>
    </row>
    <row r="244" ht="15" customHeight="1">
      <c r="A244" t="inlineStr">
        <is>
          <t>A 6857-2023</t>
        </is>
      </c>
      <c r="B244" s="1" t="n">
        <v>44967.45122685185</v>
      </c>
      <c r="C244" s="1" t="n">
        <v>46139</v>
      </c>
      <c r="D244" t="inlineStr">
        <is>
          <t>KALMAR LÄN</t>
        </is>
      </c>
      <c r="E244" t="inlineStr">
        <is>
          <t>VIMMERBY</t>
        </is>
      </c>
      <c r="G244" t="n">
        <v>2.1</v>
      </c>
      <c r="H244" t="n">
        <v>0</v>
      </c>
      <c r="I244" t="n">
        <v>0</v>
      </c>
      <c r="J244" t="n">
        <v>0</v>
      </c>
      <c r="K244" t="n">
        <v>0</v>
      </c>
      <c r="L244" t="n">
        <v>0</v>
      </c>
      <c r="M244" t="n">
        <v>0</v>
      </c>
      <c r="N244" t="n">
        <v>0</v>
      </c>
      <c r="O244" t="n">
        <v>0</v>
      </c>
      <c r="P244" t="n">
        <v>0</v>
      </c>
      <c r="Q244" t="n">
        <v>0</v>
      </c>
      <c r="R244" s="2" t="inlineStr"/>
    </row>
    <row r="245" ht="15" customHeight="1">
      <c r="A245" t="inlineStr">
        <is>
          <t>A 21109-2024</t>
        </is>
      </c>
      <c r="B245" s="1" t="n">
        <v>45440.28329861111</v>
      </c>
      <c r="C245" s="1" t="n">
        <v>46139</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38604-2025</t>
        </is>
      </c>
      <c r="B246" s="1" t="n">
        <v>45884.50613425926</v>
      </c>
      <c r="C246" s="1" t="n">
        <v>46139</v>
      </c>
      <c r="D246" t="inlineStr">
        <is>
          <t>KALMAR LÄN</t>
        </is>
      </c>
      <c r="E246" t="inlineStr">
        <is>
          <t>VIMMERBY</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30634-2024</t>
        </is>
      </c>
      <c r="B247" s="1" t="n">
        <v>45495</v>
      </c>
      <c r="C247" s="1" t="n">
        <v>46139</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40260-2024</t>
        </is>
      </c>
      <c r="B248" s="1" t="n">
        <v>45554.63225694445</v>
      </c>
      <c r="C248" s="1" t="n">
        <v>46139</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13290-2025</t>
        </is>
      </c>
      <c r="B249" s="1" t="n">
        <v>45735.56751157407</v>
      </c>
      <c r="C249" s="1" t="n">
        <v>46139</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59943-2023</t>
        </is>
      </c>
      <c r="B250" s="1" t="n">
        <v>45257.67958333333</v>
      </c>
      <c r="C250" s="1" t="n">
        <v>46139</v>
      </c>
      <c r="D250" t="inlineStr">
        <is>
          <t>KALMAR LÄN</t>
        </is>
      </c>
      <c r="E250" t="inlineStr">
        <is>
          <t>VIMMERBY</t>
        </is>
      </c>
      <c r="G250" t="n">
        <v>6.4</v>
      </c>
      <c r="H250" t="n">
        <v>0</v>
      </c>
      <c r="I250" t="n">
        <v>0</v>
      </c>
      <c r="J250" t="n">
        <v>0</v>
      </c>
      <c r="K250" t="n">
        <v>0</v>
      </c>
      <c r="L250" t="n">
        <v>0</v>
      </c>
      <c r="M250" t="n">
        <v>0</v>
      </c>
      <c r="N250" t="n">
        <v>0</v>
      </c>
      <c r="O250" t="n">
        <v>0</v>
      </c>
      <c r="P250" t="n">
        <v>0</v>
      </c>
      <c r="Q250" t="n">
        <v>0</v>
      </c>
      <c r="R250" s="2" t="inlineStr"/>
    </row>
    <row r="251" ht="15" customHeight="1">
      <c r="A251" t="inlineStr">
        <is>
          <t>A 19162-2023</t>
        </is>
      </c>
      <c r="B251" s="1" t="n">
        <v>45048.59699074074</v>
      </c>
      <c r="C251" s="1" t="n">
        <v>46139</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5792-2023</t>
        </is>
      </c>
      <c r="B252" s="1" t="n">
        <v>44963.44769675926</v>
      </c>
      <c r="C252" s="1" t="n">
        <v>46139</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9475-2023</t>
        </is>
      </c>
      <c r="B253" s="1" t="n">
        <v>44981.58834490741</v>
      </c>
      <c r="C253" s="1" t="n">
        <v>46139</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10303-2025</t>
        </is>
      </c>
      <c r="B254" s="1" t="n">
        <v>45720.44217592593</v>
      </c>
      <c r="C254" s="1" t="n">
        <v>46139</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60110-2022</t>
        </is>
      </c>
      <c r="B255" s="1" t="n">
        <v>44909</v>
      </c>
      <c r="C255" s="1" t="n">
        <v>46139</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11946-2025</t>
        </is>
      </c>
      <c r="B256" s="1" t="n">
        <v>45728.54832175926</v>
      </c>
      <c r="C256" s="1" t="n">
        <v>46139</v>
      </c>
      <c r="D256" t="inlineStr">
        <is>
          <t>KALMAR LÄN</t>
        </is>
      </c>
      <c r="E256" t="inlineStr">
        <is>
          <t>VIMMERBY</t>
        </is>
      </c>
      <c r="G256" t="n">
        <v>0.4</v>
      </c>
      <c r="H256" t="n">
        <v>0</v>
      </c>
      <c r="I256" t="n">
        <v>0</v>
      </c>
      <c r="J256" t="n">
        <v>0</v>
      </c>
      <c r="K256" t="n">
        <v>0</v>
      </c>
      <c r="L256" t="n">
        <v>0</v>
      </c>
      <c r="M256" t="n">
        <v>0</v>
      </c>
      <c r="N256" t="n">
        <v>0</v>
      </c>
      <c r="O256" t="n">
        <v>0</v>
      </c>
      <c r="P256" t="n">
        <v>0</v>
      </c>
      <c r="Q256" t="n">
        <v>0</v>
      </c>
      <c r="R256" s="2" t="inlineStr"/>
    </row>
    <row r="257" ht="15" customHeight="1">
      <c r="A257" t="inlineStr">
        <is>
          <t>A 19537-2022</t>
        </is>
      </c>
      <c r="B257" s="1" t="n">
        <v>44693.62822916666</v>
      </c>
      <c r="C257" s="1" t="n">
        <v>46139</v>
      </c>
      <c r="D257" t="inlineStr">
        <is>
          <t>KALMAR LÄN</t>
        </is>
      </c>
      <c r="E257" t="inlineStr">
        <is>
          <t>VIMMERBY</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15394-2025</t>
        </is>
      </c>
      <c r="B258" s="1" t="n">
        <v>45747.43196759259</v>
      </c>
      <c r="C258" s="1" t="n">
        <v>46139</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5527-2022</t>
        </is>
      </c>
      <c r="B259" s="1" t="n">
        <v>44595.583125</v>
      </c>
      <c r="C259" s="1" t="n">
        <v>46139</v>
      </c>
      <c r="D259" t="inlineStr">
        <is>
          <t>KALMAR LÄN</t>
        </is>
      </c>
      <c r="E259" t="inlineStr">
        <is>
          <t>VIMMERBY</t>
        </is>
      </c>
      <c r="G259" t="n">
        <v>3.6</v>
      </c>
      <c r="H259" t="n">
        <v>0</v>
      </c>
      <c r="I259" t="n">
        <v>0</v>
      </c>
      <c r="J259" t="n">
        <v>0</v>
      </c>
      <c r="K259" t="n">
        <v>0</v>
      </c>
      <c r="L259" t="n">
        <v>0</v>
      </c>
      <c r="M259" t="n">
        <v>0</v>
      </c>
      <c r="N259" t="n">
        <v>0</v>
      </c>
      <c r="O259" t="n">
        <v>0</v>
      </c>
      <c r="P259" t="n">
        <v>0</v>
      </c>
      <c r="Q259" t="n">
        <v>0</v>
      </c>
      <c r="R259" s="2" t="inlineStr"/>
    </row>
    <row r="260" ht="15" customHeight="1">
      <c r="A260" t="inlineStr">
        <is>
          <t>A 15388-2025</t>
        </is>
      </c>
      <c r="B260" s="1" t="n">
        <v>45747.42633101852</v>
      </c>
      <c r="C260" s="1" t="n">
        <v>46139</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15391-2025</t>
        </is>
      </c>
      <c r="B261" s="1" t="n">
        <v>45747.42958333333</v>
      </c>
      <c r="C261" s="1" t="n">
        <v>46139</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6474-2025</t>
        </is>
      </c>
      <c r="B262" s="1" t="n">
        <v>45699.60055555555</v>
      </c>
      <c r="C262" s="1" t="n">
        <v>46139</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32919-2022</t>
        </is>
      </c>
      <c r="B263" s="1" t="n">
        <v>44784.62724537037</v>
      </c>
      <c r="C263" s="1" t="n">
        <v>46139</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12325-2023</t>
        </is>
      </c>
      <c r="B264" s="1" t="n">
        <v>44999.35858796296</v>
      </c>
      <c r="C264" s="1" t="n">
        <v>46139</v>
      </c>
      <c r="D264" t="inlineStr">
        <is>
          <t>KALMAR LÄN</t>
        </is>
      </c>
      <c r="E264" t="inlineStr">
        <is>
          <t>VIMMERBY</t>
        </is>
      </c>
      <c r="G264" t="n">
        <v>3.4</v>
      </c>
      <c r="H264" t="n">
        <v>0</v>
      </c>
      <c r="I264" t="n">
        <v>0</v>
      </c>
      <c r="J264" t="n">
        <v>0</v>
      </c>
      <c r="K264" t="n">
        <v>0</v>
      </c>
      <c r="L264" t="n">
        <v>0</v>
      </c>
      <c r="M264" t="n">
        <v>0</v>
      </c>
      <c r="N264" t="n">
        <v>0</v>
      </c>
      <c r="O264" t="n">
        <v>0</v>
      </c>
      <c r="P264" t="n">
        <v>0</v>
      </c>
      <c r="Q264" t="n">
        <v>0</v>
      </c>
      <c r="R264" s="2" t="inlineStr"/>
    </row>
    <row r="265" ht="15" customHeight="1">
      <c r="A265" t="inlineStr">
        <is>
          <t>A 60951-2023</t>
        </is>
      </c>
      <c r="B265" s="1" t="n">
        <v>45261.44914351852</v>
      </c>
      <c r="C265" s="1" t="n">
        <v>46139</v>
      </c>
      <c r="D265" t="inlineStr">
        <is>
          <t>KALMAR LÄN</t>
        </is>
      </c>
      <c r="E265" t="inlineStr">
        <is>
          <t>VIMMERBY</t>
        </is>
      </c>
      <c r="G265" t="n">
        <v>4.3</v>
      </c>
      <c r="H265" t="n">
        <v>0</v>
      </c>
      <c r="I265" t="n">
        <v>0</v>
      </c>
      <c r="J265" t="n">
        <v>0</v>
      </c>
      <c r="K265" t="n">
        <v>0</v>
      </c>
      <c r="L265" t="n">
        <v>0</v>
      </c>
      <c r="M265" t="n">
        <v>0</v>
      </c>
      <c r="N265" t="n">
        <v>0</v>
      </c>
      <c r="O265" t="n">
        <v>0</v>
      </c>
      <c r="P265" t="n">
        <v>0</v>
      </c>
      <c r="Q265" t="n">
        <v>0</v>
      </c>
      <c r="R265" s="2" t="inlineStr"/>
    </row>
    <row r="266" ht="15" customHeight="1">
      <c r="A266" t="inlineStr">
        <is>
          <t>A 60292-2022</t>
        </is>
      </c>
      <c r="B266" s="1" t="n">
        <v>44910.54231481482</v>
      </c>
      <c r="C266" s="1" t="n">
        <v>46139</v>
      </c>
      <c r="D266" t="inlineStr">
        <is>
          <t>KALMAR LÄN</t>
        </is>
      </c>
      <c r="E266" t="inlineStr">
        <is>
          <t>VIMMERBY</t>
        </is>
      </c>
      <c r="G266" t="n">
        <v>4.4</v>
      </c>
      <c r="H266" t="n">
        <v>0</v>
      </c>
      <c r="I266" t="n">
        <v>0</v>
      </c>
      <c r="J266" t="n">
        <v>0</v>
      </c>
      <c r="K266" t="n">
        <v>0</v>
      </c>
      <c r="L266" t="n">
        <v>0</v>
      </c>
      <c r="M266" t="n">
        <v>0</v>
      </c>
      <c r="N266" t="n">
        <v>0</v>
      </c>
      <c r="O266" t="n">
        <v>0</v>
      </c>
      <c r="P266" t="n">
        <v>0</v>
      </c>
      <c r="Q266" t="n">
        <v>0</v>
      </c>
      <c r="R266" s="2" t="inlineStr"/>
    </row>
    <row r="267" ht="15" customHeight="1">
      <c r="A267" t="inlineStr">
        <is>
          <t>A 29726-2025</t>
        </is>
      </c>
      <c r="B267" s="1" t="n">
        <v>45825.57805555555</v>
      </c>
      <c r="C267" s="1" t="n">
        <v>46139</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56659-2023</t>
        </is>
      </c>
      <c r="B268" s="1" t="n">
        <v>45243.84869212963</v>
      </c>
      <c r="C268" s="1" t="n">
        <v>46139</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13015-2022</t>
        </is>
      </c>
      <c r="B269" s="1" t="n">
        <v>44643</v>
      </c>
      <c r="C269" s="1" t="n">
        <v>46139</v>
      </c>
      <c r="D269" t="inlineStr">
        <is>
          <t>KALMAR LÄN</t>
        </is>
      </c>
      <c r="E269" t="inlineStr">
        <is>
          <t>VIMMERBY</t>
        </is>
      </c>
      <c r="G269" t="n">
        <v>2.4</v>
      </c>
      <c r="H269" t="n">
        <v>0</v>
      </c>
      <c r="I269" t="n">
        <v>0</v>
      </c>
      <c r="J269" t="n">
        <v>0</v>
      </c>
      <c r="K269" t="n">
        <v>0</v>
      </c>
      <c r="L269" t="n">
        <v>0</v>
      </c>
      <c r="M269" t="n">
        <v>0</v>
      </c>
      <c r="N269" t="n">
        <v>0</v>
      </c>
      <c r="O269" t="n">
        <v>0</v>
      </c>
      <c r="P269" t="n">
        <v>0</v>
      </c>
      <c r="Q269" t="n">
        <v>0</v>
      </c>
      <c r="R269" s="2" t="inlineStr"/>
    </row>
    <row r="270" ht="15" customHeight="1">
      <c r="A270" t="inlineStr">
        <is>
          <t>A 7485-2024</t>
        </is>
      </c>
      <c r="B270" s="1" t="n">
        <v>45346.67184027778</v>
      </c>
      <c r="C270" s="1" t="n">
        <v>46139</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12590-2025</t>
        </is>
      </c>
      <c r="B271" s="1" t="n">
        <v>45732.79925925926</v>
      </c>
      <c r="C271" s="1" t="n">
        <v>46139</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35710-2023</t>
        </is>
      </c>
      <c r="B272" s="1" t="n">
        <v>45147.67096064815</v>
      </c>
      <c r="C272" s="1" t="n">
        <v>46139</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52823-2024</t>
        </is>
      </c>
      <c r="B273" s="1" t="n">
        <v>45610.59094907407</v>
      </c>
      <c r="C273" s="1" t="n">
        <v>46139</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17968-2025</t>
        </is>
      </c>
      <c r="B274" s="1" t="n">
        <v>45761.35990740741</v>
      </c>
      <c r="C274" s="1" t="n">
        <v>46139</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39801-2025</t>
        </is>
      </c>
      <c r="B275" s="1" t="n">
        <v>45891.50216435185</v>
      </c>
      <c r="C275" s="1" t="n">
        <v>46139</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6028-2023</t>
        </is>
      </c>
      <c r="B276" s="1" t="n">
        <v>44964.44356481481</v>
      </c>
      <c r="C276" s="1" t="n">
        <v>46139</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55436-2023</t>
        </is>
      </c>
      <c r="B277" s="1" t="n">
        <v>45238.4328587963</v>
      </c>
      <c r="C277" s="1" t="n">
        <v>46139</v>
      </c>
      <c r="D277" t="inlineStr">
        <is>
          <t>KALMAR LÄN</t>
        </is>
      </c>
      <c r="E277" t="inlineStr">
        <is>
          <t>VIMMERBY</t>
        </is>
      </c>
      <c r="G277" t="n">
        <v>5.6</v>
      </c>
      <c r="H277" t="n">
        <v>0</v>
      </c>
      <c r="I277" t="n">
        <v>0</v>
      </c>
      <c r="J277" t="n">
        <v>0</v>
      </c>
      <c r="K277" t="n">
        <v>0</v>
      </c>
      <c r="L277" t="n">
        <v>0</v>
      </c>
      <c r="M277" t="n">
        <v>0</v>
      </c>
      <c r="N277" t="n">
        <v>0</v>
      </c>
      <c r="O277" t="n">
        <v>0</v>
      </c>
      <c r="P277" t="n">
        <v>0</v>
      </c>
      <c r="Q277" t="n">
        <v>0</v>
      </c>
      <c r="R277" s="2" t="inlineStr"/>
    </row>
    <row r="278" ht="15" customHeight="1">
      <c r="A278" t="inlineStr">
        <is>
          <t>A 11147-2023</t>
        </is>
      </c>
      <c r="B278" s="1" t="n">
        <v>44992</v>
      </c>
      <c r="C278" s="1" t="n">
        <v>46139</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19833-2023</t>
        </is>
      </c>
      <c r="B279" s="1" t="n">
        <v>45052</v>
      </c>
      <c r="C279" s="1" t="n">
        <v>46139</v>
      </c>
      <c r="D279" t="inlineStr">
        <is>
          <t>KALMAR LÄN</t>
        </is>
      </c>
      <c r="E279" t="inlineStr">
        <is>
          <t>VIMMERBY</t>
        </is>
      </c>
      <c r="G279" t="n">
        <v>6.7</v>
      </c>
      <c r="H279" t="n">
        <v>0</v>
      </c>
      <c r="I279" t="n">
        <v>0</v>
      </c>
      <c r="J279" t="n">
        <v>0</v>
      </c>
      <c r="K279" t="n">
        <v>0</v>
      </c>
      <c r="L279" t="n">
        <v>0</v>
      </c>
      <c r="M279" t="n">
        <v>0</v>
      </c>
      <c r="N279" t="n">
        <v>0</v>
      </c>
      <c r="O279" t="n">
        <v>0</v>
      </c>
      <c r="P279" t="n">
        <v>0</v>
      </c>
      <c r="Q279" t="n">
        <v>0</v>
      </c>
      <c r="R279" s="2" t="inlineStr"/>
    </row>
    <row r="280" ht="15" customHeight="1">
      <c r="A280" t="inlineStr">
        <is>
          <t>A 39807-2025</t>
        </is>
      </c>
      <c r="B280" s="1" t="n">
        <v>45891.50986111111</v>
      </c>
      <c r="C280" s="1" t="n">
        <v>46139</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39736-2025</t>
        </is>
      </c>
      <c r="B281" s="1" t="n">
        <v>45891</v>
      </c>
      <c r="C281" s="1" t="n">
        <v>46139</v>
      </c>
      <c r="D281" t="inlineStr">
        <is>
          <t>KALMAR LÄN</t>
        </is>
      </c>
      <c r="E281" t="inlineStr">
        <is>
          <t>VIMMERBY</t>
        </is>
      </c>
      <c r="G281" t="n">
        <v>12.8</v>
      </c>
      <c r="H281" t="n">
        <v>0</v>
      </c>
      <c r="I281" t="n">
        <v>0</v>
      </c>
      <c r="J281" t="n">
        <v>0</v>
      </c>
      <c r="K281" t="n">
        <v>0</v>
      </c>
      <c r="L281" t="n">
        <v>0</v>
      </c>
      <c r="M281" t="n">
        <v>0</v>
      </c>
      <c r="N281" t="n">
        <v>0</v>
      </c>
      <c r="O281" t="n">
        <v>0</v>
      </c>
      <c r="P281" t="n">
        <v>0</v>
      </c>
      <c r="Q281" t="n">
        <v>0</v>
      </c>
      <c r="R281" s="2" t="inlineStr"/>
    </row>
    <row r="282" ht="15" customHeight="1">
      <c r="A282" t="inlineStr">
        <is>
          <t>A 14548-2024</t>
        </is>
      </c>
      <c r="B282" s="1" t="n">
        <v>45394.66887731481</v>
      </c>
      <c r="C282" s="1" t="n">
        <v>46139</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56582-2022</t>
        </is>
      </c>
      <c r="B283" s="1" t="n">
        <v>44893</v>
      </c>
      <c r="C283" s="1" t="n">
        <v>46139</v>
      </c>
      <c r="D283" t="inlineStr">
        <is>
          <t>KALMAR LÄN</t>
        </is>
      </c>
      <c r="E283" t="inlineStr">
        <is>
          <t>VIMMERBY</t>
        </is>
      </c>
      <c r="G283" t="n">
        <v>2.2</v>
      </c>
      <c r="H283" t="n">
        <v>0</v>
      </c>
      <c r="I283" t="n">
        <v>0</v>
      </c>
      <c r="J283" t="n">
        <v>0</v>
      </c>
      <c r="K283" t="n">
        <v>0</v>
      </c>
      <c r="L283" t="n">
        <v>0</v>
      </c>
      <c r="M283" t="n">
        <v>0</v>
      </c>
      <c r="N283" t="n">
        <v>0</v>
      </c>
      <c r="O283" t="n">
        <v>0</v>
      </c>
      <c r="P283" t="n">
        <v>0</v>
      </c>
      <c r="Q283" t="n">
        <v>0</v>
      </c>
      <c r="R283" s="2" t="inlineStr"/>
    </row>
    <row r="284" ht="15" customHeight="1">
      <c r="A284" t="inlineStr">
        <is>
          <t>A 20-2025</t>
        </is>
      </c>
      <c r="B284" s="1" t="n">
        <v>45658.80232638889</v>
      </c>
      <c r="C284" s="1" t="n">
        <v>46139</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23-2025</t>
        </is>
      </c>
      <c r="B285" s="1" t="n">
        <v>45658.80827546296</v>
      </c>
      <c r="C285" s="1" t="n">
        <v>46139</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43962-2024</t>
        </is>
      </c>
      <c r="B286" s="1" t="n">
        <v>45572.48293981481</v>
      </c>
      <c r="C286" s="1" t="n">
        <v>46139</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585-2024</t>
        </is>
      </c>
      <c r="B287" s="1" t="n">
        <v>45299.62576388889</v>
      </c>
      <c r="C287" s="1" t="n">
        <v>46139</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1016-2024</t>
        </is>
      </c>
      <c r="B288" s="1" t="n">
        <v>45301</v>
      </c>
      <c r="C288" s="1" t="n">
        <v>46139</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35713-2023</t>
        </is>
      </c>
      <c r="B289" s="1" t="n">
        <v>45147</v>
      </c>
      <c r="C289" s="1" t="n">
        <v>46139</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56020-2024</t>
        </is>
      </c>
      <c r="B290" s="1" t="n">
        <v>45623.9525462963</v>
      </c>
      <c r="C290" s="1" t="n">
        <v>46139</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39803-2025</t>
        </is>
      </c>
      <c r="B291" s="1" t="n">
        <v>45891.50525462963</v>
      </c>
      <c r="C291" s="1" t="n">
        <v>46139</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39889-2025</t>
        </is>
      </c>
      <c r="B292" s="1" t="n">
        <v>45891</v>
      </c>
      <c r="C292" s="1" t="n">
        <v>46139</v>
      </c>
      <c r="D292" t="inlineStr">
        <is>
          <t>KALMAR LÄN</t>
        </is>
      </c>
      <c r="E292" t="inlineStr">
        <is>
          <t>VIMMERBY</t>
        </is>
      </c>
      <c r="G292" t="n">
        <v>4.5</v>
      </c>
      <c r="H292" t="n">
        <v>0</v>
      </c>
      <c r="I292" t="n">
        <v>0</v>
      </c>
      <c r="J292" t="n">
        <v>0</v>
      </c>
      <c r="K292" t="n">
        <v>0</v>
      </c>
      <c r="L292" t="n">
        <v>0</v>
      </c>
      <c r="M292" t="n">
        <v>0</v>
      </c>
      <c r="N292" t="n">
        <v>0</v>
      </c>
      <c r="O292" t="n">
        <v>0</v>
      </c>
      <c r="P292" t="n">
        <v>0</v>
      </c>
      <c r="Q292" t="n">
        <v>0</v>
      </c>
      <c r="R292" s="2" t="inlineStr"/>
    </row>
    <row r="293" ht="15" customHeight="1">
      <c r="A293" t="inlineStr">
        <is>
          <t>A 23252-2024</t>
        </is>
      </c>
      <c r="B293" s="1" t="n">
        <v>45453.36067129629</v>
      </c>
      <c r="C293" s="1" t="n">
        <v>46139</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15550-2023</t>
        </is>
      </c>
      <c r="B294" s="1" t="n">
        <v>45020</v>
      </c>
      <c r="C294" s="1" t="n">
        <v>46139</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11219-2023</t>
        </is>
      </c>
      <c r="B295" s="1" t="n">
        <v>44992.62498842592</v>
      </c>
      <c r="C295" s="1" t="n">
        <v>46139</v>
      </c>
      <c r="D295" t="inlineStr">
        <is>
          <t>KALMAR LÄN</t>
        </is>
      </c>
      <c r="E295" t="inlineStr">
        <is>
          <t>VIMMERBY</t>
        </is>
      </c>
      <c r="G295" t="n">
        <v>2.5</v>
      </c>
      <c r="H295" t="n">
        <v>0</v>
      </c>
      <c r="I295" t="n">
        <v>0</v>
      </c>
      <c r="J295" t="n">
        <v>0</v>
      </c>
      <c r="K295" t="n">
        <v>0</v>
      </c>
      <c r="L295" t="n">
        <v>0</v>
      </c>
      <c r="M295" t="n">
        <v>0</v>
      </c>
      <c r="N295" t="n">
        <v>0</v>
      </c>
      <c r="O295" t="n">
        <v>0</v>
      </c>
      <c r="P295" t="n">
        <v>0</v>
      </c>
      <c r="Q295" t="n">
        <v>0</v>
      </c>
      <c r="R295" s="2" t="inlineStr"/>
    </row>
    <row r="296" ht="15" customHeight="1">
      <c r="A296" t="inlineStr">
        <is>
          <t>A 47855-2024</t>
        </is>
      </c>
      <c r="B296" s="1" t="n">
        <v>45588.66457175926</v>
      </c>
      <c r="C296" s="1" t="n">
        <v>46139</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40147-2023</t>
        </is>
      </c>
      <c r="B297" s="1" t="n">
        <v>45169</v>
      </c>
      <c r="C297" s="1" t="n">
        <v>46139</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172-2022</t>
        </is>
      </c>
      <c r="B298" s="1" t="n">
        <v>44564.62598379629</v>
      </c>
      <c r="C298" s="1" t="n">
        <v>46139</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39584-2024</t>
        </is>
      </c>
      <c r="B299" s="1" t="n">
        <v>45552.36759259259</v>
      </c>
      <c r="C299" s="1" t="n">
        <v>46139</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50995-2022</t>
        </is>
      </c>
      <c r="B300" s="1" t="n">
        <v>44867</v>
      </c>
      <c r="C300" s="1" t="n">
        <v>46139</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51881-2024</t>
        </is>
      </c>
      <c r="B301" s="1" t="n">
        <v>45607.56773148148</v>
      </c>
      <c r="C301" s="1" t="n">
        <v>46139</v>
      </c>
      <c r="D301" t="inlineStr">
        <is>
          <t>KALMAR LÄN</t>
        </is>
      </c>
      <c r="E301" t="inlineStr">
        <is>
          <t>VIMMERBY</t>
        </is>
      </c>
      <c r="G301" t="n">
        <v>3.4</v>
      </c>
      <c r="H301" t="n">
        <v>0</v>
      </c>
      <c r="I301" t="n">
        <v>0</v>
      </c>
      <c r="J301" t="n">
        <v>0</v>
      </c>
      <c r="K301" t="n">
        <v>0</v>
      </c>
      <c r="L301" t="n">
        <v>0</v>
      </c>
      <c r="M301" t="n">
        <v>0</v>
      </c>
      <c r="N301" t="n">
        <v>0</v>
      </c>
      <c r="O301" t="n">
        <v>0</v>
      </c>
      <c r="P301" t="n">
        <v>0</v>
      </c>
      <c r="Q301" t="n">
        <v>0</v>
      </c>
      <c r="R301" s="2" t="inlineStr"/>
    </row>
    <row r="302" ht="15" customHeight="1">
      <c r="A302" t="inlineStr">
        <is>
          <t>A 40925-2025</t>
        </is>
      </c>
      <c r="B302" s="1" t="n">
        <v>45897.64208333333</v>
      </c>
      <c r="C302" s="1" t="n">
        <v>46139</v>
      </c>
      <c r="D302" t="inlineStr">
        <is>
          <t>KALMAR LÄN</t>
        </is>
      </c>
      <c r="E302" t="inlineStr">
        <is>
          <t>VIMMERBY</t>
        </is>
      </c>
      <c r="G302" t="n">
        <v>1.9</v>
      </c>
      <c r="H302" t="n">
        <v>0</v>
      </c>
      <c r="I302" t="n">
        <v>0</v>
      </c>
      <c r="J302" t="n">
        <v>0</v>
      </c>
      <c r="K302" t="n">
        <v>0</v>
      </c>
      <c r="L302" t="n">
        <v>0</v>
      </c>
      <c r="M302" t="n">
        <v>0</v>
      </c>
      <c r="N302" t="n">
        <v>0</v>
      </c>
      <c r="O302" t="n">
        <v>0</v>
      </c>
      <c r="P302" t="n">
        <v>0</v>
      </c>
      <c r="Q302" t="n">
        <v>0</v>
      </c>
      <c r="R302" s="2" t="inlineStr"/>
    </row>
    <row r="303" ht="15" customHeight="1">
      <c r="A303" t="inlineStr">
        <is>
          <t>A 2596-2025</t>
        </is>
      </c>
      <c r="B303" s="1" t="n">
        <v>45674.71810185185</v>
      </c>
      <c r="C303" s="1" t="n">
        <v>46139</v>
      </c>
      <c r="D303" t="inlineStr">
        <is>
          <t>KALMAR LÄN</t>
        </is>
      </c>
      <c r="E303" t="inlineStr">
        <is>
          <t>VIMMERBY</t>
        </is>
      </c>
      <c r="G303" t="n">
        <v>9</v>
      </c>
      <c r="H303" t="n">
        <v>0</v>
      </c>
      <c r="I303" t="n">
        <v>0</v>
      </c>
      <c r="J303" t="n">
        <v>0</v>
      </c>
      <c r="K303" t="n">
        <v>0</v>
      </c>
      <c r="L303" t="n">
        <v>0</v>
      </c>
      <c r="M303" t="n">
        <v>0</v>
      </c>
      <c r="N303" t="n">
        <v>0</v>
      </c>
      <c r="O303" t="n">
        <v>0</v>
      </c>
      <c r="P303" t="n">
        <v>0</v>
      </c>
      <c r="Q303" t="n">
        <v>0</v>
      </c>
      <c r="R303" s="2" t="inlineStr"/>
    </row>
    <row r="304" ht="15" customHeight="1">
      <c r="A304" t="inlineStr">
        <is>
          <t>A 40921-2025</t>
        </is>
      </c>
      <c r="B304" s="1" t="n">
        <v>45897.63520833333</v>
      </c>
      <c r="C304" s="1" t="n">
        <v>46139</v>
      </c>
      <c r="D304" t="inlineStr">
        <is>
          <t>KALMAR LÄN</t>
        </is>
      </c>
      <c r="E304" t="inlineStr">
        <is>
          <t>VIMMERBY</t>
        </is>
      </c>
      <c r="G304" t="n">
        <v>4.2</v>
      </c>
      <c r="H304" t="n">
        <v>0</v>
      </c>
      <c r="I304" t="n">
        <v>0</v>
      </c>
      <c r="J304" t="n">
        <v>0</v>
      </c>
      <c r="K304" t="n">
        <v>0</v>
      </c>
      <c r="L304" t="n">
        <v>0</v>
      </c>
      <c r="M304" t="n">
        <v>0</v>
      </c>
      <c r="N304" t="n">
        <v>0</v>
      </c>
      <c r="O304" t="n">
        <v>0</v>
      </c>
      <c r="P304" t="n">
        <v>0</v>
      </c>
      <c r="Q304" t="n">
        <v>0</v>
      </c>
      <c r="R304" s="2" t="inlineStr"/>
    </row>
    <row r="305" ht="15" customHeight="1">
      <c r="A305" t="inlineStr">
        <is>
          <t>A 16734-2023</t>
        </is>
      </c>
      <c r="B305" s="1" t="n">
        <v>45030.71012731481</v>
      </c>
      <c r="C305" s="1" t="n">
        <v>46139</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33681-2022</t>
        </is>
      </c>
      <c r="B306" s="1" t="n">
        <v>44789</v>
      </c>
      <c r="C306" s="1" t="n">
        <v>46139</v>
      </c>
      <c r="D306" t="inlineStr">
        <is>
          <t>KALMAR LÄN</t>
        </is>
      </c>
      <c r="E306" t="inlineStr">
        <is>
          <t>VIMMERBY</t>
        </is>
      </c>
      <c r="G306" t="n">
        <v>3.2</v>
      </c>
      <c r="H306" t="n">
        <v>0</v>
      </c>
      <c r="I306" t="n">
        <v>0</v>
      </c>
      <c r="J306" t="n">
        <v>0</v>
      </c>
      <c r="K306" t="n">
        <v>0</v>
      </c>
      <c r="L306" t="n">
        <v>0</v>
      </c>
      <c r="M306" t="n">
        <v>0</v>
      </c>
      <c r="N306" t="n">
        <v>0</v>
      </c>
      <c r="O306" t="n">
        <v>0</v>
      </c>
      <c r="P306" t="n">
        <v>0</v>
      </c>
      <c r="Q306" t="n">
        <v>0</v>
      </c>
      <c r="R306" s="2" t="inlineStr"/>
    </row>
    <row r="307" ht="15" customHeight="1">
      <c r="A307" t="inlineStr">
        <is>
          <t>A 27993-2022</t>
        </is>
      </c>
      <c r="B307" s="1" t="n">
        <v>44745.84396990741</v>
      </c>
      <c r="C307" s="1" t="n">
        <v>46139</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20129-2024</t>
        </is>
      </c>
      <c r="B308" s="1" t="n">
        <v>45434.55831018519</v>
      </c>
      <c r="C308" s="1" t="n">
        <v>46139</v>
      </c>
      <c r="D308" t="inlineStr">
        <is>
          <t>KALMAR LÄN</t>
        </is>
      </c>
      <c r="E308" t="inlineStr">
        <is>
          <t>VIMMERBY</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20137-2024</t>
        </is>
      </c>
      <c r="B309" s="1" t="n">
        <v>45434.56398148148</v>
      </c>
      <c r="C309" s="1" t="n">
        <v>46139</v>
      </c>
      <c r="D309" t="inlineStr">
        <is>
          <t>KALMAR LÄN</t>
        </is>
      </c>
      <c r="E309" t="inlineStr">
        <is>
          <t>VIMMERBY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7456-2024</t>
        </is>
      </c>
      <c r="B310" s="1" t="n">
        <v>45345.83557870371</v>
      </c>
      <c r="C310" s="1" t="n">
        <v>46139</v>
      </c>
      <c r="D310" t="inlineStr">
        <is>
          <t>KALMAR LÄN</t>
        </is>
      </c>
      <c r="E310" t="inlineStr">
        <is>
          <t>VIMMERBY</t>
        </is>
      </c>
      <c r="G310" t="n">
        <v>4.1</v>
      </c>
      <c r="H310" t="n">
        <v>0</v>
      </c>
      <c r="I310" t="n">
        <v>0</v>
      </c>
      <c r="J310" t="n">
        <v>0</v>
      </c>
      <c r="K310" t="n">
        <v>0</v>
      </c>
      <c r="L310" t="n">
        <v>0</v>
      </c>
      <c r="M310" t="n">
        <v>0</v>
      </c>
      <c r="N310" t="n">
        <v>0</v>
      </c>
      <c r="O310" t="n">
        <v>0</v>
      </c>
      <c r="P310" t="n">
        <v>0</v>
      </c>
      <c r="Q310" t="n">
        <v>0</v>
      </c>
      <c r="R310" s="2" t="inlineStr"/>
    </row>
    <row r="311" ht="15" customHeight="1">
      <c r="A311" t="inlineStr">
        <is>
          <t>A 57555-2024</t>
        </is>
      </c>
      <c r="B311" s="1" t="n">
        <v>45630.45069444444</v>
      </c>
      <c r="C311" s="1" t="n">
        <v>46139</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52324-2023</t>
        </is>
      </c>
      <c r="B312" s="1" t="n">
        <v>45224.64659722222</v>
      </c>
      <c r="C312" s="1" t="n">
        <v>46139</v>
      </c>
      <c r="D312" t="inlineStr">
        <is>
          <t>KALMAR LÄN</t>
        </is>
      </c>
      <c r="E312" t="inlineStr">
        <is>
          <t>VIMMERBY</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41224-2025</t>
        </is>
      </c>
      <c r="B313" s="1" t="n">
        <v>45898.58861111111</v>
      </c>
      <c r="C313" s="1" t="n">
        <v>46139</v>
      </c>
      <c r="D313" t="inlineStr">
        <is>
          <t>KALMAR LÄN</t>
        </is>
      </c>
      <c r="E313" t="inlineStr">
        <is>
          <t>VIMMERBY</t>
        </is>
      </c>
      <c r="G313" t="n">
        <v>4.4</v>
      </c>
      <c r="H313" t="n">
        <v>0</v>
      </c>
      <c r="I313" t="n">
        <v>0</v>
      </c>
      <c r="J313" t="n">
        <v>0</v>
      </c>
      <c r="K313" t="n">
        <v>0</v>
      </c>
      <c r="L313" t="n">
        <v>0</v>
      </c>
      <c r="M313" t="n">
        <v>0</v>
      </c>
      <c r="N313" t="n">
        <v>0</v>
      </c>
      <c r="O313" t="n">
        <v>0</v>
      </c>
      <c r="P313" t="n">
        <v>0</v>
      </c>
      <c r="Q313" t="n">
        <v>0</v>
      </c>
      <c r="R313" s="2" t="inlineStr"/>
    </row>
    <row r="314" ht="15" customHeight="1">
      <c r="A314" t="inlineStr">
        <is>
          <t>A 5074-2023</t>
        </is>
      </c>
      <c r="B314" s="1" t="n">
        <v>44958.61047453704</v>
      </c>
      <c r="C314" s="1" t="n">
        <v>46139</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51187-2023</t>
        </is>
      </c>
      <c r="B315" s="1" t="n">
        <v>45219.40528935185</v>
      </c>
      <c r="C315" s="1" t="n">
        <v>46139</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17988-2025</t>
        </is>
      </c>
      <c r="B316" s="1" t="n">
        <v>45761.39600694444</v>
      </c>
      <c r="C316" s="1" t="n">
        <v>46139</v>
      </c>
      <c r="D316" t="inlineStr">
        <is>
          <t>KALMAR LÄN</t>
        </is>
      </c>
      <c r="E316" t="inlineStr">
        <is>
          <t>VIMMERBY</t>
        </is>
      </c>
      <c r="G316" t="n">
        <v>2.8</v>
      </c>
      <c r="H316" t="n">
        <v>0</v>
      </c>
      <c r="I316" t="n">
        <v>0</v>
      </c>
      <c r="J316" t="n">
        <v>0</v>
      </c>
      <c r="K316" t="n">
        <v>0</v>
      </c>
      <c r="L316" t="n">
        <v>0</v>
      </c>
      <c r="M316" t="n">
        <v>0</v>
      </c>
      <c r="N316" t="n">
        <v>0</v>
      </c>
      <c r="O316" t="n">
        <v>0</v>
      </c>
      <c r="P316" t="n">
        <v>0</v>
      </c>
      <c r="Q316" t="n">
        <v>0</v>
      </c>
      <c r="R316" s="2" t="inlineStr"/>
    </row>
    <row r="317" ht="15" customHeight="1">
      <c r="A317" t="inlineStr">
        <is>
          <t>A 41591-2025</t>
        </is>
      </c>
      <c r="B317" s="1" t="n">
        <v>45901.6327662037</v>
      </c>
      <c r="C317" s="1" t="n">
        <v>46139</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40971-2025</t>
        </is>
      </c>
      <c r="B318" s="1" t="n">
        <v>45897.88836805556</v>
      </c>
      <c r="C318" s="1" t="n">
        <v>46139</v>
      </c>
      <c r="D318" t="inlineStr">
        <is>
          <t>KALMAR LÄN</t>
        </is>
      </c>
      <c r="E318" t="inlineStr">
        <is>
          <t>VIMMERBY</t>
        </is>
      </c>
      <c r="G318" t="n">
        <v>1.5</v>
      </c>
      <c r="H318" t="n">
        <v>0</v>
      </c>
      <c r="I318" t="n">
        <v>0</v>
      </c>
      <c r="J318" t="n">
        <v>0</v>
      </c>
      <c r="K318" t="n">
        <v>0</v>
      </c>
      <c r="L318" t="n">
        <v>0</v>
      </c>
      <c r="M318" t="n">
        <v>0</v>
      </c>
      <c r="N318" t="n">
        <v>0</v>
      </c>
      <c r="O318" t="n">
        <v>0</v>
      </c>
      <c r="P318" t="n">
        <v>0</v>
      </c>
      <c r="Q318" t="n">
        <v>0</v>
      </c>
      <c r="R318" s="2" t="inlineStr"/>
    </row>
    <row r="319" ht="15" customHeight="1">
      <c r="A319" t="inlineStr">
        <is>
          <t>A 41589-2025</t>
        </is>
      </c>
      <c r="B319" s="1" t="n">
        <v>45901.63219907408</v>
      </c>
      <c r="C319" s="1" t="n">
        <v>46139</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15715-2022</t>
        </is>
      </c>
      <c r="B320" s="1" t="n">
        <v>44663</v>
      </c>
      <c r="C320" s="1" t="n">
        <v>46139</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23341-2022</t>
        </is>
      </c>
      <c r="B321" s="1" t="n">
        <v>44720.53898148148</v>
      </c>
      <c r="C321" s="1" t="n">
        <v>46139</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40970-2025</t>
        </is>
      </c>
      <c r="B322" s="1" t="n">
        <v>45897.88706018519</v>
      </c>
      <c r="C322" s="1" t="n">
        <v>46139</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40973-2025</t>
        </is>
      </c>
      <c r="B323" s="1" t="n">
        <v>45897.89737268518</v>
      </c>
      <c r="C323" s="1" t="n">
        <v>46139</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43093-2024</t>
        </is>
      </c>
      <c r="B324" s="1" t="n">
        <v>45567</v>
      </c>
      <c r="C324" s="1" t="n">
        <v>46139</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37028-2024</t>
        </is>
      </c>
      <c r="B325" s="1" t="n">
        <v>45539.38744212963</v>
      </c>
      <c r="C325" s="1" t="n">
        <v>46139</v>
      </c>
      <c r="D325" t="inlineStr">
        <is>
          <t>KALMAR LÄN</t>
        </is>
      </c>
      <c r="E325" t="inlineStr">
        <is>
          <t>VIMMERBY</t>
        </is>
      </c>
      <c r="G325" t="n">
        <v>5.2</v>
      </c>
      <c r="H325" t="n">
        <v>0</v>
      </c>
      <c r="I325" t="n">
        <v>0</v>
      </c>
      <c r="J325" t="n">
        <v>0</v>
      </c>
      <c r="K325" t="n">
        <v>0</v>
      </c>
      <c r="L325" t="n">
        <v>0</v>
      </c>
      <c r="M325" t="n">
        <v>0</v>
      </c>
      <c r="N325" t="n">
        <v>0</v>
      </c>
      <c r="O325" t="n">
        <v>0</v>
      </c>
      <c r="P325" t="n">
        <v>0</v>
      </c>
      <c r="Q325" t="n">
        <v>0</v>
      </c>
      <c r="R325" s="2" t="inlineStr"/>
    </row>
    <row r="326" ht="15" customHeight="1">
      <c r="A326" t="inlineStr">
        <is>
          <t>A 36014-2024</t>
        </is>
      </c>
      <c r="B326" s="1" t="n">
        <v>45533.56108796296</v>
      </c>
      <c r="C326" s="1" t="n">
        <v>46139</v>
      </c>
      <c r="D326" t="inlineStr">
        <is>
          <t>KALMAR LÄN</t>
        </is>
      </c>
      <c r="E326" t="inlineStr">
        <is>
          <t>VIMMERBY</t>
        </is>
      </c>
      <c r="G326" t="n">
        <v>2.3</v>
      </c>
      <c r="H326" t="n">
        <v>0</v>
      </c>
      <c r="I326" t="n">
        <v>0</v>
      </c>
      <c r="J326" t="n">
        <v>0</v>
      </c>
      <c r="K326" t="n">
        <v>0</v>
      </c>
      <c r="L326" t="n">
        <v>0</v>
      </c>
      <c r="M326" t="n">
        <v>0</v>
      </c>
      <c r="N326" t="n">
        <v>0</v>
      </c>
      <c r="O326" t="n">
        <v>0</v>
      </c>
      <c r="P326" t="n">
        <v>0</v>
      </c>
      <c r="Q326" t="n">
        <v>0</v>
      </c>
      <c r="R326" s="2" t="inlineStr"/>
    </row>
    <row r="327" ht="15" customHeight="1">
      <c r="A327" t="inlineStr">
        <is>
          <t>A 36030-2024</t>
        </is>
      </c>
      <c r="B327" s="1" t="n">
        <v>45533.58302083334</v>
      </c>
      <c r="C327" s="1" t="n">
        <v>46139</v>
      </c>
      <c r="D327" t="inlineStr">
        <is>
          <t>KALMAR LÄN</t>
        </is>
      </c>
      <c r="E327" t="inlineStr">
        <is>
          <t>VIMMERBY</t>
        </is>
      </c>
      <c r="F327" t="inlineStr">
        <is>
          <t>Kommuner</t>
        </is>
      </c>
      <c r="G327" t="n">
        <v>4</v>
      </c>
      <c r="H327" t="n">
        <v>0</v>
      </c>
      <c r="I327" t="n">
        <v>0</v>
      </c>
      <c r="J327" t="n">
        <v>0</v>
      </c>
      <c r="K327" t="n">
        <v>0</v>
      </c>
      <c r="L327" t="n">
        <v>0</v>
      </c>
      <c r="M327" t="n">
        <v>0</v>
      </c>
      <c r="N327" t="n">
        <v>0</v>
      </c>
      <c r="O327" t="n">
        <v>0</v>
      </c>
      <c r="P327" t="n">
        <v>0</v>
      </c>
      <c r="Q327" t="n">
        <v>0</v>
      </c>
      <c r="R327" s="2" t="inlineStr"/>
    </row>
    <row r="328" ht="15" customHeight="1">
      <c r="A328" t="inlineStr">
        <is>
          <t>A 32865-2023</t>
        </is>
      </c>
      <c r="B328" s="1" t="n">
        <v>45124</v>
      </c>
      <c r="C328" s="1" t="n">
        <v>46139</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56022-2024</t>
        </is>
      </c>
      <c r="B329" s="1" t="n">
        <v>45623.95947916667</v>
      </c>
      <c r="C329" s="1" t="n">
        <v>46139</v>
      </c>
      <c r="D329" t="inlineStr">
        <is>
          <t>KALMAR LÄN</t>
        </is>
      </c>
      <c r="E329" t="inlineStr">
        <is>
          <t>VIMMERBY</t>
        </is>
      </c>
      <c r="G329" t="n">
        <v>0.3</v>
      </c>
      <c r="H329" t="n">
        <v>0</v>
      </c>
      <c r="I329" t="n">
        <v>0</v>
      </c>
      <c r="J329" t="n">
        <v>0</v>
      </c>
      <c r="K329" t="n">
        <v>0</v>
      </c>
      <c r="L329" t="n">
        <v>0</v>
      </c>
      <c r="M329" t="n">
        <v>0</v>
      </c>
      <c r="N329" t="n">
        <v>0</v>
      </c>
      <c r="O329" t="n">
        <v>0</v>
      </c>
      <c r="P329" t="n">
        <v>0</v>
      </c>
      <c r="Q329" t="n">
        <v>0</v>
      </c>
      <c r="R329" s="2" t="inlineStr"/>
    </row>
    <row r="330" ht="15" customHeight="1">
      <c r="A330" t="inlineStr">
        <is>
          <t>A 34090-2025</t>
        </is>
      </c>
      <c r="B330" s="1" t="n">
        <v>45845</v>
      </c>
      <c r="C330" s="1" t="n">
        <v>46139</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6668-2023</t>
        </is>
      </c>
      <c r="B331" s="1" t="n">
        <v>44966</v>
      </c>
      <c r="C331" s="1" t="n">
        <v>46139</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29168-2024</t>
        </is>
      </c>
      <c r="B332" s="1" t="n">
        <v>45482.49870370371</v>
      </c>
      <c r="C332" s="1" t="n">
        <v>46139</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55236-2023</t>
        </is>
      </c>
      <c r="B333" s="1" t="n">
        <v>45237.63225694445</v>
      </c>
      <c r="C333" s="1" t="n">
        <v>46139</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55245-2023</t>
        </is>
      </c>
      <c r="B334" s="1" t="n">
        <v>45237.64408564815</v>
      </c>
      <c r="C334" s="1" t="n">
        <v>46139</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36055-2024</t>
        </is>
      </c>
      <c r="B335" s="1" t="n">
        <v>45533.63056712963</v>
      </c>
      <c r="C335" s="1" t="n">
        <v>46139</v>
      </c>
      <c r="D335" t="inlineStr">
        <is>
          <t>KALMAR LÄN</t>
        </is>
      </c>
      <c r="E335" t="inlineStr">
        <is>
          <t>VIMMERBY</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42918-2021</t>
        </is>
      </c>
      <c r="B336" s="1" t="n">
        <v>44431</v>
      </c>
      <c r="C336" s="1" t="n">
        <v>46139</v>
      </c>
      <c r="D336" t="inlineStr">
        <is>
          <t>KALMAR LÄN</t>
        </is>
      </c>
      <c r="E336" t="inlineStr">
        <is>
          <t>VIMMERBY</t>
        </is>
      </c>
      <c r="G336" t="n">
        <v>1.6</v>
      </c>
      <c r="H336" t="n">
        <v>0</v>
      </c>
      <c r="I336" t="n">
        <v>0</v>
      </c>
      <c r="J336" t="n">
        <v>0</v>
      </c>
      <c r="K336" t="n">
        <v>0</v>
      </c>
      <c r="L336" t="n">
        <v>0</v>
      </c>
      <c r="M336" t="n">
        <v>0</v>
      </c>
      <c r="N336" t="n">
        <v>0</v>
      </c>
      <c r="O336" t="n">
        <v>0</v>
      </c>
      <c r="P336" t="n">
        <v>0</v>
      </c>
      <c r="Q336" t="n">
        <v>0</v>
      </c>
      <c r="R336" s="2" t="inlineStr"/>
    </row>
    <row r="337" ht="15" customHeight="1">
      <c r="A337" t="inlineStr">
        <is>
          <t>A 22643-2023</t>
        </is>
      </c>
      <c r="B337" s="1" t="n">
        <v>45071</v>
      </c>
      <c r="C337" s="1" t="n">
        <v>46139</v>
      </c>
      <c r="D337" t="inlineStr">
        <is>
          <t>KALMAR LÄN</t>
        </is>
      </c>
      <c r="E337" t="inlineStr">
        <is>
          <t>VIMMERBY</t>
        </is>
      </c>
      <c r="G337" t="n">
        <v>3.9</v>
      </c>
      <c r="H337" t="n">
        <v>0</v>
      </c>
      <c r="I337" t="n">
        <v>0</v>
      </c>
      <c r="J337" t="n">
        <v>0</v>
      </c>
      <c r="K337" t="n">
        <v>0</v>
      </c>
      <c r="L337" t="n">
        <v>0</v>
      </c>
      <c r="M337" t="n">
        <v>0</v>
      </c>
      <c r="N337" t="n">
        <v>0</v>
      </c>
      <c r="O337" t="n">
        <v>0</v>
      </c>
      <c r="P337" t="n">
        <v>0</v>
      </c>
      <c r="Q337" t="n">
        <v>0</v>
      </c>
      <c r="R337" s="2" t="inlineStr"/>
    </row>
    <row r="338" ht="15" customHeight="1">
      <c r="A338" t="inlineStr">
        <is>
          <t>A 41735-2025</t>
        </is>
      </c>
      <c r="B338" s="1" t="n">
        <v>45902.47164351852</v>
      </c>
      <c r="C338" s="1" t="n">
        <v>46139</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18669-2025</t>
        </is>
      </c>
      <c r="B339" s="1" t="n">
        <v>45763.59436342592</v>
      </c>
      <c r="C339" s="1" t="n">
        <v>46139</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38780-2021</t>
        </is>
      </c>
      <c r="B340" s="1" t="n">
        <v>44410</v>
      </c>
      <c r="C340" s="1" t="n">
        <v>46139</v>
      </c>
      <c r="D340" t="inlineStr">
        <is>
          <t>KALMAR LÄN</t>
        </is>
      </c>
      <c r="E340" t="inlineStr">
        <is>
          <t>VIMMERBY</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27443-2023</t>
        </is>
      </c>
      <c r="B341" s="1" t="n">
        <v>45097.40524305555</v>
      </c>
      <c r="C341" s="1" t="n">
        <v>46139</v>
      </c>
      <c r="D341" t="inlineStr">
        <is>
          <t>KALMAR LÄN</t>
        </is>
      </c>
      <c r="E341" t="inlineStr">
        <is>
          <t>VIMMERBY</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845-2023</t>
        </is>
      </c>
      <c r="B342" s="1" t="n">
        <v>44931</v>
      </c>
      <c r="C342" s="1" t="n">
        <v>46139</v>
      </c>
      <c r="D342" t="inlineStr">
        <is>
          <t>KALMAR LÄN</t>
        </is>
      </c>
      <c r="E342" t="inlineStr">
        <is>
          <t>VIMMERBY</t>
        </is>
      </c>
      <c r="F342" t="inlineStr">
        <is>
          <t>Övriga Aktiebolag</t>
        </is>
      </c>
      <c r="G342" t="n">
        <v>19</v>
      </c>
      <c r="H342" t="n">
        <v>0</v>
      </c>
      <c r="I342" t="n">
        <v>0</v>
      </c>
      <c r="J342" t="n">
        <v>0</v>
      </c>
      <c r="K342" t="n">
        <v>0</v>
      </c>
      <c r="L342" t="n">
        <v>0</v>
      </c>
      <c r="M342" t="n">
        <v>0</v>
      </c>
      <c r="N342" t="n">
        <v>0</v>
      </c>
      <c r="O342" t="n">
        <v>0</v>
      </c>
      <c r="P342" t="n">
        <v>0</v>
      </c>
      <c r="Q342" t="n">
        <v>0</v>
      </c>
      <c r="R342" s="2" t="inlineStr"/>
    </row>
    <row r="343" ht="15" customHeight="1">
      <c r="A343" t="inlineStr">
        <is>
          <t>A 29020-2024</t>
        </is>
      </c>
      <c r="B343" s="1" t="n">
        <v>45481.58048611111</v>
      </c>
      <c r="C343" s="1" t="n">
        <v>46139</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30406-2023</t>
        </is>
      </c>
      <c r="B344" s="1" t="n">
        <v>45111.48787037037</v>
      </c>
      <c r="C344" s="1" t="n">
        <v>46139</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13817-2024</t>
        </is>
      </c>
      <c r="B345" s="1" t="n">
        <v>45391.41976851852</v>
      </c>
      <c r="C345" s="1" t="n">
        <v>46139</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18330-2023</t>
        </is>
      </c>
      <c r="B346" s="1" t="n">
        <v>45041</v>
      </c>
      <c r="C346" s="1" t="n">
        <v>46139</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6321-2023</t>
        </is>
      </c>
      <c r="B347" s="1" t="n">
        <v>44965.4815162037</v>
      </c>
      <c r="C347" s="1" t="n">
        <v>46139</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46139</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40730-2024</t>
        </is>
      </c>
      <c r="B349" s="1" t="n">
        <v>45558.44914351852</v>
      </c>
      <c r="C349" s="1" t="n">
        <v>46139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2157-2024</t>
        </is>
      </c>
      <c r="B350" s="1" t="n">
        <v>45309.59487268519</v>
      </c>
      <c r="C350" s="1" t="n">
        <v>46139</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49461-2022</t>
        </is>
      </c>
      <c r="B351" s="1" t="n">
        <v>44861</v>
      </c>
      <c r="C351" s="1" t="n">
        <v>46139</v>
      </c>
      <c r="D351" t="inlineStr">
        <is>
          <t>KALMAR LÄN</t>
        </is>
      </c>
      <c r="E351" t="inlineStr">
        <is>
          <t>VIMMERBY</t>
        </is>
      </c>
      <c r="G351" t="n">
        <v>3.2</v>
      </c>
      <c r="H351" t="n">
        <v>0</v>
      </c>
      <c r="I351" t="n">
        <v>0</v>
      </c>
      <c r="J351" t="n">
        <v>0</v>
      </c>
      <c r="K351" t="n">
        <v>0</v>
      </c>
      <c r="L351" t="n">
        <v>0</v>
      </c>
      <c r="M351" t="n">
        <v>0</v>
      </c>
      <c r="N351" t="n">
        <v>0</v>
      </c>
      <c r="O351" t="n">
        <v>0</v>
      </c>
      <c r="P351" t="n">
        <v>0</v>
      </c>
      <c r="Q351" t="n">
        <v>0</v>
      </c>
      <c r="R351" s="2" t="inlineStr"/>
    </row>
    <row r="352" ht="15" customHeight="1">
      <c r="A352" t="inlineStr">
        <is>
          <t>A 694-2024</t>
        </is>
      </c>
      <c r="B352" s="1" t="n">
        <v>45300.3794212963</v>
      </c>
      <c r="C352" s="1" t="n">
        <v>46139</v>
      </c>
      <c r="D352" t="inlineStr">
        <is>
          <t>KALMAR LÄN</t>
        </is>
      </c>
      <c r="E352" t="inlineStr">
        <is>
          <t>VIMMERBY</t>
        </is>
      </c>
      <c r="G352" t="n">
        <v>1.4</v>
      </c>
      <c r="H352" t="n">
        <v>0</v>
      </c>
      <c r="I352" t="n">
        <v>0</v>
      </c>
      <c r="J352" t="n">
        <v>0</v>
      </c>
      <c r="K352" t="n">
        <v>0</v>
      </c>
      <c r="L352" t="n">
        <v>0</v>
      </c>
      <c r="M352" t="n">
        <v>0</v>
      </c>
      <c r="N352" t="n">
        <v>0</v>
      </c>
      <c r="O352" t="n">
        <v>0</v>
      </c>
      <c r="P352" t="n">
        <v>0</v>
      </c>
      <c r="Q352" t="n">
        <v>0</v>
      </c>
      <c r="R352" s="2" t="inlineStr"/>
    </row>
    <row r="353" ht="15" customHeight="1">
      <c r="A353" t="inlineStr">
        <is>
          <t>A 20126-2024</t>
        </is>
      </c>
      <c r="B353" s="1" t="n">
        <v>45434.55471064815</v>
      </c>
      <c r="C353" s="1" t="n">
        <v>46139</v>
      </c>
      <c r="D353" t="inlineStr">
        <is>
          <t>KALMAR LÄN</t>
        </is>
      </c>
      <c r="E353" t="inlineStr">
        <is>
          <t>VIMMERBY</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20136-2024</t>
        </is>
      </c>
      <c r="B354" s="1" t="n">
        <v>45434.56291666667</v>
      </c>
      <c r="C354" s="1" t="n">
        <v>46139</v>
      </c>
      <c r="D354" t="inlineStr">
        <is>
          <t>KALMAR LÄN</t>
        </is>
      </c>
      <c r="E354" t="inlineStr">
        <is>
          <t>VIMMERBY</t>
        </is>
      </c>
      <c r="F354" t="inlineStr">
        <is>
          <t>Sveaskog</t>
        </is>
      </c>
      <c r="G354" t="n">
        <v>8.4</v>
      </c>
      <c r="H354" t="n">
        <v>0</v>
      </c>
      <c r="I354" t="n">
        <v>0</v>
      </c>
      <c r="J354" t="n">
        <v>0</v>
      </c>
      <c r="K354" t="n">
        <v>0</v>
      </c>
      <c r="L354" t="n">
        <v>0</v>
      </c>
      <c r="M354" t="n">
        <v>0</v>
      </c>
      <c r="N354" t="n">
        <v>0</v>
      </c>
      <c r="O354" t="n">
        <v>0</v>
      </c>
      <c r="P354" t="n">
        <v>0</v>
      </c>
      <c r="Q354" t="n">
        <v>0</v>
      </c>
      <c r="R354" s="2" t="inlineStr"/>
    </row>
    <row r="355" ht="15" customHeight="1">
      <c r="A355" t="inlineStr">
        <is>
          <t>A 59598-2023</t>
        </is>
      </c>
      <c r="B355" s="1" t="n">
        <v>45254.62489583333</v>
      </c>
      <c r="C355" s="1" t="n">
        <v>46139</v>
      </c>
      <c r="D355" t="inlineStr">
        <is>
          <t>KALMAR LÄN</t>
        </is>
      </c>
      <c r="E355" t="inlineStr">
        <is>
          <t>VIMMERBY</t>
        </is>
      </c>
      <c r="F355" t="inlineStr">
        <is>
          <t>Övriga Aktiebolag</t>
        </is>
      </c>
      <c r="G355" t="n">
        <v>4</v>
      </c>
      <c r="H355" t="n">
        <v>0</v>
      </c>
      <c r="I355" t="n">
        <v>0</v>
      </c>
      <c r="J355" t="n">
        <v>0</v>
      </c>
      <c r="K355" t="n">
        <v>0</v>
      </c>
      <c r="L355" t="n">
        <v>0</v>
      </c>
      <c r="M355" t="n">
        <v>0</v>
      </c>
      <c r="N355" t="n">
        <v>0</v>
      </c>
      <c r="O355" t="n">
        <v>0</v>
      </c>
      <c r="P355" t="n">
        <v>0</v>
      </c>
      <c r="Q355" t="n">
        <v>0</v>
      </c>
      <c r="R355" s="2" t="inlineStr"/>
    </row>
    <row r="356" ht="15" customHeight="1">
      <c r="A356" t="inlineStr">
        <is>
          <t>A 7944-2024</t>
        </is>
      </c>
      <c r="B356" s="1" t="n">
        <v>45350.53306712963</v>
      </c>
      <c r="C356" s="1" t="n">
        <v>46139</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46921-2023</t>
        </is>
      </c>
      <c r="B357" s="1" t="n">
        <v>45201.39996527778</v>
      </c>
      <c r="C357" s="1" t="n">
        <v>46139</v>
      </c>
      <c r="D357" t="inlineStr">
        <is>
          <t>KALMAR LÄN</t>
        </is>
      </c>
      <c r="E357" t="inlineStr">
        <is>
          <t>VIMMERBY</t>
        </is>
      </c>
      <c r="G357" t="n">
        <v>2.6</v>
      </c>
      <c r="H357" t="n">
        <v>0</v>
      </c>
      <c r="I357" t="n">
        <v>0</v>
      </c>
      <c r="J357" t="n">
        <v>0</v>
      </c>
      <c r="K357" t="n">
        <v>0</v>
      </c>
      <c r="L357" t="n">
        <v>0</v>
      </c>
      <c r="M357" t="n">
        <v>0</v>
      </c>
      <c r="N357" t="n">
        <v>0</v>
      </c>
      <c r="O357" t="n">
        <v>0</v>
      </c>
      <c r="P357" t="n">
        <v>0</v>
      </c>
      <c r="Q357" t="n">
        <v>0</v>
      </c>
      <c r="R357" s="2" t="inlineStr"/>
    </row>
    <row r="358" ht="15" customHeight="1">
      <c r="A358" t="inlineStr">
        <is>
          <t>A 21496-2023</t>
        </is>
      </c>
      <c r="B358" s="1" t="n">
        <v>45063.49936342592</v>
      </c>
      <c r="C358" s="1" t="n">
        <v>46139</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25236-2023</t>
        </is>
      </c>
      <c r="B359" s="1" t="n">
        <v>45086.63334490741</v>
      </c>
      <c r="C359" s="1" t="n">
        <v>46139</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42828-2025</t>
        </is>
      </c>
      <c r="B360" s="1" t="n">
        <v>45908.57716435185</v>
      </c>
      <c r="C360" s="1" t="n">
        <v>46139</v>
      </c>
      <c r="D360" t="inlineStr">
        <is>
          <t>KALMAR LÄN</t>
        </is>
      </c>
      <c r="E360" t="inlineStr">
        <is>
          <t>VIMMERBY</t>
        </is>
      </c>
      <c r="G360" t="n">
        <v>5.2</v>
      </c>
      <c r="H360" t="n">
        <v>0</v>
      </c>
      <c r="I360" t="n">
        <v>0</v>
      </c>
      <c r="J360" t="n">
        <v>0</v>
      </c>
      <c r="K360" t="n">
        <v>0</v>
      </c>
      <c r="L360" t="n">
        <v>0</v>
      </c>
      <c r="M360" t="n">
        <v>0</v>
      </c>
      <c r="N360" t="n">
        <v>0</v>
      </c>
      <c r="O360" t="n">
        <v>0</v>
      </c>
      <c r="P360" t="n">
        <v>0</v>
      </c>
      <c r="Q360" t="n">
        <v>0</v>
      </c>
      <c r="R360" s="2" t="inlineStr"/>
    </row>
    <row r="361" ht="15" customHeight="1">
      <c r="A361" t="inlineStr">
        <is>
          <t>A 42794-2025</t>
        </is>
      </c>
      <c r="B361" s="1" t="n">
        <v>45908</v>
      </c>
      <c r="C361" s="1" t="n">
        <v>46139</v>
      </c>
      <c r="D361" t="inlineStr">
        <is>
          <t>KALMAR LÄN</t>
        </is>
      </c>
      <c r="E361" t="inlineStr">
        <is>
          <t>VIMMERBY</t>
        </is>
      </c>
      <c r="G361" t="n">
        <v>0.9</v>
      </c>
      <c r="H361" t="n">
        <v>0</v>
      </c>
      <c r="I361" t="n">
        <v>0</v>
      </c>
      <c r="J361" t="n">
        <v>0</v>
      </c>
      <c r="K361" t="n">
        <v>0</v>
      </c>
      <c r="L361" t="n">
        <v>0</v>
      </c>
      <c r="M361" t="n">
        <v>0</v>
      </c>
      <c r="N361" t="n">
        <v>0</v>
      </c>
      <c r="O361" t="n">
        <v>0</v>
      </c>
      <c r="P361" t="n">
        <v>0</v>
      </c>
      <c r="Q361" t="n">
        <v>0</v>
      </c>
      <c r="R361" s="2" t="inlineStr"/>
    </row>
    <row r="362" ht="15" customHeight="1">
      <c r="A362" t="inlineStr">
        <is>
          <t>A 29783-2024</t>
        </is>
      </c>
      <c r="B362" s="1" t="n">
        <v>45485.45778935185</v>
      </c>
      <c r="C362" s="1" t="n">
        <v>46139</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42820-2025</t>
        </is>
      </c>
      <c r="B363" s="1" t="n">
        <v>45908</v>
      </c>
      <c r="C363" s="1" t="n">
        <v>46139</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35198-2023</t>
        </is>
      </c>
      <c r="B364" s="1" t="n">
        <v>45145</v>
      </c>
      <c r="C364" s="1" t="n">
        <v>46139</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34060-2025</t>
        </is>
      </c>
      <c r="B365" s="1" t="n">
        <v>45845.42015046296</v>
      </c>
      <c r="C365" s="1" t="n">
        <v>46139</v>
      </c>
      <c r="D365" t="inlineStr">
        <is>
          <t>KALMAR LÄN</t>
        </is>
      </c>
      <c r="E365" t="inlineStr">
        <is>
          <t>VIMMERBY</t>
        </is>
      </c>
      <c r="G365" t="n">
        <v>5.7</v>
      </c>
      <c r="H365" t="n">
        <v>0</v>
      </c>
      <c r="I365" t="n">
        <v>0</v>
      </c>
      <c r="J365" t="n">
        <v>0</v>
      </c>
      <c r="K365" t="n">
        <v>0</v>
      </c>
      <c r="L365" t="n">
        <v>0</v>
      </c>
      <c r="M365" t="n">
        <v>0</v>
      </c>
      <c r="N365" t="n">
        <v>0</v>
      </c>
      <c r="O365" t="n">
        <v>0</v>
      </c>
      <c r="P365" t="n">
        <v>0</v>
      </c>
      <c r="Q365" t="n">
        <v>0</v>
      </c>
      <c r="R365" s="2" t="inlineStr"/>
    </row>
    <row r="366" ht="15" customHeight="1">
      <c r="A366" t="inlineStr">
        <is>
          <t>A 43853-2023</t>
        </is>
      </c>
      <c r="B366" s="1" t="n">
        <v>45187.60813657408</v>
      </c>
      <c r="C366" s="1" t="n">
        <v>46139</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43465-2025</t>
        </is>
      </c>
      <c r="B367" s="1" t="n">
        <v>45911.47138888889</v>
      </c>
      <c r="C367" s="1" t="n">
        <v>46139</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43617-2025</t>
        </is>
      </c>
      <c r="B368" s="1" t="n">
        <v>45911.67798611111</v>
      </c>
      <c r="C368" s="1" t="n">
        <v>46139</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22399-2025</t>
        </is>
      </c>
      <c r="B369" s="1" t="n">
        <v>45786.52996527778</v>
      </c>
      <c r="C369" s="1" t="n">
        <v>46139</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22397-2025</t>
        </is>
      </c>
      <c r="B370" s="1" t="n">
        <v>45786.52878472222</v>
      </c>
      <c r="C370" s="1" t="n">
        <v>46139</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25582-2024</t>
        </is>
      </c>
      <c r="B371" s="1" t="n">
        <v>45463</v>
      </c>
      <c r="C371" s="1" t="n">
        <v>46139</v>
      </c>
      <c r="D371" t="inlineStr">
        <is>
          <t>KALMAR LÄN</t>
        </is>
      </c>
      <c r="E371" t="inlineStr">
        <is>
          <t>VIMMERBY</t>
        </is>
      </c>
      <c r="G371" t="n">
        <v>1.4</v>
      </c>
      <c r="H371" t="n">
        <v>0</v>
      </c>
      <c r="I371" t="n">
        <v>0</v>
      </c>
      <c r="J371" t="n">
        <v>0</v>
      </c>
      <c r="K371" t="n">
        <v>0</v>
      </c>
      <c r="L371" t="n">
        <v>0</v>
      </c>
      <c r="M371" t="n">
        <v>0</v>
      </c>
      <c r="N371" t="n">
        <v>0</v>
      </c>
      <c r="O371" t="n">
        <v>0</v>
      </c>
      <c r="P371" t="n">
        <v>0</v>
      </c>
      <c r="Q371" t="n">
        <v>0</v>
      </c>
      <c r="R371" s="2" t="inlineStr"/>
    </row>
    <row r="372" ht="15" customHeight="1">
      <c r="A372" t="inlineStr">
        <is>
          <t>A 9511-2023</t>
        </is>
      </c>
      <c r="B372" s="1" t="n">
        <v>44981.64725694444</v>
      </c>
      <c r="C372" s="1" t="n">
        <v>46139</v>
      </c>
      <c r="D372" t="inlineStr">
        <is>
          <t>KALMAR LÄN</t>
        </is>
      </c>
      <c r="E372" t="inlineStr">
        <is>
          <t>VIMMERBY</t>
        </is>
      </c>
      <c r="G372" t="n">
        <v>3.5</v>
      </c>
      <c r="H372" t="n">
        <v>0</v>
      </c>
      <c r="I372" t="n">
        <v>0</v>
      </c>
      <c r="J372" t="n">
        <v>0</v>
      </c>
      <c r="K372" t="n">
        <v>0</v>
      </c>
      <c r="L372" t="n">
        <v>0</v>
      </c>
      <c r="M372" t="n">
        <v>0</v>
      </c>
      <c r="N372" t="n">
        <v>0</v>
      </c>
      <c r="O372" t="n">
        <v>0</v>
      </c>
      <c r="P372" t="n">
        <v>0</v>
      </c>
      <c r="Q372" t="n">
        <v>0</v>
      </c>
      <c r="R372" s="2" t="inlineStr"/>
    </row>
    <row r="373" ht="15" customHeight="1">
      <c r="A373" t="inlineStr">
        <is>
          <t>A 38757-2023</t>
        </is>
      </c>
      <c r="B373" s="1" t="n">
        <v>45163.41376157408</v>
      </c>
      <c r="C373" s="1" t="n">
        <v>46139</v>
      </c>
      <c r="D373" t="inlineStr">
        <is>
          <t>KALMAR LÄN</t>
        </is>
      </c>
      <c r="E373" t="inlineStr">
        <is>
          <t>VIMMERBY</t>
        </is>
      </c>
      <c r="G373" t="n">
        <v>2.5</v>
      </c>
      <c r="H373" t="n">
        <v>0</v>
      </c>
      <c r="I373" t="n">
        <v>0</v>
      </c>
      <c r="J373" t="n">
        <v>0</v>
      </c>
      <c r="K373" t="n">
        <v>0</v>
      </c>
      <c r="L373" t="n">
        <v>0</v>
      </c>
      <c r="M373" t="n">
        <v>0</v>
      </c>
      <c r="N373" t="n">
        <v>0</v>
      </c>
      <c r="O373" t="n">
        <v>0</v>
      </c>
      <c r="P373" t="n">
        <v>0</v>
      </c>
      <c r="Q373" t="n">
        <v>0</v>
      </c>
      <c r="R373" s="2" t="inlineStr"/>
    </row>
    <row r="374" ht="15" customHeight="1">
      <c r="A374" t="inlineStr">
        <is>
          <t>A 29973-2023</t>
        </is>
      </c>
      <c r="B374" s="1" t="n">
        <v>45108.703125</v>
      </c>
      <c r="C374" s="1" t="n">
        <v>46139</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44095-2025</t>
        </is>
      </c>
      <c r="B375" s="1" t="n">
        <v>45915.56430555556</v>
      </c>
      <c r="C375" s="1" t="n">
        <v>46139</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64143-2021</t>
        </is>
      </c>
      <c r="B376" s="1" t="n">
        <v>44510.52157407408</v>
      </c>
      <c r="C376" s="1" t="n">
        <v>46139</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73938-2021</t>
        </is>
      </c>
      <c r="B377" s="1" t="n">
        <v>44553</v>
      </c>
      <c r="C377" s="1" t="n">
        <v>46139</v>
      </c>
      <c r="D377" t="inlineStr">
        <is>
          <t>KALMAR LÄN</t>
        </is>
      </c>
      <c r="E377" t="inlineStr">
        <is>
          <t>VIMMERBY</t>
        </is>
      </c>
      <c r="G377" t="n">
        <v>3.2</v>
      </c>
      <c r="H377" t="n">
        <v>0</v>
      </c>
      <c r="I377" t="n">
        <v>0</v>
      </c>
      <c r="J377" t="n">
        <v>0</v>
      </c>
      <c r="K377" t="n">
        <v>0</v>
      </c>
      <c r="L377" t="n">
        <v>0</v>
      </c>
      <c r="M377" t="n">
        <v>0</v>
      </c>
      <c r="N377" t="n">
        <v>0</v>
      </c>
      <c r="O377" t="n">
        <v>0</v>
      </c>
      <c r="P377" t="n">
        <v>0</v>
      </c>
      <c r="Q377" t="n">
        <v>0</v>
      </c>
      <c r="R377" s="2" t="inlineStr"/>
    </row>
    <row r="378" ht="15" customHeight="1">
      <c r="A378" t="inlineStr">
        <is>
          <t>A 40076-2021</t>
        </is>
      </c>
      <c r="B378" s="1" t="n">
        <v>44418</v>
      </c>
      <c r="C378" s="1" t="n">
        <v>46139</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44091-2025</t>
        </is>
      </c>
      <c r="B379" s="1" t="n">
        <v>45915.55950231481</v>
      </c>
      <c r="C379" s="1" t="n">
        <v>46139</v>
      </c>
      <c r="D379" t="inlineStr">
        <is>
          <t>KALMAR LÄN</t>
        </is>
      </c>
      <c r="E379" t="inlineStr">
        <is>
          <t>VIMMERBY</t>
        </is>
      </c>
      <c r="G379" t="n">
        <v>0.8</v>
      </c>
      <c r="H379" t="n">
        <v>0</v>
      </c>
      <c r="I379" t="n">
        <v>0</v>
      </c>
      <c r="J379" t="n">
        <v>0</v>
      </c>
      <c r="K379" t="n">
        <v>0</v>
      </c>
      <c r="L379" t="n">
        <v>0</v>
      </c>
      <c r="M379" t="n">
        <v>0</v>
      </c>
      <c r="N379" t="n">
        <v>0</v>
      </c>
      <c r="O379" t="n">
        <v>0</v>
      </c>
      <c r="P379" t="n">
        <v>0</v>
      </c>
      <c r="Q379" t="n">
        <v>0</v>
      </c>
      <c r="R379" s="2" t="inlineStr"/>
    </row>
    <row r="380" ht="15" customHeight="1">
      <c r="A380" t="inlineStr">
        <is>
          <t>A 6082-2022</t>
        </is>
      </c>
      <c r="B380" s="1" t="n">
        <v>44599</v>
      </c>
      <c r="C380" s="1" t="n">
        <v>46139</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50648-2023</t>
        </is>
      </c>
      <c r="B381" s="1" t="n">
        <v>45217.47834490741</v>
      </c>
      <c r="C381" s="1" t="n">
        <v>46139</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529-2022</t>
        </is>
      </c>
      <c r="B382" s="1" t="n">
        <v>44566</v>
      </c>
      <c r="C382" s="1" t="n">
        <v>46139</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57578-2024</t>
        </is>
      </c>
      <c r="B383" s="1" t="n">
        <v>45630.47564814815</v>
      </c>
      <c r="C383" s="1" t="n">
        <v>46139</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58318-2021</t>
        </is>
      </c>
      <c r="B384" s="1" t="n">
        <v>44488.35878472222</v>
      </c>
      <c r="C384" s="1" t="n">
        <v>46139</v>
      </c>
      <c r="D384" t="inlineStr">
        <is>
          <t>KALMAR LÄN</t>
        </is>
      </c>
      <c r="E384" t="inlineStr">
        <is>
          <t>VIMMERBY</t>
        </is>
      </c>
      <c r="G384" t="n">
        <v>4</v>
      </c>
      <c r="H384" t="n">
        <v>0</v>
      </c>
      <c r="I384" t="n">
        <v>0</v>
      </c>
      <c r="J384" t="n">
        <v>0</v>
      </c>
      <c r="K384" t="n">
        <v>0</v>
      </c>
      <c r="L384" t="n">
        <v>0</v>
      </c>
      <c r="M384" t="n">
        <v>0</v>
      </c>
      <c r="N384" t="n">
        <v>0</v>
      </c>
      <c r="O384" t="n">
        <v>0</v>
      </c>
      <c r="P384" t="n">
        <v>0</v>
      </c>
      <c r="Q384" t="n">
        <v>0</v>
      </c>
      <c r="R384" s="2" t="inlineStr"/>
    </row>
    <row r="385" ht="15" customHeight="1">
      <c r="A385" t="inlineStr">
        <is>
          <t>A 89-2023</t>
        </is>
      </c>
      <c r="B385" s="1" t="n">
        <v>44918</v>
      </c>
      <c r="C385" s="1" t="n">
        <v>46139</v>
      </c>
      <c r="D385" t="inlineStr">
        <is>
          <t>KALMAR LÄN</t>
        </is>
      </c>
      <c r="E385" t="inlineStr">
        <is>
          <t>VIMMERBY</t>
        </is>
      </c>
      <c r="G385" t="n">
        <v>16.1</v>
      </c>
      <c r="H385" t="n">
        <v>0</v>
      </c>
      <c r="I385" t="n">
        <v>0</v>
      </c>
      <c r="J385" t="n">
        <v>0</v>
      </c>
      <c r="K385" t="n">
        <v>0</v>
      </c>
      <c r="L385" t="n">
        <v>0</v>
      </c>
      <c r="M385" t="n">
        <v>0</v>
      </c>
      <c r="N385" t="n">
        <v>0</v>
      </c>
      <c r="O385" t="n">
        <v>0</v>
      </c>
      <c r="P385" t="n">
        <v>0</v>
      </c>
      <c r="Q385" t="n">
        <v>0</v>
      </c>
      <c r="R385" s="2" t="inlineStr"/>
    </row>
    <row r="386" ht="15" customHeight="1">
      <c r="A386" t="inlineStr">
        <is>
          <t>A 23088-2024</t>
        </is>
      </c>
      <c r="B386" s="1" t="n">
        <v>45450.51092592593</v>
      </c>
      <c r="C386" s="1" t="n">
        <v>46139</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44517-2025</t>
        </is>
      </c>
      <c r="B387" s="1" t="n">
        <v>45916.7103587963</v>
      </c>
      <c r="C387" s="1" t="n">
        <v>46139</v>
      </c>
      <c r="D387" t="inlineStr">
        <is>
          <t>KALMAR LÄN</t>
        </is>
      </c>
      <c r="E387" t="inlineStr">
        <is>
          <t>VIMMERBY</t>
        </is>
      </c>
      <c r="G387" t="n">
        <v>0.9</v>
      </c>
      <c r="H387" t="n">
        <v>0</v>
      </c>
      <c r="I387" t="n">
        <v>0</v>
      </c>
      <c r="J387" t="n">
        <v>0</v>
      </c>
      <c r="K387" t="n">
        <v>0</v>
      </c>
      <c r="L387" t="n">
        <v>0</v>
      </c>
      <c r="M387" t="n">
        <v>0</v>
      </c>
      <c r="N387" t="n">
        <v>0</v>
      </c>
      <c r="O387" t="n">
        <v>0</v>
      </c>
      <c r="P387" t="n">
        <v>0</v>
      </c>
      <c r="Q387" t="n">
        <v>0</v>
      </c>
      <c r="R387" s="2" t="inlineStr"/>
    </row>
    <row r="388" ht="15" customHeight="1">
      <c r="A388" t="inlineStr">
        <is>
          <t>A 38851-2023</t>
        </is>
      </c>
      <c r="B388" s="1" t="n">
        <v>45163</v>
      </c>
      <c r="C388" s="1" t="n">
        <v>46139</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10759-2023</t>
        </is>
      </c>
      <c r="B389" s="1" t="n">
        <v>44988</v>
      </c>
      <c r="C389" s="1" t="n">
        <v>46139</v>
      </c>
      <c r="D389" t="inlineStr">
        <is>
          <t>KALMAR LÄN</t>
        </is>
      </c>
      <c r="E389" t="inlineStr">
        <is>
          <t>VIMMERBY</t>
        </is>
      </c>
      <c r="G389" t="n">
        <v>0.4</v>
      </c>
      <c r="H389" t="n">
        <v>0</v>
      </c>
      <c r="I389" t="n">
        <v>0</v>
      </c>
      <c r="J389" t="n">
        <v>0</v>
      </c>
      <c r="K389" t="n">
        <v>0</v>
      </c>
      <c r="L389" t="n">
        <v>0</v>
      </c>
      <c r="M389" t="n">
        <v>0</v>
      </c>
      <c r="N389" t="n">
        <v>0</v>
      </c>
      <c r="O389" t="n">
        <v>0</v>
      </c>
      <c r="P389" t="n">
        <v>0</v>
      </c>
      <c r="Q389" t="n">
        <v>0</v>
      </c>
      <c r="R389" s="2" t="inlineStr"/>
    </row>
    <row r="390" ht="15" customHeight="1">
      <c r="A390" t="inlineStr">
        <is>
          <t>A 44742-2025</t>
        </is>
      </c>
      <c r="B390" s="1" t="n">
        <v>45917.67054398148</v>
      </c>
      <c r="C390" s="1" t="n">
        <v>46139</v>
      </c>
      <c r="D390" t="inlineStr">
        <is>
          <t>KALMAR LÄN</t>
        </is>
      </c>
      <c r="E390" t="inlineStr">
        <is>
          <t>VIMMERBY</t>
        </is>
      </c>
      <c r="G390" t="n">
        <v>4.7</v>
      </c>
      <c r="H390" t="n">
        <v>0</v>
      </c>
      <c r="I390" t="n">
        <v>0</v>
      </c>
      <c r="J390" t="n">
        <v>0</v>
      </c>
      <c r="K390" t="n">
        <v>0</v>
      </c>
      <c r="L390" t="n">
        <v>0</v>
      </c>
      <c r="M390" t="n">
        <v>0</v>
      </c>
      <c r="N390" t="n">
        <v>0</v>
      </c>
      <c r="O390" t="n">
        <v>0</v>
      </c>
      <c r="P390" t="n">
        <v>0</v>
      </c>
      <c r="Q390" t="n">
        <v>0</v>
      </c>
      <c r="R390" s="2" t="inlineStr"/>
    </row>
    <row r="391" ht="15" customHeight="1">
      <c r="A391" t="inlineStr">
        <is>
          <t>A 6307-2025</t>
        </is>
      </c>
      <c r="B391" s="1" t="n">
        <v>45698.69016203703</v>
      </c>
      <c r="C391" s="1" t="n">
        <v>46139</v>
      </c>
      <c r="D391" t="inlineStr">
        <is>
          <t>KALMAR LÄN</t>
        </is>
      </c>
      <c r="E391" t="inlineStr">
        <is>
          <t>VIMMERBY</t>
        </is>
      </c>
      <c r="G391" t="n">
        <v>3</v>
      </c>
      <c r="H391" t="n">
        <v>0</v>
      </c>
      <c r="I391" t="n">
        <v>0</v>
      </c>
      <c r="J391" t="n">
        <v>0</v>
      </c>
      <c r="K391" t="n">
        <v>0</v>
      </c>
      <c r="L391" t="n">
        <v>0</v>
      </c>
      <c r="M391" t="n">
        <v>0</v>
      </c>
      <c r="N391" t="n">
        <v>0</v>
      </c>
      <c r="O391" t="n">
        <v>0</v>
      </c>
      <c r="P391" t="n">
        <v>0</v>
      </c>
      <c r="Q391" t="n">
        <v>0</v>
      </c>
      <c r="R391" s="2" t="inlineStr"/>
    </row>
    <row r="392" ht="15" customHeight="1">
      <c r="A392" t="inlineStr">
        <is>
          <t>A 63583-2023</t>
        </is>
      </c>
      <c r="B392" s="1" t="n">
        <v>45275.41833333333</v>
      </c>
      <c r="C392" s="1" t="n">
        <v>46139</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44329-2025</t>
        </is>
      </c>
      <c r="B393" s="1" t="n">
        <v>45916.41019675926</v>
      </c>
      <c r="C393" s="1" t="n">
        <v>46139</v>
      </c>
      <c r="D393" t="inlineStr">
        <is>
          <t>KALMAR LÄN</t>
        </is>
      </c>
      <c r="E393" t="inlineStr">
        <is>
          <t>VIMMERBY</t>
        </is>
      </c>
      <c r="G393" t="n">
        <v>4.3</v>
      </c>
      <c r="H393" t="n">
        <v>0</v>
      </c>
      <c r="I393" t="n">
        <v>0</v>
      </c>
      <c r="J393" t="n">
        <v>0</v>
      </c>
      <c r="K393" t="n">
        <v>0</v>
      </c>
      <c r="L393" t="n">
        <v>0</v>
      </c>
      <c r="M393" t="n">
        <v>0</v>
      </c>
      <c r="N393" t="n">
        <v>0</v>
      </c>
      <c r="O393" t="n">
        <v>0</v>
      </c>
      <c r="P393" t="n">
        <v>0</v>
      </c>
      <c r="Q393" t="n">
        <v>0</v>
      </c>
      <c r="R393" s="2" t="inlineStr"/>
    </row>
    <row r="394" ht="15" customHeight="1">
      <c r="A394" t="inlineStr">
        <is>
          <t>A 41896-2025</t>
        </is>
      </c>
      <c r="B394" s="1" t="n">
        <v>45903.38800925926</v>
      </c>
      <c r="C394" s="1" t="n">
        <v>46139</v>
      </c>
      <c r="D394" t="inlineStr">
        <is>
          <t>KALMAR LÄN</t>
        </is>
      </c>
      <c r="E394" t="inlineStr">
        <is>
          <t>VIMMERBY</t>
        </is>
      </c>
      <c r="G394" t="n">
        <v>2.9</v>
      </c>
      <c r="H394" t="n">
        <v>0</v>
      </c>
      <c r="I394" t="n">
        <v>0</v>
      </c>
      <c r="J394" t="n">
        <v>0</v>
      </c>
      <c r="K394" t="n">
        <v>0</v>
      </c>
      <c r="L394" t="n">
        <v>0</v>
      </c>
      <c r="M394" t="n">
        <v>0</v>
      </c>
      <c r="N394" t="n">
        <v>0</v>
      </c>
      <c r="O394" t="n">
        <v>0</v>
      </c>
      <c r="P394" t="n">
        <v>0</v>
      </c>
      <c r="Q394" t="n">
        <v>0</v>
      </c>
      <c r="R394" s="2" t="inlineStr"/>
    </row>
    <row r="395" ht="15" customHeight="1">
      <c r="A395" t="inlineStr">
        <is>
          <t>A 40079-2023</t>
        </is>
      </c>
      <c r="B395" s="1" t="n">
        <v>45168.89298611111</v>
      </c>
      <c r="C395" s="1" t="n">
        <v>46139</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43774-2023</t>
        </is>
      </c>
      <c r="B396" s="1" t="n">
        <v>45187</v>
      </c>
      <c r="C396" s="1" t="n">
        <v>46139</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2801-2023</t>
        </is>
      </c>
      <c r="B397" s="1" t="n">
        <v>44944.73487268519</v>
      </c>
      <c r="C397" s="1" t="n">
        <v>46139</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11442-2025</t>
        </is>
      </c>
      <c r="B398" s="1" t="n">
        <v>45726.62721064815</v>
      </c>
      <c r="C398" s="1" t="n">
        <v>46139</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29616-2022</t>
        </is>
      </c>
      <c r="B399" s="1" t="n">
        <v>44754</v>
      </c>
      <c r="C399" s="1" t="n">
        <v>46139</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5146-2024</t>
        </is>
      </c>
      <c r="B400" s="1" t="n">
        <v>45330</v>
      </c>
      <c r="C400" s="1" t="n">
        <v>46139</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5148-2024</t>
        </is>
      </c>
      <c r="B401" s="1" t="n">
        <v>45330</v>
      </c>
      <c r="C401" s="1" t="n">
        <v>46139</v>
      </c>
      <c r="D401" t="inlineStr">
        <is>
          <t>KALMAR LÄN</t>
        </is>
      </c>
      <c r="E401" t="inlineStr">
        <is>
          <t>VIMMERBY</t>
        </is>
      </c>
      <c r="G401" t="n">
        <v>5.6</v>
      </c>
      <c r="H401" t="n">
        <v>0</v>
      </c>
      <c r="I401" t="n">
        <v>0</v>
      </c>
      <c r="J401" t="n">
        <v>0</v>
      </c>
      <c r="K401" t="n">
        <v>0</v>
      </c>
      <c r="L401" t="n">
        <v>0</v>
      </c>
      <c r="M401" t="n">
        <v>0</v>
      </c>
      <c r="N401" t="n">
        <v>0</v>
      </c>
      <c r="O401" t="n">
        <v>0</v>
      </c>
      <c r="P401" t="n">
        <v>0</v>
      </c>
      <c r="Q401" t="n">
        <v>0</v>
      </c>
      <c r="R401" s="2" t="inlineStr"/>
    </row>
    <row r="402" ht="15" customHeight="1">
      <c r="A402" t="inlineStr">
        <is>
          <t>A 39578-2024</t>
        </is>
      </c>
      <c r="B402" s="1" t="n">
        <v>45552.36484953704</v>
      </c>
      <c r="C402" s="1" t="n">
        <v>46139</v>
      </c>
      <c r="D402" t="inlineStr">
        <is>
          <t>KALMAR LÄN</t>
        </is>
      </c>
      <c r="E402" t="inlineStr">
        <is>
          <t>VIMMERBY</t>
        </is>
      </c>
      <c r="G402" t="n">
        <v>1.5</v>
      </c>
      <c r="H402" t="n">
        <v>0</v>
      </c>
      <c r="I402" t="n">
        <v>0</v>
      </c>
      <c r="J402" t="n">
        <v>0</v>
      </c>
      <c r="K402" t="n">
        <v>0</v>
      </c>
      <c r="L402" t="n">
        <v>0</v>
      </c>
      <c r="M402" t="n">
        <v>0</v>
      </c>
      <c r="N402" t="n">
        <v>0</v>
      </c>
      <c r="O402" t="n">
        <v>0</v>
      </c>
      <c r="P402" t="n">
        <v>0</v>
      </c>
      <c r="Q402" t="n">
        <v>0</v>
      </c>
      <c r="R402" s="2" t="inlineStr"/>
    </row>
    <row r="403" ht="15" customHeight="1">
      <c r="A403" t="inlineStr">
        <is>
          <t>A 24707-2024</t>
        </is>
      </c>
      <c r="B403" s="1" t="n">
        <v>45460.62172453704</v>
      </c>
      <c r="C403" s="1" t="n">
        <v>46139</v>
      </c>
      <c r="D403" t="inlineStr">
        <is>
          <t>KALMAR LÄN</t>
        </is>
      </c>
      <c r="E403" t="inlineStr">
        <is>
          <t>VIMMERBY</t>
        </is>
      </c>
      <c r="G403" t="n">
        <v>1.7</v>
      </c>
      <c r="H403" t="n">
        <v>0</v>
      </c>
      <c r="I403" t="n">
        <v>0</v>
      </c>
      <c r="J403" t="n">
        <v>0</v>
      </c>
      <c r="K403" t="n">
        <v>0</v>
      </c>
      <c r="L403" t="n">
        <v>0</v>
      </c>
      <c r="M403" t="n">
        <v>0</v>
      </c>
      <c r="N403" t="n">
        <v>0</v>
      </c>
      <c r="O403" t="n">
        <v>0</v>
      </c>
      <c r="P403" t="n">
        <v>0</v>
      </c>
      <c r="Q403" t="n">
        <v>0</v>
      </c>
      <c r="R403" s="2" t="inlineStr"/>
    </row>
    <row r="404" ht="15" customHeight="1">
      <c r="A404" t="inlineStr">
        <is>
          <t>A 58278-2023</t>
        </is>
      </c>
      <c r="B404" s="1" t="n">
        <v>45250.5278587963</v>
      </c>
      <c r="C404" s="1" t="n">
        <v>46139</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22266-2023</t>
        </is>
      </c>
      <c r="B405" s="1" t="n">
        <v>45070</v>
      </c>
      <c r="C405" s="1" t="n">
        <v>46139</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52588-2023</t>
        </is>
      </c>
      <c r="B406" s="1" t="n">
        <v>45225.60192129629</v>
      </c>
      <c r="C406" s="1" t="n">
        <v>46139</v>
      </c>
      <c r="D406" t="inlineStr">
        <is>
          <t>KALMAR LÄN</t>
        </is>
      </c>
      <c r="E406" t="inlineStr">
        <is>
          <t>VIMMERBY</t>
        </is>
      </c>
      <c r="G406" t="n">
        <v>2.9</v>
      </c>
      <c r="H406" t="n">
        <v>0</v>
      </c>
      <c r="I406" t="n">
        <v>0</v>
      </c>
      <c r="J406" t="n">
        <v>0</v>
      </c>
      <c r="K406" t="n">
        <v>0</v>
      </c>
      <c r="L406" t="n">
        <v>0</v>
      </c>
      <c r="M406" t="n">
        <v>0</v>
      </c>
      <c r="N406" t="n">
        <v>0</v>
      </c>
      <c r="O406" t="n">
        <v>0</v>
      </c>
      <c r="P406" t="n">
        <v>0</v>
      </c>
      <c r="Q406" t="n">
        <v>0</v>
      </c>
      <c r="R406" s="2" t="inlineStr"/>
    </row>
    <row r="407" ht="15" customHeight="1">
      <c r="A407" t="inlineStr">
        <is>
          <t>A 45114-2025</t>
        </is>
      </c>
      <c r="B407" s="1" t="n">
        <v>45919.42387731482</v>
      </c>
      <c r="C407" s="1" t="n">
        <v>46139</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31056-2022</t>
        </is>
      </c>
      <c r="B408" s="1" t="n">
        <v>44769.45805555556</v>
      </c>
      <c r="C408" s="1" t="n">
        <v>46139</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33383-2023</t>
        </is>
      </c>
      <c r="B409" s="1" t="n">
        <v>45128.58414351852</v>
      </c>
      <c r="C409" s="1" t="n">
        <v>46139</v>
      </c>
      <c r="D409" t="inlineStr">
        <is>
          <t>KALMAR LÄN</t>
        </is>
      </c>
      <c r="E409" t="inlineStr">
        <is>
          <t>VIMMERBY</t>
        </is>
      </c>
      <c r="G409" t="n">
        <v>2.3</v>
      </c>
      <c r="H409" t="n">
        <v>0</v>
      </c>
      <c r="I409" t="n">
        <v>0</v>
      </c>
      <c r="J409" t="n">
        <v>0</v>
      </c>
      <c r="K409" t="n">
        <v>0</v>
      </c>
      <c r="L409" t="n">
        <v>0</v>
      </c>
      <c r="M409" t="n">
        <v>0</v>
      </c>
      <c r="N409" t="n">
        <v>0</v>
      </c>
      <c r="O409" t="n">
        <v>0</v>
      </c>
      <c r="P409" t="n">
        <v>0</v>
      </c>
      <c r="Q409" t="n">
        <v>0</v>
      </c>
      <c r="R409" s="2" t="inlineStr"/>
    </row>
    <row r="410" ht="15" customHeight="1">
      <c r="A410" t="inlineStr">
        <is>
          <t>A 6802-2025</t>
        </is>
      </c>
      <c r="B410" s="1" t="n">
        <v>45700.68289351852</v>
      </c>
      <c r="C410" s="1" t="n">
        <v>46139</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71793-2021</t>
        </is>
      </c>
      <c r="B411" s="1" t="n">
        <v>44539</v>
      </c>
      <c r="C411" s="1" t="n">
        <v>46139</v>
      </c>
      <c r="D411" t="inlineStr">
        <is>
          <t>KALMAR LÄN</t>
        </is>
      </c>
      <c r="E411" t="inlineStr">
        <is>
          <t>VIMMERBY</t>
        </is>
      </c>
      <c r="G411" t="n">
        <v>2.7</v>
      </c>
      <c r="H411" t="n">
        <v>0</v>
      </c>
      <c r="I411" t="n">
        <v>0</v>
      </c>
      <c r="J411" t="n">
        <v>0</v>
      </c>
      <c r="K411" t="n">
        <v>0</v>
      </c>
      <c r="L411" t="n">
        <v>0</v>
      </c>
      <c r="M411" t="n">
        <v>0</v>
      </c>
      <c r="N411" t="n">
        <v>0</v>
      </c>
      <c r="O411" t="n">
        <v>0</v>
      </c>
      <c r="P411" t="n">
        <v>0</v>
      </c>
      <c r="Q411" t="n">
        <v>0</v>
      </c>
      <c r="R411" s="2" t="inlineStr"/>
    </row>
    <row r="412" ht="15" customHeight="1">
      <c r="A412" t="inlineStr">
        <is>
          <t>A 40828-2023</t>
        </is>
      </c>
      <c r="B412" s="1" t="n">
        <v>45171.96248842592</v>
      </c>
      <c r="C412" s="1" t="n">
        <v>46139</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45319-2025</t>
        </is>
      </c>
      <c r="B413" s="1" t="n">
        <v>45921.95611111111</v>
      </c>
      <c r="C413" s="1" t="n">
        <v>46139</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61861-2024</t>
        </is>
      </c>
      <c r="B414" s="1" t="n">
        <v>45650.37370370371</v>
      </c>
      <c r="C414" s="1" t="n">
        <v>46139</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45320-2025</t>
        </is>
      </c>
      <c r="B415" s="1" t="n">
        <v>45921.96395833333</v>
      </c>
      <c r="C415" s="1" t="n">
        <v>46139</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8650-2022</t>
        </is>
      </c>
      <c r="B416" s="1" t="n">
        <v>44613</v>
      </c>
      <c r="C416" s="1" t="n">
        <v>46139</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33340-2023</t>
        </is>
      </c>
      <c r="B417" s="1" t="n">
        <v>45128.37305555555</v>
      </c>
      <c r="C417" s="1" t="n">
        <v>46139</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44423-2023</t>
        </is>
      </c>
      <c r="B418" s="1" t="n">
        <v>45189</v>
      </c>
      <c r="C418" s="1" t="n">
        <v>46139</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46118-2025</t>
        </is>
      </c>
      <c r="B419" s="1" t="n">
        <v>45924.57697916667</v>
      </c>
      <c r="C419" s="1" t="n">
        <v>46139</v>
      </c>
      <c r="D419" t="inlineStr">
        <is>
          <t>KALMAR LÄN</t>
        </is>
      </c>
      <c r="E419" t="inlineStr">
        <is>
          <t>VIMMERBY</t>
        </is>
      </c>
      <c r="G419" t="n">
        <v>2.9</v>
      </c>
      <c r="H419" t="n">
        <v>0</v>
      </c>
      <c r="I419" t="n">
        <v>0</v>
      </c>
      <c r="J419" t="n">
        <v>0</v>
      </c>
      <c r="K419" t="n">
        <v>0</v>
      </c>
      <c r="L419" t="n">
        <v>0</v>
      </c>
      <c r="M419" t="n">
        <v>0</v>
      </c>
      <c r="N419" t="n">
        <v>0</v>
      </c>
      <c r="O419" t="n">
        <v>0</v>
      </c>
      <c r="P419" t="n">
        <v>0</v>
      </c>
      <c r="Q419" t="n">
        <v>0</v>
      </c>
      <c r="R419" s="2" t="inlineStr"/>
    </row>
    <row r="420" ht="15" customHeight="1">
      <c r="A420" t="inlineStr">
        <is>
          <t>A 37323-2024</t>
        </is>
      </c>
      <c r="B420" s="1" t="n">
        <v>45540.50098379629</v>
      </c>
      <c r="C420" s="1" t="n">
        <v>46139</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46365-2025</t>
        </is>
      </c>
      <c r="B421" s="1" t="n">
        <v>45925.50075231482</v>
      </c>
      <c r="C421" s="1" t="n">
        <v>46139</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23394-2025</t>
        </is>
      </c>
      <c r="B422" s="1" t="n">
        <v>45791.89865740741</v>
      </c>
      <c r="C422" s="1" t="n">
        <v>46139</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46361-2025</t>
        </is>
      </c>
      <c r="B423" s="1" t="n">
        <v>45925.49670138889</v>
      </c>
      <c r="C423" s="1" t="n">
        <v>46139</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18501-2024</t>
        </is>
      </c>
      <c r="B424" s="1" t="n">
        <v>45425.57538194444</v>
      </c>
      <c r="C424" s="1" t="n">
        <v>46139</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46887-2025</t>
        </is>
      </c>
      <c r="B425" s="1" t="n">
        <v>45929.3672337963</v>
      </c>
      <c r="C425" s="1" t="n">
        <v>46139</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45856-2025</t>
        </is>
      </c>
      <c r="B426" s="1" t="n">
        <v>45923</v>
      </c>
      <c r="C426" s="1" t="n">
        <v>46139</v>
      </c>
      <c r="D426" t="inlineStr">
        <is>
          <t>KALMAR LÄN</t>
        </is>
      </c>
      <c r="E426" t="inlineStr">
        <is>
          <t>VIMMERBY</t>
        </is>
      </c>
      <c r="G426" t="n">
        <v>2.1</v>
      </c>
      <c r="H426" t="n">
        <v>0</v>
      </c>
      <c r="I426" t="n">
        <v>0</v>
      </c>
      <c r="J426" t="n">
        <v>0</v>
      </c>
      <c r="K426" t="n">
        <v>0</v>
      </c>
      <c r="L426" t="n">
        <v>0</v>
      </c>
      <c r="M426" t="n">
        <v>0</v>
      </c>
      <c r="N426" t="n">
        <v>0</v>
      </c>
      <c r="O426" t="n">
        <v>0</v>
      </c>
      <c r="P426" t="n">
        <v>0</v>
      </c>
      <c r="Q426" t="n">
        <v>0</v>
      </c>
      <c r="R426" s="2" t="inlineStr"/>
    </row>
    <row r="427" ht="15" customHeight="1">
      <c r="A427" t="inlineStr">
        <is>
          <t>A 23984-2025</t>
        </is>
      </c>
      <c r="B427" s="1" t="n">
        <v>45796</v>
      </c>
      <c r="C427" s="1" t="n">
        <v>46139</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527-2024</t>
        </is>
      </c>
      <c r="B428" s="1" t="n">
        <v>45299.47513888889</v>
      </c>
      <c r="C428" s="1" t="n">
        <v>46139</v>
      </c>
      <c r="D428" t="inlineStr">
        <is>
          <t>KALMAR LÄN</t>
        </is>
      </c>
      <c r="E428" t="inlineStr">
        <is>
          <t>VIMMERBY</t>
        </is>
      </c>
      <c r="G428" t="n">
        <v>2.2</v>
      </c>
      <c r="H428" t="n">
        <v>0</v>
      </c>
      <c r="I428" t="n">
        <v>0</v>
      </c>
      <c r="J428" t="n">
        <v>0</v>
      </c>
      <c r="K428" t="n">
        <v>0</v>
      </c>
      <c r="L428" t="n">
        <v>0</v>
      </c>
      <c r="M428" t="n">
        <v>0</v>
      </c>
      <c r="N428" t="n">
        <v>0</v>
      </c>
      <c r="O428" t="n">
        <v>0</v>
      </c>
      <c r="P428" t="n">
        <v>0</v>
      </c>
      <c r="Q428" t="n">
        <v>0</v>
      </c>
      <c r="R428" s="2" t="inlineStr"/>
    </row>
    <row r="429" ht="15" customHeight="1">
      <c r="A429" t="inlineStr">
        <is>
          <t>A 45854-2025</t>
        </is>
      </c>
      <c r="B429" s="1" t="n">
        <v>45923</v>
      </c>
      <c r="C429" s="1" t="n">
        <v>46139</v>
      </c>
      <c r="D429" t="inlineStr">
        <is>
          <t>KALMAR LÄN</t>
        </is>
      </c>
      <c r="E429" t="inlineStr">
        <is>
          <t>VIMMERBY</t>
        </is>
      </c>
      <c r="G429" t="n">
        <v>2.2</v>
      </c>
      <c r="H429" t="n">
        <v>0</v>
      </c>
      <c r="I429" t="n">
        <v>0</v>
      </c>
      <c r="J429" t="n">
        <v>0</v>
      </c>
      <c r="K429" t="n">
        <v>0</v>
      </c>
      <c r="L429" t="n">
        <v>0</v>
      </c>
      <c r="M429" t="n">
        <v>0</v>
      </c>
      <c r="N429" t="n">
        <v>0</v>
      </c>
      <c r="O429" t="n">
        <v>0</v>
      </c>
      <c r="P429" t="n">
        <v>0</v>
      </c>
      <c r="Q429" t="n">
        <v>0</v>
      </c>
      <c r="R429" s="2" t="inlineStr"/>
    </row>
    <row r="430" ht="15" customHeight="1">
      <c r="A430" t="inlineStr">
        <is>
          <t>A 45855-2025</t>
        </is>
      </c>
      <c r="B430" s="1" t="n">
        <v>45923</v>
      </c>
      <c r="C430" s="1" t="n">
        <v>46139</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60230-2022</t>
        </is>
      </c>
      <c r="B431" s="1" t="n">
        <v>44910</v>
      </c>
      <c r="C431" s="1" t="n">
        <v>46139</v>
      </c>
      <c r="D431" t="inlineStr">
        <is>
          <t>KALMAR LÄN</t>
        </is>
      </c>
      <c r="E431" t="inlineStr">
        <is>
          <t>VIMMERBY</t>
        </is>
      </c>
      <c r="G431" t="n">
        <v>11.3</v>
      </c>
      <c r="H431" t="n">
        <v>0</v>
      </c>
      <c r="I431" t="n">
        <v>0</v>
      </c>
      <c r="J431" t="n">
        <v>0</v>
      </c>
      <c r="K431" t="n">
        <v>0</v>
      </c>
      <c r="L431" t="n">
        <v>0</v>
      </c>
      <c r="M431" t="n">
        <v>0</v>
      </c>
      <c r="N431" t="n">
        <v>0</v>
      </c>
      <c r="O431" t="n">
        <v>0</v>
      </c>
      <c r="P431" t="n">
        <v>0</v>
      </c>
      <c r="Q431" t="n">
        <v>0</v>
      </c>
      <c r="R431" s="2" t="inlineStr"/>
    </row>
    <row r="432" ht="15" customHeight="1">
      <c r="A432" t="inlineStr">
        <is>
          <t>A 5925-2022</t>
        </is>
      </c>
      <c r="B432" s="1" t="n">
        <v>44598.7384837963</v>
      </c>
      <c r="C432" s="1" t="n">
        <v>46139</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46522-2022</t>
        </is>
      </c>
      <c r="B433" s="1" t="n">
        <v>44848.59133101852</v>
      </c>
      <c r="C433" s="1" t="n">
        <v>46139</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47227-2025</t>
        </is>
      </c>
      <c r="B434" s="1" t="n">
        <v>45930.39769675926</v>
      </c>
      <c r="C434" s="1" t="n">
        <v>46139</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35082-2024</t>
        </is>
      </c>
      <c r="B435" s="1" t="n">
        <v>45527.68784722222</v>
      </c>
      <c r="C435" s="1" t="n">
        <v>46139</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41066-2024</t>
        </is>
      </c>
      <c r="B436" s="1" t="n">
        <v>45559.38876157408</v>
      </c>
      <c r="C436" s="1" t="n">
        <v>46139</v>
      </c>
      <c r="D436" t="inlineStr">
        <is>
          <t>KALMAR LÄN</t>
        </is>
      </c>
      <c r="E436" t="inlineStr">
        <is>
          <t>VIMMERBY</t>
        </is>
      </c>
      <c r="G436" t="n">
        <v>2.4</v>
      </c>
      <c r="H436" t="n">
        <v>0</v>
      </c>
      <c r="I436" t="n">
        <v>0</v>
      </c>
      <c r="J436" t="n">
        <v>0</v>
      </c>
      <c r="K436" t="n">
        <v>0</v>
      </c>
      <c r="L436" t="n">
        <v>0</v>
      </c>
      <c r="M436" t="n">
        <v>0</v>
      </c>
      <c r="N436" t="n">
        <v>0</v>
      </c>
      <c r="O436" t="n">
        <v>0</v>
      </c>
      <c r="P436" t="n">
        <v>0</v>
      </c>
      <c r="Q436" t="n">
        <v>0</v>
      </c>
      <c r="R436" s="2" t="inlineStr"/>
    </row>
    <row r="437" ht="15" customHeight="1">
      <c r="A437" t="inlineStr">
        <is>
          <t>A 51278-2024</t>
        </is>
      </c>
      <c r="B437" s="1" t="n">
        <v>45603.74959490741</v>
      </c>
      <c r="C437" s="1" t="n">
        <v>46139</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9456-2025</t>
        </is>
      </c>
      <c r="B438" s="1" t="n">
        <v>45715.44159722222</v>
      </c>
      <c r="C438" s="1" t="n">
        <v>46139</v>
      </c>
      <c r="D438" t="inlineStr">
        <is>
          <t>KALMAR LÄN</t>
        </is>
      </c>
      <c r="E438" t="inlineStr">
        <is>
          <t>VIMMERBY</t>
        </is>
      </c>
      <c r="G438" t="n">
        <v>1.5</v>
      </c>
      <c r="H438" t="n">
        <v>0</v>
      </c>
      <c r="I438" t="n">
        <v>0</v>
      </c>
      <c r="J438" t="n">
        <v>0</v>
      </c>
      <c r="K438" t="n">
        <v>0</v>
      </c>
      <c r="L438" t="n">
        <v>0</v>
      </c>
      <c r="M438" t="n">
        <v>0</v>
      </c>
      <c r="N438" t="n">
        <v>0</v>
      </c>
      <c r="O438" t="n">
        <v>0</v>
      </c>
      <c r="P438" t="n">
        <v>0</v>
      </c>
      <c r="Q438" t="n">
        <v>0</v>
      </c>
      <c r="R438" s="2" t="inlineStr"/>
    </row>
    <row r="439" ht="15" customHeight="1">
      <c r="A439" t="inlineStr">
        <is>
          <t>A 52279-2023</t>
        </is>
      </c>
      <c r="B439" s="1" t="n">
        <v>45224</v>
      </c>
      <c r="C439" s="1" t="n">
        <v>46139</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48299-2025</t>
        </is>
      </c>
      <c r="B440" s="1" t="n">
        <v>45933.60982638889</v>
      </c>
      <c r="C440" s="1" t="n">
        <v>46139</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11111-2023</t>
        </is>
      </c>
      <c r="B441" s="1" t="n">
        <v>44992.4255787037</v>
      </c>
      <c r="C441" s="1" t="n">
        <v>46139</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17486-2024</t>
        </is>
      </c>
      <c r="B442" s="1" t="n">
        <v>45415.48979166667</v>
      </c>
      <c r="C442" s="1" t="n">
        <v>46139</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47965-2025</t>
        </is>
      </c>
      <c r="B443" s="1" t="n">
        <v>45932.59597222223</v>
      </c>
      <c r="C443" s="1" t="n">
        <v>46139</v>
      </c>
      <c r="D443" t="inlineStr">
        <is>
          <t>KALMAR LÄN</t>
        </is>
      </c>
      <c r="E443" t="inlineStr">
        <is>
          <t>VIMMERBY</t>
        </is>
      </c>
      <c r="G443" t="n">
        <v>2.2</v>
      </c>
      <c r="H443" t="n">
        <v>0</v>
      </c>
      <c r="I443" t="n">
        <v>0</v>
      </c>
      <c r="J443" t="n">
        <v>0</v>
      </c>
      <c r="K443" t="n">
        <v>0</v>
      </c>
      <c r="L443" t="n">
        <v>0</v>
      </c>
      <c r="M443" t="n">
        <v>0</v>
      </c>
      <c r="N443" t="n">
        <v>0</v>
      </c>
      <c r="O443" t="n">
        <v>0</v>
      </c>
      <c r="P443" t="n">
        <v>0</v>
      </c>
      <c r="Q443" t="n">
        <v>0</v>
      </c>
      <c r="R443" s="2" t="inlineStr"/>
    </row>
    <row r="444" ht="15" customHeight="1">
      <c r="A444" t="inlineStr">
        <is>
          <t>A 44582-2024</t>
        </is>
      </c>
      <c r="B444" s="1" t="n">
        <v>45574.49298611111</v>
      </c>
      <c r="C444" s="1" t="n">
        <v>46139</v>
      </c>
      <c r="D444" t="inlineStr">
        <is>
          <t>KALMAR LÄN</t>
        </is>
      </c>
      <c r="E444" t="inlineStr">
        <is>
          <t>VIMMERBY</t>
        </is>
      </c>
      <c r="G444" t="n">
        <v>1.1</v>
      </c>
      <c r="H444" t="n">
        <v>0</v>
      </c>
      <c r="I444" t="n">
        <v>0</v>
      </c>
      <c r="J444" t="n">
        <v>0</v>
      </c>
      <c r="K444" t="n">
        <v>0</v>
      </c>
      <c r="L444" t="n">
        <v>0</v>
      </c>
      <c r="M444" t="n">
        <v>0</v>
      </c>
      <c r="N444" t="n">
        <v>0</v>
      </c>
      <c r="O444" t="n">
        <v>0</v>
      </c>
      <c r="P444" t="n">
        <v>0</v>
      </c>
      <c r="Q444" t="n">
        <v>0</v>
      </c>
      <c r="R444" s="2" t="inlineStr"/>
    </row>
    <row r="445" ht="15" customHeight="1">
      <c r="A445" t="inlineStr">
        <is>
          <t>A 71631-2021</t>
        </is>
      </c>
      <c r="B445" s="1" t="n">
        <v>44542.90072916666</v>
      </c>
      <c r="C445" s="1" t="n">
        <v>46139</v>
      </c>
      <c r="D445" t="inlineStr">
        <is>
          <t>KALMAR LÄN</t>
        </is>
      </c>
      <c r="E445" t="inlineStr">
        <is>
          <t>VIMMERBY</t>
        </is>
      </c>
      <c r="G445" t="n">
        <v>0.9</v>
      </c>
      <c r="H445" t="n">
        <v>0</v>
      </c>
      <c r="I445" t="n">
        <v>0</v>
      </c>
      <c r="J445" t="n">
        <v>0</v>
      </c>
      <c r="K445" t="n">
        <v>0</v>
      </c>
      <c r="L445" t="n">
        <v>0</v>
      </c>
      <c r="M445" t="n">
        <v>0</v>
      </c>
      <c r="N445" t="n">
        <v>0</v>
      </c>
      <c r="O445" t="n">
        <v>0</v>
      </c>
      <c r="P445" t="n">
        <v>0</v>
      </c>
      <c r="Q445" t="n">
        <v>0</v>
      </c>
      <c r="R445" s="2" t="inlineStr"/>
    </row>
    <row r="446" ht="15" customHeight="1">
      <c r="A446" t="inlineStr">
        <is>
          <t>A 15494-2024</t>
        </is>
      </c>
      <c r="B446" s="1" t="n">
        <v>45401.53033564815</v>
      </c>
      <c r="C446" s="1" t="n">
        <v>46139</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47955-2025</t>
        </is>
      </c>
      <c r="B447" s="1" t="n">
        <v>45932.58896990741</v>
      </c>
      <c r="C447" s="1" t="n">
        <v>46139</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48723-2025</t>
        </is>
      </c>
      <c r="B448" s="1" t="n">
        <v>45936.65121527778</v>
      </c>
      <c r="C448" s="1" t="n">
        <v>46139</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48712-2025</t>
        </is>
      </c>
      <c r="B449" s="1" t="n">
        <v>45936.63373842592</v>
      </c>
      <c r="C449" s="1" t="n">
        <v>46139</v>
      </c>
      <c r="D449" t="inlineStr">
        <is>
          <t>KALMAR LÄN</t>
        </is>
      </c>
      <c r="E449" t="inlineStr">
        <is>
          <t>VIMMERBY</t>
        </is>
      </c>
      <c r="G449" t="n">
        <v>3</v>
      </c>
      <c r="H449" t="n">
        <v>0</v>
      </c>
      <c r="I449" t="n">
        <v>0</v>
      </c>
      <c r="J449" t="n">
        <v>0</v>
      </c>
      <c r="K449" t="n">
        <v>0</v>
      </c>
      <c r="L449" t="n">
        <v>0</v>
      </c>
      <c r="M449" t="n">
        <v>0</v>
      </c>
      <c r="N449" t="n">
        <v>0</v>
      </c>
      <c r="O449" t="n">
        <v>0</v>
      </c>
      <c r="P449" t="n">
        <v>0</v>
      </c>
      <c r="Q449" t="n">
        <v>0</v>
      </c>
      <c r="R449" s="2" t="inlineStr"/>
    </row>
    <row r="450" ht="15" customHeight="1">
      <c r="A450" t="inlineStr">
        <is>
          <t>A 48408-2025</t>
        </is>
      </c>
      <c r="B450" s="1" t="n">
        <v>45934.40527777778</v>
      </c>
      <c r="C450" s="1" t="n">
        <v>46139</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48409-2025</t>
        </is>
      </c>
      <c r="B451" s="1" t="n">
        <v>45934.41387731482</v>
      </c>
      <c r="C451" s="1" t="n">
        <v>46139</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48600-2025</t>
        </is>
      </c>
      <c r="B452" s="1" t="n">
        <v>45935</v>
      </c>
      <c r="C452" s="1" t="n">
        <v>46139</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16015-2025</t>
        </is>
      </c>
      <c r="B453" s="1" t="n">
        <v>45749.60487268519</v>
      </c>
      <c r="C453" s="1" t="n">
        <v>46139</v>
      </c>
      <c r="D453" t="inlineStr">
        <is>
          <t>KALMAR LÄN</t>
        </is>
      </c>
      <c r="E453" t="inlineStr">
        <is>
          <t>VIMMERBY</t>
        </is>
      </c>
      <c r="F453" t="inlineStr">
        <is>
          <t>Kyrkan</t>
        </is>
      </c>
      <c r="G453" t="n">
        <v>2.7</v>
      </c>
      <c r="H453" t="n">
        <v>0</v>
      </c>
      <c r="I453" t="n">
        <v>0</v>
      </c>
      <c r="J453" t="n">
        <v>0</v>
      </c>
      <c r="K453" t="n">
        <v>0</v>
      </c>
      <c r="L453" t="n">
        <v>0</v>
      </c>
      <c r="M453" t="n">
        <v>0</v>
      </c>
      <c r="N453" t="n">
        <v>0</v>
      </c>
      <c r="O453" t="n">
        <v>0</v>
      </c>
      <c r="P453" t="n">
        <v>0</v>
      </c>
      <c r="Q453" t="n">
        <v>0</v>
      </c>
      <c r="R453" s="2" t="inlineStr"/>
    </row>
    <row r="454" ht="15" customHeight="1">
      <c r="A454" t="inlineStr">
        <is>
          <t>A 58724-2024</t>
        </is>
      </c>
      <c r="B454" s="1" t="n">
        <v>45635.66409722222</v>
      </c>
      <c r="C454" s="1" t="n">
        <v>46139</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25792-2025</t>
        </is>
      </c>
      <c r="B455" s="1" t="n">
        <v>45804.39141203704</v>
      </c>
      <c r="C455" s="1" t="n">
        <v>46139</v>
      </c>
      <c r="D455" t="inlineStr">
        <is>
          <t>KALMAR LÄN</t>
        </is>
      </c>
      <c r="E455" t="inlineStr">
        <is>
          <t>VIMMERBY</t>
        </is>
      </c>
      <c r="G455" t="n">
        <v>0.8</v>
      </c>
      <c r="H455" t="n">
        <v>0</v>
      </c>
      <c r="I455" t="n">
        <v>0</v>
      </c>
      <c r="J455" t="n">
        <v>0</v>
      </c>
      <c r="K455" t="n">
        <v>0</v>
      </c>
      <c r="L455" t="n">
        <v>0</v>
      </c>
      <c r="M455" t="n">
        <v>0</v>
      </c>
      <c r="N455" t="n">
        <v>0</v>
      </c>
      <c r="O455" t="n">
        <v>0</v>
      </c>
      <c r="P455" t="n">
        <v>0</v>
      </c>
      <c r="Q455" t="n">
        <v>0</v>
      </c>
      <c r="R455" s="2" t="inlineStr"/>
    </row>
    <row r="456" ht="15" customHeight="1">
      <c r="A456" t="inlineStr">
        <is>
          <t>A 26039-2025</t>
        </is>
      </c>
      <c r="B456" s="1" t="n">
        <v>45804.6953587963</v>
      </c>
      <c r="C456" s="1" t="n">
        <v>46139</v>
      </c>
      <c r="D456" t="inlineStr">
        <is>
          <t>KALMAR LÄN</t>
        </is>
      </c>
      <c r="E456" t="inlineStr">
        <is>
          <t>VIMMERBY</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9694-2023</t>
        </is>
      </c>
      <c r="B457" s="1" t="n">
        <v>44984.45895833334</v>
      </c>
      <c r="C457" s="1" t="n">
        <v>46139</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26046-2025</t>
        </is>
      </c>
      <c r="B458" s="1" t="n">
        <v>45804.708125</v>
      </c>
      <c r="C458" s="1" t="n">
        <v>46139</v>
      </c>
      <c r="D458" t="inlineStr">
        <is>
          <t>KALMAR LÄN</t>
        </is>
      </c>
      <c r="E458" t="inlineStr">
        <is>
          <t>VIMMERBY</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26124-2025</t>
        </is>
      </c>
      <c r="B459" s="1" t="n">
        <v>45805.39247685186</v>
      </c>
      <c r="C459" s="1" t="n">
        <v>46139</v>
      </c>
      <c r="D459" t="inlineStr">
        <is>
          <t>KALMAR LÄN</t>
        </is>
      </c>
      <c r="E459" t="inlineStr">
        <is>
          <t>VIMMERBY</t>
        </is>
      </c>
      <c r="G459" t="n">
        <v>6.6</v>
      </c>
      <c r="H459" t="n">
        <v>0</v>
      </c>
      <c r="I459" t="n">
        <v>0</v>
      </c>
      <c r="J459" t="n">
        <v>0</v>
      </c>
      <c r="K459" t="n">
        <v>0</v>
      </c>
      <c r="L459" t="n">
        <v>0</v>
      </c>
      <c r="M459" t="n">
        <v>0</v>
      </c>
      <c r="N459" t="n">
        <v>0</v>
      </c>
      <c r="O459" t="n">
        <v>0</v>
      </c>
      <c r="P459" t="n">
        <v>0</v>
      </c>
      <c r="Q459" t="n">
        <v>0</v>
      </c>
      <c r="R459" s="2" t="inlineStr"/>
    </row>
    <row r="460" ht="15" customHeight="1">
      <c r="A460" t="inlineStr">
        <is>
          <t>A 22198-2024</t>
        </is>
      </c>
      <c r="B460" s="1" t="n">
        <v>45446.36865740741</v>
      </c>
      <c r="C460" s="1" t="n">
        <v>46139</v>
      </c>
      <c r="D460" t="inlineStr">
        <is>
          <t>KALMAR LÄN</t>
        </is>
      </c>
      <c r="E460" t="inlineStr">
        <is>
          <t>VIMMERBY</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26207-2025</t>
        </is>
      </c>
      <c r="B461" s="1" t="n">
        <v>45805.52983796296</v>
      </c>
      <c r="C461" s="1" t="n">
        <v>46139</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25830-2025</t>
        </is>
      </c>
      <c r="B462" s="1" t="n">
        <v>45804.44519675926</v>
      </c>
      <c r="C462" s="1" t="n">
        <v>46139</v>
      </c>
      <c r="D462" t="inlineStr">
        <is>
          <t>KALMAR LÄN</t>
        </is>
      </c>
      <c r="E462" t="inlineStr">
        <is>
          <t>VIMMERBY</t>
        </is>
      </c>
      <c r="G462" t="n">
        <v>4.9</v>
      </c>
      <c r="H462" t="n">
        <v>0</v>
      </c>
      <c r="I462" t="n">
        <v>0</v>
      </c>
      <c r="J462" t="n">
        <v>0</v>
      </c>
      <c r="K462" t="n">
        <v>0</v>
      </c>
      <c r="L462" t="n">
        <v>0</v>
      </c>
      <c r="M462" t="n">
        <v>0</v>
      </c>
      <c r="N462" t="n">
        <v>0</v>
      </c>
      <c r="O462" t="n">
        <v>0</v>
      </c>
      <c r="P462" t="n">
        <v>0</v>
      </c>
      <c r="Q462" t="n">
        <v>0</v>
      </c>
      <c r="R462" s="2" t="inlineStr"/>
    </row>
    <row r="463" ht="15" customHeight="1">
      <c r="A463" t="inlineStr">
        <is>
          <t>A 26254-2025</t>
        </is>
      </c>
      <c r="B463" s="1" t="n">
        <v>45805</v>
      </c>
      <c r="C463" s="1" t="n">
        <v>46139</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57311-2023</t>
        </is>
      </c>
      <c r="B464" s="1" t="n">
        <v>45245.63574074074</v>
      </c>
      <c r="C464" s="1" t="n">
        <v>46139</v>
      </c>
      <c r="D464" t="inlineStr">
        <is>
          <t>KALMAR LÄN</t>
        </is>
      </c>
      <c r="E464" t="inlineStr">
        <is>
          <t>VIMMERBY</t>
        </is>
      </c>
      <c r="G464" t="n">
        <v>1.6</v>
      </c>
      <c r="H464" t="n">
        <v>0</v>
      </c>
      <c r="I464" t="n">
        <v>0</v>
      </c>
      <c r="J464" t="n">
        <v>0</v>
      </c>
      <c r="K464" t="n">
        <v>0</v>
      </c>
      <c r="L464" t="n">
        <v>0</v>
      </c>
      <c r="M464" t="n">
        <v>0</v>
      </c>
      <c r="N464" t="n">
        <v>0</v>
      </c>
      <c r="O464" t="n">
        <v>0</v>
      </c>
      <c r="P464" t="n">
        <v>0</v>
      </c>
      <c r="Q464" t="n">
        <v>0</v>
      </c>
      <c r="R464" s="2" t="inlineStr"/>
    </row>
    <row r="465" ht="15" customHeight="1">
      <c r="A465" t="inlineStr">
        <is>
          <t>A 12588-2025</t>
        </is>
      </c>
      <c r="B465" s="1" t="n">
        <v>45732.76936342593</v>
      </c>
      <c r="C465" s="1" t="n">
        <v>46139</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49871-2025</t>
        </is>
      </c>
      <c r="B466" s="1" t="n">
        <v>45940.54104166666</v>
      </c>
      <c r="C466" s="1" t="n">
        <v>46139</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7932-2025</t>
        </is>
      </c>
      <c r="B467" s="1" t="n">
        <v>45707.3793287037</v>
      </c>
      <c r="C467" s="1" t="n">
        <v>46139</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50544-2025</t>
        </is>
      </c>
      <c r="B468" s="1" t="n">
        <v>45945.50736111111</v>
      </c>
      <c r="C468" s="1" t="n">
        <v>46139</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50324-2025</t>
        </is>
      </c>
      <c r="B469" s="1" t="n">
        <v>45944.45962962963</v>
      </c>
      <c r="C469" s="1" t="n">
        <v>46139</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2121-2022</t>
        </is>
      </c>
      <c r="B470" s="1" t="n">
        <v>44578.32717592592</v>
      </c>
      <c r="C470" s="1" t="n">
        <v>46139</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34386-2024</t>
        </is>
      </c>
      <c r="B471" s="1" t="n">
        <v>45525.41762731481</v>
      </c>
      <c r="C471" s="1" t="n">
        <v>46139</v>
      </c>
      <c r="D471" t="inlineStr">
        <is>
          <t>KALMAR LÄN</t>
        </is>
      </c>
      <c r="E471" t="inlineStr">
        <is>
          <t>VIMMERBY</t>
        </is>
      </c>
      <c r="G471" t="n">
        <v>0.3</v>
      </c>
      <c r="H471" t="n">
        <v>0</v>
      </c>
      <c r="I471" t="n">
        <v>0</v>
      </c>
      <c r="J471" t="n">
        <v>0</v>
      </c>
      <c r="K471" t="n">
        <v>0</v>
      </c>
      <c r="L471" t="n">
        <v>0</v>
      </c>
      <c r="M471" t="n">
        <v>0</v>
      </c>
      <c r="N471" t="n">
        <v>0</v>
      </c>
      <c r="O471" t="n">
        <v>0</v>
      </c>
      <c r="P471" t="n">
        <v>0</v>
      </c>
      <c r="Q471" t="n">
        <v>0</v>
      </c>
      <c r="R471" s="2" t="inlineStr"/>
    </row>
    <row r="472" ht="15" customHeight="1">
      <c r="A472" t="inlineStr">
        <is>
          <t>A 6069-2023</t>
        </is>
      </c>
      <c r="B472" s="1" t="n">
        <v>44964.5115162037</v>
      </c>
      <c r="C472" s="1" t="n">
        <v>46139</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28286-2025</t>
        </is>
      </c>
      <c r="B473" s="1" t="n">
        <v>45818.58993055556</v>
      </c>
      <c r="C473" s="1" t="n">
        <v>46139</v>
      </c>
      <c r="D473" t="inlineStr">
        <is>
          <t>KALMAR LÄN</t>
        </is>
      </c>
      <c r="E473" t="inlineStr">
        <is>
          <t>VIMMERBY</t>
        </is>
      </c>
      <c r="F473" t="inlineStr">
        <is>
          <t>Sveaskog</t>
        </is>
      </c>
      <c r="G473" t="n">
        <v>8</v>
      </c>
      <c r="H473" t="n">
        <v>0</v>
      </c>
      <c r="I473" t="n">
        <v>0</v>
      </c>
      <c r="J473" t="n">
        <v>0</v>
      </c>
      <c r="K473" t="n">
        <v>0</v>
      </c>
      <c r="L473" t="n">
        <v>0</v>
      </c>
      <c r="M473" t="n">
        <v>0</v>
      </c>
      <c r="N473" t="n">
        <v>0</v>
      </c>
      <c r="O473" t="n">
        <v>0</v>
      </c>
      <c r="P473" t="n">
        <v>0</v>
      </c>
      <c r="Q473" t="n">
        <v>0</v>
      </c>
      <c r="R473" s="2" t="inlineStr"/>
    </row>
    <row r="474" ht="15" customHeight="1">
      <c r="A474" t="inlineStr">
        <is>
          <t>A 28282-2025</t>
        </is>
      </c>
      <c r="B474" s="1" t="n">
        <v>45818.58769675926</v>
      </c>
      <c r="C474" s="1" t="n">
        <v>46139</v>
      </c>
      <c r="D474" t="inlineStr">
        <is>
          <t>KALMAR LÄN</t>
        </is>
      </c>
      <c r="E474" t="inlineStr">
        <is>
          <t>VIMMERBY</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28294-2025</t>
        </is>
      </c>
      <c r="B475" s="1" t="n">
        <v>45818.595625</v>
      </c>
      <c r="C475" s="1" t="n">
        <v>46139</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28290-2025</t>
        </is>
      </c>
      <c r="B476" s="1" t="n">
        <v>45818.59261574074</v>
      </c>
      <c r="C476" s="1" t="n">
        <v>46139</v>
      </c>
      <c r="D476" t="inlineStr">
        <is>
          <t>KALMAR LÄN</t>
        </is>
      </c>
      <c r="E476" t="inlineStr">
        <is>
          <t>VIMMERBY</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28280-2025</t>
        </is>
      </c>
      <c r="B477" s="1" t="n">
        <v>45818.5862037037</v>
      </c>
      <c r="C477" s="1" t="n">
        <v>46139</v>
      </c>
      <c r="D477" t="inlineStr">
        <is>
          <t>KALMAR LÄN</t>
        </is>
      </c>
      <c r="E477" t="inlineStr">
        <is>
          <t>VIMMERBY</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28620-2025</t>
        </is>
      </c>
      <c r="B478" s="1" t="n">
        <v>45819.61060185185</v>
      </c>
      <c r="C478" s="1" t="n">
        <v>46139</v>
      </c>
      <c r="D478" t="inlineStr">
        <is>
          <t>KALMAR LÄN</t>
        </is>
      </c>
      <c r="E478" t="inlineStr">
        <is>
          <t>VIMMERBY</t>
        </is>
      </c>
      <c r="G478" t="n">
        <v>5.6</v>
      </c>
      <c r="H478" t="n">
        <v>0</v>
      </c>
      <c r="I478" t="n">
        <v>0</v>
      </c>
      <c r="J478" t="n">
        <v>0</v>
      </c>
      <c r="K478" t="n">
        <v>0</v>
      </c>
      <c r="L478" t="n">
        <v>0</v>
      </c>
      <c r="M478" t="n">
        <v>0</v>
      </c>
      <c r="N478" t="n">
        <v>0</v>
      </c>
      <c r="O478" t="n">
        <v>0</v>
      </c>
      <c r="P478" t="n">
        <v>0</v>
      </c>
      <c r="Q478" t="n">
        <v>0</v>
      </c>
      <c r="R478" s="2" t="inlineStr"/>
    </row>
    <row r="479" ht="15" customHeight="1">
      <c r="A479" t="inlineStr">
        <is>
          <t>A 51062-2025</t>
        </is>
      </c>
      <c r="B479" s="1" t="n">
        <v>45947.44685185186</v>
      </c>
      <c r="C479" s="1" t="n">
        <v>46139</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32633-2023</t>
        </is>
      </c>
      <c r="B480" s="1" t="n">
        <v>45121.58699074074</v>
      </c>
      <c r="C480" s="1" t="n">
        <v>46139</v>
      </c>
      <c r="D480" t="inlineStr">
        <is>
          <t>KALMAR LÄN</t>
        </is>
      </c>
      <c r="E480" t="inlineStr">
        <is>
          <t>VIMMERBY</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49461-2023</t>
        </is>
      </c>
      <c r="B481" s="1" t="n">
        <v>45211.52642361111</v>
      </c>
      <c r="C481" s="1" t="n">
        <v>46139</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28712-2025</t>
        </is>
      </c>
      <c r="B482" s="1" t="n">
        <v>45820.33708333333</v>
      </c>
      <c r="C482" s="1" t="n">
        <v>46139</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28714-2025</t>
        </is>
      </c>
      <c r="B483" s="1" t="n">
        <v>45820.34128472222</v>
      </c>
      <c r="C483" s="1" t="n">
        <v>46139</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23095-2023</t>
        </is>
      </c>
      <c r="B484" s="1" t="n">
        <v>45075.43059027778</v>
      </c>
      <c r="C484" s="1" t="n">
        <v>46139</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11429-2022</t>
        </is>
      </c>
      <c r="B485" s="1" t="n">
        <v>44630</v>
      </c>
      <c r="C485" s="1" t="n">
        <v>46139</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28713-2025</t>
        </is>
      </c>
      <c r="B486" s="1" t="n">
        <v>45820.33930555556</v>
      </c>
      <c r="C486" s="1" t="n">
        <v>46139</v>
      </c>
      <c r="D486" t="inlineStr">
        <is>
          <t>KALMAR LÄN</t>
        </is>
      </c>
      <c r="E486" t="inlineStr">
        <is>
          <t>VIMMERBY</t>
        </is>
      </c>
      <c r="G486" t="n">
        <v>2.3</v>
      </c>
      <c r="H486" t="n">
        <v>0</v>
      </c>
      <c r="I486" t="n">
        <v>0</v>
      </c>
      <c r="J486" t="n">
        <v>0</v>
      </c>
      <c r="K486" t="n">
        <v>0</v>
      </c>
      <c r="L486" t="n">
        <v>0</v>
      </c>
      <c r="M486" t="n">
        <v>0</v>
      </c>
      <c r="N486" t="n">
        <v>0</v>
      </c>
      <c r="O486" t="n">
        <v>0</v>
      </c>
      <c r="P486" t="n">
        <v>0</v>
      </c>
      <c r="Q486" t="n">
        <v>0</v>
      </c>
      <c r="R486" s="2" t="inlineStr"/>
    </row>
    <row r="487" ht="15" customHeight="1">
      <c r="A487" t="inlineStr">
        <is>
          <t>A 29737-2025</t>
        </is>
      </c>
      <c r="B487" s="1" t="n">
        <v>45825.58672453704</v>
      </c>
      <c r="C487" s="1" t="n">
        <v>46139</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51990-2025</t>
        </is>
      </c>
      <c r="B488" s="1" t="n">
        <v>45952.58061342593</v>
      </c>
      <c r="C488" s="1" t="n">
        <v>46139</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29727-2025</t>
        </is>
      </c>
      <c r="B489" s="1" t="n">
        <v>45825.5796875</v>
      </c>
      <c r="C489" s="1" t="n">
        <v>46139</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51993-2025</t>
        </is>
      </c>
      <c r="B490" s="1" t="n">
        <v>45952.58194444444</v>
      </c>
      <c r="C490" s="1" t="n">
        <v>46139</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52465-2025</t>
        </is>
      </c>
      <c r="B491" s="1" t="n">
        <v>45954.44543981482</v>
      </c>
      <c r="C491" s="1" t="n">
        <v>46139</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11141-2024</t>
        </is>
      </c>
      <c r="B492" s="1" t="n">
        <v>45371.45865740741</v>
      </c>
      <c r="C492" s="1" t="n">
        <v>46139</v>
      </c>
      <c r="D492" t="inlineStr">
        <is>
          <t>KALMAR LÄN</t>
        </is>
      </c>
      <c r="E492" t="inlineStr">
        <is>
          <t>VIMMERBY</t>
        </is>
      </c>
      <c r="G492" t="n">
        <v>0.7</v>
      </c>
      <c r="H492" t="n">
        <v>0</v>
      </c>
      <c r="I492" t="n">
        <v>0</v>
      </c>
      <c r="J492" t="n">
        <v>0</v>
      </c>
      <c r="K492" t="n">
        <v>0</v>
      </c>
      <c r="L492" t="n">
        <v>0</v>
      </c>
      <c r="M492" t="n">
        <v>0</v>
      </c>
      <c r="N492" t="n">
        <v>0</v>
      </c>
      <c r="O492" t="n">
        <v>0</v>
      </c>
      <c r="P492" t="n">
        <v>0</v>
      </c>
      <c r="Q492" t="n">
        <v>0</v>
      </c>
      <c r="R492" s="2" t="inlineStr"/>
    </row>
    <row r="493" ht="15" customHeight="1">
      <c r="A493" t="inlineStr">
        <is>
          <t>A 28395-2023</t>
        </is>
      </c>
      <c r="B493" s="1" t="n">
        <v>45100.4062962963</v>
      </c>
      <c r="C493" s="1" t="n">
        <v>46139</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34597-2022</t>
        </is>
      </c>
      <c r="B494" s="1" t="n">
        <v>44795</v>
      </c>
      <c r="C494" s="1" t="n">
        <v>46139</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52451-2025</t>
        </is>
      </c>
      <c r="B495" s="1" t="n">
        <v>45954.42326388889</v>
      </c>
      <c r="C495" s="1" t="n">
        <v>46139</v>
      </c>
      <c r="D495" t="inlineStr">
        <is>
          <t>KALMAR LÄN</t>
        </is>
      </c>
      <c r="E495" t="inlineStr">
        <is>
          <t>VIMMERBY</t>
        </is>
      </c>
      <c r="G495" t="n">
        <v>2.8</v>
      </c>
      <c r="H495" t="n">
        <v>0</v>
      </c>
      <c r="I495" t="n">
        <v>0</v>
      </c>
      <c r="J495" t="n">
        <v>0</v>
      </c>
      <c r="K495" t="n">
        <v>0</v>
      </c>
      <c r="L495" t="n">
        <v>0</v>
      </c>
      <c r="M495" t="n">
        <v>0</v>
      </c>
      <c r="N495" t="n">
        <v>0</v>
      </c>
      <c r="O495" t="n">
        <v>0</v>
      </c>
      <c r="P495" t="n">
        <v>0</v>
      </c>
      <c r="Q495" t="n">
        <v>0</v>
      </c>
      <c r="R495" s="2" t="inlineStr"/>
    </row>
    <row r="496" ht="15" customHeight="1">
      <c r="A496" t="inlineStr">
        <is>
          <t>A 52516-2025</t>
        </is>
      </c>
      <c r="B496" s="1" t="n">
        <v>45954.51412037037</v>
      </c>
      <c r="C496" s="1" t="n">
        <v>46139</v>
      </c>
      <c r="D496" t="inlineStr">
        <is>
          <t>KALMAR LÄN</t>
        </is>
      </c>
      <c r="E496" t="inlineStr">
        <is>
          <t>VIMMERBY</t>
        </is>
      </c>
      <c r="G496" t="n">
        <v>2.8</v>
      </c>
      <c r="H496" t="n">
        <v>0</v>
      </c>
      <c r="I496" t="n">
        <v>0</v>
      </c>
      <c r="J496" t="n">
        <v>0</v>
      </c>
      <c r="K496" t="n">
        <v>0</v>
      </c>
      <c r="L496" t="n">
        <v>0</v>
      </c>
      <c r="M496" t="n">
        <v>0</v>
      </c>
      <c r="N496" t="n">
        <v>0</v>
      </c>
      <c r="O496" t="n">
        <v>0</v>
      </c>
      <c r="P496" t="n">
        <v>0</v>
      </c>
      <c r="Q496" t="n">
        <v>0</v>
      </c>
      <c r="R496" s="2" t="inlineStr"/>
    </row>
    <row r="497" ht="15" customHeight="1">
      <c r="A497" t="inlineStr">
        <is>
          <t>A 52466-2025</t>
        </is>
      </c>
      <c r="B497" s="1" t="n">
        <v>45954.44707175926</v>
      </c>
      <c r="C497" s="1" t="n">
        <v>46139</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52473-2025</t>
        </is>
      </c>
      <c r="B498" s="1" t="n">
        <v>45954.45947916667</v>
      </c>
      <c r="C498" s="1" t="n">
        <v>46139</v>
      </c>
      <c r="D498" t="inlineStr">
        <is>
          <t>KALMAR LÄN</t>
        </is>
      </c>
      <c r="E498" t="inlineStr">
        <is>
          <t>VIMMERBY</t>
        </is>
      </c>
      <c r="G498" t="n">
        <v>2.4</v>
      </c>
      <c r="H498" t="n">
        <v>0</v>
      </c>
      <c r="I498" t="n">
        <v>0</v>
      </c>
      <c r="J498" t="n">
        <v>0</v>
      </c>
      <c r="K498" t="n">
        <v>0</v>
      </c>
      <c r="L498" t="n">
        <v>0</v>
      </c>
      <c r="M498" t="n">
        <v>0</v>
      </c>
      <c r="N498" t="n">
        <v>0</v>
      </c>
      <c r="O498" t="n">
        <v>0</v>
      </c>
      <c r="P498" t="n">
        <v>0</v>
      </c>
      <c r="Q498" t="n">
        <v>0</v>
      </c>
      <c r="R498" s="2" t="inlineStr"/>
    </row>
    <row r="499" ht="15" customHeight="1">
      <c r="A499" t="inlineStr">
        <is>
          <t>A 52480-2025</t>
        </is>
      </c>
      <c r="B499" s="1" t="n">
        <v>45954.47172453703</v>
      </c>
      <c r="C499" s="1" t="n">
        <v>46139</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64428-2023</t>
        </is>
      </c>
      <c r="B500" s="1" t="n">
        <v>45280.66769675926</v>
      </c>
      <c r="C500" s="1" t="n">
        <v>46139</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52475-2025</t>
        </is>
      </c>
      <c r="B501" s="1" t="n">
        <v>45954.468125</v>
      </c>
      <c r="C501" s="1" t="n">
        <v>46139</v>
      </c>
      <c r="D501" t="inlineStr">
        <is>
          <t>KALMAR LÄN</t>
        </is>
      </c>
      <c r="E501" t="inlineStr">
        <is>
          <t>VIMMERBY</t>
        </is>
      </c>
      <c r="G501" t="n">
        <v>1.5</v>
      </c>
      <c r="H501" t="n">
        <v>0</v>
      </c>
      <c r="I501" t="n">
        <v>0</v>
      </c>
      <c r="J501" t="n">
        <v>0</v>
      </c>
      <c r="K501" t="n">
        <v>0</v>
      </c>
      <c r="L501" t="n">
        <v>0</v>
      </c>
      <c r="M501" t="n">
        <v>0</v>
      </c>
      <c r="N501" t="n">
        <v>0</v>
      </c>
      <c r="O501" t="n">
        <v>0</v>
      </c>
      <c r="P501" t="n">
        <v>0</v>
      </c>
      <c r="Q501" t="n">
        <v>0</v>
      </c>
      <c r="R501" s="2" t="inlineStr"/>
    </row>
    <row r="502" ht="15" customHeight="1">
      <c r="A502" t="inlineStr">
        <is>
          <t>A 30293-2025</t>
        </is>
      </c>
      <c r="B502" s="1" t="n">
        <v>45827</v>
      </c>
      <c r="C502" s="1" t="n">
        <v>46139</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30290-2025</t>
        </is>
      </c>
      <c r="B503" s="1" t="n">
        <v>45827</v>
      </c>
      <c r="C503" s="1" t="n">
        <v>46139</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30588-2023</t>
        </is>
      </c>
      <c r="B504" s="1" t="n">
        <v>45112.33599537037</v>
      </c>
      <c r="C504" s="1" t="n">
        <v>46139</v>
      </c>
      <c r="D504" t="inlineStr">
        <is>
          <t>KALMAR LÄN</t>
        </is>
      </c>
      <c r="E504" t="inlineStr">
        <is>
          <t>VIMMERBY</t>
        </is>
      </c>
      <c r="G504" t="n">
        <v>2.7</v>
      </c>
      <c r="H504" t="n">
        <v>0</v>
      </c>
      <c r="I504" t="n">
        <v>0</v>
      </c>
      <c r="J504" t="n">
        <v>0</v>
      </c>
      <c r="K504" t="n">
        <v>0</v>
      </c>
      <c r="L504" t="n">
        <v>0</v>
      </c>
      <c r="M504" t="n">
        <v>0</v>
      </c>
      <c r="N504" t="n">
        <v>0</v>
      </c>
      <c r="O504" t="n">
        <v>0</v>
      </c>
      <c r="P504" t="n">
        <v>0</v>
      </c>
      <c r="Q504" t="n">
        <v>0</v>
      </c>
      <c r="R504" s="2" t="inlineStr"/>
    </row>
    <row r="505" ht="15" customHeight="1">
      <c r="A505" t="inlineStr">
        <is>
          <t>A 30503-2023</t>
        </is>
      </c>
      <c r="B505" s="1" t="n">
        <v>45111</v>
      </c>
      <c r="C505" s="1" t="n">
        <v>46139</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53396-2025</t>
        </is>
      </c>
      <c r="B506" s="1" t="n">
        <v>45959.55577546296</v>
      </c>
      <c r="C506" s="1" t="n">
        <v>46139</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53416-2025</t>
        </is>
      </c>
      <c r="B507" s="1" t="n">
        <v>45959.58387731481</v>
      </c>
      <c r="C507" s="1" t="n">
        <v>46139</v>
      </c>
      <c r="D507" t="inlineStr">
        <is>
          <t>KALMAR LÄN</t>
        </is>
      </c>
      <c r="E507" t="inlineStr">
        <is>
          <t>VIMMERBY</t>
        </is>
      </c>
      <c r="G507" t="n">
        <v>4.4</v>
      </c>
      <c r="H507" t="n">
        <v>0</v>
      </c>
      <c r="I507" t="n">
        <v>0</v>
      </c>
      <c r="J507" t="n">
        <v>0</v>
      </c>
      <c r="K507" t="n">
        <v>0</v>
      </c>
      <c r="L507" t="n">
        <v>0</v>
      </c>
      <c r="M507" t="n">
        <v>0</v>
      </c>
      <c r="N507" t="n">
        <v>0</v>
      </c>
      <c r="O507" t="n">
        <v>0</v>
      </c>
      <c r="P507" t="n">
        <v>0</v>
      </c>
      <c r="Q507" t="n">
        <v>0</v>
      </c>
      <c r="R507" s="2" t="inlineStr"/>
    </row>
    <row r="508" ht="15" customHeight="1">
      <c r="A508" t="inlineStr">
        <is>
          <t>A 53398-2025</t>
        </is>
      </c>
      <c r="B508" s="1" t="n">
        <v>45959.56247685185</v>
      </c>
      <c r="C508" s="1" t="n">
        <v>46139</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53397-2025</t>
        </is>
      </c>
      <c r="B509" s="1" t="n">
        <v>45959.55918981481</v>
      </c>
      <c r="C509" s="1" t="n">
        <v>46139</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53220-2025</t>
        </is>
      </c>
      <c r="B510" s="1" t="n">
        <v>45958.60146990741</v>
      </c>
      <c r="C510" s="1" t="n">
        <v>46139</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53393-2025</t>
        </is>
      </c>
      <c r="B511" s="1" t="n">
        <v>45959.55284722222</v>
      </c>
      <c r="C511" s="1" t="n">
        <v>46139</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30850-2025</t>
        </is>
      </c>
      <c r="B512" s="1" t="n">
        <v>45831</v>
      </c>
      <c r="C512" s="1" t="n">
        <v>46139</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53413-2025</t>
        </is>
      </c>
      <c r="B513" s="1" t="n">
        <v>45959.5787037037</v>
      </c>
      <c r="C513" s="1" t="n">
        <v>46139</v>
      </c>
      <c r="D513" t="inlineStr">
        <is>
          <t>KALMAR LÄN</t>
        </is>
      </c>
      <c r="E513" t="inlineStr">
        <is>
          <t>VIMMERBY</t>
        </is>
      </c>
      <c r="G513" t="n">
        <v>4.3</v>
      </c>
      <c r="H513" t="n">
        <v>0</v>
      </c>
      <c r="I513" t="n">
        <v>0</v>
      </c>
      <c r="J513" t="n">
        <v>0</v>
      </c>
      <c r="K513" t="n">
        <v>0</v>
      </c>
      <c r="L513" t="n">
        <v>0</v>
      </c>
      <c r="M513" t="n">
        <v>0</v>
      </c>
      <c r="N513" t="n">
        <v>0</v>
      </c>
      <c r="O513" t="n">
        <v>0</v>
      </c>
      <c r="P513" t="n">
        <v>0</v>
      </c>
      <c r="Q513" t="n">
        <v>0</v>
      </c>
      <c r="R513" s="2" t="inlineStr"/>
    </row>
    <row r="514" ht="15" customHeight="1">
      <c r="A514" t="inlineStr">
        <is>
          <t>A 53903-2025</t>
        </is>
      </c>
      <c r="B514" s="1" t="n">
        <v>45961.43738425926</v>
      </c>
      <c r="C514" s="1" t="n">
        <v>46139</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53920-2025</t>
        </is>
      </c>
      <c r="B515" s="1" t="n">
        <v>45961.44951388889</v>
      </c>
      <c r="C515" s="1" t="n">
        <v>46139</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53927-2025</t>
        </is>
      </c>
      <c r="B516" s="1" t="n">
        <v>45961.46740740741</v>
      </c>
      <c r="C516" s="1" t="n">
        <v>46139</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53789-2025</t>
        </is>
      </c>
      <c r="B517" s="1" t="n">
        <v>45960</v>
      </c>
      <c r="C517" s="1" t="n">
        <v>46139</v>
      </c>
      <c r="D517" t="inlineStr">
        <is>
          <t>KALMAR LÄN</t>
        </is>
      </c>
      <c r="E517" t="inlineStr">
        <is>
          <t>VIMMERBY</t>
        </is>
      </c>
      <c r="F517" t="inlineStr">
        <is>
          <t>Övriga statliga verk och myndigheter</t>
        </is>
      </c>
      <c r="G517" t="n">
        <v>1.6</v>
      </c>
      <c r="H517" t="n">
        <v>0</v>
      </c>
      <c r="I517" t="n">
        <v>0</v>
      </c>
      <c r="J517" t="n">
        <v>0</v>
      </c>
      <c r="K517" t="n">
        <v>0</v>
      </c>
      <c r="L517" t="n">
        <v>0</v>
      </c>
      <c r="M517" t="n">
        <v>0</v>
      </c>
      <c r="N517" t="n">
        <v>0</v>
      </c>
      <c r="O517" t="n">
        <v>0</v>
      </c>
      <c r="P517" t="n">
        <v>0</v>
      </c>
      <c r="Q517" t="n">
        <v>0</v>
      </c>
      <c r="R517" s="2" t="inlineStr"/>
    </row>
    <row r="518" ht="15" customHeight="1">
      <c r="A518" t="inlineStr">
        <is>
          <t>A 53923-2025</t>
        </is>
      </c>
      <c r="B518" s="1" t="n">
        <v>45961.4569212963</v>
      </c>
      <c r="C518" s="1" t="n">
        <v>46139</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47263-2023</t>
        </is>
      </c>
      <c r="B519" s="1" t="n">
        <v>45202.4209837963</v>
      </c>
      <c r="C519" s="1" t="n">
        <v>46139</v>
      </c>
      <c r="D519" t="inlineStr">
        <is>
          <t>KALMAR LÄN</t>
        </is>
      </c>
      <c r="E519" t="inlineStr">
        <is>
          <t>VIMMERBY</t>
        </is>
      </c>
      <c r="G519" t="n">
        <v>1.8</v>
      </c>
      <c r="H519" t="n">
        <v>0</v>
      </c>
      <c r="I519" t="n">
        <v>0</v>
      </c>
      <c r="J519" t="n">
        <v>0</v>
      </c>
      <c r="K519" t="n">
        <v>0</v>
      </c>
      <c r="L519" t="n">
        <v>0</v>
      </c>
      <c r="M519" t="n">
        <v>0</v>
      </c>
      <c r="N519" t="n">
        <v>0</v>
      </c>
      <c r="O519" t="n">
        <v>0</v>
      </c>
      <c r="P519" t="n">
        <v>0</v>
      </c>
      <c r="Q519" t="n">
        <v>0</v>
      </c>
      <c r="R519" s="2" t="inlineStr"/>
    </row>
    <row r="520" ht="15" customHeight="1">
      <c r="A520" t="inlineStr">
        <is>
          <t>A 58100-2024</t>
        </is>
      </c>
      <c r="B520" s="1" t="n">
        <v>45632.36706018518</v>
      </c>
      <c r="C520" s="1" t="n">
        <v>46139</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58159-2024</t>
        </is>
      </c>
      <c r="B521" s="1" t="n">
        <v>45632.44886574074</v>
      </c>
      <c r="C521" s="1" t="n">
        <v>46139</v>
      </c>
      <c r="D521" t="inlineStr">
        <is>
          <t>KALMAR LÄN</t>
        </is>
      </c>
      <c r="E521" t="inlineStr">
        <is>
          <t>VIMMERBY</t>
        </is>
      </c>
      <c r="G521" t="n">
        <v>7.5</v>
      </c>
      <c r="H521" t="n">
        <v>0</v>
      </c>
      <c r="I521" t="n">
        <v>0</v>
      </c>
      <c r="J521" t="n">
        <v>0</v>
      </c>
      <c r="K521" t="n">
        <v>0</v>
      </c>
      <c r="L521" t="n">
        <v>0</v>
      </c>
      <c r="M521" t="n">
        <v>0</v>
      </c>
      <c r="N521" t="n">
        <v>0</v>
      </c>
      <c r="O521" t="n">
        <v>0</v>
      </c>
      <c r="P521" t="n">
        <v>0</v>
      </c>
      <c r="Q521" t="n">
        <v>0</v>
      </c>
      <c r="R521" s="2" t="inlineStr"/>
    </row>
    <row r="522" ht="15" customHeight="1">
      <c r="A522" t="inlineStr">
        <is>
          <t>A 31552-2025</t>
        </is>
      </c>
      <c r="B522" s="1" t="n">
        <v>45833.64563657407</v>
      </c>
      <c r="C522" s="1" t="n">
        <v>46139</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31555-2025</t>
        </is>
      </c>
      <c r="B523" s="1" t="n">
        <v>45833.64814814815</v>
      </c>
      <c r="C523" s="1" t="n">
        <v>46139</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53933-2025</t>
        </is>
      </c>
      <c r="B524" s="1" t="n">
        <v>45961.47650462963</v>
      </c>
      <c r="C524" s="1" t="n">
        <v>46139</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30971-2025</t>
        </is>
      </c>
      <c r="B525" s="1" t="n">
        <v>45832.46146990741</v>
      </c>
      <c r="C525" s="1" t="n">
        <v>46139</v>
      </c>
      <c r="D525" t="inlineStr">
        <is>
          <t>KALMAR LÄN</t>
        </is>
      </c>
      <c r="E525" t="inlineStr">
        <is>
          <t>VIMMERBY</t>
        </is>
      </c>
      <c r="G525" t="n">
        <v>1.2</v>
      </c>
      <c r="H525" t="n">
        <v>0</v>
      </c>
      <c r="I525" t="n">
        <v>0</v>
      </c>
      <c r="J525" t="n">
        <v>0</v>
      </c>
      <c r="K525" t="n">
        <v>0</v>
      </c>
      <c r="L525" t="n">
        <v>0</v>
      </c>
      <c r="M525" t="n">
        <v>0</v>
      </c>
      <c r="N525" t="n">
        <v>0</v>
      </c>
      <c r="O525" t="n">
        <v>0</v>
      </c>
      <c r="P525" t="n">
        <v>0</v>
      </c>
      <c r="Q525" t="n">
        <v>0</v>
      </c>
      <c r="R525" s="2" t="inlineStr"/>
    </row>
    <row r="526" ht="15" customHeight="1">
      <c r="A526" t="inlineStr">
        <is>
          <t>A 31551-2025</t>
        </is>
      </c>
      <c r="B526" s="1" t="n">
        <v>45833.64237268519</v>
      </c>
      <c r="C526" s="1" t="n">
        <v>46139</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53788-2025</t>
        </is>
      </c>
      <c r="B527" s="1" t="n">
        <v>45960</v>
      </c>
      <c r="C527" s="1" t="n">
        <v>46139</v>
      </c>
      <c r="D527" t="inlineStr">
        <is>
          <t>KALMAR LÄN</t>
        </is>
      </c>
      <c r="E527" t="inlineStr">
        <is>
          <t>VIMMERBY</t>
        </is>
      </c>
      <c r="F527" t="inlineStr">
        <is>
          <t>Övriga statliga verk och myndigheter</t>
        </is>
      </c>
      <c r="G527" t="n">
        <v>6.3</v>
      </c>
      <c r="H527" t="n">
        <v>0</v>
      </c>
      <c r="I527" t="n">
        <v>0</v>
      </c>
      <c r="J527" t="n">
        <v>0</v>
      </c>
      <c r="K527" t="n">
        <v>0</v>
      </c>
      <c r="L527" t="n">
        <v>0</v>
      </c>
      <c r="M527" t="n">
        <v>0</v>
      </c>
      <c r="N527" t="n">
        <v>0</v>
      </c>
      <c r="O527" t="n">
        <v>0</v>
      </c>
      <c r="P527" t="n">
        <v>0</v>
      </c>
      <c r="Q527" t="n">
        <v>0</v>
      </c>
      <c r="R527" s="2" t="inlineStr"/>
    </row>
    <row r="528" ht="15" customHeight="1">
      <c r="A528" t="inlineStr">
        <is>
          <t>A 30882-2025</t>
        </is>
      </c>
      <c r="B528" s="1" t="n">
        <v>45832.34540509259</v>
      </c>
      <c r="C528" s="1" t="n">
        <v>46139</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54236-2025</t>
        </is>
      </c>
      <c r="B529" s="1" t="n">
        <v>45964.62671296296</v>
      </c>
      <c r="C529" s="1" t="n">
        <v>46139</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57114-2023</t>
        </is>
      </c>
      <c r="B530" s="1" t="n">
        <v>45245.36174768519</v>
      </c>
      <c r="C530" s="1" t="n">
        <v>46139</v>
      </c>
      <c r="D530" t="inlineStr">
        <is>
          <t>KALMAR LÄN</t>
        </is>
      </c>
      <c r="E530" t="inlineStr">
        <is>
          <t>VIMMERBY</t>
        </is>
      </c>
      <c r="G530" t="n">
        <v>1.5</v>
      </c>
      <c r="H530" t="n">
        <v>0</v>
      </c>
      <c r="I530" t="n">
        <v>0</v>
      </c>
      <c r="J530" t="n">
        <v>0</v>
      </c>
      <c r="K530" t="n">
        <v>0</v>
      </c>
      <c r="L530" t="n">
        <v>0</v>
      </c>
      <c r="M530" t="n">
        <v>0</v>
      </c>
      <c r="N530" t="n">
        <v>0</v>
      </c>
      <c r="O530" t="n">
        <v>0</v>
      </c>
      <c r="P530" t="n">
        <v>0</v>
      </c>
      <c r="Q530" t="n">
        <v>0</v>
      </c>
      <c r="R530" s="2" t="inlineStr"/>
    </row>
    <row r="531" ht="15" customHeight="1">
      <c r="A531" t="inlineStr">
        <is>
          <t>A 3423-2022</t>
        </is>
      </c>
      <c r="B531" s="1" t="n">
        <v>44585.50431712963</v>
      </c>
      <c r="C531" s="1" t="n">
        <v>46139</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31872-2025</t>
        </is>
      </c>
      <c r="B532" s="1" t="n">
        <v>45834.65040509259</v>
      </c>
      <c r="C532" s="1" t="n">
        <v>46139</v>
      </c>
      <c r="D532" t="inlineStr">
        <is>
          <t>KALMAR LÄN</t>
        </is>
      </c>
      <c r="E532" t="inlineStr">
        <is>
          <t>VIMMERBY</t>
        </is>
      </c>
      <c r="F532" t="inlineStr">
        <is>
          <t>Sveaskog</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8559-2025</t>
        </is>
      </c>
      <c r="B533" s="1" t="n">
        <v>45709.62280092593</v>
      </c>
      <c r="C533" s="1" t="n">
        <v>46139</v>
      </c>
      <c r="D533" t="inlineStr">
        <is>
          <t>KALMAR LÄN</t>
        </is>
      </c>
      <c r="E533" t="inlineStr">
        <is>
          <t>VIMMERBY</t>
        </is>
      </c>
      <c r="G533" t="n">
        <v>8.9</v>
      </c>
      <c r="H533" t="n">
        <v>0</v>
      </c>
      <c r="I533" t="n">
        <v>0</v>
      </c>
      <c r="J533" t="n">
        <v>0</v>
      </c>
      <c r="K533" t="n">
        <v>0</v>
      </c>
      <c r="L533" t="n">
        <v>0</v>
      </c>
      <c r="M533" t="n">
        <v>0</v>
      </c>
      <c r="N533" t="n">
        <v>0</v>
      </c>
      <c r="O533" t="n">
        <v>0</v>
      </c>
      <c r="P533" t="n">
        <v>0</v>
      </c>
      <c r="Q533" t="n">
        <v>0</v>
      </c>
      <c r="R533" s="2" t="inlineStr"/>
    </row>
    <row r="534" ht="15" customHeight="1">
      <c r="A534" t="inlineStr">
        <is>
          <t>A 32064-2025</t>
        </is>
      </c>
      <c r="B534" s="1" t="n">
        <v>45835.44709490741</v>
      </c>
      <c r="C534" s="1" t="n">
        <v>46139</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32109-2025</t>
        </is>
      </c>
      <c r="B535" s="1" t="n">
        <v>45835.48267361111</v>
      </c>
      <c r="C535" s="1" t="n">
        <v>46139</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32113-2025</t>
        </is>
      </c>
      <c r="B536" s="1" t="n">
        <v>45835.48445601852</v>
      </c>
      <c r="C536" s="1" t="n">
        <v>46139</v>
      </c>
      <c r="D536" t="inlineStr">
        <is>
          <t>KALMAR LÄN</t>
        </is>
      </c>
      <c r="E536" t="inlineStr">
        <is>
          <t>VIMMERBY</t>
        </is>
      </c>
      <c r="G536" t="n">
        <v>3.5</v>
      </c>
      <c r="H536" t="n">
        <v>0</v>
      </c>
      <c r="I536" t="n">
        <v>0</v>
      </c>
      <c r="J536" t="n">
        <v>0</v>
      </c>
      <c r="K536" t="n">
        <v>0</v>
      </c>
      <c r="L536" t="n">
        <v>0</v>
      </c>
      <c r="M536" t="n">
        <v>0</v>
      </c>
      <c r="N536" t="n">
        <v>0</v>
      </c>
      <c r="O536" t="n">
        <v>0</v>
      </c>
      <c r="P536" t="n">
        <v>0</v>
      </c>
      <c r="Q536" t="n">
        <v>0</v>
      </c>
      <c r="R536" s="2" t="inlineStr"/>
    </row>
    <row r="537" ht="15" customHeight="1">
      <c r="A537" t="inlineStr">
        <is>
          <t>A 32116-2025</t>
        </is>
      </c>
      <c r="B537" s="1" t="n">
        <v>45835.48862268519</v>
      </c>
      <c r="C537" s="1" t="n">
        <v>46139</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31870-2025</t>
        </is>
      </c>
      <c r="B538" s="1" t="n">
        <v>45834.64667824074</v>
      </c>
      <c r="C538" s="1" t="n">
        <v>46139</v>
      </c>
      <c r="D538" t="inlineStr">
        <is>
          <t>KALMAR LÄN</t>
        </is>
      </c>
      <c r="E538" t="inlineStr">
        <is>
          <t>VIMMERBY</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32065-2025</t>
        </is>
      </c>
      <c r="B539" s="1" t="n">
        <v>45835.44732638889</v>
      </c>
      <c r="C539" s="1" t="n">
        <v>46139</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40665-2023</t>
        </is>
      </c>
      <c r="B540" s="1" t="n">
        <v>45170</v>
      </c>
      <c r="C540" s="1" t="n">
        <v>46139</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54234-2025</t>
        </is>
      </c>
      <c r="B541" s="1" t="n">
        <v>45964.62486111111</v>
      </c>
      <c r="C541" s="1" t="n">
        <v>46139</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31987-2025</t>
        </is>
      </c>
      <c r="B542" s="1" t="n">
        <v>45835.36229166666</v>
      </c>
      <c r="C542" s="1" t="n">
        <v>46139</v>
      </c>
      <c r="D542" t="inlineStr">
        <is>
          <t>KALMAR LÄN</t>
        </is>
      </c>
      <c r="E542" t="inlineStr">
        <is>
          <t>VIMMERBY</t>
        </is>
      </c>
      <c r="F542" t="inlineStr">
        <is>
          <t>Kyrkan</t>
        </is>
      </c>
      <c r="G542" t="n">
        <v>1.2</v>
      </c>
      <c r="H542" t="n">
        <v>0</v>
      </c>
      <c r="I542" t="n">
        <v>0</v>
      </c>
      <c r="J542" t="n">
        <v>0</v>
      </c>
      <c r="K542" t="n">
        <v>0</v>
      </c>
      <c r="L542" t="n">
        <v>0</v>
      </c>
      <c r="M542" t="n">
        <v>0</v>
      </c>
      <c r="N542" t="n">
        <v>0</v>
      </c>
      <c r="O542" t="n">
        <v>0</v>
      </c>
      <c r="P542" t="n">
        <v>0</v>
      </c>
      <c r="Q542" t="n">
        <v>0</v>
      </c>
      <c r="R542" s="2" t="inlineStr"/>
    </row>
    <row r="543" ht="15" customHeight="1">
      <c r="A543" t="inlineStr">
        <is>
          <t>A 32077-2025</t>
        </is>
      </c>
      <c r="B543" s="1" t="n">
        <v>45835.45099537037</v>
      </c>
      <c r="C543" s="1" t="n">
        <v>46139</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32120-2025</t>
        </is>
      </c>
      <c r="B544" s="1" t="n">
        <v>45835.4924537037</v>
      </c>
      <c r="C544" s="1" t="n">
        <v>46139</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31876-2025</t>
        </is>
      </c>
      <c r="B545" s="1" t="n">
        <v>45834.65197916667</v>
      </c>
      <c r="C545" s="1" t="n">
        <v>46139</v>
      </c>
      <c r="D545" t="inlineStr">
        <is>
          <t>KALMAR LÄN</t>
        </is>
      </c>
      <c r="E545" t="inlineStr">
        <is>
          <t>VIMMERBY</t>
        </is>
      </c>
      <c r="F545" t="inlineStr">
        <is>
          <t>Sveaskog</t>
        </is>
      </c>
      <c r="G545" t="n">
        <v>3.3</v>
      </c>
      <c r="H545" t="n">
        <v>0</v>
      </c>
      <c r="I545" t="n">
        <v>0</v>
      </c>
      <c r="J545" t="n">
        <v>0</v>
      </c>
      <c r="K545" t="n">
        <v>0</v>
      </c>
      <c r="L545" t="n">
        <v>0</v>
      </c>
      <c r="M545" t="n">
        <v>0</v>
      </c>
      <c r="N545" t="n">
        <v>0</v>
      </c>
      <c r="O545" t="n">
        <v>0</v>
      </c>
      <c r="P545" t="n">
        <v>0</v>
      </c>
      <c r="Q545" t="n">
        <v>0</v>
      </c>
      <c r="R545" s="2" t="inlineStr"/>
    </row>
    <row r="546" ht="15" customHeight="1">
      <c r="A546" t="inlineStr">
        <is>
          <t>A 54737-2025</t>
        </is>
      </c>
      <c r="B546" s="1" t="n">
        <v>45966.56826388889</v>
      </c>
      <c r="C546" s="1" t="n">
        <v>46139</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54813-2025</t>
        </is>
      </c>
      <c r="B547" s="1" t="n">
        <v>45966.64881944445</v>
      </c>
      <c r="C547" s="1" t="n">
        <v>46139</v>
      </c>
      <c r="D547" t="inlineStr">
        <is>
          <t>KALMAR LÄN</t>
        </is>
      </c>
      <c r="E547" t="inlineStr">
        <is>
          <t>VIMMERBY</t>
        </is>
      </c>
      <c r="G547" t="n">
        <v>1.7</v>
      </c>
      <c r="H547" t="n">
        <v>0</v>
      </c>
      <c r="I547" t="n">
        <v>0</v>
      </c>
      <c r="J547" t="n">
        <v>0</v>
      </c>
      <c r="K547" t="n">
        <v>0</v>
      </c>
      <c r="L547" t="n">
        <v>0</v>
      </c>
      <c r="M547" t="n">
        <v>0</v>
      </c>
      <c r="N547" t="n">
        <v>0</v>
      </c>
      <c r="O547" t="n">
        <v>0</v>
      </c>
      <c r="P547" t="n">
        <v>0</v>
      </c>
      <c r="Q547" t="n">
        <v>0</v>
      </c>
      <c r="R547" s="2" t="inlineStr"/>
    </row>
    <row r="548" ht="15" customHeight="1">
      <c r="A548" t="inlineStr">
        <is>
          <t>A 55602-2025</t>
        </is>
      </c>
      <c r="B548" s="1" t="n">
        <v>45971</v>
      </c>
      <c r="C548" s="1" t="n">
        <v>46139</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50860-2022</t>
        </is>
      </c>
      <c r="B549" s="1" t="n">
        <v>44867</v>
      </c>
      <c r="C549" s="1" t="n">
        <v>46139</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25370-2022</t>
        </is>
      </c>
      <c r="B550" s="1" t="n">
        <v>44732.3659837963</v>
      </c>
      <c r="C550" s="1" t="n">
        <v>46139</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32380-2025</t>
        </is>
      </c>
      <c r="B551" s="1" t="n">
        <v>45837.77701388889</v>
      </c>
      <c r="C551" s="1" t="n">
        <v>46139</v>
      </c>
      <c r="D551" t="inlineStr">
        <is>
          <t>KALMAR LÄN</t>
        </is>
      </c>
      <c r="E551" t="inlineStr">
        <is>
          <t>VIMMERBY</t>
        </is>
      </c>
      <c r="G551" t="n">
        <v>3.1</v>
      </c>
      <c r="H551" t="n">
        <v>0</v>
      </c>
      <c r="I551" t="n">
        <v>0</v>
      </c>
      <c r="J551" t="n">
        <v>0</v>
      </c>
      <c r="K551" t="n">
        <v>0</v>
      </c>
      <c r="L551" t="n">
        <v>0</v>
      </c>
      <c r="M551" t="n">
        <v>0</v>
      </c>
      <c r="N551" t="n">
        <v>0</v>
      </c>
      <c r="O551" t="n">
        <v>0</v>
      </c>
      <c r="P551" t="n">
        <v>0</v>
      </c>
      <c r="Q551" t="n">
        <v>0</v>
      </c>
      <c r="R551" s="2" t="inlineStr"/>
    </row>
    <row r="552" ht="15" customHeight="1">
      <c r="A552" t="inlineStr">
        <is>
          <t>A 55603-2025</t>
        </is>
      </c>
      <c r="B552" s="1" t="n">
        <v>45971</v>
      </c>
      <c r="C552" s="1" t="n">
        <v>46139</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55605-2025</t>
        </is>
      </c>
      <c r="B553" s="1" t="n">
        <v>45971</v>
      </c>
      <c r="C553" s="1" t="n">
        <v>46139</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58577-2024</t>
        </is>
      </c>
      <c r="B554" s="1" t="n">
        <v>45635.4874537037</v>
      </c>
      <c r="C554" s="1" t="n">
        <v>46139</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33186-2025</t>
        </is>
      </c>
      <c r="B555" s="1" t="n">
        <v>45840.59474537037</v>
      </c>
      <c r="C555" s="1" t="n">
        <v>46139</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33695-2025</t>
        </is>
      </c>
      <c r="B556" s="1" t="n">
        <v>45841.70569444444</v>
      </c>
      <c r="C556" s="1" t="n">
        <v>46139</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33698-2025</t>
        </is>
      </c>
      <c r="B557" s="1" t="n">
        <v>45841.70868055556</v>
      </c>
      <c r="C557" s="1" t="n">
        <v>46139</v>
      </c>
      <c r="D557" t="inlineStr">
        <is>
          <t>KALMAR LÄN</t>
        </is>
      </c>
      <c r="E557" t="inlineStr">
        <is>
          <t>VIMMERBY</t>
        </is>
      </c>
      <c r="G557" t="n">
        <v>3.7</v>
      </c>
      <c r="H557" t="n">
        <v>0</v>
      </c>
      <c r="I557" t="n">
        <v>0</v>
      </c>
      <c r="J557" t="n">
        <v>0</v>
      </c>
      <c r="K557" t="n">
        <v>0</v>
      </c>
      <c r="L557" t="n">
        <v>0</v>
      </c>
      <c r="M557" t="n">
        <v>0</v>
      </c>
      <c r="N557" t="n">
        <v>0</v>
      </c>
      <c r="O557" t="n">
        <v>0</v>
      </c>
      <c r="P557" t="n">
        <v>0</v>
      </c>
      <c r="Q557" t="n">
        <v>0</v>
      </c>
      <c r="R557" s="2" t="inlineStr"/>
    </row>
    <row r="558" ht="15" customHeight="1">
      <c r="A558" t="inlineStr">
        <is>
          <t>A 29440-2024</t>
        </is>
      </c>
      <c r="B558" s="1" t="n">
        <v>45483.82479166667</v>
      </c>
      <c r="C558" s="1" t="n">
        <v>46139</v>
      </c>
      <c r="D558" t="inlineStr">
        <is>
          <t>KALMAR LÄN</t>
        </is>
      </c>
      <c r="E558" t="inlineStr">
        <is>
          <t>VIMMERBY</t>
        </is>
      </c>
      <c r="G558" t="n">
        <v>4.5</v>
      </c>
      <c r="H558" t="n">
        <v>0</v>
      </c>
      <c r="I558" t="n">
        <v>0</v>
      </c>
      <c r="J558" t="n">
        <v>0</v>
      </c>
      <c r="K558" t="n">
        <v>0</v>
      </c>
      <c r="L558" t="n">
        <v>0</v>
      </c>
      <c r="M558" t="n">
        <v>0</v>
      </c>
      <c r="N558" t="n">
        <v>0</v>
      </c>
      <c r="O558" t="n">
        <v>0</v>
      </c>
      <c r="P558" t="n">
        <v>0</v>
      </c>
      <c r="Q558" t="n">
        <v>0</v>
      </c>
      <c r="R558" s="2" t="inlineStr"/>
    </row>
    <row r="559" ht="15" customHeight="1">
      <c r="A559" t="inlineStr">
        <is>
          <t>A 55385-2025</t>
        </is>
      </c>
      <c r="B559" s="1" t="n">
        <v>45971.43350694444</v>
      </c>
      <c r="C559" s="1" t="n">
        <v>46139</v>
      </c>
      <c r="D559" t="inlineStr">
        <is>
          <t>KALMAR LÄN</t>
        </is>
      </c>
      <c r="E559" t="inlineStr">
        <is>
          <t>VIMMERBY</t>
        </is>
      </c>
      <c r="G559" t="n">
        <v>5</v>
      </c>
      <c r="H559" t="n">
        <v>0</v>
      </c>
      <c r="I559" t="n">
        <v>0</v>
      </c>
      <c r="J559" t="n">
        <v>0</v>
      </c>
      <c r="K559" t="n">
        <v>0</v>
      </c>
      <c r="L559" t="n">
        <v>0</v>
      </c>
      <c r="M559" t="n">
        <v>0</v>
      </c>
      <c r="N559" t="n">
        <v>0</v>
      </c>
      <c r="O559" t="n">
        <v>0</v>
      </c>
      <c r="P559" t="n">
        <v>0</v>
      </c>
      <c r="Q559" t="n">
        <v>0</v>
      </c>
      <c r="R559" s="2" t="inlineStr"/>
    </row>
    <row r="560" ht="15" customHeight="1">
      <c r="A560" t="inlineStr">
        <is>
          <t>A 30977-2025</t>
        </is>
      </c>
      <c r="B560" s="1" t="n">
        <v>45832.46649305556</v>
      </c>
      <c r="C560" s="1" t="n">
        <v>46139</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33696-2025</t>
        </is>
      </c>
      <c r="B561" s="1" t="n">
        <v>45841.7072337963</v>
      </c>
      <c r="C561" s="1" t="n">
        <v>46139</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9129-2025</t>
        </is>
      </c>
      <c r="B562" s="1" t="n">
        <v>45713.92412037037</v>
      </c>
      <c r="C562" s="1" t="n">
        <v>46139</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22197-2024</t>
        </is>
      </c>
      <c r="B563" s="1" t="n">
        <v>45446.36774305555</v>
      </c>
      <c r="C563" s="1" t="n">
        <v>46139</v>
      </c>
      <c r="D563" t="inlineStr">
        <is>
          <t>KALMAR LÄN</t>
        </is>
      </c>
      <c r="E563" t="inlineStr">
        <is>
          <t>VIMMERBY</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53752-2024</t>
        </is>
      </c>
      <c r="B564" s="1" t="n">
        <v>45615.48927083334</v>
      </c>
      <c r="C564" s="1" t="n">
        <v>46139</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26956-2025</t>
        </is>
      </c>
      <c r="B565" s="1" t="n">
        <v>45811.45460648148</v>
      </c>
      <c r="C565" s="1" t="n">
        <v>46139</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12121-2025</t>
        </is>
      </c>
      <c r="B566" s="1" t="n">
        <v>45729.36868055556</v>
      </c>
      <c r="C566" s="1" t="n">
        <v>46139</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34071-2025</t>
        </is>
      </c>
      <c r="B567" s="1" t="n">
        <v>45845.43803240741</v>
      </c>
      <c r="C567" s="1" t="n">
        <v>46139</v>
      </c>
      <c r="D567" t="inlineStr">
        <is>
          <t>KALMAR LÄN</t>
        </is>
      </c>
      <c r="E567" t="inlineStr">
        <is>
          <t>VIMMERBY</t>
        </is>
      </c>
      <c r="G567" t="n">
        <v>6.8</v>
      </c>
      <c r="H567" t="n">
        <v>0</v>
      </c>
      <c r="I567" t="n">
        <v>0</v>
      </c>
      <c r="J567" t="n">
        <v>0</v>
      </c>
      <c r="K567" t="n">
        <v>0</v>
      </c>
      <c r="L567" t="n">
        <v>0</v>
      </c>
      <c r="M567" t="n">
        <v>0</v>
      </c>
      <c r="N567" t="n">
        <v>0</v>
      </c>
      <c r="O567" t="n">
        <v>0</v>
      </c>
      <c r="P567" t="n">
        <v>0</v>
      </c>
      <c r="Q567" t="n">
        <v>0</v>
      </c>
      <c r="R567" s="2" t="inlineStr"/>
    </row>
    <row r="568" ht="15" customHeight="1">
      <c r="A568" t="inlineStr">
        <is>
          <t>A 34106-2025</t>
        </is>
      </c>
      <c r="B568" s="1" t="n">
        <v>45845.49414351852</v>
      </c>
      <c r="C568" s="1" t="n">
        <v>46139</v>
      </c>
      <c r="D568" t="inlineStr">
        <is>
          <t>KALMAR LÄN</t>
        </is>
      </c>
      <c r="E568" t="inlineStr">
        <is>
          <t>VIMMERBY</t>
        </is>
      </c>
      <c r="G568" t="n">
        <v>6</v>
      </c>
      <c r="H568" t="n">
        <v>0</v>
      </c>
      <c r="I568" t="n">
        <v>0</v>
      </c>
      <c r="J568" t="n">
        <v>0</v>
      </c>
      <c r="K568" t="n">
        <v>0</v>
      </c>
      <c r="L568" t="n">
        <v>0</v>
      </c>
      <c r="M568" t="n">
        <v>0</v>
      </c>
      <c r="N568" t="n">
        <v>0</v>
      </c>
      <c r="O568" t="n">
        <v>0</v>
      </c>
      <c r="P568" t="n">
        <v>0</v>
      </c>
      <c r="Q568" t="n">
        <v>0</v>
      </c>
      <c r="R568" s="2" t="inlineStr"/>
    </row>
    <row r="569" ht="15" customHeight="1">
      <c r="A569" t="inlineStr">
        <is>
          <t>A 28702-2025</t>
        </is>
      </c>
      <c r="B569" s="1" t="n">
        <v>45820.03976851852</v>
      </c>
      <c r="C569" s="1" t="n">
        <v>46139</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9710-2023</t>
        </is>
      </c>
      <c r="B570" s="1" t="n">
        <v>44984</v>
      </c>
      <c r="C570" s="1" t="n">
        <v>46139</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9720-2023</t>
        </is>
      </c>
      <c r="B571" s="1" t="n">
        <v>44984</v>
      </c>
      <c r="C571" s="1" t="n">
        <v>46139</v>
      </c>
      <c r="D571" t="inlineStr">
        <is>
          <t>KALMAR LÄN</t>
        </is>
      </c>
      <c r="E571" t="inlineStr">
        <is>
          <t>VIMMERBY</t>
        </is>
      </c>
      <c r="G571" t="n">
        <v>4.4</v>
      </c>
      <c r="H571" t="n">
        <v>0</v>
      </c>
      <c r="I571" t="n">
        <v>0</v>
      </c>
      <c r="J571" t="n">
        <v>0</v>
      </c>
      <c r="K571" t="n">
        <v>0</v>
      </c>
      <c r="L571" t="n">
        <v>0</v>
      </c>
      <c r="M571" t="n">
        <v>0</v>
      </c>
      <c r="N571" t="n">
        <v>0</v>
      </c>
      <c r="O571" t="n">
        <v>0</v>
      </c>
      <c r="P571" t="n">
        <v>0</v>
      </c>
      <c r="Q571" t="n">
        <v>0</v>
      </c>
      <c r="R571" s="2" t="inlineStr"/>
    </row>
    <row r="572" ht="15" customHeight="1">
      <c r="A572" t="inlineStr">
        <is>
          <t>A 15493-2023</t>
        </is>
      </c>
      <c r="B572" s="1" t="n">
        <v>45018</v>
      </c>
      <c r="C572" s="1" t="n">
        <v>46139</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34628-2025</t>
        </is>
      </c>
      <c r="B573" s="1" t="n">
        <v>45847.91280092593</v>
      </c>
      <c r="C573" s="1" t="n">
        <v>46139</v>
      </c>
      <c r="D573" t="inlineStr">
        <is>
          <t>KALMAR LÄN</t>
        </is>
      </c>
      <c r="E573" t="inlineStr">
        <is>
          <t>VIMMERBY</t>
        </is>
      </c>
      <c r="G573" t="n">
        <v>4.2</v>
      </c>
      <c r="H573" t="n">
        <v>0</v>
      </c>
      <c r="I573" t="n">
        <v>0</v>
      </c>
      <c r="J573" t="n">
        <v>0</v>
      </c>
      <c r="K573" t="n">
        <v>0</v>
      </c>
      <c r="L573" t="n">
        <v>0</v>
      </c>
      <c r="M573" t="n">
        <v>0</v>
      </c>
      <c r="N573" t="n">
        <v>0</v>
      </c>
      <c r="O573" t="n">
        <v>0</v>
      </c>
      <c r="P573" t="n">
        <v>0</v>
      </c>
      <c r="Q573" t="n">
        <v>0</v>
      </c>
      <c r="R573" s="2" t="inlineStr"/>
    </row>
    <row r="574" ht="15" customHeight="1">
      <c r="A574" t="inlineStr">
        <is>
          <t>A 57728-2025</t>
        </is>
      </c>
      <c r="B574" s="1" t="n">
        <v>45981</v>
      </c>
      <c r="C574" s="1" t="n">
        <v>46139</v>
      </c>
      <c r="D574" t="inlineStr">
        <is>
          <t>KALMAR LÄN</t>
        </is>
      </c>
      <c r="E574" t="inlineStr">
        <is>
          <t>VIMMERBY</t>
        </is>
      </c>
      <c r="G574" t="n">
        <v>0.8</v>
      </c>
      <c r="H574" t="n">
        <v>0</v>
      </c>
      <c r="I574" t="n">
        <v>0</v>
      </c>
      <c r="J574" t="n">
        <v>0</v>
      </c>
      <c r="K574" t="n">
        <v>0</v>
      </c>
      <c r="L574" t="n">
        <v>0</v>
      </c>
      <c r="M574" t="n">
        <v>0</v>
      </c>
      <c r="N574" t="n">
        <v>0</v>
      </c>
      <c r="O574" t="n">
        <v>0</v>
      </c>
      <c r="P574" t="n">
        <v>0</v>
      </c>
      <c r="Q574" t="n">
        <v>0</v>
      </c>
      <c r="R574" s="2" t="inlineStr"/>
    </row>
    <row r="575" ht="15" customHeight="1">
      <c r="A575" t="inlineStr">
        <is>
          <t>A 58503-2025</t>
        </is>
      </c>
      <c r="B575" s="1" t="n">
        <v>45985.69509259259</v>
      </c>
      <c r="C575" s="1" t="n">
        <v>46139</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58498-2025</t>
        </is>
      </c>
      <c r="B576" s="1" t="n">
        <v>45985.68671296296</v>
      </c>
      <c r="C576" s="1" t="n">
        <v>46139</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58501-2025</t>
        </is>
      </c>
      <c r="B577" s="1" t="n">
        <v>45985.69153935185</v>
      </c>
      <c r="C577" s="1" t="n">
        <v>46139</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58514-2025</t>
        </is>
      </c>
      <c r="B578" s="1" t="n">
        <v>45985.70513888889</v>
      </c>
      <c r="C578" s="1" t="n">
        <v>46139</v>
      </c>
      <c r="D578" t="inlineStr">
        <is>
          <t>KALMAR LÄN</t>
        </is>
      </c>
      <c r="E578" t="inlineStr">
        <is>
          <t>VIMMERBY</t>
        </is>
      </c>
      <c r="G578" t="n">
        <v>3.7</v>
      </c>
      <c r="H578" t="n">
        <v>0</v>
      </c>
      <c r="I578" t="n">
        <v>0</v>
      </c>
      <c r="J578" t="n">
        <v>0</v>
      </c>
      <c r="K578" t="n">
        <v>0</v>
      </c>
      <c r="L578" t="n">
        <v>0</v>
      </c>
      <c r="M578" t="n">
        <v>0</v>
      </c>
      <c r="N578" t="n">
        <v>0</v>
      </c>
      <c r="O578" t="n">
        <v>0</v>
      </c>
      <c r="P578" t="n">
        <v>0</v>
      </c>
      <c r="Q578" t="n">
        <v>0</v>
      </c>
      <c r="R578" s="2" t="inlineStr"/>
    </row>
    <row r="579" ht="15" customHeight="1">
      <c r="A579" t="inlineStr">
        <is>
          <t>A 29093-2023</t>
        </is>
      </c>
      <c r="B579" s="1" t="n">
        <v>45105</v>
      </c>
      <c r="C579" s="1" t="n">
        <v>46139</v>
      </c>
      <c r="D579" t="inlineStr">
        <is>
          <t>KALMAR LÄN</t>
        </is>
      </c>
      <c r="E579" t="inlineStr">
        <is>
          <t>VIMMERBY</t>
        </is>
      </c>
      <c r="G579" t="n">
        <v>2.9</v>
      </c>
      <c r="H579" t="n">
        <v>0</v>
      </c>
      <c r="I579" t="n">
        <v>0</v>
      </c>
      <c r="J579" t="n">
        <v>0</v>
      </c>
      <c r="K579" t="n">
        <v>0</v>
      </c>
      <c r="L579" t="n">
        <v>0</v>
      </c>
      <c r="M579" t="n">
        <v>0</v>
      </c>
      <c r="N579" t="n">
        <v>0</v>
      </c>
      <c r="O579" t="n">
        <v>0</v>
      </c>
      <c r="P579" t="n">
        <v>0</v>
      </c>
      <c r="Q579" t="n">
        <v>0</v>
      </c>
      <c r="R579" s="2" t="inlineStr"/>
    </row>
    <row r="580" ht="15" customHeight="1">
      <c r="A580" t="inlineStr">
        <is>
          <t>A 58442-2025</t>
        </is>
      </c>
      <c r="B580" s="1" t="n">
        <v>45985.61635416667</v>
      </c>
      <c r="C580" s="1" t="n">
        <v>46139</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33352-2022</t>
        </is>
      </c>
      <c r="B581" s="1" t="n">
        <v>44788</v>
      </c>
      <c r="C581" s="1" t="n">
        <v>46139</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58435-2025</t>
        </is>
      </c>
      <c r="B582" s="1" t="n">
        <v>45985.61501157407</v>
      </c>
      <c r="C582" s="1" t="n">
        <v>46139</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58446-2025</t>
        </is>
      </c>
      <c r="B583" s="1" t="n">
        <v>45985.62168981481</v>
      </c>
      <c r="C583" s="1" t="n">
        <v>46139</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35270-2025</t>
        </is>
      </c>
      <c r="B584" s="1" t="n">
        <v>45853.87112268519</v>
      </c>
      <c r="C584" s="1" t="n">
        <v>46139</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35271-2025</t>
        </is>
      </c>
      <c r="B585" s="1" t="n">
        <v>45853.87599537037</v>
      </c>
      <c r="C585" s="1" t="n">
        <v>46139</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35272-2025</t>
        </is>
      </c>
      <c r="B586" s="1" t="n">
        <v>45853.88070601852</v>
      </c>
      <c r="C586" s="1" t="n">
        <v>46139</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22264-2023</t>
        </is>
      </c>
      <c r="B587" s="1" t="n">
        <v>45070.3665625</v>
      </c>
      <c r="C587" s="1" t="n">
        <v>46139</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16953-2025</t>
        </is>
      </c>
      <c r="B588" s="1" t="n">
        <v>45755.44333333334</v>
      </c>
      <c r="C588" s="1" t="n">
        <v>46139</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58500-2025</t>
        </is>
      </c>
      <c r="B589" s="1" t="n">
        <v>45985.69008101852</v>
      </c>
      <c r="C589" s="1" t="n">
        <v>46139</v>
      </c>
      <c r="D589" t="inlineStr">
        <is>
          <t>KALMAR LÄN</t>
        </is>
      </c>
      <c r="E589" t="inlineStr">
        <is>
          <t>VIMMERBY</t>
        </is>
      </c>
      <c r="G589" t="n">
        <v>1.8</v>
      </c>
      <c r="H589" t="n">
        <v>0</v>
      </c>
      <c r="I589" t="n">
        <v>0</v>
      </c>
      <c r="J589" t="n">
        <v>0</v>
      </c>
      <c r="K589" t="n">
        <v>0</v>
      </c>
      <c r="L589" t="n">
        <v>0</v>
      </c>
      <c r="M589" t="n">
        <v>0</v>
      </c>
      <c r="N589" t="n">
        <v>0</v>
      </c>
      <c r="O589" t="n">
        <v>0</v>
      </c>
      <c r="P589" t="n">
        <v>0</v>
      </c>
      <c r="Q589" t="n">
        <v>0</v>
      </c>
      <c r="R589" s="2" t="inlineStr"/>
    </row>
    <row r="590" ht="15" customHeight="1">
      <c r="A590" t="inlineStr">
        <is>
          <t>A 35596-2025</t>
        </is>
      </c>
      <c r="B590" s="1" t="n">
        <v>45858.60641203704</v>
      </c>
      <c r="C590" s="1" t="n">
        <v>46139</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35597-2025</t>
        </is>
      </c>
      <c r="B591" s="1" t="n">
        <v>45858.66019675926</v>
      </c>
      <c r="C591" s="1" t="n">
        <v>46139</v>
      </c>
      <c r="D591" t="inlineStr">
        <is>
          <t>KALMAR LÄN</t>
        </is>
      </c>
      <c r="E591" t="inlineStr">
        <is>
          <t>VIMMERBY</t>
        </is>
      </c>
      <c r="G591" t="n">
        <v>6.4</v>
      </c>
      <c r="H591" t="n">
        <v>0</v>
      </c>
      <c r="I591" t="n">
        <v>0</v>
      </c>
      <c r="J591" t="n">
        <v>0</v>
      </c>
      <c r="K591" t="n">
        <v>0</v>
      </c>
      <c r="L591" t="n">
        <v>0</v>
      </c>
      <c r="M591" t="n">
        <v>0</v>
      </c>
      <c r="N591" t="n">
        <v>0</v>
      </c>
      <c r="O591" t="n">
        <v>0</v>
      </c>
      <c r="P591" t="n">
        <v>0</v>
      </c>
      <c r="Q591" t="n">
        <v>0</v>
      </c>
      <c r="R591" s="2" t="inlineStr"/>
    </row>
    <row r="592" ht="15" customHeight="1">
      <c r="A592" t="inlineStr">
        <is>
          <t>A 16676-2023</t>
        </is>
      </c>
      <c r="B592" s="1" t="n">
        <v>45028</v>
      </c>
      <c r="C592" s="1" t="n">
        <v>46139</v>
      </c>
      <c r="D592" t="inlineStr">
        <is>
          <t>KALMAR LÄN</t>
        </is>
      </c>
      <c r="E592" t="inlineStr">
        <is>
          <t>VIMMERBY</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58841-2025</t>
        </is>
      </c>
      <c r="B593" s="1" t="n">
        <v>45987.36275462963</v>
      </c>
      <c r="C593" s="1" t="n">
        <v>46139</v>
      </c>
      <c r="D593" t="inlineStr">
        <is>
          <t>KALMAR LÄN</t>
        </is>
      </c>
      <c r="E593" t="inlineStr">
        <is>
          <t>VIMMERBY</t>
        </is>
      </c>
      <c r="G593" t="n">
        <v>3.5</v>
      </c>
      <c r="H593" t="n">
        <v>0</v>
      </c>
      <c r="I593" t="n">
        <v>0</v>
      </c>
      <c r="J593" t="n">
        <v>0</v>
      </c>
      <c r="K593" t="n">
        <v>0</v>
      </c>
      <c r="L593" t="n">
        <v>0</v>
      </c>
      <c r="M593" t="n">
        <v>0</v>
      </c>
      <c r="N593" t="n">
        <v>0</v>
      </c>
      <c r="O593" t="n">
        <v>0</v>
      </c>
      <c r="P593" t="n">
        <v>0</v>
      </c>
      <c r="Q593" t="n">
        <v>0</v>
      </c>
      <c r="R593" s="2" t="inlineStr"/>
    </row>
    <row r="594" ht="15" customHeight="1">
      <c r="A594" t="inlineStr">
        <is>
          <t>A 6220-2025</t>
        </is>
      </c>
      <c r="B594" s="1" t="n">
        <v>45698.53725694444</v>
      </c>
      <c r="C594" s="1" t="n">
        <v>46139</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58858-2025</t>
        </is>
      </c>
      <c r="B595" s="1" t="n">
        <v>45987.4243287037</v>
      </c>
      <c r="C595" s="1" t="n">
        <v>46139</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24096-2024</t>
        </is>
      </c>
      <c r="B596" s="1" t="n">
        <v>45456.59289351852</v>
      </c>
      <c r="C596" s="1" t="n">
        <v>46139</v>
      </c>
      <c r="D596" t="inlineStr">
        <is>
          <t>KALMAR LÄN</t>
        </is>
      </c>
      <c r="E596" t="inlineStr">
        <is>
          <t>VIMMERBY</t>
        </is>
      </c>
      <c r="G596" t="n">
        <v>2.3</v>
      </c>
      <c r="H596" t="n">
        <v>0</v>
      </c>
      <c r="I596" t="n">
        <v>0</v>
      </c>
      <c r="J596" t="n">
        <v>0</v>
      </c>
      <c r="K596" t="n">
        <v>0</v>
      </c>
      <c r="L596" t="n">
        <v>0</v>
      </c>
      <c r="M596" t="n">
        <v>0</v>
      </c>
      <c r="N596" t="n">
        <v>0</v>
      </c>
      <c r="O596" t="n">
        <v>0</v>
      </c>
      <c r="P596" t="n">
        <v>0</v>
      </c>
      <c r="Q596" t="n">
        <v>0</v>
      </c>
      <c r="R596" s="2" t="inlineStr"/>
    </row>
    <row r="597" ht="15" customHeight="1">
      <c r="A597" t="inlineStr">
        <is>
          <t>A 59039-2025</t>
        </is>
      </c>
      <c r="B597" s="1" t="n">
        <v>45988.36790509259</v>
      </c>
      <c r="C597" s="1" t="n">
        <v>46139</v>
      </c>
      <c r="D597" t="inlineStr">
        <is>
          <t>KALMAR LÄN</t>
        </is>
      </c>
      <c r="E597" t="inlineStr">
        <is>
          <t>VIMMERBY</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36226-2025</t>
        </is>
      </c>
      <c r="B598" s="1" t="n">
        <v>45867.51630787037</v>
      </c>
      <c r="C598" s="1" t="n">
        <v>46139</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36273-2025</t>
        </is>
      </c>
      <c r="B599" s="1" t="n">
        <v>45867.63094907408</v>
      </c>
      <c r="C599" s="1" t="n">
        <v>46139</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36282-2025</t>
        </is>
      </c>
      <c r="B600" s="1" t="n">
        <v>45867.64663194444</v>
      </c>
      <c r="C600" s="1" t="n">
        <v>46139</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36246-2025</t>
        </is>
      </c>
      <c r="B601" s="1" t="n">
        <v>45867.56320601852</v>
      </c>
      <c r="C601" s="1" t="n">
        <v>46139</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36297-2025</t>
        </is>
      </c>
      <c r="B602" s="1" t="n">
        <v>45867.68625</v>
      </c>
      <c r="C602" s="1" t="n">
        <v>46139</v>
      </c>
      <c r="D602" t="inlineStr">
        <is>
          <t>KALMAR LÄN</t>
        </is>
      </c>
      <c r="E602" t="inlineStr">
        <is>
          <t>VIMMERBY</t>
        </is>
      </c>
      <c r="G602" t="n">
        <v>4.9</v>
      </c>
      <c r="H602" t="n">
        <v>0</v>
      </c>
      <c r="I602" t="n">
        <v>0</v>
      </c>
      <c r="J602" t="n">
        <v>0</v>
      </c>
      <c r="K602" t="n">
        <v>0</v>
      </c>
      <c r="L602" t="n">
        <v>0</v>
      </c>
      <c r="M602" t="n">
        <v>0</v>
      </c>
      <c r="N602" t="n">
        <v>0</v>
      </c>
      <c r="O602" t="n">
        <v>0</v>
      </c>
      <c r="P602" t="n">
        <v>0</v>
      </c>
      <c r="Q602" t="n">
        <v>0</v>
      </c>
      <c r="R602" s="2" t="inlineStr"/>
    </row>
    <row r="603" ht="15" customHeight="1">
      <c r="A603" t="inlineStr">
        <is>
          <t>A 29013-2024</t>
        </is>
      </c>
      <c r="B603" s="1" t="n">
        <v>45481.55984953704</v>
      </c>
      <c r="C603" s="1" t="n">
        <v>46139</v>
      </c>
      <c r="D603" t="inlineStr">
        <is>
          <t>KALMAR LÄN</t>
        </is>
      </c>
      <c r="E603" t="inlineStr">
        <is>
          <t>VIMMERBY</t>
        </is>
      </c>
      <c r="G603" t="n">
        <v>3.4</v>
      </c>
      <c r="H603" t="n">
        <v>0</v>
      </c>
      <c r="I603" t="n">
        <v>0</v>
      </c>
      <c r="J603" t="n">
        <v>0</v>
      </c>
      <c r="K603" t="n">
        <v>0</v>
      </c>
      <c r="L603" t="n">
        <v>0</v>
      </c>
      <c r="M603" t="n">
        <v>0</v>
      </c>
      <c r="N603" t="n">
        <v>0</v>
      </c>
      <c r="O603" t="n">
        <v>0</v>
      </c>
      <c r="P603" t="n">
        <v>0</v>
      </c>
      <c r="Q603" t="n">
        <v>0</v>
      </c>
      <c r="R603" s="2" t="inlineStr"/>
    </row>
    <row r="604" ht="15" customHeight="1">
      <c r="A604" t="inlineStr">
        <is>
          <t>A 59034-2025</t>
        </is>
      </c>
      <c r="B604" s="1" t="n">
        <v>45988.36243055556</v>
      </c>
      <c r="C604" s="1" t="n">
        <v>46139</v>
      </c>
      <c r="D604" t="inlineStr">
        <is>
          <t>KALMAR LÄN</t>
        </is>
      </c>
      <c r="E604" t="inlineStr">
        <is>
          <t>VIMMERBY</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6066-2023</t>
        </is>
      </c>
      <c r="B605" s="1" t="n">
        <v>44964.50894675926</v>
      </c>
      <c r="C605" s="1" t="n">
        <v>46139</v>
      </c>
      <c r="D605" t="inlineStr">
        <is>
          <t>KALMAR LÄN</t>
        </is>
      </c>
      <c r="E605" t="inlineStr">
        <is>
          <t>VIMMERBY</t>
        </is>
      </c>
      <c r="G605" t="n">
        <v>2.8</v>
      </c>
      <c r="H605" t="n">
        <v>0</v>
      </c>
      <c r="I605" t="n">
        <v>0</v>
      </c>
      <c r="J605" t="n">
        <v>0</v>
      </c>
      <c r="K605" t="n">
        <v>0</v>
      </c>
      <c r="L605" t="n">
        <v>0</v>
      </c>
      <c r="M605" t="n">
        <v>0</v>
      </c>
      <c r="N605" t="n">
        <v>0</v>
      </c>
      <c r="O605" t="n">
        <v>0</v>
      </c>
      <c r="P605" t="n">
        <v>0</v>
      </c>
      <c r="Q605" t="n">
        <v>0</v>
      </c>
      <c r="R605" s="2" t="inlineStr"/>
    </row>
    <row r="606" ht="15" customHeight="1">
      <c r="A606" t="inlineStr">
        <is>
          <t>A 59955-2023</t>
        </is>
      </c>
      <c r="B606" s="1" t="n">
        <v>45257.70313657408</v>
      </c>
      <c r="C606" s="1" t="n">
        <v>46139</v>
      </c>
      <c r="D606" t="inlineStr">
        <is>
          <t>KALMAR LÄN</t>
        </is>
      </c>
      <c r="E606" t="inlineStr">
        <is>
          <t>VIMMERBY</t>
        </is>
      </c>
      <c r="G606" t="n">
        <v>13.8</v>
      </c>
      <c r="H606" t="n">
        <v>0</v>
      </c>
      <c r="I606" t="n">
        <v>0</v>
      </c>
      <c r="J606" t="n">
        <v>0</v>
      </c>
      <c r="K606" t="n">
        <v>0</v>
      </c>
      <c r="L606" t="n">
        <v>0</v>
      </c>
      <c r="M606" t="n">
        <v>0</v>
      </c>
      <c r="N606" t="n">
        <v>0</v>
      </c>
      <c r="O606" t="n">
        <v>0</v>
      </c>
      <c r="P606" t="n">
        <v>0</v>
      </c>
      <c r="Q606" t="n">
        <v>0</v>
      </c>
      <c r="R606" s="2" t="inlineStr"/>
    </row>
    <row r="607" ht="15" customHeight="1">
      <c r="A607" t="inlineStr">
        <is>
          <t>A 36221-2025</t>
        </is>
      </c>
      <c r="B607" s="1" t="n">
        <v>45867.50792824074</v>
      </c>
      <c r="C607" s="1" t="n">
        <v>46139</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59037-2025</t>
        </is>
      </c>
      <c r="B608" s="1" t="n">
        <v>45988.36508101852</v>
      </c>
      <c r="C608" s="1" t="n">
        <v>46139</v>
      </c>
      <c r="D608" t="inlineStr">
        <is>
          <t>KALMAR LÄN</t>
        </is>
      </c>
      <c r="E608" t="inlineStr">
        <is>
          <t>VIMMERBY</t>
        </is>
      </c>
      <c r="F608" t="inlineStr">
        <is>
          <t>Sveaskog</t>
        </is>
      </c>
      <c r="G608" t="n">
        <v>4</v>
      </c>
      <c r="H608" t="n">
        <v>0</v>
      </c>
      <c r="I608" t="n">
        <v>0</v>
      </c>
      <c r="J608" t="n">
        <v>0</v>
      </c>
      <c r="K608" t="n">
        <v>0</v>
      </c>
      <c r="L608" t="n">
        <v>0</v>
      </c>
      <c r="M608" t="n">
        <v>0</v>
      </c>
      <c r="N608" t="n">
        <v>0</v>
      </c>
      <c r="O608" t="n">
        <v>0</v>
      </c>
      <c r="P608" t="n">
        <v>0</v>
      </c>
      <c r="Q608" t="n">
        <v>0</v>
      </c>
      <c r="R608" s="2" t="inlineStr"/>
    </row>
    <row r="609" ht="15" customHeight="1">
      <c r="A609" t="inlineStr">
        <is>
          <t>A 19502-2025</t>
        </is>
      </c>
      <c r="B609" s="1" t="n">
        <v>45769</v>
      </c>
      <c r="C609" s="1" t="n">
        <v>46139</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59068-2025</t>
        </is>
      </c>
      <c r="B610" s="1" t="n">
        <v>45988.41725694444</v>
      </c>
      <c r="C610" s="1" t="n">
        <v>46139</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36299-2025</t>
        </is>
      </c>
      <c r="B611" s="1" t="n">
        <v>45867.69346064814</v>
      </c>
      <c r="C611" s="1" t="n">
        <v>46139</v>
      </c>
      <c r="D611" t="inlineStr">
        <is>
          <t>KALMAR LÄN</t>
        </is>
      </c>
      <c r="E611" t="inlineStr">
        <is>
          <t>VIMMERBY</t>
        </is>
      </c>
      <c r="G611" t="n">
        <v>7.6</v>
      </c>
      <c r="H611" t="n">
        <v>0</v>
      </c>
      <c r="I611" t="n">
        <v>0</v>
      </c>
      <c r="J611" t="n">
        <v>0</v>
      </c>
      <c r="K611" t="n">
        <v>0</v>
      </c>
      <c r="L611" t="n">
        <v>0</v>
      </c>
      <c r="M611" t="n">
        <v>0</v>
      </c>
      <c r="N611" t="n">
        <v>0</v>
      </c>
      <c r="O611" t="n">
        <v>0</v>
      </c>
      <c r="P611" t="n">
        <v>0</v>
      </c>
      <c r="Q611" t="n">
        <v>0</v>
      </c>
      <c r="R611" s="2" t="inlineStr"/>
    </row>
    <row r="612" ht="15" customHeight="1">
      <c r="A612" t="inlineStr">
        <is>
          <t>A 36040-2024</t>
        </is>
      </c>
      <c r="B612" s="1" t="n">
        <v>45533.60232638889</v>
      </c>
      <c r="C612" s="1" t="n">
        <v>46139</v>
      </c>
      <c r="D612" t="inlineStr">
        <is>
          <t>KALMAR LÄN</t>
        </is>
      </c>
      <c r="E612" t="inlineStr">
        <is>
          <t>VIMMERBY</t>
        </is>
      </c>
      <c r="F612" t="inlineStr">
        <is>
          <t>Kommuner</t>
        </is>
      </c>
      <c r="G612" t="n">
        <v>3.6</v>
      </c>
      <c r="H612" t="n">
        <v>0</v>
      </c>
      <c r="I612" t="n">
        <v>0</v>
      </c>
      <c r="J612" t="n">
        <v>0</v>
      </c>
      <c r="K612" t="n">
        <v>0</v>
      </c>
      <c r="L612" t="n">
        <v>0</v>
      </c>
      <c r="M612" t="n">
        <v>0</v>
      </c>
      <c r="N612" t="n">
        <v>0</v>
      </c>
      <c r="O612" t="n">
        <v>0</v>
      </c>
      <c r="P612" t="n">
        <v>0</v>
      </c>
      <c r="Q612" t="n">
        <v>0</v>
      </c>
      <c r="R612" s="2" t="inlineStr"/>
    </row>
    <row r="613" ht="15" customHeight="1">
      <c r="A613" t="inlineStr">
        <is>
          <t>A 36043-2024</t>
        </is>
      </c>
      <c r="B613" s="1" t="n">
        <v>45533.60770833334</v>
      </c>
      <c r="C613" s="1" t="n">
        <v>46139</v>
      </c>
      <c r="D613" t="inlineStr">
        <is>
          <t>KALMAR LÄN</t>
        </is>
      </c>
      <c r="E613" t="inlineStr">
        <is>
          <t>VIMMERBY</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12890-2023</t>
        </is>
      </c>
      <c r="B614" s="1" t="n">
        <v>45001.59209490741</v>
      </c>
      <c r="C614" s="1" t="n">
        <v>46139</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43594-2024</t>
        </is>
      </c>
      <c r="B615" s="1" t="n">
        <v>45569.44295138889</v>
      </c>
      <c r="C615" s="1" t="n">
        <v>46139</v>
      </c>
      <c r="D615" t="inlineStr">
        <is>
          <t>KALMAR LÄN</t>
        </is>
      </c>
      <c r="E615" t="inlineStr">
        <is>
          <t>VIMMERBY</t>
        </is>
      </c>
      <c r="G615" t="n">
        <v>3.9</v>
      </c>
      <c r="H615" t="n">
        <v>0</v>
      </c>
      <c r="I615" t="n">
        <v>0</v>
      </c>
      <c r="J615" t="n">
        <v>0</v>
      </c>
      <c r="K615" t="n">
        <v>0</v>
      </c>
      <c r="L615" t="n">
        <v>0</v>
      </c>
      <c r="M615" t="n">
        <v>0</v>
      </c>
      <c r="N615" t="n">
        <v>0</v>
      </c>
      <c r="O615" t="n">
        <v>0</v>
      </c>
      <c r="P615" t="n">
        <v>0</v>
      </c>
      <c r="Q615" t="n">
        <v>0</v>
      </c>
      <c r="R615" s="2" t="inlineStr"/>
    </row>
    <row r="616" ht="15" customHeight="1">
      <c r="A616" t="inlineStr">
        <is>
          <t>A 36538-2025</t>
        </is>
      </c>
      <c r="B616" s="1" t="n">
        <v>45869.62276620371</v>
      </c>
      <c r="C616" s="1" t="n">
        <v>46139</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53482-2022</t>
        </is>
      </c>
      <c r="B617" s="1" t="n">
        <v>44879</v>
      </c>
      <c r="C617" s="1" t="n">
        <v>46139</v>
      </c>
      <c r="D617" t="inlineStr">
        <is>
          <t>KALMAR LÄN</t>
        </is>
      </c>
      <c r="E617" t="inlineStr">
        <is>
          <t>VIMMERBY</t>
        </is>
      </c>
      <c r="G617" t="n">
        <v>10.1</v>
      </c>
      <c r="H617" t="n">
        <v>0</v>
      </c>
      <c r="I617" t="n">
        <v>0</v>
      </c>
      <c r="J617" t="n">
        <v>0</v>
      </c>
      <c r="K617" t="n">
        <v>0</v>
      </c>
      <c r="L617" t="n">
        <v>0</v>
      </c>
      <c r="M617" t="n">
        <v>0</v>
      </c>
      <c r="N617" t="n">
        <v>0</v>
      </c>
      <c r="O617" t="n">
        <v>0</v>
      </c>
      <c r="P617" t="n">
        <v>0</v>
      </c>
      <c r="Q617" t="n">
        <v>0</v>
      </c>
      <c r="R617" s="2" t="inlineStr"/>
    </row>
    <row r="618" ht="15" customHeight="1">
      <c r="A618" t="inlineStr">
        <is>
          <t>A 59579-2025</t>
        </is>
      </c>
      <c r="B618" s="1" t="n">
        <v>45992.30569444445</v>
      </c>
      <c r="C618" s="1" t="n">
        <v>46139</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27761-2024</t>
        </is>
      </c>
      <c r="B619" s="1" t="n">
        <v>45475.49018518518</v>
      </c>
      <c r="C619" s="1" t="n">
        <v>46139</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36598-2025</t>
        </is>
      </c>
      <c r="B620" s="1" t="n">
        <v>45870.51708333333</v>
      </c>
      <c r="C620" s="1" t="n">
        <v>46139</v>
      </c>
      <c r="D620" t="inlineStr">
        <is>
          <t>KALMAR LÄN</t>
        </is>
      </c>
      <c r="E620" t="inlineStr">
        <is>
          <t>VIMMERBY</t>
        </is>
      </c>
      <c r="G620" t="n">
        <v>3.7</v>
      </c>
      <c r="H620" t="n">
        <v>0</v>
      </c>
      <c r="I620" t="n">
        <v>0</v>
      </c>
      <c r="J620" t="n">
        <v>0</v>
      </c>
      <c r="K620" t="n">
        <v>0</v>
      </c>
      <c r="L620" t="n">
        <v>0</v>
      </c>
      <c r="M620" t="n">
        <v>0</v>
      </c>
      <c r="N620" t="n">
        <v>0</v>
      </c>
      <c r="O620" t="n">
        <v>0</v>
      </c>
      <c r="P620" t="n">
        <v>0</v>
      </c>
      <c r="Q620" t="n">
        <v>0</v>
      </c>
      <c r="R620" s="2" t="inlineStr"/>
    </row>
    <row r="621" ht="15" customHeight="1">
      <c r="A621" t="inlineStr">
        <is>
          <t>A 36602-2025</t>
        </is>
      </c>
      <c r="B621" s="1" t="n">
        <v>45870.52111111111</v>
      </c>
      <c r="C621" s="1" t="n">
        <v>46139</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64203-2021</t>
        </is>
      </c>
      <c r="B622" s="1" t="n">
        <v>44510.60921296296</v>
      </c>
      <c r="C622" s="1" t="n">
        <v>46139</v>
      </c>
      <c r="D622" t="inlineStr">
        <is>
          <t>KALMAR LÄN</t>
        </is>
      </c>
      <c r="E622" t="inlineStr">
        <is>
          <t>VIMMERBY</t>
        </is>
      </c>
      <c r="F622" t="inlineStr">
        <is>
          <t>Övriga Aktiebolag</t>
        </is>
      </c>
      <c r="G622" t="n">
        <v>5.4</v>
      </c>
      <c r="H622" t="n">
        <v>0</v>
      </c>
      <c r="I622" t="n">
        <v>0</v>
      </c>
      <c r="J622" t="n">
        <v>0</v>
      </c>
      <c r="K622" t="n">
        <v>0</v>
      </c>
      <c r="L622" t="n">
        <v>0</v>
      </c>
      <c r="M622" t="n">
        <v>0</v>
      </c>
      <c r="N622" t="n">
        <v>0</v>
      </c>
      <c r="O622" t="n">
        <v>0</v>
      </c>
      <c r="P622" t="n">
        <v>0</v>
      </c>
      <c r="Q622" t="n">
        <v>0</v>
      </c>
      <c r="R622" s="2" t="inlineStr"/>
    </row>
    <row r="623" ht="15" customHeight="1">
      <c r="A623" t="inlineStr">
        <is>
          <t>A 5720-2023</t>
        </is>
      </c>
      <c r="B623" s="1" t="n">
        <v>44961</v>
      </c>
      <c r="C623" s="1" t="n">
        <v>46139</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9643-2023</t>
        </is>
      </c>
      <c r="B624" s="1" t="n">
        <v>44984</v>
      </c>
      <c r="C624" s="1" t="n">
        <v>46139</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25728-2023</t>
        </is>
      </c>
      <c r="B625" s="1" t="n">
        <v>45090.38012731481</v>
      </c>
      <c r="C625" s="1" t="n">
        <v>46139</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36603-2025</t>
        </is>
      </c>
      <c r="B626" s="1" t="n">
        <v>45870.52142361111</v>
      </c>
      <c r="C626" s="1" t="n">
        <v>46139</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60180-2025</t>
        </is>
      </c>
      <c r="B627" s="1" t="n">
        <v>45994.46428240741</v>
      </c>
      <c r="C627" s="1" t="n">
        <v>46139</v>
      </c>
      <c r="D627" t="inlineStr">
        <is>
          <t>KALMAR LÄN</t>
        </is>
      </c>
      <c r="E627" t="inlineStr">
        <is>
          <t>VIMMERBY</t>
        </is>
      </c>
      <c r="G627" t="n">
        <v>6.8</v>
      </c>
      <c r="H627" t="n">
        <v>0</v>
      </c>
      <c r="I627" t="n">
        <v>0</v>
      </c>
      <c r="J627" t="n">
        <v>0</v>
      </c>
      <c r="K627" t="n">
        <v>0</v>
      </c>
      <c r="L627" t="n">
        <v>0</v>
      </c>
      <c r="M627" t="n">
        <v>0</v>
      </c>
      <c r="N627" t="n">
        <v>0</v>
      </c>
      <c r="O627" t="n">
        <v>0</v>
      </c>
      <c r="P627" t="n">
        <v>0</v>
      </c>
      <c r="Q627" t="n">
        <v>0</v>
      </c>
      <c r="R627" s="2" t="inlineStr"/>
    </row>
    <row r="628" ht="15" customHeight="1">
      <c r="A628" t="inlineStr">
        <is>
          <t>A 36600-2025</t>
        </is>
      </c>
      <c r="B628" s="1" t="n">
        <v>45870.51958333333</v>
      </c>
      <c r="C628" s="1" t="n">
        <v>46139</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36601-2025</t>
        </is>
      </c>
      <c r="B629" s="1" t="n">
        <v>45870.52005787037</v>
      </c>
      <c r="C629" s="1" t="n">
        <v>46139</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60297-2025</t>
        </is>
      </c>
      <c r="B630" s="1" t="n">
        <v>45994</v>
      </c>
      <c r="C630" s="1" t="n">
        <v>46139</v>
      </c>
      <c r="D630" t="inlineStr">
        <is>
          <t>KALMAR LÄN</t>
        </is>
      </c>
      <c r="E630" t="inlineStr">
        <is>
          <t>VIMMERBY</t>
        </is>
      </c>
      <c r="G630" t="n">
        <v>4.2</v>
      </c>
      <c r="H630" t="n">
        <v>0</v>
      </c>
      <c r="I630" t="n">
        <v>0</v>
      </c>
      <c r="J630" t="n">
        <v>0</v>
      </c>
      <c r="K630" t="n">
        <v>0</v>
      </c>
      <c r="L630" t="n">
        <v>0</v>
      </c>
      <c r="M630" t="n">
        <v>0</v>
      </c>
      <c r="N630" t="n">
        <v>0</v>
      </c>
      <c r="O630" t="n">
        <v>0</v>
      </c>
      <c r="P630" t="n">
        <v>0</v>
      </c>
      <c r="Q630" t="n">
        <v>0</v>
      </c>
      <c r="R630" s="2" t="inlineStr"/>
    </row>
    <row r="631" ht="15" customHeight="1">
      <c r="A631" t="inlineStr">
        <is>
          <t>A 37088-2025</t>
        </is>
      </c>
      <c r="B631" s="1" t="n">
        <v>45875.45716435185</v>
      </c>
      <c r="C631" s="1" t="n">
        <v>46139</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37102-2025</t>
        </is>
      </c>
      <c r="B632" s="1" t="n">
        <v>45875.47454861111</v>
      </c>
      <c r="C632" s="1" t="n">
        <v>46139</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37079-2025</t>
        </is>
      </c>
      <c r="B633" s="1" t="n">
        <v>45875.42716435185</v>
      </c>
      <c r="C633" s="1" t="n">
        <v>46139</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41311-2023</t>
        </is>
      </c>
      <c r="B634" s="1" t="n">
        <v>45174</v>
      </c>
      <c r="C634" s="1" t="n">
        <v>46139</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36934-2025</t>
        </is>
      </c>
      <c r="B635" s="1" t="n">
        <v>45874.57109953704</v>
      </c>
      <c r="C635" s="1" t="n">
        <v>46139</v>
      </c>
      <c r="D635" t="inlineStr">
        <is>
          <t>KALMAR LÄN</t>
        </is>
      </c>
      <c r="E635" t="inlineStr">
        <is>
          <t>VIMMERBY</t>
        </is>
      </c>
      <c r="G635" t="n">
        <v>4.2</v>
      </c>
      <c r="H635" t="n">
        <v>0</v>
      </c>
      <c r="I635" t="n">
        <v>0</v>
      </c>
      <c r="J635" t="n">
        <v>0</v>
      </c>
      <c r="K635" t="n">
        <v>0</v>
      </c>
      <c r="L635" t="n">
        <v>0</v>
      </c>
      <c r="M635" t="n">
        <v>0</v>
      </c>
      <c r="N635" t="n">
        <v>0</v>
      </c>
      <c r="O635" t="n">
        <v>0</v>
      </c>
      <c r="P635" t="n">
        <v>0</v>
      </c>
      <c r="Q635" t="n">
        <v>0</v>
      </c>
      <c r="R635" s="2" t="inlineStr"/>
    </row>
    <row r="636" ht="15" customHeight="1">
      <c r="A636" t="inlineStr">
        <is>
          <t>A 26318-2023</t>
        </is>
      </c>
      <c r="B636" s="1" t="n">
        <v>45091.67936342592</v>
      </c>
      <c r="C636" s="1" t="n">
        <v>46139</v>
      </c>
      <c r="D636" t="inlineStr">
        <is>
          <t>KALMAR LÄN</t>
        </is>
      </c>
      <c r="E636" t="inlineStr">
        <is>
          <t>VIMMERBY</t>
        </is>
      </c>
      <c r="G636" t="n">
        <v>3.8</v>
      </c>
      <c r="H636" t="n">
        <v>0</v>
      </c>
      <c r="I636" t="n">
        <v>0</v>
      </c>
      <c r="J636" t="n">
        <v>0</v>
      </c>
      <c r="K636" t="n">
        <v>0</v>
      </c>
      <c r="L636" t="n">
        <v>0</v>
      </c>
      <c r="M636" t="n">
        <v>0</v>
      </c>
      <c r="N636" t="n">
        <v>0</v>
      </c>
      <c r="O636" t="n">
        <v>0</v>
      </c>
      <c r="P636" t="n">
        <v>0</v>
      </c>
      <c r="Q636" t="n">
        <v>0</v>
      </c>
      <c r="R636" s="2" t="inlineStr"/>
    </row>
    <row r="637" ht="15" customHeight="1">
      <c r="A637" t="inlineStr">
        <is>
          <t>A 37578-2025</t>
        </is>
      </c>
      <c r="B637" s="1" t="n">
        <v>45880.38380787037</v>
      </c>
      <c r="C637" s="1" t="n">
        <v>46139</v>
      </c>
      <c r="D637" t="inlineStr">
        <is>
          <t>KALMAR LÄN</t>
        </is>
      </c>
      <c r="E637" t="inlineStr">
        <is>
          <t>VIMMERBY</t>
        </is>
      </c>
      <c r="G637" t="n">
        <v>0.7</v>
      </c>
      <c r="H637" t="n">
        <v>0</v>
      </c>
      <c r="I637" t="n">
        <v>0</v>
      </c>
      <c r="J637" t="n">
        <v>0</v>
      </c>
      <c r="K637" t="n">
        <v>0</v>
      </c>
      <c r="L637" t="n">
        <v>0</v>
      </c>
      <c r="M637" t="n">
        <v>0</v>
      </c>
      <c r="N637" t="n">
        <v>0</v>
      </c>
      <c r="O637" t="n">
        <v>0</v>
      </c>
      <c r="P637" t="n">
        <v>0</v>
      </c>
      <c r="Q637" t="n">
        <v>0</v>
      </c>
      <c r="R637" s="2" t="inlineStr"/>
    </row>
    <row r="638" ht="15" customHeight="1">
      <c r="A638" t="inlineStr">
        <is>
          <t>A 61725-2025</t>
        </is>
      </c>
      <c r="B638" s="1" t="n">
        <v>46002.58680555555</v>
      </c>
      <c r="C638" s="1" t="n">
        <v>46139</v>
      </c>
      <c r="D638" t="inlineStr">
        <is>
          <t>KALMAR LÄN</t>
        </is>
      </c>
      <c r="E638" t="inlineStr">
        <is>
          <t>VIMMERBY</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61790-2025</t>
        </is>
      </c>
      <c r="B639" s="1" t="n">
        <v>46002.68768518518</v>
      </c>
      <c r="C639" s="1" t="n">
        <v>46139</v>
      </c>
      <c r="D639" t="inlineStr">
        <is>
          <t>KALMAR LÄN</t>
        </is>
      </c>
      <c r="E639" t="inlineStr">
        <is>
          <t>VIMMERBY</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37668-2025</t>
        </is>
      </c>
      <c r="B640" s="1" t="n">
        <v>45880.51550925926</v>
      </c>
      <c r="C640" s="1" t="n">
        <v>46139</v>
      </c>
      <c r="D640" t="inlineStr">
        <is>
          <t>KALMAR LÄN</t>
        </is>
      </c>
      <c r="E640" t="inlineStr">
        <is>
          <t>VIMMERBY</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37939-2025</t>
        </is>
      </c>
      <c r="B641" s="1" t="n">
        <v>45881.59877314815</v>
      </c>
      <c r="C641" s="1" t="n">
        <v>46139</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61355-2024</t>
        </is>
      </c>
      <c r="B642" s="1" t="n">
        <v>45646.38200231481</v>
      </c>
      <c r="C642" s="1" t="n">
        <v>46139</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61726-2025</t>
        </is>
      </c>
      <c r="B643" s="1" t="n">
        <v>46002.58822916666</v>
      </c>
      <c r="C643" s="1" t="n">
        <v>46139</v>
      </c>
      <c r="D643" t="inlineStr">
        <is>
          <t>KALMAR LÄN</t>
        </is>
      </c>
      <c r="E643" t="inlineStr">
        <is>
          <t>VIMMERBY</t>
        </is>
      </c>
      <c r="F643" t="inlineStr">
        <is>
          <t>Sveaskog</t>
        </is>
      </c>
      <c r="G643" t="n">
        <v>0.2</v>
      </c>
      <c r="H643" t="n">
        <v>0</v>
      </c>
      <c r="I643" t="n">
        <v>0</v>
      </c>
      <c r="J643" t="n">
        <v>0</v>
      </c>
      <c r="K643" t="n">
        <v>0</v>
      </c>
      <c r="L643" t="n">
        <v>0</v>
      </c>
      <c r="M643" t="n">
        <v>0</v>
      </c>
      <c r="N643" t="n">
        <v>0</v>
      </c>
      <c r="O643" t="n">
        <v>0</v>
      </c>
      <c r="P643" t="n">
        <v>0</v>
      </c>
      <c r="Q643" t="n">
        <v>0</v>
      </c>
      <c r="R643" s="2" t="inlineStr"/>
    </row>
    <row r="644" ht="15" customHeight="1">
      <c r="A644" t="inlineStr">
        <is>
          <t>A 37866-2025</t>
        </is>
      </c>
      <c r="B644" s="1" t="n">
        <v>45881</v>
      </c>
      <c r="C644" s="1" t="n">
        <v>46139</v>
      </c>
      <c r="D644" t="inlineStr">
        <is>
          <t>KALMAR LÄN</t>
        </is>
      </c>
      <c r="E644" t="inlineStr">
        <is>
          <t>VIMMERBY</t>
        </is>
      </c>
      <c r="G644" t="n">
        <v>3.4</v>
      </c>
      <c r="H644" t="n">
        <v>0</v>
      </c>
      <c r="I644" t="n">
        <v>0</v>
      </c>
      <c r="J644" t="n">
        <v>0</v>
      </c>
      <c r="K644" t="n">
        <v>0</v>
      </c>
      <c r="L644" t="n">
        <v>0</v>
      </c>
      <c r="M644" t="n">
        <v>0</v>
      </c>
      <c r="N644" t="n">
        <v>0</v>
      </c>
      <c r="O644" t="n">
        <v>0</v>
      </c>
      <c r="P644" t="n">
        <v>0</v>
      </c>
      <c r="Q644" t="n">
        <v>0</v>
      </c>
      <c r="R644" s="2" t="inlineStr"/>
    </row>
    <row r="645" ht="15" customHeight="1">
      <c r="A645" t="inlineStr">
        <is>
          <t>A 36802-2021</t>
        </is>
      </c>
      <c r="B645" s="1" t="n">
        <v>44392</v>
      </c>
      <c r="C645" s="1" t="n">
        <v>46139</v>
      </c>
      <c r="D645" t="inlineStr">
        <is>
          <t>KALMAR LÄN</t>
        </is>
      </c>
      <c r="E645" t="inlineStr">
        <is>
          <t>VIMMERBY</t>
        </is>
      </c>
      <c r="F645" t="inlineStr">
        <is>
          <t>Sveaskog</t>
        </is>
      </c>
      <c r="G645" t="n">
        <v>4.6</v>
      </c>
      <c r="H645" t="n">
        <v>0</v>
      </c>
      <c r="I645" t="n">
        <v>0</v>
      </c>
      <c r="J645" t="n">
        <v>0</v>
      </c>
      <c r="K645" t="n">
        <v>0</v>
      </c>
      <c r="L645" t="n">
        <v>0</v>
      </c>
      <c r="M645" t="n">
        <v>0</v>
      </c>
      <c r="N645" t="n">
        <v>0</v>
      </c>
      <c r="O645" t="n">
        <v>0</v>
      </c>
      <c r="P645" t="n">
        <v>0</v>
      </c>
      <c r="Q645" t="n">
        <v>0</v>
      </c>
      <c r="R645" s="2" t="inlineStr"/>
    </row>
    <row r="646" ht="15" customHeight="1">
      <c r="A646" t="inlineStr">
        <is>
          <t>A 38964-2025</t>
        </is>
      </c>
      <c r="B646" s="1" t="n">
        <v>45887.68759259259</v>
      </c>
      <c r="C646" s="1" t="n">
        <v>46139</v>
      </c>
      <c r="D646" t="inlineStr">
        <is>
          <t>KALMAR LÄN</t>
        </is>
      </c>
      <c r="E646" t="inlineStr">
        <is>
          <t>VIMMERBY</t>
        </is>
      </c>
      <c r="G646" t="n">
        <v>7.5</v>
      </c>
      <c r="H646" t="n">
        <v>0</v>
      </c>
      <c r="I646" t="n">
        <v>0</v>
      </c>
      <c r="J646" t="n">
        <v>0</v>
      </c>
      <c r="K646" t="n">
        <v>0</v>
      </c>
      <c r="L646" t="n">
        <v>0</v>
      </c>
      <c r="M646" t="n">
        <v>0</v>
      </c>
      <c r="N646" t="n">
        <v>0</v>
      </c>
      <c r="O646" t="n">
        <v>0</v>
      </c>
      <c r="P646" t="n">
        <v>0</v>
      </c>
      <c r="Q646" t="n">
        <v>0</v>
      </c>
      <c r="R646" s="2" t="inlineStr"/>
    </row>
    <row r="647" ht="15" customHeight="1">
      <c r="A647" t="inlineStr">
        <is>
          <t>A 38198-2024</t>
        </is>
      </c>
      <c r="B647" s="1" t="n">
        <v>45545.49508101852</v>
      </c>
      <c r="C647" s="1" t="n">
        <v>46139</v>
      </c>
      <c r="D647" t="inlineStr">
        <is>
          <t>KALMAR LÄN</t>
        </is>
      </c>
      <c r="E647" t="inlineStr">
        <is>
          <t>VIMMERBY</t>
        </is>
      </c>
      <c r="G647" t="n">
        <v>7.9</v>
      </c>
      <c r="H647" t="n">
        <v>0</v>
      </c>
      <c r="I647" t="n">
        <v>0</v>
      </c>
      <c r="J647" t="n">
        <v>0</v>
      </c>
      <c r="K647" t="n">
        <v>0</v>
      </c>
      <c r="L647" t="n">
        <v>0</v>
      </c>
      <c r="M647" t="n">
        <v>0</v>
      </c>
      <c r="N647" t="n">
        <v>0</v>
      </c>
      <c r="O647" t="n">
        <v>0</v>
      </c>
      <c r="P647" t="n">
        <v>0</v>
      </c>
      <c r="Q647" t="n">
        <v>0</v>
      </c>
      <c r="R647" s="2" t="inlineStr"/>
    </row>
    <row r="648" ht="15" customHeight="1">
      <c r="A648" t="inlineStr">
        <is>
          <t>A 9623-2024</t>
        </is>
      </c>
      <c r="B648" s="1" t="n">
        <v>45361.87975694444</v>
      </c>
      <c r="C648" s="1" t="n">
        <v>46139</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58967-2022</t>
        </is>
      </c>
      <c r="B649" s="1" t="n">
        <v>44896</v>
      </c>
      <c r="C649" s="1" t="n">
        <v>46139</v>
      </c>
      <c r="D649" t="inlineStr">
        <is>
          <t>KALMAR LÄN</t>
        </is>
      </c>
      <c r="E649" t="inlineStr">
        <is>
          <t>VIMMERBY</t>
        </is>
      </c>
      <c r="G649" t="n">
        <v>5</v>
      </c>
      <c r="H649" t="n">
        <v>0</v>
      </c>
      <c r="I649" t="n">
        <v>0</v>
      </c>
      <c r="J649" t="n">
        <v>0</v>
      </c>
      <c r="K649" t="n">
        <v>0</v>
      </c>
      <c r="L649" t="n">
        <v>0</v>
      </c>
      <c r="M649" t="n">
        <v>0</v>
      </c>
      <c r="N649" t="n">
        <v>0</v>
      </c>
      <c r="O649" t="n">
        <v>0</v>
      </c>
      <c r="P649" t="n">
        <v>0</v>
      </c>
      <c r="Q649" t="n">
        <v>0</v>
      </c>
      <c r="R649" s="2" t="inlineStr"/>
    </row>
    <row r="650" ht="15" customHeight="1">
      <c r="A650" t="inlineStr">
        <is>
          <t>A 6399-2025</t>
        </is>
      </c>
      <c r="B650" s="1" t="n">
        <v>45699.44291666667</v>
      </c>
      <c r="C650" s="1" t="n">
        <v>46139</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31355-2023</t>
        </is>
      </c>
      <c r="B651" s="1" t="n">
        <v>45114.49505787037</v>
      </c>
      <c r="C651" s="1" t="n">
        <v>46139</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30400-2023</t>
        </is>
      </c>
      <c r="B652" s="1" t="n">
        <v>45111.48225694444</v>
      </c>
      <c r="C652" s="1" t="n">
        <v>46139</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30404-2023</t>
        </is>
      </c>
      <c r="B653" s="1" t="n">
        <v>45111.48636574074</v>
      </c>
      <c r="C653" s="1" t="n">
        <v>46139</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27705-2023</t>
        </is>
      </c>
      <c r="B654" s="1" t="n">
        <v>45098.30535879629</v>
      </c>
      <c r="C654" s="1" t="n">
        <v>46139</v>
      </c>
      <c r="D654" t="inlineStr">
        <is>
          <t>KALMAR LÄN</t>
        </is>
      </c>
      <c r="E654" t="inlineStr">
        <is>
          <t>VIMMERBY</t>
        </is>
      </c>
      <c r="G654" t="n">
        <v>1</v>
      </c>
      <c r="H654" t="n">
        <v>0</v>
      </c>
      <c r="I654" t="n">
        <v>0</v>
      </c>
      <c r="J654" t="n">
        <v>0</v>
      </c>
      <c r="K654" t="n">
        <v>0</v>
      </c>
      <c r="L654" t="n">
        <v>0</v>
      </c>
      <c r="M654" t="n">
        <v>0</v>
      </c>
      <c r="N654" t="n">
        <v>0</v>
      </c>
      <c r="O654" t="n">
        <v>0</v>
      </c>
      <c r="P654" t="n">
        <v>0</v>
      </c>
      <c r="Q654" t="n">
        <v>0</v>
      </c>
      <c r="R654" s="2" t="inlineStr"/>
    </row>
    <row r="655" ht="15" customHeight="1">
      <c r="A655" t="inlineStr">
        <is>
          <t>A 63711-2025</t>
        </is>
      </c>
      <c r="B655" s="1" t="n">
        <v>46014.62724537037</v>
      </c>
      <c r="C655" s="1" t="n">
        <v>46139</v>
      </c>
      <c r="D655" t="inlineStr">
        <is>
          <t>KALMAR LÄN</t>
        </is>
      </c>
      <c r="E655" t="inlineStr">
        <is>
          <t>VIMMERBY</t>
        </is>
      </c>
      <c r="G655" t="n">
        <v>2.1</v>
      </c>
      <c r="H655" t="n">
        <v>0</v>
      </c>
      <c r="I655" t="n">
        <v>0</v>
      </c>
      <c r="J655" t="n">
        <v>0</v>
      </c>
      <c r="K655" t="n">
        <v>0</v>
      </c>
      <c r="L655" t="n">
        <v>0</v>
      </c>
      <c r="M655" t="n">
        <v>0</v>
      </c>
      <c r="N655" t="n">
        <v>0</v>
      </c>
      <c r="O655" t="n">
        <v>0</v>
      </c>
      <c r="P655" t="n">
        <v>0</v>
      </c>
      <c r="Q655" t="n">
        <v>0</v>
      </c>
      <c r="R655" s="2" t="inlineStr"/>
    </row>
    <row r="656" ht="15" customHeight="1">
      <c r="A656" t="inlineStr">
        <is>
          <t>A 61937-2025</t>
        </is>
      </c>
      <c r="B656" s="1" t="n">
        <v>46003</v>
      </c>
      <c r="C656" s="1" t="n">
        <v>46139</v>
      </c>
      <c r="D656" t="inlineStr">
        <is>
          <t>KALMAR LÄN</t>
        </is>
      </c>
      <c r="E656" t="inlineStr">
        <is>
          <t>VIMMERBY</t>
        </is>
      </c>
      <c r="G656" t="n">
        <v>3.4</v>
      </c>
      <c r="H656" t="n">
        <v>0</v>
      </c>
      <c r="I656" t="n">
        <v>0</v>
      </c>
      <c r="J656" t="n">
        <v>0</v>
      </c>
      <c r="K656" t="n">
        <v>0</v>
      </c>
      <c r="L656" t="n">
        <v>0</v>
      </c>
      <c r="M656" t="n">
        <v>0</v>
      </c>
      <c r="N656" t="n">
        <v>0</v>
      </c>
      <c r="O656" t="n">
        <v>0</v>
      </c>
      <c r="P656" t="n">
        <v>0</v>
      </c>
      <c r="Q656" t="n">
        <v>0</v>
      </c>
      <c r="R656" s="2" t="inlineStr"/>
    </row>
    <row r="657" ht="15" customHeight="1">
      <c r="A657" t="inlineStr">
        <is>
          <t>A 36843-2023</t>
        </is>
      </c>
      <c r="B657" s="1" t="n">
        <v>45154.49831018518</v>
      </c>
      <c r="C657" s="1" t="n">
        <v>46139</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10785-2025</t>
        </is>
      </c>
      <c r="B658" s="1" t="n">
        <v>45722.48634259259</v>
      </c>
      <c r="C658" s="1" t="n">
        <v>46139</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29017-2024</t>
        </is>
      </c>
      <c r="B659" s="1" t="n">
        <v>45481.56722222222</v>
      </c>
      <c r="C659" s="1" t="n">
        <v>46139</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63762-2025</t>
        </is>
      </c>
      <c r="B660" s="1" t="n">
        <v>46018.67197916667</v>
      </c>
      <c r="C660" s="1" t="n">
        <v>46139</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63758-2025</t>
        </is>
      </c>
      <c r="B661" s="1" t="n">
        <v>46018.46483796297</v>
      </c>
      <c r="C661" s="1" t="n">
        <v>46139</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23263-2024</t>
        </is>
      </c>
      <c r="B662" s="1" t="n">
        <v>45453.36854166666</v>
      </c>
      <c r="C662" s="1" t="n">
        <v>46139</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11074-2023</t>
        </is>
      </c>
      <c r="B663" s="1" t="n">
        <v>44992.34151620371</v>
      </c>
      <c r="C663" s="1" t="n">
        <v>46139</v>
      </c>
      <c r="D663" t="inlineStr">
        <is>
          <t>KALMAR LÄN</t>
        </is>
      </c>
      <c r="E663" t="inlineStr">
        <is>
          <t>VIMMERBY</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63845-2025</t>
        </is>
      </c>
      <c r="B664" s="1" t="n">
        <v>46020.43715277778</v>
      </c>
      <c r="C664" s="1" t="n">
        <v>46139</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63848-2025</t>
        </is>
      </c>
      <c r="B665" s="1" t="n">
        <v>46020.44902777778</v>
      </c>
      <c r="C665" s="1" t="n">
        <v>46139</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61939-2021</t>
        </is>
      </c>
      <c r="B666" s="1" t="n">
        <v>44502</v>
      </c>
      <c r="C666" s="1" t="n">
        <v>46139</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12215-2024</t>
        </is>
      </c>
      <c r="B667" s="1" t="n">
        <v>45378.32185185186</v>
      </c>
      <c r="C667" s="1" t="n">
        <v>46139</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63839-2025</t>
        </is>
      </c>
      <c r="B668" s="1" t="n">
        <v>46020.41998842593</v>
      </c>
      <c r="C668" s="1" t="n">
        <v>46139</v>
      </c>
      <c r="D668" t="inlineStr">
        <is>
          <t>KALMAR LÄN</t>
        </is>
      </c>
      <c r="E668" t="inlineStr">
        <is>
          <t>VIMMERBY</t>
        </is>
      </c>
      <c r="G668" t="n">
        <v>2.9</v>
      </c>
      <c r="H668" t="n">
        <v>0</v>
      </c>
      <c r="I668" t="n">
        <v>0</v>
      </c>
      <c r="J668" t="n">
        <v>0</v>
      </c>
      <c r="K668" t="n">
        <v>0</v>
      </c>
      <c r="L668" t="n">
        <v>0</v>
      </c>
      <c r="M668" t="n">
        <v>0</v>
      </c>
      <c r="N668" t="n">
        <v>0</v>
      </c>
      <c r="O668" t="n">
        <v>0</v>
      </c>
      <c r="P668" t="n">
        <v>0</v>
      </c>
      <c r="Q668" t="n">
        <v>0</v>
      </c>
      <c r="R668" s="2" t="inlineStr"/>
    </row>
    <row r="669" ht="15" customHeight="1">
      <c r="A669" t="inlineStr">
        <is>
          <t>A 11303-2025</t>
        </is>
      </c>
      <c r="B669" s="1" t="n">
        <v>45726.44471064815</v>
      </c>
      <c r="C669" s="1" t="n">
        <v>46139</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12033-2024</t>
        </is>
      </c>
      <c r="B670" s="1" t="n">
        <v>45377.40043981482</v>
      </c>
      <c r="C670" s="1" t="n">
        <v>46139</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51408-2023</t>
        </is>
      </c>
      <c r="B671" s="1" t="n">
        <v>45219.69356481481</v>
      </c>
      <c r="C671" s="1" t="n">
        <v>46139</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49488-2023</t>
        </is>
      </c>
      <c r="B672" s="1" t="n">
        <v>45211.55472222222</v>
      </c>
      <c r="C672" s="1" t="n">
        <v>46139</v>
      </c>
      <c r="D672" t="inlineStr">
        <is>
          <t>KALMAR LÄN</t>
        </is>
      </c>
      <c r="E672" t="inlineStr">
        <is>
          <t>VIMMERBY</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8410-2023</t>
        </is>
      </c>
      <c r="B673" s="1" t="n">
        <v>44977</v>
      </c>
      <c r="C673" s="1" t="n">
        <v>46139</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30920-2024</t>
        </is>
      </c>
      <c r="B674" s="1" t="n">
        <v>45498.673125</v>
      </c>
      <c r="C674" s="1" t="n">
        <v>46139</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579-2026</t>
        </is>
      </c>
      <c r="B675" s="1" t="n">
        <v>46029.47912037037</v>
      </c>
      <c r="C675" s="1" t="n">
        <v>46139</v>
      </c>
      <c r="D675" t="inlineStr">
        <is>
          <t>KALMAR LÄN</t>
        </is>
      </c>
      <c r="E675" t="inlineStr">
        <is>
          <t>VIMMERBY</t>
        </is>
      </c>
      <c r="G675" t="n">
        <v>3</v>
      </c>
      <c r="H675" t="n">
        <v>0</v>
      </c>
      <c r="I675" t="n">
        <v>0</v>
      </c>
      <c r="J675" t="n">
        <v>0</v>
      </c>
      <c r="K675" t="n">
        <v>0</v>
      </c>
      <c r="L675" t="n">
        <v>0</v>
      </c>
      <c r="M675" t="n">
        <v>0</v>
      </c>
      <c r="N675" t="n">
        <v>0</v>
      </c>
      <c r="O675" t="n">
        <v>0</v>
      </c>
      <c r="P675" t="n">
        <v>0</v>
      </c>
      <c r="Q675" t="n">
        <v>0</v>
      </c>
      <c r="R675" s="2" t="inlineStr"/>
    </row>
    <row r="676" ht="15" customHeight="1">
      <c r="A676" t="inlineStr">
        <is>
          <t>A 409-2026</t>
        </is>
      </c>
      <c r="B676" s="1" t="n">
        <v>46028.69432870371</v>
      </c>
      <c r="C676" s="1" t="n">
        <v>46139</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406-2026</t>
        </is>
      </c>
      <c r="B677" s="1" t="n">
        <v>46028.68663194445</v>
      </c>
      <c r="C677" s="1" t="n">
        <v>46139</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40929-2022</t>
        </is>
      </c>
      <c r="B678" s="1" t="n">
        <v>44825.4336574074</v>
      </c>
      <c r="C678" s="1" t="n">
        <v>46139</v>
      </c>
      <c r="D678" t="inlineStr">
        <is>
          <t>KALMAR LÄN</t>
        </is>
      </c>
      <c r="E678" t="inlineStr">
        <is>
          <t>VIMMERBY</t>
        </is>
      </c>
      <c r="G678" t="n">
        <v>2.5</v>
      </c>
      <c r="H678" t="n">
        <v>0</v>
      </c>
      <c r="I678" t="n">
        <v>0</v>
      </c>
      <c r="J678" t="n">
        <v>0</v>
      </c>
      <c r="K678" t="n">
        <v>0</v>
      </c>
      <c r="L678" t="n">
        <v>0</v>
      </c>
      <c r="M678" t="n">
        <v>0</v>
      </c>
      <c r="N678" t="n">
        <v>0</v>
      </c>
      <c r="O678" t="n">
        <v>0</v>
      </c>
      <c r="P678" t="n">
        <v>0</v>
      </c>
      <c r="Q678" t="n">
        <v>0</v>
      </c>
      <c r="R678" s="2" t="inlineStr"/>
    </row>
    <row r="679" ht="15" customHeight="1">
      <c r="A679" t="inlineStr">
        <is>
          <t>A 50091-2023</t>
        </is>
      </c>
      <c r="B679" s="1" t="n">
        <v>45215.60199074074</v>
      </c>
      <c r="C679" s="1" t="n">
        <v>46139</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36008-2024</t>
        </is>
      </c>
      <c r="B680" s="1" t="n">
        <v>45533.55362268518</v>
      </c>
      <c r="C680" s="1" t="n">
        <v>46139</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16622-2025</t>
        </is>
      </c>
      <c r="B681" s="1" t="n">
        <v>45754.33641203704</v>
      </c>
      <c r="C681" s="1" t="n">
        <v>46139</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17511-2024</t>
        </is>
      </c>
      <c r="B682" s="1" t="n">
        <v>45415.57682870371</v>
      </c>
      <c r="C682" s="1" t="n">
        <v>46139</v>
      </c>
      <c r="D682" t="inlineStr">
        <is>
          <t>KALMAR LÄN</t>
        </is>
      </c>
      <c r="E682" t="inlineStr">
        <is>
          <t>VIMMERBY</t>
        </is>
      </c>
      <c r="G682" t="n">
        <v>5.3</v>
      </c>
      <c r="H682" t="n">
        <v>0</v>
      </c>
      <c r="I682" t="n">
        <v>0</v>
      </c>
      <c r="J682" t="n">
        <v>0</v>
      </c>
      <c r="K682" t="n">
        <v>0</v>
      </c>
      <c r="L682" t="n">
        <v>0</v>
      </c>
      <c r="M682" t="n">
        <v>0</v>
      </c>
      <c r="N682" t="n">
        <v>0</v>
      </c>
      <c r="O682" t="n">
        <v>0</v>
      </c>
      <c r="P682" t="n">
        <v>0</v>
      </c>
      <c r="Q682" t="n">
        <v>0</v>
      </c>
      <c r="R682" s="2" t="inlineStr"/>
    </row>
    <row r="683" ht="15" customHeight="1">
      <c r="A683" t="inlineStr">
        <is>
          <t>A 842-2026</t>
        </is>
      </c>
      <c r="B683" s="1" t="n">
        <v>46030.380625</v>
      </c>
      <c r="C683" s="1" t="n">
        <v>46139</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43705-2023</t>
        </is>
      </c>
      <c r="B684" s="1" t="n">
        <v>45187.42854166667</v>
      </c>
      <c r="C684" s="1" t="n">
        <v>46139</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1069-2026</t>
        </is>
      </c>
      <c r="B685" s="1" t="n">
        <v>46030</v>
      </c>
      <c r="C685" s="1" t="n">
        <v>46139</v>
      </c>
      <c r="D685" t="inlineStr">
        <is>
          <t>KALMAR LÄN</t>
        </is>
      </c>
      <c r="E685" t="inlineStr">
        <is>
          <t>VIMMERBY</t>
        </is>
      </c>
      <c r="G685" t="n">
        <v>3.3</v>
      </c>
      <c r="H685" t="n">
        <v>0</v>
      </c>
      <c r="I685" t="n">
        <v>0</v>
      </c>
      <c r="J685" t="n">
        <v>0</v>
      </c>
      <c r="K685" t="n">
        <v>0</v>
      </c>
      <c r="L685" t="n">
        <v>0</v>
      </c>
      <c r="M685" t="n">
        <v>0</v>
      </c>
      <c r="N685" t="n">
        <v>0</v>
      </c>
      <c r="O685" t="n">
        <v>0</v>
      </c>
      <c r="P685" t="n">
        <v>0</v>
      </c>
      <c r="Q685" t="n">
        <v>0</v>
      </c>
      <c r="R685" s="2" t="inlineStr"/>
    </row>
    <row r="686" ht="15" customHeight="1">
      <c r="A686" t="inlineStr">
        <is>
          <t>A 55300-2021</t>
        </is>
      </c>
      <c r="B686" s="1" t="n">
        <v>44475</v>
      </c>
      <c r="C686" s="1" t="n">
        <v>46139</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1734-2026</t>
        </is>
      </c>
      <c r="B687" s="1" t="n">
        <v>46034</v>
      </c>
      <c r="C687" s="1" t="n">
        <v>46139</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1743-2026</t>
        </is>
      </c>
      <c r="B688" s="1" t="n">
        <v>46034</v>
      </c>
      <c r="C688" s="1" t="n">
        <v>46139</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44179-2022</t>
        </is>
      </c>
      <c r="B689" s="1" t="n">
        <v>44839.4528125</v>
      </c>
      <c r="C689" s="1" t="n">
        <v>46139</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52755-2022</t>
        </is>
      </c>
      <c r="B690" s="1" t="n">
        <v>44875.27736111111</v>
      </c>
      <c r="C690" s="1" t="n">
        <v>46139</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1748-2026</t>
        </is>
      </c>
      <c r="B691" s="1" t="n">
        <v>46034.65589120371</v>
      </c>
      <c r="C691" s="1" t="n">
        <v>46139</v>
      </c>
      <c r="D691" t="inlineStr">
        <is>
          <t>KALMAR LÄN</t>
        </is>
      </c>
      <c r="E691" t="inlineStr">
        <is>
          <t>VIMMERBY</t>
        </is>
      </c>
      <c r="G691" t="n">
        <v>0.9</v>
      </c>
      <c r="H691" t="n">
        <v>0</v>
      </c>
      <c r="I691" t="n">
        <v>0</v>
      </c>
      <c r="J691" t="n">
        <v>0</v>
      </c>
      <c r="K691" t="n">
        <v>0</v>
      </c>
      <c r="L691" t="n">
        <v>0</v>
      </c>
      <c r="M691" t="n">
        <v>0</v>
      </c>
      <c r="N691" t="n">
        <v>0</v>
      </c>
      <c r="O691" t="n">
        <v>0</v>
      </c>
      <c r="P691" t="n">
        <v>0</v>
      </c>
      <c r="Q691" t="n">
        <v>0</v>
      </c>
      <c r="R691" s="2" t="inlineStr"/>
    </row>
    <row r="692" ht="15" customHeight="1">
      <c r="A692" t="inlineStr">
        <is>
          <t>A 35998-2024</t>
        </is>
      </c>
      <c r="B692" s="1" t="n">
        <v>45533.54429398148</v>
      </c>
      <c r="C692" s="1" t="n">
        <v>46139</v>
      </c>
      <c r="D692" t="inlineStr">
        <is>
          <t>KALMAR LÄN</t>
        </is>
      </c>
      <c r="E692" t="inlineStr">
        <is>
          <t>VIMMERBY</t>
        </is>
      </c>
      <c r="G692" t="n">
        <v>8.6</v>
      </c>
      <c r="H692" t="n">
        <v>0</v>
      </c>
      <c r="I692" t="n">
        <v>0</v>
      </c>
      <c r="J692" t="n">
        <v>0</v>
      </c>
      <c r="K692" t="n">
        <v>0</v>
      </c>
      <c r="L692" t="n">
        <v>0</v>
      </c>
      <c r="M692" t="n">
        <v>0</v>
      </c>
      <c r="N692" t="n">
        <v>0</v>
      </c>
      <c r="O692" t="n">
        <v>0</v>
      </c>
      <c r="P692" t="n">
        <v>0</v>
      </c>
      <c r="Q692" t="n">
        <v>0</v>
      </c>
      <c r="R692" s="2" t="inlineStr"/>
    </row>
    <row r="693" ht="15" customHeight="1">
      <c r="A693" t="inlineStr">
        <is>
          <t>A 1862-2026</t>
        </is>
      </c>
      <c r="B693" s="1" t="n">
        <v>46035.44689814815</v>
      </c>
      <c r="C693" s="1" t="n">
        <v>46139</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7797-2023</t>
        </is>
      </c>
      <c r="B694" s="1" t="n">
        <v>44973.43075231482</v>
      </c>
      <c r="C694" s="1" t="n">
        <v>46139</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29351-2023</t>
        </is>
      </c>
      <c r="B695" s="1" t="n">
        <v>45106.2610300926</v>
      </c>
      <c r="C695" s="1" t="n">
        <v>46139</v>
      </c>
      <c r="D695" t="inlineStr">
        <is>
          <t>KALMAR LÄN</t>
        </is>
      </c>
      <c r="E695" t="inlineStr">
        <is>
          <t>VIMMERBY</t>
        </is>
      </c>
      <c r="G695" t="n">
        <v>0.4</v>
      </c>
      <c r="H695" t="n">
        <v>0</v>
      </c>
      <c r="I695" t="n">
        <v>0</v>
      </c>
      <c r="J695" t="n">
        <v>0</v>
      </c>
      <c r="K695" t="n">
        <v>0</v>
      </c>
      <c r="L695" t="n">
        <v>0</v>
      </c>
      <c r="M695" t="n">
        <v>0</v>
      </c>
      <c r="N695" t="n">
        <v>0</v>
      </c>
      <c r="O695" t="n">
        <v>0</v>
      </c>
      <c r="P695" t="n">
        <v>0</v>
      </c>
      <c r="Q695" t="n">
        <v>0</v>
      </c>
      <c r="R695" s="2" t="inlineStr"/>
    </row>
    <row r="696" ht="15" customHeight="1">
      <c r="A696" t="inlineStr">
        <is>
          <t>A 2518-2026</t>
        </is>
      </c>
      <c r="B696" s="1" t="n">
        <v>46037.42511574074</v>
      </c>
      <c r="C696" s="1" t="n">
        <v>46139</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7630-2025</t>
        </is>
      </c>
      <c r="B697" s="1" t="n">
        <v>45705.74418981482</v>
      </c>
      <c r="C697" s="1" t="n">
        <v>46139</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1024-2024</t>
        </is>
      </c>
      <c r="B698" s="1" t="n">
        <v>45301.68237268519</v>
      </c>
      <c r="C698" s="1" t="n">
        <v>46139</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2514-2026</t>
        </is>
      </c>
      <c r="B699" s="1" t="n">
        <v>46037.42219907408</v>
      </c>
      <c r="C699" s="1" t="n">
        <v>46139</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10787-2025</t>
        </is>
      </c>
      <c r="B700" s="1" t="n">
        <v>45722.48915509259</v>
      </c>
      <c r="C700" s="1" t="n">
        <v>46139</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46139</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14855-2025</t>
        </is>
      </c>
      <c r="B702" s="1" t="n">
        <v>45743.41148148148</v>
      </c>
      <c r="C702" s="1" t="n">
        <v>46139</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2523-2026</t>
        </is>
      </c>
      <c r="B703" s="1" t="n">
        <v>46037.42825231481</v>
      </c>
      <c r="C703" s="1" t="n">
        <v>46139</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43601-2024</t>
        </is>
      </c>
      <c r="B704" s="1" t="n">
        <v>45569.44684027778</v>
      </c>
      <c r="C704" s="1" t="n">
        <v>46139</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3266-2026</t>
        </is>
      </c>
      <c r="B705" s="1" t="n">
        <v>46041</v>
      </c>
      <c r="C705" s="1" t="n">
        <v>46139</v>
      </c>
      <c r="D705" t="inlineStr">
        <is>
          <t>KALMAR LÄN</t>
        </is>
      </c>
      <c r="E705" t="inlineStr">
        <is>
          <t>VIMMERBY</t>
        </is>
      </c>
      <c r="G705" t="n">
        <v>1.2</v>
      </c>
      <c r="H705" t="n">
        <v>0</v>
      </c>
      <c r="I705" t="n">
        <v>0</v>
      </c>
      <c r="J705" t="n">
        <v>0</v>
      </c>
      <c r="K705" t="n">
        <v>0</v>
      </c>
      <c r="L705" t="n">
        <v>0</v>
      </c>
      <c r="M705" t="n">
        <v>0</v>
      </c>
      <c r="N705" t="n">
        <v>0</v>
      </c>
      <c r="O705" t="n">
        <v>0</v>
      </c>
      <c r="P705" t="n">
        <v>0</v>
      </c>
      <c r="Q705" t="n">
        <v>0</v>
      </c>
      <c r="R705" s="2" t="inlineStr"/>
    </row>
    <row r="706" ht="15" customHeight="1">
      <c r="A706" t="inlineStr">
        <is>
          <t>A 35913-2023</t>
        </is>
      </c>
      <c r="B706" s="1" t="n">
        <v>45148</v>
      </c>
      <c r="C706" s="1" t="n">
        <v>46139</v>
      </c>
      <c r="D706" t="inlineStr">
        <is>
          <t>KALMAR LÄN</t>
        </is>
      </c>
      <c r="E706" t="inlineStr">
        <is>
          <t>VIMMERBY</t>
        </is>
      </c>
      <c r="G706" t="n">
        <v>6.9</v>
      </c>
      <c r="H706" t="n">
        <v>0</v>
      </c>
      <c r="I706" t="n">
        <v>0</v>
      </c>
      <c r="J706" t="n">
        <v>0</v>
      </c>
      <c r="K706" t="n">
        <v>0</v>
      </c>
      <c r="L706" t="n">
        <v>0</v>
      </c>
      <c r="M706" t="n">
        <v>0</v>
      </c>
      <c r="N706" t="n">
        <v>0</v>
      </c>
      <c r="O706" t="n">
        <v>0</v>
      </c>
      <c r="P706" t="n">
        <v>0</v>
      </c>
      <c r="Q706" t="n">
        <v>0</v>
      </c>
      <c r="R706" s="2" t="inlineStr"/>
    </row>
    <row r="707" ht="15" customHeight="1">
      <c r="A707" t="inlineStr">
        <is>
          <t>A 3292-2026</t>
        </is>
      </c>
      <c r="B707" s="1" t="n">
        <v>46041</v>
      </c>
      <c r="C707" s="1" t="n">
        <v>46139</v>
      </c>
      <c r="D707" t="inlineStr">
        <is>
          <t>KALMAR LÄN</t>
        </is>
      </c>
      <c r="E707" t="inlineStr">
        <is>
          <t>VIMMERBY</t>
        </is>
      </c>
      <c r="G707" t="n">
        <v>3.9</v>
      </c>
      <c r="H707" t="n">
        <v>0</v>
      </c>
      <c r="I707" t="n">
        <v>0</v>
      </c>
      <c r="J707" t="n">
        <v>0</v>
      </c>
      <c r="K707" t="n">
        <v>0</v>
      </c>
      <c r="L707" t="n">
        <v>0</v>
      </c>
      <c r="M707" t="n">
        <v>0</v>
      </c>
      <c r="N707" t="n">
        <v>0</v>
      </c>
      <c r="O707" t="n">
        <v>0</v>
      </c>
      <c r="P707" t="n">
        <v>0</v>
      </c>
      <c r="Q707" t="n">
        <v>0</v>
      </c>
      <c r="R707" s="2" t="inlineStr"/>
    </row>
    <row r="708" ht="15" customHeight="1">
      <c r="A708" t="inlineStr">
        <is>
          <t>A 9624-2024</t>
        </is>
      </c>
      <c r="B708" s="1" t="n">
        <v>45361.90282407407</v>
      </c>
      <c r="C708" s="1" t="n">
        <v>46139</v>
      </c>
      <c r="D708" t="inlineStr">
        <is>
          <t>KALMAR LÄN</t>
        </is>
      </c>
      <c r="E708" t="inlineStr">
        <is>
          <t>VIMMERBY</t>
        </is>
      </c>
      <c r="G708" t="n">
        <v>3.8</v>
      </c>
      <c r="H708" t="n">
        <v>0</v>
      </c>
      <c r="I708" t="n">
        <v>0</v>
      </c>
      <c r="J708" t="n">
        <v>0</v>
      </c>
      <c r="K708" t="n">
        <v>0</v>
      </c>
      <c r="L708" t="n">
        <v>0</v>
      </c>
      <c r="M708" t="n">
        <v>0</v>
      </c>
      <c r="N708" t="n">
        <v>0</v>
      </c>
      <c r="O708" t="n">
        <v>0</v>
      </c>
      <c r="P708" t="n">
        <v>0</v>
      </c>
      <c r="Q708" t="n">
        <v>0</v>
      </c>
      <c r="R708" s="2" t="inlineStr"/>
    </row>
    <row r="709" ht="15" customHeight="1">
      <c r="A709" t="inlineStr">
        <is>
          <t>A 3938-2023</t>
        </is>
      </c>
      <c r="B709" s="1" t="n">
        <v>44952.35775462963</v>
      </c>
      <c r="C709" s="1" t="n">
        <v>46139</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39053-2024</t>
        </is>
      </c>
      <c r="B710" s="1" t="n">
        <v>45548</v>
      </c>
      <c r="C710" s="1" t="n">
        <v>46139</v>
      </c>
      <c r="D710" t="inlineStr">
        <is>
          <t>KALMAR LÄN</t>
        </is>
      </c>
      <c r="E710" t="inlineStr">
        <is>
          <t>VIMMERBY</t>
        </is>
      </c>
      <c r="G710" t="n">
        <v>5</v>
      </c>
      <c r="H710" t="n">
        <v>0</v>
      </c>
      <c r="I710" t="n">
        <v>0</v>
      </c>
      <c r="J710" t="n">
        <v>0</v>
      </c>
      <c r="K710" t="n">
        <v>0</v>
      </c>
      <c r="L710" t="n">
        <v>0</v>
      </c>
      <c r="M710" t="n">
        <v>0</v>
      </c>
      <c r="N710" t="n">
        <v>0</v>
      </c>
      <c r="O710" t="n">
        <v>0</v>
      </c>
      <c r="P710" t="n">
        <v>0</v>
      </c>
      <c r="Q710" t="n">
        <v>0</v>
      </c>
      <c r="R710" s="2" t="inlineStr"/>
    </row>
    <row r="711" ht="15" customHeight="1">
      <c r="A711" t="inlineStr">
        <is>
          <t>A 14451-2024</t>
        </is>
      </c>
      <c r="B711" s="1" t="n">
        <v>45394.50028935185</v>
      </c>
      <c r="C711" s="1" t="n">
        <v>46139</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3868-2026</t>
        </is>
      </c>
      <c r="B712" s="1" t="n">
        <v>46043.6360300926</v>
      </c>
      <c r="C712" s="1" t="n">
        <v>46139</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34205-2023</t>
        </is>
      </c>
      <c r="B713" s="1" t="n">
        <v>45138</v>
      </c>
      <c r="C713" s="1" t="n">
        <v>46139</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3869-2026</t>
        </is>
      </c>
      <c r="B714" s="1" t="n">
        <v>46043.63940972222</v>
      </c>
      <c r="C714" s="1" t="n">
        <v>46139</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3268-2024</t>
        </is>
      </c>
      <c r="B715" s="1" t="n">
        <v>45317</v>
      </c>
      <c r="C715" s="1" t="n">
        <v>46139</v>
      </c>
      <c r="D715" t="inlineStr">
        <is>
          <t>KALMAR LÄN</t>
        </is>
      </c>
      <c r="E715" t="inlineStr">
        <is>
          <t>VIMMERBY</t>
        </is>
      </c>
      <c r="F715" t="inlineStr">
        <is>
          <t>Övriga Aktiebolag</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3965-2026</t>
        </is>
      </c>
      <c r="B716" s="1" t="n">
        <v>46044.34563657407</v>
      </c>
      <c r="C716" s="1" t="n">
        <v>46139</v>
      </c>
      <c r="D716" t="inlineStr">
        <is>
          <t>KALMAR LÄN</t>
        </is>
      </c>
      <c r="E716" t="inlineStr">
        <is>
          <t>VIMMERBY</t>
        </is>
      </c>
      <c r="G716" t="n">
        <v>2.6</v>
      </c>
      <c r="H716" t="n">
        <v>0</v>
      </c>
      <c r="I716" t="n">
        <v>0</v>
      </c>
      <c r="J716" t="n">
        <v>0</v>
      </c>
      <c r="K716" t="n">
        <v>0</v>
      </c>
      <c r="L716" t="n">
        <v>0</v>
      </c>
      <c r="M716" t="n">
        <v>0</v>
      </c>
      <c r="N716" t="n">
        <v>0</v>
      </c>
      <c r="O716" t="n">
        <v>0</v>
      </c>
      <c r="P716" t="n">
        <v>0</v>
      </c>
      <c r="Q716" t="n">
        <v>0</v>
      </c>
      <c r="R716" s="2" t="inlineStr"/>
    </row>
    <row r="717" ht="15" customHeight="1">
      <c r="A717" t="inlineStr">
        <is>
          <t>A 12819-2024</t>
        </is>
      </c>
      <c r="B717" s="1" t="n">
        <v>45384.66917824074</v>
      </c>
      <c r="C717" s="1" t="n">
        <v>46139</v>
      </c>
      <c r="D717" t="inlineStr">
        <is>
          <t>KALMAR LÄN</t>
        </is>
      </c>
      <c r="E717" t="inlineStr">
        <is>
          <t>VIMMERBY</t>
        </is>
      </c>
      <c r="G717" t="n">
        <v>5.1</v>
      </c>
      <c r="H717" t="n">
        <v>0</v>
      </c>
      <c r="I717" t="n">
        <v>0</v>
      </c>
      <c r="J717" t="n">
        <v>0</v>
      </c>
      <c r="K717" t="n">
        <v>0</v>
      </c>
      <c r="L717" t="n">
        <v>0</v>
      </c>
      <c r="M717" t="n">
        <v>0</v>
      </c>
      <c r="N717" t="n">
        <v>0</v>
      </c>
      <c r="O717" t="n">
        <v>0</v>
      </c>
      <c r="P717" t="n">
        <v>0</v>
      </c>
      <c r="Q717" t="n">
        <v>0</v>
      </c>
      <c r="R717" s="2" t="inlineStr"/>
    </row>
    <row r="718" ht="15" customHeight="1">
      <c r="A718" t="inlineStr">
        <is>
          <t>A 6214-2025</t>
        </is>
      </c>
      <c r="B718" s="1" t="n">
        <v>45698.51711805556</v>
      </c>
      <c r="C718" s="1" t="n">
        <v>46139</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32569-2024</t>
        </is>
      </c>
      <c r="B719" s="1" t="n">
        <v>45513.55840277778</v>
      </c>
      <c r="C719" s="1" t="n">
        <v>46139</v>
      </c>
      <c r="D719" t="inlineStr">
        <is>
          <t>KALMAR LÄN</t>
        </is>
      </c>
      <c r="E719" t="inlineStr">
        <is>
          <t>VIMMERBY</t>
        </is>
      </c>
      <c r="G719" t="n">
        <v>3.7</v>
      </c>
      <c r="H719" t="n">
        <v>0</v>
      </c>
      <c r="I719" t="n">
        <v>0</v>
      </c>
      <c r="J719" t="n">
        <v>0</v>
      </c>
      <c r="K719" t="n">
        <v>0</v>
      </c>
      <c r="L719" t="n">
        <v>0</v>
      </c>
      <c r="M719" t="n">
        <v>0</v>
      </c>
      <c r="N719" t="n">
        <v>0</v>
      </c>
      <c r="O719" t="n">
        <v>0</v>
      </c>
      <c r="P719" t="n">
        <v>0</v>
      </c>
      <c r="Q719" t="n">
        <v>0</v>
      </c>
      <c r="R719" s="2" t="inlineStr"/>
    </row>
    <row r="720" ht="15" customHeight="1">
      <c r="A720" t="inlineStr">
        <is>
          <t>A 32575-2024</t>
        </is>
      </c>
      <c r="B720" s="1" t="n">
        <v>45513.56527777778</v>
      </c>
      <c r="C720" s="1" t="n">
        <v>46139</v>
      </c>
      <c r="D720" t="inlineStr">
        <is>
          <t>KALMAR LÄN</t>
        </is>
      </c>
      <c r="E720" t="inlineStr">
        <is>
          <t>VIMMERBY</t>
        </is>
      </c>
      <c r="G720" t="n">
        <v>1.5</v>
      </c>
      <c r="H720" t="n">
        <v>0</v>
      </c>
      <c r="I720" t="n">
        <v>0</v>
      </c>
      <c r="J720" t="n">
        <v>0</v>
      </c>
      <c r="K720" t="n">
        <v>0</v>
      </c>
      <c r="L720" t="n">
        <v>0</v>
      </c>
      <c r="M720" t="n">
        <v>0</v>
      </c>
      <c r="N720" t="n">
        <v>0</v>
      </c>
      <c r="O720" t="n">
        <v>0</v>
      </c>
      <c r="P720" t="n">
        <v>0</v>
      </c>
      <c r="Q720" t="n">
        <v>0</v>
      </c>
      <c r="R720" s="2" t="inlineStr"/>
    </row>
    <row r="721" ht="15" customHeight="1">
      <c r="A721" t="inlineStr">
        <is>
          <t>A 59300-2024</t>
        </is>
      </c>
      <c r="B721" s="1" t="n">
        <v>45637.66542824074</v>
      </c>
      <c r="C721" s="1" t="n">
        <v>46139</v>
      </c>
      <c r="D721" t="inlineStr">
        <is>
          <t>KALMAR LÄN</t>
        </is>
      </c>
      <c r="E721" t="inlineStr">
        <is>
          <t>VIMMERBY</t>
        </is>
      </c>
      <c r="G721" t="n">
        <v>0.8</v>
      </c>
      <c r="H721" t="n">
        <v>0</v>
      </c>
      <c r="I721" t="n">
        <v>0</v>
      </c>
      <c r="J721" t="n">
        <v>0</v>
      </c>
      <c r="K721" t="n">
        <v>0</v>
      </c>
      <c r="L721" t="n">
        <v>0</v>
      </c>
      <c r="M721" t="n">
        <v>0</v>
      </c>
      <c r="N721" t="n">
        <v>0</v>
      </c>
      <c r="O721" t="n">
        <v>0</v>
      </c>
      <c r="P721" t="n">
        <v>0</v>
      </c>
      <c r="Q721" t="n">
        <v>0</v>
      </c>
      <c r="R721" s="2" t="inlineStr"/>
    </row>
    <row r="722" ht="15" customHeight="1">
      <c r="A722" t="inlineStr">
        <is>
          <t>A 59768-2024</t>
        </is>
      </c>
      <c r="B722" s="1" t="n">
        <v>45639.56185185185</v>
      </c>
      <c r="C722" s="1" t="n">
        <v>46139</v>
      </c>
      <c r="D722" t="inlineStr">
        <is>
          <t>KALMAR LÄN</t>
        </is>
      </c>
      <c r="E722" t="inlineStr">
        <is>
          <t>VIMMERBY</t>
        </is>
      </c>
      <c r="G722" t="n">
        <v>5.9</v>
      </c>
      <c r="H722" t="n">
        <v>0</v>
      </c>
      <c r="I722" t="n">
        <v>0</v>
      </c>
      <c r="J722" t="n">
        <v>0</v>
      </c>
      <c r="K722" t="n">
        <v>0</v>
      </c>
      <c r="L722" t="n">
        <v>0</v>
      </c>
      <c r="M722" t="n">
        <v>0</v>
      </c>
      <c r="N722" t="n">
        <v>0</v>
      </c>
      <c r="O722" t="n">
        <v>0</v>
      </c>
      <c r="P722" t="n">
        <v>0</v>
      </c>
      <c r="Q722" t="n">
        <v>0</v>
      </c>
      <c r="R722" s="2" t="inlineStr"/>
    </row>
    <row r="723" ht="15" customHeight="1">
      <c r="A723" t="inlineStr">
        <is>
          <t>A 36526-2023</t>
        </is>
      </c>
      <c r="B723" s="1" t="n">
        <v>45153.32778935185</v>
      </c>
      <c r="C723" s="1" t="n">
        <v>46139</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58728-2024</t>
        </is>
      </c>
      <c r="B724" s="1" t="n">
        <v>45635.66695601852</v>
      </c>
      <c r="C724" s="1" t="n">
        <v>46139</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49474-2023</t>
        </is>
      </c>
      <c r="B725" s="1" t="n">
        <v>45211.541875</v>
      </c>
      <c r="C725" s="1" t="n">
        <v>46139</v>
      </c>
      <c r="D725" t="inlineStr">
        <is>
          <t>KALMAR LÄN</t>
        </is>
      </c>
      <c r="E725" t="inlineStr">
        <is>
          <t>VIMMERBY</t>
        </is>
      </c>
      <c r="G725" t="n">
        <v>3.6</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46139</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63950-2023</t>
        </is>
      </c>
      <c r="B727" s="1" t="n">
        <v>45278</v>
      </c>
      <c r="C727" s="1" t="n">
        <v>46139</v>
      </c>
      <c r="D727" t="inlineStr">
        <is>
          <t>KALMAR LÄN</t>
        </is>
      </c>
      <c r="E727" t="inlineStr">
        <is>
          <t>VIMMERBY</t>
        </is>
      </c>
      <c r="F727" t="inlineStr">
        <is>
          <t>Kyrkan</t>
        </is>
      </c>
      <c r="G727" t="n">
        <v>2.7</v>
      </c>
      <c r="H727" t="n">
        <v>0</v>
      </c>
      <c r="I727" t="n">
        <v>0</v>
      </c>
      <c r="J727" t="n">
        <v>0</v>
      </c>
      <c r="K727" t="n">
        <v>0</v>
      </c>
      <c r="L727" t="n">
        <v>0</v>
      </c>
      <c r="M727" t="n">
        <v>0</v>
      </c>
      <c r="N727" t="n">
        <v>0</v>
      </c>
      <c r="O727" t="n">
        <v>0</v>
      </c>
      <c r="P727" t="n">
        <v>0</v>
      </c>
      <c r="Q727" t="n">
        <v>0</v>
      </c>
      <c r="R727" s="2" t="inlineStr"/>
    </row>
    <row r="728" ht="15" customHeight="1">
      <c r="A728" t="inlineStr">
        <is>
          <t>A 16516-2023</t>
        </is>
      </c>
      <c r="B728" s="1" t="n">
        <v>45029</v>
      </c>
      <c r="C728" s="1" t="n">
        <v>46139</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47842-2024</t>
        </is>
      </c>
      <c r="B729" s="1" t="n">
        <v>45588.65545138889</v>
      </c>
      <c r="C729" s="1" t="n">
        <v>46139</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6408-2025</t>
        </is>
      </c>
      <c r="B730" s="1" t="n">
        <v>45699.45671296296</v>
      </c>
      <c r="C730" s="1" t="n">
        <v>46139</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25109-2023</t>
        </is>
      </c>
      <c r="B731" s="1" t="n">
        <v>45086</v>
      </c>
      <c r="C731" s="1" t="n">
        <v>46139</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33380-2023</t>
        </is>
      </c>
      <c r="B732" s="1" t="n">
        <v>45128</v>
      </c>
      <c r="C732" s="1" t="n">
        <v>46139</v>
      </c>
      <c r="D732" t="inlineStr">
        <is>
          <t>KALMAR LÄN</t>
        </is>
      </c>
      <c r="E732" t="inlineStr">
        <is>
          <t>VIMMERBY</t>
        </is>
      </c>
      <c r="G732" t="n">
        <v>5.2</v>
      </c>
      <c r="H732" t="n">
        <v>0</v>
      </c>
      <c r="I732" t="n">
        <v>0</v>
      </c>
      <c r="J732" t="n">
        <v>0</v>
      </c>
      <c r="K732" t="n">
        <v>0</v>
      </c>
      <c r="L732" t="n">
        <v>0</v>
      </c>
      <c r="M732" t="n">
        <v>0</v>
      </c>
      <c r="N732" t="n">
        <v>0</v>
      </c>
      <c r="O732" t="n">
        <v>0</v>
      </c>
      <c r="P732" t="n">
        <v>0</v>
      </c>
      <c r="Q732" t="n">
        <v>0</v>
      </c>
      <c r="R732" s="2" t="inlineStr"/>
    </row>
    <row r="733" ht="15" customHeight="1">
      <c r="A733" t="inlineStr">
        <is>
          <t>A 32639-2023</t>
        </is>
      </c>
      <c r="B733" s="1" t="n">
        <v>45121.5965162037</v>
      </c>
      <c r="C733" s="1" t="n">
        <v>46139</v>
      </c>
      <c r="D733" t="inlineStr">
        <is>
          <t>KALMAR LÄN</t>
        </is>
      </c>
      <c r="E733" t="inlineStr">
        <is>
          <t>VIMMERBY</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32642-2023</t>
        </is>
      </c>
      <c r="B734" s="1" t="n">
        <v>45121.59954861111</v>
      </c>
      <c r="C734" s="1" t="n">
        <v>46139</v>
      </c>
      <c r="D734" t="inlineStr">
        <is>
          <t>KALMAR LÄN</t>
        </is>
      </c>
      <c r="E734" t="inlineStr">
        <is>
          <t>VIMMERBY</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32651-2023</t>
        </is>
      </c>
      <c r="B735" s="1" t="n">
        <v>45121.6096875</v>
      </c>
      <c r="C735" s="1" t="n">
        <v>46139</v>
      </c>
      <c r="D735" t="inlineStr">
        <is>
          <t>KALMAR LÄN</t>
        </is>
      </c>
      <c r="E735" t="inlineStr">
        <is>
          <t>VIMMERBY</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11928-2022</t>
        </is>
      </c>
      <c r="B736" s="1" t="n">
        <v>44635</v>
      </c>
      <c r="C736" s="1" t="n">
        <v>46139</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13714-2026</t>
        </is>
      </c>
      <c r="B737" s="1" t="n">
        <v>46097.58472222222</v>
      </c>
      <c r="C737" s="1" t="n">
        <v>46139</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7068-2024</t>
        </is>
      </c>
      <c r="B738" s="1" t="n">
        <v>45343.68038194445</v>
      </c>
      <c r="C738" s="1" t="n">
        <v>46139</v>
      </c>
      <c r="D738" t="inlineStr">
        <is>
          <t>KALMAR LÄN</t>
        </is>
      </c>
      <c r="E738" t="inlineStr">
        <is>
          <t>VIMMERBY</t>
        </is>
      </c>
      <c r="G738" t="n">
        <v>2.5</v>
      </c>
      <c r="H738" t="n">
        <v>0</v>
      </c>
      <c r="I738" t="n">
        <v>0</v>
      </c>
      <c r="J738" t="n">
        <v>0</v>
      </c>
      <c r="K738" t="n">
        <v>0</v>
      </c>
      <c r="L738" t="n">
        <v>0</v>
      </c>
      <c r="M738" t="n">
        <v>0</v>
      </c>
      <c r="N738" t="n">
        <v>0</v>
      </c>
      <c r="O738" t="n">
        <v>0</v>
      </c>
      <c r="P738" t="n">
        <v>0</v>
      </c>
      <c r="Q738" t="n">
        <v>0</v>
      </c>
      <c r="R738" s="2" t="inlineStr"/>
    </row>
    <row r="739" ht="15" customHeight="1">
      <c r="A739" t="inlineStr">
        <is>
          <t>A 46234-2024</t>
        </is>
      </c>
      <c r="B739" s="1" t="n">
        <v>45581.57958333333</v>
      </c>
      <c r="C739" s="1" t="n">
        <v>46139</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37187-2024</t>
        </is>
      </c>
      <c r="B740" s="1" t="n">
        <v>45539.65212962963</v>
      </c>
      <c r="C740" s="1" t="n">
        <v>46139</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1021-2024</t>
        </is>
      </c>
      <c r="B741" s="1" t="n">
        <v>45301.67736111111</v>
      </c>
      <c r="C741" s="1" t="n">
        <v>46139</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72701-2021</t>
        </is>
      </c>
      <c r="B742" s="1" t="n">
        <v>44546</v>
      </c>
      <c r="C742" s="1" t="n">
        <v>46139</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19111-2025</t>
        </is>
      </c>
      <c r="B743" s="1" t="n">
        <v>45768.65611111111</v>
      </c>
      <c r="C743" s="1" t="n">
        <v>46139</v>
      </c>
      <c r="D743" t="inlineStr">
        <is>
          <t>KALMAR LÄN</t>
        </is>
      </c>
      <c r="E743" t="inlineStr">
        <is>
          <t>VIMMERBY</t>
        </is>
      </c>
      <c r="G743" t="n">
        <v>6.2</v>
      </c>
      <c r="H743" t="n">
        <v>0</v>
      </c>
      <c r="I743" t="n">
        <v>0</v>
      </c>
      <c r="J743" t="n">
        <v>0</v>
      </c>
      <c r="K743" t="n">
        <v>0</v>
      </c>
      <c r="L743" t="n">
        <v>0</v>
      </c>
      <c r="M743" t="n">
        <v>0</v>
      </c>
      <c r="N743" t="n">
        <v>0</v>
      </c>
      <c r="O743" t="n">
        <v>0</v>
      </c>
      <c r="P743" t="n">
        <v>0</v>
      </c>
      <c r="Q743" t="n">
        <v>0</v>
      </c>
      <c r="R743" s="2" t="inlineStr"/>
    </row>
    <row r="744" ht="15" customHeight="1">
      <c r="A744" t="inlineStr">
        <is>
          <t>A 33374-2021</t>
        </is>
      </c>
      <c r="B744" s="1" t="n">
        <v>44377</v>
      </c>
      <c r="C744" s="1" t="n">
        <v>46139</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10807-2024</t>
        </is>
      </c>
      <c r="B745" s="1" t="n">
        <v>45369.62780092593</v>
      </c>
      <c r="C745" s="1" t="n">
        <v>46139</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14279-2026</t>
        </is>
      </c>
      <c r="B746" s="1" t="n">
        <v>46099.66826388889</v>
      </c>
      <c r="C746" s="1" t="n">
        <v>46139</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33359-2021</t>
        </is>
      </c>
      <c r="B747" s="1" t="n">
        <v>44377.49684027778</v>
      </c>
      <c r="C747" s="1" t="n">
        <v>46139</v>
      </c>
      <c r="D747" t="inlineStr">
        <is>
          <t>KALMAR LÄN</t>
        </is>
      </c>
      <c r="E747" t="inlineStr">
        <is>
          <t>VIMMERBY</t>
        </is>
      </c>
      <c r="F747" t="inlineStr">
        <is>
          <t>Kommuner</t>
        </is>
      </c>
      <c r="G747" t="n">
        <v>8</v>
      </c>
      <c r="H747" t="n">
        <v>0</v>
      </c>
      <c r="I747" t="n">
        <v>0</v>
      </c>
      <c r="J747" t="n">
        <v>0</v>
      </c>
      <c r="K747" t="n">
        <v>0</v>
      </c>
      <c r="L747" t="n">
        <v>0</v>
      </c>
      <c r="M747" t="n">
        <v>0</v>
      </c>
      <c r="N747" t="n">
        <v>0</v>
      </c>
      <c r="O747" t="n">
        <v>0</v>
      </c>
      <c r="P747" t="n">
        <v>0</v>
      </c>
      <c r="Q747" t="n">
        <v>0</v>
      </c>
      <c r="R747" s="2" t="inlineStr"/>
    </row>
    <row r="748" ht="15" customHeight="1">
      <c r="A748" t="inlineStr">
        <is>
          <t>A 6817-2026</t>
        </is>
      </c>
      <c r="B748" s="1" t="n">
        <v>46057.38412037037</v>
      </c>
      <c r="C748" s="1" t="n">
        <v>46139</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34588-2024</t>
        </is>
      </c>
      <c r="B749" s="1" t="n">
        <v>45526.3865625</v>
      </c>
      <c r="C749" s="1" t="n">
        <v>46139</v>
      </c>
      <c r="D749" t="inlineStr">
        <is>
          <t>KALMAR LÄN</t>
        </is>
      </c>
      <c r="E749" t="inlineStr">
        <is>
          <t>VIMMERBY</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17084-2025</t>
        </is>
      </c>
      <c r="B750" s="1" t="n">
        <v>45755.64450231481</v>
      </c>
      <c r="C750" s="1" t="n">
        <v>46139</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14277-2026</t>
        </is>
      </c>
      <c r="B751" s="1" t="n">
        <v>46099.66305555555</v>
      </c>
      <c r="C751" s="1" t="n">
        <v>46139</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33161-2024</t>
        </is>
      </c>
      <c r="B752" s="1" t="n">
        <v>45518.40657407408</v>
      </c>
      <c r="C752" s="1" t="n">
        <v>46139</v>
      </c>
      <c r="D752" t="inlineStr">
        <is>
          <t>KALMAR LÄN</t>
        </is>
      </c>
      <c r="E752" t="inlineStr">
        <is>
          <t>VIMMERBY</t>
        </is>
      </c>
      <c r="G752" t="n">
        <v>4.7</v>
      </c>
      <c r="H752" t="n">
        <v>0</v>
      </c>
      <c r="I752" t="n">
        <v>0</v>
      </c>
      <c r="J752" t="n">
        <v>0</v>
      </c>
      <c r="K752" t="n">
        <v>0</v>
      </c>
      <c r="L752" t="n">
        <v>0</v>
      </c>
      <c r="M752" t="n">
        <v>0</v>
      </c>
      <c r="N752" t="n">
        <v>0</v>
      </c>
      <c r="O752" t="n">
        <v>0</v>
      </c>
      <c r="P752" t="n">
        <v>0</v>
      </c>
      <c r="Q752" t="n">
        <v>0</v>
      </c>
      <c r="R752" s="2" t="inlineStr"/>
    </row>
    <row r="753" ht="15" customHeight="1">
      <c r="A753" t="inlineStr">
        <is>
          <t>A 13667-2026</t>
        </is>
      </c>
      <c r="B753" s="1" t="n">
        <v>46097</v>
      </c>
      <c r="C753" s="1" t="n">
        <v>46139</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13793-2026</t>
        </is>
      </c>
      <c r="B754" s="1" t="n">
        <v>46097.79199074074</v>
      </c>
      <c r="C754" s="1" t="n">
        <v>46139</v>
      </c>
      <c r="D754" t="inlineStr">
        <is>
          <t>KALMAR LÄN</t>
        </is>
      </c>
      <c r="E754" t="inlineStr">
        <is>
          <t>VIMMERBY</t>
        </is>
      </c>
      <c r="G754" t="n">
        <v>2.9</v>
      </c>
      <c r="H754" t="n">
        <v>0</v>
      </c>
      <c r="I754" t="n">
        <v>0</v>
      </c>
      <c r="J754" t="n">
        <v>0</v>
      </c>
      <c r="K754" t="n">
        <v>0</v>
      </c>
      <c r="L754" t="n">
        <v>0</v>
      </c>
      <c r="M754" t="n">
        <v>0</v>
      </c>
      <c r="N754" t="n">
        <v>0</v>
      </c>
      <c r="O754" t="n">
        <v>0</v>
      </c>
      <c r="P754" t="n">
        <v>0</v>
      </c>
      <c r="Q754" t="n">
        <v>0</v>
      </c>
      <c r="R754" s="2" t="inlineStr"/>
    </row>
    <row r="755" ht="15" customHeight="1">
      <c r="A755" t="inlineStr">
        <is>
          <t>A 14359-2025</t>
        </is>
      </c>
      <c r="B755" s="1" t="n">
        <v>45741.37270833334</v>
      </c>
      <c r="C755" s="1" t="n">
        <v>46139</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14320-2026</t>
        </is>
      </c>
      <c r="B756" s="1" t="n">
        <v>46099.88449074074</v>
      </c>
      <c r="C756" s="1" t="n">
        <v>46139</v>
      </c>
      <c r="D756" t="inlineStr">
        <is>
          <t>KALMAR LÄN</t>
        </is>
      </c>
      <c r="E756" t="inlineStr">
        <is>
          <t>VIMMERBY</t>
        </is>
      </c>
      <c r="G756" t="n">
        <v>2.3</v>
      </c>
      <c r="H756" t="n">
        <v>0</v>
      </c>
      <c r="I756" t="n">
        <v>0</v>
      </c>
      <c r="J756" t="n">
        <v>0</v>
      </c>
      <c r="K756" t="n">
        <v>0</v>
      </c>
      <c r="L756" t="n">
        <v>0</v>
      </c>
      <c r="M756" t="n">
        <v>0</v>
      </c>
      <c r="N756" t="n">
        <v>0</v>
      </c>
      <c r="O756" t="n">
        <v>0</v>
      </c>
      <c r="P756" t="n">
        <v>0</v>
      </c>
      <c r="Q756" t="n">
        <v>0</v>
      </c>
      <c r="R756" s="2" t="inlineStr"/>
    </row>
    <row r="757" ht="15" customHeight="1">
      <c r="A757" t="inlineStr">
        <is>
          <t>A 55605-2024</t>
        </is>
      </c>
      <c r="B757" s="1" t="n">
        <v>45622</v>
      </c>
      <c r="C757" s="1" t="n">
        <v>46139</v>
      </c>
      <c r="D757" t="inlineStr">
        <is>
          <t>KALMAR LÄN</t>
        </is>
      </c>
      <c r="E757" t="inlineStr">
        <is>
          <t>VIMMERBY</t>
        </is>
      </c>
      <c r="G757" t="n">
        <v>1.1</v>
      </c>
      <c r="H757" t="n">
        <v>0</v>
      </c>
      <c r="I757" t="n">
        <v>0</v>
      </c>
      <c r="J757" t="n">
        <v>0</v>
      </c>
      <c r="K757" t="n">
        <v>0</v>
      </c>
      <c r="L757" t="n">
        <v>0</v>
      </c>
      <c r="M757" t="n">
        <v>0</v>
      </c>
      <c r="N757" t="n">
        <v>0</v>
      </c>
      <c r="O757" t="n">
        <v>0</v>
      </c>
      <c r="P757" t="n">
        <v>0</v>
      </c>
      <c r="Q757" t="n">
        <v>0</v>
      </c>
      <c r="R757" s="2" t="inlineStr"/>
    </row>
    <row r="758" ht="15" customHeight="1">
      <c r="A758" t="inlineStr">
        <is>
          <t>A 44464-2024</t>
        </is>
      </c>
      <c r="B758" s="1" t="n">
        <v>45574.35809027778</v>
      </c>
      <c r="C758" s="1" t="n">
        <v>46139</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36049-2024</t>
        </is>
      </c>
      <c r="B759" s="1" t="n">
        <v>45533.61996527778</v>
      </c>
      <c r="C759" s="1" t="n">
        <v>46139</v>
      </c>
      <c r="D759" t="inlineStr">
        <is>
          <t>KALMAR LÄN</t>
        </is>
      </c>
      <c r="E759" t="inlineStr">
        <is>
          <t>VIMMERBY</t>
        </is>
      </c>
      <c r="F759" t="inlineStr">
        <is>
          <t>Kommuner</t>
        </is>
      </c>
      <c r="G759" t="n">
        <v>2.6</v>
      </c>
      <c r="H759" t="n">
        <v>0</v>
      </c>
      <c r="I759" t="n">
        <v>0</v>
      </c>
      <c r="J759" t="n">
        <v>0</v>
      </c>
      <c r="K759" t="n">
        <v>0</v>
      </c>
      <c r="L759" t="n">
        <v>0</v>
      </c>
      <c r="M759" t="n">
        <v>0</v>
      </c>
      <c r="N759" t="n">
        <v>0</v>
      </c>
      <c r="O759" t="n">
        <v>0</v>
      </c>
      <c r="P759" t="n">
        <v>0</v>
      </c>
      <c r="Q759" t="n">
        <v>0</v>
      </c>
      <c r="R759" s="2" t="inlineStr"/>
    </row>
    <row r="760" ht="15" customHeight="1">
      <c r="A760" t="inlineStr">
        <is>
          <t>A 4297-2022</t>
        </is>
      </c>
      <c r="B760" s="1" t="n">
        <v>44588</v>
      </c>
      <c r="C760" s="1" t="n">
        <v>46139</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14318-2026</t>
        </is>
      </c>
      <c r="B761" s="1" t="n">
        <v>46099.87961805556</v>
      </c>
      <c r="C761" s="1" t="n">
        <v>46139</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46399-2024</t>
        </is>
      </c>
      <c r="B762" s="1" t="n">
        <v>45582.41200231481</v>
      </c>
      <c r="C762" s="1" t="n">
        <v>46139</v>
      </c>
      <c r="D762" t="inlineStr">
        <is>
          <t>KALMAR LÄN</t>
        </is>
      </c>
      <c r="E762" t="inlineStr">
        <is>
          <t>VIMMERBY</t>
        </is>
      </c>
      <c r="G762" t="n">
        <v>4.6</v>
      </c>
      <c r="H762" t="n">
        <v>0</v>
      </c>
      <c r="I762" t="n">
        <v>0</v>
      </c>
      <c r="J762" t="n">
        <v>0</v>
      </c>
      <c r="K762" t="n">
        <v>0</v>
      </c>
      <c r="L762" t="n">
        <v>0</v>
      </c>
      <c r="M762" t="n">
        <v>0</v>
      </c>
      <c r="N762" t="n">
        <v>0</v>
      </c>
      <c r="O762" t="n">
        <v>0</v>
      </c>
      <c r="P762" t="n">
        <v>0</v>
      </c>
      <c r="Q762" t="n">
        <v>0</v>
      </c>
      <c r="R762" s="2" t="inlineStr"/>
    </row>
    <row r="763" ht="15" customHeight="1">
      <c r="A763" t="inlineStr">
        <is>
          <t>A 15205-2026</t>
        </is>
      </c>
      <c r="B763" s="1" t="n">
        <v>46105.48628472222</v>
      </c>
      <c r="C763" s="1" t="n">
        <v>46139</v>
      </c>
      <c r="D763" t="inlineStr">
        <is>
          <t>KALMAR LÄN</t>
        </is>
      </c>
      <c r="E763" t="inlineStr">
        <is>
          <t>VIMMERBY</t>
        </is>
      </c>
      <c r="G763" t="n">
        <v>2.1</v>
      </c>
      <c r="H763" t="n">
        <v>0</v>
      </c>
      <c r="I763" t="n">
        <v>0</v>
      </c>
      <c r="J763" t="n">
        <v>0</v>
      </c>
      <c r="K763" t="n">
        <v>0</v>
      </c>
      <c r="L763" t="n">
        <v>0</v>
      </c>
      <c r="M763" t="n">
        <v>0</v>
      </c>
      <c r="N763" t="n">
        <v>0</v>
      </c>
      <c r="O763" t="n">
        <v>0</v>
      </c>
      <c r="P763" t="n">
        <v>0</v>
      </c>
      <c r="Q763" t="n">
        <v>0</v>
      </c>
      <c r="R763" s="2" t="inlineStr"/>
    </row>
    <row r="764" ht="15" customHeight="1">
      <c r="A764" t="inlineStr">
        <is>
          <t>A 14792-2026</t>
        </is>
      </c>
      <c r="B764" s="1" t="n">
        <v>46101.91993055555</v>
      </c>
      <c r="C764" s="1" t="n">
        <v>46139</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13532-2025</t>
        </is>
      </c>
      <c r="B765" s="1" t="n">
        <v>45736.50743055555</v>
      </c>
      <c r="C765" s="1" t="n">
        <v>46139</v>
      </c>
      <c r="D765" t="inlineStr">
        <is>
          <t>KALMAR LÄN</t>
        </is>
      </c>
      <c r="E765" t="inlineStr">
        <is>
          <t>VIMMERBY</t>
        </is>
      </c>
      <c r="G765" t="n">
        <v>3.6</v>
      </c>
      <c r="H765" t="n">
        <v>0</v>
      </c>
      <c r="I765" t="n">
        <v>0</v>
      </c>
      <c r="J765" t="n">
        <v>0</v>
      </c>
      <c r="K765" t="n">
        <v>0</v>
      </c>
      <c r="L765" t="n">
        <v>0</v>
      </c>
      <c r="M765" t="n">
        <v>0</v>
      </c>
      <c r="N765" t="n">
        <v>0</v>
      </c>
      <c r="O765" t="n">
        <v>0</v>
      </c>
      <c r="P765" t="n">
        <v>0</v>
      </c>
      <c r="Q765" t="n">
        <v>0</v>
      </c>
      <c r="R765" s="2" t="inlineStr"/>
    </row>
    <row r="766" ht="15" customHeight="1">
      <c r="A766" t="inlineStr">
        <is>
          <t>A 43038-2022</t>
        </is>
      </c>
      <c r="B766" s="1" t="n">
        <v>44833.60123842592</v>
      </c>
      <c r="C766" s="1" t="n">
        <v>46139</v>
      </c>
      <c r="D766" t="inlineStr">
        <is>
          <t>KALMAR LÄN</t>
        </is>
      </c>
      <c r="E766" t="inlineStr">
        <is>
          <t>VIMMERBY</t>
        </is>
      </c>
      <c r="G766" t="n">
        <v>4.2</v>
      </c>
      <c r="H766" t="n">
        <v>0</v>
      </c>
      <c r="I766" t="n">
        <v>0</v>
      </c>
      <c r="J766" t="n">
        <v>0</v>
      </c>
      <c r="K766" t="n">
        <v>0</v>
      </c>
      <c r="L766" t="n">
        <v>0</v>
      </c>
      <c r="M766" t="n">
        <v>0</v>
      </c>
      <c r="N766" t="n">
        <v>0</v>
      </c>
      <c r="O766" t="n">
        <v>0</v>
      </c>
      <c r="P766" t="n">
        <v>0</v>
      </c>
      <c r="Q766" t="n">
        <v>0</v>
      </c>
      <c r="R766" s="2" t="inlineStr"/>
    </row>
    <row r="767" ht="15" customHeight="1">
      <c r="A767" t="inlineStr">
        <is>
          <t>A 14793-2026</t>
        </is>
      </c>
      <c r="B767" s="1" t="n">
        <v>46101.92108796296</v>
      </c>
      <c r="C767" s="1" t="n">
        <v>46139</v>
      </c>
      <c r="D767" t="inlineStr">
        <is>
          <t>KALMAR LÄN</t>
        </is>
      </c>
      <c r="E767" t="inlineStr">
        <is>
          <t>VIMMERBY</t>
        </is>
      </c>
      <c r="G767" t="n">
        <v>5.7</v>
      </c>
      <c r="H767" t="n">
        <v>0</v>
      </c>
      <c r="I767" t="n">
        <v>0</v>
      </c>
      <c r="J767" t="n">
        <v>0</v>
      </c>
      <c r="K767" t="n">
        <v>0</v>
      </c>
      <c r="L767" t="n">
        <v>0</v>
      </c>
      <c r="M767" t="n">
        <v>0</v>
      </c>
      <c r="N767" t="n">
        <v>0</v>
      </c>
      <c r="O767" t="n">
        <v>0</v>
      </c>
      <c r="P767" t="n">
        <v>0</v>
      </c>
      <c r="Q767" t="n">
        <v>0</v>
      </c>
      <c r="R767" s="2" t="inlineStr"/>
    </row>
    <row r="768" ht="15" customHeight="1">
      <c r="A768" t="inlineStr">
        <is>
          <t>A 15054-2026</t>
        </is>
      </c>
      <c r="B768" s="1" t="n">
        <v>46104.6815162037</v>
      </c>
      <c r="C768" s="1" t="n">
        <v>46139</v>
      </c>
      <c r="D768" t="inlineStr">
        <is>
          <t>KALMAR LÄN</t>
        </is>
      </c>
      <c r="E768" t="inlineStr">
        <is>
          <t>VIMMERBY</t>
        </is>
      </c>
      <c r="G768" t="n">
        <v>1.4</v>
      </c>
      <c r="H768" t="n">
        <v>0</v>
      </c>
      <c r="I768" t="n">
        <v>0</v>
      </c>
      <c r="J768" t="n">
        <v>0</v>
      </c>
      <c r="K768" t="n">
        <v>0</v>
      </c>
      <c r="L768" t="n">
        <v>0</v>
      </c>
      <c r="M768" t="n">
        <v>0</v>
      </c>
      <c r="N768" t="n">
        <v>0</v>
      </c>
      <c r="O768" t="n">
        <v>0</v>
      </c>
      <c r="P768" t="n">
        <v>0</v>
      </c>
      <c r="Q768" t="n">
        <v>0</v>
      </c>
      <c r="R768" s="2" t="inlineStr"/>
    </row>
    <row r="769" ht="15" customHeight="1">
      <c r="A769" t="inlineStr">
        <is>
          <t>A 57799-2022</t>
        </is>
      </c>
      <c r="B769" s="1" t="n">
        <v>44897</v>
      </c>
      <c r="C769" s="1" t="n">
        <v>46139</v>
      </c>
      <c r="D769" t="inlineStr">
        <is>
          <t>KALMAR LÄN</t>
        </is>
      </c>
      <c r="E769" t="inlineStr">
        <is>
          <t>VIMMERBY</t>
        </is>
      </c>
      <c r="G769" t="n">
        <v>1.4</v>
      </c>
      <c r="H769" t="n">
        <v>0</v>
      </c>
      <c r="I769" t="n">
        <v>0</v>
      </c>
      <c r="J769" t="n">
        <v>0</v>
      </c>
      <c r="K769" t="n">
        <v>0</v>
      </c>
      <c r="L769" t="n">
        <v>0</v>
      </c>
      <c r="M769" t="n">
        <v>0</v>
      </c>
      <c r="N769" t="n">
        <v>0</v>
      </c>
      <c r="O769" t="n">
        <v>0</v>
      </c>
      <c r="P769" t="n">
        <v>0</v>
      </c>
      <c r="Q769" t="n">
        <v>0</v>
      </c>
      <c r="R769" s="2" t="inlineStr"/>
    </row>
    <row r="770" ht="15" customHeight="1">
      <c r="A770" t="inlineStr">
        <is>
          <t>A 30921-2024</t>
        </is>
      </c>
      <c r="B770" s="1" t="n">
        <v>45498</v>
      </c>
      <c r="C770" s="1" t="n">
        <v>46139</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14137-2023</t>
        </is>
      </c>
      <c r="B771" s="1" t="n">
        <v>45009.4671875</v>
      </c>
      <c r="C771" s="1" t="n">
        <v>46139</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11152-2023</t>
        </is>
      </c>
      <c r="B772" s="1" t="n">
        <v>44992</v>
      </c>
      <c r="C772" s="1" t="n">
        <v>46139</v>
      </c>
      <c r="D772" t="inlineStr">
        <is>
          <t>KALMAR LÄN</t>
        </is>
      </c>
      <c r="E772" t="inlineStr">
        <is>
          <t>VIMMERBY</t>
        </is>
      </c>
      <c r="G772" t="n">
        <v>10.6</v>
      </c>
      <c r="H772" t="n">
        <v>0</v>
      </c>
      <c r="I772" t="n">
        <v>0</v>
      </c>
      <c r="J772" t="n">
        <v>0</v>
      </c>
      <c r="K772" t="n">
        <v>0</v>
      </c>
      <c r="L772" t="n">
        <v>0</v>
      </c>
      <c r="M772" t="n">
        <v>0</v>
      </c>
      <c r="N772" t="n">
        <v>0</v>
      </c>
      <c r="O772" t="n">
        <v>0</v>
      </c>
      <c r="P772" t="n">
        <v>0</v>
      </c>
      <c r="Q772" t="n">
        <v>0</v>
      </c>
      <c r="R772" s="2" t="inlineStr"/>
    </row>
    <row r="773" ht="15" customHeight="1">
      <c r="A773" t="inlineStr">
        <is>
          <t>A 8595-2026</t>
        </is>
      </c>
      <c r="B773" s="1" t="n">
        <v>46065.7372337963</v>
      </c>
      <c r="C773" s="1" t="n">
        <v>46139</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12499-2023</t>
        </is>
      </c>
      <c r="B774" s="1" t="n">
        <v>44999.86172453704</v>
      </c>
      <c r="C774" s="1" t="n">
        <v>46139</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12500-2023</t>
        </is>
      </c>
      <c r="B775" s="1" t="n">
        <v>44999.8625</v>
      </c>
      <c r="C775" s="1" t="n">
        <v>46139</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35846-2023</t>
        </is>
      </c>
      <c r="B776" s="1" t="n">
        <v>45148</v>
      </c>
      <c r="C776" s="1" t="n">
        <v>46139</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49039-2021</t>
        </is>
      </c>
      <c r="B777" s="1" t="n">
        <v>44453.56578703703</v>
      </c>
      <c r="C777" s="1" t="n">
        <v>46139</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16183-2026</t>
        </is>
      </c>
      <c r="B778" s="1" t="n">
        <v>46111</v>
      </c>
      <c r="C778" s="1" t="n">
        <v>46139</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46224-2024</t>
        </is>
      </c>
      <c r="B779" s="1" t="n">
        <v>45581.57016203704</v>
      </c>
      <c r="C779" s="1" t="n">
        <v>46139</v>
      </c>
      <c r="D779" t="inlineStr">
        <is>
          <t>KALMAR LÄN</t>
        </is>
      </c>
      <c r="E779" t="inlineStr">
        <is>
          <t>VIMMERBY</t>
        </is>
      </c>
      <c r="G779" t="n">
        <v>3.1</v>
      </c>
      <c r="H779" t="n">
        <v>0</v>
      </c>
      <c r="I779" t="n">
        <v>0</v>
      </c>
      <c r="J779" t="n">
        <v>0</v>
      </c>
      <c r="K779" t="n">
        <v>0</v>
      </c>
      <c r="L779" t="n">
        <v>0</v>
      </c>
      <c r="M779" t="n">
        <v>0</v>
      </c>
      <c r="N779" t="n">
        <v>0</v>
      </c>
      <c r="O779" t="n">
        <v>0</v>
      </c>
      <c r="P779" t="n">
        <v>0</v>
      </c>
      <c r="Q779" t="n">
        <v>0</v>
      </c>
      <c r="R779" s="2" t="inlineStr"/>
    </row>
    <row r="780" ht="15" customHeight="1">
      <c r="A780" t="inlineStr">
        <is>
          <t>A 46238-2024</t>
        </is>
      </c>
      <c r="B780" s="1" t="n">
        <v>45581.58418981481</v>
      </c>
      <c r="C780" s="1" t="n">
        <v>46139</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30633-2024</t>
        </is>
      </c>
      <c r="B781" s="1" t="n">
        <v>45495</v>
      </c>
      <c r="C781" s="1" t="n">
        <v>46139</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8696-2026</t>
        </is>
      </c>
      <c r="B782" s="1" t="n">
        <v>46066.45273148148</v>
      </c>
      <c r="C782" s="1" t="n">
        <v>46139</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54838-2024</t>
        </is>
      </c>
      <c r="B783" s="1" t="n">
        <v>45618.56787037037</v>
      </c>
      <c r="C783" s="1" t="n">
        <v>46139</v>
      </c>
      <c r="D783" t="inlineStr">
        <is>
          <t>KALMAR LÄN</t>
        </is>
      </c>
      <c r="E783" t="inlineStr">
        <is>
          <t>VIMMERBY</t>
        </is>
      </c>
      <c r="G783" t="n">
        <v>3.3</v>
      </c>
      <c r="H783" t="n">
        <v>0</v>
      </c>
      <c r="I783" t="n">
        <v>0</v>
      </c>
      <c r="J783" t="n">
        <v>0</v>
      </c>
      <c r="K783" t="n">
        <v>0</v>
      </c>
      <c r="L783" t="n">
        <v>0</v>
      </c>
      <c r="M783" t="n">
        <v>0</v>
      </c>
      <c r="N783" t="n">
        <v>0</v>
      </c>
      <c r="O783" t="n">
        <v>0</v>
      </c>
      <c r="P783" t="n">
        <v>0</v>
      </c>
      <c r="Q783" t="n">
        <v>0</v>
      </c>
      <c r="R783" s="2" t="inlineStr"/>
    </row>
    <row r="784" ht="15" customHeight="1">
      <c r="A784" t="inlineStr">
        <is>
          <t>A 6405-2025</t>
        </is>
      </c>
      <c r="B784" s="1" t="n">
        <v>45699.45392361111</v>
      </c>
      <c r="C784" s="1" t="n">
        <v>46139</v>
      </c>
      <c r="D784" t="inlineStr">
        <is>
          <t>KALMAR LÄN</t>
        </is>
      </c>
      <c r="E784" t="inlineStr">
        <is>
          <t>VIMMERBY</t>
        </is>
      </c>
      <c r="G784" t="n">
        <v>1.2</v>
      </c>
      <c r="H784" t="n">
        <v>0</v>
      </c>
      <c r="I784" t="n">
        <v>0</v>
      </c>
      <c r="J784" t="n">
        <v>0</v>
      </c>
      <c r="K784" t="n">
        <v>0</v>
      </c>
      <c r="L784" t="n">
        <v>0</v>
      </c>
      <c r="M784" t="n">
        <v>0</v>
      </c>
      <c r="N784" t="n">
        <v>0</v>
      </c>
      <c r="O784" t="n">
        <v>0</v>
      </c>
      <c r="P784" t="n">
        <v>0</v>
      </c>
      <c r="Q784" t="n">
        <v>0</v>
      </c>
      <c r="R784" s="2" t="inlineStr"/>
    </row>
    <row r="785" ht="15" customHeight="1">
      <c r="A785" t="inlineStr">
        <is>
          <t>A 16675-2026</t>
        </is>
      </c>
      <c r="B785" s="1" t="n">
        <v>46112.68202546296</v>
      </c>
      <c r="C785" s="1" t="n">
        <v>46139</v>
      </c>
      <c r="D785" t="inlineStr">
        <is>
          <t>KALMAR LÄN</t>
        </is>
      </c>
      <c r="E785" t="inlineStr">
        <is>
          <t>VIMMERBY</t>
        </is>
      </c>
      <c r="F785" t="inlineStr">
        <is>
          <t>Kommuner</t>
        </is>
      </c>
      <c r="G785" t="n">
        <v>0.8</v>
      </c>
      <c r="H785" t="n">
        <v>0</v>
      </c>
      <c r="I785" t="n">
        <v>0</v>
      </c>
      <c r="J785" t="n">
        <v>0</v>
      </c>
      <c r="K785" t="n">
        <v>0</v>
      </c>
      <c r="L785" t="n">
        <v>0</v>
      </c>
      <c r="M785" t="n">
        <v>0</v>
      </c>
      <c r="N785" t="n">
        <v>0</v>
      </c>
      <c r="O785" t="n">
        <v>0</v>
      </c>
      <c r="P785" t="n">
        <v>0</v>
      </c>
      <c r="Q785" t="n">
        <v>0</v>
      </c>
      <c r="R785" s="2" t="inlineStr"/>
    </row>
    <row r="786" ht="15" customHeight="1">
      <c r="A786" t="inlineStr">
        <is>
          <t>A 60437-2023</t>
        </is>
      </c>
      <c r="B786" s="1" t="n">
        <v>45259.51916666667</v>
      </c>
      <c r="C786" s="1" t="n">
        <v>46139</v>
      </c>
      <c r="D786" t="inlineStr">
        <is>
          <t>KALMAR LÄN</t>
        </is>
      </c>
      <c r="E786" t="inlineStr">
        <is>
          <t>VIMMERBY</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60438-2023</t>
        </is>
      </c>
      <c r="B787" s="1" t="n">
        <v>45259.52020833334</v>
      </c>
      <c r="C787" s="1" t="n">
        <v>46139</v>
      </c>
      <c r="D787" t="inlineStr">
        <is>
          <t>KALMAR LÄN</t>
        </is>
      </c>
      <c r="E787" t="inlineStr">
        <is>
          <t>VIMMERBY</t>
        </is>
      </c>
      <c r="F787" t="inlineStr">
        <is>
          <t>Sveaskog</t>
        </is>
      </c>
      <c r="G787" t="n">
        <v>1.2</v>
      </c>
      <c r="H787" t="n">
        <v>0</v>
      </c>
      <c r="I787" t="n">
        <v>0</v>
      </c>
      <c r="J787" t="n">
        <v>0</v>
      </c>
      <c r="K787" t="n">
        <v>0</v>
      </c>
      <c r="L787" t="n">
        <v>0</v>
      </c>
      <c r="M787" t="n">
        <v>0</v>
      </c>
      <c r="N787" t="n">
        <v>0</v>
      </c>
      <c r="O787" t="n">
        <v>0</v>
      </c>
      <c r="P787" t="n">
        <v>0</v>
      </c>
      <c r="Q787" t="n">
        <v>0</v>
      </c>
      <c r="R787" s="2" t="inlineStr"/>
    </row>
    <row r="788" ht="15" customHeight="1">
      <c r="A788" t="inlineStr">
        <is>
          <t>A 16653-2026</t>
        </is>
      </c>
      <c r="B788" s="1" t="n">
        <v>46112.64597222222</v>
      </c>
      <c r="C788" s="1" t="n">
        <v>46139</v>
      </c>
      <c r="D788" t="inlineStr">
        <is>
          <t>KALMAR LÄN</t>
        </is>
      </c>
      <c r="E788" t="inlineStr">
        <is>
          <t>VIMMERBY</t>
        </is>
      </c>
      <c r="F788" t="inlineStr">
        <is>
          <t>Kommuner</t>
        </is>
      </c>
      <c r="G788" t="n">
        <v>4.4</v>
      </c>
      <c r="H788" t="n">
        <v>0</v>
      </c>
      <c r="I788" t="n">
        <v>0</v>
      </c>
      <c r="J788" t="n">
        <v>0</v>
      </c>
      <c r="K788" t="n">
        <v>0</v>
      </c>
      <c r="L788" t="n">
        <v>0</v>
      </c>
      <c r="M788" t="n">
        <v>0</v>
      </c>
      <c r="N788" t="n">
        <v>0</v>
      </c>
      <c r="O788" t="n">
        <v>0</v>
      </c>
      <c r="P788" t="n">
        <v>0</v>
      </c>
      <c r="Q788" t="n">
        <v>0</v>
      </c>
      <c r="R788" s="2" t="inlineStr"/>
    </row>
    <row r="789" ht="15" customHeight="1">
      <c r="A789" t="inlineStr">
        <is>
          <t>A 16823-2026</t>
        </is>
      </c>
      <c r="B789" s="1" t="n">
        <v>46113.51649305555</v>
      </c>
      <c r="C789" s="1" t="n">
        <v>46139</v>
      </c>
      <c r="D789" t="inlineStr">
        <is>
          <t>KALMAR LÄN</t>
        </is>
      </c>
      <c r="E789" t="inlineStr">
        <is>
          <t>VIMMERBY</t>
        </is>
      </c>
      <c r="G789" t="n">
        <v>0.8</v>
      </c>
      <c r="H789" t="n">
        <v>0</v>
      </c>
      <c r="I789" t="n">
        <v>0</v>
      </c>
      <c r="J789" t="n">
        <v>0</v>
      </c>
      <c r="K789" t="n">
        <v>0</v>
      </c>
      <c r="L789" t="n">
        <v>0</v>
      </c>
      <c r="M789" t="n">
        <v>0</v>
      </c>
      <c r="N789" t="n">
        <v>0</v>
      </c>
      <c r="O789" t="n">
        <v>0</v>
      </c>
      <c r="P789" t="n">
        <v>0</v>
      </c>
      <c r="Q789" t="n">
        <v>0</v>
      </c>
      <c r="R789" s="2" t="inlineStr"/>
    </row>
    <row r="790" ht="15" customHeight="1">
      <c r="A790" t="inlineStr">
        <is>
          <t>A 42165-2024</t>
        </is>
      </c>
      <c r="B790" s="1" t="n">
        <v>45562.46342592593</v>
      </c>
      <c r="C790" s="1" t="n">
        <v>46139</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16870-2026</t>
        </is>
      </c>
      <c r="B791" s="1" t="n">
        <v>46113.5822800926</v>
      </c>
      <c r="C791" s="1" t="n">
        <v>46139</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16617-2026</t>
        </is>
      </c>
      <c r="B792" s="1" t="n">
        <v>46112.60607638889</v>
      </c>
      <c r="C792" s="1" t="n">
        <v>46139</v>
      </c>
      <c r="D792" t="inlineStr">
        <is>
          <t>KALMAR LÄN</t>
        </is>
      </c>
      <c r="E792" t="inlineStr">
        <is>
          <t>VIMMERBY</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25244-2023</t>
        </is>
      </c>
      <c r="B793" s="1" t="n">
        <v>45086</v>
      </c>
      <c r="C793" s="1" t="n">
        <v>46139</v>
      </c>
      <c r="D793" t="inlineStr">
        <is>
          <t>KALMAR LÄN</t>
        </is>
      </c>
      <c r="E793" t="inlineStr">
        <is>
          <t>VIMMERBY</t>
        </is>
      </c>
      <c r="G793" t="n">
        <v>4.7</v>
      </c>
      <c r="H793" t="n">
        <v>0</v>
      </c>
      <c r="I793" t="n">
        <v>0</v>
      </c>
      <c r="J793" t="n">
        <v>0</v>
      </c>
      <c r="K793" t="n">
        <v>0</v>
      </c>
      <c r="L793" t="n">
        <v>0</v>
      </c>
      <c r="M793" t="n">
        <v>0</v>
      </c>
      <c r="N793" t="n">
        <v>0</v>
      </c>
      <c r="O793" t="n">
        <v>0</v>
      </c>
      <c r="P793" t="n">
        <v>0</v>
      </c>
      <c r="Q793" t="n">
        <v>0</v>
      </c>
      <c r="R793" s="2" t="inlineStr"/>
    </row>
    <row r="794" ht="15" customHeight="1">
      <c r="A794" t="inlineStr">
        <is>
          <t>A 16799-2026</t>
        </is>
      </c>
      <c r="B794" s="1" t="n">
        <v>46113.47913194444</v>
      </c>
      <c r="C794" s="1" t="n">
        <v>46139</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66022-2021</t>
        </is>
      </c>
      <c r="B795" s="1" t="n">
        <v>44517</v>
      </c>
      <c r="C795" s="1" t="n">
        <v>46139</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35895-2024</t>
        </is>
      </c>
      <c r="B796" s="1" t="n">
        <v>45533.38870370371</v>
      </c>
      <c r="C796" s="1" t="n">
        <v>46139</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46139</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16632-2026</t>
        </is>
      </c>
      <c r="B798" s="1" t="n">
        <v>46112.62212962963</v>
      </c>
      <c r="C798" s="1" t="n">
        <v>46139</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16648-2026</t>
        </is>
      </c>
      <c r="B799" s="1" t="n">
        <v>46112.64032407408</v>
      </c>
      <c r="C799" s="1" t="n">
        <v>46139</v>
      </c>
      <c r="D799" t="inlineStr">
        <is>
          <t>KALMAR LÄN</t>
        </is>
      </c>
      <c r="E799" t="inlineStr">
        <is>
          <t>VIMMERBY</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16656-2026</t>
        </is>
      </c>
      <c r="B800" s="1" t="n">
        <v>46112.65111111111</v>
      </c>
      <c r="C800" s="1" t="n">
        <v>46139</v>
      </c>
      <c r="D800" t="inlineStr">
        <is>
          <t>KALMAR LÄN</t>
        </is>
      </c>
      <c r="E800" t="inlineStr">
        <is>
          <t>VIMMERBY</t>
        </is>
      </c>
      <c r="F800" t="inlineStr">
        <is>
          <t>Kommuner</t>
        </is>
      </c>
      <c r="G800" t="n">
        <v>5.5</v>
      </c>
      <c r="H800" t="n">
        <v>0</v>
      </c>
      <c r="I800" t="n">
        <v>0</v>
      </c>
      <c r="J800" t="n">
        <v>0</v>
      </c>
      <c r="K800" t="n">
        <v>0</v>
      </c>
      <c r="L800" t="n">
        <v>0</v>
      </c>
      <c r="M800" t="n">
        <v>0</v>
      </c>
      <c r="N800" t="n">
        <v>0</v>
      </c>
      <c r="O800" t="n">
        <v>0</v>
      </c>
      <c r="P800" t="n">
        <v>0</v>
      </c>
      <c r="Q800" t="n">
        <v>0</v>
      </c>
      <c r="R800" s="2" t="inlineStr"/>
    </row>
    <row r="801" ht="15" customHeight="1">
      <c r="A801" t="inlineStr">
        <is>
          <t>A 16795-2026</t>
        </is>
      </c>
      <c r="B801" s="1" t="n">
        <v>46113.47216435185</v>
      </c>
      <c r="C801" s="1" t="n">
        <v>46139</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16801-2026</t>
        </is>
      </c>
      <c r="B802" s="1" t="n">
        <v>46113.48400462963</v>
      </c>
      <c r="C802" s="1" t="n">
        <v>46139</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17-2025</t>
        </is>
      </c>
      <c r="B803" s="1" t="n">
        <v>45658.78774305555</v>
      </c>
      <c r="C803" s="1" t="n">
        <v>46139</v>
      </c>
      <c r="D803" t="inlineStr">
        <is>
          <t>KALMAR LÄN</t>
        </is>
      </c>
      <c r="E803" t="inlineStr">
        <is>
          <t>VIMMERBY</t>
        </is>
      </c>
      <c r="G803" t="n">
        <v>4.4</v>
      </c>
      <c r="H803" t="n">
        <v>0</v>
      </c>
      <c r="I803" t="n">
        <v>0</v>
      </c>
      <c r="J803" t="n">
        <v>0</v>
      </c>
      <c r="K803" t="n">
        <v>0</v>
      </c>
      <c r="L803" t="n">
        <v>0</v>
      </c>
      <c r="M803" t="n">
        <v>0</v>
      </c>
      <c r="N803" t="n">
        <v>0</v>
      </c>
      <c r="O803" t="n">
        <v>0</v>
      </c>
      <c r="P803" t="n">
        <v>0</v>
      </c>
      <c r="Q803" t="n">
        <v>0</v>
      </c>
      <c r="R803" s="2" t="inlineStr"/>
    </row>
    <row r="804" ht="15" customHeight="1">
      <c r="A804" t="inlineStr">
        <is>
          <t>A 32655-2023</t>
        </is>
      </c>
      <c r="B804" s="1" t="n">
        <v>45121.61318287037</v>
      </c>
      <c r="C804" s="1" t="n">
        <v>46139</v>
      </c>
      <c r="D804" t="inlineStr">
        <is>
          <t>KALMAR LÄN</t>
        </is>
      </c>
      <c r="E804" t="inlineStr">
        <is>
          <t>VIMMERBY</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16678-2026</t>
        </is>
      </c>
      <c r="B805" s="1" t="n">
        <v>46112.69435185185</v>
      </c>
      <c r="C805" s="1" t="n">
        <v>46139</v>
      </c>
      <c r="D805" t="inlineStr">
        <is>
          <t>KALMAR LÄN</t>
        </is>
      </c>
      <c r="E805" t="inlineStr">
        <is>
          <t>VIMMERBY</t>
        </is>
      </c>
      <c r="F805" t="inlineStr">
        <is>
          <t>Kommuner</t>
        </is>
      </c>
      <c r="G805" t="n">
        <v>1.6</v>
      </c>
      <c r="H805" t="n">
        <v>0</v>
      </c>
      <c r="I805" t="n">
        <v>0</v>
      </c>
      <c r="J805" t="n">
        <v>0</v>
      </c>
      <c r="K805" t="n">
        <v>0</v>
      </c>
      <c r="L805" t="n">
        <v>0</v>
      </c>
      <c r="M805" t="n">
        <v>0</v>
      </c>
      <c r="N805" t="n">
        <v>0</v>
      </c>
      <c r="O805" t="n">
        <v>0</v>
      </c>
      <c r="P805" t="n">
        <v>0</v>
      </c>
      <c r="Q805" t="n">
        <v>0</v>
      </c>
      <c r="R805" s="2" t="inlineStr"/>
    </row>
    <row r="806" ht="15" customHeight="1">
      <c r="A806" t="inlineStr">
        <is>
          <t>A 16672-2026</t>
        </is>
      </c>
      <c r="B806" s="1" t="n">
        <v>46112.67336805556</v>
      </c>
      <c r="C806" s="1" t="n">
        <v>46139</v>
      </c>
      <c r="D806" t="inlineStr">
        <is>
          <t>KALMAR LÄN</t>
        </is>
      </c>
      <c r="E806" t="inlineStr">
        <is>
          <t>VIMMERBY</t>
        </is>
      </c>
      <c r="F806" t="inlineStr">
        <is>
          <t>Kommuner</t>
        </is>
      </c>
      <c r="G806" t="n">
        <v>1.4</v>
      </c>
      <c r="H806" t="n">
        <v>0</v>
      </c>
      <c r="I806" t="n">
        <v>0</v>
      </c>
      <c r="J806" t="n">
        <v>0</v>
      </c>
      <c r="K806" t="n">
        <v>0</v>
      </c>
      <c r="L806" t="n">
        <v>0</v>
      </c>
      <c r="M806" t="n">
        <v>0</v>
      </c>
      <c r="N806" t="n">
        <v>0</v>
      </c>
      <c r="O806" t="n">
        <v>0</v>
      </c>
      <c r="P806" t="n">
        <v>0</v>
      </c>
      <c r="Q806" t="n">
        <v>0</v>
      </c>
      <c r="R806" s="2" t="inlineStr"/>
    </row>
    <row r="807" ht="15" customHeight="1">
      <c r="A807" t="inlineStr">
        <is>
          <t>A 63541-2023</t>
        </is>
      </c>
      <c r="B807" s="1" t="n">
        <v>45275.32266203704</v>
      </c>
      <c r="C807" s="1" t="n">
        <v>46139</v>
      </c>
      <c r="D807" t="inlineStr">
        <is>
          <t>KALMAR LÄN</t>
        </is>
      </c>
      <c r="E807" t="inlineStr">
        <is>
          <t>VIMMERBY</t>
        </is>
      </c>
      <c r="G807" t="n">
        <v>1.1</v>
      </c>
      <c r="H807" t="n">
        <v>0</v>
      </c>
      <c r="I807" t="n">
        <v>0</v>
      </c>
      <c r="J807" t="n">
        <v>0</v>
      </c>
      <c r="K807" t="n">
        <v>0</v>
      </c>
      <c r="L807" t="n">
        <v>0</v>
      </c>
      <c r="M807" t="n">
        <v>0</v>
      </c>
      <c r="N807" t="n">
        <v>0</v>
      </c>
      <c r="O807" t="n">
        <v>0</v>
      </c>
      <c r="P807" t="n">
        <v>0</v>
      </c>
      <c r="Q807" t="n">
        <v>0</v>
      </c>
      <c r="R807" s="2" t="inlineStr"/>
    </row>
    <row r="808" ht="15" customHeight="1">
      <c r="A808" t="inlineStr">
        <is>
          <t>A 28034-2022</t>
        </is>
      </c>
      <c r="B808" s="1" t="n">
        <v>44746.38834490741</v>
      </c>
      <c r="C808" s="1" t="n">
        <v>46139</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5938-2022</t>
        </is>
      </c>
      <c r="B809" s="1" t="n">
        <v>44598</v>
      </c>
      <c r="C809" s="1" t="n">
        <v>46139</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24283-2023</t>
        </is>
      </c>
      <c r="B810" s="1" t="n">
        <v>45079.87827546296</v>
      </c>
      <c r="C810" s="1" t="n">
        <v>46139</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2462-2022</t>
        </is>
      </c>
      <c r="B811" s="1" t="n">
        <v>44579.62225694444</v>
      </c>
      <c r="C811" s="1" t="n">
        <v>46139</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60228-2021</t>
        </is>
      </c>
      <c r="B812" s="1" t="n">
        <v>44495</v>
      </c>
      <c r="C812" s="1" t="n">
        <v>46139</v>
      </c>
      <c r="D812" t="inlineStr">
        <is>
          <t>KALMAR LÄN</t>
        </is>
      </c>
      <c r="E812" t="inlineStr">
        <is>
          <t>VIMMERBY</t>
        </is>
      </c>
      <c r="G812" t="n">
        <v>4.1</v>
      </c>
      <c r="H812" t="n">
        <v>0</v>
      </c>
      <c r="I812" t="n">
        <v>0</v>
      </c>
      <c r="J812" t="n">
        <v>0</v>
      </c>
      <c r="K812" t="n">
        <v>0</v>
      </c>
      <c r="L812" t="n">
        <v>0</v>
      </c>
      <c r="M812" t="n">
        <v>0</v>
      </c>
      <c r="N812" t="n">
        <v>0</v>
      </c>
      <c r="O812" t="n">
        <v>0</v>
      </c>
      <c r="P812" t="n">
        <v>0</v>
      </c>
      <c r="Q812" t="n">
        <v>0</v>
      </c>
      <c r="R812" s="2" t="inlineStr"/>
    </row>
    <row r="813" ht="15" customHeight="1">
      <c r="A813" t="inlineStr">
        <is>
          <t>A 25979-2023</t>
        </is>
      </c>
      <c r="B813" s="1" t="n">
        <v>45090.89653935185</v>
      </c>
      <c r="C813" s="1" t="n">
        <v>46139</v>
      </c>
      <c r="D813" t="inlineStr">
        <is>
          <t>KALMAR LÄN</t>
        </is>
      </c>
      <c r="E813" t="inlineStr">
        <is>
          <t>VIMMERBY</t>
        </is>
      </c>
      <c r="G813" t="n">
        <v>2</v>
      </c>
      <c r="H813" t="n">
        <v>0</v>
      </c>
      <c r="I813" t="n">
        <v>0</v>
      </c>
      <c r="J813" t="n">
        <v>0</v>
      </c>
      <c r="K813" t="n">
        <v>0</v>
      </c>
      <c r="L813" t="n">
        <v>0</v>
      </c>
      <c r="M813" t="n">
        <v>0</v>
      </c>
      <c r="N813" t="n">
        <v>0</v>
      </c>
      <c r="O813" t="n">
        <v>0</v>
      </c>
      <c r="P813" t="n">
        <v>0</v>
      </c>
      <c r="Q813" t="n">
        <v>0</v>
      </c>
      <c r="R813" s="2" t="inlineStr"/>
    </row>
    <row r="814" ht="15" customHeight="1">
      <c r="A814" t="inlineStr">
        <is>
          <t>A 25980-2023</t>
        </is>
      </c>
      <c r="B814" s="1" t="n">
        <v>45090.89880787037</v>
      </c>
      <c r="C814" s="1" t="n">
        <v>46139</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12510-2022</t>
        </is>
      </c>
      <c r="B815" s="1" t="n">
        <v>44638.55256944444</v>
      </c>
      <c r="C815" s="1" t="n">
        <v>46139</v>
      </c>
      <c r="D815" t="inlineStr">
        <is>
          <t>KALMAR LÄN</t>
        </is>
      </c>
      <c r="E815" t="inlineStr">
        <is>
          <t>VIMMERBY</t>
        </is>
      </c>
      <c r="G815" t="n">
        <v>2.4</v>
      </c>
      <c r="H815" t="n">
        <v>0</v>
      </c>
      <c r="I815" t="n">
        <v>0</v>
      </c>
      <c r="J815" t="n">
        <v>0</v>
      </c>
      <c r="K815" t="n">
        <v>0</v>
      </c>
      <c r="L815" t="n">
        <v>0</v>
      </c>
      <c r="M815" t="n">
        <v>0</v>
      </c>
      <c r="N815" t="n">
        <v>0</v>
      </c>
      <c r="O815" t="n">
        <v>0</v>
      </c>
      <c r="P815" t="n">
        <v>0</v>
      </c>
      <c r="Q815" t="n">
        <v>0</v>
      </c>
      <c r="R815" s="2" t="inlineStr"/>
    </row>
    <row r="816" ht="15" customHeight="1">
      <c r="A816" t="inlineStr">
        <is>
          <t>A 6358-2022</t>
        </is>
      </c>
      <c r="B816" s="1" t="n">
        <v>44600</v>
      </c>
      <c r="C816" s="1" t="n">
        <v>46139</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48373-2021</t>
        </is>
      </c>
      <c r="B817" s="1" t="n">
        <v>44451</v>
      </c>
      <c r="C817" s="1" t="n">
        <v>46139</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57256-2023</t>
        </is>
      </c>
      <c r="B818" s="1" t="n">
        <v>45245.5735300926</v>
      </c>
      <c r="C818" s="1" t="n">
        <v>46139</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17482-2024</t>
        </is>
      </c>
      <c r="B819" s="1" t="n">
        <v>45415.47848379629</v>
      </c>
      <c r="C819" s="1" t="n">
        <v>46139</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10965-2026</t>
        </is>
      </c>
      <c r="B820" s="1" t="n">
        <v>46079.43295138889</v>
      </c>
      <c r="C820" s="1" t="n">
        <v>46139</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55123-2024</t>
        </is>
      </c>
      <c r="B821" s="1" t="n">
        <v>45621.46103009259</v>
      </c>
      <c r="C821" s="1" t="n">
        <v>46139</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11273-2026</t>
        </is>
      </c>
      <c r="B822" s="1" t="n">
        <v>46080.57634259259</v>
      </c>
      <c r="C822" s="1" t="n">
        <v>46139</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17713-2026</t>
        </is>
      </c>
      <c r="B823" s="1" t="n">
        <v>46121.72810185186</v>
      </c>
      <c r="C823" s="1" t="n">
        <v>46139</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49313-2022</t>
        </is>
      </c>
      <c r="B824" s="1" t="n">
        <v>44861.52505787037</v>
      </c>
      <c r="C824" s="1" t="n">
        <v>46139</v>
      </c>
      <c r="D824" t="inlineStr">
        <is>
          <t>KALMAR LÄN</t>
        </is>
      </c>
      <c r="E824" t="inlineStr">
        <is>
          <t>VIMMERBY</t>
        </is>
      </c>
      <c r="G824" t="n">
        <v>1.9</v>
      </c>
      <c r="H824" t="n">
        <v>0</v>
      </c>
      <c r="I824" t="n">
        <v>0</v>
      </c>
      <c r="J824" t="n">
        <v>0</v>
      </c>
      <c r="K824" t="n">
        <v>0</v>
      </c>
      <c r="L824" t="n">
        <v>0</v>
      </c>
      <c r="M824" t="n">
        <v>0</v>
      </c>
      <c r="N824" t="n">
        <v>0</v>
      </c>
      <c r="O824" t="n">
        <v>0</v>
      </c>
      <c r="P824" t="n">
        <v>0</v>
      </c>
      <c r="Q824" t="n">
        <v>0</v>
      </c>
      <c r="R824" s="2" t="inlineStr"/>
    </row>
    <row r="825" ht="15" customHeight="1">
      <c r="A825" t="inlineStr">
        <is>
          <t>A 1987-2024</t>
        </is>
      </c>
      <c r="B825" s="1" t="n">
        <v>45308.61152777778</v>
      </c>
      <c r="C825" s="1" t="n">
        <v>46139</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21507-2023</t>
        </is>
      </c>
      <c r="B826" s="1" t="n">
        <v>45063.508125</v>
      </c>
      <c r="C826" s="1" t="n">
        <v>46139</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57189-2022</t>
        </is>
      </c>
      <c r="B827" s="1" t="n">
        <v>44895.62296296296</v>
      </c>
      <c r="C827" s="1" t="n">
        <v>46139</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48673-2021</t>
        </is>
      </c>
      <c r="B828" s="1" t="n">
        <v>44452</v>
      </c>
      <c r="C828" s="1" t="n">
        <v>46139</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46139</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12480-2024</t>
        </is>
      </c>
      <c r="B830" s="1" t="n">
        <v>45379</v>
      </c>
      <c r="C830" s="1" t="n">
        <v>46139</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18122-2026</t>
        </is>
      </c>
      <c r="B831" s="1" t="n">
        <v>46125.58524305555</v>
      </c>
      <c r="C831" s="1" t="n">
        <v>46139</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11415-2026</t>
        </is>
      </c>
      <c r="B832" s="1" t="n">
        <v>46083</v>
      </c>
      <c r="C832" s="1" t="n">
        <v>46139</v>
      </c>
      <c r="D832" t="inlineStr">
        <is>
          <t>KALMAR LÄN</t>
        </is>
      </c>
      <c r="E832" t="inlineStr">
        <is>
          <t>VIMMERBY</t>
        </is>
      </c>
      <c r="G832" t="n">
        <v>1.1</v>
      </c>
      <c r="H832" t="n">
        <v>0</v>
      </c>
      <c r="I832" t="n">
        <v>0</v>
      </c>
      <c r="J832" t="n">
        <v>0</v>
      </c>
      <c r="K832" t="n">
        <v>0</v>
      </c>
      <c r="L832" t="n">
        <v>0</v>
      </c>
      <c r="M832" t="n">
        <v>0</v>
      </c>
      <c r="N832" t="n">
        <v>0</v>
      </c>
      <c r="O832" t="n">
        <v>0</v>
      </c>
      <c r="P832" t="n">
        <v>0</v>
      </c>
      <c r="Q832" t="n">
        <v>0</v>
      </c>
      <c r="R832" s="2" t="inlineStr"/>
    </row>
    <row r="833" ht="15" customHeight="1">
      <c r="A833" t="inlineStr">
        <is>
          <t>A 40095-2022</t>
        </is>
      </c>
      <c r="B833" s="1" t="n">
        <v>44820</v>
      </c>
      <c r="C833" s="1" t="n">
        <v>46139</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11407-2026</t>
        </is>
      </c>
      <c r="B834" s="1" t="n">
        <v>46083</v>
      </c>
      <c r="C834" s="1" t="n">
        <v>46139</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50085-2023</t>
        </is>
      </c>
      <c r="B835" s="1" t="n">
        <v>45215.5959375</v>
      </c>
      <c r="C835" s="1" t="n">
        <v>46139</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50087-2023</t>
        </is>
      </c>
      <c r="B836" s="1" t="n">
        <v>45215.59743055556</v>
      </c>
      <c r="C836" s="1" t="n">
        <v>46139</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8167-2024</t>
        </is>
      </c>
      <c r="B837" s="1" t="n">
        <v>45351.6062962963</v>
      </c>
      <c r="C837" s="1" t="n">
        <v>46139</v>
      </c>
      <c r="D837" t="inlineStr">
        <is>
          <t>KALMAR LÄN</t>
        </is>
      </c>
      <c r="E837" t="inlineStr">
        <is>
          <t>VIMMERBY</t>
        </is>
      </c>
      <c r="G837" t="n">
        <v>3.8</v>
      </c>
      <c r="H837" t="n">
        <v>0</v>
      </c>
      <c r="I837" t="n">
        <v>0</v>
      </c>
      <c r="J837" t="n">
        <v>0</v>
      </c>
      <c r="K837" t="n">
        <v>0</v>
      </c>
      <c r="L837" t="n">
        <v>0</v>
      </c>
      <c r="M837" t="n">
        <v>0</v>
      </c>
      <c r="N837" t="n">
        <v>0</v>
      </c>
      <c r="O837" t="n">
        <v>0</v>
      </c>
      <c r="P837" t="n">
        <v>0</v>
      </c>
      <c r="Q837" t="n">
        <v>0</v>
      </c>
      <c r="R837" s="2" t="inlineStr"/>
    </row>
    <row r="838" ht="15" customHeight="1">
      <c r="A838" t="inlineStr">
        <is>
          <t>A 2604-2025</t>
        </is>
      </c>
      <c r="B838" s="1" t="n">
        <v>45674.74094907408</v>
      </c>
      <c r="C838" s="1" t="n">
        <v>46139</v>
      </c>
      <c r="D838" t="inlineStr">
        <is>
          <t>KALMAR LÄN</t>
        </is>
      </c>
      <c r="E838" t="inlineStr">
        <is>
          <t>VIMMERBY</t>
        </is>
      </c>
      <c r="G838" t="n">
        <v>7.6</v>
      </c>
      <c r="H838" t="n">
        <v>0</v>
      </c>
      <c r="I838" t="n">
        <v>0</v>
      </c>
      <c r="J838" t="n">
        <v>0</v>
      </c>
      <c r="K838" t="n">
        <v>0</v>
      </c>
      <c r="L838" t="n">
        <v>0</v>
      </c>
      <c r="M838" t="n">
        <v>0</v>
      </c>
      <c r="N838" t="n">
        <v>0</v>
      </c>
      <c r="O838" t="n">
        <v>0</v>
      </c>
      <c r="P838" t="n">
        <v>0</v>
      </c>
      <c r="Q838" t="n">
        <v>0</v>
      </c>
      <c r="R838" s="2" t="inlineStr"/>
    </row>
    <row r="839" ht="15" customHeight="1">
      <c r="A839" t="inlineStr">
        <is>
          <t>A 11798-2026</t>
        </is>
      </c>
      <c r="B839" s="1" t="n">
        <v>46085.34020833333</v>
      </c>
      <c r="C839" s="1" t="n">
        <v>46139</v>
      </c>
      <c r="D839" t="inlineStr">
        <is>
          <t>KALMAR LÄN</t>
        </is>
      </c>
      <c r="E839" t="inlineStr">
        <is>
          <t>VIMMERBY</t>
        </is>
      </c>
      <c r="G839" t="n">
        <v>0.7</v>
      </c>
      <c r="H839" t="n">
        <v>0</v>
      </c>
      <c r="I839" t="n">
        <v>0</v>
      </c>
      <c r="J839" t="n">
        <v>0</v>
      </c>
      <c r="K839" t="n">
        <v>0</v>
      </c>
      <c r="L839" t="n">
        <v>0</v>
      </c>
      <c r="M839" t="n">
        <v>0</v>
      </c>
      <c r="N839" t="n">
        <v>0</v>
      </c>
      <c r="O839" t="n">
        <v>0</v>
      </c>
      <c r="P839" t="n">
        <v>0</v>
      </c>
      <c r="Q839" t="n">
        <v>0</v>
      </c>
      <c r="R839" s="2" t="inlineStr"/>
    </row>
    <row r="840" ht="15" customHeight="1">
      <c r="A840" t="inlineStr">
        <is>
          <t>A 37192-2024</t>
        </is>
      </c>
      <c r="B840" s="1" t="n">
        <v>45539.66027777778</v>
      </c>
      <c r="C840" s="1" t="n">
        <v>46139</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18633-2026</t>
        </is>
      </c>
      <c r="B841" s="1" t="n">
        <v>46128.26289351852</v>
      </c>
      <c r="C841" s="1" t="n">
        <v>46139</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42429-2024</t>
        </is>
      </c>
      <c r="B842" s="1" t="n">
        <v>45565.40657407408</v>
      </c>
      <c r="C842" s="1" t="n">
        <v>46139</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29180-2024</t>
        </is>
      </c>
      <c r="B843" s="1" t="n">
        <v>45482.54108796296</v>
      </c>
      <c r="C843" s="1" t="n">
        <v>46139</v>
      </c>
      <c r="D843" t="inlineStr">
        <is>
          <t>KALMAR LÄN</t>
        </is>
      </c>
      <c r="E843" t="inlineStr">
        <is>
          <t>VIMMERBY</t>
        </is>
      </c>
      <c r="G843" t="n">
        <v>3.8</v>
      </c>
      <c r="H843" t="n">
        <v>0</v>
      </c>
      <c r="I843" t="n">
        <v>0</v>
      </c>
      <c r="J843" t="n">
        <v>0</v>
      </c>
      <c r="K843" t="n">
        <v>0</v>
      </c>
      <c r="L843" t="n">
        <v>0</v>
      </c>
      <c r="M843" t="n">
        <v>0</v>
      </c>
      <c r="N843" t="n">
        <v>0</v>
      </c>
      <c r="O843" t="n">
        <v>0</v>
      </c>
      <c r="P843" t="n">
        <v>0</v>
      </c>
      <c r="Q843" t="n">
        <v>0</v>
      </c>
      <c r="R843" s="2" t="inlineStr"/>
    </row>
    <row r="844" ht="15" customHeight="1">
      <c r="A844" t="inlineStr">
        <is>
          <t>A 45846-2023</t>
        </is>
      </c>
      <c r="B844" s="1" t="n">
        <v>45195.58452546296</v>
      </c>
      <c r="C844" s="1" t="n">
        <v>46139</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45026.82216435186</v>
      </c>
      <c r="C845" s="1" t="n">
        <v>46139</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61820-2023</t>
        </is>
      </c>
      <c r="B846" s="1" t="n">
        <v>45266.32614583334</v>
      </c>
      <c r="C846" s="1" t="n">
        <v>46139</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45560-2021</t>
        </is>
      </c>
      <c r="B847" s="1" t="n">
        <v>44440</v>
      </c>
      <c r="C847" s="1" t="n">
        <v>46139</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40256-2024</t>
        </is>
      </c>
      <c r="B848" s="1" t="n">
        <v>45554.62944444444</v>
      </c>
      <c r="C848" s="1" t="n">
        <v>46139</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ht="15" customHeight="1">
      <c r="A849" t="inlineStr">
        <is>
          <t>A 58104-2024</t>
        </is>
      </c>
      <c r="B849" s="1" t="n">
        <v>45632.37459490741</v>
      </c>
      <c r="C849" s="1" t="n">
        <v>46139</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36259-2022</t>
        </is>
      </c>
      <c r="B850" s="1" t="n">
        <v>44803.59118055556</v>
      </c>
      <c r="C850" s="1" t="n">
        <v>46139</v>
      </c>
      <c r="D850" t="inlineStr">
        <is>
          <t>KALMAR LÄN</t>
        </is>
      </c>
      <c r="E850" t="inlineStr">
        <is>
          <t>VIMMERBY</t>
        </is>
      </c>
      <c r="G850" t="n">
        <v>3.9</v>
      </c>
      <c r="H850" t="n">
        <v>0</v>
      </c>
      <c r="I850" t="n">
        <v>0</v>
      </c>
      <c r="J850" t="n">
        <v>0</v>
      </c>
      <c r="K850" t="n">
        <v>0</v>
      </c>
      <c r="L850" t="n">
        <v>0</v>
      </c>
      <c r="M850" t="n">
        <v>0</v>
      </c>
      <c r="N850" t="n">
        <v>0</v>
      </c>
      <c r="O850" t="n">
        <v>0</v>
      </c>
      <c r="P850" t="n">
        <v>0</v>
      </c>
      <c r="Q850" t="n">
        <v>0</v>
      </c>
      <c r="R850" s="2" t="inlineStr"/>
    </row>
    <row r="851" ht="15" customHeight="1">
      <c r="A851" t="inlineStr">
        <is>
          <t>A 43034-2024</t>
        </is>
      </c>
      <c r="B851" s="1" t="n">
        <v>45567.42011574074</v>
      </c>
      <c r="C851" s="1" t="n">
        <v>46139</v>
      </c>
      <c r="D851" t="inlineStr">
        <is>
          <t>KALMAR LÄN</t>
        </is>
      </c>
      <c r="E851" t="inlineStr">
        <is>
          <t>VIMMERBY</t>
        </is>
      </c>
      <c r="G851" t="n">
        <v>1.8</v>
      </c>
      <c r="H851" t="n">
        <v>0</v>
      </c>
      <c r="I851" t="n">
        <v>0</v>
      </c>
      <c r="J851" t="n">
        <v>0</v>
      </c>
      <c r="K851" t="n">
        <v>0</v>
      </c>
      <c r="L851" t="n">
        <v>0</v>
      </c>
      <c r="M851" t="n">
        <v>0</v>
      </c>
      <c r="N851" t="n">
        <v>0</v>
      </c>
      <c r="O851" t="n">
        <v>0</v>
      </c>
      <c r="P851" t="n">
        <v>0</v>
      </c>
      <c r="Q851" t="n">
        <v>0</v>
      </c>
      <c r="R851" s="2" t="inlineStr"/>
    </row>
    <row r="852" ht="15" customHeight="1">
      <c r="A852" t="inlineStr">
        <is>
          <t>A 12730-2026</t>
        </is>
      </c>
      <c r="B852" s="1" t="n">
        <v>46091</v>
      </c>
      <c r="C852" s="1" t="n">
        <v>46139</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3902-2022</t>
        </is>
      </c>
      <c r="B853" s="1" t="n">
        <v>44587.48847222222</v>
      </c>
      <c r="C853" s="1" t="n">
        <v>46139</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30070-2023</t>
        </is>
      </c>
      <c r="B854" s="1" t="n">
        <v>45110.4275</v>
      </c>
      <c r="C854" s="1" t="n">
        <v>46139</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31209-2024</t>
        </is>
      </c>
      <c r="B855" s="1" t="n">
        <v>45503.5658912037</v>
      </c>
      <c r="C855" s="1" t="n">
        <v>46139</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4527-2023</t>
        </is>
      </c>
      <c r="B856" s="1" t="n">
        <v>44956</v>
      </c>
      <c r="C856" s="1" t="n">
        <v>46139</v>
      </c>
      <c r="D856" t="inlineStr">
        <is>
          <t>KALMAR LÄN</t>
        </is>
      </c>
      <c r="E856" t="inlineStr">
        <is>
          <t>VIMMERBY</t>
        </is>
      </c>
      <c r="F856" t="inlineStr">
        <is>
          <t>Kommuner</t>
        </is>
      </c>
      <c r="G856" t="n">
        <v>8.5</v>
      </c>
      <c r="H856" t="n">
        <v>0</v>
      </c>
      <c r="I856" t="n">
        <v>0</v>
      </c>
      <c r="J856" t="n">
        <v>0</v>
      </c>
      <c r="K856" t="n">
        <v>0</v>
      </c>
      <c r="L856" t="n">
        <v>0</v>
      </c>
      <c r="M856" t="n">
        <v>0</v>
      </c>
      <c r="N856" t="n">
        <v>0</v>
      </c>
      <c r="O856" t="n">
        <v>0</v>
      </c>
      <c r="P856" t="n">
        <v>0</v>
      </c>
      <c r="Q856" t="n">
        <v>0</v>
      </c>
      <c r="R856" s="2" t="inlineStr"/>
    </row>
    <row r="857" ht="15" customHeight="1">
      <c r="A857" t="inlineStr">
        <is>
          <t>A 5864-2022</t>
        </is>
      </c>
      <c r="B857" s="1" t="n">
        <v>44596</v>
      </c>
      <c r="C857" s="1" t="n">
        <v>46139</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12820-2026</t>
        </is>
      </c>
      <c r="B858" s="1" t="n">
        <v>46092.40909722223</v>
      </c>
      <c r="C858" s="1" t="n">
        <v>46139</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12821-2026</t>
        </is>
      </c>
      <c r="B859" s="1" t="n">
        <v>46092.41256944444</v>
      </c>
      <c r="C859" s="1" t="n">
        <v>46139</v>
      </c>
      <c r="D859" t="inlineStr">
        <is>
          <t>KALMAR LÄN</t>
        </is>
      </c>
      <c r="E859" t="inlineStr">
        <is>
          <t>VIMMERBY</t>
        </is>
      </c>
      <c r="G859" t="n">
        <v>2.5</v>
      </c>
      <c r="H859" t="n">
        <v>0</v>
      </c>
      <c r="I859" t="n">
        <v>0</v>
      </c>
      <c r="J859" t="n">
        <v>0</v>
      </c>
      <c r="K859" t="n">
        <v>0</v>
      </c>
      <c r="L859" t="n">
        <v>0</v>
      </c>
      <c r="M859" t="n">
        <v>0</v>
      </c>
      <c r="N859" t="n">
        <v>0</v>
      </c>
      <c r="O859" t="n">
        <v>0</v>
      </c>
      <c r="P859" t="n">
        <v>0</v>
      </c>
      <c r="Q859" t="n">
        <v>0</v>
      </c>
      <c r="R859" s="2" t="inlineStr"/>
    </row>
    <row r="860" ht="15" customHeight="1">
      <c r="A860" t="inlineStr">
        <is>
          <t>A 12825-2026</t>
        </is>
      </c>
      <c r="B860" s="1" t="n">
        <v>46092.41561342592</v>
      </c>
      <c r="C860" s="1" t="n">
        <v>46139</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30912-2023</t>
        </is>
      </c>
      <c r="B861" s="1" t="n">
        <v>45113.41633101852</v>
      </c>
      <c r="C861" s="1" t="n">
        <v>46139</v>
      </c>
      <c r="D861" t="inlineStr">
        <is>
          <t>KALMAR LÄN</t>
        </is>
      </c>
      <c r="E861" t="inlineStr">
        <is>
          <t>VIMMERBY</t>
        </is>
      </c>
      <c r="G861" t="n">
        <v>5</v>
      </c>
      <c r="H861" t="n">
        <v>0</v>
      </c>
      <c r="I861" t="n">
        <v>0</v>
      </c>
      <c r="J861" t="n">
        <v>0</v>
      </c>
      <c r="K861" t="n">
        <v>0</v>
      </c>
      <c r="L861" t="n">
        <v>0</v>
      </c>
      <c r="M861" t="n">
        <v>0</v>
      </c>
      <c r="N861" t="n">
        <v>0</v>
      </c>
      <c r="O861" t="n">
        <v>0</v>
      </c>
      <c r="P861" t="n">
        <v>0</v>
      </c>
      <c r="Q861" t="n">
        <v>0</v>
      </c>
      <c r="R861" s="2" t="inlineStr"/>
    </row>
    <row r="862" ht="15" customHeight="1">
      <c r="A862" t="inlineStr">
        <is>
          <t>A 1146-2025</t>
        </is>
      </c>
      <c r="B862" s="1" t="n">
        <v>45666</v>
      </c>
      <c r="C862" s="1" t="n">
        <v>46139</v>
      </c>
      <c r="D862" t="inlineStr">
        <is>
          <t>KALMAR LÄN</t>
        </is>
      </c>
      <c r="E862" t="inlineStr">
        <is>
          <t>VIMMERBY</t>
        </is>
      </c>
      <c r="G862" t="n">
        <v>4</v>
      </c>
      <c r="H862" t="n">
        <v>0</v>
      </c>
      <c r="I862" t="n">
        <v>0</v>
      </c>
      <c r="J862" t="n">
        <v>0</v>
      </c>
      <c r="K862" t="n">
        <v>0</v>
      </c>
      <c r="L862" t="n">
        <v>0</v>
      </c>
      <c r="M862" t="n">
        <v>0</v>
      </c>
      <c r="N862" t="n">
        <v>0</v>
      </c>
      <c r="O862" t="n">
        <v>0</v>
      </c>
      <c r="P862" t="n">
        <v>0</v>
      </c>
      <c r="Q862" t="n">
        <v>0</v>
      </c>
      <c r="R862" s="2" t="inlineStr"/>
    </row>
    <row r="863" ht="15" customHeight="1">
      <c r="A863" t="inlineStr">
        <is>
          <t>A 62023-2022</t>
        </is>
      </c>
      <c r="B863" s="1" t="n">
        <v>44918.50106481482</v>
      </c>
      <c r="C863" s="1" t="n">
        <v>46139</v>
      </c>
      <c r="D863" t="inlineStr">
        <is>
          <t>KALMAR LÄN</t>
        </is>
      </c>
      <c r="E863" t="inlineStr">
        <is>
          <t>VIMMERBY</t>
        </is>
      </c>
      <c r="G863" t="n">
        <v>0.3</v>
      </c>
      <c r="H863" t="n">
        <v>0</v>
      </c>
      <c r="I863" t="n">
        <v>0</v>
      </c>
      <c r="J863" t="n">
        <v>0</v>
      </c>
      <c r="K863" t="n">
        <v>0</v>
      </c>
      <c r="L863" t="n">
        <v>0</v>
      </c>
      <c r="M863" t="n">
        <v>0</v>
      </c>
      <c r="N863" t="n">
        <v>0</v>
      </c>
      <c r="O863" t="n">
        <v>0</v>
      </c>
      <c r="P863" t="n">
        <v>0</v>
      </c>
      <c r="Q863" t="n">
        <v>0</v>
      </c>
      <c r="R863" s="2" t="inlineStr"/>
    </row>
    <row r="864" ht="15" customHeight="1">
      <c r="A864" t="inlineStr">
        <is>
          <t>A 20017-2026</t>
        </is>
      </c>
      <c r="B864" s="1" t="n">
        <v>46136.49986111111</v>
      </c>
      <c r="C864" s="1" t="n">
        <v>46139</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45027.59450231482</v>
      </c>
      <c r="C865" s="1" t="n">
        <v>46139</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52327-2023</t>
        </is>
      </c>
      <c r="B866" s="1" t="n">
        <v>45224.6515162037</v>
      </c>
      <c r="C866" s="1" t="n">
        <v>46139</v>
      </c>
      <c r="D866" t="inlineStr">
        <is>
          <t>KALMAR LÄN</t>
        </is>
      </c>
      <c r="E866" t="inlineStr">
        <is>
          <t>VIMMERBY</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12075-2024</t>
        </is>
      </c>
      <c r="B867" s="1" t="n">
        <v>45377</v>
      </c>
      <c r="C867" s="1" t="n">
        <v>46139</v>
      </c>
      <c r="D867" t="inlineStr">
        <is>
          <t>KALMAR LÄN</t>
        </is>
      </c>
      <c r="E867" t="inlineStr">
        <is>
          <t>VIMMERBY</t>
        </is>
      </c>
      <c r="G867" t="n">
        <v>3.7</v>
      </c>
      <c r="H867" t="n">
        <v>0</v>
      </c>
      <c r="I867" t="n">
        <v>0</v>
      </c>
      <c r="J867" t="n">
        <v>0</v>
      </c>
      <c r="K867" t="n">
        <v>0</v>
      </c>
      <c r="L867" t="n">
        <v>0</v>
      </c>
      <c r="M867" t="n">
        <v>0</v>
      </c>
      <c r="N867" t="n">
        <v>0</v>
      </c>
      <c r="O867" t="n">
        <v>0</v>
      </c>
      <c r="P867" t="n">
        <v>0</v>
      </c>
      <c r="Q867" t="n">
        <v>0</v>
      </c>
      <c r="R867" s="2" t="inlineStr"/>
    </row>
    <row r="868" ht="15" customHeight="1">
      <c r="A868" t="inlineStr">
        <is>
          <t>A 29348-2023</t>
        </is>
      </c>
      <c r="B868" s="1" t="n">
        <v>45106.25025462963</v>
      </c>
      <c r="C868" s="1" t="n">
        <v>46139</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31340-2023</t>
        </is>
      </c>
      <c r="B869" s="1" t="n">
        <v>45114.47895833333</v>
      </c>
      <c r="C869" s="1" t="n">
        <v>46139</v>
      </c>
      <c r="D869" t="inlineStr">
        <is>
          <t>KALMAR LÄN</t>
        </is>
      </c>
      <c r="E869" t="inlineStr">
        <is>
          <t>VIMMERBY</t>
        </is>
      </c>
      <c r="G869" t="n">
        <v>1.8</v>
      </c>
      <c r="H869" t="n">
        <v>0</v>
      </c>
      <c r="I869" t="n">
        <v>0</v>
      </c>
      <c r="J869" t="n">
        <v>0</v>
      </c>
      <c r="K869" t="n">
        <v>0</v>
      </c>
      <c r="L869" t="n">
        <v>0</v>
      </c>
      <c r="M869" t="n">
        <v>0</v>
      </c>
      <c r="N869" t="n">
        <v>0</v>
      </c>
      <c r="O869" t="n">
        <v>0</v>
      </c>
      <c r="P869" t="n">
        <v>0</v>
      </c>
      <c r="Q869" t="n">
        <v>0</v>
      </c>
      <c r="R869" s="2" t="inlineStr"/>
    </row>
    <row r="870" ht="15" customHeight="1">
      <c r="A870" t="inlineStr">
        <is>
          <t>A 20018-2026</t>
        </is>
      </c>
      <c r="B870" s="1" t="n">
        <v>46136.50282407407</v>
      </c>
      <c r="C870" s="1" t="n">
        <v>46139</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7758-2024</t>
        </is>
      </c>
      <c r="B871" s="1" t="n">
        <v>45349.54434027777</v>
      </c>
      <c r="C871" s="1" t="n">
        <v>46139</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5701-2024</t>
        </is>
      </c>
      <c r="B872" s="1" t="n">
        <v>45334.78826388889</v>
      </c>
      <c r="C872" s="1" t="n">
        <v>46139</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31405-2023</t>
        </is>
      </c>
      <c r="B873" s="1" t="n">
        <v>45114.58148148148</v>
      </c>
      <c r="C873" s="1" t="n">
        <v>46139</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6355-2022</t>
        </is>
      </c>
      <c r="B874" s="1" t="n">
        <v>44600</v>
      </c>
      <c r="C874" s="1" t="n">
        <v>46139</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46225-2024</t>
        </is>
      </c>
      <c r="B875" s="1" t="n">
        <v>45581.57333333333</v>
      </c>
      <c r="C875" s="1" t="n">
        <v>46139</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9418-2024</t>
        </is>
      </c>
      <c r="B876" s="1" t="n">
        <v>45359.45038194444</v>
      </c>
      <c r="C876" s="1" t="n">
        <v>46139</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57091-2022</t>
        </is>
      </c>
      <c r="B877" s="1" t="n">
        <v>44895.46524305556</v>
      </c>
      <c r="C877" s="1" t="n">
        <v>46139</v>
      </c>
      <c r="D877" t="inlineStr">
        <is>
          <t>KALMAR LÄN</t>
        </is>
      </c>
      <c r="E877" t="inlineStr">
        <is>
          <t>VIMMERBY</t>
        </is>
      </c>
      <c r="G877" t="n">
        <v>2.6</v>
      </c>
      <c r="H877" t="n">
        <v>0</v>
      </c>
      <c r="I877" t="n">
        <v>0</v>
      </c>
      <c r="J877" t="n">
        <v>0</v>
      </c>
      <c r="K877" t="n">
        <v>0</v>
      </c>
      <c r="L877" t="n">
        <v>0</v>
      </c>
      <c r="M877" t="n">
        <v>0</v>
      </c>
      <c r="N877" t="n">
        <v>0</v>
      </c>
      <c r="O877" t="n">
        <v>0</v>
      </c>
      <c r="P877" t="n">
        <v>0</v>
      </c>
      <c r="Q877" t="n">
        <v>0</v>
      </c>
      <c r="R877" s="2" t="inlineStr"/>
    </row>
    <row r="878" ht="15" customHeight="1">
      <c r="A878" t="inlineStr">
        <is>
          <t>A 3816-2022</t>
        </is>
      </c>
      <c r="B878" s="1" t="n">
        <v>44587</v>
      </c>
      <c r="C878" s="1" t="n">
        <v>46139</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43606-2024</t>
        </is>
      </c>
      <c r="B879" s="1" t="n">
        <v>45569.45017361111</v>
      </c>
      <c r="C879" s="1" t="n">
        <v>46139</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43617-2024</t>
        </is>
      </c>
      <c r="B880" s="1" t="n">
        <v>45569.47494212963</v>
      </c>
      <c r="C880" s="1" t="n">
        <v>46139</v>
      </c>
      <c r="D880" t="inlineStr">
        <is>
          <t>KALMAR LÄN</t>
        </is>
      </c>
      <c r="E880" t="inlineStr">
        <is>
          <t>VIMMERBY</t>
        </is>
      </c>
      <c r="G880" t="n">
        <v>2.7</v>
      </c>
      <c r="H880" t="n">
        <v>0</v>
      </c>
      <c r="I880" t="n">
        <v>0</v>
      </c>
      <c r="J880" t="n">
        <v>0</v>
      </c>
      <c r="K880" t="n">
        <v>0</v>
      </c>
      <c r="L880" t="n">
        <v>0</v>
      </c>
      <c r="M880" t="n">
        <v>0</v>
      </c>
      <c r="N880" t="n">
        <v>0</v>
      </c>
      <c r="O880" t="n">
        <v>0</v>
      </c>
      <c r="P880" t="n">
        <v>0</v>
      </c>
      <c r="Q880" t="n">
        <v>0</v>
      </c>
      <c r="R880" s="2" t="inlineStr"/>
    </row>
    <row r="881" ht="15" customHeight="1">
      <c r="A881" t="inlineStr">
        <is>
          <t>A 47859-2024</t>
        </is>
      </c>
      <c r="B881" s="1" t="n">
        <v>45588.67070601852</v>
      </c>
      <c r="C881" s="1" t="n">
        <v>46139</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8540-2024</t>
        </is>
      </c>
      <c r="B882" s="1" t="n">
        <v>45355.54138888889</v>
      </c>
      <c r="C882" s="1" t="n">
        <v>46139</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3331-2023</t>
        </is>
      </c>
      <c r="B883" s="1" t="n">
        <v>44949</v>
      </c>
      <c r="C883" s="1" t="n">
        <v>46139</v>
      </c>
      <c r="D883" t="inlineStr">
        <is>
          <t>KALMAR LÄN</t>
        </is>
      </c>
      <c r="E883" t="inlineStr">
        <is>
          <t>VIMMERBY</t>
        </is>
      </c>
      <c r="G883" t="n">
        <v>6.2</v>
      </c>
      <c r="H883" t="n">
        <v>0</v>
      </c>
      <c r="I883" t="n">
        <v>0</v>
      </c>
      <c r="J883" t="n">
        <v>0</v>
      </c>
      <c r="K883" t="n">
        <v>0</v>
      </c>
      <c r="L883" t="n">
        <v>0</v>
      </c>
      <c r="M883" t="n">
        <v>0</v>
      </c>
      <c r="N883" t="n">
        <v>0</v>
      </c>
      <c r="O883" t="n">
        <v>0</v>
      </c>
      <c r="P883" t="n">
        <v>0</v>
      </c>
      <c r="Q883" t="n">
        <v>0</v>
      </c>
      <c r="R883" s="2" t="inlineStr"/>
    </row>
    <row r="884" ht="15" customHeight="1">
      <c r="A884" t="inlineStr">
        <is>
          <t>A 598-2025</t>
        </is>
      </c>
      <c r="B884" s="1" t="n">
        <v>45660</v>
      </c>
      <c r="C884" s="1" t="n">
        <v>46139</v>
      </c>
      <c r="D884" t="inlineStr">
        <is>
          <t>KALMAR LÄN</t>
        </is>
      </c>
      <c r="E884" t="inlineStr">
        <is>
          <t>VIMMERBY</t>
        </is>
      </c>
      <c r="G884" t="n">
        <v>12</v>
      </c>
      <c r="H884" t="n">
        <v>0</v>
      </c>
      <c r="I884" t="n">
        <v>0</v>
      </c>
      <c r="J884" t="n">
        <v>0</v>
      </c>
      <c r="K884" t="n">
        <v>0</v>
      </c>
      <c r="L884" t="n">
        <v>0</v>
      </c>
      <c r="M884" t="n">
        <v>0</v>
      </c>
      <c r="N884" t="n">
        <v>0</v>
      </c>
      <c r="O884" t="n">
        <v>0</v>
      </c>
      <c r="P884" t="n">
        <v>0</v>
      </c>
      <c r="Q884" t="n">
        <v>0</v>
      </c>
      <c r="R884" s="2" t="inlineStr"/>
    </row>
    <row r="885" ht="15" customHeight="1">
      <c r="A885" t="inlineStr">
        <is>
          <t>A 25799-2023</t>
        </is>
      </c>
      <c r="B885" s="1" t="n">
        <v>45090</v>
      </c>
      <c r="C885" s="1" t="n">
        <v>46139</v>
      </c>
      <c r="D885" t="inlineStr">
        <is>
          <t>KALMAR LÄN</t>
        </is>
      </c>
      <c r="E885" t="inlineStr">
        <is>
          <t>VIMMERBY</t>
        </is>
      </c>
      <c r="G885" t="n">
        <v>7.7</v>
      </c>
      <c r="H885" t="n">
        <v>0</v>
      </c>
      <c r="I885" t="n">
        <v>0</v>
      </c>
      <c r="J885" t="n">
        <v>0</v>
      </c>
      <c r="K885" t="n">
        <v>0</v>
      </c>
      <c r="L885" t="n">
        <v>0</v>
      </c>
      <c r="M885" t="n">
        <v>0</v>
      </c>
      <c r="N885" t="n">
        <v>0</v>
      </c>
      <c r="O885" t="n">
        <v>0</v>
      </c>
      <c r="P885" t="n">
        <v>0</v>
      </c>
      <c r="Q885" t="n">
        <v>0</v>
      </c>
      <c r="R885" s="2" t="inlineStr"/>
    </row>
    <row r="886" ht="15" customHeight="1">
      <c r="A886" t="inlineStr">
        <is>
          <t>A 53083-2021</t>
        </is>
      </c>
      <c r="B886" s="1" t="n">
        <v>44467.83386574074</v>
      </c>
      <c r="C886" s="1" t="n">
        <v>46139</v>
      </c>
      <c r="D886" t="inlineStr">
        <is>
          <t>KALMAR LÄN</t>
        </is>
      </c>
      <c r="E886" t="inlineStr">
        <is>
          <t>VIMMERBY</t>
        </is>
      </c>
      <c r="G886" t="n">
        <v>6.8</v>
      </c>
      <c r="H886" t="n">
        <v>0</v>
      </c>
      <c r="I886" t="n">
        <v>0</v>
      </c>
      <c r="J886" t="n">
        <v>0</v>
      </c>
      <c r="K886" t="n">
        <v>0</v>
      </c>
      <c r="L886" t="n">
        <v>0</v>
      </c>
      <c r="M886" t="n">
        <v>0</v>
      </c>
      <c r="N886" t="n">
        <v>0</v>
      </c>
      <c r="O886" t="n">
        <v>0</v>
      </c>
      <c r="P886" t="n">
        <v>0</v>
      </c>
      <c r="Q886" t="n">
        <v>0</v>
      </c>
      <c r="R886" s="2" t="inlineStr"/>
    </row>
    <row r="887" ht="15" customHeight="1">
      <c r="A887" t="inlineStr">
        <is>
          <t>A 24655-2021</t>
        </is>
      </c>
      <c r="B887" s="1" t="n">
        <v>44340</v>
      </c>
      <c r="C887" s="1" t="n">
        <v>46139</v>
      </c>
      <c r="D887" t="inlineStr">
        <is>
          <t>KALMAR LÄN</t>
        </is>
      </c>
      <c r="E887" t="inlineStr">
        <is>
          <t>VIMMERBY</t>
        </is>
      </c>
      <c r="G887" t="n">
        <v>14.9</v>
      </c>
      <c r="H887" t="n">
        <v>0</v>
      </c>
      <c r="I887" t="n">
        <v>0</v>
      </c>
      <c r="J887" t="n">
        <v>0</v>
      </c>
      <c r="K887" t="n">
        <v>0</v>
      </c>
      <c r="L887" t="n">
        <v>0</v>
      </c>
      <c r="M887" t="n">
        <v>0</v>
      </c>
      <c r="N887" t="n">
        <v>0</v>
      </c>
      <c r="O887" t="n">
        <v>0</v>
      </c>
      <c r="P887" t="n">
        <v>0</v>
      </c>
      <c r="Q887" t="n">
        <v>0</v>
      </c>
      <c r="R887" s="2" t="inlineStr"/>
    </row>
    <row r="888" ht="15" customHeight="1">
      <c r="A888" t="inlineStr">
        <is>
          <t>A 33838-2022</t>
        </is>
      </c>
      <c r="B888" s="1" t="n">
        <v>44790.49040509259</v>
      </c>
      <c r="C888" s="1" t="n">
        <v>46139</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32835-2022</t>
        </is>
      </c>
      <c r="B889" s="1" t="n">
        <v>44784.42528935185</v>
      </c>
      <c r="C889" s="1" t="n">
        <v>46139</v>
      </c>
      <c r="D889" t="inlineStr">
        <is>
          <t>KALMAR LÄN</t>
        </is>
      </c>
      <c r="E889" t="inlineStr">
        <is>
          <t>VIMMERBY</t>
        </is>
      </c>
      <c r="G889" t="n">
        <v>1.6</v>
      </c>
      <c r="H889" t="n">
        <v>0</v>
      </c>
      <c r="I889" t="n">
        <v>0</v>
      </c>
      <c r="J889" t="n">
        <v>0</v>
      </c>
      <c r="K889" t="n">
        <v>0</v>
      </c>
      <c r="L889" t="n">
        <v>0</v>
      </c>
      <c r="M889" t="n">
        <v>0</v>
      </c>
      <c r="N889" t="n">
        <v>0</v>
      </c>
      <c r="O889" t="n">
        <v>0</v>
      </c>
      <c r="P889" t="n">
        <v>0</v>
      </c>
      <c r="Q889" t="n">
        <v>0</v>
      </c>
      <c r="R889" s="2" t="inlineStr"/>
    </row>
    <row r="890" ht="15" customHeight="1">
      <c r="A890" t="inlineStr">
        <is>
          <t>A 1081-2023</t>
        </is>
      </c>
      <c r="B890" s="1" t="n">
        <v>44935</v>
      </c>
      <c r="C890" s="1" t="n">
        <v>46139</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47063-2022</t>
        </is>
      </c>
      <c r="B891" s="1" t="n">
        <v>44852</v>
      </c>
      <c r="C891" s="1" t="n">
        <v>46139</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28403-2023</t>
        </is>
      </c>
      <c r="B892" s="1" t="n">
        <v>45100.85270833333</v>
      </c>
      <c r="C892" s="1" t="n">
        <v>46139</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33103-2024</t>
        </is>
      </c>
      <c r="B893" s="1" t="n">
        <v>45517.8162037037</v>
      </c>
      <c r="C893" s="1" t="n">
        <v>46139</v>
      </c>
      <c r="D893" t="inlineStr">
        <is>
          <t>KALMAR LÄN</t>
        </is>
      </c>
      <c r="E893" t="inlineStr">
        <is>
          <t>VIMMERBY</t>
        </is>
      </c>
      <c r="G893" t="n">
        <v>1.6</v>
      </c>
      <c r="H893" t="n">
        <v>0</v>
      </c>
      <c r="I893" t="n">
        <v>0</v>
      </c>
      <c r="J893" t="n">
        <v>0</v>
      </c>
      <c r="K893" t="n">
        <v>0</v>
      </c>
      <c r="L893" t="n">
        <v>0</v>
      </c>
      <c r="M893" t="n">
        <v>0</v>
      </c>
      <c r="N893" t="n">
        <v>0</v>
      </c>
      <c r="O893" t="n">
        <v>0</v>
      </c>
      <c r="P893" t="n">
        <v>0</v>
      </c>
      <c r="Q893" t="n">
        <v>0</v>
      </c>
      <c r="R893" s="2" t="inlineStr"/>
    </row>
    <row r="894" ht="15" customHeight="1">
      <c r="A894" t="inlineStr">
        <is>
          <t>A 2260-2022</t>
        </is>
      </c>
      <c r="B894" s="1" t="n">
        <v>44578.62943287037</v>
      </c>
      <c r="C894" s="1" t="n">
        <v>46139</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11661-2023</t>
        </is>
      </c>
      <c r="B895" s="1" t="n">
        <v>44994.46908564815</v>
      </c>
      <c r="C895" s="1" t="n">
        <v>46139</v>
      </c>
      <c r="D895" t="inlineStr">
        <is>
          <t>KALMAR LÄN</t>
        </is>
      </c>
      <c r="E895" t="inlineStr">
        <is>
          <t>VIMMERBY</t>
        </is>
      </c>
      <c r="G895" t="n">
        <v>2.7</v>
      </c>
      <c r="H895" t="n">
        <v>0</v>
      </c>
      <c r="I895" t="n">
        <v>0</v>
      </c>
      <c r="J895" t="n">
        <v>0</v>
      </c>
      <c r="K895" t="n">
        <v>0</v>
      </c>
      <c r="L895" t="n">
        <v>0</v>
      </c>
      <c r="M895" t="n">
        <v>0</v>
      </c>
      <c r="N895" t="n">
        <v>0</v>
      </c>
      <c r="O895" t="n">
        <v>0</v>
      </c>
      <c r="P895" t="n">
        <v>0</v>
      </c>
      <c r="Q895" t="n">
        <v>0</v>
      </c>
      <c r="R895" s="2" t="inlineStr"/>
    </row>
    <row r="896" ht="15" customHeight="1">
      <c r="A896" t="inlineStr">
        <is>
          <t>A 58046-2022</t>
        </is>
      </c>
      <c r="B896" s="1" t="n">
        <v>44900.57393518519</v>
      </c>
      <c r="C896" s="1" t="n">
        <v>46139</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45528-2021</t>
        </is>
      </c>
      <c r="B897" s="1" t="n">
        <v>44440.60415509259</v>
      </c>
      <c r="C897" s="1" t="n">
        <v>46139</v>
      </c>
      <c r="D897" t="inlineStr">
        <is>
          <t>KALMAR LÄN</t>
        </is>
      </c>
      <c r="E897" t="inlineStr">
        <is>
          <t>VIMMERBY</t>
        </is>
      </c>
      <c r="G897" t="n">
        <v>2.2</v>
      </c>
      <c r="H897" t="n">
        <v>0</v>
      </c>
      <c r="I897" t="n">
        <v>0</v>
      </c>
      <c r="J897" t="n">
        <v>0</v>
      </c>
      <c r="K897" t="n">
        <v>0</v>
      </c>
      <c r="L897" t="n">
        <v>0</v>
      </c>
      <c r="M897" t="n">
        <v>0</v>
      </c>
      <c r="N897" t="n">
        <v>0</v>
      </c>
      <c r="O897" t="n">
        <v>0</v>
      </c>
      <c r="P897" t="n">
        <v>0</v>
      </c>
      <c r="Q897" t="n">
        <v>0</v>
      </c>
      <c r="R897" s="2" t="inlineStr"/>
    </row>
    <row r="898" ht="15" customHeight="1">
      <c r="A898" t="inlineStr">
        <is>
          <t>A 46979-2023</t>
        </is>
      </c>
      <c r="B898" s="1" t="n">
        <v>45201</v>
      </c>
      <c r="C898" s="1" t="n">
        <v>46139</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6574-2023</t>
        </is>
      </c>
      <c r="B899" s="1" t="n">
        <v>44966</v>
      </c>
      <c r="C899" s="1" t="n">
        <v>46139</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4058-2024</t>
        </is>
      </c>
      <c r="B900" s="1" t="n">
        <v>45323.53744212963</v>
      </c>
      <c r="C900" s="1" t="n">
        <v>46139</v>
      </c>
      <c r="D900" t="inlineStr">
        <is>
          <t>KALMAR LÄN</t>
        </is>
      </c>
      <c r="E900" t="inlineStr">
        <is>
          <t>VIMMERBY</t>
        </is>
      </c>
      <c r="G900" t="n">
        <v>6.5</v>
      </c>
      <c r="H900" t="n">
        <v>0</v>
      </c>
      <c r="I900" t="n">
        <v>0</v>
      </c>
      <c r="J900" t="n">
        <v>0</v>
      </c>
      <c r="K900" t="n">
        <v>0</v>
      </c>
      <c r="L900" t="n">
        <v>0</v>
      </c>
      <c r="M900" t="n">
        <v>0</v>
      </c>
      <c r="N900" t="n">
        <v>0</v>
      </c>
      <c r="O900" t="n">
        <v>0</v>
      </c>
      <c r="P900" t="n">
        <v>0</v>
      </c>
      <c r="Q900" t="n">
        <v>0</v>
      </c>
      <c r="R900" s="2" t="inlineStr"/>
    </row>
    <row r="901" ht="15" customHeight="1">
      <c r="A901" t="inlineStr">
        <is>
          <t>A 1978-2024</t>
        </is>
      </c>
      <c r="B901" s="1" t="n">
        <v>45308.59001157407</v>
      </c>
      <c r="C901" s="1" t="n">
        <v>46139</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30318-2023</t>
        </is>
      </c>
      <c r="B902" s="1" t="n">
        <v>45111.30824074074</v>
      </c>
      <c r="C902" s="1" t="n">
        <v>46139</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25234-2023</t>
        </is>
      </c>
      <c r="B903" s="1" t="n">
        <v>45086.63194444445</v>
      </c>
      <c r="C903" s="1" t="n">
        <v>46139</v>
      </c>
      <c r="D903" t="inlineStr">
        <is>
          <t>KALMAR LÄN</t>
        </is>
      </c>
      <c r="E903" t="inlineStr">
        <is>
          <t>VIMMERBY</t>
        </is>
      </c>
      <c r="G903" t="n">
        <v>2.1</v>
      </c>
      <c r="H903" t="n">
        <v>0</v>
      </c>
      <c r="I903" t="n">
        <v>0</v>
      </c>
      <c r="J903" t="n">
        <v>0</v>
      </c>
      <c r="K903" t="n">
        <v>0</v>
      </c>
      <c r="L903" t="n">
        <v>0</v>
      </c>
      <c r="M903" t="n">
        <v>0</v>
      </c>
      <c r="N903" t="n">
        <v>0</v>
      </c>
      <c r="O903" t="n">
        <v>0</v>
      </c>
      <c r="P903" t="n">
        <v>0</v>
      </c>
      <c r="Q903" t="n">
        <v>0</v>
      </c>
      <c r="R903" s="2" t="inlineStr"/>
    </row>
    <row r="904" ht="15" customHeight="1">
      <c r="A904" t="inlineStr">
        <is>
          <t>A 46078-2023</t>
        </is>
      </c>
      <c r="B904" s="1" t="n">
        <v>45196</v>
      </c>
      <c r="C904" s="1" t="n">
        <v>46139</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3609-2024</t>
        </is>
      </c>
      <c r="B905" s="1" t="n">
        <v>45320.89128472222</v>
      </c>
      <c r="C905" s="1" t="n">
        <v>46139</v>
      </c>
      <c r="D905" t="inlineStr">
        <is>
          <t>KALMAR LÄN</t>
        </is>
      </c>
      <c r="E905" t="inlineStr">
        <is>
          <t>VIMMERBY</t>
        </is>
      </c>
      <c r="G905" t="n">
        <v>1.7</v>
      </c>
      <c r="H905" t="n">
        <v>0</v>
      </c>
      <c r="I905" t="n">
        <v>0</v>
      </c>
      <c r="J905" t="n">
        <v>0</v>
      </c>
      <c r="K905" t="n">
        <v>0</v>
      </c>
      <c r="L905" t="n">
        <v>0</v>
      </c>
      <c r="M905" t="n">
        <v>0</v>
      </c>
      <c r="N905" t="n">
        <v>0</v>
      </c>
      <c r="O905" t="n">
        <v>0</v>
      </c>
      <c r="P905" t="n">
        <v>0</v>
      </c>
      <c r="Q905" t="n">
        <v>0</v>
      </c>
      <c r="R905" s="2" t="inlineStr"/>
    </row>
    <row r="906" ht="15" customHeight="1">
      <c r="A906" t="inlineStr">
        <is>
          <t>A 10424-2023</t>
        </is>
      </c>
      <c r="B906" s="1" t="n">
        <v>44987.54104166666</v>
      </c>
      <c r="C906" s="1" t="n">
        <v>46139</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49382-2023</t>
        </is>
      </c>
      <c r="B907" s="1" t="n">
        <v>45208</v>
      </c>
      <c r="C907" s="1" t="n">
        <v>46139</v>
      </c>
      <c r="D907" t="inlineStr">
        <is>
          <t>KALMAR LÄN</t>
        </is>
      </c>
      <c r="E907" t="inlineStr">
        <is>
          <t>VIMMERBY</t>
        </is>
      </c>
      <c r="G907" t="n">
        <v>2.2</v>
      </c>
      <c r="H907" t="n">
        <v>0</v>
      </c>
      <c r="I907" t="n">
        <v>0</v>
      </c>
      <c r="J907" t="n">
        <v>0</v>
      </c>
      <c r="K907" t="n">
        <v>0</v>
      </c>
      <c r="L907" t="n">
        <v>0</v>
      </c>
      <c r="M907" t="n">
        <v>0</v>
      </c>
      <c r="N907" t="n">
        <v>0</v>
      </c>
      <c r="O907" t="n">
        <v>0</v>
      </c>
      <c r="P907" t="n">
        <v>0</v>
      </c>
      <c r="Q907" t="n">
        <v>0</v>
      </c>
      <c r="R907" s="2" t="inlineStr"/>
    </row>
    <row r="908" ht="15" customHeight="1">
      <c r="A908" t="inlineStr">
        <is>
          <t>A 12810-2023</t>
        </is>
      </c>
      <c r="B908" s="1" t="n">
        <v>45001.43854166667</v>
      </c>
      <c r="C908" s="1" t="n">
        <v>46139</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3425-2022</t>
        </is>
      </c>
      <c r="B909" s="1" t="n">
        <v>44585.51060185185</v>
      </c>
      <c r="C909" s="1" t="n">
        <v>46139</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60675-2023</t>
        </is>
      </c>
      <c r="B910" s="1" t="n">
        <v>45260.4716550926</v>
      </c>
      <c r="C910" s="1" t="n">
        <v>46139</v>
      </c>
      <c r="D910" t="inlineStr">
        <is>
          <t>KALMAR LÄN</t>
        </is>
      </c>
      <c r="E910" t="inlineStr">
        <is>
          <t>VIMMERBY</t>
        </is>
      </c>
      <c r="G910" t="n">
        <v>1.2</v>
      </c>
      <c r="H910" t="n">
        <v>0</v>
      </c>
      <c r="I910" t="n">
        <v>0</v>
      </c>
      <c r="J910" t="n">
        <v>0</v>
      </c>
      <c r="K910" t="n">
        <v>0</v>
      </c>
      <c r="L910" t="n">
        <v>0</v>
      </c>
      <c r="M910" t="n">
        <v>0</v>
      </c>
      <c r="N910" t="n">
        <v>0</v>
      </c>
      <c r="O910" t="n">
        <v>0</v>
      </c>
      <c r="P910" t="n">
        <v>0</v>
      </c>
      <c r="Q910" t="n">
        <v>0</v>
      </c>
      <c r="R910" s="2" t="inlineStr"/>
    </row>
    <row r="911" ht="15" customHeight="1">
      <c r="A911" t="inlineStr">
        <is>
          <t>A 2536-2023</t>
        </is>
      </c>
      <c r="B911" s="1" t="n">
        <v>44943.62954861111</v>
      </c>
      <c r="C911" s="1" t="n">
        <v>46139</v>
      </c>
      <c r="D911" t="inlineStr">
        <is>
          <t>KALMAR LÄN</t>
        </is>
      </c>
      <c r="E911" t="inlineStr">
        <is>
          <t>VIMMERBY</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11111-2024</t>
        </is>
      </c>
      <c r="B912" s="1" t="n">
        <v>45371.36359953704</v>
      </c>
      <c r="C912" s="1" t="n">
        <v>46139</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1687-2023</t>
        </is>
      </c>
      <c r="B913" s="1" t="n">
        <v>44938</v>
      </c>
      <c r="C913" s="1" t="n">
        <v>46139</v>
      </c>
      <c r="D913" t="inlineStr">
        <is>
          <t>KALMAR LÄN</t>
        </is>
      </c>
      <c r="E913" t="inlineStr">
        <is>
          <t>VIMMERBY</t>
        </is>
      </c>
      <c r="F913" t="inlineStr">
        <is>
          <t>Kommuner</t>
        </is>
      </c>
      <c r="G913" t="n">
        <v>2.5</v>
      </c>
      <c r="H913" t="n">
        <v>0</v>
      </c>
      <c r="I913" t="n">
        <v>0</v>
      </c>
      <c r="J913" t="n">
        <v>0</v>
      </c>
      <c r="K913" t="n">
        <v>0</v>
      </c>
      <c r="L913" t="n">
        <v>0</v>
      </c>
      <c r="M913" t="n">
        <v>0</v>
      </c>
      <c r="N913" t="n">
        <v>0</v>
      </c>
      <c r="O913" t="n">
        <v>0</v>
      </c>
      <c r="P913" t="n">
        <v>0</v>
      </c>
      <c r="Q913" t="n">
        <v>0</v>
      </c>
      <c r="R913" s="2" t="inlineStr"/>
    </row>
    <row r="914" ht="15" customHeight="1">
      <c r="A914" t="inlineStr">
        <is>
          <t>A 3494-2023</t>
        </is>
      </c>
      <c r="B914" s="1" t="n">
        <v>44949</v>
      </c>
      <c r="C914" s="1" t="n">
        <v>46139</v>
      </c>
      <c r="D914" t="inlineStr">
        <is>
          <t>KALMAR LÄN</t>
        </is>
      </c>
      <c r="E914" t="inlineStr">
        <is>
          <t>VIMMERBY</t>
        </is>
      </c>
      <c r="F914" t="inlineStr">
        <is>
          <t>Kyrkan</t>
        </is>
      </c>
      <c r="G914" t="n">
        <v>0.8</v>
      </c>
      <c r="H914" t="n">
        <v>0</v>
      </c>
      <c r="I914" t="n">
        <v>0</v>
      </c>
      <c r="J914" t="n">
        <v>0</v>
      </c>
      <c r="K914" t="n">
        <v>0</v>
      </c>
      <c r="L914" t="n">
        <v>0</v>
      </c>
      <c r="M914" t="n">
        <v>0</v>
      </c>
      <c r="N914" t="n">
        <v>0</v>
      </c>
      <c r="O914" t="n">
        <v>0</v>
      </c>
      <c r="P914" t="n">
        <v>0</v>
      </c>
      <c r="Q914" t="n">
        <v>0</v>
      </c>
      <c r="R914" s="2" t="inlineStr"/>
    </row>
    <row r="915" ht="15" customHeight="1">
      <c r="A915" t="inlineStr">
        <is>
          <t>A 15449-2023</t>
        </is>
      </c>
      <c r="B915" s="1" t="n">
        <v>45020</v>
      </c>
      <c r="C915" s="1" t="n">
        <v>46139</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43242-2024</t>
        </is>
      </c>
      <c r="B916" s="1" t="n">
        <v>45568.30189814815</v>
      </c>
      <c r="C916" s="1" t="n">
        <v>46139</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56853-2022</t>
        </is>
      </c>
      <c r="B917" s="1" t="n">
        <v>44894.49538194444</v>
      </c>
      <c r="C917" s="1" t="n">
        <v>46139</v>
      </c>
      <c r="D917" t="inlineStr">
        <is>
          <t>KALMAR LÄN</t>
        </is>
      </c>
      <c r="E917" t="inlineStr">
        <is>
          <t>VIMMERBY</t>
        </is>
      </c>
      <c r="G917" t="n">
        <v>4.3</v>
      </c>
      <c r="H917" t="n">
        <v>0</v>
      </c>
      <c r="I917" t="n">
        <v>0</v>
      </c>
      <c r="J917" t="n">
        <v>0</v>
      </c>
      <c r="K917" t="n">
        <v>0</v>
      </c>
      <c r="L917" t="n">
        <v>0</v>
      </c>
      <c r="M917" t="n">
        <v>0</v>
      </c>
      <c r="N917" t="n">
        <v>0</v>
      </c>
      <c r="O917" t="n">
        <v>0</v>
      </c>
      <c r="P917" t="n">
        <v>0</v>
      </c>
      <c r="Q917" t="n">
        <v>0</v>
      </c>
      <c r="R917" s="2" t="inlineStr"/>
    </row>
    <row r="918" ht="15" customHeight="1">
      <c r="A918" t="inlineStr">
        <is>
          <t>A 33815-2022</t>
        </is>
      </c>
      <c r="B918" s="1" t="n">
        <v>44790.45876157407</v>
      </c>
      <c r="C918" s="1" t="n">
        <v>46139</v>
      </c>
      <c r="D918" t="inlineStr">
        <is>
          <t>KALMAR LÄN</t>
        </is>
      </c>
      <c r="E918" t="inlineStr">
        <is>
          <t>VIMMERBY</t>
        </is>
      </c>
      <c r="G918" t="n">
        <v>0.9</v>
      </c>
      <c r="H918" t="n">
        <v>0</v>
      </c>
      <c r="I918" t="n">
        <v>0</v>
      </c>
      <c r="J918" t="n">
        <v>0</v>
      </c>
      <c r="K918" t="n">
        <v>0</v>
      </c>
      <c r="L918" t="n">
        <v>0</v>
      </c>
      <c r="M918" t="n">
        <v>0</v>
      </c>
      <c r="N918" t="n">
        <v>0</v>
      </c>
      <c r="O918" t="n">
        <v>0</v>
      </c>
      <c r="P918" t="n">
        <v>0</v>
      </c>
      <c r="Q918" t="n">
        <v>0</v>
      </c>
      <c r="R918" s="2" t="inlineStr"/>
    </row>
    <row r="919" ht="15" customHeight="1">
      <c r="A919" t="inlineStr">
        <is>
          <t>A 33842-2022</t>
        </is>
      </c>
      <c r="B919" s="1" t="n">
        <v>44790.49523148148</v>
      </c>
      <c r="C919" s="1" t="n">
        <v>46139</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49408-2023</t>
        </is>
      </c>
      <c r="B920" s="1" t="n">
        <v>45211.43555555555</v>
      </c>
      <c r="C920" s="1" t="n">
        <v>46139</v>
      </c>
      <c r="D920" t="inlineStr">
        <is>
          <t>KALMAR LÄN</t>
        </is>
      </c>
      <c r="E920" t="inlineStr">
        <is>
          <t>VIMMERBY</t>
        </is>
      </c>
      <c r="G920" t="n">
        <v>13.1</v>
      </c>
      <c r="H920" t="n">
        <v>0</v>
      </c>
      <c r="I920" t="n">
        <v>0</v>
      </c>
      <c r="J920" t="n">
        <v>0</v>
      </c>
      <c r="K920" t="n">
        <v>0</v>
      </c>
      <c r="L920" t="n">
        <v>0</v>
      </c>
      <c r="M920" t="n">
        <v>0</v>
      </c>
      <c r="N920" t="n">
        <v>0</v>
      </c>
      <c r="O920" t="n">
        <v>0</v>
      </c>
      <c r="P920" t="n">
        <v>0</v>
      </c>
      <c r="Q920" t="n">
        <v>0</v>
      </c>
      <c r="R920" s="2" t="inlineStr"/>
    </row>
    <row r="921" ht="15" customHeight="1">
      <c r="A921" t="inlineStr">
        <is>
          <t>A 56536-2022</t>
        </is>
      </c>
      <c r="B921" s="1" t="n">
        <v>44893</v>
      </c>
      <c r="C921" s="1" t="n">
        <v>46139</v>
      </c>
      <c r="D921" t="inlineStr">
        <is>
          <t>KALMAR LÄN</t>
        </is>
      </c>
      <c r="E921" t="inlineStr">
        <is>
          <t>VIMMERBY</t>
        </is>
      </c>
      <c r="G921" t="n">
        <v>3.2</v>
      </c>
      <c r="H921" t="n">
        <v>0</v>
      </c>
      <c r="I921" t="n">
        <v>0</v>
      </c>
      <c r="J921" t="n">
        <v>0</v>
      </c>
      <c r="K921" t="n">
        <v>0</v>
      </c>
      <c r="L921" t="n">
        <v>0</v>
      </c>
      <c r="M921" t="n">
        <v>0</v>
      </c>
      <c r="N921" t="n">
        <v>0</v>
      </c>
      <c r="O921" t="n">
        <v>0</v>
      </c>
      <c r="P921" t="n">
        <v>0</v>
      </c>
      <c r="Q921" t="n">
        <v>0</v>
      </c>
      <c r="R921" s="2" t="inlineStr"/>
    </row>
    <row r="922" ht="15" customHeight="1">
      <c r="A922" t="inlineStr">
        <is>
          <t>A 41199-2023</t>
        </is>
      </c>
      <c r="B922" s="1" t="n">
        <v>45174.40454861111</v>
      </c>
      <c r="C922" s="1" t="n">
        <v>46139</v>
      </c>
      <c r="D922" t="inlineStr">
        <is>
          <t>KALMAR LÄN</t>
        </is>
      </c>
      <c r="E922" t="inlineStr">
        <is>
          <t>VIMMERBY</t>
        </is>
      </c>
      <c r="G922" t="n">
        <v>1.3</v>
      </c>
      <c r="H922" t="n">
        <v>0</v>
      </c>
      <c r="I922" t="n">
        <v>0</v>
      </c>
      <c r="J922" t="n">
        <v>0</v>
      </c>
      <c r="K922" t="n">
        <v>0</v>
      </c>
      <c r="L922" t="n">
        <v>0</v>
      </c>
      <c r="M922" t="n">
        <v>0</v>
      </c>
      <c r="N922" t="n">
        <v>0</v>
      </c>
      <c r="O922" t="n">
        <v>0</v>
      </c>
      <c r="P922" t="n">
        <v>0</v>
      </c>
      <c r="Q922" t="n">
        <v>0</v>
      </c>
      <c r="R922" s="2" t="inlineStr"/>
    </row>
    <row r="923">
      <c r="A923" t="inlineStr">
        <is>
          <t>A 8945-2025</t>
        </is>
      </c>
      <c r="B923" s="1" t="n">
        <v>45713.45311342592</v>
      </c>
      <c r="C923" s="1" t="n">
        <v>46139</v>
      </c>
      <c r="D923" t="inlineStr">
        <is>
          <t>KALMAR LÄN</t>
        </is>
      </c>
      <c r="E923" t="inlineStr">
        <is>
          <t>VIMMERBY</t>
        </is>
      </c>
      <c r="G923" t="n">
        <v>0.6</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2026-04-27T11:24:18Z</dcterms:created>
  <dcterms:modified xmlns:dcterms="http://purl.org/dc/terms/" xmlns:xsi="http://www.w3.org/2001/XMLSchema-instance" xsi:type="dcterms:W3CDTF">2026-04-27T11:24:19Z</dcterms:modified>
</cp:coreProperties>
</file>