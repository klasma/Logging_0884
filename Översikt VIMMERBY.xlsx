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45990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45990</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45990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45990</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45990</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3075-2025</t>
        </is>
      </c>
      <c r="B12" s="1" t="n">
        <v>45678</v>
      </c>
      <c r="C12" s="1" t="n">
        <v>45990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45990</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32645-2023</t>
        </is>
      </c>
      <c r="B14" s="1" t="n">
        <v>45121.60543981481</v>
      </c>
      <c r="C14" s="1" t="n">
        <v>45990</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8411-2021</t>
        </is>
      </c>
      <c r="B15" s="1" t="n">
        <v>44245</v>
      </c>
      <c r="C15" s="1" t="n">
        <v>45990</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45990</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45990</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45990</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45990</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45990</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45990</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45990</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45990</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40684-2025</t>
        </is>
      </c>
      <c r="B24" s="1" t="n">
        <v>45896.86820601852</v>
      </c>
      <c r="C24" s="1" t="n">
        <v>45990</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45990</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53787-2025</t>
        </is>
      </c>
      <c r="B26" s="1" t="n">
        <v>45960</v>
      </c>
      <c r="C26" s="1" t="n">
        <v>45990</v>
      </c>
      <c r="D26" t="inlineStr">
        <is>
          <t>KALMAR LÄN</t>
        </is>
      </c>
      <c r="E26" t="inlineStr">
        <is>
          <t>VIMMERBY</t>
        </is>
      </c>
      <c r="F26" t="inlineStr">
        <is>
          <t>Övriga statliga verk och myndigheter</t>
        </is>
      </c>
      <c r="G26" t="n">
        <v>1.8</v>
      </c>
      <c r="H26" t="n">
        <v>0</v>
      </c>
      <c r="I26" t="n">
        <v>0</v>
      </c>
      <c r="J26" t="n">
        <v>1</v>
      </c>
      <c r="K26" t="n">
        <v>1</v>
      </c>
      <c r="L26" t="n">
        <v>0</v>
      </c>
      <c r="M26" t="n">
        <v>0</v>
      </c>
      <c r="N26" t="n">
        <v>0</v>
      </c>
      <c r="O26" t="n">
        <v>2</v>
      </c>
      <c r="P26" t="n">
        <v>1</v>
      </c>
      <c r="Q26" t="n">
        <v>2</v>
      </c>
      <c r="R26" s="2" t="inlineStr">
        <is>
          <t>Slåttergubbe
Backklöver</t>
        </is>
      </c>
      <c r="S26">
        <f>HYPERLINK("https://klasma.github.io/Logging_0884/artfynd/A 53787-2025 artfynd.xlsx", "A 53787-2025")</f>
        <v/>
      </c>
      <c r="T26">
        <f>HYPERLINK("https://klasma.github.io/Logging_0884/kartor/A 53787-2025 karta.png", "A 53787-2025")</f>
        <v/>
      </c>
      <c r="V26">
        <f>HYPERLINK("https://klasma.github.io/Logging_0884/klagomål/A 53787-2025 FSC-klagomål.docx", "A 53787-2025")</f>
        <v/>
      </c>
      <c r="W26">
        <f>HYPERLINK("https://klasma.github.io/Logging_0884/klagomålsmail/A 53787-2025 FSC-klagomål mail.docx", "A 53787-2025")</f>
        <v/>
      </c>
      <c r="X26">
        <f>HYPERLINK("https://klasma.github.io/Logging_0884/tillsyn/A 53787-2025 tillsynsbegäran.docx", "A 53787-2025")</f>
        <v/>
      </c>
      <c r="Y26">
        <f>HYPERLINK("https://klasma.github.io/Logging_0884/tillsynsmail/A 53787-2025 tillsynsbegäran mail.docx", "A 53787-2025")</f>
        <v/>
      </c>
    </row>
    <row r="27" ht="15" customHeight="1">
      <c r="A27" t="inlineStr">
        <is>
          <t>A 22825-2023</t>
        </is>
      </c>
      <c r="B27" s="1" t="n">
        <v>45072</v>
      </c>
      <c r="C27" s="1" t="n">
        <v>45990</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45990</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17935-2025</t>
        </is>
      </c>
      <c r="B29" s="1" t="n">
        <v>45760.34877314815</v>
      </c>
      <c r="C29" s="1" t="n">
        <v>45990</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45990</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22396-2025</t>
        </is>
      </c>
      <c r="B31" s="1" t="n">
        <v>45786.52827546297</v>
      </c>
      <c r="C31" s="1" t="n">
        <v>45990</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32396-2021</t>
        </is>
      </c>
      <c r="B32" s="1" t="n">
        <v>44371</v>
      </c>
      <c r="C32" s="1" t="n">
        <v>45990</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45990</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28852-2023</t>
        </is>
      </c>
      <c r="B34" s="1" t="n">
        <v>45104</v>
      </c>
      <c r="C34" s="1" t="n">
        <v>45990</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6841-2021</t>
        </is>
      </c>
      <c r="B35" s="1" t="n">
        <v>44236</v>
      </c>
      <c r="C35" s="1" t="n">
        <v>45990</v>
      </c>
      <c r="D35" t="inlineStr">
        <is>
          <t>KALMAR LÄN</t>
        </is>
      </c>
      <c r="E35" t="inlineStr">
        <is>
          <t>VIMMERBY</t>
        </is>
      </c>
      <c r="G35" t="n">
        <v>25</v>
      </c>
      <c r="H35" t="n">
        <v>0</v>
      </c>
      <c r="I35" t="n">
        <v>0</v>
      </c>
      <c r="J35" t="n">
        <v>1</v>
      </c>
      <c r="K35" t="n">
        <v>0</v>
      </c>
      <c r="L35" t="n">
        <v>0</v>
      </c>
      <c r="M35" t="n">
        <v>0</v>
      </c>
      <c r="N35" t="n">
        <v>0</v>
      </c>
      <c r="O35" t="n">
        <v>1</v>
      </c>
      <c r="P35" t="n">
        <v>0</v>
      </c>
      <c r="Q35" t="n">
        <v>1</v>
      </c>
      <c r="R35" s="2" t="inlineStr">
        <is>
          <t>Bredbrämad bastardsvärmare</t>
        </is>
      </c>
      <c r="S35">
        <f>HYPERLINK("https://klasma.github.io/Logging_0884/artfynd/A 6841-2021 artfynd.xlsx", "A 6841-2021")</f>
        <v/>
      </c>
      <c r="T35">
        <f>HYPERLINK("https://klasma.github.io/Logging_0884/kartor/A 6841-2021 karta.png", "A 6841-2021")</f>
        <v/>
      </c>
      <c r="V35">
        <f>HYPERLINK("https://klasma.github.io/Logging_0884/klagomål/A 6841-2021 FSC-klagomål.docx", "A 6841-2021")</f>
        <v/>
      </c>
      <c r="W35">
        <f>HYPERLINK("https://klasma.github.io/Logging_0884/klagomålsmail/A 6841-2021 FSC-klagomål mail.docx", "A 6841-2021")</f>
        <v/>
      </c>
      <c r="X35">
        <f>HYPERLINK("https://klasma.github.io/Logging_0884/tillsyn/A 6841-2021 tillsynsbegäran.docx", "A 6841-2021")</f>
        <v/>
      </c>
      <c r="Y35">
        <f>HYPERLINK("https://klasma.github.io/Logging_0884/tillsynsmail/A 6841-2021 tillsynsbegäran mail.docx", "A 6841-2021")</f>
        <v/>
      </c>
    </row>
    <row r="36" ht="15" customHeight="1">
      <c r="A36" t="inlineStr">
        <is>
          <t>A 52301-2023</t>
        </is>
      </c>
      <c r="B36" s="1" t="n">
        <v>45224</v>
      </c>
      <c r="C36" s="1" t="n">
        <v>45990</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1201-2025</t>
        </is>
      </c>
      <c r="B37" s="1" t="n">
        <v>45667</v>
      </c>
      <c r="C37" s="1" t="n">
        <v>45990</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45990</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45990</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45990</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45990</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53400-2025</t>
        </is>
      </c>
      <c r="B42" s="1" t="n">
        <v>45959.56684027778</v>
      </c>
      <c r="C42" s="1" t="n">
        <v>45990</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45990</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23602-2023</t>
        </is>
      </c>
      <c r="B44" s="1" t="n">
        <v>45077</v>
      </c>
      <c r="C44" s="1" t="n">
        <v>45990</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57062-2025</t>
        </is>
      </c>
      <c r="B45" s="1" t="n">
        <v>45979.37598379629</v>
      </c>
      <c r="C45" s="1" t="n">
        <v>45990</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32985-2023</t>
        </is>
      </c>
      <c r="B46" s="1" t="n">
        <v>45125</v>
      </c>
      <c r="C46" s="1" t="n">
        <v>45990</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15122-2024</t>
        </is>
      </c>
      <c r="B47" s="1" t="n">
        <v>45399.71412037037</v>
      </c>
      <c r="C47" s="1" t="n">
        <v>45990</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37930-2021</t>
        </is>
      </c>
      <c r="B48" s="1" t="n">
        <v>44403</v>
      </c>
      <c r="C48" s="1" t="n">
        <v>45990</v>
      </c>
      <c r="D48" t="inlineStr">
        <is>
          <t>KALMAR LÄN</t>
        </is>
      </c>
      <c r="E48" t="inlineStr">
        <is>
          <t>VIMMERBY</t>
        </is>
      </c>
      <c r="G48" t="n">
        <v>4.4</v>
      </c>
      <c r="H48" t="n">
        <v>0</v>
      </c>
      <c r="I48" t="n">
        <v>0</v>
      </c>
      <c r="J48" t="n">
        <v>1</v>
      </c>
      <c r="K48" t="n">
        <v>0</v>
      </c>
      <c r="L48" t="n">
        <v>0</v>
      </c>
      <c r="M48" t="n">
        <v>0</v>
      </c>
      <c r="N48" t="n">
        <v>0</v>
      </c>
      <c r="O48" t="n">
        <v>1</v>
      </c>
      <c r="P48" t="n">
        <v>0</v>
      </c>
      <c r="Q48" t="n">
        <v>1</v>
      </c>
      <c r="R48" s="2" t="inlineStr">
        <is>
          <t>Spindelört</t>
        </is>
      </c>
      <c r="S48">
        <f>HYPERLINK("https://klasma.github.io/Logging_0884/artfynd/A 37930-2021 artfynd.xlsx", "A 37930-2021")</f>
        <v/>
      </c>
      <c r="T48">
        <f>HYPERLINK("https://klasma.github.io/Logging_0884/kartor/A 37930-2021 karta.png", "A 37930-2021")</f>
        <v/>
      </c>
      <c r="V48">
        <f>HYPERLINK("https://klasma.github.io/Logging_0884/klagomål/A 37930-2021 FSC-klagomål.docx", "A 37930-2021")</f>
        <v/>
      </c>
      <c r="W48">
        <f>HYPERLINK("https://klasma.github.io/Logging_0884/klagomålsmail/A 37930-2021 FSC-klagomål mail.docx", "A 37930-2021")</f>
        <v/>
      </c>
      <c r="X48">
        <f>HYPERLINK("https://klasma.github.io/Logging_0884/tillsyn/A 37930-2021 tillsynsbegäran.docx", "A 37930-2021")</f>
        <v/>
      </c>
      <c r="Y48">
        <f>HYPERLINK("https://klasma.github.io/Logging_0884/tillsynsmail/A 37930-2021 tillsynsbegäran mail.docx", "A 37930-2021")</f>
        <v/>
      </c>
    </row>
    <row r="49" ht="15" customHeight="1">
      <c r="A49" t="inlineStr">
        <is>
          <t>A 33436-2021</t>
        </is>
      </c>
      <c r="B49" s="1" t="n">
        <v>44377.61104166666</v>
      </c>
      <c r="C49" s="1" t="n">
        <v>45990</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44515-2024</t>
        </is>
      </c>
      <c r="B50" s="1" t="n">
        <v>45574.42767361111</v>
      </c>
      <c r="C50" s="1" t="n">
        <v>45990</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15092-2021</t>
        </is>
      </c>
      <c r="B51" s="1" t="n">
        <v>44281.79269675926</v>
      </c>
      <c r="C51" s="1" t="n">
        <v>45990</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45990</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45990</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45990</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45990</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45990</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45990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45990</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45990</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45990</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45990</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45990</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45990</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45990</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45990</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45990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45990</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45990</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45990</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45990</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45990</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45990</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45990</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45990</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45990</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45990</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45990</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45990</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45990</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45990</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45990</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45990</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45990</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45990</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45990</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45990</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45990</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45990</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45990</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45990</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45990</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45990</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45990</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45990</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45990</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45990</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45990</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45990</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45990</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45990</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45990</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45990</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45990</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45990</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45990</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7072-2021</t>
        </is>
      </c>
      <c r="B106" s="1" t="n">
        <v>44237.8550925926</v>
      </c>
      <c r="C106" s="1" t="n">
        <v>45990</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45990</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45990</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45990</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45990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45990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45990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45990</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45990</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45990</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45990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45990</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45990</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45990</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45990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45990</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45990</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45990</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45990</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45990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45990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45990</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45990</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45990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45990</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45990</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45990</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45990</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45990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45990</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24999-2021</t>
        </is>
      </c>
      <c r="B136" s="1" t="n">
        <v>44341</v>
      </c>
      <c r="C136" s="1" t="n">
        <v>45990</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45990</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45990</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39959-2022</t>
        </is>
      </c>
      <c r="B139" s="1" t="n">
        <v>44819</v>
      </c>
      <c r="C139" s="1" t="n">
        <v>45990</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45990</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45990</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45990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45990</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45990</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45990</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45990</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45990</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45990</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45990</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45990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45990</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45990</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45990</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45990</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45990</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45990</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45990</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45990</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45990</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45990</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45990</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45990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45990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45990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45990</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45990</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45990</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45990</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45990</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45990</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45990</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45990</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45990</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45990</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45990</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45990</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45990</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45990</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45990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45990</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45990</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45990</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45990</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45990</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45990</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45990</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45990</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45990</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45990</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45990</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45990</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8453-2022</t>
        </is>
      </c>
      <c r="B192" s="1" t="n">
        <v>44612.86554398148</v>
      </c>
      <c r="C192" s="1" t="n">
        <v>45990</v>
      </c>
      <c r="D192" t="inlineStr">
        <is>
          <t>KALMAR LÄN</t>
        </is>
      </c>
      <c r="E192" t="inlineStr">
        <is>
          <t>VIMMERBY</t>
        </is>
      </c>
      <c r="G192" t="n">
        <v>1.7</v>
      </c>
      <c r="H192" t="n">
        <v>0</v>
      </c>
      <c r="I192" t="n">
        <v>0</v>
      </c>
      <c r="J192" t="n">
        <v>0</v>
      </c>
      <c r="K192" t="n">
        <v>0</v>
      </c>
      <c r="L192" t="n">
        <v>0</v>
      </c>
      <c r="M192" t="n">
        <v>0</v>
      </c>
      <c r="N192" t="n">
        <v>0</v>
      </c>
      <c r="O192" t="n">
        <v>0</v>
      </c>
      <c r="P192" t="n">
        <v>0</v>
      </c>
      <c r="Q192" t="n">
        <v>0</v>
      </c>
      <c r="R192" s="2" t="inlineStr"/>
    </row>
    <row r="193" ht="15" customHeight="1">
      <c r="A193" t="inlineStr">
        <is>
          <t>A 52433-2021</t>
        </is>
      </c>
      <c r="B193" s="1" t="n">
        <v>44466.34726851852</v>
      </c>
      <c r="C193" s="1" t="n">
        <v>45990</v>
      </c>
      <c r="D193" t="inlineStr">
        <is>
          <t>KALMAR LÄN</t>
        </is>
      </c>
      <c r="E193" t="inlineStr">
        <is>
          <t>VIMMERBY</t>
        </is>
      </c>
      <c r="G193" t="n">
        <v>3.5</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45990</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50621-2022</t>
        </is>
      </c>
      <c r="B195" s="1" t="n">
        <v>44866.81100694444</v>
      </c>
      <c r="C195" s="1" t="n">
        <v>45990</v>
      </c>
      <c r="D195" t="inlineStr">
        <is>
          <t>KALMAR LÄN</t>
        </is>
      </c>
      <c r="E195" t="inlineStr">
        <is>
          <t>VIMMERBY</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45990</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7804-2022</t>
        </is>
      </c>
      <c r="B197" s="1" t="n">
        <v>44608.50458333334</v>
      </c>
      <c r="C197" s="1" t="n">
        <v>45990</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39042-2022</t>
        </is>
      </c>
      <c r="B198" s="1" t="n">
        <v>44817</v>
      </c>
      <c r="C198" s="1" t="n">
        <v>45990</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45990</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4076-2022</t>
        </is>
      </c>
      <c r="B200" s="1" t="n">
        <v>44588.37998842593</v>
      </c>
      <c r="C200" s="1" t="n">
        <v>45990</v>
      </c>
      <c r="D200" t="inlineStr">
        <is>
          <t>KALMAR LÄN</t>
        </is>
      </c>
      <c r="E200" t="inlineStr">
        <is>
          <t>VIMMERBY</t>
        </is>
      </c>
      <c r="G200" t="n">
        <v>3</v>
      </c>
      <c r="H200" t="n">
        <v>0</v>
      </c>
      <c r="I200" t="n">
        <v>0</v>
      </c>
      <c r="J200" t="n">
        <v>0</v>
      </c>
      <c r="K200" t="n">
        <v>0</v>
      </c>
      <c r="L200" t="n">
        <v>0</v>
      </c>
      <c r="M200" t="n">
        <v>0</v>
      </c>
      <c r="N200" t="n">
        <v>0</v>
      </c>
      <c r="O200" t="n">
        <v>0</v>
      </c>
      <c r="P200" t="n">
        <v>0</v>
      </c>
      <c r="Q200" t="n">
        <v>0</v>
      </c>
      <c r="R200" s="2" t="inlineStr"/>
    </row>
    <row r="201" ht="15" customHeight="1">
      <c r="A201" t="inlineStr">
        <is>
          <t>A 4122-2022</t>
        </is>
      </c>
      <c r="B201" s="1" t="n">
        <v>44588</v>
      </c>
      <c r="C201" s="1" t="n">
        <v>45990</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65961-2020</t>
        </is>
      </c>
      <c r="B202" s="1" t="n">
        <v>44175.39748842592</v>
      </c>
      <c r="C202" s="1" t="n">
        <v>45990</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58374-2024</t>
        </is>
      </c>
      <c r="B203" s="1" t="n">
        <v>45632.72635416667</v>
      </c>
      <c r="C203" s="1" t="n">
        <v>45990</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16983-2023</t>
        </is>
      </c>
      <c r="B204" s="1" t="n">
        <v>45033.76043981482</v>
      </c>
      <c r="C204" s="1" t="n">
        <v>45990</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30402-2023</t>
        </is>
      </c>
      <c r="B205" s="1" t="n">
        <v>45111.48395833333</v>
      </c>
      <c r="C205" s="1" t="n">
        <v>45990</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46144-2023</t>
        </is>
      </c>
      <c r="B206" s="1" t="n">
        <v>45196.57247685185</v>
      </c>
      <c r="C206" s="1" t="n">
        <v>45990</v>
      </c>
      <c r="D206" t="inlineStr">
        <is>
          <t>KALMAR LÄN</t>
        </is>
      </c>
      <c r="E206" t="inlineStr">
        <is>
          <t>VIMMERBY</t>
        </is>
      </c>
      <c r="G206" t="n">
        <v>6.5</v>
      </c>
      <c r="H206" t="n">
        <v>0</v>
      </c>
      <c r="I206" t="n">
        <v>0</v>
      </c>
      <c r="J206" t="n">
        <v>0</v>
      </c>
      <c r="K206" t="n">
        <v>0</v>
      </c>
      <c r="L206" t="n">
        <v>0</v>
      </c>
      <c r="M206" t="n">
        <v>0</v>
      </c>
      <c r="N206" t="n">
        <v>0</v>
      </c>
      <c r="O206" t="n">
        <v>0</v>
      </c>
      <c r="P206" t="n">
        <v>0</v>
      </c>
      <c r="Q206" t="n">
        <v>0</v>
      </c>
      <c r="R206" s="2" t="inlineStr"/>
    </row>
    <row r="207" ht="15" customHeight="1">
      <c r="A207" t="inlineStr">
        <is>
          <t>A 56213-2024</t>
        </is>
      </c>
      <c r="B207" s="1" t="n">
        <v>45624.60141203704</v>
      </c>
      <c r="C207" s="1" t="n">
        <v>45990</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45990</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7643-2022</t>
        </is>
      </c>
      <c r="B209" s="1" t="n">
        <v>44607</v>
      </c>
      <c r="C209" s="1" t="n">
        <v>45990</v>
      </c>
      <c r="D209" t="inlineStr">
        <is>
          <t>KALMAR LÄN</t>
        </is>
      </c>
      <c r="E209" t="inlineStr">
        <is>
          <t>VIMMERBY</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16825-2024</t>
        </is>
      </c>
      <c r="B210" s="1" t="n">
        <v>45411.47335648148</v>
      </c>
      <c r="C210" s="1" t="n">
        <v>45990</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58962-2022</t>
        </is>
      </c>
      <c r="B211" s="1" t="n">
        <v>44903</v>
      </c>
      <c r="C211" s="1" t="n">
        <v>45990</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31382-2023</t>
        </is>
      </c>
      <c r="B212" s="1" t="n">
        <v>45114.55136574074</v>
      </c>
      <c r="C212" s="1" t="n">
        <v>45990</v>
      </c>
      <c r="D212" t="inlineStr">
        <is>
          <t>KALMAR LÄN</t>
        </is>
      </c>
      <c r="E212" t="inlineStr">
        <is>
          <t>VIMMERBY</t>
        </is>
      </c>
      <c r="G212" t="n">
        <v>3.7</v>
      </c>
      <c r="H212" t="n">
        <v>0</v>
      </c>
      <c r="I212" t="n">
        <v>0</v>
      </c>
      <c r="J212" t="n">
        <v>0</v>
      </c>
      <c r="K212" t="n">
        <v>0</v>
      </c>
      <c r="L212" t="n">
        <v>0</v>
      </c>
      <c r="M212" t="n">
        <v>0</v>
      </c>
      <c r="N212" t="n">
        <v>0</v>
      </c>
      <c r="O212" t="n">
        <v>0</v>
      </c>
      <c r="P212" t="n">
        <v>0</v>
      </c>
      <c r="Q212" t="n">
        <v>0</v>
      </c>
      <c r="R212" s="2" t="inlineStr"/>
    </row>
    <row r="213" ht="15" customHeight="1">
      <c r="A213" t="inlineStr">
        <is>
          <t>A 11027-2023</t>
        </is>
      </c>
      <c r="B213" s="1" t="n">
        <v>44991.89657407408</v>
      </c>
      <c r="C213" s="1" t="n">
        <v>45990</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45990</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10838-2023</t>
        </is>
      </c>
      <c r="B215" s="1" t="n">
        <v>44991</v>
      </c>
      <c r="C215" s="1" t="n">
        <v>45990</v>
      </c>
      <c r="D215" t="inlineStr">
        <is>
          <t>KALMAR LÄN</t>
        </is>
      </c>
      <c r="E215" t="inlineStr">
        <is>
          <t>VIMMERBY</t>
        </is>
      </c>
      <c r="G215" t="n">
        <v>5.1</v>
      </c>
      <c r="H215" t="n">
        <v>0</v>
      </c>
      <c r="I215" t="n">
        <v>0</v>
      </c>
      <c r="J215" t="n">
        <v>0</v>
      </c>
      <c r="K215" t="n">
        <v>0</v>
      </c>
      <c r="L215" t="n">
        <v>0</v>
      </c>
      <c r="M215" t="n">
        <v>0</v>
      </c>
      <c r="N215" t="n">
        <v>0</v>
      </c>
      <c r="O215" t="n">
        <v>0</v>
      </c>
      <c r="P215" t="n">
        <v>0</v>
      </c>
      <c r="Q215" t="n">
        <v>0</v>
      </c>
      <c r="R215" s="2" t="inlineStr"/>
    </row>
    <row r="216" ht="15" customHeight="1">
      <c r="A216" t="inlineStr">
        <is>
          <t>A 53483-2022</t>
        </is>
      </c>
      <c r="B216" s="1" t="n">
        <v>44879.55940972222</v>
      </c>
      <c r="C216" s="1" t="n">
        <v>45990</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18899-2025</t>
        </is>
      </c>
      <c r="B217" s="1" t="n">
        <v>45764.44931712963</v>
      </c>
      <c r="C217" s="1" t="n">
        <v>45990</v>
      </c>
      <c r="D217" t="inlineStr">
        <is>
          <t>KALMAR LÄN</t>
        </is>
      </c>
      <c r="E217" t="inlineStr">
        <is>
          <t>VIMMERBY</t>
        </is>
      </c>
      <c r="F217" t="inlineStr">
        <is>
          <t>Kommuner</t>
        </is>
      </c>
      <c r="G217" t="n">
        <v>4</v>
      </c>
      <c r="H217" t="n">
        <v>0</v>
      </c>
      <c r="I217" t="n">
        <v>0</v>
      </c>
      <c r="J217" t="n">
        <v>0</v>
      </c>
      <c r="K217" t="n">
        <v>0</v>
      </c>
      <c r="L217" t="n">
        <v>0</v>
      </c>
      <c r="M217" t="n">
        <v>0</v>
      </c>
      <c r="N217" t="n">
        <v>0</v>
      </c>
      <c r="O217" t="n">
        <v>0</v>
      </c>
      <c r="P217" t="n">
        <v>0</v>
      </c>
      <c r="Q217" t="n">
        <v>0</v>
      </c>
      <c r="R217" s="2" t="inlineStr"/>
    </row>
    <row r="218" ht="15" customHeight="1">
      <c r="A218" t="inlineStr">
        <is>
          <t>A 20054-2023</t>
        </is>
      </c>
      <c r="B218" s="1" t="n">
        <v>45054.6750462963</v>
      </c>
      <c r="C218" s="1" t="n">
        <v>45990</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11946-2025</t>
        </is>
      </c>
      <c r="B219" s="1" t="n">
        <v>45728.54832175926</v>
      </c>
      <c r="C219" s="1" t="n">
        <v>45990</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19537-2022</t>
        </is>
      </c>
      <c r="B220" s="1" t="n">
        <v>44693.62822916666</v>
      </c>
      <c r="C220" s="1" t="n">
        <v>45990</v>
      </c>
      <c r="D220" t="inlineStr">
        <is>
          <t>KALMAR LÄN</t>
        </is>
      </c>
      <c r="E220" t="inlineStr">
        <is>
          <t>VIMMERBY</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45990</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45990</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13290-2025</t>
        </is>
      </c>
      <c r="B223" s="1" t="n">
        <v>45735.56751157407</v>
      </c>
      <c r="C223" s="1" t="n">
        <v>45990</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19162-2023</t>
        </is>
      </c>
      <c r="B224" s="1" t="n">
        <v>45048.59699074074</v>
      </c>
      <c r="C224" s="1" t="n">
        <v>45990</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7485-2024</t>
        </is>
      </c>
      <c r="B225" s="1" t="n">
        <v>45346.67184027778</v>
      </c>
      <c r="C225" s="1" t="n">
        <v>45990</v>
      </c>
      <c r="D225" t="inlineStr">
        <is>
          <t>KALMAR LÄN</t>
        </is>
      </c>
      <c r="E225" t="inlineStr">
        <is>
          <t>VIMMERBY</t>
        </is>
      </c>
      <c r="G225" t="n">
        <v>1.9</v>
      </c>
      <c r="H225" t="n">
        <v>0</v>
      </c>
      <c r="I225" t="n">
        <v>0</v>
      </c>
      <c r="J225" t="n">
        <v>0</v>
      </c>
      <c r="K225" t="n">
        <v>0</v>
      </c>
      <c r="L225" t="n">
        <v>0</v>
      </c>
      <c r="M225" t="n">
        <v>0</v>
      </c>
      <c r="N225" t="n">
        <v>0</v>
      </c>
      <c r="O225" t="n">
        <v>0</v>
      </c>
      <c r="P225" t="n">
        <v>0</v>
      </c>
      <c r="Q225" t="n">
        <v>0</v>
      </c>
      <c r="R225" s="2" t="inlineStr"/>
    </row>
    <row r="226" ht="15" customHeight="1">
      <c r="A226" t="inlineStr">
        <is>
          <t>A 9475-2023</t>
        </is>
      </c>
      <c r="B226" s="1" t="n">
        <v>44981.58834490741</v>
      </c>
      <c r="C226" s="1" t="n">
        <v>45990</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12590-2025</t>
        </is>
      </c>
      <c r="B227" s="1" t="n">
        <v>45732.79925925926</v>
      </c>
      <c r="C227" s="1" t="n">
        <v>45990</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45990</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52823-2024</t>
        </is>
      </c>
      <c r="B229" s="1" t="n">
        <v>45610.59094907407</v>
      </c>
      <c r="C229" s="1" t="n">
        <v>45990</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23252-2024</t>
        </is>
      </c>
      <c r="B230" s="1" t="n">
        <v>45453.36067129629</v>
      </c>
      <c r="C230" s="1" t="n">
        <v>45990</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45990</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11147-2023</t>
        </is>
      </c>
      <c r="B232" s="1" t="n">
        <v>44992</v>
      </c>
      <c r="C232" s="1" t="n">
        <v>45990</v>
      </c>
      <c r="D232" t="inlineStr">
        <is>
          <t>KALMAR LÄN</t>
        </is>
      </c>
      <c r="E232" t="inlineStr">
        <is>
          <t>VIMMERBY</t>
        </is>
      </c>
      <c r="G232" t="n">
        <v>0.8</v>
      </c>
      <c r="H232" t="n">
        <v>0</v>
      </c>
      <c r="I232" t="n">
        <v>0</v>
      </c>
      <c r="J232" t="n">
        <v>0</v>
      </c>
      <c r="K232" t="n">
        <v>0</v>
      </c>
      <c r="L232" t="n">
        <v>0</v>
      </c>
      <c r="M232" t="n">
        <v>0</v>
      </c>
      <c r="N232" t="n">
        <v>0</v>
      </c>
      <c r="O232" t="n">
        <v>0</v>
      </c>
      <c r="P232" t="n">
        <v>0</v>
      </c>
      <c r="Q232" t="n">
        <v>0</v>
      </c>
      <c r="R232" s="2" t="inlineStr"/>
    </row>
    <row r="233" ht="15" customHeight="1">
      <c r="A233" t="inlineStr">
        <is>
          <t>A 585-2024</t>
        </is>
      </c>
      <c r="B233" s="1" t="n">
        <v>45299.62576388889</v>
      </c>
      <c r="C233" s="1" t="n">
        <v>45990</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19833-2023</t>
        </is>
      </c>
      <c r="B234" s="1" t="n">
        <v>45052</v>
      </c>
      <c r="C234" s="1" t="n">
        <v>45990</v>
      </c>
      <c r="D234" t="inlineStr">
        <is>
          <t>KALMAR LÄN</t>
        </is>
      </c>
      <c r="E234" t="inlineStr">
        <is>
          <t>VIMMERBY</t>
        </is>
      </c>
      <c r="G234" t="n">
        <v>6.7</v>
      </c>
      <c r="H234" t="n">
        <v>0</v>
      </c>
      <c r="I234" t="n">
        <v>0</v>
      </c>
      <c r="J234" t="n">
        <v>0</v>
      </c>
      <c r="K234" t="n">
        <v>0</v>
      </c>
      <c r="L234" t="n">
        <v>0</v>
      </c>
      <c r="M234" t="n">
        <v>0</v>
      </c>
      <c r="N234" t="n">
        <v>0</v>
      </c>
      <c r="O234" t="n">
        <v>0</v>
      </c>
      <c r="P234" t="n">
        <v>0</v>
      </c>
      <c r="Q234" t="n">
        <v>0</v>
      </c>
      <c r="R234" s="2" t="inlineStr"/>
    </row>
    <row r="235" ht="15" customHeight="1">
      <c r="A235" t="inlineStr">
        <is>
          <t>A 18411-2021</t>
        </is>
      </c>
      <c r="B235" s="1" t="n">
        <v>44302</v>
      </c>
      <c r="C235" s="1" t="n">
        <v>45990</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47855-2024</t>
        </is>
      </c>
      <c r="B236" s="1" t="n">
        <v>45588.66457175926</v>
      </c>
      <c r="C236" s="1" t="n">
        <v>45990</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56020-2024</t>
        </is>
      </c>
      <c r="B237" s="1" t="n">
        <v>45623.9525462963</v>
      </c>
      <c r="C237" s="1" t="n">
        <v>45990</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15550-2023</t>
        </is>
      </c>
      <c r="B238" s="1" t="n">
        <v>45020</v>
      </c>
      <c r="C238" s="1" t="n">
        <v>45990</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172-2022</t>
        </is>
      </c>
      <c r="B239" s="1" t="n">
        <v>44564.62598379629</v>
      </c>
      <c r="C239" s="1" t="n">
        <v>45990</v>
      </c>
      <c r="D239" t="inlineStr">
        <is>
          <t>KALMAR LÄN</t>
        </is>
      </c>
      <c r="E239" t="inlineStr">
        <is>
          <t>VIMMERBY</t>
        </is>
      </c>
      <c r="G239" t="n">
        <v>2.1</v>
      </c>
      <c r="H239" t="n">
        <v>0</v>
      </c>
      <c r="I239" t="n">
        <v>0</v>
      </c>
      <c r="J239" t="n">
        <v>0</v>
      </c>
      <c r="K239" t="n">
        <v>0</v>
      </c>
      <c r="L239" t="n">
        <v>0</v>
      </c>
      <c r="M239" t="n">
        <v>0</v>
      </c>
      <c r="N239" t="n">
        <v>0</v>
      </c>
      <c r="O239" t="n">
        <v>0</v>
      </c>
      <c r="P239" t="n">
        <v>0</v>
      </c>
      <c r="Q239" t="n">
        <v>0</v>
      </c>
      <c r="R239" s="2" t="inlineStr"/>
    </row>
    <row r="240" ht="15" customHeight="1">
      <c r="A240" t="inlineStr">
        <is>
          <t>A 39584-2024</t>
        </is>
      </c>
      <c r="B240" s="1" t="n">
        <v>45552.36759259259</v>
      </c>
      <c r="C240" s="1" t="n">
        <v>45990</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11219-2023</t>
        </is>
      </c>
      <c r="B241" s="1" t="n">
        <v>44992.62498842592</v>
      </c>
      <c r="C241" s="1" t="n">
        <v>45990</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51881-2024</t>
        </is>
      </c>
      <c r="B242" s="1" t="n">
        <v>45607.56773148148</v>
      </c>
      <c r="C242" s="1" t="n">
        <v>45990</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16734-2023</t>
        </is>
      </c>
      <c r="B243" s="1" t="n">
        <v>45030.71012731481</v>
      </c>
      <c r="C243" s="1" t="n">
        <v>45990</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2596-2025</t>
        </is>
      </c>
      <c r="B244" s="1" t="n">
        <v>45674.71810185185</v>
      </c>
      <c r="C244" s="1" t="n">
        <v>45990</v>
      </c>
      <c r="D244" t="inlineStr">
        <is>
          <t>KALMAR LÄN</t>
        </is>
      </c>
      <c r="E244" t="inlineStr">
        <is>
          <t>VIMMERBY</t>
        </is>
      </c>
      <c r="G244" t="n">
        <v>9</v>
      </c>
      <c r="H244" t="n">
        <v>0</v>
      </c>
      <c r="I244" t="n">
        <v>0</v>
      </c>
      <c r="J244" t="n">
        <v>0</v>
      </c>
      <c r="K244" t="n">
        <v>0</v>
      </c>
      <c r="L244" t="n">
        <v>0</v>
      </c>
      <c r="M244" t="n">
        <v>0</v>
      </c>
      <c r="N244" t="n">
        <v>0</v>
      </c>
      <c r="O244" t="n">
        <v>0</v>
      </c>
      <c r="P244" t="n">
        <v>0</v>
      </c>
      <c r="Q244" t="n">
        <v>0</v>
      </c>
      <c r="R244" s="2" t="inlineStr"/>
    </row>
    <row r="245" ht="15" customHeight="1">
      <c r="A245" t="inlineStr">
        <is>
          <t>A 11609-2023</t>
        </is>
      </c>
      <c r="B245" s="1" t="n">
        <v>44994.40635416667</v>
      </c>
      <c r="C245" s="1" t="n">
        <v>45990</v>
      </c>
      <c r="D245" t="inlineStr">
        <is>
          <t>KALMAR LÄN</t>
        </is>
      </c>
      <c r="E245" t="inlineStr">
        <is>
          <t>VIMMERBY</t>
        </is>
      </c>
      <c r="G245" t="n">
        <v>4.9</v>
      </c>
      <c r="H245" t="n">
        <v>0</v>
      </c>
      <c r="I245" t="n">
        <v>0</v>
      </c>
      <c r="J245" t="n">
        <v>0</v>
      </c>
      <c r="K245" t="n">
        <v>0</v>
      </c>
      <c r="L245" t="n">
        <v>0</v>
      </c>
      <c r="M245" t="n">
        <v>0</v>
      </c>
      <c r="N245" t="n">
        <v>0</v>
      </c>
      <c r="O245" t="n">
        <v>0</v>
      </c>
      <c r="P245" t="n">
        <v>0</v>
      </c>
      <c r="Q245" t="n">
        <v>0</v>
      </c>
      <c r="R245" s="2" t="inlineStr"/>
    </row>
    <row r="246" ht="15" customHeight="1">
      <c r="A246" t="inlineStr">
        <is>
          <t>A 52324-2023</t>
        </is>
      </c>
      <c r="B246" s="1" t="n">
        <v>45224.64659722222</v>
      </c>
      <c r="C246" s="1" t="n">
        <v>45990</v>
      </c>
      <c r="D246" t="inlineStr">
        <is>
          <t>KALMAR LÄN</t>
        </is>
      </c>
      <c r="E246" t="inlineStr">
        <is>
          <t>VIMMERBY</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20129-2024</t>
        </is>
      </c>
      <c r="B247" s="1" t="n">
        <v>45434.55831018519</v>
      </c>
      <c r="C247" s="1" t="n">
        <v>45990</v>
      </c>
      <c r="D247" t="inlineStr">
        <is>
          <t>KALMAR LÄN</t>
        </is>
      </c>
      <c r="E247" t="inlineStr">
        <is>
          <t>VIMMERBY</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20137-2024</t>
        </is>
      </c>
      <c r="B248" s="1" t="n">
        <v>45434.56398148148</v>
      </c>
      <c r="C248" s="1" t="n">
        <v>45990</v>
      </c>
      <c r="D248" t="inlineStr">
        <is>
          <t>KALMAR LÄN</t>
        </is>
      </c>
      <c r="E248" t="inlineStr">
        <is>
          <t>VIMMERBY</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37028-2024</t>
        </is>
      </c>
      <c r="B249" s="1" t="n">
        <v>45539.38744212963</v>
      </c>
      <c r="C249" s="1" t="n">
        <v>45990</v>
      </c>
      <c r="D249" t="inlineStr">
        <is>
          <t>KALMAR LÄN</t>
        </is>
      </c>
      <c r="E249" t="inlineStr">
        <is>
          <t>VIMMERBY</t>
        </is>
      </c>
      <c r="G249" t="n">
        <v>5.2</v>
      </c>
      <c r="H249" t="n">
        <v>0</v>
      </c>
      <c r="I249" t="n">
        <v>0</v>
      </c>
      <c r="J249" t="n">
        <v>0</v>
      </c>
      <c r="K249" t="n">
        <v>0</v>
      </c>
      <c r="L249" t="n">
        <v>0</v>
      </c>
      <c r="M249" t="n">
        <v>0</v>
      </c>
      <c r="N249" t="n">
        <v>0</v>
      </c>
      <c r="O249" t="n">
        <v>0</v>
      </c>
      <c r="P249" t="n">
        <v>0</v>
      </c>
      <c r="Q249" t="n">
        <v>0</v>
      </c>
      <c r="R249" s="2" t="inlineStr"/>
    </row>
    <row r="250" ht="15" customHeight="1">
      <c r="A250" t="inlineStr">
        <is>
          <t>A 7456-2024</t>
        </is>
      </c>
      <c r="B250" s="1" t="n">
        <v>45345.83557870371</v>
      </c>
      <c r="C250" s="1" t="n">
        <v>45990</v>
      </c>
      <c r="D250" t="inlineStr">
        <is>
          <t>KALMAR LÄN</t>
        </is>
      </c>
      <c r="E250" t="inlineStr">
        <is>
          <t>VIMMERBY</t>
        </is>
      </c>
      <c r="G250" t="n">
        <v>4.1</v>
      </c>
      <c r="H250" t="n">
        <v>0</v>
      </c>
      <c r="I250" t="n">
        <v>0</v>
      </c>
      <c r="J250" t="n">
        <v>0</v>
      </c>
      <c r="K250" t="n">
        <v>0</v>
      </c>
      <c r="L250" t="n">
        <v>0</v>
      </c>
      <c r="M250" t="n">
        <v>0</v>
      </c>
      <c r="N250" t="n">
        <v>0</v>
      </c>
      <c r="O250" t="n">
        <v>0</v>
      </c>
      <c r="P250" t="n">
        <v>0</v>
      </c>
      <c r="Q250" t="n">
        <v>0</v>
      </c>
      <c r="R250" s="2" t="inlineStr"/>
    </row>
    <row r="251" ht="15" customHeight="1">
      <c r="A251" t="inlineStr">
        <is>
          <t>A 55236-2023</t>
        </is>
      </c>
      <c r="B251" s="1" t="n">
        <v>45237.63225694445</v>
      </c>
      <c r="C251" s="1" t="n">
        <v>45990</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55245-2023</t>
        </is>
      </c>
      <c r="B252" s="1" t="n">
        <v>45237.64408564815</v>
      </c>
      <c r="C252" s="1" t="n">
        <v>45990</v>
      </c>
      <c r="D252" t="inlineStr">
        <is>
          <t>KALMAR LÄN</t>
        </is>
      </c>
      <c r="E252" t="inlineStr">
        <is>
          <t>VIMMERBY</t>
        </is>
      </c>
      <c r="G252" t="n">
        <v>1.3</v>
      </c>
      <c r="H252" t="n">
        <v>0</v>
      </c>
      <c r="I252" t="n">
        <v>0</v>
      </c>
      <c r="J252" t="n">
        <v>0</v>
      </c>
      <c r="K252" t="n">
        <v>0</v>
      </c>
      <c r="L252" t="n">
        <v>0</v>
      </c>
      <c r="M252" t="n">
        <v>0</v>
      </c>
      <c r="N252" t="n">
        <v>0</v>
      </c>
      <c r="O252" t="n">
        <v>0</v>
      </c>
      <c r="P252" t="n">
        <v>0</v>
      </c>
      <c r="Q252" t="n">
        <v>0</v>
      </c>
      <c r="R252" s="2" t="inlineStr"/>
    </row>
    <row r="253" ht="15" customHeight="1">
      <c r="A253" t="inlineStr">
        <is>
          <t>A 17988-2025</t>
        </is>
      </c>
      <c r="B253" s="1" t="n">
        <v>45761.39600694444</v>
      </c>
      <c r="C253" s="1" t="n">
        <v>45990</v>
      </c>
      <c r="D253" t="inlineStr">
        <is>
          <t>KALMAR LÄN</t>
        </is>
      </c>
      <c r="E253" t="inlineStr">
        <is>
          <t>VIMMERBY</t>
        </is>
      </c>
      <c r="G253" t="n">
        <v>2.8</v>
      </c>
      <c r="H253" t="n">
        <v>0</v>
      </c>
      <c r="I253" t="n">
        <v>0</v>
      </c>
      <c r="J253" t="n">
        <v>0</v>
      </c>
      <c r="K253" t="n">
        <v>0</v>
      </c>
      <c r="L253" t="n">
        <v>0</v>
      </c>
      <c r="M253" t="n">
        <v>0</v>
      </c>
      <c r="N253" t="n">
        <v>0</v>
      </c>
      <c r="O253" t="n">
        <v>0</v>
      </c>
      <c r="P253" t="n">
        <v>0</v>
      </c>
      <c r="Q253" t="n">
        <v>0</v>
      </c>
      <c r="R253" s="2" t="inlineStr"/>
    </row>
    <row r="254" ht="15" customHeight="1">
      <c r="A254" t="inlineStr">
        <is>
          <t>A 23341-2022</t>
        </is>
      </c>
      <c r="B254" s="1" t="n">
        <v>44720.53898148148</v>
      </c>
      <c r="C254" s="1" t="n">
        <v>45990</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6668-2023</t>
        </is>
      </c>
      <c r="B255" s="1" t="n">
        <v>44966</v>
      </c>
      <c r="C255" s="1" t="n">
        <v>45990</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29168-2024</t>
        </is>
      </c>
      <c r="B256" s="1" t="n">
        <v>45482.49870370371</v>
      </c>
      <c r="C256" s="1" t="n">
        <v>45990</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8086-2021</t>
        </is>
      </c>
      <c r="B257" s="1" t="n">
        <v>44243</v>
      </c>
      <c r="C257" s="1" t="n">
        <v>45990</v>
      </c>
      <c r="D257" t="inlineStr">
        <is>
          <t>KALMAR LÄN</t>
        </is>
      </c>
      <c r="E257" t="inlineStr">
        <is>
          <t>VIMMERBY</t>
        </is>
      </c>
      <c r="G257" t="n">
        <v>4.1</v>
      </c>
      <c r="H257" t="n">
        <v>0</v>
      </c>
      <c r="I257" t="n">
        <v>0</v>
      </c>
      <c r="J257" t="n">
        <v>0</v>
      </c>
      <c r="K257" t="n">
        <v>0</v>
      </c>
      <c r="L257" t="n">
        <v>0</v>
      </c>
      <c r="M257" t="n">
        <v>0</v>
      </c>
      <c r="N257" t="n">
        <v>0</v>
      </c>
      <c r="O257" t="n">
        <v>0</v>
      </c>
      <c r="P257" t="n">
        <v>0</v>
      </c>
      <c r="Q257" t="n">
        <v>0</v>
      </c>
      <c r="R257" s="2" t="inlineStr"/>
    </row>
    <row r="258" ht="15" customHeight="1">
      <c r="A258" t="inlineStr">
        <is>
          <t>A 36055-2024</t>
        </is>
      </c>
      <c r="B258" s="1" t="n">
        <v>45533.63056712963</v>
      </c>
      <c r="C258" s="1" t="n">
        <v>45990</v>
      </c>
      <c r="D258" t="inlineStr">
        <is>
          <t>KALMAR LÄN</t>
        </is>
      </c>
      <c r="E258" t="inlineStr">
        <is>
          <t>VIMMERBY</t>
        </is>
      </c>
      <c r="F258" t="inlineStr">
        <is>
          <t>Kommuner</t>
        </is>
      </c>
      <c r="G258" t="n">
        <v>1.9</v>
      </c>
      <c r="H258" t="n">
        <v>0</v>
      </c>
      <c r="I258" t="n">
        <v>0</v>
      </c>
      <c r="J258" t="n">
        <v>0</v>
      </c>
      <c r="K258" t="n">
        <v>0</v>
      </c>
      <c r="L258" t="n">
        <v>0</v>
      </c>
      <c r="M258" t="n">
        <v>0</v>
      </c>
      <c r="N258" t="n">
        <v>0</v>
      </c>
      <c r="O258" t="n">
        <v>0</v>
      </c>
      <c r="P258" t="n">
        <v>0</v>
      </c>
      <c r="Q258" t="n">
        <v>0</v>
      </c>
      <c r="R258" s="2" t="inlineStr"/>
    </row>
    <row r="259" ht="15" customHeight="1">
      <c r="A259" t="inlineStr">
        <is>
          <t>A 6321-2023</t>
        </is>
      </c>
      <c r="B259" s="1" t="n">
        <v>44965.4815162037</v>
      </c>
      <c r="C259" s="1" t="n">
        <v>45990</v>
      </c>
      <c r="D259" t="inlineStr">
        <is>
          <t>KALMAR LÄN</t>
        </is>
      </c>
      <c r="E259" t="inlineStr">
        <is>
          <t>VIMMERBY</t>
        </is>
      </c>
      <c r="G259" t="n">
        <v>1.8</v>
      </c>
      <c r="H259" t="n">
        <v>0</v>
      </c>
      <c r="I259" t="n">
        <v>0</v>
      </c>
      <c r="J259" t="n">
        <v>0</v>
      </c>
      <c r="K259" t="n">
        <v>0</v>
      </c>
      <c r="L259" t="n">
        <v>0</v>
      </c>
      <c r="M259" t="n">
        <v>0</v>
      </c>
      <c r="N259" t="n">
        <v>0</v>
      </c>
      <c r="O259" t="n">
        <v>0</v>
      </c>
      <c r="P259" t="n">
        <v>0</v>
      </c>
      <c r="Q259" t="n">
        <v>0</v>
      </c>
      <c r="R259" s="2" t="inlineStr"/>
    </row>
    <row r="260" ht="15" customHeight="1">
      <c r="A260" t="inlineStr">
        <is>
          <t>A 4624-2024</t>
        </is>
      </c>
      <c r="B260" s="1" t="n">
        <v>45328.38755787037</v>
      </c>
      <c r="C260" s="1" t="n">
        <v>45990</v>
      </c>
      <c r="D260" t="inlineStr">
        <is>
          <t>KALMAR LÄN</t>
        </is>
      </c>
      <c r="E260" t="inlineStr">
        <is>
          <t>VIMMERBY</t>
        </is>
      </c>
      <c r="G260" t="n">
        <v>1.7</v>
      </c>
      <c r="H260" t="n">
        <v>0</v>
      </c>
      <c r="I260" t="n">
        <v>0</v>
      </c>
      <c r="J260" t="n">
        <v>0</v>
      </c>
      <c r="K260" t="n">
        <v>0</v>
      </c>
      <c r="L260" t="n">
        <v>0</v>
      </c>
      <c r="M260" t="n">
        <v>0</v>
      </c>
      <c r="N260" t="n">
        <v>0</v>
      </c>
      <c r="O260" t="n">
        <v>0</v>
      </c>
      <c r="P260" t="n">
        <v>0</v>
      </c>
      <c r="Q260" t="n">
        <v>0</v>
      </c>
      <c r="R260" s="2" t="inlineStr"/>
    </row>
    <row r="261" ht="15" customHeight="1">
      <c r="A261" t="inlineStr">
        <is>
          <t>A 27443-2023</t>
        </is>
      </c>
      <c r="B261" s="1" t="n">
        <v>45097.40524305555</v>
      </c>
      <c r="C261" s="1" t="n">
        <v>45990</v>
      </c>
      <c r="D261" t="inlineStr">
        <is>
          <t>KALMAR LÄN</t>
        </is>
      </c>
      <c r="E261" t="inlineStr">
        <is>
          <t>VIMMERBY</t>
        </is>
      </c>
      <c r="F261" t="inlineStr">
        <is>
          <t>Övriga Aktiebolag</t>
        </is>
      </c>
      <c r="G261" t="n">
        <v>2.3</v>
      </c>
      <c r="H261" t="n">
        <v>0</v>
      </c>
      <c r="I261" t="n">
        <v>0</v>
      </c>
      <c r="J261" t="n">
        <v>0</v>
      </c>
      <c r="K261" t="n">
        <v>0</v>
      </c>
      <c r="L261" t="n">
        <v>0</v>
      </c>
      <c r="M261" t="n">
        <v>0</v>
      </c>
      <c r="N261" t="n">
        <v>0</v>
      </c>
      <c r="O261" t="n">
        <v>0</v>
      </c>
      <c r="P261" t="n">
        <v>0</v>
      </c>
      <c r="Q261" t="n">
        <v>0</v>
      </c>
      <c r="R261" s="2" t="inlineStr"/>
    </row>
    <row r="262" ht="15" customHeight="1">
      <c r="A262" t="inlineStr">
        <is>
          <t>A 845-2023</t>
        </is>
      </c>
      <c r="B262" s="1" t="n">
        <v>44931</v>
      </c>
      <c r="C262" s="1" t="n">
        <v>45990</v>
      </c>
      <c r="D262" t="inlineStr">
        <is>
          <t>KALMAR LÄN</t>
        </is>
      </c>
      <c r="E262" t="inlineStr">
        <is>
          <t>VIMMERBY</t>
        </is>
      </c>
      <c r="F262" t="inlineStr">
        <is>
          <t>Övriga Aktiebolag</t>
        </is>
      </c>
      <c r="G262" t="n">
        <v>19</v>
      </c>
      <c r="H262" t="n">
        <v>0</v>
      </c>
      <c r="I262" t="n">
        <v>0</v>
      </c>
      <c r="J262" t="n">
        <v>0</v>
      </c>
      <c r="K262" t="n">
        <v>0</v>
      </c>
      <c r="L262" t="n">
        <v>0</v>
      </c>
      <c r="M262" t="n">
        <v>0</v>
      </c>
      <c r="N262" t="n">
        <v>0</v>
      </c>
      <c r="O262" t="n">
        <v>0</v>
      </c>
      <c r="P262" t="n">
        <v>0</v>
      </c>
      <c r="Q262" t="n">
        <v>0</v>
      </c>
      <c r="R262" s="2" t="inlineStr"/>
    </row>
    <row r="263" ht="15" customHeight="1">
      <c r="A263" t="inlineStr">
        <is>
          <t>A 40730-2024</t>
        </is>
      </c>
      <c r="B263" s="1" t="n">
        <v>45558.44914351852</v>
      </c>
      <c r="C263" s="1" t="n">
        <v>45990</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59598-2023</t>
        </is>
      </c>
      <c r="B264" s="1" t="n">
        <v>45254.62489583333</v>
      </c>
      <c r="C264" s="1" t="n">
        <v>45990</v>
      </c>
      <c r="D264" t="inlineStr">
        <is>
          <t>KALMAR LÄN</t>
        </is>
      </c>
      <c r="E264" t="inlineStr">
        <is>
          <t>VIMMERBY</t>
        </is>
      </c>
      <c r="F264" t="inlineStr">
        <is>
          <t>Övriga Aktiebolag</t>
        </is>
      </c>
      <c r="G264" t="n">
        <v>4</v>
      </c>
      <c r="H264" t="n">
        <v>0</v>
      </c>
      <c r="I264" t="n">
        <v>0</v>
      </c>
      <c r="J264" t="n">
        <v>0</v>
      </c>
      <c r="K264" t="n">
        <v>0</v>
      </c>
      <c r="L264" t="n">
        <v>0</v>
      </c>
      <c r="M264" t="n">
        <v>0</v>
      </c>
      <c r="N264" t="n">
        <v>0</v>
      </c>
      <c r="O264" t="n">
        <v>0</v>
      </c>
      <c r="P264" t="n">
        <v>0</v>
      </c>
      <c r="Q264" t="n">
        <v>0</v>
      </c>
      <c r="R264" s="2" t="inlineStr"/>
    </row>
    <row r="265" ht="15" customHeight="1">
      <c r="A265" t="inlineStr">
        <is>
          <t>A 2157-2024</t>
        </is>
      </c>
      <c r="B265" s="1" t="n">
        <v>45309.59487268519</v>
      </c>
      <c r="C265" s="1" t="n">
        <v>45990</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7944-2024</t>
        </is>
      </c>
      <c r="B266" s="1" t="n">
        <v>45350.53306712963</v>
      </c>
      <c r="C266" s="1" t="n">
        <v>45990</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21496-2023</t>
        </is>
      </c>
      <c r="B267" s="1" t="n">
        <v>45063.49936342592</v>
      </c>
      <c r="C267" s="1" t="n">
        <v>45990</v>
      </c>
      <c r="D267" t="inlineStr">
        <is>
          <t>KALMAR LÄN</t>
        </is>
      </c>
      <c r="E267" t="inlineStr">
        <is>
          <t>VIMMERBY</t>
        </is>
      </c>
      <c r="G267" t="n">
        <v>1.1</v>
      </c>
      <c r="H267" t="n">
        <v>0</v>
      </c>
      <c r="I267" t="n">
        <v>0</v>
      </c>
      <c r="J267" t="n">
        <v>0</v>
      </c>
      <c r="K267" t="n">
        <v>0</v>
      </c>
      <c r="L267" t="n">
        <v>0</v>
      </c>
      <c r="M267" t="n">
        <v>0</v>
      </c>
      <c r="N267" t="n">
        <v>0</v>
      </c>
      <c r="O267" t="n">
        <v>0</v>
      </c>
      <c r="P267" t="n">
        <v>0</v>
      </c>
      <c r="Q267" t="n">
        <v>0</v>
      </c>
      <c r="R267" s="2" t="inlineStr"/>
    </row>
    <row r="268" ht="15" customHeight="1">
      <c r="A268" t="inlineStr">
        <is>
          <t>A 49461-2022</t>
        </is>
      </c>
      <c r="B268" s="1" t="n">
        <v>44861</v>
      </c>
      <c r="C268" s="1" t="n">
        <v>45990</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694-2024</t>
        </is>
      </c>
      <c r="B269" s="1" t="n">
        <v>45300.3794212963</v>
      </c>
      <c r="C269" s="1" t="n">
        <v>45990</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35082-2024</t>
        </is>
      </c>
      <c r="B270" s="1" t="n">
        <v>45527.68784722222</v>
      </c>
      <c r="C270" s="1" t="n">
        <v>45990</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29783-2024</t>
        </is>
      </c>
      <c r="B271" s="1" t="n">
        <v>45485.45778935185</v>
      </c>
      <c r="C271" s="1" t="n">
        <v>45990</v>
      </c>
      <c r="D271" t="inlineStr">
        <is>
          <t>KALMAR LÄN</t>
        </is>
      </c>
      <c r="E271" t="inlineStr">
        <is>
          <t>VIMMERBY</t>
        </is>
      </c>
      <c r="G271" t="n">
        <v>3.1</v>
      </c>
      <c r="H271" t="n">
        <v>0</v>
      </c>
      <c r="I271" t="n">
        <v>0</v>
      </c>
      <c r="J271" t="n">
        <v>0</v>
      </c>
      <c r="K271" t="n">
        <v>0</v>
      </c>
      <c r="L271" t="n">
        <v>0</v>
      </c>
      <c r="M271" t="n">
        <v>0</v>
      </c>
      <c r="N271" t="n">
        <v>0</v>
      </c>
      <c r="O271" t="n">
        <v>0</v>
      </c>
      <c r="P271" t="n">
        <v>0</v>
      </c>
      <c r="Q271" t="n">
        <v>0</v>
      </c>
      <c r="R271" s="2" t="inlineStr"/>
    </row>
    <row r="272" ht="15" customHeight="1">
      <c r="A272" t="inlineStr">
        <is>
          <t>A 51278-2024</t>
        </is>
      </c>
      <c r="B272" s="1" t="n">
        <v>45603.74959490741</v>
      </c>
      <c r="C272" s="1" t="n">
        <v>45990</v>
      </c>
      <c r="D272" t="inlineStr">
        <is>
          <t>KALMAR LÄN</t>
        </is>
      </c>
      <c r="E272" t="inlineStr">
        <is>
          <t>VIMMERBY</t>
        </is>
      </c>
      <c r="G272" t="n">
        <v>3.4</v>
      </c>
      <c r="H272" t="n">
        <v>0</v>
      </c>
      <c r="I272" t="n">
        <v>0</v>
      </c>
      <c r="J272" t="n">
        <v>0</v>
      </c>
      <c r="K272" t="n">
        <v>0</v>
      </c>
      <c r="L272" t="n">
        <v>0</v>
      </c>
      <c r="M272" t="n">
        <v>0</v>
      </c>
      <c r="N272" t="n">
        <v>0</v>
      </c>
      <c r="O272" t="n">
        <v>0</v>
      </c>
      <c r="P272" t="n">
        <v>0</v>
      </c>
      <c r="Q272" t="n">
        <v>0</v>
      </c>
      <c r="R272" s="2" t="inlineStr"/>
    </row>
    <row r="273" ht="15" customHeight="1">
      <c r="A273" t="inlineStr">
        <is>
          <t>A 9456-2025</t>
        </is>
      </c>
      <c r="B273" s="1" t="n">
        <v>45715.44159722222</v>
      </c>
      <c r="C273" s="1" t="n">
        <v>45990</v>
      </c>
      <c r="D273" t="inlineStr">
        <is>
          <t>KALMAR LÄN</t>
        </is>
      </c>
      <c r="E273" t="inlineStr">
        <is>
          <t>VIMMERBY</t>
        </is>
      </c>
      <c r="G273" t="n">
        <v>1.5</v>
      </c>
      <c r="H273" t="n">
        <v>0</v>
      </c>
      <c r="I273" t="n">
        <v>0</v>
      </c>
      <c r="J273" t="n">
        <v>0</v>
      </c>
      <c r="K273" t="n">
        <v>0</v>
      </c>
      <c r="L273" t="n">
        <v>0</v>
      </c>
      <c r="M273" t="n">
        <v>0</v>
      </c>
      <c r="N273" t="n">
        <v>0</v>
      </c>
      <c r="O273" t="n">
        <v>0</v>
      </c>
      <c r="P273" t="n">
        <v>0</v>
      </c>
      <c r="Q273" t="n">
        <v>0</v>
      </c>
      <c r="R273" s="2" t="inlineStr"/>
    </row>
    <row r="274" ht="15" customHeight="1">
      <c r="A274" t="inlineStr">
        <is>
          <t>A 11111-2023</t>
        </is>
      </c>
      <c r="B274" s="1" t="n">
        <v>44992.4255787037</v>
      </c>
      <c r="C274" s="1" t="n">
        <v>45990</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35198-2023</t>
        </is>
      </c>
      <c r="B275" s="1" t="n">
        <v>45145</v>
      </c>
      <c r="C275" s="1" t="n">
        <v>45990</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38604-2025</t>
        </is>
      </c>
      <c r="B276" s="1" t="n">
        <v>45884.50613425926</v>
      </c>
      <c r="C276" s="1" t="n">
        <v>45990</v>
      </c>
      <c r="D276" t="inlineStr">
        <is>
          <t>KALMAR LÄN</t>
        </is>
      </c>
      <c r="E276" t="inlineStr">
        <is>
          <t>VIMMERBY</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43853-2023</t>
        </is>
      </c>
      <c r="B277" s="1" t="n">
        <v>45187.60813657408</v>
      </c>
      <c r="C277" s="1" t="n">
        <v>45990</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44582-2024</t>
        </is>
      </c>
      <c r="B278" s="1" t="n">
        <v>45574.49298611111</v>
      </c>
      <c r="C278" s="1" t="n">
        <v>45990</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15494-2024</t>
        </is>
      </c>
      <c r="B279" s="1" t="n">
        <v>45401.53033564815</v>
      </c>
      <c r="C279" s="1" t="n">
        <v>45990</v>
      </c>
      <c r="D279" t="inlineStr">
        <is>
          <t>KALMAR LÄN</t>
        </is>
      </c>
      <c r="E279" t="inlineStr">
        <is>
          <t>VIMMERBY</t>
        </is>
      </c>
      <c r="G279" t="n">
        <v>3.2</v>
      </c>
      <c r="H279" t="n">
        <v>0</v>
      </c>
      <c r="I279" t="n">
        <v>0</v>
      </c>
      <c r="J279" t="n">
        <v>0</v>
      </c>
      <c r="K279" t="n">
        <v>0</v>
      </c>
      <c r="L279" t="n">
        <v>0</v>
      </c>
      <c r="M279" t="n">
        <v>0</v>
      </c>
      <c r="N279" t="n">
        <v>0</v>
      </c>
      <c r="O279" t="n">
        <v>0</v>
      </c>
      <c r="P279" t="n">
        <v>0</v>
      </c>
      <c r="Q279" t="n">
        <v>0</v>
      </c>
      <c r="R279" s="2" t="inlineStr"/>
    </row>
    <row r="280" ht="15" customHeight="1">
      <c r="A280" t="inlineStr">
        <is>
          <t>A 9511-2023</t>
        </is>
      </c>
      <c r="B280" s="1" t="n">
        <v>44981.64725694444</v>
      </c>
      <c r="C280" s="1" t="n">
        <v>45990</v>
      </c>
      <c r="D280" t="inlineStr">
        <is>
          <t>KALMAR LÄN</t>
        </is>
      </c>
      <c r="E280" t="inlineStr">
        <is>
          <t>VIMMERBY</t>
        </is>
      </c>
      <c r="G280" t="n">
        <v>3.5</v>
      </c>
      <c r="H280" t="n">
        <v>0</v>
      </c>
      <c r="I280" t="n">
        <v>0</v>
      </c>
      <c r="J280" t="n">
        <v>0</v>
      </c>
      <c r="K280" t="n">
        <v>0</v>
      </c>
      <c r="L280" t="n">
        <v>0</v>
      </c>
      <c r="M280" t="n">
        <v>0</v>
      </c>
      <c r="N280" t="n">
        <v>0</v>
      </c>
      <c r="O280" t="n">
        <v>0</v>
      </c>
      <c r="P280" t="n">
        <v>0</v>
      </c>
      <c r="Q280" t="n">
        <v>0</v>
      </c>
      <c r="R280" s="2" t="inlineStr"/>
    </row>
    <row r="281" ht="15" customHeight="1">
      <c r="A281" t="inlineStr">
        <is>
          <t>A 38757-2023</t>
        </is>
      </c>
      <c r="B281" s="1" t="n">
        <v>45163.41376157408</v>
      </c>
      <c r="C281" s="1" t="n">
        <v>45990</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29973-2023</t>
        </is>
      </c>
      <c r="B282" s="1" t="n">
        <v>45108.703125</v>
      </c>
      <c r="C282" s="1" t="n">
        <v>45990</v>
      </c>
      <c r="D282" t="inlineStr">
        <is>
          <t>KALMAR LÄN</t>
        </is>
      </c>
      <c r="E282" t="inlineStr">
        <is>
          <t>VIMMERBY</t>
        </is>
      </c>
      <c r="G282" t="n">
        <v>4</v>
      </c>
      <c r="H282" t="n">
        <v>0</v>
      </c>
      <c r="I282" t="n">
        <v>0</v>
      </c>
      <c r="J282" t="n">
        <v>0</v>
      </c>
      <c r="K282" t="n">
        <v>0</v>
      </c>
      <c r="L282" t="n">
        <v>0</v>
      </c>
      <c r="M282" t="n">
        <v>0</v>
      </c>
      <c r="N282" t="n">
        <v>0</v>
      </c>
      <c r="O282" t="n">
        <v>0</v>
      </c>
      <c r="P282" t="n">
        <v>0</v>
      </c>
      <c r="Q282" t="n">
        <v>0</v>
      </c>
      <c r="R282" s="2" t="inlineStr"/>
    </row>
    <row r="283" ht="15" customHeight="1">
      <c r="A283" t="inlineStr">
        <is>
          <t>A 64143-2021</t>
        </is>
      </c>
      <c r="B283" s="1" t="n">
        <v>44510.52157407408</v>
      </c>
      <c r="C283" s="1" t="n">
        <v>45990</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73938-2021</t>
        </is>
      </c>
      <c r="B284" s="1" t="n">
        <v>44553</v>
      </c>
      <c r="C284" s="1" t="n">
        <v>45990</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58724-2024</t>
        </is>
      </c>
      <c r="B285" s="1" t="n">
        <v>45635.66409722222</v>
      </c>
      <c r="C285" s="1" t="n">
        <v>45990</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40076-2021</t>
        </is>
      </c>
      <c r="B286" s="1" t="n">
        <v>44418</v>
      </c>
      <c r="C286" s="1" t="n">
        <v>45990</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25792-2025</t>
        </is>
      </c>
      <c r="B287" s="1" t="n">
        <v>45804.39141203704</v>
      </c>
      <c r="C287" s="1" t="n">
        <v>45990</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26039-2025</t>
        </is>
      </c>
      <c r="B288" s="1" t="n">
        <v>45804.6953587963</v>
      </c>
      <c r="C288" s="1" t="n">
        <v>45990</v>
      </c>
      <c r="D288" t="inlineStr">
        <is>
          <t>KALMAR LÄN</t>
        </is>
      </c>
      <c r="E288" t="inlineStr">
        <is>
          <t>VIMMERBY</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50648-2023</t>
        </is>
      </c>
      <c r="B289" s="1" t="n">
        <v>45217.47834490741</v>
      </c>
      <c r="C289" s="1" t="n">
        <v>45990</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29726-2025</t>
        </is>
      </c>
      <c r="B290" s="1" t="n">
        <v>45825.57805555555</v>
      </c>
      <c r="C290" s="1" t="n">
        <v>45990</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529-2022</t>
        </is>
      </c>
      <c r="B291" s="1" t="n">
        <v>44566</v>
      </c>
      <c r="C291" s="1" t="n">
        <v>45990</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58318-2021</t>
        </is>
      </c>
      <c r="B292" s="1" t="n">
        <v>44488.35878472222</v>
      </c>
      <c r="C292" s="1" t="n">
        <v>45990</v>
      </c>
      <c r="D292" t="inlineStr">
        <is>
          <t>KALMAR LÄN</t>
        </is>
      </c>
      <c r="E292" t="inlineStr">
        <is>
          <t>VIMMERBY</t>
        </is>
      </c>
      <c r="G292" t="n">
        <v>4</v>
      </c>
      <c r="H292" t="n">
        <v>0</v>
      </c>
      <c r="I292" t="n">
        <v>0</v>
      </c>
      <c r="J292" t="n">
        <v>0</v>
      </c>
      <c r="K292" t="n">
        <v>0</v>
      </c>
      <c r="L292" t="n">
        <v>0</v>
      </c>
      <c r="M292" t="n">
        <v>0</v>
      </c>
      <c r="N292" t="n">
        <v>0</v>
      </c>
      <c r="O292" t="n">
        <v>0</v>
      </c>
      <c r="P292" t="n">
        <v>0</v>
      </c>
      <c r="Q292" t="n">
        <v>0</v>
      </c>
      <c r="R292" s="2" t="inlineStr"/>
    </row>
    <row r="293" ht="15" customHeight="1">
      <c r="A293" t="inlineStr">
        <is>
          <t>A 89-2023</t>
        </is>
      </c>
      <c r="B293" s="1" t="n">
        <v>44918</v>
      </c>
      <c r="C293" s="1" t="n">
        <v>45990</v>
      </c>
      <c r="D293" t="inlineStr">
        <is>
          <t>KALMAR LÄN</t>
        </is>
      </c>
      <c r="E293" t="inlineStr">
        <is>
          <t>VIMMERBY</t>
        </is>
      </c>
      <c r="G293" t="n">
        <v>16.1</v>
      </c>
      <c r="H293" t="n">
        <v>0</v>
      </c>
      <c r="I293" t="n">
        <v>0</v>
      </c>
      <c r="J293" t="n">
        <v>0</v>
      </c>
      <c r="K293" t="n">
        <v>0</v>
      </c>
      <c r="L293" t="n">
        <v>0</v>
      </c>
      <c r="M293" t="n">
        <v>0</v>
      </c>
      <c r="N293" t="n">
        <v>0</v>
      </c>
      <c r="O293" t="n">
        <v>0</v>
      </c>
      <c r="P293" t="n">
        <v>0</v>
      </c>
      <c r="Q293" t="n">
        <v>0</v>
      </c>
      <c r="R293" s="2" t="inlineStr"/>
    </row>
    <row r="294" ht="15" customHeight="1">
      <c r="A294" t="inlineStr">
        <is>
          <t>A 26046-2025</t>
        </is>
      </c>
      <c r="B294" s="1" t="n">
        <v>45804.708125</v>
      </c>
      <c r="C294" s="1" t="n">
        <v>45990</v>
      </c>
      <c r="D294" t="inlineStr">
        <is>
          <t>KALMAR LÄN</t>
        </is>
      </c>
      <c r="E294" t="inlineStr">
        <is>
          <t>VIMMERBY</t>
        </is>
      </c>
      <c r="F294" t="inlineStr">
        <is>
          <t>Sveaskog</t>
        </is>
      </c>
      <c r="G294" t="n">
        <v>5.1</v>
      </c>
      <c r="H294" t="n">
        <v>0</v>
      </c>
      <c r="I294" t="n">
        <v>0</v>
      </c>
      <c r="J294" t="n">
        <v>0</v>
      </c>
      <c r="K294" t="n">
        <v>0</v>
      </c>
      <c r="L294" t="n">
        <v>0</v>
      </c>
      <c r="M294" t="n">
        <v>0</v>
      </c>
      <c r="N294" t="n">
        <v>0</v>
      </c>
      <c r="O294" t="n">
        <v>0</v>
      </c>
      <c r="P294" t="n">
        <v>0</v>
      </c>
      <c r="Q294" t="n">
        <v>0</v>
      </c>
      <c r="R294" s="2" t="inlineStr"/>
    </row>
    <row r="295" ht="15" customHeight="1">
      <c r="A295" t="inlineStr">
        <is>
          <t>A 23088-2024</t>
        </is>
      </c>
      <c r="B295" s="1" t="n">
        <v>45450.51092592593</v>
      </c>
      <c r="C295" s="1" t="n">
        <v>45990</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26124-2025</t>
        </is>
      </c>
      <c r="B296" s="1" t="n">
        <v>45805.39247685186</v>
      </c>
      <c r="C296" s="1" t="n">
        <v>45990</v>
      </c>
      <c r="D296" t="inlineStr">
        <is>
          <t>KALMAR LÄN</t>
        </is>
      </c>
      <c r="E296" t="inlineStr">
        <is>
          <t>VIMMERBY</t>
        </is>
      </c>
      <c r="G296" t="n">
        <v>6.6</v>
      </c>
      <c r="H296" t="n">
        <v>0</v>
      </c>
      <c r="I296" t="n">
        <v>0</v>
      </c>
      <c r="J296" t="n">
        <v>0</v>
      </c>
      <c r="K296" t="n">
        <v>0</v>
      </c>
      <c r="L296" t="n">
        <v>0</v>
      </c>
      <c r="M296" t="n">
        <v>0</v>
      </c>
      <c r="N296" t="n">
        <v>0</v>
      </c>
      <c r="O296" t="n">
        <v>0</v>
      </c>
      <c r="P296" t="n">
        <v>0</v>
      </c>
      <c r="Q296" t="n">
        <v>0</v>
      </c>
      <c r="R296" s="2" t="inlineStr"/>
    </row>
    <row r="297" ht="15" customHeight="1">
      <c r="A297" t="inlineStr">
        <is>
          <t>A 38851-2023</t>
        </is>
      </c>
      <c r="B297" s="1" t="n">
        <v>45163</v>
      </c>
      <c r="C297" s="1" t="n">
        <v>45990</v>
      </c>
      <c r="D297" t="inlineStr">
        <is>
          <t>KALMAR LÄN</t>
        </is>
      </c>
      <c r="E297" t="inlineStr">
        <is>
          <t>VIMMERBY</t>
        </is>
      </c>
      <c r="G297" t="n">
        <v>4.3</v>
      </c>
      <c r="H297" t="n">
        <v>0</v>
      </c>
      <c r="I297" t="n">
        <v>0</v>
      </c>
      <c r="J297" t="n">
        <v>0</v>
      </c>
      <c r="K297" t="n">
        <v>0</v>
      </c>
      <c r="L297" t="n">
        <v>0</v>
      </c>
      <c r="M297" t="n">
        <v>0</v>
      </c>
      <c r="N297" t="n">
        <v>0</v>
      </c>
      <c r="O297" t="n">
        <v>0</v>
      </c>
      <c r="P297" t="n">
        <v>0</v>
      </c>
      <c r="Q297" t="n">
        <v>0</v>
      </c>
      <c r="R297" s="2" t="inlineStr"/>
    </row>
    <row r="298" ht="15" customHeight="1">
      <c r="A298" t="inlineStr">
        <is>
          <t>A 10759-2023</t>
        </is>
      </c>
      <c r="B298" s="1" t="n">
        <v>44988</v>
      </c>
      <c r="C298" s="1" t="n">
        <v>45990</v>
      </c>
      <c r="D298" t="inlineStr">
        <is>
          <t>KALMAR LÄN</t>
        </is>
      </c>
      <c r="E298" t="inlineStr">
        <is>
          <t>VIMMERBY</t>
        </is>
      </c>
      <c r="G298" t="n">
        <v>0.4</v>
      </c>
      <c r="H298" t="n">
        <v>0</v>
      </c>
      <c r="I298" t="n">
        <v>0</v>
      </c>
      <c r="J298" t="n">
        <v>0</v>
      </c>
      <c r="K298" t="n">
        <v>0</v>
      </c>
      <c r="L298" t="n">
        <v>0</v>
      </c>
      <c r="M298" t="n">
        <v>0</v>
      </c>
      <c r="N298" t="n">
        <v>0</v>
      </c>
      <c r="O298" t="n">
        <v>0</v>
      </c>
      <c r="P298" t="n">
        <v>0</v>
      </c>
      <c r="Q298" t="n">
        <v>0</v>
      </c>
      <c r="R298" s="2" t="inlineStr"/>
    </row>
    <row r="299" ht="15" customHeight="1">
      <c r="A299" t="inlineStr">
        <is>
          <t>A 26207-2025</t>
        </is>
      </c>
      <c r="B299" s="1" t="n">
        <v>45805.52983796296</v>
      </c>
      <c r="C299" s="1" t="n">
        <v>45990</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63583-2023</t>
        </is>
      </c>
      <c r="B300" s="1" t="n">
        <v>45275.41833333333</v>
      </c>
      <c r="C300" s="1" t="n">
        <v>45990</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25830-2025</t>
        </is>
      </c>
      <c r="B301" s="1" t="n">
        <v>45804.44519675926</v>
      </c>
      <c r="C301" s="1" t="n">
        <v>45990</v>
      </c>
      <c r="D301" t="inlineStr">
        <is>
          <t>KALMAR LÄN</t>
        </is>
      </c>
      <c r="E301" t="inlineStr">
        <is>
          <t>VIMMERBY</t>
        </is>
      </c>
      <c r="G301" t="n">
        <v>4.9</v>
      </c>
      <c r="H301" t="n">
        <v>0</v>
      </c>
      <c r="I301" t="n">
        <v>0</v>
      </c>
      <c r="J301" t="n">
        <v>0</v>
      </c>
      <c r="K301" t="n">
        <v>0</v>
      </c>
      <c r="L301" t="n">
        <v>0</v>
      </c>
      <c r="M301" t="n">
        <v>0</v>
      </c>
      <c r="N301" t="n">
        <v>0</v>
      </c>
      <c r="O301" t="n">
        <v>0</v>
      </c>
      <c r="P301" t="n">
        <v>0</v>
      </c>
      <c r="Q301" t="n">
        <v>0</v>
      </c>
      <c r="R301" s="2" t="inlineStr"/>
    </row>
    <row r="302" ht="15" customHeight="1">
      <c r="A302" t="inlineStr">
        <is>
          <t>A 40079-2023</t>
        </is>
      </c>
      <c r="B302" s="1" t="n">
        <v>45168.89298611111</v>
      </c>
      <c r="C302" s="1" t="n">
        <v>45990</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43774-2023</t>
        </is>
      </c>
      <c r="B303" s="1" t="n">
        <v>45187</v>
      </c>
      <c r="C303" s="1" t="n">
        <v>45990</v>
      </c>
      <c r="D303" t="inlineStr">
        <is>
          <t>KALMAR LÄN</t>
        </is>
      </c>
      <c r="E303" t="inlineStr">
        <is>
          <t>VIMMERBY</t>
        </is>
      </c>
      <c r="G303" t="n">
        <v>3.4</v>
      </c>
      <c r="H303" t="n">
        <v>0</v>
      </c>
      <c r="I303" t="n">
        <v>0</v>
      </c>
      <c r="J303" t="n">
        <v>0</v>
      </c>
      <c r="K303" t="n">
        <v>0</v>
      </c>
      <c r="L303" t="n">
        <v>0</v>
      </c>
      <c r="M303" t="n">
        <v>0</v>
      </c>
      <c r="N303" t="n">
        <v>0</v>
      </c>
      <c r="O303" t="n">
        <v>0</v>
      </c>
      <c r="P303" t="n">
        <v>0</v>
      </c>
      <c r="Q303" t="n">
        <v>0</v>
      </c>
      <c r="R303" s="2" t="inlineStr"/>
    </row>
    <row r="304" ht="15" customHeight="1">
      <c r="A304" t="inlineStr">
        <is>
          <t>A 26254-2025</t>
        </is>
      </c>
      <c r="B304" s="1" t="n">
        <v>45805</v>
      </c>
      <c r="C304" s="1" t="n">
        <v>45990</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29616-2022</t>
        </is>
      </c>
      <c r="B305" s="1" t="n">
        <v>44754</v>
      </c>
      <c r="C305" s="1" t="n">
        <v>45990</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45990</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39578-2024</t>
        </is>
      </c>
      <c r="B307" s="1" t="n">
        <v>45552.36484953704</v>
      </c>
      <c r="C307" s="1" t="n">
        <v>45990</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39807-2025</t>
        </is>
      </c>
      <c r="B308" s="1" t="n">
        <v>45891.50986111111</v>
      </c>
      <c r="C308" s="1" t="n">
        <v>45990</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24707-2024</t>
        </is>
      </c>
      <c r="B309" s="1" t="n">
        <v>45460.62172453704</v>
      </c>
      <c r="C309" s="1" t="n">
        <v>45990</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39736-2025</t>
        </is>
      </c>
      <c r="B310" s="1" t="n">
        <v>45891</v>
      </c>
      <c r="C310" s="1" t="n">
        <v>45990</v>
      </c>
      <c r="D310" t="inlineStr">
        <is>
          <t>KALMAR LÄN</t>
        </is>
      </c>
      <c r="E310" t="inlineStr">
        <is>
          <t>VIMMERBY</t>
        </is>
      </c>
      <c r="G310" t="n">
        <v>12.8</v>
      </c>
      <c r="H310" t="n">
        <v>0</v>
      </c>
      <c r="I310" t="n">
        <v>0</v>
      </c>
      <c r="J310" t="n">
        <v>0</v>
      </c>
      <c r="K310" t="n">
        <v>0</v>
      </c>
      <c r="L310" t="n">
        <v>0</v>
      </c>
      <c r="M310" t="n">
        <v>0</v>
      </c>
      <c r="N310" t="n">
        <v>0</v>
      </c>
      <c r="O310" t="n">
        <v>0</v>
      </c>
      <c r="P310" t="n">
        <v>0</v>
      </c>
      <c r="Q310" t="n">
        <v>0</v>
      </c>
      <c r="R310" s="2" t="inlineStr"/>
    </row>
    <row r="311" ht="15" customHeight="1">
      <c r="A311" t="inlineStr">
        <is>
          <t>A 31056-2022</t>
        </is>
      </c>
      <c r="B311" s="1" t="n">
        <v>44769.45805555556</v>
      </c>
      <c r="C311" s="1" t="n">
        <v>45990</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33383-2023</t>
        </is>
      </c>
      <c r="B312" s="1" t="n">
        <v>45128.58414351852</v>
      </c>
      <c r="C312" s="1" t="n">
        <v>45990</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39803-2025</t>
        </is>
      </c>
      <c r="B313" s="1" t="n">
        <v>45891.50525462963</v>
      </c>
      <c r="C313" s="1" t="n">
        <v>45990</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39889-2025</t>
        </is>
      </c>
      <c r="B314" s="1" t="n">
        <v>45891</v>
      </c>
      <c r="C314" s="1" t="n">
        <v>45990</v>
      </c>
      <c r="D314" t="inlineStr">
        <is>
          <t>KALMAR LÄN</t>
        </is>
      </c>
      <c r="E314" t="inlineStr">
        <is>
          <t>VIMMERBY</t>
        </is>
      </c>
      <c r="G314" t="n">
        <v>4.5</v>
      </c>
      <c r="H314" t="n">
        <v>0</v>
      </c>
      <c r="I314" t="n">
        <v>0</v>
      </c>
      <c r="J314" t="n">
        <v>0</v>
      </c>
      <c r="K314" t="n">
        <v>0</v>
      </c>
      <c r="L314" t="n">
        <v>0</v>
      </c>
      <c r="M314" t="n">
        <v>0</v>
      </c>
      <c r="N314" t="n">
        <v>0</v>
      </c>
      <c r="O314" t="n">
        <v>0</v>
      </c>
      <c r="P314" t="n">
        <v>0</v>
      </c>
      <c r="Q314" t="n">
        <v>0</v>
      </c>
      <c r="R314" s="2" t="inlineStr"/>
    </row>
    <row r="315" ht="15" customHeight="1">
      <c r="A315" t="inlineStr">
        <is>
          <t>A 40828-2023</t>
        </is>
      </c>
      <c r="B315" s="1" t="n">
        <v>45171.96248842592</v>
      </c>
      <c r="C315" s="1" t="n">
        <v>45990</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61861-2024</t>
        </is>
      </c>
      <c r="B316" s="1" t="n">
        <v>45650.37370370371</v>
      </c>
      <c r="C316" s="1" t="n">
        <v>45990</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8650-2022</t>
        </is>
      </c>
      <c r="B317" s="1" t="n">
        <v>44613</v>
      </c>
      <c r="C317" s="1" t="n">
        <v>45990</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33340-2023</t>
        </is>
      </c>
      <c r="B318" s="1" t="n">
        <v>45128.37305555555</v>
      </c>
      <c r="C318" s="1" t="n">
        <v>45990</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44423-2023</t>
        </is>
      </c>
      <c r="B319" s="1" t="n">
        <v>45189</v>
      </c>
      <c r="C319" s="1" t="n">
        <v>45990</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37323-2024</t>
        </is>
      </c>
      <c r="B320" s="1" t="n">
        <v>45540.50098379629</v>
      </c>
      <c r="C320" s="1" t="n">
        <v>45990</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40925-2025</t>
        </is>
      </c>
      <c r="B321" s="1" t="n">
        <v>45897.64208333333</v>
      </c>
      <c r="C321" s="1" t="n">
        <v>45990</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40921-2025</t>
        </is>
      </c>
      <c r="B322" s="1" t="n">
        <v>45897.63520833333</v>
      </c>
      <c r="C322" s="1" t="n">
        <v>45990</v>
      </c>
      <c r="D322" t="inlineStr">
        <is>
          <t>KALMAR LÄN</t>
        </is>
      </c>
      <c r="E322" t="inlineStr">
        <is>
          <t>VIMMERBY</t>
        </is>
      </c>
      <c r="G322" t="n">
        <v>4.2</v>
      </c>
      <c r="H322" t="n">
        <v>0</v>
      </c>
      <c r="I322" t="n">
        <v>0</v>
      </c>
      <c r="J322" t="n">
        <v>0</v>
      </c>
      <c r="K322" t="n">
        <v>0</v>
      </c>
      <c r="L322" t="n">
        <v>0</v>
      </c>
      <c r="M322" t="n">
        <v>0</v>
      </c>
      <c r="N322" t="n">
        <v>0</v>
      </c>
      <c r="O322" t="n">
        <v>0</v>
      </c>
      <c r="P322" t="n">
        <v>0</v>
      </c>
      <c r="Q322" t="n">
        <v>0</v>
      </c>
      <c r="R322" s="2" t="inlineStr"/>
    </row>
    <row r="323" ht="15" customHeight="1">
      <c r="A323" t="inlineStr">
        <is>
          <t>A 18501-2024</t>
        </is>
      </c>
      <c r="B323" s="1" t="n">
        <v>45425.57538194444</v>
      </c>
      <c r="C323" s="1" t="n">
        <v>45990</v>
      </c>
      <c r="D323" t="inlineStr">
        <is>
          <t>KALMAR LÄN</t>
        </is>
      </c>
      <c r="E323" t="inlineStr">
        <is>
          <t>VIMMERBY</t>
        </is>
      </c>
      <c r="G323" t="n">
        <v>2</v>
      </c>
      <c r="H323" t="n">
        <v>0</v>
      </c>
      <c r="I323" t="n">
        <v>0</v>
      </c>
      <c r="J323" t="n">
        <v>0</v>
      </c>
      <c r="K323" t="n">
        <v>0</v>
      </c>
      <c r="L323" t="n">
        <v>0</v>
      </c>
      <c r="M323" t="n">
        <v>0</v>
      </c>
      <c r="N323" t="n">
        <v>0</v>
      </c>
      <c r="O323" t="n">
        <v>0</v>
      </c>
      <c r="P323" t="n">
        <v>0</v>
      </c>
      <c r="Q323" t="n">
        <v>0</v>
      </c>
      <c r="R323" s="2" t="inlineStr"/>
    </row>
    <row r="324" ht="15" customHeight="1">
      <c r="A324" t="inlineStr">
        <is>
          <t>A 41224-2025</t>
        </is>
      </c>
      <c r="B324" s="1" t="n">
        <v>45898.58861111111</v>
      </c>
      <c r="C324" s="1" t="n">
        <v>45990</v>
      </c>
      <c r="D324" t="inlineStr">
        <is>
          <t>KALMAR LÄN</t>
        </is>
      </c>
      <c r="E324" t="inlineStr">
        <is>
          <t>VIMMERBY</t>
        </is>
      </c>
      <c r="G324" t="n">
        <v>4.4</v>
      </c>
      <c r="H324" t="n">
        <v>0</v>
      </c>
      <c r="I324" t="n">
        <v>0</v>
      </c>
      <c r="J324" t="n">
        <v>0</v>
      </c>
      <c r="K324" t="n">
        <v>0</v>
      </c>
      <c r="L324" t="n">
        <v>0</v>
      </c>
      <c r="M324" t="n">
        <v>0</v>
      </c>
      <c r="N324" t="n">
        <v>0</v>
      </c>
      <c r="O324" t="n">
        <v>0</v>
      </c>
      <c r="P324" t="n">
        <v>0</v>
      </c>
      <c r="Q324" t="n">
        <v>0</v>
      </c>
      <c r="R324" s="2" t="inlineStr"/>
    </row>
    <row r="325" ht="15" customHeight="1">
      <c r="A325" t="inlineStr">
        <is>
          <t>A 41591-2025</t>
        </is>
      </c>
      <c r="B325" s="1" t="n">
        <v>45901.6327662037</v>
      </c>
      <c r="C325" s="1" t="n">
        <v>45990</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40971-2025</t>
        </is>
      </c>
      <c r="B326" s="1" t="n">
        <v>45897.88836805556</v>
      </c>
      <c r="C326" s="1" t="n">
        <v>45990</v>
      </c>
      <c r="D326" t="inlineStr">
        <is>
          <t>KALMAR LÄN</t>
        </is>
      </c>
      <c r="E326" t="inlineStr">
        <is>
          <t>VIMMERBY</t>
        </is>
      </c>
      <c r="G326" t="n">
        <v>1.5</v>
      </c>
      <c r="H326" t="n">
        <v>0</v>
      </c>
      <c r="I326" t="n">
        <v>0</v>
      </c>
      <c r="J326" t="n">
        <v>0</v>
      </c>
      <c r="K326" t="n">
        <v>0</v>
      </c>
      <c r="L326" t="n">
        <v>0</v>
      </c>
      <c r="M326" t="n">
        <v>0</v>
      </c>
      <c r="N326" t="n">
        <v>0</v>
      </c>
      <c r="O326" t="n">
        <v>0</v>
      </c>
      <c r="P326" t="n">
        <v>0</v>
      </c>
      <c r="Q326" t="n">
        <v>0</v>
      </c>
      <c r="R326" s="2" t="inlineStr"/>
    </row>
    <row r="327" ht="15" customHeight="1">
      <c r="A327" t="inlineStr">
        <is>
          <t>A 41589-2025</t>
        </is>
      </c>
      <c r="B327" s="1" t="n">
        <v>45901.63219907408</v>
      </c>
      <c r="C327" s="1" t="n">
        <v>45990</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27758-2024</t>
        </is>
      </c>
      <c r="B328" s="1" t="n">
        <v>45475.48303240741</v>
      </c>
      <c r="C328" s="1" t="n">
        <v>45990</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13307-2025</t>
        </is>
      </c>
      <c r="B329" s="1" t="n">
        <v>45735.58024305556</v>
      </c>
      <c r="C329" s="1" t="n">
        <v>45990</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40970-2025</t>
        </is>
      </c>
      <c r="B330" s="1" t="n">
        <v>45897.88706018519</v>
      </c>
      <c r="C330" s="1" t="n">
        <v>45990</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40973-2025</t>
        </is>
      </c>
      <c r="B331" s="1" t="n">
        <v>45897.89737268518</v>
      </c>
      <c r="C331" s="1" t="n">
        <v>45990</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55716-2023</t>
        </is>
      </c>
      <c r="B332" s="1" t="n">
        <v>45232</v>
      </c>
      <c r="C332" s="1" t="n">
        <v>45990</v>
      </c>
      <c r="D332" t="inlineStr">
        <is>
          <t>KALMAR LÄN</t>
        </is>
      </c>
      <c r="E332" t="inlineStr">
        <is>
          <t>VIMMERBY</t>
        </is>
      </c>
      <c r="G332" t="n">
        <v>2.3</v>
      </c>
      <c r="H332" t="n">
        <v>0</v>
      </c>
      <c r="I332" t="n">
        <v>0</v>
      </c>
      <c r="J332" t="n">
        <v>0</v>
      </c>
      <c r="K332" t="n">
        <v>0</v>
      </c>
      <c r="L332" t="n">
        <v>0</v>
      </c>
      <c r="M332" t="n">
        <v>0</v>
      </c>
      <c r="N332" t="n">
        <v>0</v>
      </c>
      <c r="O332" t="n">
        <v>0</v>
      </c>
      <c r="P332" t="n">
        <v>0</v>
      </c>
      <c r="Q332" t="n">
        <v>0</v>
      </c>
      <c r="R332" s="2" t="inlineStr"/>
    </row>
    <row r="333" ht="15" customHeight="1">
      <c r="A333" t="inlineStr">
        <is>
          <t>A 28286-2025</t>
        </is>
      </c>
      <c r="B333" s="1" t="n">
        <v>45818.58993055556</v>
      </c>
      <c r="C333" s="1" t="n">
        <v>45990</v>
      </c>
      <c r="D333" t="inlineStr">
        <is>
          <t>KALMAR LÄN</t>
        </is>
      </c>
      <c r="E333" t="inlineStr">
        <is>
          <t>VIMMERBY</t>
        </is>
      </c>
      <c r="F333" t="inlineStr">
        <is>
          <t>Sveaskog</t>
        </is>
      </c>
      <c r="G333" t="n">
        <v>8</v>
      </c>
      <c r="H333" t="n">
        <v>0</v>
      </c>
      <c r="I333" t="n">
        <v>0</v>
      </c>
      <c r="J333" t="n">
        <v>0</v>
      </c>
      <c r="K333" t="n">
        <v>0</v>
      </c>
      <c r="L333" t="n">
        <v>0</v>
      </c>
      <c r="M333" t="n">
        <v>0</v>
      </c>
      <c r="N333" t="n">
        <v>0</v>
      </c>
      <c r="O333" t="n">
        <v>0</v>
      </c>
      <c r="P333" t="n">
        <v>0</v>
      </c>
      <c r="Q333" t="n">
        <v>0</v>
      </c>
      <c r="R333" s="2" t="inlineStr"/>
    </row>
    <row r="334" ht="15" customHeight="1">
      <c r="A334" t="inlineStr">
        <is>
          <t>A 28282-2025</t>
        </is>
      </c>
      <c r="B334" s="1" t="n">
        <v>45818.58769675926</v>
      </c>
      <c r="C334" s="1" t="n">
        <v>45990</v>
      </c>
      <c r="D334" t="inlineStr">
        <is>
          <t>KALMAR LÄN</t>
        </is>
      </c>
      <c r="E334" t="inlineStr">
        <is>
          <t>VIMMERBY</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28294-2025</t>
        </is>
      </c>
      <c r="B335" s="1" t="n">
        <v>45818.595625</v>
      </c>
      <c r="C335" s="1" t="n">
        <v>45990</v>
      </c>
      <c r="D335" t="inlineStr">
        <is>
          <t>KALMAR LÄN</t>
        </is>
      </c>
      <c r="E335" t="inlineStr">
        <is>
          <t>VIMMERBY</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28290-2025</t>
        </is>
      </c>
      <c r="B336" s="1" t="n">
        <v>45818.59261574074</v>
      </c>
      <c r="C336" s="1" t="n">
        <v>45990</v>
      </c>
      <c r="D336" t="inlineStr">
        <is>
          <t>KALMAR LÄN</t>
        </is>
      </c>
      <c r="E336" t="inlineStr">
        <is>
          <t>VIMMERBY</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34090-2025</t>
        </is>
      </c>
      <c r="B337" s="1" t="n">
        <v>45845</v>
      </c>
      <c r="C337" s="1" t="n">
        <v>45990</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28280-2025</t>
        </is>
      </c>
      <c r="B338" s="1" t="n">
        <v>45818.5862037037</v>
      </c>
      <c r="C338" s="1" t="n">
        <v>45990</v>
      </c>
      <c r="D338" t="inlineStr">
        <is>
          <t>KALMAR LÄN</t>
        </is>
      </c>
      <c r="E338" t="inlineStr">
        <is>
          <t>VIMMERBY</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18329-2023</t>
        </is>
      </c>
      <c r="B339" s="1" t="n">
        <v>45041.63380787037</v>
      </c>
      <c r="C339" s="1" t="n">
        <v>45990</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28620-2025</t>
        </is>
      </c>
      <c r="B340" s="1" t="n">
        <v>45819.61060185185</v>
      </c>
      <c r="C340" s="1" t="n">
        <v>45990</v>
      </c>
      <c r="D340" t="inlineStr">
        <is>
          <t>KALMAR LÄN</t>
        </is>
      </c>
      <c r="E340" t="inlineStr">
        <is>
          <t>VIMMERBY</t>
        </is>
      </c>
      <c r="G340" t="n">
        <v>5.6</v>
      </c>
      <c r="H340" t="n">
        <v>0</v>
      </c>
      <c r="I340" t="n">
        <v>0</v>
      </c>
      <c r="J340" t="n">
        <v>0</v>
      </c>
      <c r="K340" t="n">
        <v>0</v>
      </c>
      <c r="L340" t="n">
        <v>0</v>
      </c>
      <c r="M340" t="n">
        <v>0</v>
      </c>
      <c r="N340" t="n">
        <v>0</v>
      </c>
      <c r="O340" t="n">
        <v>0</v>
      </c>
      <c r="P340" t="n">
        <v>0</v>
      </c>
      <c r="Q340" t="n">
        <v>0</v>
      </c>
      <c r="R340" s="2" t="inlineStr"/>
    </row>
    <row r="341" ht="15" customHeight="1">
      <c r="A341" t="inlineStr">
        <is>
          <t>A 13015-2023</t>
        </is>
      </c>
      <c r="B341" s="1" t="n">
        <v>45002</v>
      </c>
      <c r="C341" s="1" t="n">
        <v>45990</v>
      </c>
      <c r="D341" t="inlineStr">
        <is>
          <t>KALMAR LÄN</t>
        </is>
      </c>
      <c r="E341" t="inlineStr">
        <is>
          <t>VIMMERBY</t>
        </is>
      </c>
      <c r="G341" t="n">
        <v>3.2</v>
      </c>
      <c r="H341" t="n">
        <v>0</v>
      </c>
      <c r="I341" t="n">
        <v>0</v>
      </c>
      <c r="J341" t="n">
        <v>0</v>
      </c>
      <c r="K341" t="n">
        <v>0</v>
      </c>
      <c r="L341" t="n">
        <v>0</v>
      </c>
      <c r="M341" t="n">
        <v>0</v>
      </c>
      <c r="N341" t="n">
        <v>0</v>
      </c>
      <c r="O341" t="n">
        <v>0</v>
      </c>
      <c r="P341" t="n">
        <v>0</v>
      </c>
      <c r="Q341" t="n">
        <v>0</v>
      </c>
      <c r="R341" s="2" t="inlineStr"/>
    </row>
    <row r="342" ht="15" customHeight="1">
      <c r="A342" t="inlineStr">
        <is>
          <t>A 28712-2025</t>
        </is>
      </c>
      <c r="B342" s="1" t="n">
        <v>45820.33708333333</v>
      </c>
      <c r="C342" s="1" t="n">
        <v>45990</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28714-2025</t>
        </is>
      </c>
      <c r="B343" s="1" t="n">
        <v>45820.34128472222</v>
      </c>
      <c r="C343" s="1" t="n">
        <v>45990</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41735-2025</t>
        </is>
      </c>
      <c r="B344" s="1" t="n">
        <v>45902.47164351852</v>
      </c>
      <c r="C344" s="1" t="n">
        <v>45990</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29186-2024</t>
        </is>
      </c>
      <c r="B345" s="1" t="n">
        <v>45482.54844907407</v>
      </c>
      <c r="C345" s="1" t="n">
        <v>45990</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28713-2025</t>
        </is>
      </c>
      <c r="B346" s="1" t="n">
        <v>45820.33930555556</v>
      </c>
      <c r="C346" s="1" t="n">
        <v>45990</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50993-2022</t>
        </is>
      </c>
      <c r="B347" s="1" t="n">
        <v>44867</v>
      </c>
      <c r="C347" s="1" t="n">
        <v>45990</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54787-2023</t>
        </is>
      </c>
      <c r="B348" s="1" t="n">
        <v>45236</v>
      </c>
      <c r="C348" s="1" t="n">
        <v>45990</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29737-2025</t>
        </is>
      </c>
      <c r="B349" s="1" t="n">
        <v>45825.58672453704</v>
      </c>
      <c r="C349" s="1" t="n">
        <v>45990</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32614-2023</t>
        </is>
      </c>
      <c r="B350" s="1" t="n">
        <v>45121</v>
      </c>
      <c r="C350" s="1" t="n">
        <v>45990</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6850-2023</t>
        </is>
      </c>
      <c r="B351" s="1" t="n">
        <v>44967.44255787037</v>
      </c>
      <c r="C351" s="1" t="n">
        <v>45990</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29727-2025</t>
        </is>
      </c>
      <c r="B352" s="1" t="n">
        <v>45825.5796875</v>
      </c>
      <c r="C352" s="1" t="n">
        <v>45990</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58750-2022</t>
        </is>
      </c>
      <c r="B353" s="1" t="n">
        <v>44903.33363425926</v>
      </c>
      <c r="C353" s="1" t="n">
        <v>45990</v>
      </c>
      <c r="D353" t="inlineStr">
        <is>
          <t>KALMAR LÄN</t>
        </is>
      </c>
      <c r="E353" t="inlineStr">
        <is>
          <t>VIMMERBY</t>
        </is>
      </c>
      <c r="G353" t="n">
        <v>3.3</v>
      </c>
      <c r="H353" t="n">
        <v>0</v>
      </c>
      <c r="I353" t="n">
        <v>0</v>
      </c>
      <c r="J353" t="n">
        <v>0</v>
      </c>
      <c r="K353" t="n">
        <v>0</v>
      </c>
      <c r="L353" t="n">
        <v>0</v>
      </c>
      <c r="M353" t="n">
        <v>0</v>
      </c>
      <c r="N353" t="n">
        <v>0</v>
      </c>
      <c r="O353" t="n">
        <v>0</v>
      </c>
      <c r="P353" t="n">
        <v>0</v>
      </c>
      <c r="Q353" t="n">
        <v>0</v>
      </c>
      <c r="R353" s="2" t="inlineStr"/>
    </row>
    <row r="354" ht="15" customHeight="1">
      <c r="A354" t="inlineStr">
        <is>
          <t>A 41158-2023</t>
        </is>
      </c>
      <c r="B354" s="1" t="n">
        <v>45174.31395833333</v>
      </c>
      <c r="C354" s="1" t="n">
        <v>45990</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2510-2023</t>
        </is>
      </c>
      <c r="B355" s="1" t="n">
        <v>44943.57309027778</v>
      </c>
      <c r="C355" s="1" t="n">
        <v>45990</v>
      </c>
      <c r="D355" t="inlineStr">
        <is>
          <t>KALMAR LÄN</t>
        </is>
      </c>
      <c r="E355" t="inlineStr">
        <is>
          <t>VIMMERBY</t>
        </is>
      </c>
      <c r="G355" t="n">
        <v>8.6</v>
      </c>
      <c r="H355" t="n">
        <v>0</v>
      </c>
      <c r="I355" t="n">
        <v>0</v>
      </c>
      <c r="J355" t="n">
        <v>0</v>
      </c>
      <c r="K355" t="n">
        <v>0</v>
      </c>
      <c r="L355" t="n">
        <v>0</v>
      </c>
      <c r="M355" t="n">
        <v>0</v>
      </c>
      <c r="N355" t="n">
        <v>0</v>
      </c>
      <c r="O355" t="n">
        <v>0</v>
      </c>
      <c r="P355" t="n">
        <v>0</v>
      </c>
      <c r="Q355" t="n">
        <v>0</v>
      </c>
      <c r="R355" s="2" t="inlineStr"/>
    </row>
    <row r="356" ht="15" customHeight="1">
      <c r="A356" t="inlineStr">
        <is>
          <t>A 3269-2024</t>
        </is>
      </c>
      <c r="B356" s="1" t="n">
        <v>45317.40372685185</v>
      </c>
      <c r="C356" s="1" t="n">
        <v>45990</v>
      </c>
      <c r="D356" t="inlineStr">
        <is>
          <t>KALMAR LÄN</t>
        </is>
      </c>
      <c r="E356" t="inlineStr">
        <is>
          <t>VIMMERBY</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48120-2022</t>
        </is>
      </c>
      <c r="B357" s="1" t="n">
        <v>44857.65989583333</v>
      </c>
      <c r="C357" s="1" t="n">
        <v>45990</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6368-2023</t>
        </is>
      </c>
      <c r="B358" s="1" t="n">
        <v>44965</v>
      </c>
      <c r="C358" s="1" t="n">
        <v>45990</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9416-2024</t>
        </is>
      </c>
      <c r="B359" s="1" t="n">
        <v>45359.44837962963</v>
      </c>
      <c r="C359" s="1" t="n">
        <v>45990</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42828-2025</t>
        </is>
      </c>
      <c r="B360" s="1" t="n">
        <v>45908.57716435185</v>
      </c>
      <c r="C360" s="1" t="n">
        <v>45990</v>
      </c>
      <c r="D360" t="inlineStr">
        <is>
          <t>KALMAR LÄN</t>
        </is>
      </c>
      <c r="E360" t="inlineStr">
        <is>
          <t>VIMMERBY</t>
        </is>
      </c>
      <c r="G360" t="n">
        <v>5.2</v>
      </c>
      <c r="H360" t="n">
        <v>0</v>
      </c>
      <c r="I360" t="n">
        <v>0</v>
      </c>
      <c r="J360" t="n">
        <v>0</v>
      </c>
      <c r="K360" t="n">
        <v>0</v>
      </c>
      <c r="L360" t="n">
        <v>0</v>
      </c>
      <c r="M360" t="n">
        <v>0</v>
      </c>
      <c r="N360" t="n">
        <v>0</v>
      </c>
      <c r="O360" t="n">
        <v>0</v>
      </c>
      <c r="P360" t="n">
        <v>0</v>
      </c>
      <c r="Q360" t="n">
        <v>0</v>
      </c>
      <c r="R360" s="2" t="inlineStr"/>
    </row>
    <row r="361" ht="15" customHeight="1">
      <c r="A361" t="inlineStr">
        <is>
          <t>A 2797-2023</t>
        </is>
      </c>
      <c r="B361" s="1" t="n">
        <v>44944.71386574074</v>
      </c>
      <c r="C361" s="1" t="n">
        <v>45990</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2799-2023</t>
        </is>
      </c>
      <c r="B362" s="1" t="n">
        <v>44944.72100694444</v>
      </c>
      <c r="C362" s="1" t="n">
        <v>45990</v>
      </c>
      <c r="D362" t="inlineStr">
        <is>
          <t>KALMAR LÄN</t>
        </is>
      </c>
      <c r="E362" t="inlineStr">
        <is>
          <t>VIMMERBY</t>
        </is>
      </c>
      <c r="G362" t="n">
        <v>1.3</v>
      </c>
      <c r="H362" t="n">
        <v>0</v>
      </c>
      <c r="I362" t="n">
        <v>0</v>
      </c>
      <c r="J362" t="n">
        <v>0</v>
      </c>
      <c r="K362" t="n">
        <v>0</v>
      </c>
      <c r="L362" t="n">
        <v>0</v>
      </c>
      <c r="M362" t="n">
        <v>0</v>
      </c>
      <c r="N362" t="n">
        <v>0</v>
      </c>
      <c r="O362" t="n">
        <v>0</v>
      </c>
      <c r="P362" t="n">
        <v>0</v>
      </c>
      <c r="Q362" t="n">
        <v>0</v>
      </c>
      <c r="R362" s="2" t="inlineStr"/>
    </row>
    <row r="363" ht="15" customHeight="1">
      <c r="A363" t="inlineStr">
        <is>
          <t>A 30293-2025</t>
        </is>
      </c>
      <c r="B363" s="1" t="n">
        <v>45827</v>
      </c>
      <c r="C363" s="1" t="n">
        <v>45990</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25987-2024</t>
        </is>
      </c>
      <c r="B364" s="1" t="n">
        <v>45467.74417824074</v>
      </c>
      <c r="C364" s="1" t="n">
        <v>45990</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30290-2025</t>
        </is>
      </c>
      <c r="B365" s="1" t="n">
        <v>45827</v>
      </c>
      <c r="C365" s="1" t="n">
        <v>45990</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22194-2024</t>
        </is>
      </c>
      <c r="B366" s="1" t="n">
        <v>45446.36482638889</v>
      </c>
      <c r="C366" s="1" t="n">
        <v>45990</v>
      </c>
      <c r="D366" t="inlineStr">
        <is>
          <t>KALMAR LÄN</t>
        </is>
      </c>
      <c r="E366" t="inlineStr">
        <is>
          <t>VIMMERBY</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42794-2025</t>
        </is>
      </c>
      <c r="B367" s="1" t="n">
        <v>45908</v>
      </c>
      <c r="C367" s="1" t="n">
        <v>45990</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19865-2021</t>
        </is>
      </c>
      <c r="B368" s="1" t="n">
        <v>44312</v>
      </c>
      <c r="C368" s="1" t="n">
        <v>45990</v>
      </c>
      <c r="D368" t="inlineStr">
        <is>
          <t>KALMAR LÄN</t>
        </is>
      </c>
      <c r="E368" t="inlineStr">
        <is>
          <t>VIMMERBY</t>
        </is>
      </c>
      <c r="G368" t="n">
        <v>8.6</v>
      </c>
      <c r="H368" t="n">
        <v>0</v>
      </c>
      <c r="I368" t="n">
        <v>0</v>
      </c>
      <c r="J368" t="n">
        <v>0</v>
      </c>
      <c r="K368" t="n">
        <v>0</v>
      </c>
      <c r="L368" t="n">
        <v>0</v>
      </c>
      <c r="M368" t="n">
        <v>0</v>
      </c>
      <c r="N368" t="n">
        <v>0</v>
      </c>
      <c r="O368" t="n">
        <v>0</v>
      </c>
      <c r="P368" t="n">
        <v>0</v>
      </c>
      <c r="Q368" t="n">
        <v>0</v>
      </c>
      <c r="R368" s="2" t="inlineStr"/>
    </row>
    <row r="369" ht="15" customHeight="1">
      <c r="A369" t="inlineStr">
        <is>
          <t>A 42820-2025</t>
        </is>
      </c>
      <c r="B369" s="1" t="n">
        <v>45908</v>
      </c>
      <c r="C369" s="1" t="n">
        <v>45990</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12630-2023</t>
        </is>
      </c>
      <c r="B370" s="1" t="n">
        <v>45000.47998842593</v>
      </c>
      <c r="C370" s="1" t="n">
        <v>45990</v>
      </c>
      <c r="D370" t="inlineStr">
        <is>
          <t>KALMAR LÄN</t>
        </is>
      </c>
      <c r="E370" t="inlineStr">
        <is>
          <t>VIMMERBY</t>
        </is>
      </c>
      <c r="G370" t="n">
        <v>2.1</v>
      </c>
      <c r="H370" t="n">
        <v>0</v>
      </c>
      <c r="I370" t="n">
        <v>0</v>
      </c>
      <c r="J370" t="n">
        <v>0</v>
      </c>
      <c r="K370" t="n">
        <v>0</v>
      </c>
      <c r="L370" t="n">
        <v>0</v>
      </c>
      <c r="M370" t="n">
        <v>0</v>
      </c>
      <c r="N370" t="n">
        <v>0</v>
      </c>
      <c r="O370" t="n">
        <v>0</v>
      </c>
      <c r="P370" t="n">
        <v>0</v>
      </c>
      <c r="Q370" t="n">
        <v>0</v>
      </c>
      <c r="R370" s="2" t="inlineStr"/>
    </row>
    <row r="371" ht="15" customHeight="1">
      <c r="A371" t="inlineStr">
        <is>
          <t>A 30850-2025</t>
        </is>
      </c>
      <c r="B371" s="1" t="n">
        <v>45831</v>
      </c>
      <c r="C371" s="1" t="n">
        <v>45990</v>
      </c>
      <c r="D371" t="inlineStr">
        <is>
          <t>KALMAR LÄN</t>
        </is>
      </c>
      <c r="E371" t="inlineStr">
        <is>
          <t>VIMMERBY</t>
        </is>
      </c>
      <c r="G371" t="n">
        <v>2.7</v>
      </c>
      <c r="H371" t="n">
        <v>0</v>
      </c>
      <c r="I371" t="n">
        <v>0</v>
      </c>
      <c r="J371" t="n">
        <v>0</v>
      </c>
      <c r="K371" t="n">
        <v>0</v>
      </c>
      <c r="L371" t="n">
        <v>0</v>
      </c>
      <c r="M371" t="n">
        <v>0</v>
      </c>
      <c r="N371" t="n">
        <v>0</v>
      </c>
      <c r="O371" t="n">
        <v>0</v>
      </c>
      <c r="P371" t="n">
        <v>0</v>
      </c>
      <c r="Q371" t="n">
        <v>0</v>
      </c>
      <c r="R371" s="2" t="inlineStr"/>
    </row>
    <row r="372" ht="15" customHeight="1">
      <c r="A372" t="inlineStr">
        <is>
          <t>A 21109-2024</t>
        </is>
      </c>
      <c r="B372" s="1" t="n">
        <v>45440.28329861111</v>
      </c>
      <c r="C372" s="1" t="n">
        <v>45990</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30634-2024</t>
        </is>
      </c>
      <c r="B373" s="1" t="n">
        <v>45495</v>
      </c>
      <c r="C373" s="1" t="n">
        <v>45990</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40260-2024</t>
        </is>
      </c>
      <c r="B374" s="1" t="n">
        <v>45554.63225694445</v>
      </c>
      <c r="C374" s="1" t="n">
        <v>45990</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59943-2023</t>
        </is>
      </c>
      <c r="B375" s="1" t="n">
        <v>45257.67958333333</v>
      </c>
      <c r="C375" s="1" t="n">
        <v>45990</v>
      </c>
      <c r="D375" t="inlineStr">
        <is>
          <t>KALMAR LÄN</t>
        </is>
      </c>
      <c r="E375" t="inlineStr">
        <is>
          <t>VIMMERBY</t>
        </is>
      </c>
      <c r="G375" t="n">
        <v>6.4</v>
      </c>
      <c r="H375" t="n">
        <v>0</v>
      </c>
      <c r="I375" t="n">
        <v>0</v>
      </c>
      <c r="J375" t="n">
        <v>0</v>
      </c>
      <c r="K375" t="n">
        <v>0</v>
      </c>
      <c r="L375" t="n">
        <v>0</v>
      </c>
      <c r="M375" t="n">
        <v>0</v>
      </c>
      <c r="N375" t="n">
        <v>0</v>
      </c>
      <c r="O375" t="n">
        <v>0</v>
      </c>
      <c r="P375" t="n">
        <v>0</v>
      </c>
      <c r="Q375" t="n">
        <v>0</v>
      </c>
      <c r="R375" s="2" t="inlineStr"/>
    </row>
    <row r="376" ht="15" customHeight="1">
      <c r="A376" t="inlineStr">
        <is>
          <t>A 31552-2025</t>
        </is>
      </c>
      <c r="B376" s="1" t="n">
        <v>45833.64563657407</v>
      </c>
      <c r="C376" s="1" t="n">
        <v>45990</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31555-2025</t>
        </is>
      </c>
      <c r="B377" s="1" t="n">
        <v>45833.64814814815</v>
      </c>
      <c r="C377" s="1" t="n">
        <v>45990</v>
      </c>
      <c r="D377" t="inlineStr">
        <is>
          <t>KALMAR LÄN</t>
        </is>
      </c>
      <c r="E377" t="inlineStr">
        <is>
          <t>VIMMERBY</t>
        </is>
      </c>
      <c r="G377" t="n">
        <v>1.8</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45990</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31551-2025</t>
        </is>
      </c>
      <c r="B379" s="1" t="n">
        <v>45833.64237268519</v>
      </c>
      <c r="C379" s="1" t="n">
        <v>45990</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5527-2022</t>
        </is>
      </c>
      <c r="B380" s="1" t="n">
        <v>44595.583125</v>
      </c>
      <c r="C380" s="1" t="n">
        <v>45990</v>
      </c>
      <c r="D380" t="inlineStr">
        <is>
          <t>KALMAR LÄN</t>
        </is>
      </c>
      <c r="E380" t="inlineStr">
        <is>
          <t>VIMMERBY</t>
        </is>
      </c>
      <c r="G380" t="n">
        <v>3.6</v>
      </c>
      <c r="H380" t="n">
        <v>0</v>
      </c>
      <c r="I380" t="n">
        <v>0</v>
      </c>
      <c r="J380" t="n">
        <v>0</v>
      </c>
      <c r="K380" t="n">
        <v>0</v>
      </c>
      <c r="L380" t="n">
        <v>0</v>
      </c>
      <c r="M380" t="n">
        <v>0</v>
      </c>
      <c r="N380" t="n">
        <v>0</v>
      </c>
      <c r="O380" t="n">
        <v>0</v>
      </c>
      <c r="P380" t="n">
        <v>0</v>
      </c>
      <c r="Q380" t="n">
        <v>0</v>
      </c>
      <c r="R380" s="2" t="inlineStr"/>
    </row>
    <row r="381" ht="15" customHeight="1">
      <c r="A381" t="inlineStr">
        <is>
          <t>A 30882-2025</t>
        </is>
      </c>
      <c r="B381" s="1" t="n">
        <v>45832.34540509259</v>
      </c>
      <c r="C381" s="1" t="n">
        <v>45990</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12325-2023</t>
        </is>
      </c>
      <c r="B382" s="1" t="n">
        <v>44999.35858796296</v>
      </c>
      <c r="C382" s="1" t="n">
        <v>45990</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1016-2024</t>
        </is>
      </c>
      <c r="B383" s="1" t="n">
        <v>45301</v>
      </c>
      <c r="C383" s="1" t="n">
        <v>45990</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34060-2025</t>
        </is>
      </c>
      <c r="B384" s="1" t="n">
        <v>45845.42015046296</v>
      </c>
      <c r="C384" s="1" t="n">
        <v>45990</v>
      </c>
      <c r="D384" t="inlineStr">
        <is>
          <t>KALMAR LÄN</t>
        </is>
      </c>
      <c r="E384" t="inlineStr">
        <is>
          <t>VIMMERBY</t>
        </is>
      </c>
      <c r="G384" t="n">
        <v>5.7</v>
      </c>
      <c r="H384" t="n">
        <v>0</v>
      </c>
      <c r="I384" t="n">
        <v>0</v>
      </c>
      <c r="J384" t="n">
        <v>0</v>
      </c>
      <c r="K384" t="n">
        <v>0</v>
      </c>
      <c r="L384" t="n">
        <v>0</v>
      </c>
      <c r="M384" t="n">
        <v>0</v>
      </c>
      <c r="N384" t="n">
        <v>0</v>
      </c>
      <c r="O384" t="n">
        <v>0</v>
      </c>
      <c r="P384" t="n">
        <v>0</v>
      </c>
      <c r="Q384" t="n">
        <v>0</v>
      </c>
      <c r="R384" s="2" t="inlineStr"/>
    </row>
    <row r="385" ht="15" customHeight="1">
      <c r="A385" t="inlineStr">
        <is>
          <t>A 31872-2025</t>
        </is>
      </c>
      <c r="B385" s="1" t="n">
        <v>45834.65040509259</v>
      </c>
      <c r="C385" s="1" t="n">
        <v>45990</v>
      </c>
      <c r="D385" t="inlineStr">
        <is>
          <t>KALMAR LÄN</t>
        </is>
      </c>
      <c r="E385" t="inlineStr">
        <is>
          <t>VIMMERBY</t>
        </is>
      </c>
      <c r="F385" t="inlineStr">
        <is>
          <t>Sveaskog</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8559-2025</t>
        </is>
      </c>
      <c r="B386" s="1" t="n">
        <v>45709.62280092593</v>
      </c>
      <c r="C386" s="1" t="n">
        <v>45990</v>
      </c>
      <c r="D386" t="inlineStr">
        <is>
          <t>KALMAR LÄN</t>
        </is>
      </c>
      <c r="E386" t="inlineStr">
        <is>
          <t>VIMMERBY</t>
        </is>
      </c>
      <c r="G386" t="n">
        <v>8.9</v>
      </c>
      <c r="H386" t="n">
        <v>0</v>
      </c>
      <c r="I386" t="n">
        <v>0</v>
      </c>
      <c r="J386" t="n">
        <v>0</v>
      </c>
      <c r="K386" t="n">
        <v>0</v>
      </c>
      <c r="L386" t="n">
        <v>0</v>
      </c>
      <c r="M386" t="n">
        <v>0</v>
      </c>
      <c r="N386" t="n">
        <v>0</v>
      </c>
      <c r="O386" t="n">
        <v>0</v>
      </c>
      <c r="P386" t="n">
        <v>0</v>
      </c>
      <c r="Q386" t="n">
        <v>0</v>
      </c>
      <c r="R386" s="2" t="inlineStr"/>
    </row>
    <row r="387" ht="15" customHeight="1">
      <c r="A387" t="inlineStr">
        <is>
          <t>A 32064-2025</t>
        </is>
      </c>
      <c r="B387" s="1" t="n">
        <v>45835.44709490741</v>
      </c>
      <c r="C387" s="1" t="n">
        <v>45990</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32109-2025</t>
        </is>
      </c>
      <c r="B388" s="1" t="n">
        <v>45835.48267361111</v>
      </c>
      <c r="C388" s="1" t="n">
        <v>45990</v>
      </c>
      <c r="D388" t="inlineStr">
        <is>
          <t>KALMAR LÄN</t>
        </is>
      </c>
      <c r="E388" t="inlineStr">
        <is>
          <t>VIMMERBY</t>
        </is>
      </c>
      <c r="G388" t="n">
        <v>2.5</v>
      </c>
      <c r="H388" t="n">
        <v>0</v>
      </c>
      <c r="I388" t="n">
        <v>0</v>
      </c>
      <c r="J388" t="n">
        <v>0</v>
      </c>
      <c r="K388" t="n">
        <v>0</v>
      </c>
      <c r="L388" t="n">
        <v>0</v>
      </c>
      <c r="M388" t="n">
        <v>0</v>
      </c>
      <c r="N388" t="n">
        <v>0</v>
      </c>
      <c r="O388" t="n">
        <v>0</v>
      </c>
      <c r="P388" t="n">
        <v>0</v>
      </c>
      <c r="Q388" t="n">
        <v>0</v>
      </c>
      <c r="R388" s="2" t="inlineStr"/>
    </row>
    <row r="389" ht="15" customHeight="1">
      <c r="A389" t="inlineStr">
        <is>
          <t>A 32113-2025</t>
        </is>
      </c>
      <c r="B389" s="1" t="n">
        <v>45835.48445601852</v>
      </c>
      <c r="C389" s="1" t="n">
        <v>45990</v>
      </c>
      <c r="D389" t="inlineStr">
        <is>
          <t>KALMAR LÄN</t>
        </is>
      </c>
      <c r="E389" t="inlineStr">
        <is>
          <t>VIMMERBY</t>
        </is>
      </c>
      <c r="G389" t="n">
        <v>3.5</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45990</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31870-2025</t>
        </is>
      </c>
      <c r="B391" s="1" t="n">
        <v>45834.64667824074</v>
      </c>
      <c r="C391" s="1" t="n">
        <v>45990</v>
      </c>
      <c r="D391" t="inlineStr">
        <is>
          <t>KALMAR LÄN</t>
        </is>
      </c>
      <c r="E391" t="inlineStr">
        <is>
          <t>VIMMERBY</t>
        </is>
      </c>
      <c r="F391" t="inlineStr">
        <is>
          <t>Sveaskog</t>
        </is>
      </c>
      <c r="G391" t="n">
        <v>3.5</v>
      </c>
      <c r="H391" t="n">
        <v>0</v>
      </c>
      <c r="I391" t="n">
        <v>0</v>
      </c>
      <c r="J391" t="n">
        <v>0</v>
      </c>
      <c r="K391" t="n">
        <v>0</v>
      </c>
      <c r="L391" t="n">
        <v>0</v>
      </c>
      <c r="M391" t="n">
        <v>0</v>
      </c>
      <c r="N391" t="n">
        <v>0</v>
      </c>
      <c r="O391" t="n">
        <v>0</v>
      </c>
      <c r="P391" t="n">
        <v>0</v>
      </c>
      <c r="Q391" t="n">
        <v>0</v>
      </c>
      <c r="R391" s="2" t="inlineStr"/>
    </row>
    <row r="392" ht="15" customHeight="1">
      <c r="A392" t="inlineStr">
        <is>
          <t>A 33681-2022</t>
        </is>
      </c>
      <c r="B392" s="1" t="n">
        <v>44789</v>
      </c>
      <c r="C392" s="1" t="n">
        <v>45990</v>
      </c>
      <c r="D392" t="inlineStr">
        <is>
          <t>KALMAR LÄN</t>
        </is>
      </c>
      <c r="E392" t="inlineStr">
        <is>
          <t>VIMMERBY</t>
        </is>
      </c>
      <c r="G392" t="n">
        <v>3.2</v>
      </c>
      <c r="H392" t="n">
        <v>0</v>
      </c>
      <c r="I392" t="n">
        <v>0</v>
      </c>
      <c r="J392" t="n">
        <v>0</v>
      </c>
      <c r="K392" t="n">
        <v>0</v>
      </c>
      <c r="L392" t="n">
        <v>0</v>
      </c>
      <c r="M392" t="n">
        <v>0</v>
      </c>
      <c r="N392" t="n">
        <v>0</v>
      </c>
      <c r="O392" t="n">
        <v>0</v>
      </c>
      <c r="P392" t="n">
        <v>0</v>
      </c>
      <c r="Q392" t="n">
        <v>0</v>
      </c>
      <c r="R392" s="2" t="inlineStr"/>
    </row>
    <row r="393" ht="15" customHeight="1">
      <c r="A393" t="inlineStr">
        <is>
          <t>A 43465-2025</t>
        </is>
      </c>
      <c r="B393" s="1" t="n">
        <v>45911.47138888889</v>
      </c>
      <c r="C393" s="1" t="n">
        <v>45990</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32065-2025</t>
        </is>
      </c>
      <c r="B394" s="1" t="n">
        <v>45835.44732638889</v>
      </c>
      <c r="C394" s="1" t="n">
        <v>45990</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31987-2025</t>
        </is>
      </c>
      <c r="B395" s="1" t="n">
        <v>45835.36229166666</v>
      </c>
      <c r="C395" s="1" t="n">
        <v>45990</v>
      </c>
      <c r="D395" t="inlineStr">
        <is>
          <t>KALMAR LÄN</t>
        </is>
      </c>
      <c r="E395" t="inlineStr">
        <is>
          <t>VIMMERBY</t>
        </is>
      </c>
      <c r="F395" t="inlineStr">
        <is>
          <t>Kyrkan</t>
        </is>
      </c>
      <c r="G395" t="n">
        <v>1.2</v>
      </c>
      <c r="H395" t="n">
        <v>0</v>
      </c>
      <c r="I395" t="n">
        <v>0</v>
      </c>
      <c r="J395" t="n">
        <v>0</v>
      </c>
      <c r="K395" t="n">
        <v>0</v>
      </c>
      <c r="L395" t="n">
        <v>0</v>
      </c>
      <c r="M395" t="n">
        <v>0</v>
      </c>
      <c r="N395" t="n">
        <v>0</v>
      </c>
      <c r="O395" t="n">
        <v>0</v>
      </c>
      <c r="P395" t="n">
        <v>0</v>
      </c>
      <c r="Q395" t="n">
        <v>0</v>
      </c>
      <c r="R395" s="2" t="inlineStr"/>
    </row>
    <row r="396" ht="15" customHeight="1">
      <c r="A396" t="inlineStr">
        <is>
          <t>A 32077-2025</t>
        </is>
      </c>
      <c r="B396" s="1" t="n">
        <v>45835.45099537037</v>
      </c>
      <c r="C396" s="1" t="n">
        <v>45990</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32120-2025</t>
        </is>
      </c>
      <c r="B397" s="1" t="n">
        <v>45835.4924537037</v>
      </c>
      <c r="C397" s="1" t="n">
        <v>45990</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31876-2025</t>
        </is>
      </c>
      <c r="B398" s="1" t="n">
        <v>45834.65197916667</v>
      </c>
      <c r="C398" s="1" t="n">
        <v>45990</v>
      </c>
      <c r="D398" t="inlineStr">
        <is>
          <t>KALMAR LÄN</t>
        </is>
      </c>
      <c r="E398" t="inlineStr">
        <is>
          <t>VIMMERBY</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51990-2025</t>
        </is>
      </c>
      <c r="B399" s="1" t="n">
        <v>45952.58061342593</v>
      </c>
      <c r="C399" s="1" t="n">
        <v>45990</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43617-2025</t>
        </is>
      </c>
      <c r="B400" s="1" t="n">
        <v>45911.67798611111</v>
      </c>
      <c r="C400" s="1" t="n">
        <v>45990</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5074-2023</t>
        </is>
      </c>
      <c r="B401" s="1" t="n">
        <v>44958.61047453704</v>
      </c>
      <c r="C401" s="1" t="n">
        <v>45990</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51187-2023</t>
        </is>
      </c>
      <c r="B402" s="1" t="n">
        <v>45219.40528935185</v>
      </c>
      <c r="C402" s="1" t="n">
        <v>45990</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15715-2022</t>
        </is>
      </c>
      <c r="B403" s="1" t="n">
        <v>44663</v>
      </c>
      <c r="C403" s="1" t="n">
        <v>45990</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51993-2025</t>
        </is>
      </c>
      <c r="B404" s="1" t="n">
        <v>45952.58194444444</v>
      </c>
      <c r="C404" s="1" t="n">
        <v>45990</v>
      </c>
      <c r="D404" t="inlineStr">
        <is>
          <t>KALMAR LÄN</t>
        </is>
      </c>
      <c r="E404" t="inlineStr">
        <is>
          <t>VIMMERBY</t>
        </is>
      </c>
      <c r="G404" t="n">
        <v>2.8</v>
      </c>
      <c r="H404" t="n">
        <v>0</v>
      </c>
      <c r="I404" t="n">
        <v>0</v>
      </c>
      <c r="J404" t="n">
        <v>0</v>
      </c>
      <c r="K404" t="n">
        <v>0</v>
      </c>
      <c r="L404" t="n">
        <v>0</v>
      </c>
      <c r="M404" t="n">
        <v>0</v>
      </c>
      <c r="N404" t="n">
        <v>0</v>
      </c>
      <c r="O404" t="n">
        <v>0</v>
      </c>
      <c r="P404" t="n">
        <v>0</v>
      </c>
      <c r="Q404" t="n">
        <v>0</v>
      </c>
      <c r="R404" s="2" t="inlineStr"/>
    </row>
    <row r="405" ht="15" customHeight="1">
      <c r="A405" t="inlineStr">
        <is>
          <t>A 43093-2024</t>
        </is>
      </c>
      <c r="B405" s="1" t="n">
        <v>45567</v>
      </c>
      <c r="C405" s="1" t="n">
        <v>45990</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56022-2024</t>
        </is>
      </c>
      <c r="B406" s="1" t="n">
        <v>45623.95947916667</v>
      </c>
      <c r="C406" s="1" t="n">
        <v>45990</v>
      </c>
      <c r="D406" t="inlineStr">
        <is>
          <t>KALMAR LÄN</t>
        </is>
      </c>
      <c r="E406" t="inlineStr">
        <is>
          <t>VIMMERBY</t>
        </is>
      </c>
      <c r="G406" t="n">
        <v>0.3</v>
      </c>
      <c r="H406" t="n">
        <v>0</v>
      </c>
      <c r="I406" t="n">
        <v>0</v>
      </c>
      <c r="J406" t="n">
        <v>0</v>
      </c>
      <c r="K406" t="n">
        <v>0</v>
      </c>
      <c r="L406" t="n">
        <v>0</v>
      </c>
      <c r="M406" t="n">
        <v>0</v>
      </c>
      <c r="N406" t="n">
        <v>0</v>
      </c>
      <c r="O406" t="n">
        <v>0</v>
      </c>
      <c r="P406" t="n">
        <v>0</v>
      </c>
      <c r="Q406" t="n">
        <v>0</v>
      </c>
      <c r="R406" s="2" t="inlineStr"/>
    </row>
    <row r="407" ht="15" customHeight="1">
      <c r="A407" t="inlineStr">
        <is>
          <t>A 32380-2025</t>
        </is>
      </c>
      <c r="B407" s="1" t="n">
        <v>45837.77701388889</v>
      </c>
      <c r="C407" s="1" t="n">
        <v>45990</v>
      </c>
      <c r="D407" t="inlineStr">
        <is>
          <t>KALMAR LÄN</t>
        </is>
      </c>
      <c r="E407" t="inlineStr">
        <is>
          <t>VIMMERBY</t>
        </is>
      </c>
      <c r="G407" t="n">
        <v>3.1</v>
      </c>
      <c r="H407" t="n">
        <v>0</v>
      </c>
      <c r="I407" t="n">
        <v>0</v>
      </c>
      <c r="J407" t="n">
        <v>0</v>
      </c>
      <c r="K407" t="n">
        <v>0</v>
      </c>
      <c r="L407" t="n">
        <v>0</v>
      </c>
      <c r="M407" t="n">
        <v>0</v>
      </c>
      <c r="N407" t="n">
        <v>0</v>
      </c>
      <c r="O407" t="n">
        <v>0</v>
      </c>
      <c r="P407" t="n">
        <v>0</v>
      </c>
      <c r="Q407" t="n">
        <v>0</v>
      </c>
      <c r="R407" s="2" t="inlineStr"/>
    </row>
    <row r="408" ht="15" customHeight="1">
      <c r="A408" t="inlineStr">
        <is>
          <t>A 18330-2023</t>
        </is>
      </c>
      <c r="B408" s="1" t="n">
        <v>45041</v>
      </c>
      <c r="C408" s="1" t="n">
        <v>45990</v>
      </c>
      <c r="D408" t="inlineStr">
        <is>
          <t>KALMAR LÄN</t>
        </is>
      </c>
      <c r="E408" t="inlineStr">
        <is>
          <t>VIMMERBY</t>
        </is>
      </c>
      <c r="G408" t="n">
        <v>1.7</v>
      </c>
      <c r="H408" t="n">
        <v>0</v>
      </c>
      <c r="I408" t="n">
        <v>0</v>
      </c>
      <c r="J408" t="n">
        <v>0</v>
      </c>
      <c r="K408" t="n">
        <v>0</v>
      </c>
      <c r="L408" t="n">
        <v>0</v>
      </c>
      <c r="M408" t="n">
        <v>0</v>
      </c>
      <c r="N408" t="n">
        <v>0</v>
      </c>
      <c r="O408" t="n">
        <v>0</v>
      </c>
      <c r="P408" t="n">
        <v>0</v>
      </c>
      <c r="Q408" t="n">
        <v>0</v>
      </c>
      <c r="R408" s="2" t="inlineStr"/>
    </row>
    <row r="409" ht="15" customHeight="1">
      <c r="A409" t="inlineStr">
        <is>
          <t>A 44095-2025</t>
        </is>
      </c>
      <c r="B409" s="1" t="n">
        <v>45915.56430555556</v>
      </c>
      <c r="C409" s="1" t="n">
        <v>45990</v>
      </c>
      <c r="D409" t="inlineStr">
        <is>
          <t>KALMAR LÄN</t>
        </is>
      </c>
      <c r="E409" t="inlineStr">
        <is>
          <t>VIMMERBY</t>
        </is>
      </c>
      <c r="G409" t="n">
        <v>2.4</v>
      </c>
      <c r="H409" t="n">
        <v>0</v>
      </c>
      <c r="I409" t="n">
        <v>0</v>
      </c>
      <c r="J409" t="n">
        <v>0</v>
      </c>
      <c r="K409" t="n">
        <v>0</v>
      </c>
      <c r="L409" t="n">
        <v>0</v>
      </c>
      <c r="M409" t="n">
        <v>0</v>
      </c>
      <c r="N409" t="n">
        <v>0</v>
      </c>
      <c r="O409" t="n">
        <v>0</v>
      </c>
      <c r="P409" t="n">
        <v>0</v>
      </c>
      <c r="Q409" t="n">
        <v>0</v>
      </c>
      <c r="R409" s="2" t="inlineStr"/>
    </row>
    <row r="410" ht="15" customHeight="1">
      <c r="A410" t="inlineStr">
        <is>
          <t>A 33186-2025</t>
        </is>
      </c>
      <c r="B410" s="1" t="n">
        <v>45840.59474537037</v>
      </c>
      <c r="C410" s="1" t="n">
        <v>45990</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52451-2025</t>
        </is>
      </c>
      <c r="B411" s="1" t="n">
        <v>45954.42326388889</v>
      </c>
      <c r="C411" s="1" t="n">
        <v>45990</v>
      </c>
      <c r="D411" t="inlineStr">
        <is>
          <t>KALMAR LÄN</t>
        </is>
      </c>
      <c r="E411" t="inlineStr">
        <is>
          <t>VIMMERBY</t>
        </is>
      </c>
      <c r="G411" t="n">
        <v>2.8</v>
      </c>
      <c r="H411" t="n">
        <v>0</v>
      </c>
      <c r="I411" t="n">
        <v>0</v>
      </c>
      <c r="J411" t="n">
        <v>0</v>
      </c>
      <c r="K411" t="n">
        <v>0</v>
      </c>
      <c r="L411" t="n">
        <v>0</v>
      </c>
      <c r="M411" t="n">
        <v>0</v>
      </c>
      <c r="N411" t="n">
        <v>0</v>
      </c>
      <c r="O411" t="n">
        <v>0</v>
      </c>
      <c r="P411" t="n">
        <v>0</v>
      </c>
      <c r="Q411" t="n">
        <v>0</v>
      </c>
      <c r="R411" s="2" t="inlineStr"/>
    </row>
    <row r="412" ht="15" customHeight="1">
      <c r="A412" t="inlineStr">
        <is>
          <t>A 33695-2025</t>
        </is>
      </c>
      <c r="B412" s="1" t="n">
        <v>45841.70569444444</v>
      </c>
      <c r="C412" s="1" t="n">
        <v>45990</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33698-2025</t>
        </is>
      </c>
      <c r="B413" s="1" t="n">
        <v>45841.70868055556</v>
      </c>
      <c r="C413" s="1" t="n">
        <v>45990</v>
      </c>
      <c r="D413" t="inlineStr">
        <is>
          <t>KALMAR LÄN</t>
        </is>
      </c>
      <c r="E413" t="inlineStr">
        <is>
          <t>VIMMERBY</t>
        </is>
      </c>
      <c r="G413" t="n">
        <v>3.7</v>
      </c>
      <c r="H413" t="n">
        <v>0</v>
      </c>
      <c r="I413" t="n">
        <v>0</v>
      </c>
      <c r="J413" t="n">
        <v>0</v>
      </c>
      <c r="K413" t="n">
        <v>0</v>
      </c>
      <c r="L413" t="n">
        <v>0</v>
      </c>
      <c r="M413" t="n">
        <v>0</v>
      </c>
      <c r="N413" t="n">
        <v>0</v>
      </c>
      <c r="O413" t="n">
        <v>0</v>
      </c>
      <c r="P413" t="n">
        <v>0</v>
      </c>
      <c r="Q413" t="n">
        <v>0</v>
      </c>
      <c r="R413" s="2" t="inlineStr"/>
    </row>
    <row r="414" ht="15" customHeight="1">
      <c r="A414" t="inlineStr">
        <is>
          <t>A 20126-2024</t>
        </is>
      </c>
      <c r="B414" s="1" t="n">
        <v>45434.55471064815</v>
      </c>
      <c r="C414" s="1" t="n">
        <v>45990</v>
      </c>
      <c r="D414" t="inlineStr">
        <is>
          <t>KALMAR LÄN</t>
        </is>
      </c>
      <c r="E414" t="inlineStr">
        <is>
          <t>VIMMERBY</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20136-2024</t>
        </is>
      </c>
      <c r="B415" s="1" t="n">
        <v>45434.56291666667</v>
      </c>
      <c r="C415" s="1" t="n">
        <v>45990</v>
      </c>
      <c r="D415" t="inlineStr">
        <is>
          <t>KALMAR LÄN</t>
        </is>
      </c>
      <c r="E415" t="inlineStr">
        <is>
          <t>VIMMERBY</t>
        </is>
      </c>
      <c r="F415" t="inlineStr">
        <is>
          <t>Sveaskog</t>
        </is>
      </c>
      <c r="G415" t="n">
        <v>8.4</v>
      </c>
      <c r="H415" t="n">
        <v>0</v>
      </c>
      <c r="I415" t="n">
        <v>0</v>
      </c>
      <c r="J415" t="n">
        <v>0</v>
      </c>
      <c r="K415" t="n">
        <v>0</v>
      </c>
      <c r="L415" t="n">
        <v>0</v>
      </c>
      <c r="M415" t="n">
        <v>0</v>
      </c>
      <c r="N415" t="n">
        <v>0</v>
      </c>
      <c r="O415" t="n">
        <v>0</v>
      </c>
      <c r="P415" t="n">
        <v>0</v>
      </c>
      <c r="Q415" t="n">
        <v>0</v>
      </c>
      <c r="R415" s="2" t="inlineStr"/>
    </row>
    <row r="416" ht="15" customHeight="1">
      <c r="A416" t="inlineStr">
        <is>
          <t>A 30977-2025</t>
        </is>
      </c>
      <c r="B416" s="1" t="n">
        <v>45832.46649305556</v>
      </c>
      <c r="C416" s="1" t="n">
        <v>45990</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46921-2023</t>
        </is>
      </c>
      <c r="B417" s="1" t="n">
        <v>45201.39996527778</v>
      </c>
      <c r="C417" s="1" t="n">
        <v>45990</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33696-2025</t>
        </is>
      </c>
      <c r="B418" s="1" t="n">
        <v>45841.7072337963</v>
      </c>
      <c r="C418" s="1" t="n">
        <v>45990</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52473-2025</t>
        </is>
      </c>
      <c r="B419" s="1" t="n">
        <v>45954.45947916667</v>
      </c>
      <c r="C419" s="1" t="n">
        <v>45990</v>
      </c>
      <c r="D419" t="inlineStr">
        <is>
          <t>KALMAR LÄN</t>
        </is>
      </c>
      <c r="E419" t="inlineStr">
        <is>
          <t>VIMMERBY</t>
        </is>
      </c>
      <c r="G419" t="n">
        <v>2.4</v>
      </c>
      <c r="H419" t="n">
        <v>0</v>
      </c>
      <c r="I419" t="n">
        <v>0</v>
      </c>
      <c r="J419" t="n">
        <v>0</v>
      </c>
      <c r="K419" t="n">
        <v>0</v>
      </c>
      <c r="L419" t="n">
        <v>0</v>
      </c>
      <c r="M419" t="n">
        <v>0</v>
      </c>
      <c r="N419" t="n">
        <v>0</v>
      </c>
      <c r="O419" t="n">
        <v>0</v>
      </c>
      <c r="P419" t="n">
        <v>0</v>
      </c>
      <c r="Q419" t="n">
        <v>0</v>
      </c>
      <c r="R419" s="2" t="inlineStr"/>
    </row>
    <row r="420" ht="15" customHeight="1">
      <c r="A420" t="inlineStr">
        <is>
          <t>A 52480-2025</t>
        </is>
      </c>
      <c r="B420" s="1" t="n">
        <v>45954.47172453703</v>
      </c>
      <c r="C420" s="1" t="n">
        <v>45990</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25236-2023</t>
        </is>
      </c>
      <c r="B421" s="1" t="n">
        <v>45086.63334490741</v>
      </c>
      <c r="C421" s="1" t="n">
        <v>45990</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44091-2025</t>
        </is>
      </c>
      <c r="B422" s="1" t="n">
        <v>45915.55950231481</v>
      </c>
      <c r="C422" s="1" t="n">
        <v>45990</v>
      </c>
      <c r="D422" t="inlineStr">
        <is>
          <t>KALMAR LÄN</t>
        </is>
      </c>
      <c r="E422" t="inlineStr">
        <is>
          <t>VIMMERBY</t>
        </is>
      </c>
      <c r="G422" t="n">
        <v>0.8</v>
      </c>
      <c r="H422" t="n">
        <v>0</v>
      </c>
      <c r="I422" t="n">
        <v>0</v>
      </c>
      <c r="J422" t="n">
        <v>0</v>
      </c>
      <c r="K422" t="n">
        <v>0</v>
      </c>
      <c r="L422" t="n">
        <v>0</v>
      </c>
      <c r="M422" t="n">
        <v>0</v>
      </c>
      <c r="N422" t="n">
        <v>0</v>
      </c>
      <c r="O422" t="n">
        <v>0</v>
      </c>
      <c r="P422" t="n">
        <v>0</v>
      </c>
      <c r="Q422" t="n">
        <v>0</v>
      </c>
      <c r="R422" s="2" t="inlineStr"/>
    </row>
    <row r="423" ht="15" customHeight="1">
      <c r="A423" t="inlineStr">
        <is>
          <t>A 52466-2025</t>
        </is>
      </c>
      <c r="B423" s="1" t="n">
        <v>45954.44707175926</v>
      </c>
      <c r="C423" s="1" t="n">
        <v>45990</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52475-2025</t>
        </is>
      </c>
      <c r="B424" s="1" t="n">
        <v>45954.468125</v>
      </c>
      <c r="C424" s="1" t="n">
        <v>45990</v>
      </c>
      <c r="D424" t="inlineStr">
        <is>
          <t>KALMAR LÄN</t>
        </is>
      </c>
      <c r="E424" t="inlineStr">
        <is>
          <t>VIMMERBY</t>
        </is>
      </c>
      <c r="G424" t="n">
        <v>1.5</v>
      </c>
      <c r="H424" t="n">
        <v>0</v>
      </c>
      <c r="I424" t="n">
        <v>0</v>
      </c>
      <c r="J424" t="n">
        <v>0</v>
      </c>
      <c r="K424" t="n">
        <v>0</v>
      </c>
      <c r="L424" t="n">
        <v>0</v>
      </c>
      <c r="M424" t="n">
        <v>0</v>
      </c>
      <c r="N424" t="n">
        <v>0</v>
      </c>
      <c r="O424" t="n">
        <v>0</v>
      </c>
      <c r="P424" t="n">
        <v>0</v>
      </c>
      <c r="Q424" t="n">
        <v>0</v>
      </c>
      <c r="R424" s="2" t="inlineStr"/>
    </row>
    <row r="425" ht="15" customHeight="1">
      <c r="A425" t="inlineStr">
        <is>
          <t>A 26956-2025</t>
        </is>
      </c>
      <c r="B425" s="1" t="n">
        <v>45811.45460648148</v>
      </c>
      <c r="C425" s="1" t="n">
        <v>45990</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6082-2022</t>
        </is>
      </c>
      <c r="B426" s="1" t="n">
        <v>44599</v>
      </c>
      <c r="C426" s="1" t="n">
        <v>45990</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52465-2025</t>
        </is>
      </c>
      <c r="B427" s="1" t="n">
        <v>45954.44543981482</v>
      </c>
      <c r="C427" s="1" t="n">
        <v>45990</v>
      </c>
      <c r="D427" t="inlineStr">
        <is>
          <t>KALMAR LÄN</t>
        </is>
      </c>
      <c r="E427" t="inlineStr">
        <is>
          <t>VIMMERBY</t>
        </is>
      </c>
      <c r="G427" t="n">
        <v>0.9</v>
      </c>
      <c r="H427" t="n">
        <v>0</v>
      </c>
      <c r="I427" t="n">
        <v>0</v>
      </c>
      <c r="J427" t="n">
        <v>0</v>
      </c>
      <c r="K427" t="n">
        <v>0</v>
      </c>
      <c r="L427" t="n">
        <v>0</v>
      </c>
      <c r="M427" t="n">
        <v>0</v>
      </c>
      <c r="N427" t="n">
        <v>0</v>
      </c>
      <c r="O427" t="n">
        <v>0</v>
      </c>
      <c r="P427" t="n">
        <v>0</v>
      </c>
      <c r="Q427" t="n">
        <v>0</v>
      </c>
      <c r="R427" s="2" t="inlineStr"/>
    </row>
    <row r="428" ht="15" customHeight="1">
      <c r="A428" t="inlineStr">
        <is>
          <t>A 52516-2025</t>
        </is>
      </c>
      <c r="B428" s="1" t="n">
        <v>45954.51412037037</v>
      </c>
      <c r="C428" s="1" t="n">
        <v>45990</v>
      </c>
      <c r="D428" t="inlineStr">
        <is>
          <t>KALMAR LÄN</t>
        </is>
      </c>
      <c r="E428" t="inlineStr">
        <is>
          <t>VIMMERBY</t>
        </is>
      </c>
      <c r="G428" t="n">
        <v>2.8</v>
      </c>
      <c r="H428" t="n">
        <v>0</v>
      </c>
      <c r="I428" t="n">
        <v>0</v>
      </c>
      <c r="J428" t="n">
        <v>0</v>
      </c>
      <c r="K428" t="n">
        <v>0</v>
      </c>
      <c r="L428" t="n">
        <v>0</v>
      </c>
      <c r="M428" t="n">
        <v>0</v>
      </c>
      <c r="N428" t="n">
        <v>0</v>
      </c>
      <c r="O428" t="n">
        <v>0</v>
      </c>
      <c r="P428" t="n">
        <v>0</v>
      </c>
      <c r="Q428" t="n">
        <v>0</v>
      </c>
      <c r="R428" s="2" t="inlineStr"/>
    </row>
    <row r="429" ht="15" customHeight="1">
      <c r="A429" t="inlineStr">
        <is>
          <t>A 2801-2023</t>
        </is>
      </c>
      <c r="B429" s="1" t="n">
        <v>44944.73487268519</v>
      </c>
      <c r="C429" s="1" t="n">
        <v>45990</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34071-2025</t>
        </is>
      </c>
      <c r="B430" s="1" t="n">
        <v>45845.43803240741</v>
      </c>
      <c r="C430" s="1" t="n">
        <v>45990</v>
      </c>
      <c r="D430" t="inlineStr">
        <is>
          <t>KALMAR LÄN</t>
        </is>
      </c>
      <c r="E430" t="inlineStr">
        <is>
          <t>VIMMERBY</t>
        </is>
      </c>
      <c r="G430" t="n">
        <v>6.8</v>
      </c>
      <c r="H430" t="n">
        <v>0</v>
      </c>
      <c r="I430" t="n">
        <v>0</v>
      </c>
      <c r="J430" t="n">
        <v>0</v>
      </c>
      <c r="K430" t="n">
        <v>0</v>
      </c>
      <c r="L430" t="n">
        <v>0</v>
      </c>
      <c r="M430" t="n">
        <v>0</v>
      </c>
      <c r="N430" t="n">
        <v>0</v>
      </c>
      <c r="O430" t="n">
        <v>0</v>
      </c>
      <c r="P430" t="n">
        <v>0</v>
      </c>
      <c r="Q430" t="n">
        <v>0</v>
      </c>
      <c r="R430" s="2" t="inlineStr"/>
    </row>
    <row r="431" ht="15" customHeight="1">
      <c r="A431" t="inlineStr">
        <is>
          <t>A 34106-2025</t>
        </is>
      </c>
      <c r="B431" s="1" t="n">
        <v>45845.49414351852</v>
      </c>
      <c r="C431" s="1" t="n">
        <v>45990</v>
      </c>
      <c r="D431" t="inlineStr">
        <is>
          <t>KALMAR LÄN</t>
        </is>
      </c>
      <c r="E431" t="inlineStr">
        <is>
          <t>VIMMERBY</t>
        </is>
      </c>
      <c r="G431" t="n">
        <v>6</v>
      </c>
      <c r="H431" t="n">
        <v>0</v>
      </c>
      <c r="I431" t="n">
        <v>0</v>
      </c>
      <c r="J431" t="n">
        <v>0</v>
      </c>
      <c r="K431" t="n">
        <v>0</v>
      </c>
      <c r="L431" t="n">
        <v>0</v>
      </c>
      <c r="M431" t="n">
        <v>0</v>
      </c>
      <c r="N431" t="n">
        <v>0</v>
      </c>
      <c r="O431" t="n">
        <v>0</v>
      </c>
      <c r="P431" t="n">
        <v>0</v>
      </c>
      <c r="Q431" t="n">
        <v>0</v>
      </c>
      <c r="R431" s="2" t="inlineStr"/>
    </row>
    <row r="432" ht="15" customHeight="1">
      <c r="A432" t="inlineStr">
        <is>
          <t>A 28702-2025</t>
        </is>
      </c>
      <c r="B432" s="1" t="n">
        <v>45820.03976851852</v>
      </c>
      <c r="C432" s="1" t="n">
        <v>45990</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5146-2024</t>
        </is>
      </c>
      <c r="B433" s="1" t="n">
        <v>45330</v>
      </c>
      <c r="C433" s="1" t="n">
        <v>45990</v>
      </c>
      <c r="D433" t="inlineStr">
        <is>
          <t>KALMAR LÄN</t>
        </is>
      </c>
      <c r="E433" t="inlineStr">
        <is>
          <t>VIMMERBY</t>
        </is>
      </c>
      <c r="G433" t="n">
        <v>5.3</v>
      </c>
      <c r="H433" t="n">
        <v>0</v>
      </c>
      <c r="I433" t="n">
        <v>0</v>
      </c>
      <c r="J433" t="n">
        <v>0</v>
      </c>
      <c r="K433" t="n">
        <v>0</v>
      </c>
      <c r="L433" t="n">
        <v>0</v>
      </c>
      <c r="M433" t="n">
        <v>0</v>
      </c>
      <c r="N433" t="n">
        <v>0</v>
      </c>
      <c r="O433" t="n">
        <v>0</v>
      </c>
      <c r="P433" t="n">
        <v>0</v>
      </c>
      <c r="Q433" t="n">
        <v>0</v>
      </c>
      <c r="R433" s="2" t="inlineStr"/>
    </row>
    <row r="434" ht="15" customHeight="1">
      <c r="A434" t="inlineStr">
        <is>
          <t>A 5148-2024</t>
        </is>
      </c>
      <c r="B434" s="1" t="n">
        <v>45330</v>
      </c>
      <c r="C434" s="1" t="n">
        <v>45990</v>
      </c>
      <c r="D434" t="inlineStr">
        <is>
          <t>KALMAR LÄN</t>
        </is>
      </c>
      <c r="E434" t="inlineStr">
        <is>
          <t>VIMMERBY</t>
        </is>
      </c>
      <c r="G434" t="n">
        <v>5.6</v>
      </c>
      <c r="H434" t="n">
        <v>0</v>
      </c>
      <c r="I434" t="n">
        <v>0</v>
      </c>
      <c r="J434" t="n">
        <v>0</v>
      </c>
      <c r="K434" t="n">
        <v>0</v>
      </c>
      <c r="L434" t="n">
        <v>0</v>
      </c>
      <c r="M434" t="n">
        <v>0</v>
      </c>
      <c r="N434" t="n">
        <v>0</v>
      </c>
      <c r="O434" t="n">
        <v>0</v>
      </c>
      <c r="P434" t="n">
        <v>0</v>
      </c>
      <c r="Q434" t="n">
        <v>0</v>
      </c>
      <c r="R434" s="2" t="inlineStr"/>
    </row>
    <row r="435" ht="15" customHeight="1">
      <c r="A435" t="inlineStr">
        <is>
          <t>A 53393-2025</t>
        </is>
      </c>
      <c r="B435" s="1" t="n">
        <v>45959.55284722222</v>
      </c>
      <c r="C435" s="1" t="n">
        <v>45990</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53398-2025</t>
        </is>
      </c>
      <c r="B436" s="1" t="n">
        <v>45959.56247685185</v>
      </c>
      <c r="C436" s="1" t="n">
        <v>45990</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58278-2023</t>
        </is>
      </c>
      <c r="B437" s="1" t="n">
        <v>45250.5278587963</v>
      </c>
      <c r="C437" s="1" t="n">
        <v>45990</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22266-2023</t>
        </is>
      </c>
      <c r="B438" s="1" t="n">
        <v>45070</v>
      </c>
      <c r="C438" s="1" t="n">
        <v>45990</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52588-2023</t>
        </is>
      </c>
      <c r="B439" s="1" t="n">
        <v>45225.60192129629</v>
      </c>
      <c r="C439" s="1" t="n">
        <v>45990</v>
      </c>
      <c r="D439" t="inlineStr">
        <is>
          <t>KALMAR LÄN</t>
        </is>
      </c>
      <c r="E439" t="inlineStr">
        <is>
          <t>VIMMERBY</t>
        </is>
      </c>
      <c r="G439" t="n">
        <v>2.9</v>
      </c>
      <c r="H439" t="n">
        <v>0</v>
      </c>
      <c r="I439" t="n">
        <v>0</v>
      </c>
      <c r="J439" t="n">
        <v>0</v>
      </c>
      <c r="K439" t="n">
        <v>0</v>
      </c>
      <c r="L439" t="n">
        <v>0</v>
      </c>
      <c r="M439" t="n">
        <v>0</v>
      </c>
      <c r="N439" t="n">
        <v>0</v>
      </c>
      <c r="O439" t="n">
        <v>0</v>
      </c>
      <c r="P439" t="n">
        <v>0</v>
      </c>
      <c r="Q439" t="n">
        <v>0</v>
      </c>
      <c r="R439" s="2" t="inlineStr"/>
    </row>
    <row r="440" ht="15" customHeight="1">
      <c r="A440" t="inlineStr">
        <is>
          <t>A 44517-2025</t>
        </is>
      </c>
      <c r="B440" s="1" t="n">
        <v>45916.7103587963</v>
      </c>
      <c r="C440" s="1" t="n">
        <v>45990</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44742-2025</t>
        </is>
      </c>
      <c r="B441" s="1" t="n">
        <v>45917.67054398148</v>
      </c>
      <c r="C441" s="1" t="n">
        <v>45990</v>
      </c>
      <c r="D441" t="inlineStr">
        <is>
          <t>KALMAR LÄN</t>
        </is>
      </c>
      <c r="E441" t="inlineStr">
        <is>
          <t>VIMMERBY</t>
        </is>
      </c>
      <c r="G441" t="n">
        <v>4.7</v>
      </c>
      <c r="H441" t="n">
        <v>0</v>
      </c>
      <c r="I441" t="n">
        <v>0</v>
      </c>
      <c r="J441" t="n">
        <v>0</v>
      </c>
      <c r="K441" t="n">
        <v>0</v>
      </c>
      <c r="L441" t="n">
        <v>0</v>
      </c>
      <c r="M441" t="n">
        <v>0</v>
      </c>
      <c r="N441" t="n">
        <v>0</v>
      </c>
      <c r="O441" t="n">
        <v>0</v>
      </c>
      <c r="P441" t="n">
        <v>0</v>
      </c>
      <c r="Q441" t="n">
        <v>0</v>
      </c>
      <c r="R441" s="2" t="inlineStr"/>
    </row>
    <row r="442" ht="15" customHeight="1">
      <c r="A442" t="inlineStr">
        <is>
          <t>A 6802-2025</t>
        </is>
      </c>
      <c r="B442" s="1" t="n">
        <v>45700.68289351852</v>
      </c>
      <c r="C442" s="1" t="n">
        <v>45990</v>
      </c>
      <c r="D442" t="inlineStr">
        <is>
          <t>KALMAR LÄN</t>
        </is>
      </c>
      <c r="E442" t="inlineStr">
        <is>
          <t>VIMMERBY</t>
        </is>
      </c>
      <c r="G442" t="n">
        <v>1.3</v>
      </c>
      <c r="H442" t="n">
        <v>0</v>
      </c>
      <c r="I442" t="n">
        <v>0</v>
      </c>
      <c r="J442" t="n">
        <v>0</v>
      </c>
      <c r="K442" t="n">
        <v>0</v>
      </c>
      <c r="L442" t="n">
        <v>0</v>
      </c>
      <c r="M442" t="n">
        <v>0</v>
      </c>
      <c r="N442" t="n">
        <v>0</v>
      </c>
      <c r="O442" t="n">
        <v>0</v>
      </c>
      <c r="P442" t="n">
        <v>0</v>
      </c>
      <c r="Q442" t="n">
        <v>0</v>
      </c>
      <c r="R442" s="2" t="inlineStr"/>
    </row>
    <row r="443" ht="15" customHeight="1">
      <c r="A443" t="inlineStr">
        <is>
          <t>A 71793-2021</t>
        </is>
      </c>
      <c r="B443" s="1" t="n">
        <v>44539</v>
      </c>
      <c r="C443" s="1" t="n">
        <v>45990</v>
      </c>
      <c r="D443" t="inlineStr">
        <is>
          <t>KALMAR LÄN</t>
        </is>
      </c>
      <c r="E443" t="inlineStr">
        <is>
          <t>VIMMERBY</t>
        </is>
      </c>
      <c r="G443" t="n">
        <v>2.7</v>
      </c>
      <c r="H443" t="n">
        <v>0</v>
      </c>
      <c r="I443" t="n">
        <v>0</v>
      </c>
      <c r="J443" t="n">
        <v>0</v>
      </c>
      <c r="K443" t="n">
        <v>0</v>
      </c>
      <c r="L443" t="n">
        <v>0</v>
      </c>
      <c r="M443" t="n">
        <v>0</v>
      </c>
      <c r="N443" t="n">
        <v>0</v>
      </c>
      <c r="O443" t="n">
        <v>0</v>
      </c>
      <c r="P443" t="n">
        <v>0</v>
      </c>
      <c r="Q443" t="n">
        <v>0</v>
      </c>
      <c r="R443" s="2" t="inlineStr"/>
    </row>
    <row r="444" ht="15" customHeight="1">
      <c r="A444" t="inlineStr">
        <is>
          <t>A 44329-2025</t>
        </is>
      </c>
      <c r="B444" s="1" t="n">
        <v>45916.41019675926</v>
      </c>
      <c r="C444" s="1" t="n">
        <v>45990</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34628-2025</t>
        </is>
      </c>
      <c r="B445" s="1" t="n">
        <v>45847.91280092593</v>
      </c>
      <c r="C445" s="1" t="n">
        <v>45990</v>
      </c>
      <c r="D445" t="inlineStr">
        <is>
          <t>KALMAR LÄN</t>
        </is>
      </c>
      <c r="E445" t="inlineStr">
        <is>
          <t>VIMMERBY</t>
        </is>
      </c>
      <c r="G445" t="n">
        <v>4.2</v>
      </c>
      <c r="H445" t="n">
        <v>0</v>
      </c>
      <c r="I445" t="n">
        <v>0</v>
      </c>
      <c r="J445" t="n">
        <v>0</v>
      </c>
      <c r="K445" t="n">
        <v>0</v>
      </c>
      <c r="L445" t="n">
        <v>0</v>
      </c>
      <c r="M445" t="n">
        <v>0</v>
      </c>
      <c r="N445" t="n">
        <v>0</v>
      </c>
      <c r="O445" t="n">
        <v>0</v>
      </c>
      <c r="P445" t="n">
        <v>0</v>
      </c>
      <c r="Q445" t="n">
        <v>0</v>
      </c>
      <c r="R445" s="2" t="inlineStr"/>
    </row>
    <row r="446" ht="15" customHeight="1">
      <c r="A446" t="inlineStr">
        <is>
          <t>A 41896-2025</t>
        </is>
      </c>
      <c r="B446" s="1" t="n">
        <v>45903.38800925926</v>
      </c>
      <c r="C446" s="1" t="n">
        <v>45990</v>
      </c>
      <c r="D446" t="inlineStr">
        <is>
          <t>KALMAR LÄN</t>
        </is>
      </c>
      <c r="E446" t="inlineStr">
        <is>
          <t>VIMMERBY</t>
        </is>
      </c>
      <c r="G446" t="n">
        <v>2.9</v>
      </c>
      <c r="H446" t="n">
        <v>0</v>
      </c>
      <c r="I446" t="n">
        <v>0</v>
      </c>
      <c r="J446" t="n">
        <v>0</v>
      </c>
      <c r="K446" t="n">
        <v>0</v>
      </c>
      <c r="L446" t="n">
        <v>0</v>
      </c>
      <c r="M446" t="n">
        <v>0</v>
      </c>
      <c r="N446" t="n">
        <v>0</v>
      </c>
      <c r="O446" t="n">
        <v>0</v>
      </c>
      <c r="P446" t="n">
        <v>0</v>
      </c>
      <c r="Q446" t="n">
        <v>0</v>
      </c>
      <c r="R446" s="2" t="inlineStr"/>
    </row>
    <row r="447" ht="15" customHeight="1">
      <c r="A447" t="inlineStr">
        <is>
          <t>A 527-2024</t>
        </is>
      </c>
      <c r="B447" s="1" t="n">
        <v>45299.47513888889</v>
      </c>
      <c r="C447" s="1" t="n">
        <v>45990</v>
      </c>
      <c r="D447" t="inlineStr">
        <is>
          <t>KALMAR LÄN</t>
        </is>
      </c>
      <c r="E447" t="inlineStr">
        <is>
          <t>VIMMERBY</t>
        </is>
      </c>
      <c r="G447" t="n">
        <v>2.2</v>
      </c>
      <c r="H447" t="n">
        <v>0</v>
      </c>
      <c r="I447" t="n">
        <v>0</v>
      </c>
      <c r="J447" t="n">
        <v>0</v>
      </c>
      <c r="K447" t="n">
        <v>0</v>
      </c>
      <c r="L447" t="n">
        <v>0</v>
      </c>
      <c r="M447" t="n">
        <v>0</v>
      </c>
      <c r="N447" t="n">
        <v>0</v>
      </c>
      <c r="O447" t="n">
        <v>0</v>
      </c>
      <c r="P447" t="n">
        <v>0</v>
      </c>
      <c r="Q447" t="n">
        <v>0</v>
      </c>
      <c r="R447" s="2" t="inlineStr"/>
    </row>
    <row r="448" ht="15" customHeight="1">
      <c r="A448" t="inlineStr">
        <is>
          <t>A 53413-2025</t>
        </is>
      </c>
      <c r="B448" s="1" t="n">
        <v>45959.5787037037</v>
      </c>
      <c r="C448" s="1" t="n">
        <v>45990</v>
      </c>
      <c r="D448" t="inlineStr">
        <is>
          <t>KALMAR LÄN</t>
        </is>
      </c>
      <c r="E448" t="inlineStr">
        <is>
          <t>VIMMERBY</t>
        </is>
      </c>
      <c r="G448" t="n">
        <v>4.3</v>
      </c>
      <c r="H448" t="n">
        <v>0</v>
      </c>
      <c r="I448" t="n">
        <v>0</v>
      </c>
      <c r="J448" t="n">
        <v>0</v>
      </c>
      <c r="K448" t="n">
        <v>0</v>
      </c>
      <c r="L448" t="n">
        <v>0</v>
      </c>
      <c r="M448" t="n">
        <v>0</v>
      </c>
      <c r="N448" t="n">
        <v>0</v>
      </c>
      <c r="O448" t="n">
        <v>0</v>
      </c>
      <c r="P448" t="n">
        <v>0</v>
      </c>
      <c r="Q448" t="n">
        <v>0</v>
      </c>
      <c r="R448" s="2" t="inlineStr"/>
    </row>
    <row r="449" ht="15" customHeight="1">
      <c r="A449" t="inlineStr">
        <is>
          <t>A 60230-2022</t>
        </is>
      </c>
      <c r="B449" s="1" t="n">
        <v>44910</v>
      </c>
      <c r="C449" s="1" t="n">
        <v>45990</v>
      </c>
      <c r="D449" t="inlineStr">
        <is>
          <t>KALMAR LÄN</t>
        </is>
      </c>
      <c r="E449" t="inlineStr">
        <is>
          <t>VIMMERBY</t>
        </is>
      </c>
      <c r="G449" t="n">
        <v>11.3</v>
      </c>
      <c r="H449" t="n">
        <v>0</v>
      </c>
      <c r="I449" t="n">
        <v>0</v>
      </c>
      <c r="J449" t="n">
        <v>0</v>
      </c>
      <c r="K449" t="n">
        <v>0</v>
      </c>
      <c r="L449" t="n">
        <v>0</v>
      </c>
      <c r="M449" t="n">
        <v>0</v>
      </c>
      <c r="N449" t="n">
        <v>0</v>
      </c>
      <c r="O449" t="n">
        <v>0</v>
      </c>
      <c r="P449" t="n">
        <v>0</v>
      </c>
      <c r="Q449" t="n">
        <v>0</v>
      </c>
      <c r="R449" s="2" t="inlineStr"/>
    </row>
    <row r="450" ht="15" customHeight="1">
      <c r="A450" t="inlineStr">
        <is>
          <t>A 5925-2022</t>
        </is>
      </c>
      <c r="B450" s="1" t="n">
        <v>44598.7384837963</v>
      </c>
      <c r="C450" s="1" t="n">
        <v>45990</v>
      </c>
      <c r="D450" t="inlineStr">
        <is>
          <t>KALMAR LÄN</t>
        </is>
      </c>
      <c r="E450" t="inlineStr">
        <is>
          <t>VIMMERBY</t>
        </is>
      </c>
      <c r="G450" t="n">
        <v>2.1</v>
      </c>
      <c r="H450" t="n">
        <v>0</v>
      </c>
      <c r="I450" t="n">
        <v>0</v>
      </c>
      <c r="J450" t="n">
        <v>0</v>
      </c>
      <c r="K450" t="n">
        <v>0</v>
      </c>
      <c r="L450" t="n">
        <v>0</v>
      </c>
      <c r="M450" t="n">
        <v>0</v>
      </c>
      <c r="N450" t="n">
        <v>0</v>
      </c>
      <c r="O450" t="n">
        <v>0</v>
      </c>
      <c r="P450" t="n">
        <v>0</v>
      </c>
      <c r="Q450" t="n">
        <v>0</v>
      </c>
      <c r="R450" s="2" t="inlineStr"/>
    </row>
    <row r="451" ht="15" customHeight="1">
      <c r="A451" t="inlineStr">
        <is>
          <t>A 53397-2025</t>
        </is>
      </c>
      <c r="B451" s="1" t="n">
        <v>45959.55918981481</v>
      </c>
      <c r="C451" s="1" t="n">
        <v>45990</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53220-2025</t>
        </is>
      </c>
      <c r="B452" s="1" t="n">
        <v>45958.60146990741</v>
      </c>
      <c r="C452" s="1" t="n">
        <v>45990</v>
      </c>
      <c r="D452" t="inlineStr">
        <is>
          <t>KALMAR LÄN</t>
        </is>
      </c>
      <c r="E452" t="inlineStr">
        <is>
          <t>VIMMERBY</t>
        </is>
      </c>
      <c r="G452" t="n">
        <v>2.2</v>
      </c>
      <c r="H452" t="n">
        <v>0</v>
      </c>
      <c r="I452" t="n">
        <v>0</v>
      </c>
      <c r="J452" t="n">
        <v>0</v>
      </c>
      <c r="K452" t="n">
        <v>0</v>
      </c>
      <c r="L452" t="n">
        <v>0</v>
      </c>
      <c r="M452" t="n">
        <v>0</v>
      </c>
      <c r="N452" t="n">
        <v>0</v>
      </c>
      <c r="O452" t="n">
        <v>0</v>
      </c>
      <c r="P452" t="n">
        <v>0</v>
      </c>
      <c r="Q452" t="n">
        <v>0</v>
      </c>
      <c r="R452" s="2" t="inlineStr"/>
    </row>
    <row r="453" ht="15" customHeight="1">
      <c r="A453" t="inlineStr">
        <is>
          <t>A 53396-2025</t>
        </is>
      </c>
      <c r="B453" s="1" t="n">
        <v>45959.55577546296</v>
      </c>
      <c r="C453" s="1" t="n">
        <v>45990</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53416-2025</t>
        </is>
      </c>
      <c r="B454" s="1" t="n">
        <v>45959.58387731481</v>
      </c>
      <c r="C454" s="1" t="n">
        <v>45990</v>
      </c>
      <c r="D454" t="inlineStr">
        <is>
          <t>KALMAR LÄN</t>
        </is>
      </c>
      <c r="E454" t="inlineStr">
        <is>
          <t>VIMMERBY</t>
        </is>
      </c>
      <c r="G454" t="n">
        <v>4.4</v>
      </c>
      <c r="H454" t="n">
        <v>0</v>
      </c>
      <c r="I454" t="n">
        <v>0</v>
      </c>
      <c r="J454" t="n">
        <v>0</v>
      </c>
      <c r="K454" t="n">
        <v>0</v>
      </c>
      <c r="L454" t="n">
        <v>0</v>
      </c>
      <c r="M454" t="n">
        <v>0</v>
      </c>
      <c r="N454" t="n">
        <v>0</v>
      </c>
      <c r="O454" t="n">
        <v>0</v>
      </c>
      <c r="P454" t="n">
        <v>0</v>
      </c>
      <c r="Q454" t="n">
        <v>0</v>
      </c>
      <c r="R454" s="2" t="inlineStr"/>
    </row>
    <row r="455" ht="15" customHeight="1">
      <c r="A455" t="inlineStr">
        <is>
          <t>A 46522-2022</t>
        </is>
      </c>
      <c r="B455" s="1" t="n">
        <v>44848.59133101852</v>
      </c>
      <c r="C455" s="1" t="n">
        <v>45990</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53923-2025</t>
        </is>
      </c>
      <c r="B456" s="1" t="n">
        <v>45961.4569212963</v>
      </c>
      <c r="C456" s="1" t="n">
        <v>45990</v>
      </c>
      <c r="D456" t="inlineStr">
        <is>
          <t>KALMAR LÄN</t>
        </is>
      </c>
      <c r="E456" t="inlineStr">
        <is>
          <t>VIMMERBY</t>
        </is>
      </c>
      <c r="G456" t="n">
        <v>2.4</v>
      </c>
      <c r="H456" t="n">
        <v>0</v>
      </c>
      <c r="I456" t="n">
        <v>0</v>
      </c>
      <c r="J456" t="n">
        <v>0</v>
      </c>
      <c r="K456" t="n">
        <v>0</v>
      </c>
      <c r="L456" t="n">
        <v>0</v>
      </c>
      <c r="M456" t="n">
        <v>0</v>
      </c>
      <c r="N456" t="n">
        <v>0</v>
      </c>
      <c r="O456" t="n">
        <v>0</v>
      </c>
      <c r="P456" t="n">
        <v>0</v>
      </c>
      <c r="Q456" t="n">
        <v>0</v>
      </c>
      <c r="R456" s="2" t="inlineStr"/>
    </row>
    <row r="457" ht="15" customHeight="1">
      <c r="A457" t="inlineStr">
        <is>
          <t>A 41066-2024</t>
        </is>
      </c>
      <c r="B457" s="1" t="n">
        <v>45559.38876157408</v>
      </c>
      <c r="C457" s="1" t="n">
        <v>45990</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35270-2025</t>
        </is>
      </c>
      <c r="B458" s="1" t="n">
        <v>45853.87112268519</v>
      </c>
      <c r="C458" s="1" t="n">
        <v>45990</v>
      </c>
      <c r="D458" t="inlineStr">
        <is>
          <t>KALMAR LÄN</t>
        </is>
      </c>
      <c r="E458" t="inlineStr">
        <is>
          <t>VIMMERBY</t>
        </is>
      </c>
      <c r="G458" t="n">
        <v>2.4</v>
      </c>
      <c r="H458" t="n">
        <v>0</v>
      </c>
      <c r="I458" t="n">
        <v>0</v>
      </c>
      <c r="J458" t="n">
        <v>0</v>
      </c>
      <c r="K458" t="n">
        <v>0</v>
      </c>
      <c r="L458" t="n">
        <v>0</v>
      </c>
      <c r="M458" t="n">
        <v>0</v>
      </c>
      <c r="N458" t="n">
        <v>0</v>
      </c>
      <c r="O458" t="n">
        <v>0</v>
      </c>
      <c r="P458" t="n">
        <v>0</v>
      </c>
      <c r="Q458" t="n">
        <v>0</v>
      </c>
      <c r="R458" s="2" t="inlineStr"/>
    </row>
    <row r="459" ht="15" customHeight="1">
      <c r="A459" t="inlineStr">
        <is>
          <t>A 35271-2025</t>
        </is>
      </c>
      <c r="B459" s="1" t="n">
        <v>45853.87599537037</v>
      </c>
      <c r="C459" s="1" t="n">
        <v>45990</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35272-2025</t>
        </is>
      </c>
      <c r="B460" s="1" t="n">
        <v>45853.88070601852</v>
      </c>
      <c r="C460" s="1" t="n">
        <v>45990</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53927-2025</t>
        </is>
      </c>
      <c r="B461" s="1" t="n">
        <v>45961.46740740741</v>
      </c>
      <c r="C461" s="1" t="n">
        <v>45990</v>
      </c>
      <c r="D461" t="inlineStr">
        <is>
          <t>KALMAR LÄN</t>
        </is>
      </c>
      <c r="E461" t="inlineStr">
        <is>
          <t>VIMMERBY</t>
        </is>
      </c>
      <c r="G461" t="n">
        <v>2.5</v>
      </c>
      <c r="H461" t="n">
        <v>0</v>
      </c>
      <c r="I461" t="n">
        <v>0</v>
      </c>
      <c r="J461" t="n">
        <v>0</v>
      </c>
      <c r="K461" t="n">
        <v>0</v>
      </c>
      <c r="L461" t="n">
        <v>0</v>
      </c>
      <c r="M461" t="n">
        <v>0</v>
      </c>
      <c r="N461" t="n">
        <v>0</v>
      </c>
      <c r="O461" t="n">
        <v>0</v>
      </c>
      <c r="P461" t="n">
        <v>0</v>
      </c>
      <c r="Q461" t="n">
        <v>0</v>
      </c>
      <c r="R461" s="2" t="inlineStr"/>
    </row>
    <row r="462" ht="15" customHeight="1">
      <c r="A462" t="inlineStr">
        <is>
          <t>A 53933-2025</t>
        </is>
      </c>
      <c r="B462" s="1" t="n">
        <v>45961.47650462963</v>
      </c>
      <c r="C462" s="1" t="n">
        <v>45990</v>
      </c>
      <c r="D462" t="inlineStr">
        <is>
          <t>KALMAR LÄN</t>
        </is>
      </c>
      <c r="E462" t="inlineStr">
        <is>
          <t>VIMMERBY</t>
        </is>
      </c>
      <c r="G462" t="n">
        <v>0.9</v>
      </c>
      <c r="H462" t="n">
        <v>0</v>
      </c>
      <c r="I462" t="n">
        <v>0</v>
      </c>
      <c r="J462" t="n">
        <v>0</v>
      </c>
      <c r="K462" t="n">
        <v>0</v>
      </c>
      <c r="L462" t="n">
        <v>0</v>
      </c>
      <c r="M462" t="n">
        <v>0</v>
      </c>
      <c r="N462" t="n">
        <v>0</v>
      </c>
      <c r="O462" t="n">
        <v>0</v>
      </c>
      <c r="P462" t="n">
        <v>0</v>
      </c>
      <c r="Q462" t="n">
        <v>0</v>
      </c>
      <c r="R462" s="2" t="inlineStr"/>
    </row>
    <row r="463" ht="15" customHeight="1">
      <c r="A463" t="inlineStr">
        <is>
          <t>A 52279-2023</t>
        </is>
      </c>
      <c r="B463" s="1" t="n">
        <v>45224</v>
      </c>
      <c r="C463" s="1" t="n">
        <v>45990</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16953-2025</t>
        </is>
      </c>
      <c r="B464" s="1" t="n">
        <v>45755.44333333334</v>
      </c>
      <c r="C464" s="1" t="n">
        <v>45990</v>
      </c>
      <c r="D464" t="inlineStr">
        <is>
          <t>KALMAR LÄN</t>
        </is>
      </c>
      <c r="E464" t="inlineStr">
        <is>
          <t>VIMMERBY</t>
        </is>
      </c>
      <c r="G464" t="n">
        <v>2</v>
      </c>
      <c r="H464" t="n">
        <v>0</v>
      </c>
      <c r="I464" t="n">
        <v>0</v>
      </c>
      <c r="J464" t="n">
        <v>0</v>
      </c>
      <c r="K464" t="n">
        <v>0</v>
      </c>
      <c r="L464" t="n">
        <v>0</v>
      </c>
      <c r="M464" t="n">
        <v>0</v>
      </c>
      <c r="N464" t="n">
        <v>0</v>
      </c>
      <c r="O464" t="n">
        <v>0</v>
      </c>
      <c r="P464" t="n">
        <v>0</v>
      </c>
      <c r="Q464" t="n">
        <v>0</v>
      </c>
      <c r="R464" s="2" t="inlineStr"/>
    </row>
    <row r="465" ht="15" customHeight="1">
      <c r="A465" t="inlineStr">
        <is>
          <t>A 35596-2025</t>
        </is>
      </c>
      <c r="B465" s="1" t="n">
        <v>45858.60641203704</v>
      </c>
      <c r="C465" s="1" t="n">
        <v>45990</v>
      </c>
      <c r="D465" t="inlineStr">
        <is>
          <t>KALMAR LÄN</t>
        </is>
      </c>
      <c r="E465" t="inlineStr">
        <is>
          <t>VIMMERBY</t>
        </is>
      </c>
      <c r="G465" t="n">
        <v>2.8</v>
      </c>
      <c r="H465" t="n">
        <v>0</v>
      </c>
      <c r="I465" t="n">
        <v>0</v>
      </c>
      <c r="J465" t="n">
        <v>0</v>
      </c>
      <c r="K465" t="n">
        <v>0</v>
      </c>
      <c r="L465" t="n">
        <v>0</v>
      </c>
      <c r="M465" t="n">
        <v>0</v>
      </c>
      <c r="N465" t="n">
        <v>0</v>
      </c>
      <c r="O465" t="n">
        <v>0</v>
      </c>
      <c r="P465" t="n">
        <v>0</v>
      </c>
      <c r="Q465" t="n">
        <v>0</v>
      </c>
      <c r="R465" s="2" t="inlineStr"/>
    </row>
    <row r="466" ht="15" customHeight="1">
      <c r="A466" t="inlineStr">
        <is>
          <t>A 17486-2024</t>
        </is>
      </c>
      <c r="B466" s="1" t="n">
        <v>45415.48979166667</v>
      </c>
      <c r="C466" s="1" t="n">
        <v>45990</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35597-2025</t>
        </is>
      </c>
      <c r="B467" s="1" t="n">
        <v>45858.66019675926</v>
      </c>
      <c r="C467" s="1" t="n">
        <v>45990</v>
      </c>
      <c r="D467" t="inlineStr">
        <is>
          <t>KALMAR LÄN</t>
        </is>
      </c>
      <c r="E467" t="inlineStr">
        <is>
          <t>VIMMERBY</t>
        </is>
      </c>
      <c r="G467" t="n">
        <v>6.4</v>
      </c>
      <c r="H467" t="n">
        <v>0</v>
      </c>
      <c r="I467" t="n">
        <v>0</v>
      </c>
      <c r="J467" t="n">
        <v>0</v>
      </c>
      <c r="K467" t="n">
        <v>0</v>
      </c>
      <c r="L467" t="n">
        <v>0</v>
      </c>
      <c r="M467" t="n">
        <v>0</v>
      </c>
      <c r="N467" t="n">
        <v>0</v>
      </c>
      <c r="O467" t="n">
        <v>0</v>
      </c>
      <c r="P467" t="n">
        <v>0</v>
      </c>
      <c r="Q467" t="n">
        <v>0</v>
      </c>
      <c r="R467" s="2" t="inlineStr"/>
    </row>
    <row r="468" ht="15" customHeight="1">
      <c r="A468" t="inlineStr">
        <is>
          <t>A 71631-2021</t>
        </is>
      </c>
      <c r="B468" s="1" t="n">
        <v>44542.90072916666</v>
      </c>
      <c r="C468" s="1" t="n">
        <v>45990</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45114-2025</t>
        </is>
      </c>
      <c r="B469" s="1" t="n">
        <v>45919.42387731482</v>
      </c>
      <c r="C469" s="1" t="n">
        <v>45990</v>
      </c>
      <c r="D469" t="inlineStr">
        <is>
          <t>KALMAR LÄN</t>
        </is>
      </c>
      <c r="E469" t="inlineStr">
        <is>
          <t>VIMMERBY</t>
        </is>
      </c>
      <c r="G469" t="n">
        <v>2.7</v>
      </c>
      <c r="H469" t="n">
        <v>0</v>
      </c>
      <c r="I469" t="n">
        <v>0</v>
      </c>
      <c r="J469" t="n">
        <v>0</v>
      </c>
      <c r="K469" t="n">
        <v>0</v>
      </c>
      <c r="L469" t="n">
        <v>0</v>
      </c>
      <c r="M469" t="n">
        <v>0</v>
      </c>
      <c r="N469" t="n">
        <v>0</v>
      </c>
      <c r="O469" t="n">
        <v>0</v>
      </c>
      <c r="P469" t="n">
        <v>0</v>
      </c>
      <c r="Q469" t="n">
        <v>0</v>
      </c>
      <c r="R469" s="2" t="inlineStr"/>
    </row>
    <row r="470" ht="15" customHeight="1">
      <c r="A470" t="inlineStr">
        <is>
          <t>A 53903-2025</t>
        </is>
      </c>
      <c r="B470" s="1" t="n">
        <v>45961.43738425926</v>
      </c>
      <c r="C470" s="1" t="n">
        <v>45990</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53920-2025</t>
        </is>
      </c>
      <c r="B471" s="1" t="n">
        <v>45961.44951388889</v>
      </c>
      <c r="C471" s="1" t="n">
        <v>45990</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16015-2025</t>
        </is>
      </c>
      <c r="B472" s="1" t="n">
        <v>45749.60487268519</v>
      </c>
      <c r="C472" s="1" t="n">
        <v>45990</v>
      </c>
      <c r="D472" t="inlineStr">
        <is>
          <t>KALMAR LÄN</t>
        </is>
      </c>
      <c r="E472" t="inlineStr">
        <is>
          <t>VIMMERBY</t>
        </is>
      </c>
      <c r="F472" t="inlineStr">
        <is>
          <t>Kyrkan</t>
        </is>
      </c>
      <c r="G472" t="n">
        <v>2.7</v>
      </c>
      <c r="H472" t="n">
        <v>0</v>
      </c>
      <c r="I472" t="n">
        <v>0</v>
      </c>
      <c r="J472" t="n">
        <v>0</v>
      </c>
      <c r="K472" t="n">
        <v>0</v>
      </c>
      <c r="L472" t="n">
        <v>0</v>
      </c>
      <c r="M472" t="n">
        <v>0</v>
      </c>
      <c r="N472" t="n">
        <v>0</v>
      </c>
      <c r="O472" t="n">
        <v>0</v>
      </c>
      <c r="P472" t="n">
        <v>0</v>
      </c>
      <c r="Q472" t="n">
        <v>0</v>
      </c>
      <c r="R472" s="2" t="inlineStr"/>
    </row>
    <row r="473" ht="15" customHeight="1">
      <c r="A473" t="inlineStr">
        <is>
          <t>A 9694-2023</t>
        </is>
      </c>
      <c r="B473" s="1" t="n">
        <v>44984.45895833334</v>
      </c>
      <c r="C473" s="1" t="n">
        <v>45990</v>
      </c>
      <c r="D473" t="inlineStr">
        <is>
          <t>KALMAR LÄN</t>
        </is>
      </c>
      <c r="E473" t="inlineStr">
        <is>
          <t>VIMMERBY</t>
        </is>
      </c>
      <c r="G473" t="n">
        <v>2.1</v>
      </c>
      <c r="H473" t="n">
        <v>0</v>
      </c>
      <c r="I473" t="n">
        <v>0</v>
      </c>
      <c r="J473" t="n">
        <v>0</v>
      </c>
      <c r="K473" t="n">
        <v>0</v>
      </c>
      <c r="L473" t="n">
        <v>0</v>
      </c>
      <c r="M473" t="n">
        <v>0</v>
      </c>
      <c r="N473" t="n">
        <v>0</v>
      </c>
      <c r="O473" t="n">
        <v>0</v>
      </c>
      <c r="P473" t="n">
        <v>0</v>
      </c>
      <c r="Q473" t="n">
        <v>0</v>
      </c>
      <c r="R473" s="2" t="inlineStr"/>
    </row>
    <row r="474" ht="15" customHeight="1">
      <c r="A474" t="inlineStr">
        <is>
          <t>A 22198-2024</t>
        </is>
      </c>
      <c r="B474" s="1" t="n">
        <v>45446.36865740741</v>
      </c>
      <c r="C474" s="1" t="n">
        <v>45990</v>
      </c>
      <c r="D474" t="inlineStr">
        <is>
          <t>KALMAR LÄN</t>
        </is>
      </c>
      <c r="E474" t="inlineStr">
        <is>
          <t>VIMMERBY</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57311-2023</t>
        </is>
      </c>
      <c r="B475" s="1" t="n">
        <v>45245.63574074074</v>
      </c>
      <c r="C475" s="1" t="n">
        <v>45990</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36226-2025</t>
        </is>
      </c>
      <c r="B476" s="1" t="n">
        <v>45867.51630787037</v>
      </c>
      <c r="C476" s="1" t="n">
        <v>45990</v>
      </c>
      <c r="D476" t="inlineStr">
        <is>
          <t>KALMAR LÄN</t>
        </is>
      </c>
      <c r="E476" t="inlineStr">
        <is>
          <t>VIMMERBY</t>
        </is>
      </c>
      <c r="G476" t="n">
        <v>3.1</v>
      </c>
      <c r="H476" t="n">
        <v>0</v>
      </c>
      <c r="I476" t="n">
        <v>0</v>
      </c>
      <c r="J476" t="n">
        <v>0</v>
      </c>
      <c r="K476" t="n">
        <v>0</v>
      </c>
      <c r="L476" t="n">
        <v>0</v>
      </c>
      <c r="M476" t="n">
        <v>0</v>
      </c>
      <c r="N476" t="n">
        <v>0</v>
      </c>
      <c r="O476" t="n">
        <v>0</v>
      </c>
      <c r="P476" t="n">
        <v>0</v>
      </c>
      <c r="Q476" t="n">
        <v>0</v>
      </c>
      <c r="R476" s="2" t="inlineStr"/>
    </row>
    <row r="477" ht="15" customHeight="1">
      <c r="A477" t="inlineStr">
        <is>
          <t>A 36273-2025</t>
        </is>
      </c>
      <c r="B477" s="1" t="n">
        <v>45867.63094907408</v>
      </c>
      <c r="C477" s="1" t="n">
        <v>45990</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36282-2025</t>
        </is>
      </c>
      <c r="B478" s="1" t="n">
        <v>45867.64663194444</v>
      </c>
      <c r="C478" s="1" t="n">
        <v>45990</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45319-2025</t>
        </is>
      </c>
      <c r="B479" s="1" t="n">
        <v>45921.95611111111</v>
      </c>
      <c r="C479" s="1" t="n">
        <v>45990</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36246-2025</t>
        </is>
      </c>
      <c r="B480" s="1" t="n">
        <v>45867.56320601852</v>
      </c>
      <c r="C480" s="1" t="n">
        <v>45990</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12588-2025</t>
        </is>
      </c>
      <c r="B481" s="1" t="n">
        <v>45732.76936342593</v>
      </c>
      <c r="C481" s="1" t="n">
        <v>45990</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36297-2025</t>
        </is>
      </c>
      <c r="B482" s="1" t="n">
        <v>45867.68625</v>
      </c>
      <c r="C482" s="1" t="n">
        <v>45990</v>
      </c>
      <c r="D482" t="inlineStr">
        <is>
          <t>KALMAR LÄN</t>
        </is>
      </c>
      <c r="E482" t="inlineStr">
        <is>
          <t>VIMMERBY</t>
        </is>
      </c>
      <c r="G482" t="n">
        <v>4.9</v>
      </c>
      <c r="H482" t="n">
        <v>0</v>
      </c>
      <c r="I482" t="n">
        <v>0</v>
      </c>
      <c r="J482" t="n">
        <v>0</v>
      </c>
      <c r="K482" t="n">
        <v>0</v>
      </c>
      <c r="L482" t="n">
        <v>0</v>
      </c>
      <c r="M482" t="n">
        <v>0</v>
      </c>
      <c r="N482" t="n">
        <v>0</v>
      </c>
      <c r="O482" t="n">
        <v>0</v>
      </c>
      <c r="P482" t="n">
        <v>0</v>
      </c>
      <c r="Q482" t="n">
        <v>0</v>
      </c>
      <c r="R482" s="2" t="inlineStr"/>
    </row>
    <row r="483" ht="15" customHeight="1">
      <c r="A483" t="inlineStr">
        <is>
          <t>A 7932-2025</t>
        </is>
      </c>
      <c r="B483" s="1" t="n">
        <v>45707.3793287037</v>
      </c>
      <c r="C483" s="1" t="n">
        <v>45990</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36221-2025</t>
        </is>
      </c>
      <c r="B484" s="1" t="n">
        <v>45867.50792824074</v>
      </c>
      <c r="C484" s="1" t="n">
        <v>45990</v>
      </c>
      <c r="D484" t="inlineStr">
        <is>
          <t>KALMAR LÄN</t>
        </is>
      </c>
      <c r="E484" t="inlineStr">
        <is>
          <t>VIMMERBY</t>
        </is>
      </c>
      <c r="G484" t="n">
        <v>2.5</v>
      </c>
      <c r="H484" t="n">
        <v>0</v>
      </c>
      <c r="I484" t="n">
        <v>0</v>
      </c>
      <c r="J484" t="n">
        <v>0</v>
      </c>
      <c r="K484" t="n">
        <v>0</v>
      </c>
      <c r="L484" t="n">
        <v>0</v>
      </c>
      <c r="M484" t="n">
        <v>0</v>
      </c>
      <c r="N484" t="n">
        <v>0</v>
      </c>
      <c r="O484" t="n">
        <v>0</v>
      </c>
      <c r="P484" t="n">
        <v>0</v>
      </c>
      <c r="Q484" t="n">
        <v>0</v>
      </c>
      <c r="R484" s="2" t="inlineStr"/>
    </row>
    <row r="485" ht="15" customHeight="1">
      <c r="A485" t="inlineStr">
        <is>
          <t>A 19502-2025</t>
        </is>
      </c>
      <c r="B485" s="1" t="n">
        <v>45769</v>
      </c>
      <c r="C485" s="1" t="n">
        <v>45990</v>
      </c>
      <c r="D485" t="inlineStr">
        <is>
          <t>KALMAR LÄN</t>
        </is>
      </c>
      <c r="E485" t="inlineStr">
        <is>
          <t>VIMMERBY</t>
        </is>
      </c>
      <c r="G485" t="n">
        <v>1.9</v>
      </c>
      <c r="H485" t="n">
        <v>0</v>
      </c>
      <c r="I485" t="n">
        <v>0</v>
      </c>
      <c r="J485" t="n">
        <v>0</v>
      </c>
      <c r="K485" t="n">
        <v>0</v>
      </c>
      <c r="L485" t="n">
        <v>0</v>
      </c>
      <c r="M485" t="n">
        <v>0</v>
      </c>
      <c r="N485" t="n">
        <v>0</v>
      </c>
      <c r="O485" t="n">
        <v>0</v>
      </c>
      <c r="P485" t="n">
        <v>0</v>
      </c>
      <c r="Q485" t="n">
        <v>0</v>
      </c>
      <c r="R485" s="2" t="inlineStr"/>
    </row>
    <row r="486" ht="15" customHeight="1">
      <c r="A486" t="inlineStr">
        <is>
          <t>A 54236-2025</t>
        </is>
      </c>
      <c r="B486" s="1" t="n">
        <v>45964.62671296296</v>
      </c>
      <c r="C486" s="1" t="n">
        <v>45990</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36299-2025</t>
        </is>
      </c>
      <c r="B487" s="1" t="n">
        <v>45867.69346064814</v>
      </c>
      <c r="C487" s="1" t="n">
        <v>45990</v>
      </c>
      <c r="D487" t="inlineStr">
        <is>
          <t>KALMAR LÄN</t>
        </is>
      </c>
      <c r="E487" t="inlineStr">
        <is>
          <t>VIMMERBY</t>
        </is>
      </c>
      <c r="G487" t="n">
        <v>7.6</v>
      </c>
      <c r="H487" t="n">
        <v>0</v>
      </c>
      <c r="I487" t="n">
        <v>0</v>
      </c>
      <c r="J487" t="n">
        <v>0</v>
      </c>
      <c r="K487" t="n">
        <v>0</v>
      </c>
      <c r="L487" t="n">
        <v>0</v>
      </c>
      <c r="M487" t="n">
        <v>0</v>
      </c>
      <c r="N487" t="n">
        <v>0</v>
      </c>
      <c r="O487" t="n">
        <v>0</v>
      </c>
      <c r="P487" t="n">
        <v>0</v>
      </c>
      <c r="Q487" t="n">
        <v>0</v>
      </c>
      <c r="R487" s="2" t="inlineStr"/>
    </row>
    <row r="488" ht="15" customHeight="1">
      <c r="A488" t="inlineStr">
        <is>
          <t>A 45320-2025</t>
        </is>
      </c>
      <c r="B488" s="1" t="n">
        <v>45921.96395833333</v>
      </c>
      <c r="C488" s="1" t="n">
        <v>45990</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36538-2025</t>
        </is>
      </c>
      <c r="B489" s="1" t="n">
        <v>45869.62276620371</v>
      </c>
      <c r="C489" s="1" t="n">
        <v>45990</v>
      </c>
      <c r="D489" t="inlineStr">
        <is>
          <t>KALMAR LÄN</t>
        </is>
      </c>
      <c r="E489" t="inlineStr">
        <is>
          <t>VIMMERBY</t>
        </is>
      </c>
      <c r="G489" t="n">
        <v>2.6</v>
      </c>
      <c r="H489" t="n">
        <v>0</v>
      </c>
      <c r="I489" t="n">
        <v>0</v>
      </c>
      <c r="J489" t="n">
        <v>0</v>
      </c>
      <c r="K489" t="n">
        <v>0</v>
      </c>
      <c r="L489" t="n">
        <v>0</v>
      </c>
      <c r="M489" t="n">
        <v>0</v>
      </c>
      <c r="N489" t="n">
        <v>0</v>
      </c>
      <c r="O489" t="n">
        <v>0</v>
      </c>
      <c r="P489" t="n">
        <v>0</v>
      </c>
      <c r="Q489" t="n">
        <v>0</v>
      </c>
      <c r="R489" s="2" t="inlineStr"/>
    </row>
    <row r="490" ht="15" customHeight="1">
      <c r="A490" t="inlineStr">
        <is>
          <t>A 2121-2022</t>
        </is>
      </c>
      <c r="B490" s="1" t="n">
        <v>44578.32717592592</v>
      </c>
      <c r="C490" s="1" t="n">
        <v>45990</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45990</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6069-2023</t>
        </is>
      </c>
      <c r="B492" s="1" t="n">
        <v>44964.5115162037</v>
      </c>
      <c r="C492" s="1" t="n">
        <v>45990</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36598-2025</t>
        </is>
      </c>
      <c r="B493" s="1" t="n">
        <v>45870.51708333333</v>
      </c>
      <c r="C493" s="1" t="n">
        <v>45990</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36602-2025</t>
        </is>
      </c>
      <c r="B494" s="1" t="n">
        <v>45870.52111111111</v>
      </c>
      <c r="C494" s="1" t="n">
        <v>45990</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54234-2025</t>
        </is>
      </c>
      <c r="B495" s="1" t="n">
        <v>45964.62486111111</v>
      </c>
      <c r="C495" s="1" t="n">
        <v>45990</v>
      </c>
      <c r="D495" t="inlineStr">
        <is>
          <t>KALMAR LÄN</t>
        </is>
      </c>
      <c r="E495" t="inlineStr">
        <is>
          <t>VIMMERBY</t>
        </is>
      </c>
      <c r="G495" t="n">
        <v>4.1</v>
      </c>
      <c r="H495" t="n">
        <v>0</v>
      </c>
      <c r="I495" t="n">
        <v>0</v>
      </c>
      <c r="J495" t="n">
        <v>0</v>
      </c>
      <c r="K495" t="n">
        <v>0</v>
      </c>
      <c r="L495" t="n">
        <v>0</v>
      </c>
      <c r="M495" t="n">
        <v>0</v>
      </c>
      <c r="N495" t="n">
        <v>0</v>
      </c>
      <c r="O495" t="n">
        <v>0</v>
      </c>
      <c r="P495" t="n">
        <v>0</v>
      </c>
      <c r="Q495" t="n">
        <v>0</v>
      </c>
      <c r="R495" s="2" t="inlineStr"/>
    </row>
    <row r="496" ht="15" customHeight="1">
      <c r="A496" t="inlineStr">
        <is>
          <t>A 53786-2025</t>
        </is>
      </c>
      <c r="B496" s="1" t="n">
        <v>45960</v>
      </c>
      <c r="C496" s="1" t="n">
        <v>45990</v>
      </c>
      <c r="D496" t="inlineStr">
        <is>
          <t>KALMAR LÄN</t>
        </is>
      </c>
      <c r="E496" t="inlineStr">
        <is>
          <t>VIMMERBY</t>
        </is>
      </c>
      <c r="F496" t="inlineStr">
        <is>
          <t>Övriga statliga verk och myndigheter</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46118-2025</t>
        </is>
      </c>
      <c r="B497" s="1" t="n">
        <v>45924.57697916667</v>
      </c>
      <c r="C497" s="1" t="n">
        <v>45990</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32633-2023</t>
        </is>
      </c>
      <c r="B498" s="1" t="n">
        <v>45121.58699074074</v>
      </c>
      <c r="C498" s="1" t="n">
        <v>45990</v>
      </c>
      <c r="D498" t="inlineStr">
        <is>
          <t>KALMAR LÄN</t>
        </is>
      </c>
      <c r="E498" t="inlineStr">
        <is>
          <t>VIMMERBY</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36603-2025</t>
        </is>
      </c>
      <c r="B499" s="1" t="n">
        <v>45870.52142361111</v>
      </c>
      <c r="C499" s="1" t="n">
        <v>45990</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46365-2025</t>
        </is>
      </c>
      <c r="B500" s="1" t="n">
        <v>45925.50075231482</v>
      </c>
      <c r="C500" s="1" t="n">
        <v>45990</v>
      </c>
      <c r="D500" t="inlineStr">
        <is>
          <t>KALMAR LÄN</t>
        </is>
      </c>
      <c r="E500" t="inlineStr">
        <is>
          <t>VIMMERBY</t>
        </is>
      </c>
      <c r="G500" t="n">
        <v>5.6</v>
      </c>
      <c r="H500" t="n">
        <v>0</v>
      </c>
      <c r="I500" t="n">
        <v>0</v>
      </c>
      <c r="J500" t="n">
        <v>0</v>
      </c>
      <c r="K500" t="n">
        <v>0</v>
      </c>
      <c r="L500" t="n">
        <v>0</v>
      </c>
      <c r="M500" t="n">
        <v>0</v>
      </c>
      <c r="N500" t="n">
        <v>0</v>
      </c>
      <c r="O500" t="n">
        <v>0</v>
      </c>
      <c r="P500" t="n">
        <v>0</v>
      </c>
      <c r="Q500" t="n">
        <v>0</v>
      </c>
      <c r="R500" s="2" t="inlineStr"/>
    </row>
    <row r="501" ht="15" customHeight="1">
      <c r="A501" t="inlineStr">
        <is>
          <t>A 54737-2025</t>
        </is>
      </c>
      <c r="B501" s="1" t="n">
        <v>45966.56826388889</v>
      </c>
      <c r="C501" s="1" t="n">
        <v>45990</v>
      </c>
      <c r="D501" t="inlineStr">
        <is>
          <t>KALMAR LÄN</t>
        </is>
      </c>
      <c r="E501" t="inlineStr">
        <is>
          <t>VIMMERBY</t>
        </is>
      </c>
      <c r="G501" t="n">
        <v>2.1</v>
      </c>
      <c r="H501" t="n">
        <v>0</v>
      </c>
      <c r="I501" t="n">
        <v>0</v>
      </c>
      <c r="J501" t="n">
        <v>0</v>
      </c>
      <c r="K501" t="n">
        <v>0</v>
      </c>
      <c r="L501" t="n">
        <v>0</v>
      </c>
      <c r="M501" t="n">
        <v>0</v>
      </c>
      <c r="N501" t="n">
        <v>0</v>
      </c>
      <c r="O501" t="n">
        <v>0</v>
      </c>
      <c r="P501" t="n">
        <v>0</v>
      </c>
      <c r="Q501" t="n">
        <v>0</v>
      </c>
      <c r="R501" s="2" t="inlineStr"/>
    </row>
    <row r="502" ht="15" customHeight="1">
      <c r="A502" t="inlineStr">
        <is>
          <t>A 36600-2025</t>
        </is>
      </c>
      <c r="B502" s="1" t="n">
        <v>45870.51958333333</v>
      </c>
      <c r="C502" s="1" t="n">
        <v>45990</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36601-2025</t>
        </is>
      </c>
      <c r="B503" s="1" t="n">
        <v>45870.52005787037</v>
      </c>
      <c r="C503" s="1" t="n">
        <v>45990</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49461-2023</t>
        </is>
      </c>
      <c r="B504" s="1" t="n">
        <v>45211.52642361111</v>
      </c>
      <c r="C504" s="1" t="n">
        <v>45990</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23095-2023</t>
        </is>
      </c>
      <c r="B505" s="1" t="n">
        <v>45075.43059027778</v>
      </c>
      <c r="C505" s="1" t="n">
        <v>45990</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11429-2022</t>
        </is>
      </c>
      <c r="B506" s="1" t="n">
        <v>44630</v>
      </c>
      <c r="C506" s="1" t="n">
        <v>45990</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46361-2025</t>
        </is>
      </c>
      <c r="B507" s="1" t="n">
        <v>45925.49670138889</v>
      </c>
      <c r="C507" s="1" t="n">
        <v>45990</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37088-2025</t>
        </is>
      </c>
      <c r="B508" s="1" t="n">
        <v>45875.45716435185</v>
      </c>
      <c r="C508" s="1" t="n">
        <v>45990</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37102-2025</t>
        </is>
      </c>
      <c r="B509" s="1" t="n">
        <v>45875.47454861111</v>
      </c>
      <c r="C509" s="1" t="n">
        <v>45990</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11141-2024</t>
        </is>
      </c>
      <c r="B510" s="1" t="n">
        <v>45371.45865740741</v>
      </c>
      <c r="C510" s="1" t="n">
        <v>45990</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28395-2023</t>
        </is>
      </c>
      <c r="B511" s="1" t="n">
        <v>45100.4062962963</v>
      </c>
      <c r="C511" s="1" t="n">
        <v>45990</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37079-2025</t>
        </is>
      </c>
      <c r="B512" s="1" t="n">
        <v>45875.42716435185</v>
      </c>
      <c r="C512" s="1" t="n">
        <v>45990</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34597-2022</t>
        </is>
      </c>
      <c r="B513" s="1" t="n">
        <v>44795</v>
      </c>
      <c r="C513" s="1" t="n">
        <v>45990</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36934-2025</t>
        </is>
      </c>
      <c r="B514" s="1" t="n">
        <v>45874.57109953704</v>
      </c>
      <c r="C514" s="1" t="n">
        <v>45990</v>
      </c>
      <c r="D514" t="inlineStr">
        <is>
          <t>KALMAR LÄN</t>
        </is>
      </c>
      <c r="E514" t="inlineStr">
        <is>
          <t>VIMMERBY</t>
        </is>
      </c>
      <c r="G514" t="n">
        <v>4.2</v>
      </c>
      <c r="H514" t="n">
        <v>0</v>
      </c>
      <c r="I514" t="n">
        <v>0</v>
      </c>
      <c r="J514" t="n">
        <v>0</v>
      </c>
      <c r="K514" t="n">
        <v>0</v>
      </c>
      <c r="L514" t="n">
        <v>0</v>
      </c>
      <c r="M514" t="n">
        <v>0</v>
      </c>
      <c r="N514" t="n">
        <v>0</v>
      </c>
      <c r="O514" t="n">
        <v>0</v>
      </c>
      <c r="P514" t="n">
        <v>0</v>
      </c>
      <c r="Q514" t="n">
        <v>0</v>
      </c>
      <c r="R514" s="2" t="inlineStr"/>
    </row>
    <row r="515" ht="15" customHeight="1">
      <c r="A515" t="inlineStr">
        <is>
          <t>A 53788-2025</t>
        </is>
      </c>
      <c r="B515" s="1" t="n">
        <v>45960</v>
      </c>
      <c r="C515" s="1" t="n">
        <v>45990</v>
      </c>
      <c r="D515" t="inlineStr">
        <is>
          <t>KALMAR LÄN</t>
        </is>
      </c>
      <c r="E515" t="inlineStr">
        <is>
          <t>VIMMERBY</t>
        </is>
      </c>
      <c r="F515" t="inlineStr">
        <is>
          <t>Övriga statliga verk och myndigheter</t>
        </is>
      </c>
      <c r="G515" t="n">
        <v>6.3</v>
      </c>
      <c r="H515" t="n">
        <v>0</v>
      </c>
      <c r="I515" t="n">
        <v>0</v>
      </c>
      <c r="J515" t="n">
        <v>0</v>
      </c>
      <c r="K515" t="n">
        <v>0</v>
      </c>
      <c r="L515" t="n">
        <v>0</v>
      </c>
      <c r="M515" t="n">
        <v>0</v>
      </c>
      <c r="N515" t="n">
        <v>0</v>
      </c>
      <c r="O515" t="n">
        <v>0</v>
      </c>
      <c r="P515" t="n">
        <v>0</v>
      </c>
      <c r="Q515" t="n">
        <v>0</v>
      </c>
      <c r="R515" s="2" t="inlineStr"/>
    </row>
    <row r="516" ht="15" customHeight="1">
      <c r="A516" t="inlineStr">
        <is>
          <t>A 64428-2023</t>
        </is>
      </c>
      <c r="B516" s="1" t="n">
        <v>45280.66769675926</v>
      </c>
      <c r="C516" s="1" t="n">
        <v>45990</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30588-2023</t>
        </is>
      </c>
      <c r="B517" s="1" t="n">
        <v>45112.33599537037</v>
      </c>
      <c r="C517" s="1" t="n">
        <v>45990</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30503-2023</t>
        </is>
      </c>
      <c r="B518" s="1" t="n">
        <v>45111</v>
      </c>
      <c r="C518" s="1" t="n">
        <v>45990</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54813-2025</t>
        </is>
      </c>
      <c r="B519" s="1" t="n">
        <v>45966.64881944445</v>
      </c>
      <c r="C519" s="1" t="n">
        <v>45990</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46887-2025</t>
        </is>
      </c>
      <c r="B520" s="1" t="n">
        <v>45929.3672337963</v>
      </c>
      <c r="C520" s="1" t="n">
        <v>45990</v>
      </c>
      <c r="D520" t="inlineStr">
        <is>
          <t>KALMAR LÄN</t>
        </is>
      </c>
      <c r="E520" t="inlineStr">
        <is>
          <t>VIMMERBY</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45856-2025</t>
        </is>
      </c>
      <c r="B521" s="1" t="n">
        <v>45923</v>
      </c>
      <c r="C521" s="1" t="n">
        <v>45990</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37578-2025</t>
        </is>
      </c>
      <c r="B522" s="1" t="n">
        <v>45880.38380787037</v>
      </c>
      <c r="C522" s="1" t="n">
        <v>45990</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47263-2023</t>
        </is>
      </c>
      <c r="B523" s="1" t="n">
        <v>45202.4209837963</v>
      </c>
      <c r="C523" s="1" t="n">
        <v>45990</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58100-2024</t>
        </is>
      </c>
      <c r="B524" s="1" t="n">
        <v>45632.36706018518</v>
      </c>
      <c r="C524" s="1" t="n">
        <v>45990</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58159-2024</t>
        </is>
      </c>
      <c r="B525" s="1" t="n">
        <v>45632.44886574074</v>
      </c>
      <c r="C525" s="1" t="n">
        <v>45990</v>
      </c>
      <c r="D525" t="inlineStr">
        <is>
          <t>KALMAR LÄN</t>
        </is>
      </c>
      <c r="E525" t="inlineStr">
        <is>
          <t>VIMMERBY</t>
        </is>
      </c>
      <c r="G525" t="n">
        <v>7.5</v>
      </c>
      <c r="H525" t="n">
        <v>0</v>
      </c>
      <c r="I525" t="n">
        <v>0</v>
      </c>
      <c r="J525" t="n">
        <v>0</v>
      </c>
      <c r="K525" t="n">
        <v>0</v>
      </c>
      <c r="L525" t="n">
        <v>0</v>
      </c>
      <c r="M525" t="n">
        <v>0</v>
      </c>
      <c r="N525" t="n">
        <v>0</v>
      </c>
      <c r="O525" t="n">
        <v>0</v>
      </c>
      <c r="P525" t="n">
        <v>0</v>
      </c>
      <c r="Q525" t="n">
        <v>0</v>
      </c>
      <c r="R525" s="2" t="inlineStr"/>
    </row>
    <row r="526" ht="15" customHeight="1">
      <c r="A526" t="inlineStr">
        <is>
          <t>A 57114-2023</t>
        </is>
      </c>
      <c r="B526" s="1" t="n">
        <v>45245.36174768519</v>
      </c>
      <c r="C526" s="1" t="n">
        <v>45990</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3423-2022</t>
        </is>
      </c>
      <c r="B527" s="1" t="n">
        <v>44585.50431712963</v>
      </c>
      <c r="C527" s="1" t="n">
        <v>45990</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37668-2025</t>
        </is>
      </c>
      <c r="B528" s="1" t="n">
        <v>45880.51550925926</v>
      </c>
      <c r="C528" s="1" t="n">
        <v>45990</v>
      </c>
      <c r="D528" t="inlineStr">
        <is>
          <t>KALMAR LÄN</t>
        </is>
      </c>
      <c r="E528" t="inlineStr">
        <is>
          <t>VIMMERBY</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37939-2025</t>
        </is>
      </c>
      <c r="B529" s="1" t="n">
        <v>45881.59877314815</v>
      </c>
      <c r="C529" s="1" t="n">
        <v>45990</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40665-2023</t>
        </is>
      </c>
      <c r="B530" s="1" t="n">
        <v>45170</v>
      </c>
      <c r="C530" s="1" t="n">
        <v>45990</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37866-2025</t>
        </is>
      </c>
      <c r="B531" s="1" t="n">
        <v>45881</v>
      </c>
      <c r="C531" s="1" t="n">
        <v>45990</v>
      </c>
      <c r="D531" t="inlineStr">
        <is>
          <t>KALMAR LÄN</t>
        </is>
      </c>
      <c r="E531" t="inlineStr">
        <is>
          <t>VIMMERBY</t>
        </is>
      </c>
      <c r="G531" t="n">
        <v>3.4</v>
      </c>
      <c r="H531" t="n">
        <v>0</v>
      </c>
      <c r="I531" t="n">
        <v>0</v>
      </c>
      <c r="J531" t="n">
        <v>0</v>
      </c>
      <c r="K531" t="n">
        <v>0</v>
      </c>
      <c r="L531" t="n">
        <v>0</v>
      </c>
      <c r="M531" t="n">
        <v>0</v>
      </c>
      <c r="N531" t="n">
        <v>0</v>
      </c>
      <c r="O531" t="n">
        <v>0</v>
      </c>
      <c r="P531" t="n">
        <v>0</v>
      </c>
      <c r="Q531" t="n">
        <v>0</v>
      </c>
      <c r="R531" s="2" t="inlineStr"/>
    </row>
    <row r="532" ht="15" customHeight="1">
      <c r="A532" t="inlineStr">
        <is>
          <t>A 45854-2025</t>
        </is>
      </c>
      <c r="B532" s="1" t="n">
        <v>45923</v>
      </c>
      <c r="C532" s="1" t="n">
        <v>45990</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45855-2025</t>
        </is>
      </c>
      <c r="B533" s="1" t="n">
        <v>45923</v>
      </c>
      <c r="C533" s="1" t="n">
        <v>45990</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50860-2022</t>
        </is>
      </c>
      <c r="B534" s="1" t="n">
        <v>44867</v>
      </c>
      <c r="C534" s="1" t="n">
        <v>45990</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55384-2025</t>
        </is>
      </c>
      <c r="B535" s="1" t="n">
        <v>45971.43178240741</v>
      </c>
      <c r="C535" s="1" t="n">
        <v>45990</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55385-2025</t>
        </is>
      </c>
      <c r="B536" s="1" t="n">
        <v>45971.43350694444</v>
      </c>
      <c r="C536" s="1" t="n">
        <v>45990</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25370-2022</t>
        </is>
      </c>
      <c r="B537" s="1" t="n">
        <v>44732.3659837963</v>
      </c>
      <c r="C537" s="1" t="n">
        <v>45990</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58577-2024</t>
        </is>
      </c>
      <c r="B538" s="1" t="n">
        <v>45635.4874537037</v>
      </c>
      <c r="C538" s="1" t="n">
        <v>45990</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38964-2025</t>
        </is>
      </c>
      <c r="B539" s="1" t="n">
        <v>45887.68759259259</v>
      </c>
      <c r="C539" s="1" t="n">
        <v>45990</v>
      </c>
      <c r="D539" t="inlineStr">
        <is>
          <t>KALMAR LÄN</t>
        </is>
      </c>
      <c r="E539" t="inlineStr">
        <is>
          <t>VIMMERBY</t>
        </is>
      </c>
      <c r="G539" t="n">
        <v>7.5</v>
      </c>
      <c r="H539" t="n">
        <v>0</v>
      </c>
      <c r="I539" t="n">
        <v>0</v>
      </c>
      <c r="J539" t="n">
        <v>0</v>
      </c>
      <c r="K539" t="n">
        <v>0</v>
      </c>
      <c r="L539" t="n">
        <v>0</v>
      </c>
      <c r="M539" t="n">
        <v>0</v>
      </c>
      <c r="N539" t="n">
        <v>0</v>
      </c>
      <c r="O539" t="n">
        <v>0</v>
      </c>
      <c r="P539" t="n">
        <v>0</v>
      </c>
      <c r="Q539" t="n">
        <v>0</v>
      </c>
      <c r="R539" s="2" t="inlineStr"/>
    </row>
    <row r="540" ht="15" customHeight="1">
      <c r="A540" t="inlineStr">
        <is>
          <t>A 29440-2024</t>
        </is>
      </c>
      <c r="B540" s="1" t="n">
        <v>45483.82479166667</v>
      </c>
      <c r="C540" s="1" t="n">
        <v>45990</v>
      </c>
      <c r="D540" t="inlineStr">
        <is>
          <t>KALMAR LÄN</t>
        </is>
      </c>
      <c r="E540" t="inlineStr">
        <is>
          <t>VIMMERBY</t>
        </is>
      </c>
      <c r="G540" t="n">
        <v>4.5</v>
      </c>
      <c r="H540" t="n">
        <v>0</v>
      </c>
      <c r="I540" t="n">
        <v>0</v>
      </c>
      <c r="J540" t="n">
        <v>0</v>
      </c>
      <c r="K540" t="n">
        <v>0</v>
      </c>
      <c r="L540" t="n">
        <v>0</v>
      </c>
      <c r="M540" t="n">
        <v>0</v>
      </c>
      <c r="N540" t="n">
        <v>0</v>
      </c>
      <c r="O540" t="n">
        <v>0</v>
      </c>
      <c r="P540" t="n">
        <v>0</v>
      </c>
      <c r="Q540" t="n">
        <v>0</v>
      </c>
      <c r="R540" s="2" t="inlineStr"/>
    </row>
    <row r="541" ht="15" customHeight="1">
      <c r="A541" t="inlineStr">
        <is>
          <t>A 55604-2025</t>
        </is>
      </c>
      <c r="B541" s="1" t="n">
        <v>45971</v>
      </c>
      <c r="C541" s="1" t="n">
        <v>45990</v>
      </c>
      <c r="D541" t="inlineStr">
        <is>
          <t>KALMAR LÄN</t>
        </is>
      </c>
      <c r="E541" t="inlineStr">
        <is>
          <t>VIMMERBY</t>
        </is>
      </c>
      <c r="G541" t="n">
        <v>4.4</v>
      </c>
      <c r="H541" t="n">
        <v>0</v>
      </c>
      <c r="I541" t="n">
        <v>0</v>
      </c>
      <c r="J541" t="n">
        <v>0</v>
      </c>
      <c r="K541" t="n">
        <v>0</v>
      </c>
      <c r="L541" t="n">
        <v>0</v>
      </c>
      <c r="M541" t="n">
        <v>0</v>
      </c>
      <c r="N541" t="n">
        <v>0</v>
      </c>
      <c r="O541" t="n">
        <v>0</v>
      </c>
      <c r="P541" t="n">
        <v>0</v>
      </c>
      <c r="Q541" t="n">
        <v>0</v>
      </c>
      <c r="R541" s="2" t="inlineStr"/>
    </row>
    <row r="542" ht="15" customHeight="1">
      <c r="A542" t="inlineStr">
        <is>
          <t>A 55602-2025</t>
        </is>
      </c>
      <c r="B542" s="1" t="n">
        <v>45971</v>
      </c>
      <c r="C542" s="1" t="n">
        <v>45990</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47227-2025</t>
        </is>
      </c>
      <c r="B543" s="1" t="n">
        <v>45930.39769675926</v>
      </c>
      <c r="C543" s="1" t="n">
        <v>45990</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9129-2025</t>
        </is>
      </c>
      <c r="B544" s="1" t="n">
        <v>45713.92412037037</v>
      </c>
      <c r="C544" s="1" t="n">
        <v>45990</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22197-2024</t>
        </is>
      </c>
      <c r="B545" s="1" t="n">
        <v>45446.36774305555</v>
      </c>
      <c r="C545" s="1" t="n">
        <v>45990</v>
      </c>
      <c r="D545" t="inlineStr">
        <is>
          <t>KALMAR LÄN</t>
        </is>
      </c>
      <c r="E545" t="inlineStr">
        <is>
          <t>VIMMERBY</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53752-2024</t>
        </is>
      </c>
      <c r="B546" s="1" t="n">
        <v>45615.48927083334</v>
      </c>
      <c r="C546" s="1" t="n">
        <v>45990</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12121-2025</t>
        </is>
      </c>
      <c r="B547" s="1" t="n">
        <v>45729.36868055556</v>
      </c>
      <c r="C547" s="1" t="n">
        <v>45990</v>
      </c>
      <c r="D547" t="inlineStr">
        <is>
          <t>KALMAR LÄN</t>
        </is>
      </c>
      <c r="E547" t="inlineStr">
        <is>
          <t>VIMMERBY</t>
        </is>
      </c>
      <c r="G547" t="n">
        <v>4.3</v>
      </c>
      <c r="H547" t="n">
        <v>0</v>
      </c>
      <c r="I547" t="n">
        <v>0</v>
      </c>
      <c r="J547" t="n">
        <v>0</v>
      </c>
      <c r="K547" t="n">
        <v>0</v>
      </c>
      <c r="L547" t="n">
        <v>0</v>
      </c>
      <c r="M547" t="n">
        <v>0</v>
      </c>
      <c r="N547" t="n">
        <v>0</v>
      </c>
      <c r="O547" t="n">
        <v>0</v>
      </c>
      <c r="P547" t="n">
        <v>0</v>
      </c>
      <c r="Q547" t="n">
        <v>0</v>
      </c>
      <c r="R547" s="2" t="inlineStr"/>
    </row>
    <row r="548" ht="15" customHeight="1">
      <c r="A548" t="inlineStr">
        <is>
          <t>A 9710-2023</t>
        </is>
      </c>
      <c r="B548" s="1" t="n">
        <v>44984</v>
      </c>
      <c r="C548" s="1" t="n">
        <v>45990</v>
      </c>
      <c r="D548" t="inlineStr">
        <is>
          <t>KALMAR LÄN</t>
        </is>
      </c>
      <c r="E548" t="inlineStr">
        <is>
          <t>VIMMERBY</t>
        </is>
      </c>
      <c r="G548" t="n">
        <v>3.7</v>
      </c>
      <c r="H548" t="n">
        <v>0</v>
      </c>
      <c r="I548" t="n">
        <v>0</v>
      </c>
      <c r="J548" t="n">
        <v>0</v>
      </c>
      <c r="K548" t="n">
        <v>0</v>
      </c>
      <c r="L548" t="n">
        <v>0</v>
      </c>
      <c r="M548" t="n">
        <v>0</v>
      </c>
      <c r="N548" t="n">
        <v>0</v>
      </c>
      <c r="O548" t="n">
        <v>0</v>
      </c>
      <c r="P548" t="n">
        <v>0</v>
      </c>
      <c r="Q548" t="n">
        <v>0</v>
      </c>
      <c r="R548" s="2" t="inlineStr"/>
    </row>
    <row r="549" ht="15" customHeight="1">
      <c r="A549" t="inlineStr">
        <is>
          <t>A 9720-2023</t>
        </is>
      </c>
      <c r="B549" s="1" t="n">
        <v>44984</v>
      </c>
      <c r="C549" s="1" t="n">
        <v>45990</v>
      </c>
      <c r="D549" t="inlineStr">
        <is>
          <t>KALMAR LÄN</t>
        </is>
      </c>
      <c r="E549" t="inlineStr">
        <is>
          <t>VIMMERBY</t>
        </is>
      </c>
      <c r="G549" t="n">
        <v>4.4</v>
      </c>
      <c r="H549" t="n">
        <v>0</v>
      </c>
      <c r="I549" t="n">
        <v>0</v>
      </c>
      <c r="J549" t="n">
        <v>0</v>
      </c>
      <c r="K549" t="n">
        <v>0</v>
      </c>
      <c r="L549" t="n">
        <v>0</v>
      </c>
      <c r="M549" t="n">
        <v>0</v>
      </c>
      <c r="N549" t="n">
        <v>0</v>
      </c>
      <c r="O549" t="n">
        <v>0</v>
      </c>
      <c r="P549" t="n">
        <v>0</v>
      </c>
      <c r="Q549" t="n">
        <v>0</v>
      </c>
      <c r="R549" s="2" t="inlineStr"/>
    </row>
    <row r="550" ht="15" customHeight="1">
      <c r="A550" t="inlineStr">
        <is>
          <t>A 55603-2025</t>
        </is>
      </c>
      <c r="B550" s="1" t="n">
        <v>45971</v>
      </c>
      <c r="C550" s="1" t="n">
        <v>45990</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55605-2025</t>
        </is>
      </c>
      <c r="B551" s="1" t="n">
        <v>45971</v>
      </c>
      <c r="C551" s="1" t="n">
        <v>45990</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15493-2023</t>
        </is>
      </c>
      <c r="B552" s="1" t="n">
        <v>45018</v>
      </c>
      <c r="C552" s="1" t="n">
        <v>45990</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48299-2025</t>
        </is>
      </c>
      <c r="B553" s="1" t="n">
        <v>45933.60982638889</v>
      </c>
      <c r="C553" s="1" t="n">
        <v>45990</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29093-2023</t>
        </is>
      </c>
      <c r="B554" s="1" t="n">
        <v>45105</v>
      </c>
      <c r="C554" s="1" t="n">
        <v>45990</v>
      </c>
      <c r="D554" t="inlineStr">
        <is>
          <t>KALMAR LÄN</t>
        </is>
      </c>
      <c r="E554" t="inlineStr">
        <is>
          <t>VIMMERBY</t>
        </is>
      </c>
      <c r="G554" t="n">
        <v>2.9</v>
      </c>
      <c r="H554" t="n">
        <v>0</v>
      </c>
      <c r="I554" t="n">
        <v>0</v>
      </c>
      <c r="J554" t="n">
        <v>0</v>
      </c>
      <c r="K554" t="n">
        <v>0</v>
      </c>
      <c r="L554" t="n">
        <v>0</v>
      </c>
      <c r="M554" t="n">
        <v>0</v>
      </c>
      <c r="N554" t="n">
        <v>0</v>
      </c>
      <c r="O554" t="n">
        <v>0</v>
      </c>
      <c r="P554" t="n">
        <v>0</v>
      </c>
      <c r="Q554" t="n">
        <v>0</v>
      </c>
      <c r="R554" s="2" t="inlineStr"/>
    </row>
    <row r="555" ht="15" customHeight="1">
      <c r="A555" t="inlineStr">
        <is>
          <t>A 33352-2022</t>
        </is>
      </c>
      <c r="B555" s="1" t="n">
        <v>44788</v>
      </c>
      <c r="C555" s="1" t="n">
        <v>45990</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47965-2025</t>
        </is>
      </c>
      <c r="B556" s="1" t="n">
        <v>45932.59597222223</v>
      </c>
      <c r="C556" s="1" t="n">
        <v>45990</v>
      </c>
      <c r="D556" t="inlineStr">
        <is>
          <t>KALMAR LÄN</t>
        </is>
      </c>
      <c r="E556" t="inlineStr">
        <is>
          <t>VIMMERBY</t>
        </is>
      </c>
      <c r="G556" t="n">
        <v>2.2</v>
      </c>
      <c r="H556" t="n">
        <v>0</v>
      </c>
      <c r="I556" t="n">
        <v>0</v>
      </c>
      <c r="J556" t="n">
        <v>0</v>
      </c>
      <c r="K556" t="n">
        <v>0</v>
      </c>
      <c r="L556" t="n">
        <v>0</v>
      </c>
      <c r="M556" t="n">
        <v>0</v>
      </c>
      <c r="N556" t="n">
        <v>0</v>
      </c>
      <c r="O556" t="n">
        <v>0</v>
      </c>
      <c r="P556" t="n">
        <v>0</v>
      </c>
      <c r="Q556" t="n">
        <v>0</v>
      </c>
      <c r="R556" s="2" t="inlineStr"/>
    </row>
    <row r="557" ht="15" customHeight="1">
      <c r="A557" t="inlineStr">
        <is>
          <t>A 10674-2021</t>
        </is>
      </c>
      <c r="B557" s="1" t="n">
        <v>44258</v>
      </c>
      <c r="C557" s="1" t="n">
        <v>45990</v>
      </c>
      <c r="D557" t="inlineStr">
        <is>
          <t>KALMAR LÄN</t>
        </is>
      </c>
      <c r="E557" t="inlineStr">
        <is>
          <t>VIMMERBY</t>
        </is>
      </c>
      <c r="G557" t="n">
        <v>8.4</v>
      </c>
      <c r="H557" t="n">
        <v>0</v>
      </c>
      <c r="I557" t="n">
        <v>0</v>
      </c>
      <c r="J557" t="n">
        <v>0</v>
      </c>
      <c r="K557" t="n">
        <v>0</v>
      </c>
      <c r="L557" t="n">
        <v>0</v>
      </c>
      <c r="M557" t="n">
        <v>0</v>
      </c>
      <c r="N557" t="n">
        <v>0</v>
      </c>
      <c r="O557" t="n">
        <v>0</v>
      </c>
      <c r="P557" t="n">
        <v>0</v>
      </c>
      <c r="Q557" t="n">
        <v>0</v>
      </c>
      <c r="R557" s="2" t="inlineStr"/>
    </row>
    <row r="558" ht="15" customHeight="1">
      <c r="A558" t="inlineStr">
        <is>
          <t>A 22264-2023</t>
        </is>
      </c>
      <c r="B558" s="1" t="n">
        <v>45070.3665625</v>
      </c>
      <c r="C558" s="1" t="n">
        <v>45990</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16676-2023</t>
        </is>
      </c>
      <c r="B559" s="1" t="n">
        <v>45028</v>
      </c>
      <c r="C559" s="1" t="n">
        <v>45990</v>
      </c>
      <c r="D559" t="inlineStr">
        <is>
          <t>KALMAR LÄN</t>
        </is>
      </c>
      <c r="E559" t="inlineStr">
        <is>
          <t>VIMMERBY</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6220-2025</t>
        </is>
      </c>
      <c r="B560" s="1" t="n">
        <v>45698.53725694444</v>
      </c>
      <c r="C560" s="1" t="n">
        <v>45990</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24096-2024</t>
        </is>
      </c>
      <c r="B561" s="1" t="n">
        <v>45456.59289351852</v>
      </c>
      <c r="C561" s="1" t="n">
        <v>45990</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29013-2024</t>
        </is>
      </c>
      <c r="B562" s="1" t="n">
        <v>45481.55984953704</v>
      </c>
      <c r="C562" s="1" t="n">
        <v>45990</v>
      </c>
      <c r="D562" t="inlineStr">
        <is>
          <t>KALMAR LÄN</t>
        </is>
      </c>
      <c r="E562" t="inlineStr">
        <is>
          <t>VIMMERBY</t>
        </is>
      </c>
      <c r="G562" t="n">
        <v>3.4</v>
      </c>
      <c r="H562" t="n">
        <v>0</v>
      </c>
      <c r="I562" t="n">
        <v>0</v>
      </c>
      <c r="J562" t="n">
        <v>0</v>
      </c>
      <c r="K562" t="n">
        <v>0</v>
      </c>
      <c r="L562" t="n">
        <v>0</v>
      </c>
      <c r="M562" t="n">
        <v>0</v>
      </c>
      <c r="N562" t="n">
        <v>0</v>
      </c>
      <c r="O562" t="n">
        <v>0</v>
      </c>
      <c r="P562" t="n">
        <v>0</v>
      </c>
      <c r="Q562" t="n">
        <v>0</v>
      </c>
      <c r="R562" s="2" t="inlineStr"/>
    </row>
    <row r="563" ht="15" customHeight="1">
      <c r="A563" t="inlineStr">
        <is>
          <t>A 6066-2023</t>
        </is>
      </c>
      <c r="B563" s="1" t="n">
        <v>44964.50894675926</v>
      </c>
      <c r="C563" s="1" t="n">
        <v>45990</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59955-2023</t>
        </is>
      </c>
      <c r="B564" s="1" t="n">
        <v>45257.70313657408</v>
      </c>
      <c r="C564" s="1" t="n">
        <v>45990</v>
      </c>
      <c r="D564" t="inlineStr">
        <is>
          <t>KALMAR LÄN</t>
        </is>
      </c>
      <c r="E564" t="inlineStr">
        <is>
          <t>VIMMERBY</t>
        </is>
      </c>
      <c r="G564" t="n">
        <v>13.8</v>
      </c>
      <c r="H564" t="n">
        <v>0</v>
      </c>
      <c r="I564" t="n">
        <v>0</v>
      </c>
      <c r="J564" t="n">
        <v>0</v>
      </c>
      <c r="K564" t="n">
        <v>0</v>
      </c>
      <c r="L564" t="n">
        <v>0</v>
      </c>
      <c r="M564" t="n">
        <v>0</v>
      </c>
      <c r="N564" t="n">
        <v>0</v>
      </c>
      <c r="O564" t="n">
        <v>0</v>
      </c>
      <c r="P564" t="n">
        <v>0</v>
      </c>
      <c r="Q564" t="n">
        <v>0</v>
      </c>
      <c r="R564" s="2" t="inlineStr"/>
    </row>
    <row r="565" ht="15" customHeight="1">
      <c r="A565" t="inlineStr">
        <is>
          <t>A 36040-2024</t>
        </is>
      </c>
      <c r="B565" s="1" t="n">
        <v>45533.60232638889</v>
      </c>
      <c r="C565" s="1" t="n">
        <v>45990</v>
      </c>
      <c r="D565" t="inlineStr">
        <is>
          <t>KALMAR LÄN</t>
        </is>
      </c>
      <c r="E565" t="inlineStr">
        <is>
          <t>VIMMERBY</t>
        </is>
      </c>
      <c r="F565" t="inlineStr">
        <is>
          <t>Kommuner</t>
        </is>
      </c>
      <c r="G565" t="n">
        <v>3.6</v>
      </c>
      <c r="H565" t="n">
        <v>0</v>
      </c>
      <c r="I565" t="n">
        <v>0</v>
      </c>
      <c r="J565" t="n">
        <v>0</v>
      </c>
      <c r="K565" t="n">
        <v>0</v>
      </c>
      <c r="L565" t="n">
        <v>0</v>
      </c>
      <c r="M565" t="n">
        <v>0</v>
      </c>
      <c r="N565" t="n">
        <v>0</v>
      </c>
      <c r="O565" t="n">
        <v>0</v>
      </c>
      <c r="P565" t="n">
        <v>0</v>
      </c>
      <c r="Q565" t="n">
        <v>0</v>
      </c>
      <c r="R565" s="2" t="inlineStr"/>
    </row>
    <row r="566" ht="15" customHeight="1">
      <c r="A566" t="inlineStr">
        <is>
          <t>A 36043-2024</t>
        </is>
      </c>
      <c r="B566" s="1" t="n">
        <v>45533.60770833334</v>
      </c>
      <c r="C566" s="1" t="n">
        <v>45990</v>
      </c>
      <c r="D566" t="inlineStr">
        <is>
          <t>KALMAR LÄN</t>
        </is>
      </c>
      <c r="E566" t="inlineStr">
        <is>
          <t>VIMMERBY</t>
        </is>
      </c>
      <c r="F566" t="inlineStr">
        <is>
          <t>Kommuner</t>
        </is>
      </c>
      <c r="G566" t="n">
        <v>1.5</v>
      </c>
      <c r="H566" t="n">
        <v>0</v>
      </c>
      <c r="I566" t="n">
        <v>0</v>
      </c>
      <c r="J566" t="n">
        <v>0</v>
      </c>
      <c r="K566" t="n">
        <v>0</v>
      </c>
      <c r="L566" t="n">
        <v>0</v>
      </c>
      <c r="M566" t="n">
        <v>0</v>
      </c>
      <c r="N566" t="n">
        <v>0</v>
      </c>
      <c r="O566" t="n">
        <v>0</v>
      </c>
      <c r="P566" t="n">
        <v>0</v>
      </c>
      <c r="Q566" t="n">
        <v>0</v>
      </c>
      <c r="R566" s="2" t="inlineStr"/>
    </row>
    <row r="567" ht="15" customHeight="1">
      <c r="A567" t="inlineStr">
        <is>
          <t>A 12890-2023</t>
        </is>
      </c>
      <c r="B567" s="1" t="n">
        <v>45001.59209490741</v>
      </c>
      <c r="C567" s="1" t="n">
        <v>45990</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43594-2024</t>
        </is>
      </c>
      <c r="B568" s="1" t="n">
        <v>45569.44295138889</v>
      </c>
      <c r="C568" s="1" t="n">
        <v>45990</v>
      </c>
      <c r="D568" t="inlineStr">
        <is>
          <t>KALMAR LÄN</t>
        </is>
      </c>
      <c r="E568" t="inlineStr">
        <is>
          <t>VIMMERBY</t>
        </is>
      </c>
      <c r="G568" t="n">
        <v>3.9</v>
      </c>
      <c r="H568" t="n">
        <v>0</v>
      </c>
      <c r="I568" t="n">
        <v>0</v>
      </c>
      <c r="J568" t="n">
        <v>0</v>
      </c>
      <c r="K568" t="n">
        <v>0</v>
      </c>
      <c r="L568" t="n">
        <v>0</v>
      </c>
      <c r="M568" t="n">
        <v>0</v>
      </c>
      <c r="N568" t="n">
        <v>0</v>
      </c>
      <c r="O568" t="n">
        <v>0</v>
      </c>
      <c r="P568" t="n">
        <v>0</v>
      </c>
      <c r="Q568" t="n">
        <v>0</v>
      </c>
      <c r="R568" s="2" t="inlineStr"/>
    </row>
    <row r="569" ht="15" customHeight="1">
      <c r="A569" t="inlineStr">
        <is>
          <t>A 47955-2025</t>
        </is>
      </c>
      <c r="B569" s="1" t="n">
        <v>45932.58896990741</v>
      </c>
      <c r="C569" s="1" t="n">
        <v>45990</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53482-2022</t>
        </is>
      </c>
      <c r="B570" s="1" t="n">
        <v>44879</v>
      </c>
      <c r="C570" s="1" t="n">
        <v>45990</v>
      </c>
      <c r="D570" t="inlineStr">
        <is>
          <t>KALMAR LÄN</t>
        </is>
      </c>
      <c r="E570" t="inlineStr">
        <is>
          <t>VIMMERBY</t>
        </is>
      </c>
      <c r="G570" t="n">
        <v>10.1</v>
      </c>
      <c r="H570" t="n">
        <v>0</v>
      </c>
      <c r="I570" t="n">
        <v>0</v>
      </c>
      <c r="J570" t="n">
        <v>0</v>
      </c>
      <c r="K570" t="n">
        <v>0</v>
      </c>
      <c r="L570" t="n">
        <v>0</v>
      </c>
      <c r="M570" t="n">
        <v>0</v>
      </c>
      <c r="N570" t="n">
        <v>0</v>
      </c>
      <c r="O570" t="n">
        <v>0</v>
      </c>
      <c r="P570" t="n">
        <v>0</v>
      </c>
      <c r="Q570" t="n">
        <v>0</v>
      </c>
      <c r="R570" s="2" t="inlineStr"/>
    </row>
    <row r="571" ht="15" customHeight="1">
      <c r="A571" t="inlineStr">
        <is>
          <t>A 48723-2025</t>
        </is>
      </c>
      <c r="B571" s="1" t="n">
        <v>45936.65121527778</v>
      </c>
      <c r="C571" s="1" t="n">
        <v>45990</v>
      </c>
      <c r="D571" t="inlineStr">
        <is>
          <t>KALMAR LÄN</t>
        </is>
      </c>
      <c r="E571" t="inlineStr">
        <is>
          <t>VIMMERBY</t>
        </is>
      </c>
      <c r="G571" t="n">
        <v>3</v>
      </c>
      <c r="H571" t="n">
        <v>0</v>
      </c>
      <c r="I571" t="n">
        <v>0</v>
      </c>
      <c r="J571" t="n">
        <v>0</v>
      </c>
      <c r="K571" t="n">
        <v>0</v>
      </c>
      <c r="L571" t="n">
        <v>0</v>
      </c>
      <c r="M571" t="n">
        <v>0</v>
      </c>
      <c r="N571" t="n">
        <v>0</v>
      </c>
      <c r="O571" t="n">
        <v>0</v>
      </c>
      <c r="P571" t="n">
        <v>0</v>
      </c>
      <c r="Q571" t="n">
        <v>0</v>
      </c>
      <c r="R571" s="2" t="inlineStr"/>
    </row>
    <row r="572" ht="15" customHeight="1">
      <c r="A572" t="inlineStr">
        <is>
          <t>A 27761-2024</t>
        </is>
      </c>
      <c r="B572" s="1" t="n">
        <v>45475.49018518518</v>
      </c>
      <c r="C572" s="1" t="n">
        <v>45990</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64203-2021</t>
        </is>
      </c>
      <c r="B573" s="1" t="n">
        <v>44510.60921296296</v>
      </c>
      <c r="C573" s="1" t="n">
        <v>45990</v>
      </c>
      <c r="D573" t="inlineStr">
        <is>
          <t>KALMAR LÄN</t>
        </is>
      </c>
      <c r="E573" t="inlineStr">
        <is>
          <t>VIMMERBY</t>
        </is>
      </c>
      <c r="F573" t="inlineStr">
        <is>
          <t>Övriga Aktiebolag</t>
        </is>
      </c>
      <c r="G573" t="n">
        <v>5.4</v>
      </c>
      <c r="H573" t="n">
        <v>0</v>
      </c>
      <c r="I573" t="n">
        <v>0</v>
      </c>
      <c r="J573" t="n">
        <v>0</v>
      </c>
      <c r="K573" t="n">
        <v>0</v>
      </c>
      <c r="L573" t="n">
        <v>0</v>
      </c>
      <c r="M573" t="n">
        <v>0</v>
      </c>
      <c r="N573" t="n">
        <v>0</v>
      </c>
      <c r="O573" t="n">
        <v>0</v>
      </c>
      <c r="P573" t="n">
        <v>0</v>
      </c>
      <c r="Q573" t="n">
        <v>0</v>
      </c>
      <c r="R573" s="2" t="inlineStr"/>
    </row>
    <row r="574" ht="15" customHeight="1">
      <c r="A574" t="inlineStr">
        <is>
          <t>A 5720-2023</t>
        </is>
      </c>
      <c r="B574" s="1" t="n">
        <v>44961</v>
      </c>
      <c r="C574" s="1" t="n">
        <v>45990</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9643-2023</t>
        </is>
      </c>
      <c r="B575" s="1" t="n">
        <v>44984</v>
      </c>
      <c r="C575" s="1" t="n">
        <v>45990</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48712-2025</t>
        </is>
      </c>
      <c r="B576" s="1" t="n">
        <v>45936.63373842592</v>
      </c>
      <c r="C576" s="1" t="n">
        <v>45990</v>
      </c>
      <c r="D576" t="inlineStr">
        <is>
          <t>KALMAR LÄN</t>
        </is>
      </c>
      <c r="E576" t="inlineStr">
        <is>
          <t>VIMMERBY</t>
        </is>
      </c>
      <c r="G576" t="n">
        <v>3</v>
      </c>
      <c r="H576" t="n">
        <v>0</v>
      </c>
      <c r="I576" t="n">
        <v>0</v>
      </c>
      <c r="J576" t="n">
        <v>0</v>
      </c>
      <c r="K576" t="n">
        <v>0</v>
      </c>
      <c r="L576" t="n">
        <v>0</v>
      </c>
      <c r="M576" t="n">
        <v>0</v>
      </c>
      <c r="N576" t="n">
        <v>0</v>
      </c>
      <c r="O576" t="n">
        <v>0</v>
      </c>
      <c r="P576" t="n">
        <v>0</v>
      </c>
      <c r="Q576" t="n">
        <v>0</v>
      </c>
      <c r="R576" s="2" t="inlineStr"/>
    </row>
    <row r="577" ht="15" customHeight="1">
      <c r="A577" t="inlineStr">
        <is>
          <t>A 25728-2023</t>
        </is>
      </c>
      <c r="B577" s="1" t="n">
        <v>45090.38012731481</v>
      </c>
      <c r="C577" s="1" t="n">
        <v>45990</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48408-2025</t>
        </is>
      </c>
      <c r="B578" s="1" t="n">
        <v>45934.40527777778</v>
      </c>
      <c r="C578" s="1" t="n">
        <v>45990</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53789-2025</t>
        </is>
      </c>
      <c r="B579" s="1" t="n">
        <v>45960</v>
      </c>
      <c r="C579" s="1" t="n">
        <v>45990</v>
      </c>
      <c r="D579" t="inlineStr">
        <is>
          <t>KALMAR LÄN</t>
        </is>
      </c>
      <c r="E579" t="inlineStr">
        <is>
          <t>VIMMERBY</t>
        </is>
      </c>
      <c r="F579" t="inlineStr">
        <is>
          <t>Övriga statliga verk och myndigheter</t>
        </is>
      </c>
      <c r="G579" t="n">
        <v>1.6</v>
      </c>
      <c r="H579" t="n">
        <v>0</v>
      </c>
      <c r="I579" t="n">
        <v>0</v>
      </c>
      <c r="J579" t="n">
        <v>0</v>
      </c>
      <c r="K579" t="n">
        <v>0</v>
      </c>
      <c r="L579" t="n">
        <v>0</v>
      </c>
      <c r="M579" t="n">
        <v>0</v>
      </c>
      <c r="N579" t="n">
        <v>0</v>
      </c>
      <c r="O579" t="n">
        <v>0</v>
      </c>
      <c r="P579" t="n">
        <v>0</v>
      </c>
      <c r="Q579" t="n">
        <v>0</v>
      </c>
      <c r="R579" s="2" t="inlineStr"/>
    </row>
    <row r="580" ht="15" customHeight="1">
      <c r="A580" t="inlineStr">
        <is>
          <t>A 41311-2023</t>
        </is>
      </c>
      <c r="B580" s="1" t="n">
        <v>45174</v>
      </c>
      <c r="C580" s="1" t="n">
        <v>45990</v>
      </c>
      <c r="D580" t="inlineStr">
        <is>
          <t>KALMAR LÄN</t>
        </is>
      </c>
      <c r="E580" t="inlineStr">
        <is>
          <t>VIMMERBY</t>
        </is>
      </c>
      <c r="G580" t="n">
        <v>0.7</v>
      </c>
      <c r="H580" t="n">
        <v>0</v>
      </c>
      <c r="I580" t="n">
        <v>0</v>
      </c>
      <c r="J580" t="n">
        <v>0</v>
      </c>
      <c r="K580" t="n">
        <v>0</v>
      </c>
      <c r="L580" t="n">
        <v>0</v>
      </c>
      <c r="M580" t="n">
        <v>0</v>
      </c>
      <c r="N580" t="n">
        <v>0</v>
      </c>
      <c r="O580" t="n">
        <v>0</v>
      </c>
      <c r="P580" t="n">
        <v>0</v>
      </c>
      <c r="Q580" t="n">
        <v>0</v>
      </c>
      <c r="R580" s="2" t="inlineStr"/>
    </row>
    <row r="581" ht="15" customHeight="1">
      <c r="A581" t="inlineStr">
        <is>
          <t>A 26318-2023</t>
        </is>
      </c>
      <c r="B581" s="1" t="n">
        <v>45091.67936342592</v>
      </c>
      <c r="C581" s="1" t="n">
        <v>45990</v>
      </c>
      <c r="D581" t="inlineStr">
        <is>
          <t>KALMAR LÄN</t>
        </is>
      </c>
      <c r="E581" t="inlineStr">
        <is>
          <t>VIMMERBY</t>
        </is>
      </c>
      <c r="G581" t="n">
        <v>3.8</v>
      </c>
      <c r="H581" t="n">
        <v>0</v>
      </c>
      <c r="I581" t="n">
        <v>0</v>
      </c>
      <c r="J581" t="n">
        <v>0</v>
      </c>
      <c r="K581" t="n">
        <v>0</v>
      </c>
      <c r="L581" t="n">
        <v>0</v>
      </c>
      <c r="M581" t="n">
        <v>0</v>
      </c>
      <c r="N581" t="n">
        <v>0</v>
      </c>
      <c r="O581" t="n">
        <v>0</v>
      </c>
      <c r="P581" t="n">
        <v>0</v>
      </c>
      <c r="Q581" t="n">
        <v>0</v>
      </c>
      <c r="R581" s="2" t="inlineStr"/>
    </row>
    <row r="582" ht="15" customHeight="1">
      <c r="A582" t="inlineStr">
        <is>
          <t>A 48409-2025</t>
        </is>
      </c>
      <c r="B582" s="1" t="n">
        <v>45934.41387731482</v>
      </c>
      <c r="C582" s="1" t="n">
        <v>45990</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48600-2025</t>
        </is>
      </c>
      <c r="B583" s="1" t="n">
        <v>45935</v>
      </c>
      <c r="C583" s="1" t="n">
        <v>45990</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61355-2024</t>
        </is>
      </c>
      <c r="B584" s="1" t="n">
        <v>45646.38200231481</v>
      </c>
      <c r="C584" s="1" t="n">
        <v>45990</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36802-2021</t>
        </is>
      </c>
      <c r="B585" s="1" t="n">
        <v>44392</v>
      </c>
      <c r="C585" s="1" t="n">
        <v>45990</v>
      </c>
      <c r="D585" t="inlineStr">
        <is>
          <t>KALMAR LÄN</t>
        </is>
      </c>
      <c r="E585" t="inlineStr">
        <is>
          <t>VIMMERBY</t>
        </is>
      </c>
      <c r="F585" t="inlineStr">
        <is>
          <t>Sveaskog</t>
        </is>
      </c>
      <c r="G585" t="n">
        <v>4.6</v>
      </c>
      <c r="H585" t="n">
        <v>0</v>
      </c>
      <c r="I585" t="n">
        <v>0</v>
      </c>
      <c r="J585" t="n">
        <v>0</v>
      </c>
      <c r="K585" t="n">
        <v>0</v>
      </c>
      <c r="L585" t="n">
        <v>0</v>
      </c>
      <c r="M585" t="n">
        <v>0</v>
      </c>
      <c r="N585" t="n">
        <v>0</v>
      </c>
      <c r="O585" t="n">
        <v>0</v>
      </c>
      <c r="P585" t="n">
        <v>0</v>
      </c>
      <c r="Q585" t="n">
        <v>0</v>
      </c>
      <c r="R585" s="2" t="inlineStr"/>
    </row>
    <row r="586" ht="15" customHeight="1">
      <c r="A586" t="inlineStr">
        <is>
          <t>A 38198-2024</t>
        </is>
      </c>
      <c r="B586" s="1" t="n">
        <v>45545.49508101852</v>
      </c>
      <c r="C586" s="1" t="n">
        <v>45990</v>
      </c>
      <c r="D586" t="inlineStr">
        <is>
          <t>KALMAR LÄN</t>
        </is>
      </c>
      <c r="E586" t="inlineStr">
        <is>
          <t>VIMMERBY</t>
        </is>
      </c>
      <c r="G586" t="n">
        <v>7.9</v>
      </c>
      <c r="H586" t="n">
        <v>0</v>
      </c>
      <c r="I586" t="n">
        <v>0</v>
      </c>
      <c r="J586" t="n">
        <v>0</v>
      </c>
      <c r="K586" t="n">
        <v>0</v>
      </c>
      <c r="L586" t="n">
        <v>0</v>
      </c>
      <c r="M586" t="n">
        <v>0</v>
      </c>
      <c r="N586" t="n">
        <v>0</v>
      </c>
      <c r="O586" t="n">
        <v>0</v>
      </c>
      <c r="P586" t="n">
        <v>0</v>
      </c>
      <c r="Q586" t="n">
        <v>0</v>
      </c>
      <c r="R586" s="2" t="inlineStr"/>
    </row>
    <row r="587" ht="15" customHeight="1">
      <c r="A587" t="inlineStr">
        <is>
          <t>A 9623-2024</t>
        </is>
      </c>
      <c r="B587" s="1" t="n">
        <v>45361.87975694444</v>
      </c>
      <c r="C587" s="1" t="n">
        <v>45990</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58967-2022</t>
        </is>
      </c>
      <c r="B588" s="1" t="n">
        <v>44896</v>
      </c>
      <c r="C588" s="1" t="n">
        <v>45990</v>
      </c>
      <c r="D588" t="inlineStr">
        <is>
          <t>KALMAR LÄN</t>
        </is>
      </c>
      <c r="E588" t="inlineStr">
        <is>
          <t>VIMMERBY</t>
        </is>
      </c>
      <c r="G588" t="n">
        <v>5</v>
      </c>
      <c r="H588" t="n">
        <v>0</v>
      </c>
      <c r="I588" t="n">
        <v>0</v>
      </c>
      <c r="J588" t="n">
        <v>0</v>
      </c>
      <c r="K588" t="n">
        <v>0</v>
      </c>
      <c r="L588" t="n">
        <v>0</v>
      </c>
      <c r="M588" t="n">
        <v>0</v>
      </c>
      <c r="N588" t="n">
        <v>0</v>
      </c>
      <c r="O588" t="n">
        <v>0</v>
      </c>
      <c r="P588" t="n">
        <v>0</v>
      </c>
      <c r="Q588" t="n">
        <v>0</v>
      </c>
      <c r="R588" s="2" t="inlineStr"/>
    </row>
    <row r="589" ht="15" customHeight="1">
      <c r="A589" t="inlineStr">
        <is>
          <t>A 6399-2025</t>
        </is>
      </c>
      <c r="B589" s="1" t="n">
        <v>45699.44291666667</v>
      </c>
      <c r="C589" s="1" t="n">
        <v>45990</v>
      </c>
      <c r="D589" t="inlineStr">
        <is>
          <t>KALMAR LÄN</t>
        </is>
      </c>
      <c r="E589" t="inlineStr">
        <is>
          <t>VIMMERBY</t>
        </is>
      </c>
      <c r="G589" t="n">
        <v>3.1</v>
      </c>
      <c r="H589" t="n">
        <v>0</v>
      </c>
      <c r="I589" t="n">
        <v>0</v>
      </c>
      <c r="J589" t="n">
        <v>0</v>
      </c>
      <c r="K589" t="n">
        <v>0</v>
      </c>
      <c r="L589" t="n">
        <v>0</v>
      </c>
      <c r="M589" t="n">
        <v>0</v>
      </c>
      <c r="N589" t="n">
        <v>0</v>
      </c>
      <c r="O589" t="n">
        <v>0</v>
      </c>
      <c r="P589" t="n">
        <v>0</v>
      </c>
      <c r="Q589" t="n">
        <v>0</v>
      </c>
      <c r="R589" s="2" t="inlineStr"/>
    </row>
    <row r="590" ht="15" customHeight="1">
      <c r="A590" t="inlineStr">
        <is>
          <t>A 31355-2023</t>
        </is>
      </c>
      <c r="B590" s="1" t="n">
        <v>45114.49505787037</v>
      </c>
      <c r="C590" s="1" t="n">
        <v>45990</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66295-2020</t>
        </is>
      </c>
      <c r="B591" s="1" t="n">
        <v>44176</v>
      </c>
      <c r="C591" s="1" t="n">
        <v>45990</v>
      </c>
      <c r="D591" t="inlineStr">
        <is>
          <t>KALMAR LÄN</t>
        </is>
      </c>
      <c r="E591" t="inlineStr">
        <is>
          <t>VIMMERBY</t>
        </is>
      </c>
      <c r="G591" t="n">
        <v>4.1</v>
      </c>
      <c r="H591" t="n">
        <v>0</v>
      </c>
      <c r="I591" t="n">
        <v>0</v>
      </c>
      <c r="J591" t="n">
        <v>0</v>
      </c>
      <c r="K591" t="n">
        <v>0</v>
      </c>
      <c r="L591" t="n">
        <v>0</v>
      </c>
      <c r="M591" t="n">
        <v>0</v>
      </c>
      <c r="N591" t="n">
        <v>0</v>
      </c>
      <c r="O591" t="n">
        <v>0</v>
      </c>
      <c r="P591" t="n">
        <v>0</v>
      </c>
      <c r="Q591" t="n">
        <v>0</v>
      </c>
      <c r="R591" s="2" t="inlineStr"/>
    </row>
    <row r="592" ht="15" customHeight="1">
      <c r="A592" t="inlineStr">
        <is>
          <t>A 30400-2023</t>
        </is>
      </c>
      <c r="B592" s="1" t="n">
        <v>45111.48225694444</v>
      </c>
      <c r="C592" s="1" t="n">
        <v>45990</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30404-2023</t>
        </is>
      </c>
      <c r="B593" s="1" t="n">
        <v>45111.48636574074</v>
      </c>
      <c r="C593" s="1" t="n">
        <v>45990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27705-2023</t>
        </is>
      </c>
      <c r="B594" s="1" t="n">
        <v>45098.30535879629</v>
      </c>
      <c r="C594" s="1" t="n">
        <v>45990</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58442-2025</t>
        </is>
      </c>
      <c r="B595" s="1" t="n">
        <v>45985.61635416667</v>
      </c>
      <c r="C595" s="1" t="n">
        <v>45990</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58435-2025</t>
        </is>
      </c>
      <c r="B596" s="1" t="n">
        <v>45985.61501157407</v>
      </c>
      <c r="C596" s="1" t="n">
        <v>45990</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58498-2025</t>
        </is>
      </c>
      <c r="B597" s="1" t="n">
        <v>45985.68671296296</v>
      </c>
      <c r="C597" s="1" t="n">
        <v>45990</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58501-2025</t>
        </is>
      </c>
      <c r="B598" s="1" t="n">
        <v>45985.69153935185</v>
      </c>
      <c r="C598" s="1" t="n">
        <v>45990</v>
      </c>
      <c r="D598" t="inlineStr">
        <is>
          <t>KALMAR LÄN</t>
        </is>
      </c>
      <c r="E598" t="inlineStr">
        <is>
          <t>VIMMERBY</t>
        </is>
      </c>
      <c r="G598" t="n">
        <v>1</v>
      </c>
      <c r="H598" t="n">
        <v>0</v>
      </c>
      <c r="I598" t="n">
        <v>0</v>
      </c>
      <c r="J598" t="n">
        <v>0</v>
      </c>
      <c r="K598" t="n">
        <v>0</v>
      </c>
      <c r="L598" t="n">
        <v>0</v>
      </c>
      <c r="M598" t="n">
        <v>0</v>
      </c>
      <c r="N598" t="n">
        <v>0</v>
      </c>
      <c r="O598" t="n">
        <v>0</v>
      </c>
      <c r="P598" t="n">
        <v>0</v>
      </c>
      <c r="Q598" t="n">
        <v>0</v>
      </c>
      <c r="R598" s="2" t="inlineStr"/>
    </row>
    <row r="599" ht="15" customHeight="1">
      <c r="A599" t="inlineStr">
        <is>
          <t>A 36843-2023</t>
        </is>
      </c>
      <c r="B599" s="1" t="n">
        <v>45154.49831018518</v>
      </c>
      <c r="C599" s="1" t="n">
        <v>45990</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58514-2025</t>
        </is>
      </c>
      <c r="B600" s="1" t="n">
        <v>45985.70513888889</v>
      </c>
      <c r="C600" s="1" t="n">
        <v>45990</v>
      </c>
      <c r="D600" t="inlineStr">
        <is>
          <t>KALMAR LÄN</t>
        </is>
      </c>
      <c r="E600" t="inlineStr">
        <is>
          <t>VIMMERBY</t>
        </is>
      </c>
      <c r="G600" t="n">
        <v>3.7</v>
      </c>
      <c r="H600" t="n">
        <v>0</v>
      </c>
      <c r="I600" t="n">
        <v>0</v>
      </c>
      <c r="J600" t="n">
        <v>0</v>
      </c>
      <c r="K600" t="n">
        <v>0</v>
      </c>
      <c r="L600" t="n">
        <v>0</v>
      </c>
      <c r="M600" t="n">
        <v>0</v>
      </c>
      <c r="N600" t="n">
        <v>0</v>
      </c>
      <c r="O600" t="n">
        <v>0</v>
      </c>
      <c r="P600" t="n">
        <v>0</v>
      </c>
      <c r="Q600" t="n">
        <v>0</v>
      </c>
      <c r="R600" s="2" t="inlineStr"/>
    </row>
    <row r="601" ht="15" customHeight="1">
      <c r="A601" t="inlineStr">
        <is>
          <t>A 10785-2025</t>
        </is>
      </c>
      <c r="B601" s="1" t="n">
        <v>45722.48634259259</v>
      </c>
      <c r="C601" s="1" t="n">
        <v>45990</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29017-2024</t>
        </is>
      </c>
      <c r="B602" s="1" t="n">
        <v>45481.56722222222</v>
      </c>
      <c r="C602" s="1" t="n">
        <v>45990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23263-2024</t>
        </is>
      </c>
      <c r="B603" s="1" t="n">
        <v>45453.36854166666</v>
      </c>
      <c r="C603" s="1" t="n">
        <v>45990</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11074-2023</t>
        </is>
      </c>
      <c r="B604" s="1" t="n">
        <v>44992.34151620371</v>
      </c>
      <c r="C604" s="1" t="n">
        <v>45990</v>
      </c>
      <c r="D604" t="inlineStr">
        <is>
          <t>KALMAR LÄN</t>
        </is>
      </c>
      <c r="E604" t="inlineStr">
        <is>
          <t>VIMMERBY</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61939-2021</t>
        </is>
      </c>
      <c r="B605" s="1" t="n">
        <v>44502</v>
      </c>
      <c r="C605" s="1" t="n">
        <v>45990</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12215-2024</t>
        </is>
      </c>
      <c r="B606" s="1" t="n">
        <v>45378.32185185186</v>
      </c>
      <c r="C606" s="1" t="n">
        <v>45990</v>
      </c>
      <c r="D606" t="inlineStr">
        <is>
          <t>KALMAR LÄN</t>
        </is>
      </c>
      <c r="E606" t="inlineStr">
        <is>
          <t>VIMMERBY</t>
        </is>
      </c>
      <c r="G606" t="n">
        <v>1.6</v>
      </c>
      <c r="H606" t="n">
        <v>0</v>
      </c>
      <c r="I606" t="n">
        <v>0</v>
      </c>
      <c r="J606" t="n">
        <v>0</v>
      </c>
      <c r="K606" t="n">
        <v>0</v>
      </c>
      <c r="L606" t="n">
        <v>0</v>
      </c>
      <c r="M606" t="n">
        <v>0</v>
      </c>
      <c r="N606" t="n">
        <v>0</v>
      </c>
      <c r="O606" t="n">
        <v>0</v>
      </c>
      <c r="P606" t="n">
        <v>0</v>
      </c>
      <c r="Q606" t="n">
        <v>0</v>
      </c>
      <c r="R606" s="2" t="inlineStr"/>
    </row>
    <row r="607" ht="15" customHeight="1">
      <c r="A607" t="inlineStr">
        <is>
          <t>A 11303-2025</t>
        </is>
      </c>
      <c r="B607" s="1" t="n">
        <v>45726.44471064815</v>
      </c>
      <c r="C607" s="1" t="n">
        <v>45990</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12033-2024</t>
        </is>
      </c>
      <c r="B608" s="1" t="n">
        <v>45377.40043981482</v>
      </c>
      <c r="C608" s="1" t="n">
        <v>45990</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51408-2023</t>
        </is>
      </c>
      <c r="B609" s="1" t="n">
        <v>45219.69356481481</v>
      </c>
      <c r="C609" s="1" t="n">
        <v>45990</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49488-2023</t>
        </is>
      </c>
      <c r="B610" s="1" t="n">
        <v>45211.55472222222</v>
      </c>
      <c r="C610" s="1" t="n">
        <v>45990</v>
      </c>
      <c r="D610" t="inlineStr">
        <is>
          <t>KALMAR LÄN</t>
        </is>
      </c>
      <c r="E610" t="inlineStr">
        <is>
          <t>VIMMERBY</t>
        </is>
      </c>
      <c r="F610" t="inlineStr">
        <is>
          <t>Sveaskog</t>
        </is>
      </c>
      <c r="G610" t="n">
        <v>6.2</v>
      </c>
      <c r="H610" t="n">
        <v>0</v>
      </c>
      <c r="I610" t="n">
        <v>0</v>
      </c>
      <c r="J610" t="n">
        <v>0</v>
      </c>
      <c r="K610" t="n">
        <v>0</v>
      </c>
      <c r="L610" t="n">
        <v>0</v>
      </c>
      <c r="M610" t="n">
        <v>0</v>
      </c>
      <c r="N610" t="n">
        <v>0</v>
      </c>
      <c r="O610" t="n">
        <v>0</v>
      </c>
      <c r="P610" t="n">
        <v>0</v>
      </c>
      <c r="Q610" t="n">
        <v>0</v>
      </c>
      <c r="R610" s="2" t="inlineStr"/>
    </row>
    <row r="611" ht="15" customHeight="1">
      <c r="A611" t="inlineStr">
        <is>
          <t>A 58500-2025</t>
        </is>
      </c>
      <c r="B611" s="1" t="n">
        <v>45985.69008101852</v>
      </c>
      <c r="C611" s="1" t="n">
        <v>45990</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58503-2025</t>
        </is>
      </c>
      <c r="B612" s="1" t="n">
        <v>45985.69509259259</v>
      </c>
      <c r="C612" s="1" t="n">
        <v>45990</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58446-2025</t>
        </is>
      </c>
      <c r="B613" s="1" t="n">
        <v>45985.62168981481</v>
      </c>
      <c r="C613" s="1" t="n">
        <v>45990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8410-2023</t>
        </is>
      </c>
      <c r="B614" s="1" t="n">
        <v>44977</v>
      </c>
      <c r="C614" s="1" t="n">
        <v>45990</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53586-2025</t>
        </is>
      </c>
      <c r="B615" s="1" t="n">
        <v>45960</v>
      </c>
      <c r="C615" s="1" t="n">
        <v>45990</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30920-2024</t>
        </is>
      </c>
      <c r="B616" s="1" t="n">
        <v>45498.673125</v>
      </c>
      <c r="C616" s="1" t="n">
        <v>45990</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49871-2025</t>
        </is>
      </c>
      <c r="B617" s="1" t="n">
        <v>45940.54104166666</v>
      </c>
      <c r="C617" s="1" t="n">
        <v>45990</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40929-2022</t>
        </is>
      </c>
      <c r="B618" s="1" t="n">
        <v>44825.4336574074</v>
      </c>
      <c r="C618" s="1" t="n">
        <v>45990</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57728-2025</t>
        </is>
      </c>
      <c r="B619" s="1" t="n">
        <v>45981</v>
      </c>
      <c r="C619" s="1" t="n">
        <v>45990</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50091-2023</t>
        </is>
      </c>
      <c r="B620" s="1" t="n">
        <v>45215.60199074074</v>
      </c>
      <c r="C620" s="1" t="n">
        <v>45990</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36008-2024</t>
        </is>
      </c>
      <c r="B621" s="1" t="n">
        <v>45533.55362268518</v>
      </c>
      <c r="C621" s="1" t="n">
        <v>45990</v>
      </c>
      <c r="D621" t="inlineStr">
        <is>
          <t>KALMAR LÄN</t>
        </is>
      </c>
      <c r="E621" t="inlineStr">
        <is>
          <t>VIMMERBY</t>
        </is>
      </c>
      <c r="G621" t="n">
        <v>3.7</v>
      </c>
      <c r="H621" t="n">
        <v>0</v>
      </c>
      <c r="I621" t="n">
        <v>0</v>
      </c>
      <c r="J621" t="n">
        <v>0</v>
      </c>
      <c r="K621" t="n">
        <v>0</v>
      </c>
      <c r="L621" t="n">
        <v>0</v>
      </c>
      <c r="M621" t="n">
        <v>0</v>
      </c>
      <c r="N621" t="n">
        <v>0</v>
      </c>
      <c r="O621" t="n">
        <v>0</v>
      </c>
      <c r="P621" t="n">
        <v>0</v>
      </c>
      <c r="Q621" t="n">
        <v>0</v>
      </c>
      <c r="R621" s="2" t="inlineStr"/>
    </row>
    <row r="622" ht="15" customHeight="1">
      <c r="A622" t="inlineStr">
        <is>
          <t>A 58841-2025</t>
        </is>
      </c>
      <c r="B622" s="1" t="n">
        <v>45987.36275462963</v>
      </c>
      <c r="C622" s="1" t="n">
        <v>45990</v>
      </c>
      <c r="D622" t="inlineStr">
        <is>
          <t>KALMAR LÄN</t>
        </is>
      </c>
      <c r="E622" t="inlineStr">
        <is>
          <t>VIMMERBY</t>
        </is>
      </c>
      <c r="G622" t="n">
        <v>3.5</v>
      </c>
      <c r="H622" t="n">
        <v>0</v>
      </c>
      <c r="I622" t="n">
        <v>0</v>
      </c>
      <c r="J622" t="n">
        <v>0</v>
      </c>
      <c r="K622" t="n">
        <v>0</v>
      </c>
      <c r="L622" t="n">
        <v>0</v>
      </c>
      <c r="M622" t="n">
        <v>0</v>
      </c>
      <c r="N622" t="n">
        <v>0</v>
      </c>
      <c r="O622" t="n">
        <v>0</v>
      </c>
      <c r="P622" t="n">
        <v>0</v>
      </c>
      <c r="Q622" t="n">
        <v>0</v>
      </c>
      <c r="R622" s="2" t="inlineStr"/>
    </row>
    <row r="623" ht="15" customHeight="1">
      <c r="A623" t="inlineStr">
        <is>
          <t>A 16622-2025</t>
        </is>
      </c>
      <c r="B623" s="1" t="n">
        <v>45754.33641203704</v>
      </c>
      <c r="C623" s="1" t="n">
        <v>45990</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17511-2024</t>
        </is>
      </c>
      <c r="B624" s="1" t="n">
        <v>45415.57682870371</v>
      </c>
      <c r="C624" s="1" t="n">
        <v>45990</v>
      </c>
      <c r="D624" t="inlineStr">
        <is>
          <t>KALMAR LÄN</t>
        </is>
      </c>
      <c r="E624" t="inlineStr">
        <is>
          <t>VIMMERBY</t>
        </is>
      </c>
      <c r="G624" t="n">
        <v>5.3</v>
      </c>
      <c r="H624" t="n">
        <v>0</v>
      </c>
      <c r="I624" t="n">
        <v>0</v>
      </c>
      <c r="J624" t="n">
        <v>0</v>
      </c>
      <c r="K624" t="n">
        <v>0</v>
      </c>
      <c r="L624" t="n">
        <v>0</v>
      </c>
      <c r="M624" t="n">
        <v>0</v>
      </c>
      <c r="N624" t="n">
        <v>0</v>
      </c>
      <c r="O624" t="n">
        <v>0</v>
      </c>
      <c r="P624" t="n">
        <v>0</v>
      </c>
      <c r="Q624" t="n">
        <v>0</v>
      </c>
      <c r="R624" s="2" t="inlineStr"/>
    </row>
    <row r="625" ht="15" customHeight="1">
      <c r="A625" t="inlineStr">
        <is>
          <t>A 43705-2023</t>
        </is>
      </c>
      <c r="B625" s="1" t="n">
        <v>45187.42854166667</v>
      </c>
      <c r="C625" s="1" t="n">
        <v>45990</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50544-2025</t>
        </is>
      </c>
      <c r="B626" s="1" t="n">
        <v>45945.50736111111</v>
      </c>
      <c r="C626" s="1" t="n">
        <v>45990</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55300-2021</t>
        </is>
      </c>
      <c r="B627" s="1" t="n">
        <v>44475</v>
      </c>
      <c r="C627" s="1" t="n">
        <v>45990</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44179-2022</t>
        </is>
      </c>
      <c r="B628" s="1" t="n">
        <v>44839.4528125</v>
      </c>
      <c r="C628" s="1" t="n">
        <v>45990</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58858-2025</t>
        </is>
      </c>
      <c r="B629" s="1" t="n">
        <v>45987.4243287037</v>
      </c>
      <c r="C629" s="1" t="n">
        <v>45990</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52755-2022</t>
        </is>
      </c>
      <c r="B630" s="1" t="n">
        <v>44875.27736111111</v>
      </c>
      <c r="C630" s="1" t="n">
        <v>45990</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35998-2024</t>
        </is>
      </c>
      <c r="B631" s="1" t="n">
        <v>45533.54429398148</v>
      </c>
      <c r="C631" s="1" t="n">
        <v>45990</v>
      </c>
      <c r="D631" t="inlineStr">
        <is>
          <t>KALMAR LÄN</t>
        </is>
      </c>
      <c r="E631" t="inlineStr">
        <is>
          <t>VIMMERBY</t>
        </is>
      </c>
      <c r="G631" t="n">
        <v>8.6</v>
      </c>
      <c r="H631" t="n">
        <v>0</v>
      </c>
      <c r="I631" t="n">
        <v>0</v>
      </c>
      <c r="J631" t="n">
        <v>0</v>
      </c>
      <c r="K631" t="n">
        <v>0</v>
      </c>
      <c r="L631" t="n">
        <v>0</v>
      </c>
      <c r="M631" t="n">
        <v>0</v>
      </c>
      <c r="N631" t="n">
        <v>0</v>
      </c>
      <c r="O631" t="n">
        <v>0</v>
      </c>
      <c r="P631" t="n">
        <v>0</v>
      </c>
      <c r="Q631" t="n">
        <v>0</v>
      </c>
      <c r="R631" s="2" t="inlineStr"/>
    </row>
    <row r="632" ht="15" customHeight="1">
      <c r="A632" t="inlineStr">
        <is>
          <t>A 7797-2023</t>
        </is>
      </c>
      <c r="B632" s="1" t="n">
        <v>44973.43075231482</v>
      </c>
      <c r="C632" s="1" t="n">
        <v>45990</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50324-2025</t>
        </is>
      </c>
      <c r="B633" s="1" t="n">
        <v>45944.45962962963</v>
      </c>
      <c r="C633" s="1" t="n">
        <v>45990</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29351-2023</t>
        </is>
      </c>
      <c r="B634" s="1" t="n">
        <v>45106.2610300926</v>
      </c>
      <c r="C634" s="1" t="n">
        <v>45990</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7630-2025</t>
        </is>
      </c>
      <c r="B635" s="1" t="n">
        <v>45705.74418981482</v>
      </c>
      <c r="C635" s="1" t="n">
        <v>45990</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1024-2024</t>
        </is>
      </c>
      <c r="B636" s="1" t="n">
        <v>45301.68237268519</v>
      </c>
      <c r="C636" s="1" t="n">
        <v>45990</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10787-2025</t>
        </is>
      </c>
      <c r="B637" s="1" t="n">
        <v>45722.48915509259</v>
      </c>
      <c r="C637" s="1" t="n">
        <v>45990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29350-2023</t>
        </is>
      </c>
      <c r="B638" s="1" t="n">
        <v>45106</v>
      </c>
      <c r="C638" s="1" t="n">
        <v>45990</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14855-2025</t>
        </is>
      </c>
      <c r="B639" s="1" t="n">
        <v>45743.41148148148</v>
      </c>
      <c r="C639" s="1" t="n">
        <v>45990</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43601-2024</t>
        </is>
      </c>
      <c r="B640" s="1" t="n">
        <v>45569.44684027778</v>
      </c>
      <c r="C640" s="1" t="n">
        <v>45990</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35913-2023</t>
        </is>
      </c>
      <c r="B641" s="1" t="n">
        <v>45148</v>
      </c>
      <c r="C641" s="1" t="n">
        <v>45990</v>
      </c>
      <c r="D641" t="inlineStr">
        <is>
          <t>KALMAR LÄN</t>
        </is>
      </c>
      <c r="E641" t="inlineStr">
        <is>
          <t>VIMMERBY</t>
        </is>
      </c>
      <c r="G641" t="n">
        <v>6.9</v>
      </c>
      <c r="H641" t="n">
        <v>0</v>
      </c>
      <c r="I641" t="n">
        <v>0</v>
      </c>
      <c r="J641" t="n">
        <v>0</v>
      </c>
      <c r="K641" t="n">
        <v>0</v>
      </c>
      <c r="L641" t="n">
        <v>0</v>
      </c>
      <c r="M641" t="n">
        <v>0</v>
      </c>
      <c r="N641" t="n">
        <v>0</v>
      </c>
      <c r="O641" t="n">
        <v>0</v>
      </c>
      <c r="P641" t="n">
        <v>0</v>
      </c>
      <c r="Q641" t="n">
        <v>0</v>
      </c>
      <c r="R641" s="2" t="inlineStr"/>
    </row>
    <row r="642" ht="15" customHeight="1">
      <c r="A642" t="inlineStr">
        <is>
          <t>A 9624-2024</t>
        </is>
      </c>
      <c r="B642" s="1" t="n">
        <v>45361.90282407407</v>
      </c>
      <c r="C642" s="1" t="n">
        <v>45990</v>
      </c>
      <c r="D642" t="inlineStr">
        <is>
          <t>KALMAR LÄN</t>
        </is>
      </c>
      <c r="E642" t="inlineStr">
        <is>
          <t>VIMMERBY</t>
        </is>
      </c>
      <c r="G642" t="n">
        <v>3.8</v>
      </c>
      <c r="H642" t="n">
        <v>0</v>
      </c>
      <c r="I642" t="n">
        <v>0</v>
      </c>
      <c r="J642" t="n">
        <v>0</v>
      </c>
      <c r="K642" t="n">
        <v>0</v>
      </c>
      <c r="L642" t="n">
        <v>0</v>
      </c>
      <c r="M642" t="n">
        <v>0</v>
      </c>
      <c r="N642" t="n">
        <v>0</v>
      </c>
      <c r="O642" t="n">
        <v>0</v>
      </c>
      <c r="P642" t="n">
        <v>0</v>
      </c>
      <c r="Q642" t="n">
        <v>0</v>
      </c>
      <c r="R642" s="2" t="inlineStr"/>
    </row>
    <row r="643" ht="15" customHeight="1">
      <c r="A643" t="inlineStr">
        <is>
          <t>A 3938-2023</t>
        </is>
      </c>
      <c r="B643" s="1" t="n">
        <v>44952.35775462963</v>
      </c>
      <c r="C643" s="1" t="n">
        <v>45990</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39053-2024</t>
        </is>
      </c>
      <c r="B644" s="1" t="n">
        <v>45548</v>
      </c>
      <c r="C644" s="1" t="n">
        <v>45990</v>
      </c>
      <c r="D644" t="inlineStr">
        <is>
          <t>KALMAR LÄN</t>
        </is>
      </c>
      <c r="E644" t="inlineStr">
        <is>
          <t>VIMMERBY</t>
        </is>
      </c>
      <c r="G644" t="n">
        <v>5</v>
      </c>
      <c r="H644" t="n">
        <v>0</v>
      </c>
      <c r="I644" t="n">
        <v>0</v>
      </c>
      <c r="J644" t="n">
        <v>0</v>
      </c>
      <c r="K644" t="n">
        <v>0</v>
      </c>
      <c r="L644" t="n">
        <v>0</v>
      </c>
      <c r="M644" t="n">
        <v>0</v>
      </c>
      <c r="N644" t="n">
        <v>0</v>
      </c>
      <c r="O644" t="n">
        <v>0</v>
      </c>
      <c r="P644" t="n">
        <v>0</v>
      </c>
      <c r="Q644" t="n">
        <v>0</v>
      </c>
      <c r="R644" s="2" t="inlineStr"/>
    </row>
    <row r="645" ht="15" customHeight="1">
      <c r="A645" t="inlineStr">
        <is>
          <t>A 14451-2024</t>
        </is>
      </c>
      <c r="B645" s="1" t="n">
        <v>45394.50028935185</v>
      </c>
      <c r="C645" s="1" t="n">
        <v>45990</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51062-2025</t>
        </is>
      </c>
      <c r="B646" s="1" t="n">
        <v>45947.44685185186</v>
      </c>
      <c r="C646" s="1" t="n">
        <v>45990</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59037-2025</t>
        </is>
      </c>
      <c r="B647" s="1" t="n">
        <v>45988.36508101852</v>
      </c>
      <c r="C647" s="1" t="n">
        <v>45990</v>
      </c>
      <c r="D647" t="inlineStr">
        <is>
          <t>KALMAR LÄN</t>
        </is>
      </c>
      <c r="E647" t="inlineStr">
        <is>
          <t>VIMMERBY</t>
        </is>
      </c>
      <c r="F647" t="inlineStr">
        <is>
          <t>Sveaskog</t>
        </is>
      </c>
      <c r="G647" t="n">
        <v>4</v>
      </c>
      <c r="H647" t="n">
        <v>0</v>
      </c>
      <c r="I647" t="n">
        <v>0</v>
      </c>
      <c r="J647" t="n">
        <v>0</v>
      </c>
      <c r="K647" t="n">
        <v>0</v>
      </c>
      <c r="L647" t="n">
        <v>0</v>
      </c>
      <c r="M647" t="n">
        <v>0</v>
      </c>
      <c r="N647" t="n">
        <v>0</v>
      </c>
      <c r="O647" t="n">
        <v>0</v>
      </c>
      <c r="P647" t="n">
        <v>0</v>
      </c>
      <c r="Q647" t="n">
        <v>0</v>
      </c>
      <c r="R647" s="2" t="inlineStr"/>
    </row>
    <row r="648" ht="15" customHeight="1">
      <c r="A648" t="inlineStr">
        <is>
          <t>A 34205-2023</t>
        </is>
      </c>
      <c r="B648" s="1" t="n">
        <v>45138</v>
      </c>
      <c r="C648" s="1" t="n">
        <v>45990</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59039-2025</t>
        </is>
      </c>
      <c r="B649" s="1" t="n">
        <v>45988.36790509259</v>
      </c>
      <c r="C649" s="1" t="n">
        <v>45990</v>
      </c>
      <c r="D649" t="inlineStr">
        <is>
          <t>KALMAR LÄN</t>
        </is>
      </c>
      <c r="E649" t="inlineStr">
        <is>
          <t>VIMMERBY</t>
        </is>
      </c>
      <c r="F649" t="inlineStr">
        <is>
          <t>Sveaskog</t>
        </is>
      </c>
      <c r="G649" t="n">
        <v>3.2</v>
      </c>
      <c r="H649" t="n">
        <v>0</v>
      </c>
      <c r="I649" t="n">
        <v>0</v>
      </c>
      <c r="J649" t="n">
        <v>0</v>
      </c>
      <c r="K649" t="n">
        <v>0</v>
      </c>
      <c r="L649" t="n">
        <v>0</v>
      </c>
      <c r="M649" t="n">
        <v>0</v>
      </c>
      <c r="N649" t="n">
        <v>0</v>
      </c>
      <c r="O649" t="n">
        <v>0</v>
      </c>
      <c r="P649" t="n">
        <v>0</v>
      </c>
      <c r="Q649" t="n">
        <v>0</v>
      </c>
      <c r="R649" s="2" t="inlineStr"/>
    </row>
    <row r="650" ht="15" customHeight="1">
      <c r="A650" t="inlineStr">
        <is>
          <t>A 59034-2025</t>
        </is>
      </c>
      <c r="B650" s="1" t="n">
        <v>45988.36243055556</v>
      </c>
      <c r="C650" s="1" t="n">
        <v>45990</v>
      </c>
      <c r="D650" t="inlineStr">
        <is>
          <t>KALMAR LÄN</t>
        </is>
      </c>
      <c r="E650" t="inlineStr">
        <is>
          <t>VIMMERBY</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59068-2025</t>
        </is>
      </c>
      <c r="B651" s="1" t="n">
        <v>45988.41725694444</v>
      </c>
      <c r="C651" s="1" t="n">
        <v>45990</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58997-2025</t>
        </is>
      </c>
      <c r="B652" s="1" t="n">
        <v>45987</v>
      </c>
      <c r="C652" s="1" t="n">
        <v>45990</v>
      </c>
      <c r="D652" t="inlineStr">
        <is>
          <t>KALMAR LÄN</t>
        </is>
      </c>
      <c r="E652" t="inlineStr">
        <is>
          <t>VIMMERBY</t>
        </is>
      </c>
      <c r="G652" t="n">
        <v>7.9</v>
      </c>
      <c r="H652" t="n">
        <v>0</v>
      </c>
      <c r="I652" t="n">
        <v>0</v>
      </c>
      <c r="J652" t="n">
        <v>0</v>
      </c>
      <c r="K652" t="n">
        <v>0</v>
      </c>
      <c r="L652" t="n">
        <v>0</v>
      </c>
      <c r="M652" t="n">
        <v>0</v>
      </c>
      <c r="N652" t="n">
        <v>0</v>
      </c>
      <c r="O652" t="n">
        <v>0</v>
      </c>
      <c r="P652" t="n">
        <v>0</v>
      </c>
      <c r="Q652" t="n">
        <v>0</v>
      </c>
      <c r="R652" s="2" t="inlineStr"/>
    </row>
    <row r="653" ht="15" customHeight="1">
      <c r="A653" t="inlineStr">
        <is>
          <t>A 3268-2024</t>
        </is>
      </c>
      <c r="B653" s="1" t="n">
        <v>45317</v>
      </c>
      <c r="C653" s="1" t="n">
        <v>45990</v>
      </c>
      <c r="D653" t="inlineStr">
        <is>
          <t>KALMAR LÄN</t>
        </is>
      </c>
      <c r="E653" t="inlineStr">
        <is>
          <t>VIMMERBY</t>
        </is>
      </c>
      <c r="F653" t="inlineStr">
        <is>
          <t>Övriga Aktiebolag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12819-2024</t>
        </is>
      </c>
      <c r="B654" s="1" t="n">
        <v>45384.66917824074</v>
      </c>
      <c r="C654" s="1" t="n">
        <v>45990</v>
      </c>
      <c r="D654" t="inlineStr">
        <is>
          <t>KALMAR LÄN</t>
        </is>
      </c>
      <c r="E654" t="inlineStr">
        <is>
          <t>VIMMERBY</t>
        </is>
      </c>
      <c r="G654" t="n">
        <v>5.1</v>
      </c>
      <c r="H654" t="n">
        <v>0</v>
      </c>
      <c r="I654" t="n">
        <v>0</v>
      </c>
      <c r="J654" t="n">
        <v>0</v>
      </c>
      <c r="K654" t="n">
        <v>0</v>
      </c>
      <c r="L654" t="n">
        <v>0</v>
      </c>
      <c r="M654" t="n">
        <v>0</v>
      </c>
      <c r="N654" t="n">
        <v>0</v>
      </c>
      <c r="O654" t="n">
        <v>0</v>
      </c>
      <c r="P654" t="n">
        <v>0</v>
      </c>
      <c r="Q654" t="n">
        <v>0</v>
      </c>
      <c r="R654" s="2" t="inlineStr"/>
    </row>
    <row r="655" ht="15" customHeight="1">
      <c r="A655" t="inlineStr">
        <is>
          <t>A 6214-2025</t>
        </is>
      </c>
      <c r="B655" s="1" t="n">
        <v>45698.51711805556</v>
      </c>
      <c r="C655" s="1" t="n">
        <v>45990</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32569-2024</t>
        </is>
      </c>
      <c r="B656" s="1" t="n">
        <v>45513.55840277778</v>
      </c>
      <c r="C656" s="1" t="n">
        <v>45990</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32575-2024</t>
        </is>
      </c>
      <c r="B657" s="1" t="n">
        <v>45513.56527777778</v>
      </c>
      <c r="C657" s="1" t="n">
        <v>45990</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59300-2024</t>
        </is>
      </c>
      <c r="B658" s="1" t="n">
        <v>45637.66542824074</v>
      </c>
      <c r="C658" s="1" t="n">
        <v>45990</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59768-2024</t>
        </is>
      </c>
      <c r="B659" s="1" t="n">
        <v>45639.56185185185</v>
      </c>
      <c r="C659" s="1" t="n">
        <v>45990</v>
      </c>
      <c r="D659" t="inlineStr">
        <is>
          <t>KALMAR LÄN</t>
        </is>
      </c>
      <c r="E659" t="inlineStr">
        <is>
          <t>VIMMERBY</t>
        </is>
      </c>
      <c r="G659" t="n">
        <v>5.9</v>
      </c>
      <c r="H659" t="n">
        <v>0</v>
      </c>
      <c r="I659" t="n">
        <v>0</v>
      </c>
      <c r="J659" t="n">
        <v>0</v>
      </c>
      <c r="K659" t="n">
        <v>0</v>
      </c>
      <c r="L659" t="n">
        <v>0</v>
      </c>
      <c r="M659" t="n">
        <v>0</v>
      </c>
      <c r="N659" t="n">
        <v>0</v>
      </c>
      <c r="O659" t="n">
        <v>0</v>
      </c>
      <c r="P659" t="n">
        <v>0</v>
      </c>
      <c r="Q659" t="n">
        <v>0</v>
      </c>
      <c r="R659" s="2" t="inlineStr"/>
    </row>
    <row r="660" ht="15" customHeight="1">
      <c r="A660" t="inlineStr">
        <is>
          <t>A 36526-2023</t>
        </is>
      </c>
      <c r="B660" s="1" t="n">
        <v>45153.32778935185</v>
      </c>
      <c r="C660" s="1" t="n">
        <v>45990</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58728-2024</t>
        </is>
      </c>
      <c r="B661" s="1" t="n">
        <v>45635.66695601852</v>
      </c>
      <c r="C661" s="1" t="n">
        <v>45990</v>
      </c>
      <c r="D661" t="inlineStr">
        <is>
          <t>KALMAR LÄN</t>
        </is>
      </c>
      <c r="E661" t="inlineStr">
        <is>
          <t>VIMMERBY</t>
        </is>
      </c>
      <c r="G661" t="n">
        <v>0.4</v>
      </c>
      <c r="H661" t="n">
        <v>0</v>
      </c>
      <c r="I661" t="n">
        <v>0</v>
      </c>
      <c r="J661" t="n">
        <v>0</v>
      </c>
      <c r="K661" t="n">
        <v>0</v>
      </c>
      <c r="L661" t="n">
        <v>0</v>
      </c>
      <c r="M661" t="n">
        <v>0</v>
      </c>
      <c r="N661" t="n">
        <v>0</v>
      </c>
      <c r="O661" t="n">
        <v>0</v>
      </c>
      <c r="P661" t="n">
        <v>0</v>
      </c>
      <c r="Q661" t="n">
        <v>0</v>
      </c>
      <c r="R661" s="2" t="inlineStr"/>
    </row>
    <row r="662" ht="15" customHeight="1">
      <c r="A662" t="inlineStr">
        <is>
          <t>A 49474-2023</t>
        </is>
      </c>
      <c r="B662" s="1" t="n">
        <v>45211.541875</v>
      </c>
      <c r="C662" s="1" t="n">
        <v>45990</v>
      </c>
      <c r="D662" t="inlineStr">
        <is>
          <t>KALMAR LÄN</t>
        </is>
      </c>
      <c r="E662" t="inlineStr">
        <is>
          <t>VIMMERBY</t>
        </is>
      </c>
      <c r="G662" t="n">
        <v>3.6</v>
      </c>
      <c r="H662" t="n">
        <v>0</v>
      </c>
      <c r="I662" t="n">
        <v>0</v>
      </c>
      <c r="J662" t="n">
        <v>0</v>
      </c>
      <c r="K662" t="n">
        <v>0</v>
      </c>
      <c r="L662" t="n">
        <v>0</v>
      </c>
      <c r="M662" t="n">
        <v>0</v>
      </c>
      <c r="N662" t="n">
        <v>0</v>
      </c>
      <c r="O662" t="n">
        <v>0</v>
      </c>
      <c r="P662" t="n">
        <v>0</v>
      </c>
      <c r="Q662" t="n">
        <v>0</v>
      </c>
      <c r="R662" s="2" t="inlineStr"/>
    </row>
    <row r="663" ht="15" customHeight="1">
      <c r="A663" t="inlineStr">
        <is>
          <t>A 57682-2022</t>
        </is>
      </c>
      <c r="B663" s="1" t="n">
        <v>44890</v>
      </c>
      <c r="C663" s="1" t="n">
        <v>45990</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14220-2021</t>
        </is>
      </c>
      <c r="B664" s="1" t="n">
        <v>44278.54855324074</v>
      </c>
      <c r="C664" s="1" t="n">
        <v>45990</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63950-2023</t>
        </is>
      </c>
      <c r="B665" s="1" t="n">
        <v>45278</v>
      </c>
      <c r="C665" s="1" t="n">
        <v>45990</v>
      </c>
      <c r="D665" t="inlineStr">
        <is>
          <t>KALMAR LÄN</t>
        </is>
      </c>
      <c r="E665" t="inlineStr">
        <is>
          <t>VIMMERBY</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16516-2023</t>
        </is>
      </c>
      <c r="B666" s="1" t="n">
        <v>45029</v>
      </c>
      <c r="C666" s="1" t="n">
        <v>45990</v>
      </c>
      <c r="D666" t="inlineStr">
        <is>
          <t>KALMAR LÄN</t>
        </is>
      </c>
      <c r="E666" t="inlineStr">
        <is>
          <t>VIMMERBY</t>
        </is>
      </c>
      <c r="G666" t="n">
        <v>4.3</v>
      </c>
      <c r="H666" t="n">
        <v>0</v>
      </c>
      <c r="I666" t="n">
        <v>0</v>
      </c>
      <c r="J666" t="n">
        <v>0</v>
      </c>
      <c r="K666" t="n">
        <v>0</v>
      </c>
      <c r="L666" t="n">
        <v>0</v>
      </c>
      <c r="M666" t="n">
        <v>0</v>
      </c>
      <c r="N666" t="n">
        <v>0</v>
      </c>
      <c r="O666" t="n">
        <v>0</v>
      </c>
      <c r="P666" t="n">
        <v>0</v>
      </c>
      <c r="Q666" t="n">
        <v>0</v>
      </c>
      <c r="R666" s="2" t="inlineStr"/>
    </row>
    <row r="667" ht="15" customHeight="1">
      <c r="A667" t="inlineStr">
        <is>
          <t>A 47842-2024</t>
        </is>
      </c>
      <c r="B667" s="1" t="n">
        <v>45588.65545138889</v>
      </c>
      <c r="C667" s="1" t="n">
        <v>45990</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6408-2025</t>
        </is>
      </c>
      <c r="B668" s="1" t="n">
        <v>45699.45671296296</v>
      </c>
      <c r="C668" s="1" t="n">
        <v>45990</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25109-2023</t>
        </is>
      </c>
      <c r="B669" s="1" t="n">
        <v>45086</v>
      </c>
      <c r="C669" s="1" t="n">
        <v>45990</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33380-2023</t>
        </is>
      </c>
      <c r="B670" s="1" t="n">
        <v>45128</v>
      </c>
      <c r="C670" s="1" t="n">
        <v>45990</v>
      </c>
      <c r="D670" t="inlineStr">
        <is>
          <t>KALMAR LÄN</t>
        </is>
      </c>
      <c r="E670" t="inlineStr">
        <is>
          <t>VIMMERBY</t>
        </is>
      </c>
      <c r="G670" t="n">
        <v>5.2</v>
      </c>
      <c r="H670" t="n">
        <v>0</v>
      </c>
      <c r="I670" t="n">
        <v>0</v>
      </c>
      <c r="J670" t="n">
        <v>0</v>
      </c>
      <c r="K670" t="n">
        <v>0</v>
      </c>
      <c r="L670" t="n">
        <v>0</v>
      </c>
      <c r="M670" t="n">
        <v>0</v>
      </c>
      <c r="N670" t="n">
        <v>0</v>
      </c>
      <c r="O670" t="n">
        <v>0</v>
      </c>
      <c r="P670" t="n">
        <v>0</v>
      </c>
      <c r="Q670" t="n">
        <v>0</v>
      </c>
      <c r="R670" s="2" t="inlineStr"/>
    </row>
    <row r="671" ht="15" customHeight="1">
      <c r="A671" t="inlineStr">
        <is>
          <t>A 32639-2023</t>
        </is>
      </c>
      <c r="B671" s="1" t="n">
        <v>45121.5965162037</v>
      </c>
      <c r="C671" s="1" t="n">
        <v>45990</v>
      </c>
      <c r="D671" t="inlineStr">
        <is>
          <t>KALMAR LÄN</t>
        </is>
      </c>
      <c r="E671" t="inlineStr">
        <is>
          <t>VIMMERBY</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32642-2023</t>
        </is>
      </c>
      <c r="B672" s="1" t="n">
        <v>45121.59954861111</v>
      </c>
      <c r="C672" s="1" t="n">
        <v>45990</v>
      </c>
      <c r="D672" t="inlineStr">
        <is>
          <t>KALMAR LÄN</t>
        </is>
      </c>
      <c r="E672" t="inlineStr">
        <is>
          <t>VIMMERBY</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32651-2023</t>
        </is>
      </c>
      <c r="B673" s="1" t="n">
        <v>45121.6096875</v>
      </c>
      <c r="C673" s="1" t="n">
        <v>45990</v>
      </c>
      <c r="D673" t="inlineStr">
        <is>
          <t>KALMAR LÄN</t>
        </is>
      </c>
      <c r="E673" t="inlineStr">
        <is>
          <t>VIMMERBY</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11928-2022</t>
        </is>
      </c>
      <c r="B674" s="1" t="n">
        <v>44635</v>
      </c>
      <c r="C674" s="1" t="n">
        <v>45990</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7068-2024</t>
        </is>
      </c>
      <c r="B675" s="1" t="n">
        <v>45343.68038194445</v>
      </c>
      <c r="C675" s="1" t="n">
        <v>45990</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46234-2024</t>
        </is>
      </c>
      <c r="B676" s="1" t="n">
        <v>45581.57958333333</v>
      </c>
      <c r="C676" s="1" t="n">
        <v>45990</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37187-2024</t>
        </is>
      </c>
      <c r="B677" s="1" t="n">
        <v>45539.65212962963</v>
      </c>
      <c r="C677" s="1" t="n">
        <v>45990</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1021-2024</t>
        </is>
      </c>
      <c r="B678" s="1" t="n">
        <v>45301.67736111111</v>
      </c>
      <c r="C678" s="1" t="n">
        <v>45990</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72701-2021</t>
        </is>
      </c>
      <c r="B679" s="1" t="n">
        <v>44546</v>
      </c>
      <c r="C679" s="1" t="n">
        <v>45990</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19111-2025</t>
        </is>
      </c>
      <c r="B680" s="1" t="n">
        <v>45768.65611111111</v>
      </c>
      <c r="C680" s="1" t="n">
        <v>45990</v>
      </c>
      <c r="D680" t="inlineStr">
        <is>
          <t>KALMAR LÄN</t>
        </is>
      </c>
      <c r="E680" t="inlineStr">
        <is>
          <t>VIMMERBY</t>
        </is>
      </c>
      <c r="G680" t="n">
        <v>6.2</v>
      </c>
      <c r="H680" t="n">
        <v>0</v>
      </c>
      <c r="I680" t="n">
        <v>0</v>
      </c>
      <c r="J680" t="n">
        <v>0</v>
      </c>
      <c r="K680" t="n">
        <v>0</v>
      </c>
      <c r="L680" t="n">
        <v>0</v>
      </c>
      <c r="M680" t="n">
        <v>0</v>
      </c>
      <c r="N680" t="n">
        <v>0</v>
      </c>
      <c r="O680" t="n">
        <v>0</v>
      </c>
      <c r="P680" t="n">
        <v>0</v>
      </c>
      <c r="Q680" t="n">
        <v>0</v>
      </c>
      <c r="R680" s="2" t="inlineStr"/>
    </row>
    <row r="681" ht="15" customHeight="1">
      <c r="A681" t="inlineStr">
        <is>
          <t>A 33374-2021</t>
        </is>
      </c>
      <c r="B681" s="1" t="n">
        <v>44377</v>
      </c>
      <c r="C681" s="1" t="n">
        <v>45990</v>
      </c>
      <c r="D681" t="inlineStr">
        <is>
          <t>KALMAR LÄN</t>
        </is>
      </c>
      <c r="E681" t="inlineStr">
        <is>
          <t>VIMMERBY</t>
        </is>
      </c>
      <c r="G681" t="n">
        <v>3.3</v>
      </c>
      <c r="H681" t="n">
        <v>0</v>
      </c>
      <c r="I681" t="n">
        <v>0</v>
      </c>
      <c r="J681" t="n">
        <v>0</v>
      </c>
      <c r="K681" t="n">
        <v>0</v>
      </c>
      <c r="L681" t="n">
        <v>0</v>
      </c>
      <c r="M681" t="n">
        <v>0</v>
      </c>
      <c r="N681" t="n">
        <v>0</v>
      </c>
      <c r="O681" t="n">
        <v>0</v>
      </c>
      <c r="P681" t="n">
        <v>0</v>
      </c>
      <c r="Q681" t="n">
        <v>0</v>
      </c>
      <c r="R681" s="2" t="inlineStr"/>
    </row>
    <row r="682" ht="15" customHeight="1">
      <c r="A682" t="inlineStr">
        <is>
          <t>A 10807-2024</t>
        </is>
      </c>
      <c r="B682" s="1" t="n">
        <v>45369.62780092593</v>
      </c>
      <c r="C682" s="1" t="n">
        <v>45990</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33359-2021</t>
        </is>
      </c>
      <c r="B683" s="1" t="n">
        <v>44377.49684027778</v>
      </c>
      <c r="C683" s="1" t="n">
        <v>45990</v>
      </c>
      <c r="D683" t="inlineStr">
        <is>
          <t>KALMAR LÄN</t>
        </is>
      </c>
      <c r="E683" t="inlineStr">
        <is>
          <t>VIMMERBY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34588-2024</t>
        </is>
      </c>
      <c r="B684" s="1" t="n">
        <v>45526.3865625</v>
      </c>
      <c r="C684" s="1" t="n">
        <v>45990</v>
      </c>
      <c r="D684" t="inlineStr">
        <is>
          <t>KALMAR LÄN</t>
        </is>
      </c>
      <c r="E684" t="inlineStr">
        <is>
          <t>VIMMERBY</t>
        </is>
      </c>
      <c r="F684" t="inlineStr">
        <is>
          <t>Övriga Aktiebolag</t>
        </is>
      </c>
      <c r="G684" t="n">
        <v>3.3</v>
      </c>
      <c r="H684" t="n">
        <v>0</v>
      </c>
      <c r="I684" t="n">
        <v>0</v>
      </c>
      <c r="J684" t="n">
        <v>0</v>
      </c>
      <c r="K684" t="n">
        <v>0</v>
      </c>
      <c r="L684" t="n">
        <v>0</v>
      </c>
      <c r="M684" t="n">
        <v>0</v>
      </c>
      <c r="N684" t="n">
        <v>0</v>
      </c>
      <c r="O684" t="n">
        <v>0</v>
      </c>
      <c r="P684" t="n">
        <v>0</v>
      </c>
      <c r="Q684" t="n">
        <v>0</v>
      </c>
      <c r="R684" s="2" t="inlineStr"/>
    </row>
    <row r="685" ht="15" customHeight="1">
      <c r="A685" t="inlineStr">
        <is>
          <t>A 17084-2025</t>
        </is>
      </c>
      <c r="B685" s="1" t="n">
        <v>45755.64450231481</v>
      </c>
      <c r="C685" s="1" t="n">
        <v>45990</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33161-2024</t>
        </is>
      </c>
      <c r="B686" s="1" t="n">
        <v>45518.40657407408</v>
      </c>
      <c r="C686" s="1" t="n">
        <v>45990</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14359-2025</t>
        </is>
      </c>
      <c r="B687" s="1" t="n">
        <v>45741.37270833334</v>
      </c>
      <c r="C687" s="1" t="n">
        <v>45990</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7075-2021</t>
        </is>
      </c>
      <c r="B688" s="1" t="n">
        <v>44237</v>
      </c>
      <c r="C688" s="1" t="n">
        <v>45990</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55605-2024</t>
        </is>
      </c>
      <c r="B689" s="1" t="n">
        <v>45622</v>
      </c>
      <c r="C689" s="1" t="n">
        <v>45990</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44464-2024</t>
        </is>
      </c>
      <c r="B690" s="1" t="n">
        <v>45574.35809027778</v>
      </c>
      <c r="C690" s="1" t="n">
        <v>45990</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36049-2024</t>
        </is>
      </c>
      <c r="B691" s="1" t="n">
        <v>45533.61996527778</v>
      </c>
      <c r="C691" s="1" t="n">
        <v>45990</v>
      </c>
      <c r="D691" t="inlineStr">
        <is>
          <t>KALMAR LÄN</t>
        </is>
      </c>
      <c r="E691" t="inlineStr">
        <is>
          <t>VIMMERBY</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4297-2022</t>
        </is>
      </c>
      <c r="B692" s="1" t="n">
        <v>44588</v>
      </c>
      <c r="C692" s="1" t="n">
        <v>45990</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46399-2024</t>
        </is>
      </c>
      <c r="B693" s="1" t="n">
        <v>45582.41200231481</v>
      </c>
      <c r="C693" s="1" t="n">
        <v>45990</v>
      </c>
      <c r="D693" t="inlineStr">
        <is>
          <t>KALMAR LÄN</t>
        </is>
      </c>
      <c r="E693" t="inlineStr">
        <is>
          <t>VIMMERBY</t>
        </is>
      </c>
      <c r="G693" t="n">
        <v>4.6</v>
      </c>
      <c r="H693" t="n">
        <v>0</v>
      </c>
      <c r="I693" t="n">
        <v>0</v>
      </c>
      <c r="J693" t="n">
        <v>0</v>
      </c>
      <c r="K693" t="n">
        <v>0</v>
      </c>
      <c r="L693" t="n">
        <v>0</v>
      </c>
      <c r="M693" t="n">
        <v>0</v>
      </c>
      <c r="N693" t="n">
        <v>0</v>
      </c>
      <c r="O693" t="n">
        <v>0</v>
      </c>
      <c r="P693" t="n">
        <v>0</v>
      </c>
      <c r="Q693" t="n">
        <v>0</v>
      </c>
      <c r="R693" s="2" t="inlineStr"/>
    </row>
    <row r="694" ht="15" customHeight="1">
      <c r="A694" t="inlineStr">
        <is>
          <t>A 13532-2025</t>
        </is>
      </c>
      <c r="B694" s="1" t="n">
        <v>45736.50743055555</v>
      </c>
      <c r="C694" s="1" t="n">
        <v>45990</v>
      </c>
      <c r="D694" t="inlineStr">
        <is>
          <t>KALMAR LÄN</t>
        </is>
      </c>
      <c r="E694" t="inlineStr">
        <is>
          <t>VIMMERBY</t>
        </is>
      </c>
      <c r="G694" t="n">
        <v>3.6</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44833.60123842592</v>
      </c>
      <c r="C695" s="1" t="n">
        <v>45990</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12596-2021</t>
        </is>
      </c>
      <c r="B696" s="1" t="n">
        <v>44270.39765046296</v>
      </c>
      <c r="C696" s="1" t="n">
        <v>45990</v>
      </c>
      <c r="D696" t="inlineStr">
        <is>
          <t>KALMAR LÄN</t>
        </is>
      </c>
      <c r="E696" t="inlineStr">
        <is>
          <t>VIMMERBY</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57799-2022</t>
        </is>
      </c>
      <c r="B697" s="1" t="n">
        <v>44897</v>
      </c>
      <c r="C697" s="1" t="n">
        <v>45990</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30921-2024</t>
        </is>
      </c>
      <c r="B698" s="1" t="n">
        <v>45498</v>
      </c>
      <c r="C698" s="1" t="n">
        <v>45990</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14137-2023</t>
        </is>
      </c>
      <c r="B699" s="1" t="n">
        <v>45009.4671875</v>
      </c>
      <c r="C699" s="1" t="n">
        <v>45990</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11152-2023</t>
        </is>
      </c>
      <c r="B700" s="1" t="n">
        <v>44992</v>
      </c>
      <c r="C700" s="1" t="n">
        <v>45990</v>
      </c>
      <c r="D700" t="inlineStr">
        <is>
          <t>KALMAR LÄN</t>
        </is>
      </c>
      <c r="E700" t="inlineStr">
        <is>
          <t>VIMMERBY</t>
        </is>
      </c>
      <c r="G700" t="n">
        <v>10.6</v>
      </c>
      <c r="H700" t="n">
        <v>0</v>
      </c>
      <c r="I700" t="n">
        <v>0</v>
      </c>
      <c r="J700" t="n">
        <v>0</v>
      </c>
      <c r="K700" t="n">
        <v>0</v>
      </c>
      <c r="L700" t="n">
        <v>0</v>
      </c>
      <c r="M700" t="n">
        <v>0</v>
      </c>
      <c r="N700" t="n">
        <v>0</v>
      </c>
      <c r="O700" t="n">
        <v>0</v>
      </c>
      <c r="P700" t="n">
        <v>0</v>
      </c>
      <c r="Q700" t="n">
        <v>0</v>
      </c>
      <c r="R700" s="2" t="inlineStr"/>
    </row>
    <row r="701" ht="15" customHeight="1">
      <c r="A701" t="inlineStr">
        <is>
          <t>A 12499-2023</t>
        </is>
      </c>
      <c r="B701" s="1" t="n">
        <v>44999.86172453704</v>
      </c>
      <c r="C701" s="1" t="n">
        <v>45990</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12500-2023</t>
        </is>
      </c>
      <c r="B702" s="1" t="n">
        <v>44999.8625</v>
      </c>
      <c r="C702" s="1" t="n">
        <v>45990</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35846-2023</t>
        </is>
      </c>
      <c r="B703" s="1" t="n">
        <v>45148</v>
      </c>
      <c r="C703" s="1" t="n">
        <v>45990</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49039-2021</t>
        </is>
      </c>
      <c r="B704" s="1" t="n">
        <v>44453.56578703703</v>
      </c>
      <c r="C704" s="1" t="n">
        <v>45990</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46224-2024</t>
        </is>
      </c>
      <c r="B705" s="1" t="n">
        <v>45581.57016203704</v>
      </c>
      <c r="C705" s="1" t="n">
        <v>45990</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46238-2024</t>
        </is>
      </c>
      <c r="B706" s="1" t="n">
        <v>45581.58418981481</v>
      </c>
      <c r="C706" s="1" t="n">
        <v>45990</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30633-2024</t>
        </is>
      </c>
      <c r="B707" s="1" t="n">
        <v>45495</v>
      </c>
      <c r="C707" s="1" t="n">
        <v>45990</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54838-2024</t>
        </is>
      </c>
      <c r="B708" s="1" t="n">
        <v>45618.56787037037</v>
      </c>
      <c r="C708" s="1" t="n">
        <v>45990</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45990</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60437-2023</t>
        </is>
      </c>
      <c r="B710" s="1" t="n">
        <v>45259.51916666667</v>
      </c>
      <c r="C710" s="1" t="n">
        <v>45990</v>
      </c>
      <c r="D710" t="inlineStr">
        <is>
          <t>KALMAR LÄN</t>
        </is>
      </c>
      <c r="E710" t="inlineStr">
        <is>
          <t>VIMMERBY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60438-2023</t>
        </is>
      </c>
      <c r="B711" s="1" t="n">
        <v>45259.52020833334</v>
      </c>
      <c r="C711" s="1" t="n">
        <v>45990</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42165-2024</t>
        </is>
      </c>
      <c r="B712" s="1" t="n">
        <v>45562.46342592593</v>
      </c>
      <c r="C712" s="1" t="n">
        <v>45990</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45990</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66022-2021</t>
        </is>
      </c>
      <c r="B714" s="1" t="n">
        <v>44517</v>
      </c>
      <c r="C714" s="1" t="n">
        <v>45990</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45990</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11073-2023</t>
        </is>
      </c>
      <c r="B716" s="1" t="n">
        <v>44992</v>
      </c>
      <c r="C716" s="1" t="n">
        <v>45990</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45990</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32655-2023</t>
        </is>
      </c>
      <c r="B718" s="1" t="n">
        <v>45121.61318287037</v>
      </c>
      <c r="C718" s="1" t="n">
        <v>45990</v>
      </c>
      <c r="D718" t="inlineStr">
        <is>
          <t>KALMAR LÄN</t>
        </is>
      </c>
      <c r="E718" t="inlineStr">
        <is>
          <t>VIMMERBY</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63541-2023</t>
        </is>
      </c>
      <c r="B719" s="1" t="n">
        <v>45275.32266203704</v>
      </c>
      <c r="C719" s="1" t="n">
        <v>45990</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28034-2022</t>
        </is>
      </c>
      <c r="B720" s="1" t="n">
        <v>44746.38834490741</v>
      </c>
      <c r="C720" s="1" t="n">
        <v>45990</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5938-2022</t>
        </is>
      </c>
      <c r="B721" s="1" t="n">
        <v>44598</v>
      </c>
      <c r="C721" s="1" t="n">
        <v>45990</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45990</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45990</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45990</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45990</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45990</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45990</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45990</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45990</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45990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45990</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45990</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45990</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45990</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45990</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45990</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45990</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45990</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45990</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45990</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45990</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45990</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45990</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45990</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45990</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45990</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45990</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45990</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45990</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45990</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45990</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45990</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45990</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45990</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45990</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45990</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45990</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45990</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45990</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45990</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45990</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45990</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45990</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45990</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45990</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45990</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45990</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45990</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45990</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45990</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45990</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45990</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45990</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45990</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45990</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45990</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45990</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45990</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45990</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45990</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45990</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45990</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45990</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45990</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45990</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45990</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45990</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45990</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45990</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45990</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45990</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45990</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45990</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45990</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45990</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45990</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45990</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45990</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45990</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45990</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45990</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45990</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45990</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45990</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45990</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45990</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45990</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45990</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45990</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45990</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45990</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45990</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45990</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45990</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45990</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45990</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65049-2020</t>
        </is>
      </c>
      <c r="B817" s="1" t="n">
        <v>44172</v>
      </c>
      <c r="C817" s="1" t="n">
        <v>45990</v>
      </c>
      <c r="D817" t="inlineStr">
        <is>
          <t>KALMAR LÄN</t>
        </is>
      </c>
      <c r="E817" t="inlineStr">
        <is>
          <t>VIMMERBY</t>
        </is>
      </c>
      <c r="G817" t="n">
        <v>2.3</v>
      </c>
      <c r="H817" t="n">
        <v>0</v>
      </c>
      <c r="I817" t="n">
        <v>0</v>
      </c>
      <c r="J817" t="n">
        <v>0</v>
      </c>
      <c r="K817" t="n">
        <v>0</v>
      </c>
      <c r="L817" t="n">
        <v>0</v>
      </c>
      <c r="M817" t="n">
        <v>0</v>
      </c>
      <c r="N817" t="n">
        <v>0</v>
      </c>
      <c r="O817" t="n">
        <v>0</v>
      </c>
      <c r="P817" t="n">
        <v>0</v>
      </c>
      <c r="Q817" t="n">
        <v>0</v>
      </c>
      <c r="R817" s="2" t="inlineStr"/>
    </row>
    <row r="818" ht="15" customHeight="1">
      <c r="A818" t="inlineStr">
        <is>
          <t>A 33815-2022</t>
        </is>
      </c>
      <c r="B818" s="1" t="n">
        <v>44790.45876157407</v>
      </c>
      <c r="C818" s="1" t="n">
        <v>45990</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33842-2022</t>
        </is>
      </c>
      <c r="B819" s="1" t="n">
        <v>44790.49523148148</v>
      </c>
      <c r="C819" s="1" t="n">
        <v>45990</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49408-2023</t>
        </is>
      </c>
      <c r="B820" s="1" t="n">
        <v>45211.43555555555</v>
      </c>
      <c r="C820" s="1" t="n">
        <v>45990</v>
      </c>
      <c r="D820" t="inlineStr">
        <is>
          <t>KALMAR LÄN</t>
        </is>
      </c>
      <c r="E820" t="inlineStr">
        <is>
          <t>VIMMERBY</t>
        </is>
      </c>
      <c r="G820" t="n">
        <v>13.1</v>
      </c>
      <c r="H820" t="n">
        <v>0</v>
      </c>
      <c r="I820" t="n">
        <v>0</v>
      </c>
      <c r="J820" t="n">
        <v>0</v>
      </c>
      <c r="K820" t="n">
        <v>0</v>
      </c>
      <c r="L820" t="n">
        <v>0</v>
      </c>
      <c r="M820" t="n">
        <v>0</v>
      </c>
      <c r="N820" t="n">
        <v>0</v>
      </c>
      <c r="O820" t="n">
        <v>0</v>
      </c>
      <c r="P820" t="n">
        <v>0</v>
      </c>
      <c r="Q820" t="n">
        <v>0</v>
      </c>
      <c r="R820" s="2" t="inlineStr"/>
    </row>
    <row r="821" ht="15" customHeight="1">
      <c r="A821" t="inlineStr">
        <is>
          <t>A 56536-2022</t>
        </is>
      </c>
      <c r="B821" s="1" t="n">
        <v>44893</v>
      </c>
      <c r="C821" s="1" t="n">
        <v>45990</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41199-2023</t>
        </is>
      </c>
      <c r="B822" s="1" t="n">
        <v>45174.40454861111</v>
      </c>
      <c r="C822" s="1" t="n">
        <v>45990</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8945-2025</t>
        </is>
      </c>
      <c r="B823" s="1" t="n">
        <v>45713.45311342592</v>
      </c>
      <c r="C823" s="1" t="n">
        <v>45990</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11619-2023</t>
        </is>
      </c>
      <c r="B824" s="1" t="n">
        <v>44994.42113425926</v>
      </c>
      <c r="C824" s="1" t="n">
        <v>45990</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41896-2023</t>
        </is>
      </c>
      <c r="B825" s="1" t="n">
        <v>45176.72427083334</v>
      </c>
      <c r="C825" s="1" t="n">
        <v>45990</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17926-2025</t>
        </is>
      </c>
      <c r="B826" s="1" t="n">
        <v>45759.38987268518</v>
      </c>
      <c r="C826" s="1" t="n">
        <v>45990</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21028-2023</t>
        </is>
      </c>
      <c r="B827" s="1" t="n">
        <v>45061</v>
      </c>
      <c r="C827" s="1" t="n">
        <v>45990</v>
      </c>
      <c r="D827" t="inlineStr">
        <is>
          <t>KALMAR LÄN</t>
        </is>
      </c>
      <c r="E827" t="inlineStr">
        <is>
          <t>VIMMERBY</t>
        </is>
      </c>
      <c r="F827" t="inlineStr">
        <is>
          <t>Övriga Aktiebolag</t>
        </is>
      </c>
      <c r="G827" t="n">
        <v>0.7</v>
      </c>
      <c r="H827" t="n">
        <v>0</v>
      </c>
      <c r="I827" t="n">
        <v>0</v>
      </c>
      <c r="J827" t="n">
        <v>0</v>
      </c>
      <c r="K827" t="n">
        <v>0</v>
      </c>
      <c r="L827" t="n">
        <v>0</v>
      </c>
      <c r="M827" t="n">
        <v>0</v>
      </c>
      <c r="N827" t="n">
        <v>0</v>
      </c>
      <c r="O827" t="n">
        <v>0</v>
      </c>
      <c r="P827" t="n">
        <v>0</v>
      </c>
      <c r="Q827" t="n">
        <v>0</v>
      </c>
      <c r="R827" s="2" t="inlineStr"/>
    </row>
    <row r="828" ht="15" customHeight="1">
      <c r="A828" t="inlineStr">
        <is>
          <t>A 19445-2021</t>
        </is>
      </c>
      <c r="B828" s="1" t="n">
        <v>44310</v>
      </c>
      <c r="C828" s="1" t="n">
        <v>45990</v>
      </c>
      <c r="D828" t="inlineStr">
        <is>
          <t>KALMAR LÄN</t>
        </is>
      </c>
      <c r="E828" t="inlineStr">
        <is>
          <t>VIMMERBY</t>
        </is>
      </c>
      <c r="G828" t="n">
        <v>6.8</v>
      </c>
      <c r="H828" t="n">
        <v>0</v>
      </c>
      <c r="I828" t="n">
        <v>0</v>
      </c>
      <c r="J828" t="n">
        <v>0</v>
      </c>
      <c r="K828" t="n">
        <v>0</v>
      </c>
      <c r="L828" t="n">
        <v>0</v>
      </c>
      <c r="M828" t="n">
        <v>0</v>
      </c>
      <c r="N828" t="n">
        <v>0</v>
      </c>
      <c r="O828" t="n">
        <v>0</v>
      </c>
      <c r="P828" t="n">
        <v>0</v>
      </c>
      <c r="Q828" t="n">
        <v>0</v>
      </c>
      <c r="R828" s="2" t="inlineStr"/>
    </row>
    <row r="829" ht="15" customHeight="1">
      <c r="A829" t="inlineStr">
        <is>
          <t>A 27122-2023</t>
        </is>
      </c>
      <c r="B829" s="1" t="n">
        <v>45096.45247685185</v>
      </c>
      <c r="C829" s="1" t="n">
        <v>45990</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13813-2024</t>
        </is>
      </c>
      <c r="B830" s="1" t="n">
        <v>45391.41310185185</v>
      </c>
      <c r="C830" s="1" t="n">
        <v>45990</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38969-2023</t>
        </is>
      </c>
      <c r="B831" s="1" t="n">
        <v>45163.63621527778</v>
      </c>
      <c r="C831" s="1" t="n">
        <v>45990</v>
      </c>
      <c r="D831" t="inlineStr">
        <is>
          <t>KALMAR LÄN</t>
        </is>
      </c>
      <c r="E831" t="inlineStr">
        <is>
          <t>VIMMERBY</t>
        </is>
      </c>
      <c r="F831" t="inlineStr">
        <is>
          <t>Sveaskog</t>
        </is>
      </c>
      <c r="G831" t="n">
        <v>2.4</v>
      </c>
      <c r="H831" t="n">
        <v>0</v>
      </c>
      <c r="I831" t="n">
        <v>0</v>
      </c>
      <c r="J831" t="n">
        <v>0</v>
      </c>
      <c r="K831" t="n">
        <v>0</v>
      </c>
      <c r="L831" t="n">
        <v>0</v>
      </c>
      <c r="M831" t="n">
        <v>0</v>
      </c>
      <c r="N831" t="n">
        <v>0</v>
      </c>
      <c r="O831" t="n">
        <v>0</v>
      </c>
      <c r="P831" t="n">
        <v>0</v>
      </c>
      <c r="Q831" t="n">
        <v>0</v>
      </c>
      <c r="R831" s="2" t="inlineStr"/>
    </row>
    <row r="832" ht="15" customHeight="1">
      <c r="A832" t="inlineStr">
        <is>
          <t>A 26937-2023</t>
        </is>
      </c>
      <c r="B832" s="1" t="n">
        <v>45093.62777777778</v>
      </c>
      <c r="C832" s="1" t="n">
        <v>45990</v>
      </c>
      <c r="D832" t="inlineStr">
        <is>
          <t>KALMAR LÄN</t>
        </is>
      </c>
      <c r="E832" t="inlineStr">
        <is>
          <t>VIMMERBY</t>
        </is>
      </c>
      <c r="F832" t="inlineStr">
        <is>
          <t>Sveaskog</t>
        </is>
      </c>
      <c r="G832" t="n">
        <v>14.5</v>
      </c>
      <c r="H832" t="n">
        <v>0</v>
      </c>
      <c r="I832" t="n">
        <v>0</v>
      </c>
      <c r="J832" t="n">
        <v>0</v>
      </c>
      <c r="K832" t="n">
        <v>0</v>
      </c>
      <c r="L832" t="n">
        <v>0</v>
      </c>
      <c r="M832" t="n">
        <v>0</v>
      </c>
      <c r="N832" t="n">
        <v>0</v>
      </c>
      <c r="O832" t="n">
        <v>0</v>
      </c>
      <c r="P832" t="n">
        <v>0</v>
      </c>
      <c r="Q832" t="n">
        <v>0</v>
      </c>
      <c r="R832" s="2" t="inlineStr"/>
    </row>
    <row r="833" ht="15" customHeight="1">
      <c r="A833" t="inlineStr">
        <is>
          <t>A 57486-2024</t>
        </is>
      </c>
      <c r="B833" s="1" t="n">
        <v>45630.35827546296</v>
      </c>
      <c r="C833" s="1" t="n">
        <v>45990</v>
      </c>
      <c r="D833" t="inlineStr">
        <is>
          <t>KALMAR LÄN</t>
        </is>
      </c>
      <c r="E833" t="inlineStr">
        <is>
          <t>VIMMERBY</t>
        </is>
      </c>
      <c r="G833" t="n">
        <v>0.4</v>
      </c>
      <c r="H833" t="n">
        <v>0</v>
      </c>
      <c r="I833" t="n">
        <v>0</v>
      </c>
      <c r="J833" t="n">
        <v>0</v>
      </c>
      <c r="K833" t="n">
        <v>0</v>
      </c>
      <c r="L833" t="n">
        <v>0</v>
      </c>
      <c r="M833" t="n">
        <v>0</v>
      </c>
      <c r="N833" t="n">
        <v>0</v>
      </c>
      <c r="O833" t="n">
        <v>0</v>
      </c>
      <c r="P833" t="n">
        <v>0</v>
      </c>
      <c r="Q833" t="n">
        <v>0</v>
      </c>
      <c r="R833" s="2" t="inlineStr"/>
    </row>
    <row r="834" ht="15" customHeight="1">
      <c r="A834" t="inlineStr">
        <is>
          <t>A 43186-2021</t>
        </is>
      </c>
      <c r="B834" s="1" t="n">
        <v>44431.84840277778</v>
      </c>
      <c r="C834" s="1" t="n">
        <v>45990</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1799-2025</t>
        </is>
      </c>
      <c r="B835" s="1" t="n">
        <v>45671.46746527778</v>
      </c>
      <c r="C835" s="1" t="n">
        <v>45990</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30063-2023</t>
        </is>
      </c>
      <c r="B836" s="1" t="n">
        <v>45110.4184375</v>
      </c>
      <c r="C836" s="1" t="n">
        <v>45990</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43068-2023</t>
        </is>
      </c>
      <c r="B837" s="1" t="n">
        <v>45182.78834490741</v>
      </c>
      <c r="C837" s="1" t="n">
        <v>45990</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18020-2025</t>
        </is>
      </c>
      <c r="B838" s="1" t="n">
        <v>45761.4437962963</v>
      </c>
      <c r="C838" s="1" t="n">
        <v>45990</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33424-2023</t>
        </is>
      </c>
      <c r="B839" s="1" t="n">
        <v>45128.9325</v>
      </c>
      <c r="C839" s="1" t="n">
        <v>45990</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33425-2023</t>
        </is>
      </c>
      <c r="B840" s="1" t="n">
        <v>45128.93540509259</v>
      </c>
      <c r="C840" s="1" t="n">
        <v>45990</v>
      </c>
      <c r="D840" t="inlineStr">
        <is>
          <t>KALMAR LÄN</t>
        </is>
      </c>
      <c r="E840" t="inlineStr">
        <is>
          <t>VIMMERBY</t>
        </is>
      </c>
      <c r="G840" t="n">
        <v>1.4</v>
      </c>
      <c r="H840" t="n">
        <v>0</v>
      </c>
      <c r="I840" t="n">
        <v>0</v>
      </c>
      <c r="J840" t="n">
        <v>0</v>
      </c>
      <c r="K840" t="n">
        <v>0</v>
      </c>
      <c r="L840" t="n">
        <v>0</v>
      </c>
      <c r="M840" t="n">
        <v>0</v>
      </c>
      <c r="N840" t="n">
        <v>0</v>
      </c>
      <c r="O840" t="n">
        <v>0</v>
      </c>
      <c r="P840" t="n">
        <v>0</v>
      </c>
      <c r="Q840" t="n">
        <v>0</v>
      </c>
      <c r="R840" s="2" t="inlineStr"/>
    </row>
    <row r="841" ht="15" customHeight="1">
      <c r="A841" t="inlineStr">
        <is>
          <t>A 12327-2023</t>
        </is>
      </c>
      <c r="B841" s="1" t="n">
        <v>44999.36081018519</v>
      </c>
      <c r="C841" s="1" t="n">
        <v>45990</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43092-2024</t>
        </is>
      </c>
      <c r="B842" s="1" t="n">
        <v>45567</v>
      </c>
      <c r="C842" s="1" t="n">
        <v>45990</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52435-2021</t>
        </is>
      </c>
      <c r="B843" s="1" t="n">
        <v>44466.34962962963</v>
      </c>
      <c r="C843" s="1" t="n">
        <v>45990</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35127-2024</t>
        </is>
      </c>
      <c r="B844" s="1" t="n">
        <v>45530.33202546297</v>
      </c>
      <c r="C844" s="1" t="n">
        <v>45990</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60215-2022</t>
        </is>
      </c>
      <c r="B845" s="1" t="n">
        <v>44910.41346064815</v>
      </c>
      <c r="C845" s="1" t="n">
        <v>45990</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29441-2024</t>
        </is>
      </c>
      <c r="B846" s="1" t="n">
        <v>45483.82834490741</v>
      </c>
      <c r="C846" s="1" t="n">
        <v>45990</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6216-2025</t>
        </is>
      </c>
      <c r="B847" s="1" t="n">
        <v>45698.52806712963</v>
      </c>
      <c r="C847" s="1" t="n">
        <v>45990</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62779-2023</t>
        </is>
      </c>
      <c r="B848" s="1" t="n">
        <v>45271.66576388889</v>
      </c>
      <c r="C848" s="1" t="n">
        <v>45990</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52294-2023</t>
        </is>
      </c>
      <c r="B849" s="1" t="n">
        <v>45224.60075231481</v>
      </c>
      <c r="C849" s="1" t="n">
        <v>45990</v>
      </c>
      <c r="D849" t="inlineStr">
        <is>
          <t>KALMAR LÄN</t>
        </is>
      </c>
      <c r="E849" t="inlineStr">
        <is>
          <t>VIMMERBY</t>
        </is>
      </c>
      <c r="F849" t="inlineStr">
        <is>
          <t>Sveaskog</t>
        </is>
      </c>
      <c r="G849" t="n">
        <v>2.5</v>
      </c>
      <c r="H849" t="n">
        <v>0</v>
      </c>
      <c r="I849" t="n">
        <v>0</v>
      </c>
      <c r="J849" t="n">
        <v>0</v>
      </c>
      <c r="K849" t="n">
        <v>0</v>
      </c>
      <c r="L849" t="n">
        <v>0</v>
      </c>
      <c r="M849" t="n">
        <v>0</v>
      </c>
      <c r="N849" t="n">
        <v>0</v>
      </c>
      <c r="O849" t="n">
        <v>0</v>
      </c>
      <c r="P849" t="n">
        <v>0</v>
      </c>
      <c r="Q849" t="n">
        <v>0</v>
      </c>
      <c r="R849" s="2" t="inlineStr"/>
    </row>
    <row r="850" ht="15" customHeight="1">
      <c r="A850" t="inlineStr">
        <is>
          <t>A 31013-2023</t>
        </is>
      </c>
      <c r="B850" s="1" t="n">
        <v>45113.56574074074</v>
      </c>
      <c r="C850" s="1" t="n">
        <v>45990</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72067-2021</t>
        </is>
      </c>
      <c r="B851" s="1" t="n">
        <v>44540</v>
      </c>
      <c r="C851" s="1" t="n">
        <v>45990</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61538-2022</t>
        </is>
      </c>
      <c r="B852" s="1" t="n">
        <v>44916.55414351852</v>
      </c>
      <c r="C852" s="1" t="n">
        <v>45990</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36155-2023</t>
        </is>
      </c>
      <c r="B853" s="1" t="n">
        <v>45149.60917824074</v>
      </c>
      <c r="C853" s="1" t="n">
        <v>45990</v>
      </c>
      <c r="D853" t="inlineStr">
        <is>
          <t>KALMAR LÄN</t>
        </is>
      </c>
      <c r="E853" t="inlineStr">
        <is>
          <t>VIMMERBY</t>
        </is>
      </c>
      <c r="G853" t="n">
        <v>5</v>
      </c>
      <c r="H853" t="n">
        <v>0</v>
      </c>
      <c r="I853" t="n">
        <v>0</v>
      </c>
      <c r="J853" t="n">
        <v>0</v>
      </c>
      <c r="K853" t="n">
        <v>0</v>
      </c>
      <c r="L853" t="n">
        <v>0</v>
      </c>
      <c r="M853" t="n">
        <v>0</v>
      </c>
      <c r="N853" t="n">
        <v>0</v>
      </c>
      <c r="O853" t="n">
        <v>0</v>
      </c>
      <c r="P853" t="n">
        <v>0</v>
      </c>
      <c r="Q853" t="n">
        <v>0</v>
      </c>
      <c r="R853" s="2" t="inlineStr"/>
    </row>
    <row r="854" ht="15" customHeight="1">
      <c r="A854" t="inlineStr">
        <is>
          <t>A 29173-2024</t>
        </is>
      </c>
      <c r="B854" s="1" t="n">
        <v>45482.52887731481</v>
      </c>
      <c r="C854" s="1" t="n">
        <v>45990</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53542-2022</t>
        </is>
      </c>
      <c r="B855" s="1" t="n">
        <v>44879.62173611111</v>
      </c>
      <c r="C855" s="1" t="n">
        <v>45990</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6807-2025</t>
        </is>
      </c>
      <c r="B856" s="1" t="n">
        <v>45700.68672453704</v>
      </c>
      <c r="C856" s="1" t="n">
        <v>45990</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7047-2022</t>
        </is>
      </c>
      <c r="B857" s="1" t="n">
        <v>44603</v>
      </c>
      <c r="C857" s="1" t="n">
        <v>45990</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35711-2023</t>
        </is>
      </c>
      <c r="B858" s="1" t="n">
        <v>45147.67172453704</v>
      </c>
      <c r="C858" s="1" t="n">
        <v>45990</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5382-2023</t>
        </is>
      </c>
      <c r="B859" s="1" t="n">
        <v>44959.66407407408</v>
      </c>
      <c r="C859" s="1" t="n">
        <v>45990</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40823-2023</t>
        </is>
      </c>
      <c r="B860" s="1" t="n">
        <v>45171.77335648148</v>
      </c>
      <c r="C860" s="1" t="n">
        <v>45990</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6218-2025</t>
        </is>
      </c>
      <c r="B861" s="1" t="n">
        <v>45698.53336805556</v>
      </c>
      <c r="C861" s="1" t="n">
        <v>45990</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30920-2023</t>
        </is>
      </c>
      <c r="B862" s="1" t="n">
        <v>45113.43921296296</v>
      </c>
      <c r="C862" s="1" t="n">
        <v>45990</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6857-2023</t>
        </is>
      </c>
      <c r="B863" s="1" t="n">
        <v>44967.45122685185</v>
      </c>
      <c r="C863" s="1" t="n">
        <v>45990</v>
      </c>
      <c r="D863" t="inlineStr">
        <is>
          <t>KALMAR LÄN</t>
        </is>
      </c>
      <c r="E863" t="inlineStr">
        <is>
          <t>VIMMERBY</t>
        </is>
      </c>
      <c r="G863" t="n">
        <v>2.1</v>
      </c>
      <c r="H863" t="n">
        <v>0</v>
      </c>
      <c r="I863" t="n">
        <v>0</v>
      </c>
      <c r="J863" t="n">
        <v>0</v>
      </c>
      <c r="K863" t="n">
        <v>0</v>
      </c>
      <c r="L863" t="n">
        <v>0</v>
      </c>
      <c r="M863" t="n">
        <v>0</v>
      </c>
      <c r="N863" t="n">
        <v>0</v>
      </c>
      <c r="O863" t="n">
        <v>0</v>
      </c>
      <c r="P863" t="n">
        <v>0</v>
      </c>
      <c r="Q863" t="n">
        <v>0</v>
      </c>
      <c r="R863" s="2" t="inlineStr"/>
    </row>
    <row r="864" ht="15" customHeight="1">
      <c r="A864" t="inlineStr">
        <is>
          <t>A 5792-2023</t>
        </is>
      </c>
      <c r="B864" s="1" t="n">
        <v>44963.44769675926</v>
      </c>
      <c r="C864" s="1" t="n">
        <v>45990</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10303-2025</t>
        </is>
      </c>
      <c r="B865" s="1" t="n">
        <v>45720.44217592593</v>
      </c>
      <c r="C865" s="1" t="n">
        <v>45990</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60110-2022</t>
        </is>
      </c>
      <c r="B866" s="1" t="n">
        <v>44909</v>
      </c>
      <c r="C866" s="1" t="n">
        <v>45990</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15394-2025</t>
        </is>
      </c>
      <c r="B867" s="1" t="n">
        <v>45747.43196759259</v>
      </c>
      <c r="C867" s="1" t="n">
        <v>45990</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15388-2025</t>
        </is>
      </c>
      <c r="B868" s="1" t="n">
        <v>45747.42633101852</v>
      </c>
      <c r="C868" s="1" t="n">
        <v>45990</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15391-2025</t>
        </is>
      </c>
      <c r="B869" s="1" t="n">
        <v>45747.42958333333</v>
      </c>
      <c r="C869" s="1" t="n">
        <v>45990</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6474-2025</t>
        </is>
      </c>
      <c r="B870" s="1" t="n">
        <v>45699.60055555555</v>
      </c>
      <c r="C870" s="1" t="n">
        <v>45990</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32919-2022</t>
        </is>
      </c>
      <c r="B871" s="1" t="n">
        <v>44784.62724537037</v>
      </c>
      <c r="C871" s="1" t="n">
        <v>45990</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56659-2023</t>
        </is>
      </c>
      <c r="B872" s="1" t="n">
        <v>45243.84869212963</v>
      </c>
      <c r="C872" s="1" t="n">
        <v>45990</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13015-2022</t>
        </is>
      </c>
      <c r="B873" s="1" t="n">
        <v>44643</v>
      </c>
      <c r="C873" s="1" t="n">
        <v>45990</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17968-2025</t>
        </is>
      </c>
      <c r="B874" s="1" t="n">
        <v>45761.35990740741</v>
      </c>
      <c r="C874" s="1" t="n">
        <v>45990</v>
      </c>
      <c r="D874" t="inlineStr">
        <is>
          <t>KALMAR LÄN</t>
        </is>
      </c>
      <c r="E874" t="inlineStr">
        <is>
          <t>VIMMERBY</t>
        </is>
      </c>
      <c r="G874" t="n">
        <v>3.3</v>
      </c>
      <c r="H874" t="n">
        <v>0</v>
      </c>
      <c r="I874" t="n">
        <v>0</v>
      </c>
      <c r="J874" t="n">
        <v>0</v>
      </c>
      <c r="K874" t="n">
        <v>0</v>
      </c>
      <c r="L874" t="n">
        <v>0</v>
      </c>
      <c r="M874" t="n">
        <v>0</v>
      </c>
      <c r="N874" t="n">
        <v>0</v>
      </c>
      <c r="O874" t="n">
        <v>0</v>
      </c>
      <c r="P874" t="n">
        <v>0</v>
      </c>
      <c r="Q874" t="n">
        <v>0</v>
      </c>
      <c r="R874" s="2" t="inlineStr"/>
    </row>
    <row r="875" ht="15" customHeight="1">
      <c r="A875" t="inlineStr">
        <is>
          <t>A 6028-2023</t>
        </is>
      </c>
      <c r="B875" s="1" t="n">
        <v>44964.44356481481</v>
      </c>
      <c r="C875" s="1" t="n">
        <v>45990</v>
      </c>
      <c r="D875" t="inlineStr">
        <is>
          <t>KALMAR LÄN</t>
        </is>
      </c>
      <c r="E875" t="inlineStr">
        <is>
          <t>VIMMERBY</t>
        </is>
      </c>
      <c r="G875" t="n">
        <v>2.5</v>
      </c>
      <c r="H875" t="n">
        <v>0</v>
      </c>
      <c r="I875" t="n">
        <v>0</v>
      </c>
      <c r="J875" t="n">
        <v>0</v>
      </c>
      <c r="K875" t="n">
        <v>0</v>
      </c>
      <c r="L875" t="n">
        <v>0</v>
      </c>
      <c r="M875" t="n">
        <v>0</v>
      </c>
      <c r="N875" t="n">
        <v>0</v>
      </c>
      <c r="O875" t="n">
        <v>0</v>
      </c>
      <c r="P875" t="n">
        <v>0</v>
      </c>
      <c r="Q875" t="n">
        <v>0</v>
      </c>
      <c r="R875" s="2" t="inlineStr"/>
    </row>
    <row r="876" ht="15" customHeight="1">
      <c r="A876" t="inlineStr">
        <is>
          <t>A 55436-2023</t>
        </is>
      </c>
      <c r="B876" s="1" t="n">
        <v>45238.4328587963</v>
      </c>
      <c r="C876" s="1" t="n">
        <v>45990</v>
      </c>
      <c r="D876" t="inlineStr">
        <is>
          <t>KALMAR LÄN</t>
        </is>
      </c>
      <c r="E876" t="inlineStr">
        <is>
          <t>VIMMERBY</t>
        </is>
      </c>
      <c r="G876" t="n">
        <v>5.6</v>
      </c>
      <c r="H876" t="n">
        <v>0</v>
      </c>
      <c r="I876" t="n">
        <v>0</v>
      </c>
      <c r="J876" t="n">
        <v>0</v>
      </c>
      <c r="K876" t="n">
        <v>0</v>
      </c>
      <c r="L876" t="n">
        <v>0</v>
      </c>
      <c r="M876" t="n">
        <v>0</v>
      </c>
      <c r="N876" t="n">
        <v>0</v>
      </c>
      <c r="O876" t="n">
        <v>0</v>
      </c>
      <c r="P876" t="n">
        <v>0</v>
      </c>
      <c r="Q876" t="n">
        <v>0</v>
      </c>
      <c r="R876" s="2" t="inlineStr"/>
    </row>
    <row r="877" ht="15" customHeight="1">
      <c r="A877" t="inlineStr">
        <is>
          <t>A 56582-2022</t>
        </is>
      </c>
      <c r="B877" s="1" t="n">
        <v>44893</v>
      </c>
      <c r="C877" s="1" t="n">
        <v>45990</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20-2025</t>
        </is>
      </c>
      <c r="B878" s="1" t="n">
        <v>45658.80232638889</v>
      </c>
      <c r="C878" s="1" t="n">
        <v>45990</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23-2025</t>
        </is>
      </c>
      <c r="B879" s="1" t="n">
        <v>45658.80827546296</v>
      </c>
      <c r="C879" s="1" t="n">
        <v>45990</v>
      </c>
      <c r="D879" t="inlineStr">
        <is>
          <t>KALMAR LÄN</t>
        </is>
      </c>
      <c r="E879" t="inlineStr">
        <is>
          <t>VIMMERBY</t>
        </is>
      </c>
      <c r="G879" t="n">
        <v>1.8</v>
      </c>
      <c r="H879" t="n">
        <v>0</v>
      </c>
      <c r="I879" t="n">
        <v>0</v>
      </c>
      <c r="J879" t="n">
        <v>0</v>
      </c>
      <c r="K879" t="n">
        <v>0</v>
      </c>
      <c r="L879" t="n">
        <v>0</v>
      </c>
      <c r="M879" t="n">
        <v>0</v>
      </c>
      <c r="N879" t="n">
        <v>0</v>
      </c>
      <c r="O879" t="n">
        <v>0</v>
      </c>
      <c r="P879" t="n">
        <v>0</v>
      </c>
      <c r="Q879" t="n">
        <v>0</v>
      </c>
      <c r="R879" s="2" t="inlineStr"/>
    </row>
    <row r="880" ht="15" customHeight="1">
      <c r="A880" t="inlineStr">
        <is>
          <t>A 43962-2024</t>
        </is>
      </c>
      <c r="B880" s="1" t="n">
        <v>45572.48293981481</v>
      </c>
      <c r="C880" s="1" t="n">
        <v>45990</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35713-2023</t>
        </is>
      </c>
      <c r="B881" s="1" t="n">
        <v>45147</v>
      </c>
      <c r="C881" s="1" t="n">
        <v>45990</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40147-2023</t>
        </is>
      </c>
      <c r="B882" s="1" t="n">
        <v>45169</v>
      </c>
      <c r="C882" s="1" t="n">
        <v>45990</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50995-2022</t>
        </is>
      </c>
      <c r="B883" s="1" t="n">
        <v>44867</v>
      </c>
      <c r="C883" s="1" t="n">
        <v>45990</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27993-2022</t>
        </is>
      </c>
      <c r="B884" s="1" t="n">
        <v>44745.84396990741</v>
      </c>
      <c r="C884" s="1" t="n">
        <v>45990</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57555-2024</t>
        </is>
      </c>
      <c r="B885" s="1" t="n">
        <v>45630.45069444444</v>
      </c>
      <c r="C885" s="1" t="n">
        <v>45990</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36014-2024</t>
        </is>
      </c>
      <c r="B886" s="1" t="n">
        <v>45533.56108796296</v>
      </c>
      <c r="C886" s="1" t="n">
        <v>45990</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36030-2024</t>
        </is>
      </c>
      <c r="B887" s="1" t="n">
        <v>45533.58302083334</v>
      </c>
      <c r="C887" s="1" t="n">
        <v>45990</v>
      </c>
      <c r="D887" t="inlineStr">
        <is>
          <t>KALMAR LÄN</t>
        </is>
      </c>
      <c r="E887" t="inlineStr">
        <is>
          <t>VIMMERBY</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32865-2023</t>
        </is>
      </c>
      <c r="B888" s="1" t="n">
        <v>45124</v>
      </c>
      <c r="C888" s="1" t="n">
        <v>45990</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42918-2021</t>
        </is>
      </c>
      <c r="B889" s="1" t="n">
        <v>44431</v>
      </c>
      <c r="C889" s="1" t="n">
        <v>45990</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22643-2023</t>
        </is>
      </c>
      <c r="B890" s="1" t="n">
        <v>45071</v>
      </c>
      <c r="C890" s="1" t="n">
        <v>45990</v>
      </c>
      <c r="D890" t="inlineStr">
        <is>
          <t>KALMAR LÄN</t>
        </is>
      </c>
      <c r="E890" t="inlineStr">
        <is>
          <t>VIMMERBY</t>
        </is>
      </c>
      <c r="G890" t="n">
        <v>3.9</v>
      </c>
      <c r="H890" t="n">
        <v>0</v>
      </c>
      <c r="I890" t="n">
        <v>0</v>
      </c>
      <c r="J890" t="n">
        <v>0</v>
      </c>
      <c r="K890" t="n">
        <v>0</v>
      </c>
      <c r="L890" t="n">
        <v>0</v>
      </c>
      <c r="M890" t="n">
        <v>0</v>
      </c>
      <c r="N890" t="n">
        <v>0</v>
      </c>
      <c r="O890" t="n">
        <v>0</v>
      </c>
      <c r="P890" t="n">
        <v>0</v>
      </c>
      <c r="Q890" t="n">
        <v>0</v>
      </c>
      <c r="R890" s="2" t="inlineStr"/>
    </row>
    <row r="891" ht="15" customHeight="1">
      <c r="A891" t="inlineStr">
        <is>
          <t>A 18669-2025</t>
        </is>
      </c>
      <c r="B891" s="1" t="n">
        <v>45763.59436342592</v>
      </c>
      <c r="C891" s="1" t="n">
        <v>45990</v>
      </c>
      <c r="D891" t="inlineStr">
        <is>
          <t>KALMAR LÄN</t>
        </is>
      </c>
      <c r="E891" t="inlineStr">
        <is>
          <t>VIMMERBY</t>
        </is>
      </c>
      <c r="G891" t="n">
        <v>2.7</v>
      </c>
      <c r="H891" t="n">
        <v>0</v>
      </c>
      <c r="I891" t="n">
        <v>0</v>
      </c>
      <c r="J891" t="n">
        <v>0</v>
      </c>
      <c r="K891" t="n">
        <v>0</v>
      </c>
      <c r="L891" t="n">
        <v>0</v>
      </c>
      <c r="M891" t="n">
        <v>0</v>
      </c>
      <c r="N891" t="n">
        <v>0</v>
      </c>
      <c r="O891" t="n">
        <v>0</v>
      </c>
      <c r="P891" t="n">
        <v>0</v>
      </c>
      <c r="Q891" t="n">
        <v>0</v>
      </c>
      <c r="R891" s="2" t="inlineStr"/>
    </row>
    <row r="892" ht="15" customHeight="1">
      <c r="A892" t="inlineStr">
        <is>
          <t>A 38780-2021</t>
        </is>
      </c>
      <c r="B892" s="1" t="n">
        <v>44410</v>
      </c>
      <c r="C892" s="1" t="n">
        <v>45990</v>
      </c>
      <c r="D892" t="inlineStr">
        <is>
          <t>KALMAR LÄN</t>
        </is>
      </c>
      <c r="E892" t="inlineStr">
        <is>
          <t>VIMMERBY</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29020-2024</t>
        </is>
      </c>
      <c r="B893" s="1" t="n">
        <v>45481.58048611111</v>
      </c>
      <c r="C893" s="1" t="n">
        <v>45990</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30406-2023</t>
        </is>
      </c>
      <c r="B894" s="1" t="n">
        <v>45111.48787037037</v>
      </c>
      <c r="C894" s="1" t="n">
        <v>45990</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row>
    <row r="895" ht="15" customHeight="1">
      <c r="A895" t="inlineStr">
        <is>
          <t>A 13817-2024</t>
        </is>
      </c>
      <c r="B895" s="1" t="n">
        <v>45391.41976851852</v>
      </c>
      <c r="C895" s="1" t="n">
        <v>45990</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22399-2025</t>
        </is>
      </c>
      <c r="B896" s="1" t="n">
        <v>45786.52996527778</v>
      </c>
      <c r="C896" s="1" t="n">
        <v>45990</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22397-2025</t>
        </is>
      </c>
      <c r="B897" s="1" t="n">
        <v>45786.52878472222</v>
      </c>
      <c r="C897" s="1" t="n">
        <v>45990</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25582-2024</t>
        </is>
      </c>
      <c r="B898" s="1" t="n">
        <v>45463</v>
      </c>
      <c r="C898" s="1" t="n">
        <v>45990</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57578-2024</t>
        </is>
      </c>
      <c r="B899" s="1" t="n">
        <v>45630.47564814815</v>
      </c>
      <c r="C899" s="1" t="n">
        <v>45990</v>
      </c>
      <c r="D899" t="inlineStr">
        <is>
          <t>KALMAR LÄN</t>
        </is>
      </c>
      <c r="E899" t="inlineStr">
        <is>
          <t>VIMMERBY</t>
        </is>
      </c>
      <c r="G899" t="n">
        <v>2.6</v>
      </c>
      <c r="H899" t="n">
        <v>0</v>
      </c>
      <c r="I899" t="n">
        <v>0</v>
      </c>
      <c r="J899" t="n">
        <v>0</v>
      </c>
      <c r="K899" t="n">
        <v>0</v>
      </c>
      <c r="L899" t="n">
        <v>0</v>
      </c>
      <c r="M899" t="n">
        <v>0</v>
      </c>
      <c r="N899" t="n">
        <v>0</v>
      </c>
      <c r="O899" t="n">
        <v>0</v>
      </c>
      <c r="P899" t="n">
        <v>0</v>
      </c>
      <c r="Q899" t="n">
        <v>0</v>
      </c>
      <c r="R899" s="2" t="inlineStr"/>
    </row>
    <row r="900" ht="15" customHeight="1">
      <c r="A900" t="inlineStr">
        <is>
          <t>A 6307-2025</t>
        </is>
      </c>
      <c r="B900" s="1" t="n">
        <v>45698.69016203703</v>
      </c>
      <c r="C900" s="1" t="n">
        <v>45990</v>
      </c>
      <c r="D900" t="inlineStr">
        <is>
          <t>KALMAR LÄN</t>
        </is>
      </c>
      <c r="E900" t="inlineStr">
        <is>
          <t>VIMMERBY</t>
        </is>
      </c>
      <c r="G900" t="n">
        <v>3</v>
      </c>
      <c r="H900" t="n">
        <v>0</v>
      </c>
      <c r="I900" t="n">
        <v>0</v>
      </c>
      <c r="J900" t="n">
        <v>0</v>
      </c>
      <c r="K900" t="n">
        <v>0</v>
      </c>
      <c r="L900" t="n">
        <v>0</v>
      </c>
      <c r="M900" t="n">
        <v>0</v>
      </c>
      <c r="N900" t="n">
        <v>0</v>
      </c>
      <c r="O900" t="n">
        <v>0</v>
      </c>
      <c r="P900" t="n">
        <v>0</v>
      </c>
      <c r="Q900" t="n">
        <v>0</v>
      </c>
      <c r="R900" s="2" t="inlineStr"/>
    </row>
    <row r="901" ht="15" customHeight="1">
      <c r="A901" t="inlineStr">
        <is>
          <t>A 11442-2025</t>
        </is>
      </c>
      <c r="B901" s="1" t="n">
        <v>45726.62721064815</v>
      </c>
      <c r="C901" s="1" t="n">
        <v>45990</v>
      </c>
      <c r="D901" t="inlineStr">
        <is>
          <t>KALMAR LÄN</t>
        </is>
      </c>
      <c r="E901" t="inlineStr">
        <is>
          <t>VIMMERBY</t>
        </is>
      </c>
      <c r="G901" t="n">
        <v>2.6</v>
      </c>
      <c r="H901" t="n">
        <v>0</v>
      </c>
      <c r="I901" t="n">
        <v>0</v>
      </c>
      <c r="J901" t="n">
        <v>0</v>
      </c>
      <c r="K901" t="n">
        <v>0</v>
      </c>
      <c r="L901" t="n">
        <v>0</v>
      </c>
      <c r="M901" t="n">
        <v>0</v>
      </c>
      <c r="N901" t="n">
        <v>0</v>
      </c>
      <c r="O901" t="n">
        <v>0</v>
      </c>
      <c r="P901" t="n">
        <v>0</v>
      </c>
      <c r="Q901" t="n">
        <v>0</v>
      </c>
      <c r="R901" s="2" t="inlineStr"/>
    </row>
    <row r="902" ht="15" customHeight="1">
      <c r="A902" t="inlineStr">
        <is>
          <t>A 23394-2025</t>
        </is>
      </c>
      <c r="B902" s="1" t="n">
        <v>45791.89865740741</v>
      </c>
      <c r="C902" s="1" t="n">
        <v>45990</v>
      </c>
      <c r="D902" t="inlineStr">
        <is>
          <t>KALMAR LÄN</t>
        </is>
      </c>
      <c r="E902" t="inlineStr">
        <is>
          <t>VIMMERBY</t>
        </is>
      </c>
      <c r="G902" t="n">
        <v>3.1</v>
      </c>
      <c r="H902" t="n">
        <v>0</v>
      </c>
      <c r="I902" t="n">
        <v>0</v>
      </c>
      <c r="J902" t="n">
        <v>0</v>
      </c>
      <c r="K902" t="n">
        <v>0</v>
      </c>
      <c r="L902" t="n">
        <v>0</v>
      </c>
      <c r="M902" t="n">
        <v>0</v>
      </c>
      <c r="N902" t="n">
        <v>0</v>
      </c>
      <c r="O902" t="n">
        <v>0</v>
      </c>
      <c r="P902" t="n">
        <v>0</v>
      </c>
      <c r="Q902" t="n">
        <v>0</v>
      </c>
      <c r="R902" s="2" t="inlineStr"/>
    </row>
    <row r="903">
      <c r="A903" t="inlineStr">
        <is>
          <t>A 23984-2025</t>
        </is>
      </c>
      <c r="B903" s="1" t="n">
        <v>45796</v>
      </c>
      <c r="C903" s="1" t="n">
        <v>45990</v>
      </c>
      <c r="D903" t="inlineStr">
        <is>
          <t>KALMAR LÄN</t>
        </is>
      </c>
      <c r="E903" t="inlineStr">
        <is>
          <t>VIMMERBY</t>
        </is>
      </c>
      <c r="G903" t="n">
        <v>1.4</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2025-11-29T10:25:04Z</dcterms:created>
  <dcterms:modified xmlns:dcterms="http://purl.org/dc/terms/" xmlns:xsi="http://www.w3.org/2001/XMLSchema-instance" xsi:type="dcterms:W3CDTF">2025-11-29T10:25:05Z</dcterms:modified>
</cp:coreProperties>
</file>